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Calc" sheetId="1" r:id="rId5"/>
    <sheet state="visible" name="VMS_Sales" sheetId="2" r:id="rId6"/>
    <sheet state="visible" name="forcast" sheetId="3" r:id="rId7"/>
    <sheet state="visible" name="PurchaseLines_Import" sheetId="4" r:id="rId8"/>
    <sheet state="visible" name="Purchases_Import" sheetId="5" r:id="rId9"/>
    <sheet state="visible" name="Inventory_Import" sheetId="6" r:id="rId10"/>
    <sheet state="visible" name="Items_Import" sheetId="7" r:id="rId11"/>
    <sheet state="visible" name="Map" sheetId="8" r:id="rId12"/>
    <sheet state="visible" name="Transactions_Raw" sheetId="9" r:id="rId13"/>
    <sheet state="visible" name="MachineRefills_Raw" sheetId="10" r:id="rId14"/>
    <sheet state="visible" name="LS_Finance_Month" sheetId="11" r:id="rId15"/>
    <sheet state="visible" name="Ads_Contracts" sheetId="12" r:id="rId16"/>
    <sheet state="visible" name="LS_Machine_Month" sheetId="13" r:id="rId17"/>
    <sheet state="visible" name="Refill_Planner" sheetId="14" r:id="rId18"/>
    <sheet state="visible" name="VMS_Stock_Raw" sheetId="15" r:id="rId19"/>
    <sheet state="visible" name="VMS_Machine_Stock" sheetId="16" r:id="rId20"/>
    <sheet state="visible" name="Machines" sheetId="17" r:id="rId21"/>
    <sheet state="visible" name="LS_Machine_Month_Trends" sheetId="18" r:id="rId22"/>
    <sheet state="visible" name="LS_Product_Month" sheetId="19" r:id="rId23"/>
    <sheet state="visible" name="Items" sheetId="20" r:id="rId24"/>
    <sheet state="visible" name="Purchases_Lines" sheetId="21" r:id="rId25"/>
    <sheet state="visible" name="Inventory_Ledger" sheetId="22" r:id="rId26"/>
    <sheet state="visible" name="Refill_Lines" sheetId="23" r:id="rId27"/>
    <sheet state="visible" name="OperatorWalletTx" sheetId="24" r:id="rId28"/>
    <sheet state="visible" name="CashCollections" sheetId="25" r:id="rId29"/>
    <sheet state="visible" name="KPI_Monthly_Snapshot" sheetId="26" r:id="rId30"/>
  </sheets>
  <definedNames/>
  <calcPr/>
  <pivotCaches>
    <pivotCache cacheId="0" r:id="rId31"/>
    <pivotCache cacheId="1" r:id="rId32"/>
  </pivotCaches>
</workbook>
</file>

<file path=xl/sharedStrings.xml><?xml version="1.0" encoding="utf-8"?>
<sst xmlns="http://schemas.openxmlformats.org/spreadsheetml/2006/main" count="3828" uniqueCount="377">
  <si>
    <t>MonthKey_Row</t>
  </si>
  <si>
    <t>Machine name</t>
  </si>
  <si>
    <t>Transaction amount</t>
  </si>
  <si>
    <t>Profits</t>
  </si>
  <si>
    <t>Units</t>
  </si>
  <si>
    <t>Ads Income</t>
  </si>
  <si>
    <t>Rent</t>
  </si>
  <si>
    <t>Net Profit</t>
  </si>
  <si>
    <t>Avg Price</t>
  </si>
  <si>
    <t>SPI_Traffic</t>
  </si>
  <si>
    <t>SPI_Profit</t>
  </si>
  <si>
    <t>SPI_Final</t>
  </si>
  <si>
    <t>Rank per month</t>
  </si>
  <si>
    <t>product name</t>
  </si>
  <si>
    <t>SUM of Profits</t>
  </si>
  <si>
    <t>SUM of Transaction amount</t>
  </si>
  <si>
    <t>SUM of Number of transaction</t>
  </si>
  <si>
    <t>Attahadi Universty</t>
  </si>
  <si>
    <t>2026-01-01 Total</t>
  </si>
  <si>
    <t>DPMall</t>
  </si>
  <si>
    <t>2026-02-01 Total</t>
  </si>
  <si>
    <t>HospAlmoa</t>
  </si>
  <si>
    <t>HTLand</t>
  </si>
  <si>
    <t>HTMall</t>
  </si>
  <si>
    <t>Istiklal</t>
  </si>
  <si>
    <t>SeaCost2</t>
  </si>
  <si>
    <t>2026-03-01 Total</t>
  </si>
  <si>
    <t>SeaCost</t>
  </si>
  <si>
    <t>2025-12-01 Total</t>
  </si>
  <si>
    <t>2025-11-01 Total</t>
  </si>
  <si>
    <t>2025-10-01 Total</t>
  </si>
  <si>
    <t>2025-09-01 Total</t>
  </si>
  <si>
    <t>2025-08-01 Total</t>
  </si>
  <si>
    <t>2025-07-01 Total</t>
  </si>
  <si>
    <t>2025-06-01 Total</t>
  </si>
  <si>
    <t>2025-05-01 Total</t>
  </si>
  <si>
    <t>2025-04-01 Total</t>
  </si>
  <si>
    <t>2025-03-01 Total</t>
  </si>
  <si>
    <t>2025-02-01 Total</t>
  </si>
  <si>
    <t>2025-01-01 Total</t>
  </si>
  <si>
    <t>Machine code</t>
  </si>
  <si>
    <t>Product Number</t>
  </si>
  <si>
    <t>Commodity price</t>
  </si>
  <si>
    <t>Number of transaction</t>
  </si>
  <si>
    <t>The refund count</t>
  </si>
  <si>
    <t>Refund amount</t>
  </si>
  <si>
    <t>Total Transaction Quantity</t>
  </si>
  <si>
    <t>Total Transaction Amount</t>
  </si>
  <si>
    <t>Cost Price</t>
  </si>
  <si>
    <t>Cost Amount</t>
  </si>
  <si>
    <t>MonthKey</t>
  </si>
  <si>
    <t xml:space="preserve"> </t>
  </si>
  <si>
    <t>Tiger Medium 16</t>
  </si>
  <si>
    <t>Takis</t>
  </si>
  <si>
    <t>Tiger excellence *10</t>
  </si>
  <si>
    <t>kinza</t>
  </si>
  <si>
    <t>Dark blue energy</t>
  </si>
  <si>
    <t>tiger chips *12</t>
  </si>
  <si>
    <t>Mr Crunch cheez top</t>
  </si>
  <si>
    <t>popcorn pizza funday</t>
  </si>
  <si>
    <t>ono cake</t>
  </si>
  <si>
    <t>Masa suntop</t>
  </si>
  <si>
    <t>Mr Crunch</t>
  </si>
  <si>
    <t>Roshen Chocolate</t>
  </si>
  <si>
    <t>GoOn Energy chocolate</t>
  </si>
  <si>
    <t>Milk &amp; cereals loacker</t>
  </si>
  <si>
    <t>maxxx chips 65g</t>
  </si>
  <si>
    <t>festa</t>
  </si>
  <si>
    <t>Freez drink</t>
  </si>
  <si>
    <t>sitos 90g</t>
  </si>
  <si>
    <t>Green</t>
  </si>
  <si>
    <t>SunTop Saudi</t>
  </si>
  <si>
    <t>mr bite</t>
  </si>
  <si>
    <t>Gardena</t>
  </si>
  <si>
    <t>Water</t>
  </si>
  <si>
    <t>Al Ain can</t>
  </si>
  <si>
    <t>X!R 500ml</t>
  </si>
  <si>
    <t>Wild Power Energy drink</t>
  </si>
  <si>
    <t>Wild Power Energy 500ml</t>
  </si>
  <si>
    <t>Laviva</t>
  </si>
  <si>
    <t>drFood Stix</t>
  </si>
  <si>
    <t>Wafe up extra</t>
  </si>
  <si>
    <t>Wanted chocolate</t>
  </si>
  <si>
    <t>popcorn funday</t>
  </si>
  <si>
    <t>Al Nada cake</t>
  </si>
  <si>
    <t>Boss Energy drink</t>
  </si>
  <si>
    <t>X!R</t>
  </si>
  <si>
    <t>Donut cake</t>
  </si>
  <si>
    <t>Tiger Small</t>
  </si>
  <si>
    <t>Marshmellow sweetBag</t>
  </si>
  <si>
    <t>vivaldi</t>
  </si>
  <si>
    <t>Tiger excellence super jambo</t>
  </si>
  <si>
    <t>xo energy</t>
  </si>
  <si>
    <t>flik flak</t>
  </si>
  <si>
    <t>pattes chips</t>
  </si>
  <si>
    <t>monster energy</t>
  </si>
  <si>
    <t>bonart sour</t>
  </si>
  <si>
    <t>kinder bueno</t>
  </si>
  <si>
    <t>shani 500ml</t>
  </si>
  <si>
    <t>skittles</t>
  </si>
  <si>
    <t>schweppers</t>
  </si>
  <si>
    <t>pringles</t>
  </si>
  <si>
    <t>pepsi 500ml</t>
  </si>
  <si>
    <t>m&amp;m's</t>
  </si>
  <si>
    <t>boba tea</t>
  </si>
  <si>
    <t>helo kitty</t>
  </si>
  <si>
    <t>sprite</t>
  </si>
  <si>
    <t>kinder country</t>
  </si>
  <si>
    <t>Spuds noraml</t>
  </si>
  <si>
    <t>Tiger *12</t>
  </si>
  <si>
    <t>Al rihan</t>
  </si>
  <si>
    <t>Chotos</t>
  </si>
  <si>
    <t>maxFly</t>
  </si>
  <si>
    <t>jelly candy</t>
  </si>
  <si>
    <t>kitkat</t>
  </si>
  <si>
    <t>Doritos nacho</t>
  </si>
  <si>
    <t>kinder bones</t>
  </si>
  <si>
    <t>maxBrew</t>
  </si>
  <si>
    <t>Barbican</t>
  </si>
  <si>
    <t>prigles bugle</t>
  </si>
  <si>
    <t>snickers</t>
  </si>
  <si>
    <t>skittles drink</t>
  </si>
  <si>
    <t>SunTop</t>
  </si>
  <si>
    <t>vitaGo</t>
  </si>
  <si>
    <t>real Doritos</t>
  </si>
  <si>
    <t>Maltesers</t>
  </si>
  <si>
    <t>waffle cones</t>
  </si>
  <si>
    <t>Doritos Dinamita</t>
  </si>
  <si>
    <t>ifrui juice</t>
  </si>
  <si>
    <t>Doritos cool ranc</t>
  </si>
  <si>
    <t>Skittles drink</t>
  </si>
  <si>
    <t>Schweppes</t>
  </si>
  <si>
    <t>Skittles Drink</t>
  </si>
  <si>
    <t>Xo Energy</t>
  </si>
  <si>
    <t>Pepsi 500ml</t>
  </si>
  <si>
    <t>Skittles</t>
  </si>
  <si>
    <t>sunTop</t>
  </si>
  <si>
    <t>Ono cake</t>
  </si>
  <si>
    <t>Kinder Bueno</t>
  </si>
  <si>
    <t>wafe'up</t>
  </si>
  <si>
    <t>Takies</t>
  </si>
  <si>
    <t>m&amp;m</t>
  </si>
  <si>
    <t>bonart</t>
  </si>
  <si>
    <t>Freez</t>
  </si>
  <si>
    <t>Twix</t>
  </si>
  <si>
    <t>Bounty</t>
  </si>
  <si>
    <t>Snickers</t>
  </si>
  <si>
    <t>Pepsi</t>
  </si>
  <si>
    <t>Mars</t>
  </si>
  <si>
    <t>Rauch Drink</t>
  </si>
  <si>
    <t>Almarai Chocolate</t>
  </si>
  <si>
    <t>Corissant Karuzo</t>
  </si>
  <si>
    <t>Sirma</t>
  </si>
  <si>
    <t>Kunuz Juice</t>
  </si>
  <si>
    <t>Digestive</t>
  </si>
  <si>
    <t>Lovita cookies</t>
  </si>
  <si>
    <t>KitKat</t>
  </si>
  <si>
    <t>Pretzels</t>
  </si>
  <si>
    <t>kinder delice</t>
  </si>
  <si>
    <t>MrCrunch</t>
  </si>
  <si>
    <t>Caser Juice</t>
  </si>
  <si>
    <t>Natural Grape</t>
  </si>
  <si>
    <t>MrCrunch Normal</t>
  </si>
  <si>
    <t>Kinder bueno1stick</t>
  </si>
  <si>
    <t>Justo Drink</t>
  </si>
  <si>
    <t>Haribo</t>
  </si>
  <si>
    <t>Ivsar water</t>
  </si>
  <si>
    <t>7up</t>
  </si>
  <si>
    <t>Mirinda</t>
  </si>
  <si>
    <t>Tropia</t>
  </si>
  <si>
    <t>Bourbon biscuit</t>
  </si>
  <si>
    <t>Toren Dark Chocolate</t>
  </si>
  <si>
    <t>zigi marinated peanuts</t>
  </si>
  <si>
    <t>Almarai Strawberry</t>
  </si>
  <si>
    <t>MR Crunch</t>
  </si>
  <si>
    <t>Indomie</t>
  </si>
  <si>
    <t>MrCrunch-RingGo</t>
  </si>
  <si>
    <t>Rani</t>
  </si>
  <si>
    <t>Twix ex</t>
  </si>
  <si>
    <t>koren Indomie</t>
  </si>
  <si>
    <t>Doritos real</t>
  </si>
  <si>
    <t>ex mars</t>
  </si>
  <si>
    <t>ifruit juice</t>
  </si>
  <si>
    <t>Today Chocolate</t>
  </si>
  <si>
    <t>Prime</t>
  </si>
  <si>
    <t>Jannaty</t>
  </si>
  <si>
    <t>PopCorn Chocolate</t>
  </si>
  <si>
    <t>Dallas juice</t>
  </si>
  <si>
    <t>Prime Ex</t>
  </si>
  <si>
    <t>Nuts</t>
  </si>
  <si>
    <t>Yipy Juice</t>
  </si>
  <si>
    <t>Roshetto</t>
  </si>
  <si>
    <t>HiPro</t>
  </si>
  <si>
    <t>Saminsa</t>
  </si>
  <si>
    <t>Mulino Cookis</t>
  </si>
  <si>
    <t>Yasmin Penuts</t>
  </si>
  <si>
    <t>Smsm</t>
  </si>
  <si>
    <t>L suntop</t>
  </si>
  <si>
    <t>Yasmin Almonds</t>
  </si>
  <si>
    <t>Mr Crunch normal</t>
  </si>
  <si>
    <t>bueno 1 stick</t>
  </si>
  <si>
    <t>Mrbeast</t>
  </si>
  <si>
    <t>mr.bite strike</t>
  </si>
  <si>
    <t>brownies moulin</t>
  </si>
  <si>
    <t>Chico</t>
  </si>
  <si>
    <t>mars</t>
  </si>
  <si>
    <t>Tiger *12 tomato</t>
  </si>
  <si>
    <t>Marie biscuit</t>
  </si>
  <si>
    <t>Tiger *12 Cheese</t>
  </si>
  <si>
    <t>Tiger *12 kebab</t>
  </si>
  <si>
    <t>Tiger 12 paprika</t>
  </si>
  <si>
    <t>Tiger 12 chili and lemon</t>
  </si>
  <si>
    <t>Doritos green hot</t>
  </si>
  <si>
    <t>Shani</t>
  </si>
  <si>
    <t>Toblerone</t>
  </si>
  <si>
    <t>Rayhan suntop</t>
  </si>
  <si>
    <t>Tiger *16 kebab</t>
  </si>
  <si>
    <t>Tiger *16 tomato</t>
  </si>
  <si>
    <t>Tiger excellence</t>
  </si>
  <si>
    <t>Savi stix</t>
  </si>
  <si>
    <t>Lexus</t>
  </si>
  <si>
    <t>Tiger 12 sweet chili</t>
  </si>
  <si>
    <t>Buldak</t>
  </si>
  <si>
    <t>Haribo bears</t>
  </si>
  <si>
    <t>Turbo strips</t>
  </si>
  <si>
    <t>Chotso</t>
  </si>
  <si>
    <t>Lolo</t>
  </si>
  <si>
    <t>Coach Suntop</t>
  </si>
  <si>
    <t>Twix single</t>
  </si>
  <si>
    <t>æœªè®¾ç½®</t>
  </si>
  <si>
    <t>Mr Cruch veggy's</t>
  </si>
  <si>
    <t>vita go</t>
  </si>
  <si>
    <t>Goftime</t>
  </si>
  <si>
    <t>Souffle</t>
  </si>
  <si>
    <t>Waffi</t>
  </si>
  <si>
    <t>Shada up</t>
  </si>
  <si>
    <t>Be happy kids</t>
  </si>
  <si>
    <t>Duplo</t>
  </si>
  <si>
    <t>Wafer Laviva</t>
  </si>
  <si>
    <t>Chillax chips</t>
  </si>
  <si>
    <t>Lavazza</t>
  </si>
  <si>
    <t>tiger 12</t>
  </si>
  <si>
    <t>Kitkat 2 fingers</t>
  </si>
  <si>
    <t>Schweppes bullet</t>
  </si>
  <si>
    <t>Yupi</t>
  </si>
  <si>
    <t>Haribo 80g</t>
  </si>
  <si>
    <t>Yumi zak</t>
  </si>
  <si>
    <t>未设置</t>
  </si>
  <si>
    <t>EXO</t>
  </si>
  <si>
    <t>Almarai Banana</t>
  </si>
  <si>
    <t>Activ chips</t>
  </si>
  <si>
    <t>Yumi Zak</t>
  </si>
  <si>
    <t>vitrac</t>
  </si>
  <si>
    <t>Doritos red hot</t>
  </si>
  <si>
    <t>Twix wafer roll</t>
  </si>
  <si>
    <t>Galaxy wafer roll</t>
  </si>
  <si>
    <t>Sweeto jelly</t>
  </si>
  <si>
    <t>Snickers wafer roll</t>
  </si>
  <si>
    <t>Bounty wafer roll</t>
  </si>
  <si>
    <t>BeBeto marshmello</t>
  </si>
  <si>
    <t>Doritos BBQ</t>
  </si>
  <si>
    <t>Balls</t>
  </si>
  <si>
    <t>Product Name</t>
  </si>
  <si>
    <t>Last Month</t>
  </si>
  <si>
    <t>Avg 3M</t>
  </si>
  <si>
    <t>Forecast</t>
  </si>
  <si>
    <t>Cost</t>
  </si>
  <si>
    <t>Forecast Cost</t>
  </si>
  <si>
    <t>Purchased This Month</t>
  </si>
  <si>
    <t>Current Stock</t>
  </si>
  <si>
    <t>Need to Buy</t>
  </si>
  <si>
    <t>Buy Cost</t>
  </si>
  <si>
    <t>PurchaseMonth</t>
  </si>
  <si>
    <t>FinalQty</t>
  </si>
  <si>
    <t>VMS Product Name</t>
  </si>
  <si>
    <t>AppSheet Item ID</t>
  </si>
  <si>
    <t>AppSheet Item Name</t>
  </si>
  <si>
    <t>0001</t>
  </si>
  <si>
    <t>Doritos</t>
  </si>
  <si>
    <t>0002</t>
  </si>
  <si>
    <t>0003</t>
  </si>
  <si>
    <t>0005</t>
  </si>
  <si>
    <t>0011</t>
  </si>
  <si>
    <t>0012</t>
  </si>
  <si>
    <t>0014</t>
  </si>
  <si>
    <t>0019</t>
  </si>
  <si>
    <t>0021</t>
  </si>
  <si>
    <t>0025</t>
  </si>
  <si>
    <t>0027</t>
  </si>
  <si>
    <t>0029</t>
  </si>
  <si>
    <t>0032</t>
  </si>
  <si>
    <t>0033</t>
  </si>
  <si>
    <t>0038</t>
  </si>
  <si>
    <t>bb6c2490</t>
  </si>
  <si>
    <t>Mr Crunch Tarbouch</t>
  </si>
  <si>
    <t>0054</t>
  </si>
  <si>
    <t>0064</t>
  </si>
  <si>
    <t>1b6b5ed6</t>
  </si>
  <si>
    <t>Rayhan</t>
  </si>
  <si>
    <t>c099f042</t>
  </si>
  <si>
    <t>0049</t>
  </si>
  <si>
    <t>0086</t>
  </si>
  <si>
    <t>cf6c9481</t>
  </si>
  <si>
    <t>83dd14b5</t>
  </si>
  <si>
    <t>0af806f8</t>
  </si>
  <si>
    <t>Doritos flamin’ hot</t>
  </si>
  <si>
    <t>02d86a9b</t>
  </si>
  <si>
    <t>a19879cf</t>
  </si>
  <si>
    <t>cb9e809e</t>
  </si>
  <si>
    <t>bb4d1bd1</t>
  </si>
  <si>
    <t>0024</t>
  </si>
  <si>
    <t>12b96290</t>
  </si>
  <si>
    <t>d5b5f9d1</t>
  </si>
  <si>
    <t>MonthDate</t>
  </si>
  <si>
    <t>Source</t>
  </si>
  <si>
    <t>Month</t>
  </si>
  <si>
    <t>MoneyIn_LYD</t>
  </si>
  <si>
    <t>MoneyOut_LYD</t>
  </si>
  <si>
    <t>NetCashFlow_LYD</t>
  </si>
  <si>
    <t>NetProfit_Recognized_LYD</t>
  </si>
  <si>
    <t>Revenue_LYD</t>
  </si>
  <si>
    <t>AdsCashIn_LYD</t>
  </si>
  <si>
    <t>AdsRecognized_LYD</t>
  </si>
  <si>
    <t>Restocking_LYD</t>
  </si>
  <si>
    <t>OtherIn_LYD</t>
  </si>
  <si>
    <t>OtherOut_LYD</t>
  </si>
  <si>
    <t>ContractID</t>
  </si>
  <si>
    <t>Location</t>
  </si>
  <si>
    <t>StartMonthDate</t>
  </si>
  <si>
    <t>EndMonthDate</t>
  </si>
  <si>
    <t>AmountPaid_LYD</t>
  </si>
  <si>
    <t>MonthsCovered</t>
  </si>
  <si>
    <t>Machine</t>
  </si>
  <si>
    <t xml:space="preserve">MachineID	</t>
  </si>
  <si>
    <t>LastRefillDate</t>
  </si>
  <si>
    <t>DaysSinceRefill</t>
  </si>
  <si>
    <t>LastMonthUnits</t>
  </si>
  <si>
    <t>DailyUnits_Est</t>
  </si>
  <si>
    <t>TargetRefillDays</t>
  </si>
  <si>
    <t>RefillStatus</t>
  </si>
  <si>
    <t>Point name</t>
  </si>
  <si>
    <t>Product Specification</t>
  </si>
  <si>
    <t>Product bar code</t>
  </si>
  <si>
    <t>Third party commodity number</t>
  </si>
  <si>
    <t>Product Unit</t>
  </si>
  <si>
    <t>Production date</t>
  </si>
  <si>
    <t>Warranty date</t>
  </si>
  <si>
    <t>Inventory quantity</t>
  </si>
  <si>
    <t>Out of stock quantity</t>
  </si>
  <si>
    <t>Inventory capacity</t>
  </si>
  <si>
    <t>FillPercent_Product</t>
  </si>
  <si>
    <t>EmptyUnits_Product</t>
  </si>
  <si>
    <t>IsCritical_Product</t>
  </si>
  <si>
    <t>Dorits cool ranc</t>
  </si>
  <si>
    <t>箱</t>
  </si>
  <si>
    <t>Doritos flamin' hot</t>
  </si>
  <si>
    <t>SunTop Almarai Chocolate</t>
  </si>
  <si>
    <t>瓶</t>
  </si>
  <si>
    <t>(HTMall)</t>
  </si>
  <si>
    <t xml:space="preserve">MachineID </t>
  </si>
  <si>
    <t xml:space="preserve">MachineName </t>
  </si>
  <si>
    <t xml:space="preserve">TotalUnits </t>
  </si>
  <si>
    <t xml:space="preserve">TotalCapacity </t>
  </si>
  <si>
    <t xml:space="preserve">FillPercent </t>
  </si>
  <si>
    <t xml:space="preserve">EmptyUnits </t>
  </si>
  <si>
    <t>CriticalProducts</t>
  </si>
  <si>
    <t>CriticalRate</t>
  </si>
  <si>
    <t>RefillPriority</t>
  </si>
  <si>
    <t>MachineID</t>
  </si>
  <si>
    <t>MonthlyRent</t>
  </si>
  <si>
    <t>Sales_Prev</t>
  </si>
  <si>
    <t>Units_Prev</t>
  </si>
  <si>
    <t>AvgPrice</t>
  </si>
  <si>
    <t>ProfitPerUnit</t>
  </si>
  <si>
    <t>SPI_Units</t>
  </si>
  <si>
    <t>Sales</t>
  </si>
  <si>
    <t>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</si>
</sst>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-mm-dd"/>
    <numFmt numFmtId="165" formatCode="yyyy-m"/>
    <numFmt numFmtId="166" formatCode="m/d/yyyy"/>
    <numFmt numFmtId="167" formatCode="YYYY-MM-DD HH:MM:SS"/>
    <numFmt numFmtId="168" formatCode="m/d/yyyy h:mm:ss"/>
    <numFmt numFmtId="169" formatCode="dmmmyyyy"/>
    <numFmt numFmtId="170" formatCode="M/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u/>
      <color rgb="FF0000FF"/>
    </font>
    <font>
      <sz val="9.0"/>
      <color theme="1"/>
      <name val="Google Sans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3" numFmtId="165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3" numFmtId="166" xfId="0" applyAlignment="1" applyFont="1" applyNumberForma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1" numFmtId="166" xfId="0" applyAlignment="1" applyFont="1" applyNumberFormat="1">
      <alignment readingOrder="0"/>
    </xf>
    <xf borderId="0" fillId="0" fontId="1" numFmtId="14" xfId="0" applyFont="1" applyNumberFormat="1"/>
    <xf borderId="0" fillId="0" fontId="1" numFmtId="167" xfId="0" applyFont="1" applyNumberFormat="1"/>
    <xf borderId="0" fillId="0" fontId="1" numFmtId="166" xfId="0" applyFont="1" applyNumberFormat="1"/>
    <xf borderId="0" fillId="0" fontId="1" numFmtId="168" xfId="0" applyFont="1" applyNumberFormat="1"/>
    <xf borderId="0" fillId="0" fontId="1" numFmtId="169" xfId="0" applyFont="1" applyNumberFormat="1"/>
    <xf borderId="0" fillId="0" fontId="4" numFmtId="0" xfId="0" applyAlignment="1" applyFont="1">
      <alignment horizontal="right" vertical="bottom"/>
    </xf>
    <xf borderId="0" fillId="0" fontId="1" numFmtId="4" xfId="0" applyFont="1" applyNumberFormat="1"/>
    <xf borderId="0" fillId="0" fontId="1" numFmtId="170" xfId="0" applyFont="1" applyNumberFormat="1"/>
    <xf borderId="0" fillId="0" fontId="7" numFmtId="0" xfId="0" applyFont="1"/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pivotCacheDefinition" Target="pivotCache/pivotCacheDefinition1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pivotCacheDefinition" Target="pivotCache/pivotCacheDefinition2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2044" sheet="VMS_Sales"/>
  </cacheSource>
  <cacheFields>
    <cacheField name="Machine code" numFmtId="0">
      <sharedItems containsString="0" containsBlank="1" containsNumber="1" containsInteger="1">
        <n v="2.404120076E9"/>
        <m/>
        <n v="2.503000216E9"/>
        <n v="2.411000046E9"/>
        <n v="2.503000217E9"/>
        <n v="2.509000369E9"/>
        <n v="2.50900037E9"/>
        <n v="2.509000371E9"/>
        <n v="2.510001719E9"/>
      </sharedItems>
    </cacheField>
    <cacheField name="Machine name" numFmtId="0">
      <sharedItems containsBlank="1">
        <s v="DPMall"/>
        <m/>
        <s v="HTMall"/>
        <s v="HospAlmoa"/>
        <s v="SeaCost"/>
        <s v="Istiklal"/>
        <s v="HTLand"/>
        <s v="Attahadi Universty"/>
        <s v="SeaCost2"/>
      </sharedItems>
    </cacheField>
    <cacheField name="Product Number" numFmtId="0">
      <sharedItems containsString="0" containsBlank="1" containsNumber="1" containsInteger="1">
        <m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5.0"/>
        <n v="26.0"/>
        <n v="27.0"/>
        <n v="28.0"/>
        <n v="29.0"/>
        <n v="30.0"/>
        <n v="31.0"/>
        <n v="32.0"/>
        <n v="33.0"/>
        <n v="35.0"/>
        <n v="36.0"/>
        <n v="37.0"/>
        <n v="38.0"/>
        <n v="40.0"/>
        <n v="41.0"/>
        <n v="24.0"/>
        <n v="42.0"/>
        <n v="43.0"/>
        <n v="44.0"/>
        <n v="45.0"/>
        <n v="47.0"/>
        <n v="48.0"/>
        <n v="51.0"/>
        <n v="49.0"/>
        <n v="50.0"/>
        <n v="53.0"/>
        <n v="54.0"/>
        <n v="55.0"/>
        <n v="56.0"/>
        <n v="59.0"/>
        <n v="60.0"/>
        <n v="64.0"/>
        <n v="52.0"/>
        <n v="70.0"/>
        <n v="71.0"/>
        <n v="73.0"/>
        <n v="75.0"/>
        <n v="76.0"/>
        <n v="83.0"/>
        <n v="84.0"/>
        <n v="57.0"/>
        <n v="58.0"/>
        <n v="61.0"/>
        <n v="62.0"/>
        <n v="63.0"/>
        <n v="65.0"/>
        <n v="66.0"/>
        <n v="67.0"/>
        <n v="68.0"/>
        <n v="72.0"/>
        <n v="74.0"/>
        <n v="77.0"/>
        <n v="78.0"/>
        <n v="80.0"/>
        <n v="81.0"/>
        <n v="82.0"/>
        <n v="79.0"/>
        <n v="86.0"/>
        <n v="87.0"/>
        <n v="88.0"/>
        <n v="89.0"/>
        <n v="90.0"/>
        <n v="91.0"/>
        <n v="92.0"/>
        <n v="93.0"/>
        <n v="94.0"/>
        <n v="96.0"/>
        <n v="97.0"/>
        <n v="98.0"/>
        <n v="99.0"/>
        <n v="106.0"/>
        <n v="111.0"/>
        <n v="112.0"/>
        <n v="113.0"/>
        <n v="114.0"/>
        <n v="122.0"/>
        <n v="123.0"/>
        <n v="95.0"/>
        <n v="102.0"/>
        <n v="118.0"/>
        <n v="119.0"/>
        <n v="121.0"/>
        <n v="124.0"/>
        <n v="126.0"/>
        <n v="127.0"/>
        <n v="0.0"/>
        <n v="100.0"/>
        <n v="101.0"/>
        <n v="103.0"/>
        <n v="104.0"/>
        <n v="105.0"/>
        <n v="108.0"/>
        <n v="109.0"/>
        <n v="116.0"/>
        <n v="117.0"/>
        <n v="120.0"/>
        <n v="115.0"/>
        <n v="129.0"/>
        <n v="130.0"/>
        <n v="137.0"/>
        <n v="135.0"/>
        <n v="136.0"/>
        <n v="131.0"/>
        <n v="128.0"/>
        <n v="132.0"/>
        <n v="133.0"/>
        <n v="134.0"/>
        <n v="138.0"/>
        <n v="139.0"/>
        <n v="142.0"/>
        <n v="145.0"/>
        <n v="140.0"/>
        <n v="141.0"/>
        <n v="143.0"/>
        <n v="144.0"/>
      </sharedItems>
    </cacheField>
    <cacheField name="product name" numFmtId="0">
      <sharedItems containsBlank="1">
        <s v="Tiger Medium 16"/>
        <s v="Takis"/>
        <s v="Tiger excellence *10"/>
        <s v="kinza"/>
        <s v="Dark blue energy"/>
        <s v="tiger chips *12"/>
        <s v="Mr Crunch cheez top"/>
        <s v="popcorn pizza funday"/>
        <s v="ono cake"/>
        <s v="Masa suntop"/>
        <s v="Mr Crunch"/>
        <s v="Roshen Chocolate"/>
        <s v="GoOn Energy chocolate"/>
        <s v="Milk &amp; cereals loacker"/>
        <s v="maxxx chips 65g"/>
        <s v="festa"/>
        <s v="Freez drink"/>
        <s v="sitos 90g"/>
        <s v="Green"/>
        <s v="SunTop Saudi"/>
        <s v="mr bite"/>
        <s v="Gardena"/>
        <s v="Water"/>
        <s v="Al Ain can"/>
        <s v="X!R 500ml"/>
        <s v="Wild Power Energy drink"/>
        <s v="Wild Power Energy 500ml"/>
        <s v="Laviva"/>
        <s v="drFood Stix"/>
        <s v="Wafe up extra"/>
        <s v="Wanted chocolate"/>
        <s v="popcorn funday"/>
        <s v="Al Nada cake"/>
        <s v="Boss Energy drink"/>
        <s v="X!R"/>
        <s v="Donut cake"/>
        <s v="Tiger Small"/>
        <m/>
        <s v="Marshmellow sweetBag"/>
        <s v="vivaldi"/>
        <s v="Tiger excellence super jambo"/>
        <s v="xo energy"/>
        <s v="flik flak"/>
        <s v="pattes chips"/>
        <s v="monster energy"/>
        <s v="bonart sour"/>
        <s v="kinder bueno"/>
        <s v="shani 500ml"/>
        <s v="skittles"/>
        <s v="schweppers"/>
        <s v="pringles"/>
        <s v="pepsi 500ml"/>
        <s v="m&amp;m's"/>
        <s v="boba tea"/>
        <s v="helo kitty"/>
        <s v="sprite"/>
        <s v="kinder country"/>
        <s v="Spuds noraml"/>
        <s v="Tiger *12"/>
        <s v="Al rihan"/>
        <s v="Chotos"/>
        <s v="maxFly"/>
        <s v="jelly candy"/>
        <s v="kitkat"/>
        <s v="Doritos nacho"/>
        <s v="kinder bones"/>
        <s v="maxBrew"/>
        <s v="Barbican"/>
        <s v="prigles bugle"/>
        <s v="snickers"/>
        <s v="skittles drink"/>
        <s v="SunTop"/>
        <s v="vitaGo"/>
        <s v="real Doritos"/>
        <s v="Maltesers"/>
        <s v="waffle cones"/>
        <s v="Doritos Dinamita"/>
        <s v="ifrui juice"/>
        <s v="Doritos cool ranc"/>
        <s v="Schweppes"/>
        <s v="wafe'up"/>
        <s v="Takies"/>
        <s v="m&amp;m"/>
        <s v="bonart"/>
        <s v="Freez"/>
        <s v="Twix"/>
        <s v="Bounty"/>
        <s v="Pepsi"/>
        <s v="Mars"/>
        <s v="Rauch Drink"/>
        <s v="Almarai Chocolate"/>
        <s v="Corissant Karuzo"/>
        <s v="Sirma"/>
        <s v="Kunuz Juice"/>
        <s v="Digestive"/>
        <s v="Lovita cookies"/>
        <s v="Pretzels"/>
        <s v="kinder delice"/>
        <s v="MrCrunch"/>
        <s v="Caser Juice"/>
        <s v="Natural Grape"/>
        <s v="MrCrunch Normal"/>
        <s v="Kinder bueno1stick"/>
        <s v="Justo Drink"/>
        <s v="Haribo"/>
        <s v="Ivsar water"/>
        <s v="7up"/>
        <s v="Mirinda"/>
        <s v="Tropia"/>
        <s v="Bourbon biscuit"/>
        <s v="Toren Dark Chocolate"/>
        <s v="zigi marinated peanuts"/>
        <s v="Almarai Strawberry"/>
        <s v="Indomie"/>
        <s v="MrCrunch-RingGo"/>
        <s v="Rani"/>
        <s v="Twix ex"/>
        <s v="koren Indomie"/>
        <s v="Doritos real"/>
        <s v="ex mars"/>
        <s v="ifruit juice"/>
        <s v="Today Chocolate"/>
        <s v="Prime"/>
        <s v="Jannaty"/>
        <s v="PopCorn Chocolate"/>
        <s v="Dallas juice"/>
        <s v="Prime Ex"/>
        <s v="Nuts"/>
        <s v="Yipy Juice"/>
        <s v="Roshetto"/>
        <s v="HiPro"/>
        <s v="Saminsa"/>
        <s v="Mulino Cookis"/>
        <s v="Yasmin Penuts"/>
        <s v="Smsm"/>
        <s v="L suntop"/>
        <s v="Yasmin Almonds"/>
        <s v="Mr Crunch normal"/>
        <s v="bueno 1 stick"/>
        <s v="Mrbeast"/>
        <s v="mr.bite strike"/>
        <s v="brownies moulin"/>
        <s v="Chico"/>
        <s v="Tiger *12 tomato"/>
        <s v="Marie biscuit"/>
        <s v="Tiger *12 Cheese"/>
        <s v="Tiger *12 kebab"/>
        <s v="Tiger 12 paprika"/>
        <s v="Tiger 12 chili and lemon"/>
        <s v="Doritos green hot"/>
        <s v="Shani"/>
        <s v="Toblerone"/>
        <s v="Rayhan suntop"/>
        <s v="Tiger *16 kebab"/>
        <s v="Tiger *16 tomato"/>
        <s v="Tiger excellence"/>
        <s v="Savi stix"/>
        <s v="Lexus"/>
        <s v="Tiger 12 sweet chili"/>
        <s v="Buldak"/>
        <s v="Haribo bears"/>
        <s v="Turbo strips"/>
        <s v="Chotso"/>
        <s v="Lolo"/>
        <s v="Coach Suntop"/>
        <s v="Twix single"/>
        <s v="æœªè®¾ç½®"/>
        <s v="Mr Cruch veggy's"/>
        <s v="vita go"/>
        <s v="Goftime"/>
        <s v="Souffle"/>
        <s v="Waffi"/>
        <s v="Shada up"/>
        <s v="Be happy kids"/>
        <s v="Duplo"/>
        <s v="Wafer Laviva"/>
        <s v="Chillax chips"/>
        <s v="Lavazza"/>
        <s v="tiger 12"/>
        <s v="Kitkat 2 fingers"/>
        <s v="Schweppes bullet"/>
        <s v="Yupi"/>
        <s v="Haribo 80g"/>
        <s v="Yumi zak"/>
        <s v="未设置"/>
        <s v="EXO"/>
        <s v="Almarai Banana"/>
        <s v="Activ chips"/>
        <s v="vitrac"/>
        <s v="Doritos red hot"/>
        <s v="Twix wafer roll"/>
        <s v="Galaxy wafer roll"/>
        <s v="Sweeto jelly"/>
        <s v="Snickers wafer roll"/>
        <s v="Bounty wafer roll"/>
        <s v="BeBeto marshmello"/>
        <s v="Doritos BBQ"/>
        <s v="Balls"/>
      </sharedItems>
    </cacheField>
    <cacheField name="Commodity price" numFmtId="0">
      <sharedItems containsString="0" containsBlank="1" containsNumber="1">
        <m/>
        <n v="5.0"/>
        <n v="1.0"/>
        <n v="7.0"/>
        <n v="8.0"/>
        <n v="3.0"/>
        <n v="2.0"/>
        <n v="12.0"/>
        <n v="20.0"/>
        <n v="4.0"/>
        <n v="10.0"/>
        <n v="6.0"/>
        <n v="15.0"/>
        <n v="6.777777778"/>
        <n v="6.785714286"/>
        <n v="5.157894737"/>
        <n v="3.965517241"/>
        <n v="4.466666667"/>
        <n v="3.5"/>
        <n v="6.307692308"/>
        <n v="5.009950249"/>
        <n v="3.111111111"/>
        <n v="6.861111111"/>
        <n v="5.2"/>
        <n v="4.066666667"/>
        <n v="6.363636364"/>
        <n v="3.347826087"/>
        <n v="9.726027397"/>
        <n v="7.947368421"/>
        <n v="4.333333333"/>
        <n v="4.8"/>
        <n v="2.242424242"/>
        <n v="3.476190476"/>
        <n v="7.615384615"/>
        <n v="3.266666667"/>
        <n v="7.340909091"/>
        <n v="1.983870968"/>
        <n v="2.922413793"/>
        <n v="4.65"/>
        <n v="3.9"/>
        <n v="5.727272727"/>
        <n v="8.125"/>
        <n v="3.131578947"/>
        <n v="5.147058824"/>
        <n v="5.086956522"/>
        <n v="1.033755274"/>
        <n v="7.391304348"/>
        <n v="28.07692308"/>
        <n v="2.666666667"/>
        <n v="3.428571429"/>
        <n v="2.575757576"/>
        <n v="5.357142857"/>
        <n v="5.692307692"/>
        <n v="5.285714286"/>
        <n v="5.4"/>
        <n v="8.615384615"/>
        <n v="1.66"/>
        <n v="3.75862069"/>
        <n v="3.666666667"/>
        <n v="4.833333333"/>
        <n v="3.444444444"/>
        <n v="6.428571429"/>
        <n v="6.833333333"/>
        <n v="4.955555556"/>
        <n v="4.4"/>
        <n v="7.65"/>
        <n v="7.518518519"/>
        <n v="2.5"/>
        <n v="2.76"/>
        <n v="5.5"/>
        <n v="5.333333333"/>
        <n v="4.142857143"/>
        <n v="5.875"/>
        <n v="7.5"/>
        <n v="5.033333333"/>
        <n v="2.011904762"/>
        <n v="4.5"/>
        <n v="6.5"/>
        <n v="0.0"/>
        <n v="25.0"/>
      </sharedItems>
    </cacheField>
    <cacheField name="Number of transaction" numFmtId="0">
      <sharedItems containsString="0" containsBlank="1" containsNumber="1" containsInteger="1">
        <n v="19.0"/>
        <n v="46.0"/>
        <n v="88.0"/>
        <n v="29.0"/>
        <n v="152.0"/>
        <n v="50.0"/>
        <n v="3.0"/>
        <n v="320.0"/>
        <n v="108.0"/>
        <n v="34.0"/>
        <n v="1.0"/>
        <n v="7.0"/>
        <n v="79.0"/>
        <n v="2.0"/>
        <n v="21.0"/>
        <n v="10.0"/>
        <n v="396.0"/>
        <n v="47.0"/>
        <n v="472.0"/>
        <n v="33.0"/>
        <n v="24.0"/>
        <n v="61.0"/>
        <n v="66.0"/>
        <n v="283.0"/>
        <n v="43.0"/>
        <n v="71.0"/>
        <n v="14.0"/>
        <n v="38.0"/>
        <n v="163.0"/>
        <n v="16.0"/>
        <n v="144.0"/>
        <n v="80.0"/>
        <m/>
        <n v="31.0"/>
        <n v="40.0"/>
        <n v="9.0"/>
        <n v="54.0"/>
        <n v="22.0"/>
        <n v="69.0"/>
        <n v="174.0"/>
        <n v="18.0"/>
        <n v="363.0"/>
        <n v="201.0"/>
        <n v="107.0"/>
        <n v="13.0"/>
        <n v="6.0"/>
        <n v="11.0"/>
        <n v="17.0"/>
        <n v="313.0"/>
        <n v="95.0"/>
        <n v="62.0"/>
        <n v="8.0"/>
        <n v="41.0"/>
        <n v="334.0"/>
        <n v="25.0"/>
        <n v="35.0"/>
        <n v="36.0"/>
        <n v="4.0"/>
        <n v="5.0"/>
        <n v="23.0"/>
        <n v="64.0"/>
        <n v="39.0"/>
        <n v="30.0"/>
        <n v="211.0"/>
        <n v="465.0"/>
        <n v="106.0"/>
        <n v="57.0"/>
        <n v="341.0"/>
        <n v="90.0"/>
        <n v="93.0"/>
        <n v="26.0"/>
        <n v="60.0"/>
        <n v="28.0"/>
        <n v="600.0"/>
        <n v="48.0"/>
        <n v="44.0"/>
        <n v="45.0"/>
        <n v="302.0"/>
        <n v="76.0"/>
        <n v="177.0"/>
        <n v="109.0"/>
        <n v="499.0"/>
        <n v="566.0"/>
        <n v="170.0"/>
        <n v="42.0"/>
        <n v="15.0"/>
        <n v="20.0"/>
        <n v="97.0"/>
        <n v="447.0"/>
        <n v="156.0"/>
        <n v="124.0"/>
        <n v="115.0"/>
        <n v="86.0"/>
        <n v="216.0"/>
        <n v="712.0"/>
        <n v="82.0"/>
        <n v="37.0"/>
        <n v="53.0"/>
        <n v="252.0"/>
        <n v="32.0"/>
        <n v="120.0"/>
        <n v="247.0"/>
        <n v="101.0"/>
        <n v="59.0"/>
        <n v="233.0"/>
        <n v="279.0"/>
        <n v="52.0"/>
        <n v="269.0"/>
        <n v="49.0"/>
        <n v="412.0"/>
        <n v="85.0"/>
        <n v="240.0"/>
        <n v="161.0"/>
        <n v="12.0"/>
        <n v="332.0"/>
        <n v="1024.0"/>
        <n v="127.0"/>
        <n v="123.0"/>
        <n v="561.0"/>
        <n v="548.0"/>
        <n v="83.0"/>
        <n v="102.0"/>
        <n v="67.0"/>
        <n v="239.0"/>
        <n v="244.0"/>
        <n v="487.0"/>
        <n v="63.0"/>
        <n v="238.0"/>
        <n v="141.0"/>
        <n v="214.0"/>
        <n v="74.0"/>
        <n v="208.0"/>
        <n v="1332.0"/>
        <n v="193.0"/>
        <n v="139.0"/>
        <n v="391.0"/>
        <n v="51.0"/>
        <n v="81.0"/>
        <n v="112.0"/>
        <n v="191.0"/>
        <n v="183.0"/>
        <n v="225.0"/>
        <n v="867.0"/>
        <n v="444.0"/>
        <n v="116.0"/>
        <n v="138.0"/>
        <n v="153.0"/>
        <n v="73.0"/>
        <n v="99.0"/>
        <n v="89.0"/>
        <n v="27.0"/>
        <n v="181.0"/>
        <n v="1545.0"/>
        <n v="226.0"/>
        <n v="110.0"/>
        <n v="433.0"/>
        <n v="166.0"/>
        <n v="210.0"/>
        <n v="850.0"/>
        <n v="131.0"/>
        <n v="342.0"/>
        <n v="75.0"/>
        <n v="77.0"/>
        <n v="70.0"/>
        <n v="1049.0"/>
        <n v="55.0"/>
        <n v="333.0"/>
        <n v="228.0"/>
        <n v="84.0"/>
        <n v="536.0"/>
        <n v="94.0"/>
        <n v="297.0"/>
        <n v="68.0"/>
        <n v="100.0"/>
        <n v="118.0"/>
        <n v="265.0"/>
        <n v="377.0"/>
        <n v="143.0"/>
        <n v="96.0"/>
        <n v="103.0"/>
        <n v="446.0"/>
        <n v="253.0"/>
        <n v="189.0"/>
        <n v="172.0"/>
        <n v="505.0"/>
        <n v="132.0"/>
        <n v="267.0"/>
        <n v="121.0"/>
        <n v="58.0"/>
        <n v="140.0"/>
        <n v="553.0"/>
        <n v="330.0"/>
        <n v="111.0"/>
        <n v="56.0"/>
        <n v="383.0"/>
        <n v="155.0"/>
        <n v="150.0"/>
        <n v="194.0"/>
        <n v="402.0"/>
        <n v="114.0"/>
        <n v="403.0"/>
        <n v="199.0"/>
        <n v="849.0"/>
        <n v="259.0"/>
        <n v="87.0"/>
        <n v="512.0"/>
        <n v="91.0"/>
        <n v="277.0"/>
        <n v="125.0"/>
        <n v="527.0"/>
        <n v="98.0"/>
        <n v="1082.0"/>
        <n v="237.0"/>
        <n v="133.0"/>
        <n v="387.0"/>
        <n v="173.0"/>
        <n v="209.0"/>
        <n v="65.0"/>
        <n v="326.0"/>
        <n v="303.0"/>
        <n v="113.0"/>
        <n v="92.0"/>
        <n v="624.0"/>
        <n v="104.0"/>
        <n v="117.0"/>
        <n v="186.0"/>
        <n v="273.0"/>
        <n v="72.0"/>
        <n v="264.0"/>
        <n v="327.0"/>
        <n v="145.0"/>
        <n v="538.0"/>
        <n v="459.0"/>
        <n v="105.0"/>
        <n v="200.0"/>
        <n v="329.0"/>
        <n v="1096.0"/>
        <n v="276.0"/>
        <n v="78.0"/>
        <n v="128.0"/>
        <n v="196.0"/>
        <n v="160.0"/>
        <n v="205.0"/>
        <n v="165.0"/>
        <n v="241.0"/>
        <n v="541.0"/>
        <n v="371.0"/>
      </sharedItems>
    </cacheField>
    <cacheField name="Transaction amount" numFmtId="0">
      <sharedItems containsString="0" containsBlank="1" containsNumber="1">
        <n v="77.0"/>
        <n v="820.0"/>
        <n v="430.0"/>
        <n v="58.0"/>
        <n v="57.0"/>
        <n v="608.0"/>
        <n v="200.0"/>
        <n v="15.0"/>
        <n v="88.0"/>
        <n v="333.0"/>
        <n v="420.0"/>
        <n v="97.0"/>
        <n v="3.0"/>
        <n v="19.0"/>
        <n v="392.0"/>
        <n v="6.0"/>
        <n v="95.0"/>
        <n v="59.0"/>
        <n v="181.0"/>
        <n v="396.0"/>
        <n v="93.0"/>
        <n v="101.0"/>
        <n v="472.0"/>
        <n v="89.0"/>
        <n v="153.0"/>
        <n v="185.0"/>
        <n v="330.0"/>
        <n v="566.0"/>
        <n v="113.0"/>
        <n v="146.0"/>
        <n v="28.0"/>
        <n v="190.0"/>
        <n v="163.0"/>
        <n v="48.0"/>
        <n v="583.0"/>
        <n v="80.0"/>
        <m/>
        <n v="768.0"/>
        <n v="27.0"/>
        <n v="268.0"/>
        <n v="44.0"/>
        <n v="138.0"/>
        <n v="50.0"/>
        <n v="156.0"/>
        <n v="691.0"/>
        <n v="84.0"/>
        <n v="61.0"/>
        <n v="363.0"/>
        <n v="218.0"/>
        <n v="443.0"/>
        <n v="78.0"/>
        <n v="87.0"/>
        <n v="18.0"/>
        <n v="55.0"/>
        <n v="21.0"/>
        <n v="9.0"/>
        <n v="105.0"/>
        <n v="68.0"/>
        <n v="313.0"/>
        <n v="198.0"/>
        <n v="310.0"/>
        <n v="79.0"/>
        <n v="24.0"/>
        <n v="164.0"/>
        <n v="334.0"/>
        <n v="40.0"/>
        <n v="108.0"/>
        <n v="124.0"/>
        <n v="30.0"/>
        <n v="2.0"/>
        <n v="578.0"/>
        <n v="41.0"/>
        <n v="428.0"/>
        <n v="320.0"/>
        <n v="150.0"/>
        <n v="841.0"/>
        <n v="8.0"/>
        <n v="465.0"/>
        <n v="106.0"/>
        <n v="145.0"/>
        <n v="42.0"/>
        <n v="10.0"/>
        <n v="275.0"/>
        <n v="341.0"/>
        <n v="90.0"/>
        <n v="186.0"/>
        <n v="475.0"/>
        <n v="104.0"/>
        <n v="240.0"/>
        <n v="100.0"/>
        <n v="600.0"/>
        <n v="72.0"/>
        <n v="172.0"/>
        <n v="66.0"/>
        <n v="144.0"/>
        <n v="140.0"/>
        <n v="180.0"/>
        <n v="1203.0"/>
        <n v="96.0"/>
        <n v="195.0"/>
        <n v="20.0"/>
        <n v="152.0"/>
        <n v="708.0"/>
        <n v="176.0"/>
        <n v="165.0"/>
        <n v="208.0"/>
        <n v="511.0"/>
        <n v="212.0"/>
        <n v="110.0"/>
        <n v="2294.0"/>
        <n v="22.0"/>
        <n v="683.0"/>
        <n v="210.0"/>
        <n v="75.0"/>
        <n v="457.0"/>
        <n v="447.0"/>
        <n v="248.0"/>
        <n v="610.0"/>
        <n v="64.0"/>
        <n v="391.0"/>
        <n v="857.0"/>
        <n v="712.0"/>
        <n v="246.0"/>
        <n v="183.0"/>
        <n v="148.0"/>
        <n v="235.0"/>
        <n v="1227.0"/>
        <n v="481.0"/>
        <n v="219.0"/>
        <n v="263.0"/>
        <n v="115.0"/>
        <n v="988.0"/>
        <n v="417.0"/>
        <n v="56.0"/>
        <n v="120.0"/>
        <n v="1172.0"/>
        <n v="74.0"/>
        <n v="290.0"/>
        <n v="25.0"/>
        <n v="32.0"/>
        <n v="12.0"/>
        <n v="236.0"/>
        <n v="260.0"/>
        <n v="269.0"/>
        <n v="216.0"/>
        <n v="63.0"/>
        <n v="4.0"/>
        <n v="245.0"/>
        <n v="98.0"/>
        <n v="416.0"/>
        <n v="255.0"/>
        <n v="155.0"/>
        <n v="1200.0"/>
        <n v="33.0"/>
        <n v="230.0"/>
        <n v="644.0"/>
        <n v="1660.0"/>
        <n v="1024.0"/>
        <n v="635.0"/>
        <n v="149.0"/>
        <n v="1368.0"/>
        <n v="244.0"/>
        <n v="370.0"/>
        <n v="418.0"/>
        <n v="823.0"/>
        <n v="574.0"/>
        <n v="548.0"/>
        <n v="166.0"/>
        <n v="184.0"/>
        <n v="456.0"/>
        <n v="160.0"/>
        <n v="226.0"/>
        <n v="529.0"/>
        <n v="319.0"/>
        <n v="311.0"/>
        <n v="130.0"/>
        <n v="811.0"/>
        <n v="239.0"/>
        <n v="71.0"/>
        <n v="117.0"/>
        <n v="250.0"/>
        <n v="126.0"/>
        <n v="60.0"/>
        <n v="496.0"/>
        <n v="46.0"/>
        <n v="1190.0"/>
        <n v="168.0"/>
        <n v="204.0"/>
        <n v="581.0"/>
        <n v="36.0"/>
        <n v="201.0"/>
        <n v="214.0"/>
        <n v="254.0"/>
        <n v="296.0"/>
        <n v="34.0"/>
        <n v="45.0"/>
        <n v="26.0"/>
        <n v="52.0"/>
        <n v="1040.0"/>
        <n v="1332.0"/>
        <n v="111.0"/>
        <n v="972.0"/>
        <n v="131.0"/>
        <n v="92.0"/>
        <n v="14.0"/>
        <n v="515.0"/>
        <n v="492.0"/>
        <n v="265.0"/>
        <n v="369.0"/>
        <n v="528.0"/>
        <n v="167.0"/>
        <n v="135.0"/>
        <n v="129.0"/>
        <n v="385.0"/>
        <n v="143.0"/>
        <n v="35.0"/>
        <n v="16.0"/>
        <n v="215.0"/>
        <n v="955.0"/>
        <n v="193.0"/>
        <n v="102.0"/>
        <n v="83.0"/>
        <n v="49.0"/>
        <n v="62.0"/>
        <n v="326.0"/>
        <n v="142.0"/>
        <n v="243.0"/>
        <n v="867.0"/>
        <n v="54.0"/>
        <n v="47.0"/>
        <n v="1194.0"/>
        <n v="192.0"/>
        <n v="843.0"/>
        <n v="440.0"/>
        <n v="444.0"/>
        <n v="580.0"/>
        <n v="605.0"/>
        <n v="438.0"/>
        <n v="134.0"/>
        <n v="267.0"/>
        <n v="382.0"/>
        <n v="170.0"/>
        <n v="905.0"/>
        <n v="1545.0"/>
        <n v="266.0"/>
        <n v="1130.0"/>
        <n v="161.0"/>
        <n v="487.0"/>
        <n v="437.0"/>
        <n v="386.0"/>
        <n v="276.0"/>
        <n v="916.0"/>
        <n v="38.0"/>
        <n v="291.0"/>
        <n v="223.0"/>
        <n v="830.0"/>
        <n v="222.0"/>
        <n v="125.0"/>
        <n v="136.0"/>
        <n v="337.0"/>
        <n v="91.0"/>
        <n v="850.0"/>
        <n v="171.0"/>
        <n v="342.0"/>
        <n v="29.0"/>
        <n v="306.0"/>
        <n v="154.0"/>
        <n v="225.0"/>
        <n v="147.0"/>
        <n v="39.0"/>
        <n v="70.0"/>
        <n v="182.0"/>
        <n v="37.0"/>
        <n v="1061.0"/>
        <n v="870.0"/>
        <n v="478.0"/>
        <n v="671.0"/>
        <n v="73.0"/>
        <n v="65.0"/>
        <n v="252.0"/>
        <n v="159.0"/>
        <n v="81.0"/>
        <n v="23.0"/>
        <n v="188.0"/>
        <n v="554.0"/>
        <n v="535.0"/>
        <n v="114.0"/>
        <n v="470.0"/>
        <n v="297.0"/>
        <n v="174.0"/>
        <n v="450.0"/>
        <n v="249.0"/>
        <n v="205.0"/>
        <n v="107.0"/>
        <n v="261.0"/>
        <n v="589.0"/>
        <n v="873.0"/>
        <n v="1325.0"/>
        <n v="345.0"/>
        <n v="423.0"/>
        <n v="272.0"/>
        <n v="286.0"/>
        <n v="288.0"/>
        <n v="427.0"/>
        <n v="31.0"/>
        <n v="446.0"/>
        <n v="273.0"/>
        <n v="112.0"/>
        <n v="179.0"/>
        <n v="380.0"/>
        <n v="280.0"/>
        <n v="522.0"/>
        <n v="715.0"/>
        <n v="505.0"/>
        <n v="765.0"/>
        <n v="660.0"/>
        <n v="51.0"/>
        <n v="121.0"/>
        <n v="234.0"/>
        <n v="189.0"/>
        <n v="7.0"/>
        <n v="553.0"/>
        <n v="885.0"/>
        <n v="400.0"/>
        <n v="344.0"/>
        <n v="122.0"/>
        <n v="123.0"/>
        <n v="285.0"/>
        <n v="398.0"/>
        <n v="141.0"/>
        <n v="460.0"/>
        <n v="162.0"/>
        <n v="364.0"/>
        <n v="493.0"/>
        <n v="128.0"/>
        <n v="85.0"/>
        <n v="69.0"/>
        <n v="194.0"/>
        <n v="173.0"/>
        <n v="133.0"/>
        <n v="402.0"/>
        <n v="570.0"/>
        <n v="403.0"/>
        <n v="615.0"/>
        <n v="237.0"/>
        <n v="196.0"/>
        <n v="103.0"/>
        <n v="67.0"/>
        <n v="82.0"/>
        <n v="1007.0"/>
        <n v="849.0"/>
        <n v="1295.0"/>
        <n v="435.0"/>
        <n v="512.0"/>
        <n v="247.0"/>
        <n v="300.0"/>
        <n v="270.0"/>
        <n v="132.0"/>
        <n v="710.0"/>
        <n v="277.0"/>
        <n v="302.0"/>
        <n v="191.0"/>
        <n v="1010.0"/>
        <n v="366.0"/>
        <n v="305.0"/>
        <n v="527.0"/>
        <n v="490.0"/>
        <n v="99.0"/>
        <n v="365.0"/>
        <n v="127.0"/>
        <n v="323.0"/>
        <n v="339.0"/>
        <n v="5.0"/>
        <n v="119.0"/>
        <n v="1.0"/>
        <n v="175.0"/>
        <n v="350.0"/>
        <n v="1082.0"/>
        <n v="256.0"/>
        <n v="575.0"/>
        <n v="476.0"/>
        <n v="399.0"/>
        <n v="531.0"/>
        <n v="213.0"/>
        <n v="620.0"/>
        <n v="17.0"/>
        <n v="387.0"/>
        <n v="224.0"/>
        <n v="404.0"/>
        <n v="109.0"/>
        <n v="11.0"/>
        <n v="1038.0"/>
        <n v="86.0"/>
        <n v="209.0"/>
        <n v="203.0"/>
        <n v="92.5"/>
        <n v="11.75"/>
        <n v="52.5"/>
        <n v="75.5"/>
        <n v="315.0"/>
        <n v="71.5"/>
        <n v="38.5"/>
        <n v="42.25"/>
        <n v="31.5"/>
        <n v="67.5"/>
        <n v="524.0"/>
        <n v="158.0"/>
        <n v="347.0"/>
        <n v="303.0"/>
        <n v="354.0"/>
        <n v="76.0"/>
        <n v="545.0"/>
        <n v="624.0"/>
        <n v="520.0"/>
        <n v="207.0"/>
        <n v="351.0"/>
        <n v="425.0"/>
        <n v="940.0"/>
        <n v="565.0"/>
        <n v="585.0"/>
        <n v="637.0"/>
        <n v="678.0"/>
        <n v="371.0"/>
        <n v="231.0"/>
        <n v="94.0"/>
        <n v="301.0"/>
        <n v="138.5"/>
        <n v="294.5"/>
        <n v="104.5"/>
        <n v="42.5"/>
        <n v="258.0"/>
        <n v="295.0"/>
        <n v="34.5"/>
        <n v="21.5"/>
        <n v="16.5"/>
        <n v="538.0"/>
        <n v="25.5"/>
        <n v="157.0"/>
        <n v="360.0"/>
        <n v="264.0"/>
        <n v="294.0"/>
        <n v="613.0"/>
        <n v="486.0"/>
        <n v="292.0"/>
        <n v="591.0"/>
        <n v="514.0"/>
        <n v="329.0"/>
        <n v="186.5"/>
        <n v="98.5"/>
        <n v="87.5"/>
        <n v="12.5"/>
        <n v="53.0"/>
        <n v="18.5"/>
        <n v="51.5"/>
        <n v="1380.0"/>
        <n v="1096.0"/>
        <n v="451.0"/>
        <n v="81.5"/>
        <n v="588.0"/>
        <n v="363.5"/>
        <n v="975.0"/>
        <n v="1720.0"/>
        <n v="827.0"/>
        <n v="228.0"/>
        <n v="429.0"/>
        <n v="832.0"/>
        <n v="206.0"/>
        <n v="1235.0"/>
        <n v="375.0"/>
        <n v="541.0"/>
        <n v="1902.0"/>
        <n v="287.0"/>
        <n v="484.0"/>
        <n v="865.0"/>
      </sharedItems>
    </cacheField>
    <cacheField name="The refund count" numFmtId="0">
      <sharedItems containsString="0" containsBlank="1" containsNumber="1" containsInteger="1">
        <m/>
        <n v="0.0"/>
      </sharedItems>
    </cacheField>
    <cacheField name="Refund amount" numFmtId="0">
      <sharedItems containsString="0" containsBlank="1" containsNumber="1" containsInteger="1">
        <m/>
        <n v="0.0"/>
      </sharedItems>
    </cacheField>
    <cacheField name="Total Transaction Quantity" numFmtId="0">
      <sharedItems containsString="0" containsBlank="1" containsNumber="1" containsInteger="1">
        <n v="19.0"/>
        <n v="46.0"/>
        <n v="88.0"/>
        <n v="29.0"/>
        <n v="152.0"/>
        <n v="50.0"/>
        <n v="3.0"/>
        <n v="320.0"/>
        <n v="108.0"/>
        <n v="34.0"/>
        <n v="1.0"/>
        <n v="7.0"/>
        <n v="79.0"/>
        <n v="2.0"/>
        <n v="21.0"/>
        <n v="10.0"/>
        <n v="396.0"/>
        <n v="47.0"/>
        <n v="472.0"/>
        <n v="33.0"/>
        <n v="24.0"/>
        <n v="61.0"/>
        <n v="66.0"/>
        <n v="283.0"/>
        <n v="43.0"/>
        <n v="71.0"/>
        <n v="14.0"/>
        <n v="38.0"/>
        <n v="163.0"/>
        <n v="16.0"/>
        <n v="144.0"/>
        <n v="80.0"/>
        <n v="0.0"/>
        <n v="31.0"/>
        <n v="40.0"/>
        <n v="9.0"/>
        <n v="54.0"/>
        <n v="22.0"/>
        <n v="69.0"/>
        <n v="174.0"/>
        <n v="18.0"/>
        <n v="363.0"/>
        <n v="201.0"/>
        <n v="107.0"/>
        <n v="13.0"/>
        <n v="6.0"/>
        <n v="11.0"/>
        <n v="17.0"/>
        <n v="313.0"/>
        <n v="95.0"/>
        <n v="62.0"/>
        <n v="8.0"/>
        <n v="41.0"/>
        <n v="334.0"/>
        <n v="25.0"/>
        <n v="35.0"/>
        <n v="36.0"/>
        <n v="4.0"/>
        <n v="5.0"/>
        <n v="23.0"/>
        <n v="64.0"/>
        <n v="39.0"/>
        <n v="30.0"/>
        <n v="211.0"/>
        <n v="465.0"/>
        <n v="106.0"/>
        <n v="57.0"/>
        <n v="341.0"/>
        <n v="90.0"/>
        <n v="93.0"/>
        <n v="26.0"/>
        <n v="60.0"/>
        <n v="28.0"/>
        <n v="600.0"/>
        <n v="48.0"/>
        <n v="44.0"/>
        <n v="45.0"/>
        <n v="302.0"/>
        <n v="76.0"/>
        <n v="177.0"/>
        <n v="109.0"/>
        <n v="499.0"/>
        <n v="566.0"/>
        <n v="170.0"/>
        <n v="42.0"/>
        <n v="15.0"/>
        <n v="20.0"/>
        <n v="97.0"/>
        <n v="447.0"/>
        <n v="156.0"/>
        <n v="124.0"/>
        <n v="115.0"/>
        <n v="86.0"/>
        <n v="216.0"/>
        <n v="712.0"/>
        <n v="82.0"/>
        <n v="37.0"/>
        <n v="53.0"/>
        <n v="252.0"/>
        <n v="32.0"/>
        <n v="120.0"/>
        <n v="247.0"/>
        <n v="101.0"/>
        <n v="59.0"/>
        <n v="233.0"/>
        <n v="279.0"/>
        <n v="52.0"/>
        <n v="269.0"/>
        <n v="49.0"/>
        <n v="412.0"/>
        <n v="85.0"/>
        <n v="240.0"/>
        <n v="161.0"/>
        <n v="12.0"/>
        <n v="332.0"/>
        <n v="1024.0"/>
        <n v="127.0"/>
        <n v="123.0"/>
        <n v="561.0"/>
        <n v="548.0"/>
        <n v="83.0"/>
        <n v="102.0"/>
        <n v="67.0"/>
        <n v="239.0"/>
        <n v="244.0"/>
        <n v="487.0"/>
        <n v="63.0"/>
        <n v="238.0"/>
        <n v="141.0"/>
        <n v="214.0"/>
        <n v="74.0"/>
        <n v="208.0"/>
        <n v="1332.0"/>
        <n v="193.0"/>
        <n v="139.0"/>
        <n v="391.0"/>
        <n v="51.0"/>
        <n v="81.0"/>
        <n v="112.0"/>
        <n v="191.0"/>
        <n v="183.0"/>
        <n v="225.0"/>
        <n v="867.0"/>
        <n v="444.0"/>
        <n v="116.0"/>
        <n v="138.0"/>
        <n v="153.0"/>
        <n v="73.0"/>
        <n v="99.0"/>
        <n v="89.0"/>
        <n v="27.0"/>
        <n v="181.0"/>
        <n v="1545.0"/>
        <n v="226.0"/>
        <n v="110.0"/>
        <n v="433.0"/>
        <n v="166.0"/>
        <n v="210.0"/>
        <n v="850.0"/>
        <n v="131.0"/>
        <n v="342.0"/>
        <n v="75.0"/>
        <n v="77.0"/>
        <n v="70.0"/>
        <n v="1049.0"/>
        <n v="55.0"/>
        <n v="333.0"/>
        <n v="228.0"/>
        <n v="84.0"/>
        <n v="536.0"/>
        <n v="94.0"/>
        <n v="297.0"/>
        <n v="68.0"/>
        <n v="100.0"/>
        <n v="118.0"/>
        <n v="265.0"/>
        <n v="377.0"/>
        <n v="143.0"/>
        <n v="96.0"/>
        <n v="103.0"/>
        <n v="446.0"/>
        <n v="253.0"/>
        <n v="189.0"/>
        <n v="172.0"/>
        <n v="505.0"/>
        <n v="132.0"/>
        <n v="267.0"/>
        <n v="121.0"/>
        <n v="58.0"/>
        <n v="140.0"/>
        <n v="553.0"/>
        <n v="330.0"/>
        <n v="111.0"/>
        <n v="56.0"/>
        <n v="383.0"/>
        <n v="155.0"/>
        <n v="150.0"/>
        <n v="194.0"/>
        <n v="402.0"/>
        <n v="114.0"/>
        <n v="403.0"/>
        <n v="199.0"/>
        <n v="849.0"/>
        <n v="259.0"/>
        <n v="87.0"/>
        <n v="512.0"/>
        <n v="91.0"/>
        <n v="277.0"/>
        <n v="125.0"/>
        <n v="527.0"/>
        <n v="98.0"/>
        <n v="1082.0"/>
        <n v="237.0"/>
        <n v="133.0"/>
        <n v="387.0"/>
        <n v="173.0"/>
        <n v="209.0"/>
        <n v="65.0"/>
        <n v="326.0"/>
        <m/>
        <n v="303.0"/>
        <n v="113.0"/>
        <n v="92.0"/>
        <n v="624.0"/>
        <n v="104.0"/>
        <n v="117.0"/>
        <n v="186.0"/>
        <n v="273.0"/>
        <n v="72.0"/>
        <n v="264.0"/>
        <n v="327.0"/>
        <n v="145.0"/>
        <n v="538.0"/>
        <n v="459.0"/>
        <n v="105.0"/>
        <n v="200.0"/>
        <n v="329.0"/>
        <n v="1096.0"/>
        <n v="276.0"/>
        <n v="78.0"/>
        <n v="128.0"/>
        <n v="196.0"/>
        <n v="160.0"/>
        <n v="205.0"/>
        <n v="165.0"/>
        <n v="241.0"/>
        <n v="541.0"/>
        <n v="371.0"/>
      </sharedItems>
    </cacheField>
    <cacheField name="Total Transaction Amount" numFmtId="0">
      <sharedItems containsString="0" containsBlank="1" containsNumber="1">
        <n v="77.0"/>
        <n v="820.0"/>
        <n v="430.0"/>
        <n v="58.0"/>
        <n v="57.0"/>
        <n v="608.0"/>
        <n v="200.0"/>
        <n v="15.0"/>
        <n v="88.0"/>
        <n v="333.0"/>
        <n v="420.0"/>
        <n v="97.0"/>
        <n v="3.0"/>
        <n v="19.0"/>
        <n v="392.0"/>
        <n v="6.0"/>
        <n v="95.0"/>
        <n v="59.0"/>
        <n v="181.0"/>
        <n v="396.0"/>
        <n v="93.0"/>
        <n v="101.0"/>
        <n v="472.0"/>
        <n v="89.0"/>
        <n v="153.0"/>
        <n v="185.0"/>
        <n v="330.0"/>
        <n v="566.0"/>
        <n v="113.0"/>
        <n v="146.0"/>
        <n v="28.0"/>
        <n v="190.0"/>
        <n v="163.0"/>
        <n v="48.0"/>
        <n v="583.0"/>
        <n v="80.0"/>
        <n v="0.0"/>
        <n v="768.0"/>
        <n v="27.0"/>
        <n v="268.0"/>
        <n v="44.0"/>
        <n v="138.0"/>
        <n v="50.0"/>
        <n v="156.0"/>
        <n v="691.0"/>
        <n v="84.0"/>
        <n v="61.0"/>
        <n v="363.0"/>
        <n v="218.0"/>
        <n v="443.0"/>
        <n v="78.0"/>
        <n v="87.0"/>
        <n v="18.0"/>
        <n v="55.0"/>
        <n v="21.0"/>
        <n v="9.0"/>
        <n v="105.0"/>
        <n v="68.0"/>
        <n v="313.0"/>
        <n v="198.0"/>
        <n v="310.0"/>
        <n v="79.0"/>
        <n v="24.0"/>
        <n v="164.0"/>
        <n v="334.0"/>
        <n v="40.0"/>
        <n v="108.0"/>
        <n v="124.0"/>
        <n v="30.0"/>
        <n v="2.0"/>
        <n v="578.0"/>
        <n v="41.0"/>
        <n v="428.0"/>
        <n v="320.0"/>
        <n v="150.0"/>
        <n v="841.0"/>
        <n v="8.0"/>
        <n v="465.0"/>
        <n v="106.0"/>
        <n v="145.0"/>
        <n v="42.0"/>
        <n v="10.0"/>
        <n v="275.0"/>
        <n v="341.0"/>
        <n v="90.0"/>
        <n v="186.0"/>
        <n v="475.0"/>
        <n v="104.0"/>
        <n v="240.0"/>
        <n v="100.0"/>
        <n v="600.0"/>
        <n v="72.0"/>
        <n v="172.0"/>
        <n v="66.0"/>
        <n v="144.0"/>
        <n v="140.0"/>
        <n v="180.0"/>
        <n v="1203.0"/>
        <n v="96.0"/>
        <n v="195.0"/>
        <n v="20.0"/>
        <n v="152.0"/>
        <n v="708.0"/>
        <n v="176.0"/>
        <n v="165.0"/>
        <n v="208.0"/>
        <n v="511.0"/>
        <n v="212.0"/>
        <n v="110.0"/>
        <n v="2294.0"/>
        <n v="22.0"/>
        <n v="683.0"/>
        <n v="210.0"/>
        <n v="75.0"/>
        <n v="457.0"/>
        <n v="447.0"/>
        <n v="248.0"/>
        <n v="610.0"/>
        <n v="64.0"/>
        <n v="391.0"/>
        <n v="857.0"/>
        <n v="712.0"/>
        <n v="246.0"/>
        <n v="183.0"/>
        <n v="148.0"/>
        <n v="235.0"/>
        <n v="1227.0"/>
        <n v="481.0"/>
        <n v="219.0"/>
        <n v="263.0"/>
        <n v="115.0"/>
        <n v="988.0"/>
        <n v="417.0"/>
        <n v="56.0"/>
        <n v="120.0"/>
        <n v="1172.0"/>
        <n v="74.0"/>
        <n v="290.0"/>
        <n v="25.0"/>
        <n v="32.0"/>
        <n v="12.0"/>
        <n v="236.0"/>
        <n v="260.0"/>
        <n v="269.0"/>
        <n v="216.0"/>
        <n v="63.0"/>
        <n v="4.0"/>
        <n v="245.0"/>
        <n v="98.0"/>
        <n v="416.0"/>
        <n v="255.0"/>
        <n v="155.0"/>
        <n v="1200.0"/>
        <n v="33.0"/>
        <n v="230.0"/>
        <n v="644.0"/>
        <n v="1660.0"/>
        <n v="1024.0"/>
        <n v="635.0"/>
        <n v="149.0"/>
        <n v="1368.0"/>
        <n v="244.0"/>
        <n v="370.0"/>
        <n v="418.0"/>
        <n v="823.0"/>
        <n v="574.0"/>
        <n v="548.0"/>
        <n v="166.0"/>
        <n v="184.0"/>
        <n v="456.0"/>
        <n v="160.0"/>
        <n v="226.0"/>
        <n v="529.0"/>
        <n v="319.0"/>
        <n v="311.0"/>
        <n v="130.0"/>
        <n v="811.0"/>
        <n v="239.0"/>
        <n v="71.0"/>
        <n v="117.0"/>
        <n v="250.0"/>
        <n v="126.0"/>
        <n v="60.0"/>
        <n v="496.0"/>
        <n v="46.0"/>
        <n v="1190.0"/>
        <n v="168.0"/>
        <n v="204.0"/>
        <n v="581.0"/>
        <n v="36.0"/>
        <n v="201.0"/>
        <n v="214.0"/>
        <n v="254.0"/>
        <n v="296.0"/>
        <n v="34.0"/>
        <n v="45.0"/>
        <n v="26.0"/>
        <n v="52.0"/>
        <n v="1040.0"/>
        <n v="1332.0"/>
        <n v="111.0"/>
        <n v="972.0"/>
        <n v="131.0"/>
        <n v="92.0"/>
        <n v="14.0"/>
        <n v="515.0"/>
        <n v="492.0"/>
        <n v="265.0"/>
        <n v="369.0"/>
        <n v="528.0"/>
        <n v="167.0"/>
        <n v="135.0"/>
        <n v="129.0"/>
        <n v="385.0"/>
        <n v="143.0"/>
        <n v="35.0"/>
        <n v="16.0"/>
        <n v="215.0"/>
        <n v="955.0"/>
        <n v="193.0"/>
        <n v="102.0"/>
        <n v="83.0"/>
        <n v="49.0"/>
        <n v="62.0"/>
        <n v="326.0"/>
        <n v="142.0"/>
        <n v="243.0"/>
        <n v="867.0"/>
        <n v="54.0"/>
        <n v="47.0"/>
        <n v="1194.0"/>
        <n v="192.0"/>
        <n v="843.0"/>
        <n v="440.0"/>
        <n v="444.0"/>
        <n v="580.0"/>
        <n v="605.0"/>
        <n v="438.0"/>
        <n v="134.0"/>
        <n v="267.0"/>
        <n v="382.0"/>
        <n v="170.0"/>
        <n v="905.0"/>
        <n v="1545.0"/>
        <n v="266.0"/>
        <n v="1130.0"/>
        <n v="161.0"/>
        <n v="487.0"/>
        <n v="437.0"/>
        <n v="386.0"/>
        <n v="276.0"/>
        <n v="916.0"/>
        <n v="38.0"/>
        <n v="291.0"/>
        <n v="223.0"/>
        <n v="830.0"/>
        <n v="222.0"/>
        <n v="125.0"/>
        <n v="136.0"/>
        <n v="337.0"/>
        <n v="91.0"/>
        <n v="850.0"/>
        <n v="171.0"/>
        <n v="342.0"/>
        <n v="29.0"/>
        <n v="306.0"/>
        <n v="154.0"/>
        <n v="225.0"/>
        <n v="147.0"/>
        <n v="39.0"/>
        <n v="70.0"/>
        <n v="182.0"/>
        <n v="37.0"/>
        <n v="1061.0"/>
        <n v="870.0"/>
        <n v="478.0"/>
        <n v="671.0"/>
        <n v="73.0"/>
        <n v="65.0"/>
        <n v="252.0"/>
        <n v="159.0"/>
        <n v="81.0"/>
        <n v="23.0"/>
        <n v="188.0"/>
        <n v="554.0"/>
        <n v="535.0"/>
        <n v="114.0"/>
        <n v="470.0"/>
        <n v="297.0"/>
        <n v="174.0"/>
        <n v="450.0"/>
        <n v="249.0"/>
        <n v="205.0"/>
        <n v="107.0"/>
        <n v="261.0"/>
        <n v="589.0"/>
        <n v="873.0"/>
        <n v="1325.0"/>
        <n v="345.0"/>
        <n v="423.0"/>
        <n v="272.0"/>
        <n v="286.0"/>
        <n v="288.0"/>
        <n v="427.0"/>
        <n v="31.0"/>
        <n v="446.0"/>
        <n v="273.0"/>
        <n v="112.0"/>
        <n v="179.0"/>
        <n v="380.0"/>
        <n v="280.0"/>
        <n v="522.0"/>
        <n v="715.0"/>
        <n v="505.0"/>
        <n v="765.0"/>
        <n v="660.0"/>
        <n v="51.0"/>
        <n v="121.0"/>
        <n v="234.0"/>
        <n v="189.0"/>
        <n v="7.0"/>
        <n v="553.0"/>
        <n v="885.0"/>
        <n v="400.0"/>
        <n v="344.0"/>
        <n v="122.0"/>
        <n v="123.0"/>
        <n v="285.0"/>
        <n v="398.0"/>
        <n v="141.0"/>
        <n v="460.0"/>
        <n v="162.0"/>
        <n v="364.0"/>
        <n v="493.0"/>
        <n v="128.0"/>
        <n v="85.0"/>
        <n v="69.0"/>
        <n v="194.0"/>
        <n v="173.0"/>
        <n v="133.0"/>
        <n v="402.0"/>
        <n v="570.0"/>
        <n v="403.0"/>
        <n v="615.0"/>
        <n v="237.0"/>
        <n v="196.0"/>
        <n v="103.0"/>
        <n v="67.0"/>
        <n v="82.0"/>
        <n v="1007.0"/>
        <n v="849.0"/>
        <n v="1295.0"/>
        <n v="435.0"/>
        <n v="512.0"/>
        <n v="247.0"/>
        <n v="300.0"/>
        <n v="270.0"/>
        <n v="132.0"/>
        <n v="710.0"/>
        <n v="277.0"/>
        <n v="302.0"/>
        <n v="191.0"/>
        <n v="1010.0"/>
        <n v="366.0"/>
        <n v="305.0"/>
        <n v="527.0"/>
        <n v="490.0"/>
        <n v="99.0"/>
        <n v="365.0"/>
        <n v="127.0"/>
        <n v="323.0"/>
        <n v="339.0"/>
        <n v="5.0"/>
        <n v="119.0"/>
        <n v="1.0"/>
        <n v="175.0"/>
        <n v="350.0"/>
        <n v="1082.0"/>
        <n v="256.0"/>
        <n v="575.0"/>
        <n v="476.0"/>
        <n v="399.0"/>
        <n v="531.0"/>
        <n v="213.0"/>
        <n v="620.0"/>
        <n v="17.0"/>
        <n v="387.0"/>
        <n v="224.0"/>
        <n v="404.0"/>
        <n v="109.0"/>
        <n v="11.0"/>
        <n v="1038.0"/>
        <n v="86.0"/>
        <n v="209.0"/>
        <n v="203.0"/>
        <n v="92.5"/>
        <n v="11.75"/>
        <n v="52.5"/>
        <n v="75.5"/>
        <n v="315.0"/>
        <n v="71.5"/>
        <n v="38.5"/>
        <n v="42.25"/>
        <n v="31.5"/>
        <n v="67.5"/>
        <n v="524.0"/>
        <n v="158.0"/>
        <n v="347.0"/>
        <m/>
        <n v="303.0"/>
        <n v="354.0"/>
        <n v="76.0"/>
        <n v="545.0"/>
        <n v="624.0"/>
        <n v="520.0"/>
        <n v="207.0"/>
        <n v="351.0"/>
        <n v="425.0"/>
        <n v="940.0"/>
        <n v="565.0"/>
        <n v="585.0"/>
        <n v="637.0"/>
        <n v="678.0"/>
        <n v="371.0"/>
        <n v="231.0"/>
        <n v="94.0"/>
        <n v="301.0"/>
        <n v="138.5"/>
        <n v="294.5"/>
        <n v="104.5"/>
        <n v="42.5"/>
        <n v="258.0"/>
        <n v="295.0"/>
        <n v="34.5"/>
        <n v="21.5"/>
        <n v="16.5"/>
        <n v="538.0"/>
        <n v="25.5"/>
        <n v="157.0"/>
        <n v="360.0"/>
        <n v="264.0"/>
        <n v="294.0"/>
        <n v="613.0"/>
        <n v="486.0"/>
        <n v="292.0"/>
        <n v="591.0"/>
        <n v="514.0"/>
        <n v="329.0"/>
        <n v="186.5"/>
        <n v="98.5"/>
        <n v="87.5"/>
        <n v="12.5"/>
        <n v="53.0"/>
        <n v="18.5"/>
        <n v="51.5"/>
        <n v="1380.0"/>
        <n v="1096.0"/>
        <n v="451.0"/>
        <n v="81.5"/>
        <n v="588.0"/>
        <n v="363.5"/>
        <n v="975.0"/>
        <n v="1720.0"/>
        <n v="827.0"/>
        <n v="228.0"/>
        <n v="429.0"/>
        <n v="832.0"/>
        <n v="206.0"/>
        <n v="1235.0"/>
        <n v="375.0"/>
        <n v="541.0"/>
        <n v="1902.0"/>
        <n v="287.0"/>
        <n v="484.0"/>
        <n v="865.0"/>
      </sharedItems>
    </cacheField>
    <cacheField name="Cost Price" numFmtId="0">
      <sharedItems containsString="0" containsBlank="1" containsNumber="1">
        <n v="0.0"/>
        <n v="2.8"/>
        <n v="0.3"/>
        <n v="6.2"/>
        <n v="4.75"/>
        <n v="2.0"/>
        <n v="3.08"/>
        <n v="3.45"/>
        <n v="1.83"/>
        <n v="5.83"/>
        <n v="3.5"/>
        <n v="0.6"/>
        <n v="0.7"/>
        <n v="5.8"/>
        <n v="1.54"/>
        <n v="0.92"/>
        <n v="7.0"/>
        <n v="12.0"/>
        <n v="1.33"/>
        <n v="3.79"/>
        <n v="2.2"/>
        <n v="2.92"/>
        <n v="3.41"/>
        <n v="3.75"/>
        <n v="3.28"/>
        <n v="4.5"/>
        <n v="2.25"/>
        <n v="3.6"/>
        <n v="8.25"/>
        <n v="3.0"/>
        <n v="0.63"/>
        <n v="5.18"/>
        <n v="3.63"/>
        <n v="3.25"/>
        <n v="2.4"/>
        <n v="2.96"/>
        <n v="2.33"/>
        <n v="4.13"/>
        <n v="2.05"/>
        <n v="1.0"/>
        <n v="1.75"/>
        <n v="2.62"/>
        <n v="4.7"/>
        <n v="0.91"/>
        <n v="2.08"/>
        <n v="2.44"/>
        <n v="2.83"/>
        <n v="1.6"/>
        <n v="2.17"/>
        <n v="8.5"/>
        <n v="6.0"/>
        <n v="2.6"/>
        <n v="2.91"/>
        <n v="8.83"/>
        <n v="14.16"/>
        <n v="5.0"/>
        <n v="9.0"/>
        <n v="4.58"/>
        <n v="9.58"/>
        <n v="1.36"/>
        <n v="4.79"/>
        <n v="1.8"/>
        <n v="4.4"/>
        <n v="0.95"/>
        <n v="1.87"/>
        <n v="1.3"/>
        <n v="2.66"/>
        <n v="3.8"/>
        <n v="5.2"/>
        <n v="3.13"/>
        <n v="2.77"/>
        <n v="0.47"/>
        <n v="3.17"/>
        <n v="0.68"/>
        <n v="2.18"/>
        <n v="24.17"/>
        <n v="8.0"/>
        <n v="1.37"/>
        <n v="3.16"/>
        <n v="2.67"/>
        <n v="0.45"/>
        <n v="2.35"/>
        <n v="5.96"/>
        <n v="0.43"/>
        <n v="1.58"/>
        <n v="0.87"/>
        <n v="1.41"/>
        <n v="3.33"/>
        <n v="1.95"/>
        <m/>
        <n v="2.93"/>
        <n v="0.28"/>
        <n v="7.5"/>
        <n v="4.29"/>
        <n v="1.79"/>
        <n v="5.5"/>
        <n v="2.29"/>
        <n v="2.04"/>
        <n v="4.08"/>
        <n v="7.2"/>
        <n v="15.0"/>
        <n v="3.62"/>
        <n v="1.08"/>
        <n v="3.66"/>
        <n v="1.12"/>
        <n v="1.91"/>
        <n v="0.4"/>
      </sharedItems>
    </cacheField>
    <cacheField name="Cost Amount" numFmtId="0">
      <sharedItems containsString="0" containsBlank="1" containsNumber="1">
        <n v="0.0"/>
        <n v="929.6"/>
        <n v="307.2"/>
        <n v="787.4"/>
        <n v="99.75"/>
        <n v="92.0"/>
        <n v="828.52"/>
        <n v="133.0"/>
        <n v="120.75"/>
        <n v="225.09"/>
        <n v="513.04"/>
        <n v="703.5"/>
        <n v="336.6"/>
        <n v="383.6"/>
        <n v="243.6"/>
        <n v="127.82"/>
        <n v="42.32"/>
        <n v="266.0"/>
        <n v="96.0"/>
        <n v="135.66"/>
        <n v="413.11"/>
        <n v="253.0"/>
        <n v="195.64"/>
        <n v="129.58"/>
        <n v="117.6"/>
        <n v="64.2"/>
        <n v="161.2"/>
        <n v="30.0"/>
        <n v="154.0"/>
        <n v="259.0"/>
        <n v="24.0"/>
        <n v="359.6"/>
        <n v="23.1"/>
        <n v="39.9"/>
        <n v="26.4"/>
        <n v="78.43"/>
        <n v="31.5"/>
        <n v="37.5"/>
        <n v="6.56"/>
        <n v="49.5"/>
        <n v="56.25"/>
        <n v="21.6"/>
        <n v="57.75"/>
        <n v="22.0"/>
        <n v="34.58"/>
        <n v="18.0"/>
        <n v="38.0"/>
        <n v="16.38"/>
        <n v="82.88"/>
        <n v="47.19"/>
        <n v="32.5"/>
        <n v="582.4"/>
        <n v="399.6"/>
        <n v="576.6"/>
        <n v="123.5"/>
        <n v="70.0"/>
        <n v="594.44"/>
        <n v="66.5"/>
        <n v="69.0"/>
        <n v="76.86"/>
        <n v="11.66"/>
        <n v="486.5"/>
        <n v="234.6"/>
        <n v="48.3"/>
        <n v="295.8"/>
        <n v="261.8"/>
        <n v="11.96"/>
        <n v="308.0"/>
        <n v="168.0"/>
        <n v="107.73"/>
        <n v="227.4"/>
        <n v="94.6"/>
        <n v="327.04"/>
        <n v="122.76"/>
        <n v="60.0"/>
        <n v="24.5"/>
        <n v="33.75"/>
        <n v="13.12"/>
        <n v="94.5"/>
        <n v="9.0"/>
        <n v="246.4"/>
        <n v="133.2"/>
        <n v="297.6"/>
        <n v="56.0"/>
        <n v="357.28"/>
        <n v="483.0"/>
        <n v="91.8"/>
        <n v="423.4"/>
        <n v="20.02"/>
        <n v="131.67"/>
        <n v="105.6"/>
        <n v="112.53"/>
        <n v="126.0"/>
        <n v="86.25"/>
        <n v="45.92"/>
        <n v="144.0"/>
        <n v="200.25"/>
        <n v="122.4"/>
        <n v="46.55"/>
        <n v="15.0"/>
        <n v="40.0"/>
        <n v="40.32"/>
        <n v="315.98"/>
        <n v="58.08"/>
        <n v="110.5"/>
        <n v="26.64"/>
        <n v="23.3"/>
        <n v="86.73"/>
        <n v="12.3"/>
        <n v="81.0"/>
        <n v="4.0"/>
        <n v="506.8"/>
        <n v="463.5"/>
        <n v="316.2"/>
        <n v="78.0"/>
        <n v="696.08"/>
        <n v="55.2"/>
        <n v="134.09"/>
        <n v="385.0"/>
        <n v="259.8"/>
        <n v="135.1"/>
        <n v="104.4"/>
        <n v="297.22"/>
        <n v="21.16"/>
        <n v="161.0"/>
        <n v="48.0"/>
        <n v="168.91"/>
        <n v="96.8"/>
        <n v="659.92"/>
        <n v="105.71"/>
        <n v="22.96"/>
        <n v="103.5"/>
        <n v="218.25"/>
        <n v="39.0"/>
        <n v="11.84"/>
        <n v="59.5"/>
        <n v="95.2"/>
        <n v="102.6"/>
        <n v="111.6"/>
        <n v="292.6"/>
        <n v="231.0"/>
        <n v="45.0"/>
        <n v="102.41"/>
        <n v="55.0"/>
        <n v="64.79"/>
        <n v="202.5"/>
        <n v="75.6"/>
        <n v="98.0"/>
        <n v="14.63"/>
        <n v="26.0"/>
        <n v="44.1"/>
        <n v="134.68"/>
        <n v="83.49"/>
        <n v="100.75"/>
        <n v="5.92"/>
        <n v="107.18"/>
        <n v="140.42"/>
        <n v="5.24"/>
        <n v="22.5"/>
        <n v="19.5"/>
        <n v="28.2"/>
        <n v="336.0"/>
        <n v="314.7"/>
        <n v="192.2"/>
        <n v="2.0"/>
        <n v="535.92"/>
        <n v="23.79"/>
        <n v="104.94"/>
        <n v="192.5"/>
        <n v="199.8"/>
        <n v="368.06"/>
        <n v="14.0"/>
        <n v="143.64"/>
        <n v="85.8"/>
        <n v="665.76"/>
        <n v="51.15"/>
        <n v="45.5"/>
        <n v="58.5"/>
        <n v="189.0"/>
        <n v="28.8"/>
        <n v="25.41"/>
        <n v="67.57"/>
        <n v="92.75"/>
        <n v="60.75"/>
        <n v="6.9"/>
        <n v="23.75"/>
        <n v="10.0"/>
        <n v="24.64"/>
        <n v="1.83"/>
        <n v="4.8"/>
        <n v="2.8"/>
        <n v="4.62"/>
        <n v="7.0"/>
        <n v="1.33"/>
        <n v="3.79"/>
        <n v="5.84"/>
        <n v="0.91"/>
        <n v="4.16"/>
        <n v="89.1"/>
        <n v="186.0"/>
        <n v="12.0"/>
        <n v="391.16"/>
        <n v="40.8"/>
        <n v="464.0"/>
        <n v="3.08"/>
        <n v="117.04"/>
        <n v="220.0"/>
        <n v="34.1"/>
        <n v="193.5"/>
        <n v="180.0"/>
        <n v="151.2"/>
        <n v="114.0"/>
        <n v="7.98"/>
        <n v="20.0"/>
        <n v="68.67"/>
        <n v="91.0"/>
        <n v="76.89"/>
        <n v="214.76"/>
        <n v="36.6"/>
        <n v="6.75"/>
        <n v="36.0"/>
        <n v="3.25"/>
        <n v="18.8"/>
        <n v="72.8"/>
        <n v="28.3"/>
        <n v="33.6"/>
        <n v="19.53"/>
        <n v="34.0"/>
        <n v="330.4"/>
        <n v="260.1"/>
        <n v="816.2"/>
        <n v="43.92"/>
        <n v="241.5"/>
        <n v="226.2"/>
        <n v="203.0"/>
        <n v="190.96"/>
        <n v="190.19"/>
        <n v="211.2"/>
        <n v="300.76"/>
        <n v="23.87"/>
        <n v="35.0"/>
        <n v="153.0"/>
        <n v="164.25"/>
        <n v="79.22"/>
        <n v="63.55"/>
        <n v="42.0"/>
        <n v="5.25"/>
        <n v="65.25"/>
        <n v="90.0"/>
        <n v="81.12"/>
        <n v="26.04"/>
        <n v="17.5"/>
        <n v="2.6"/>
        <n v="133.8"/>
        <n v="6.16"/>
        <n v="151.8"/>
        <n v="9.24"/>
        <n v="134.0"/>
        <n v="25.9"/>
        <n v="57.82"/>
        <n v="23.28"/>
        <n v="220.75"/>
        <n v="171.99"/>
        <n v="49.0"/>
        <n v="297.36"/>
        <n v="200.0"/>
        <n v="62.4"/>
        <n v="156.52"/>
        <n v="72.0"/>
        <n v="18.32"/>
        <n v="28.74"/>
        <n v="27.2"/>
        <n v="46.64"/>
        <n v="28.0"/>
        <n v="67.06"/>
        <n v="1.8"/>
        <n v="13.2"/>
        <n v="8.55"/>
        <n v="80.1"/>
        <n v="117.8"/>
        <n v="217.0"/>
        <n v="72.6"/>
        <n v="1.54"/>
        <n v="154.28"/>
        <n v="127.6"/>
        <n v="128.25"/>
        <n v="104.0"/>
        <n v="19.95"/>
        <n v="88.2"/>
        <n v="77.7"/>
        <n v="48.75"/>
        <n v="41.44"/>
        <n v="25.63"/>
        <n v="161.07"/>
        <n v="26.65"/>
        <n v="123.0"/>
        <n v="54.0"/>
        <n v="89.44"/>
        <n v="33.96"/>
        <n v="49.6"/>
        <n v="4.34"/>
        <n v="17.49"/>
        <n v="51.0"/>
        <n v="132.0"/>
        <n v="92.4"/>
        <n v="165.9"/>
        <n v="130.2"/>
        <n v="545.16"/>
        <n v="280.0"/>
        <n v="198.0"/>
        <n v="147.63"/>
        <n v="114.4"/>
        <n v="55.48"/>
        <n v="112.5"/>
        <n v="137.25"/>
        <n v="112.0"/>
        <n v="23.68"/>
        <n v="49.2"/>
        <n v="29.25"/>
        <n v="92.25"/>
        <n v="17.6"/>
        <n v="34.72"/>
        <n v="5.83"/>
        <n v="21.0"/>
        <n v="246.0"/>
        <n v="111.8"/>
        <n v="114.9"/>
        <n v="148.2"/>
        <n v="5.18"/>
        <n v="74.75"/>
        <n v="41.3"/>
        <n v="32.01"/>
        <n v="35.32"/>
        <n v="141.05"/>
        <n v="70.8"/>
        <n v="25.0"/>
        <n v="49.92"/>
        <n v="136.5"/>
        <n v="91.6"/>
        <n v="19.16"/>
        <n v="10.88"/>
        <n v="17.36"/>
        <n v="81.62"/>
        <n v="249.08"/>
        <n v="10.8"/>
        <n v="12.6"/>
        <n v="57.95"/>
        <n v="207.2"/>
        <n v="120.9"/>
        <n v="55.8"/>
        <n v="378.84"/>
        <n v="301.0"/>
        <n v="406.0"/>
        <n v="264.67"/>
        <n v="173.8"/>
        <n v="38.5"/>
        <n v="171.0"/>
        <n v="3.6"/>
        <n v="38.57"/>
        <n v="64.89"/>
        <n v="15.54"/>
        <n v="97.5"/>
        <n v="61.95"/>
        <n v="120.0"/>
        <n v="124.8"/>
        <n v="56.6"/>
        <n v="22.4"/>
        <n v="43.4"/>
        <n v="76.5"/>
        <n v="70.2"/>
        <n v="562.8"/>
        <n v="254.7"/>
        <n v="99.2"/>
        <n v="797.72"/>
        <n v="304.5"/>
        <n v="208.8"/>
        <n v="256.69"/>
        <n v="200.2"/>
        <n v="225.0"/>
        <n v="100.0"/>
        <n v="17.76"/>
        <n v="69.7"/>
        <n v="157.5"/>
        <n v="99.0"/>
        <n v="110.25"/>
        <n v="59.8"/>
        <n v="343.1"/>
        <n v="83.1"/>
        <n v="221.54"/>
        <n v="114.6"/>
        <n v="68.0"/>
        <n v="23.94"/>
        <n v="6.0"/>
        <n v="55.25"/>
        <n v="24.78"/>
        <n v="47.25"/>
        <n v="29.1"/>
        <n v="8.83"/>
        <n v="30.03"/>
        <n v="28.32"/>
        <n v="90.09"/>
        <n v="4.58"/>
        <n v="9.58"/>
        <n v="9.52"/>
        <n v="23.32"/>
        <n v="105.38"/>
        <n v="5.4"/>
        <n v="25.65"/>
        <n v="474.7"/>
        <n v="14.96"/>
        <n v="6.51"/>
        <n v="47.88"/>
        <n v="21.28"/>
        <n v="100.2"/>
        <n v="80.6"/>
        <n v="273.75"/>
        <n v="76.2"/>
        <n v="255.2"/>
        <n v="164.92"/>
        <n v="261.0"/>
        <n v="76.0"/>
        <n v="119.25"/>
        <n v="135.2"/>
        <n v="74.0"/>
        <n v="46.95"/>
        <n v="14.49"/>
        <n v="70.21"/>
        <n v="3.0"/>
        <n v="155.12"/>
        <n v="74.88"/>
        <n v="1.6"/>
        <n v="71.06"/>
        <n v="0.47"/>
        <n v="129.5"/>
        <n v="63.84"/>
        <n v="10.5"/>
        <n v="41.21"/>
        <n v="42.75"/>
        <n v="57.48"/>
        <n v="14.28"/>
        <n v="13.08"/>
        <n v="15.26"/>
        <n v="34.2"/>
        <n v="93.1"/>
        <n v="180.88"/>
        <n v="324.6"/>
        <n v="80.0"/>
        <n v="80.5"/>
        <n v="164.5"/>
        <n v="186.56"/>
        <n v="431.25"/>
        <n v="142.2"/>
        <n v="14.7"/>
        <n v="133.4"/>
        <n v="112.42"/>
        <n v="314.21"/>
        <n v="316.54"/>
        <n v="299.25"/>
        <n v="229.5"/>
        <n v="10.4"/>
        <n v="160.0"/>
        <n v="30.29"/>
        <n v="309.75"/>
        <n v="193.9"/>
        <n v="51.75"/>
        <n v="159.75"/>
        <n v="137.28"/>
        <n v="9.6"/>
        <n v="3.5"/>
        <n v="31.35"/>
        <n v="291.4"/>
        <n v="147.0"/>
        <n v="52.5"/>
        <n v="73.5"/>
        <n v="441.56"/>
        <n v="115.5"/>
        <n v="22.19"/>
        <n v="74.25"/>
        <n v="88.0"/>
        <n v="8.16"/>
        <n v="61.04"/>
        <n v="21.8"/>
        <n v="30.14"/>
        <n v="148.52"/>
        <n v="16.02"/>
        <n v="7.2"/>
        <n v="7.65"/>
        <n v="7.05"/>
        <n v="116.1"/>
        <n v="151.58"/>
        <n v="35.76"/>
        <n v="227.25"/>
        <n v="58.0"/>
        <n v="50.08"/>
        <n v="88.06"/>
        <n v="13.0"/>
        <n v="12.39"/>
        <n v="17.46"/>
        <n v="17.66"/>
        <n v="14.16"/>
        <n v="37.44"/>
        <n v="88.27"/>
        <n v="29.15"/>
        <n v="33.53"/>
        <n v="43.2"/>
        <n v="7.6"/>
        <n v="89.3"/>
        <n v="7.48"/>
        <n v="97.65"/>
        <n v="422.12"/>
        <n v="96.25"/>
        <n v="5.16"/>
        <n v="63.2"/>
        <n v="4.35"/>
        <n v="95.8"/>
        <n v="33.3"/>
        <n v="29.24"/>
        <n v="6.2"/>
        <n v="25.35"/>
        <n v="62.7"/>
        <n v="217.5"/>
        <n v="156.6"/>
        <n v="49.21"/>
        <n v="6.82"/>
        <n v="15.6"/>
        <n v="32.0"/>
        <n v="31.3"/>
        <n v="8.0"/>
        <n v="36.26"/>
        <n v="36.3"/>
        <n v="174.51"/>
        <n v="24.75"/>
        <n v="43.68"/>
        <n v="16.0"/>
        <n v="1.75"/>
        <n v="9.35"/>
        <n v="37.24"/>
        <n v="43.11"/>
        <n v="29.61"/>
        <n v="4.5"/>
        <m/>
        <n v="99.62"/>
        <n v="84.84"/>
        <n v="10.35"/>
        <n v="240.24"/>
        <n v="121.72"/>
        <n v="3.41"/>
        <n v="77.0"/>
        <n v="46.8"/>
        <n v="110.0"/>
        <n v="43.51"/>
        <n v="9.16"/>
        <n v="68.86"/>
        <n v="38.4"/>
        <n v="18.27"/>
        <n v="51.8"/>
        <n v="82.6"/>
        <n v="327.0"/>
        <n v="84.73"/>
        <n v="5.66"/>
        <n v="52.74"/>
        <n v="41.02"/>
        <n v="15.85"/>
        <n v="158.07"/>
        <n v="76.84"/>
        <n v="50.4"/>
        <n v="95.0"/>
        <n v="26.25"/>
        <n v="8.79"/>
        <n v="269.56"/>
        <n v="174.72"/>
        <n v="37.95"/>
        <n v="110.77"/>
        <n v="446.16"/>
        <n v="105.0"/>
        <n v="106.26"/>
        <n v="68.02"/>
        <n v="150.75"/>
        <n v="52.0"/>
        <n v="168.75"/>
        <n v="60.5"/>
        <n v="158.01"/>
        <n v="10.25"/>
        <n v="238.68"/>
        <n v="255.0"/>
        <n v="100.76"/>
        <n v="282.0"/>
        <n v="331.09"/>
        <n v="152.36"/>
        <n v="2.44"/>
        <n v="20.4"/>
        <n v="4.36"/>
        <n v="101.25"/>
        <n v="23.29"/>
        <n v="477.36"/>
        <n v="2.67"/>
        <n v="83.7"/>
        <n v="9.4"/>
        <n v="21.48"/>
        <n v="11.72"/>
        <n v="266.63"/>
        <n v="76.44"/>
        <n v="59.07"/>
        <n v="162.0"/>
        <n v="27.48"/>
        <n v="6.26"/>
        <n v="10.36"/>
        <n v="339.0"/>
        <n v="42.48"/>
        <n v="65.52"/>
        <n v="75.0"/>
        <n v="155.29"/>
        <n v="96.69"/>
        <n v="64.75"/>
        <n v="6.88"/>
        <n v="6.09"/>
        <n v="31.96"/>
        <n v="5.85"/>
        <n v="150.5"/>
        <n v="3.8"/>
        <n v="1.35"/>
        <n v="93.76"/>
        <n v="73.92"/>
        <n v="127.5"/>
        <n v="17.25"/>
        <n v="150.15"/>
        <n v="252.0"/>
        <n v="18.48"/>
        <n v="69.81"/>
        <n v="139.5"/>
        <n v="41.6"/>
        <n v="6.87"/>
        <n v="57.25"/>
        <n v="65.73"/>
        <n v="31.08"/>
        <n v="59.54"/>
        <n v="16.83"/>
        <n v="43.95"/>
        <n v="25.36"/>
        <n v="78.75"/>
        <n v="62.27"/>
        <n v="21.15"/>
        <n v="72.08"/>
        <n v="40.5"/>
        <n v="16.45"/>
        <n v="13.5"/>
        <n v="134.78"/>
        <n v="91.56"/>
        <n v="13.8"/>
        <n v="291.72"/>
        <n v="19.69"/>
        <n v="17.88"/>
        <n v="10.23"/>
        <n v="27.0"/>
        <n v="130.53"/>
        <n v="9.39"/>
        <n v="46.62"/>
        <n v="36.72"/>
        <n v="435.0"/>
        <n v="183.2"/>
        <n v="90.83"/>
        <n v="12.68"/>
        <n v="54.8"/>
        <n v="314.16"/>
        <n v="7.24"/>
        <n v="54.25"/>
        <n v="22.9"/>
        <n v="85.5"/>
        <n v="143.57"/>
        <n v="150.64"/>
        <n v="65.55"/>
        <n v="390.39"/>
        <n v="26.85"/>
        <n v="27.5"/>
        <n v="20.8"/>
        <n v="130.5"/>
        <n v="66.41"/>
        <n v="75.48"/>
        <n v="216.0"/>
        <n v="38.93"/>
        <n v="57.0"/>
        <n v="363.32"/>
        <n v="14.65"/>
        <n v="23.12"/>
        <n v="199.92"/>
        <n v="40.95"/>
        <n v="14.48"/>
        <n v="22.75"/>
        <n v="11.48"/>
        <n v="8.95"/>
        <n v="3.2"/>
        <n v="9.1"/>
        <n v="84.97"/>
        <n v="34.16"/>
        <n v="2.82"/>
        <n v="8.75"/>
        <n v="234.4"/>
        <n v="83.16"/>
        <n v="330.33"/>
        <n v="93.08"/>
        <n v="13.64"/>
        <n v="269.5"/>
        <n v="48.09"/>
        <n v="84.51"/>
        <n v="12.8"/>
        <n v="45.43"/>
        <n v="192.0"/>
        <n v="70.99"/>
        <n v="2.93"/>
        <n v="3.17"/>
        <n v="97.92"/>
        <n v="87.75"/>
        <n v="79.2"/>
        <n v="12.96"/>
        <n v="29.16"/>
        <n v="21.96"/>
        <n v="17.92"/>
        <n v="334.02"/>
        <n v="128.52"/>
        <n v="20.7"/>
        <n v="52.47"/>
        <n v="566.28"/>
        <n v="187.95"/>
        <n v="119.08"/>
        <n v="83.64"/>
        <n v="330.0"/>
        <n v="67.5"/>
        <n v="25.19"/>
        <n v="79.11"/>
        <n v="120.13"/>
        <n v="284.21"/>
        <n v="61.0"/>
        <n v="118.32"/>
        <n v="86.4"/>
        <n v="49.81"/>
        <n v="69.12"/>
        <n v="52.92"/>
        <n v="44.28"/>
        <n v="28.65"/>
        <n v="142.74"/>
        <n v="4.48"/>
        <n v="92.12"/>
        <n v="261.69"/>
        <n v="182.0"/>
        <n v="15.75"/>
        <n v="62.65"/>
        <n v="117.0"/>
        <n v="33.0"/>
        <n v="34.35"/>
        <n v="59.47"/>
        <n v="67.34"/>
        <n v="1.87"/>
        <n v="35.16"/>
        <n v="114.27"/>
        <n v="44.38"/>
        <n v="23.95"/>
        <n v="79.56"/>
        <n v="32.4"/>
        <n v="29.75"/>
        <n v="51.84"/>
        <n v="15.12"/>
        <n v="10.98"/>
        <n v="14.56"/>
        <n v="38.09"/>
        <n v="14.84"/>
        <n v="1.79"/>
        <n v="14.4"/>
        <n v="16.5"/>
        <n v="15.65"/>
        <n v="6.12"/>
        <n v="66.0"/>
        <n v="29.77"/>
        <n v="26.37"/>
        <n v="6.85"/>
        <n v="28.56"/>
        <n v="2.35"/>
        <n v="20.51"/>
        <n v="3.24"/>
        <n v="2.16"/>
        <n v="18.3"/>
        <n v="6.72"/>
        <n v="782.31"/>
        <n v="306.88"/>
        <n v="1184.04"/>
        <n v="139.62"/>
        <n v="288.0"/>
        <n v="93.5"/>
        <n v="441.0"/>
        <n v="5.5"/>
        <n v="238.16"/>
        <n v="250.92"/>
        <n v="567.0"/>
        <n v="109.92"/>
        <n v="30.94"/>
        <n v="516.0"/>
        <n v="468.8"/>
        <n v="132.75"/>
        <n v="342.72"/>
        <n v="63.0"/>
        <n v="64.46"/>
        <n v="181.66"/>
        <n v="89.64"/>
        <n v="74.52"/>
        <n v="68.76"/>
        <n v="603.9"/>
        <n v="32.23"/>
        <n v="123.06"/>
        <n v="110.88"/>
        <n v="8.68"/>
        <n v="20.25"/>
        <n v="2.29"/>
        <n v="8.26"/>
        <n v="6.37"/>
        <n v="16.2"/>
        <n v="55.67"/>
        <n v="2.25"/>
        <n v="17.08"/>
        <n v="3.15"/>
      </sharedItems>
    </cacheField>
    <cacheField name="Profits" numFmtId="0">
      <sharedItems containsString="0" containsBlank="1" containsNumber="1">
        <n v="77.0"/>
        <n v="820.0"/>
        <n v="430.0"/>
        <n v="58.0"/>
        <n v="57.0"/>
        <n v="608.0"/>
        <n v="200.0"/>
        <n v="15.0"/>
        <n v="88.0"/>
        <n v="333.0"/>
        <n v="420.0"/>
        <n v="97.0"/>
        <n v="3.0"/>
        <n v="19.0"/>
        <n v="392.0"/>
        <n v="6.0"/>
        <n v="95.0"/>
        <n v="59.0"/>
        <n v="181.0"/>
        <n v="396.0"/>
        <n v="93.0"/>
        <n v="101.0"/>
        <n v="472.0"/>
        <n v="89.0"/>
        <n v="153.0"/>
        <n v="185.0"/>
        <n v="330.0"/>
        <n v="566.0"/>
        <n v="113.0"/>
        <n v="146.0"/>
        <n v="28.0"/>
        <n v="190.0"/>
        <n v="163.0"/>
        <n v="48.0"/>
        <n v="583.0"/>
        <n v="80.0"/>
        <n v="0.0"/>
        <n v="768.0"/>
        <n v="27.0"/>
        <n v="268.0"/>
        <n v="44.0"/>
        <n v="138.0"/>
        <n v="50.0"/>
        <n v="156.0"/>
        <n v="691.0"/>
        <n v="84.0"/>
        <n v="61.0"/>
        <n v="363.0"/>
        <n v="218.0"/>
        <n v="443.0"/>
        <n v="78.0"/>
        <n v="87.0"/>
        <n v="18.0"/>
        <n v="55.0"/>
        <n v="21.0"/>
        <n v="9.0"/>
        <n v="105.0"/>
        <n v="68.0"/>
        <n v="313.0"/>
        <n v="198.0"/>
        <n v="310.0"/>
        <n v="79.0"/>
        <n v="24.0"/>
        <n v="164.0"/>
        <n v="334.0"/>
        <n v="40.0"/>
        <n v="108.0"/>
        <n v="124.0"/>
        <n v="30.0"/>
        <n v="2.0"/>
        <n v="578.0"/>
        <n v="41.0"/>
        <n v="428.0"/>
        <n v="320.0"/>
        <n v="150.0"/>
        <n v="841.0"/>
        <n v="8.0"/>
        <n v="465.0"/>
        <n v="106.0"/>
        <n v="145.0"/>
        <n v="42.0"/>
        <n v="10.0"/>
        <n v="275.0"/>
        <n v="341.0"/>
        <n v="90.0"/>
        <n v="186.0"/>
        <n v="475.0"/>
        <n v="104.0"/>
        <n v="240.0"/>
        <n v="100.0"/>
        <n v="600.0"/>
        <n v="72.0"/>
        <n v="172.0"/>
        <n v="66.0"/>
        <n v="144.0"/>
        <n v="140.0"/>
        <n v="180.0"/>
        <n v="1203.0"/>
        <n v="96.0"/>
        <n v="195.0"/>
        <n v="20.0"/>
        <n v="152.0"/>
        <n v="708.0"/>
        <n v="176.0"/>
        <n v="165.0"/>
        <n v="208.0"/>
        <n v="511.0"/>
        <n v="212.0"/>
        <n v="110.0"/>
        <n v="2294.0"/>
        <n v="22.0"/>
        <n v="683.0"/>
        <n v="210.0"/>
        <n v="75.0"/>
        <n v="457.0"/>
        <n v="447.0"/>
        <n v="248.0"/>
        <n v="610.0"/>
        <n v="64.0"/>
        <n v="391.0"/>
        <n v="857.0"/>
        <n v="712.0"/>
        <n v="246.0"/>
        <n v="183.0"/>
        <n v="148.0"/>
        <n v="235.0"/>
        <n v="1227.0"/>
        <n v="481.0"/>
        <n v="219.0"/>
        <n v="263.0"/>
        <n v="115.0"/>
        <n v="988.0"/>
        <n v="417.0"/>
        <n v="56.0"/>
        <n v="120.0"/>
        <n v="1172.0"/>
        <n v="74.0"/>
        <n v="290.0"/>
        <n v="25.0"/>
        <n v="32.0"/>
        <n v="12.0"/>
        <n v="236.0"/>
        <n v="260.0"/>
        <n v="269.0"/>
        <n v="216.0"/>
        <n v="63.0"/>
        <n v="4.0"/>
        <n v="245.0"/>
        <n v="98.0"/>
        <n v="416.0"/>
        <n v="255.0"/>
        <n v="155.0"/>
        <n v="1200.0"/>
        <n v="33.0"/>
        <n v="230.0"/>
        <n v="644.0"/>
        <n v="730.4"/>
        <n v="716.8"/>
        <n v="-152.4"/>
        <n v="49.25"/>
        <n v="46.0"/>
        <n v="539.48"/>
        <n v="111.0"/>
        <n v="42.25"/>
        <n v="144.91"/>
        <n v="-95.04"/>
        <n v="119.5"/>
        <n v="237.4"/>
        <n v="164.4"/>
        <n v="-7.6"/>
        <n v="38.18"/>
        <n v="141.68"/>
        <n v="90.34"/>
        <n v="115.89"/>
        <n v="115.36"/>
        <n v="35.42"/>
        <n v="130.0"/>
        <n v="811.0"/>
        <n v="239.0"/>
        <n v="71.0"/>
        <n v="117.0"/>
        <n v="250.0"/>
        <n v="126.0"/>
        <n v="60.0"/>
        <n v="496.0"/>
        <n v="1190.0"/>
        <n v="168.0"/>
        <n v="204.0"/>
        <n v="581.0"/>
        <n v="36.0"/>
        <n v="83.4"/>
        <n v="149.8"/>
        <n v="-31.2"/>
        <n v="37.0"/>
        <n v="16.0"/>
        <n v="-49.6"/>
        <n v="10.9"/>
        <n v="20.1"/>
        <n v="9.6"/>
        <n v="36.57"/>
        <n v="13.5"/>
        <n v="2.5"/>
        <n v="1.44"/>
        <n v="-5.5"/>
        <n v="18.75"/>
        <n v="2.4"/>
        <n v="5.25"/>
        <n v="43.42"/>
        <n v="9.62"/>
        <n v="18.12"/>
        <n v="4.81"/>
        <n v="17.5"/>
        <n v="457.6"/>
        <n v="932.4"/>
        <n v="-111.6"/>
        <n v="-19.5"/>
        <n v="377.56"/>
        <n v="64.5"/>
        <n v="23.0"/>
        <n v="47.14"/>
        <n v="2.34"/>
        <n v="28.5"/>
        <n v="257.4"/>
        <n v="28.7"/>
        <n v="-30.8"/>
        <n v="107.2"/>
        <n v="30.04"/>
        <n v="220.0"/>
        <n v="59.27"/>
        <n v="-92.4"/>
        <n v="34.4"/>
        <n v="57.96"/>
        <n v="20.24"/>
        <n v="10.5"/>
        <n v="2.25"/>
        <n v="2.88"/>
        <n v="-10.5"/>
        <n v="215.0"/>
        <n v="955.0"/>
        <n v="193.0"/>
        <n v="102.0"/>
        <n v="83.0"/>
        <n v="49.0"/>
        <n v="62.0"/>
        <n v="326.0"/>
        <n v="142.0"/>
        <n v="243.0"/>
        <n v="52.0"/>
        <n v="867.0"/>
        <n v="54.0"/>
        <n v="47.0"/>
        <n v="1194.0"/>
        <n v="192.0"/>
        <n v="843.0"/>
        <n v="193.6"/>
        <n v="310.8"/>
        <n v="-42.6"/>
        <n v="222.72"/>
        <n v="122.0"/>
        <n v="68.2"/>
        <n v="14.6"/>
        <n v="5.98"/>
        <n v="66.33"/>
        <n v="38.4"/>
        <n v="52.47"/>
        <n v="9.75"/>
        <n v="9.08"/>
        <n v="-10.0"/>
        <n v="66.75"/>
        <n v="17.6"/>
        <n v="8.25"/>
        <n v="58.45"/>
        <n v="5.0"/>
        <n v="23.68"/>
        <n v="66.02"/>
        <n v="5.92"/>
        <n v="59.5"/>
        <n v="7.36"/>
        <n v="24.7"/>
        <n v="18.27"/>
        <n v="8.5"/>
        <n v="11.7"/>
        <n v="398.2"/>
        <n v="1081.5"/>
        <n v="-50.2"/>
        <n v="39.0"/>
        <n v="433.92"/>
        <n v="24.8"/>
        <n v="26.91"/>
        <n v="177.2"/>
        <n v="57.9"/>
        <n v="3.6"/>
        <n v="88.78"/>
        <n v="24.84"/>
        <n v="-28.0"/>
        <n v="85.09"/>
        <n v="37.2"/>
        <n v="256.08"/>
        <n v="25.29"/>
        <n v="-0.96"/>
        <n v="4.5"/>
        <n v="72.75"/>
        <n v="13.0"/>
        <n v="4.16"/>
        <n v="42.5"/>
        <n v="45.0"/>
        <n v="223.0"/>
        <n v="830.0"/>
        <n v="222.0"/>
        <n v="125.0"/>
        <n v="136.0"/>
        <n v="337.0"/>
        <n v="91.0"/>
        <n v="850.0"/>
        <n v="823.0"/>
        <n v="635.0"/>
        <n v="75.8"/>
        <n v="239.4"/>
        <n v="-3.6"/>
        <n v="11.0"/>
        <n v="182.4"/>
        <n v="99.0"/>
        <n v="10.2"/>
        <n v="51.59"/>
        <n v="30.21"/>
        <n v="22.5"/>
        <n v="29.4"/>
        <n v="18.37"/>
        <n v="25.9"/>
        <n v="47.32"/>
        <n v="26.51"/>
        <n v="54.25"/>
        <n v="2.08"/>
        <n v="122.82"/>
        <n v="29.58"/>
        <n v="2.76"/>
        <n v="7.5"/>
        <n v="8.8"/>
        <n v="264.0"/>
        <n v="746.3"/>
        <n v="-6.2"/>
        <n v="334.08"/>
        <n v="15.21"/>
        <n v="21.06"/>
        <n v="82.5"/>
        <n v="133.2"/>
        <n v="109.94"/>
        <n v="-4.0"/>
        <n v="72.36"/>
        <n v="31.2"/>
        <n v="5.24"/>
        <n v="21.85"/>
        <n v="19.5"/>
        <n v="12.5"/>
        <n v="6.5"/>
        <n v="11.2"/>
        <n v="7.59"/>
        <n v="77.43"/>
        <n v="66.25"/>
        <n v="20.25"/>
        <n v="16.1"/>
        <n v="-8.75"/>
        <n v="31.36"/>
        <n v="4.17"/>
        <n v="9.2"/>
        <n v="7.38"/>
        <n v="-1.0"/>
        <n v="0.67"/>
        <n v="8.21"/>
        <n v="0.16"/>
        <n v="1.09"/>
        <n v="1.84"/>
        <n v="188.0"/>
        <n v="440.0"/>
        <n v="34.0"/>
        <n v="135.0"/>
        <n v="35.0"/>
        <n v="554.0"/>
        <n v="535.0"/>
        <n v="114.0"/>
        <n v="65.0"/>
        <n v="470.0"/>
        <n v="68.4"/>
        <n v="207.9"/>
        <n v="-12.0"/>
        <n v="243.84"/>
        <n v="-14.0"/>
        <n v="0.92"/>
        <n v="20.84"/>
        <n v="86.96"/>
        <n v="29.0"/>
        <n v="9.9"/>
        <n v="11.5"/>
        <n v="-21.2"/>
        <n v="16.02"/>
        <n v="-2.0"/>
        <n v="38.33"/>
        <n v="50.32"/>
        <n v="-22.19"/>
        <n v="87.11"/>
        <n v="46.24"/>
        <n v="26.0"/>
        <n v="37.4"/>
        <n v="0.75"/>
        <n v="5.2"/>
        <n v="32.2"/>
        <n v="21.7"/>
        <n v="71.4"/>
        <n v="7.47"/>
        <n v="14.5"/>
        <n v="258.6"/>
        <n v="612.9"/>
        <n v="508.8"/>
        <n v="28.08"/>
        <n v="103.5"/>
        <n v="196.8"/>
        <n v="7.0"/>
        <n v="81.04"/>
        <n v="95.81"/>
        <n v="76.8"/>
        <n v="126.24"/>
        <n v="7.13"/>
        <n v="1.0"/>
        <n v="54.75"/>
        <n v="14.0"/>
        <n v="90.78"/>
        <n v="91.45"/>
        <n v="3.75"/>
        <n v="21.75"/>
        <n v="35.88"/>
        <n v="9.96"/>
        <n v="1.4"/>
        <n v="312.2"/>
        <n v="9.84"/>
        <n v="121.2"/>
        <n v="8.76"/>
        <n v="67.0"/>
        <n v="14.1"/>
        <n v="53.5"/>
        <n v="8.18"/>
        <n v="8.72"/>
        <n v="-41.75"/>
        <n v="208.01"/>
        <n v="122.64"/>
        <n v="32.25"/>
        <n v="27.6"/>
        <n v="365.48"/>
        <n v="6.68"/>
        <n v="16.26"/>
        <n v="32.8"/>
        <n v="21.96"/>
        <n v="3.36"/>
        <n v="30.94"/>
        <n v="1.2"/>
        <n v="4.8"/>
        <n v="9.45"/>
        <n v="715.0"/>
        <n v="505.0"/>
        <n v="765.0"/>
        <n v="660.0"/>
        <n v="81.0"/>
        <n v="186.9"/>
        <n v="-21.8"/>
        <n v="17.0"/>
        <n v="158.2"/>
        <n v="48.4"/>
        <n v="-9.6"/>
        <n v="2.46"/>
        <n v="67.72"/>
        <n v="25.4"/>
        <n v="42.75"/>
        <n v="40.05"/>
        <n v="28.8"/>
        <n v="20.3"/>
        <n v="9.59"/>
        <n v="26.25"/>
        <n v="10.56"/>
        <n v="29.37"/>
        <n v="27.93"/>
        <n v="38.35"/>
        <n v="-11.0"/>
        <n v="39.56"/>
        <n v="26.04"/>
        <n v="105.4"/>
        <n v="2.66"/>
        <n v="-5.49"/>
        <n v="-12.5"/>
        <n v="70.6"/>
        <n v="387.1"/>
        <n v="-4.2"/>
        <n v="339.84"/>
        <n v="74.37"/>
        <n v="41.6"/>
        <n v="12.52"/>
        <n v="45.75"/>
        <n v="8.32"/>
        <n v="70.8"/>
        <n v="30.75"/>
        <n v="13.28"/>
        <n v="-1.83"/>
        <n v="54.2"/>
        <n v="283.1"/>
        <n v="105.8"/>
        <n v="2.82"/>
        <n v="63.25"/>
        <n v="4.7"/>
        <n v="21.99"/>
        <n v="12.68"/>
        <n v="168.95"/>
        <n v="35.5"/>
        <n v="29.2"/>
        <n v="51.0"/>
        <n v="22.08"/>
        <n v="323.5"/>
        <n v="28.4"/>
        <n v="10.84"/>
        <n v="13.12"/>
        <n v="6.64"/>
        <n v="-21.62"/>
        <n v="114.92"/>
        <n v="4.2"/>
        <n v="8.4"/>
        <n v="63.05"/>
        <n v="493.0"/>
        <n v="128.0"/>
        <n v="85.0"/>
        <n v="69.0"/>
        <n v="194.0"/>
        <n v="173.0"/>
        <n v="133.0"/>
        <n v="402.0"/>
        <n v="131.0"/>
        <n v="129.0"/>
        <n v="570.0"/>
        <n v="162.8"/>
        <n v="282.1"/>
        <n v="236.16"/>
        <n v="133.33"/>
        <n v="63.2"/>
        <n v="27.5"/>
        <n v="76.43"/>
        <n v="38.11"/>
        <n v="-0.54"/>
        <n v="52.5"/>
        <n v="26.7"/>
        <n v="5.05"/>
        <n v="17.7"/>
        <n v="55.2"/>
        <n v="43.4"/>
        <n v="47.6"/>
        <n v="16.6"/>
        <n v="37.8"/>
        <n v="444.2"/>
        <n v="594.3"/>
        <n v="12.8"/>
        <n v="497.28"/>
        <n v="39.06"/>
        <n v="130.5"/>
        <n v="204.8"/>
        <n v="38.2"/>
        <n v="129.31"/>
        <n v="72.8"/>
        <n v="6.24"/>
        <n v="100.3"/>
        <n v="112.5"/>
        <n v="36.75"/>
        <n v="17.2"/>
        <n v="366.9"/>
        <n v="193.9"/>
        <n v="80.46"/>
        <n v="76.4"/>
        <n v="25.05"/>
        <n v="66.06"/>
        <n v="42.3"/>
        <n v="46.75"/>
        <n v="1.22"/>
        <n v="87.75"/>
        <n v="18.9"/>
        <n v="3.17"/>
        <n v="43.97"/>
        <n v="11.68"/>
        <n v="25.75"/>
        <n v="206.91"/>
        <n v="1.42"/>
        <n v="5.42"/>
        <n v="11.48"/>
        <n v="-11.32"/>
        <n v="48.62"/>
        <n v="28.35"/>
        <n v="535.3"/>
        <n v="17.04"/>
        <n v="8.49"/>
        <n v="366.0"/>
        <n v="305.0"/>
        <n v="277.0"/>
        <n v="527.0"/>
        <n v="174.0"/>
        <n v="82.0"/>
        <n v="490.0"/>
        <n v="42.12"/>
        <n v="18.72"/>
        <n v="233.8"/>
        <n v="18.4"/>
        <n v="38.0"/>
        <n v="91.25"/>
        <n v="50.8"/>
        <n v="67.8"/>
        <n v="81.08"/>
        <n v="11.6"/>
        <n v="39.75"/>
        <n v="20.8"/>
        <n v="13.05"/>
        <n v="8.51"/>
        <n v="47.12"/>
        <n v="14.79"/>
        <n v="124.88"/>
        <n v="33.12"/>
        <n v="3.4"/>
        <n v="1.66"/>
        <n v="47.94"/>
        <n v="0.53"/>
        <n v="55.5"/>
        <n v="16.5"/>
        <n v="56.16"/>
        <n v="23.79"/>
        <n v="14.25"/>
        <n v="26.52"/>
        <n v="6.72"/>
        <n v="16.92"/>
        <n v="12.74"/>
        <n v="38.5"/>
        <n v="10.8"/>
        <n v="81.9"/>
        <n v="169.12"/>
        <n v="757.4"/>
        <n v="7.2"/>
        <n v="36.5"/>
        <n v="70.5"/>
        <n v="69.44"/>
        <n v="143.75"/>
        <n v="102.8"/>
        <n v="27.3"/>
        <n v="36.6"/>
        <n v="33.58"/>
        <n v="50.79"/>
        <n v="159.46"/>
        <n v="99.75"/>
        <n v="76.5"/>
        <n v="1.6"/>
        <n v="-1.76"/>
        <n v="34.71"/>
        <n v="221.25"/>
        <n v="156.1"/>
        <n v="17.25"/>
        <n v="53.25"/>
        <n v="60.72"/>
        <n v="20.4"/>
        <n v="53.65"/>
        <n v="328.6"/>
        <n v="37.5"/>
        <n v="9.5"/>
        <n v="388.44"/>
        <n v="49.5"/>
        <n v="12.81"/>
        <n v="24.75"/>
        <n v="3.84"/>
        <n v="78.96"/>
        <n v="28.2"/>
        <n v="90.75"/>
        <n v="35.86"/>
        <n v="86.48"/>
        <n v="13.98"/>
        <n v="7.8"/>
        <n v="9.35"/>
        <n v="4.95"/>
        <n v="270.9"/>
        <n v="72.42"/>
        <n v="53.0"/>
        <n v="83.5"/>
        <n v="24.24"/>
        <n v="176.75"/>
        <n v="29.92"/>
        <n v="5.61"/>
        <n v="5.75"/>
        <n v="11.54"/>
        <n v="6.34"/>
        <n v="5.84"/>
        <n v="24.56"/>
        <n v="202.73"/>
        <n v="-14.15"/>
        <n v="11.47"/>
        <n v="38.8"/>
        <n v="0.2"/>
        <n v="100.7"/>
        <n v="8.52"/>
        <n v="125.35"/>
        <n v="615.88"/>
        <n v="68.75"/>
        <n v="18.84"/>
        <n v="56.8"/>
        <n v="17.65"/>
        <n v="57.2"/>
        <n v="2.95"/>
        <n v="16.7"/>
        <n v="56.76"/>
        <n v="1.8"/>
        <n v="26.65"/>
        <n v="80.5"/>
        <n v="146.3"/>
        <n v="72.5"/>
        <n v="46.4"/>
        <n v="43.29"/>
        <n v="25.5"/>
        <n v="4.18"/>
        <n v="1.35"/>
        <n v="8.7"/>
        <n v="16.24"/>
        <n v="18.7"/>
        <n v="13.55"/>
        <n v="140.49"/>
        <n v="19.32"/>
        <n v="5.65"/>
        <n v="32.76"/>
        <n v="19.89"/>
        <n v="12.64"/>
        <n v="7.04"/>
        <n v="33.75"/>
        <n v="1.5"/>
        <n v="2.8"/>
        <n v="36.27"/>
        <n v="15.66"/>
        <n v="224.0"/>
        <n v="19.6"/>
        <n v="50.52"/>
        <n v="59.25"/>
        <n v="231.46"/>
        <n v="163.46"/>
        <n v="17.48"/>
        <n v="27.75"/>
        <n v="15.3"/>
        <n v="7.6"/>
        <n v="21.25"/>
        <n v="132.51"/>
        <n v="-0.33"/>
        <m/>
        <n v="70.38"/>
        <n v="218.16"/>
        <n v="4.65"/>
        <n v="39.76"/>
        <n v="82.28"/>
        <n v="37.75"/>
        <n v="2.59"/>
        <n v="13.49"/>
        <n v="2.84"/>
        <n v="32.14"/>
        <n v="61.6"/>
        <n v="57.73"/>
        <n v="17.4"/>
        <n v="26.27"/>
        <n v="4.34"/>
        <n v="37.26"/>
        <n v="23.98"/>
        <n v="9.15"/>
        <n v="11.25"/>
        <n v="55.93"/>
        <n v="36.16"/>
        <n v="57.75"/>
        <n v="6.21"/>
        <n v="190.44"/>
        <n v="449.28"/>
        <n v="17.05"/>
        <n v="41.23"/>
        <n v="73.84"/>
        <n v="31.74"/>
        <n v="45.98"/>
        <n v="56.25"/>
        <n v="-15.5"/>
        <n v="48.99"/>
        <n v="14.75"/>
        <n v="112.32"/>
        <n v="170.0"/>
        <n v="31.24"/>
        <n v="658.0"/>
        <n v="233.91"/>
        <n v="107.64"/>
        <n v="2.56"/>
        <n v="5.64"/>
        <n v="123.75"/>
        <n v="27.71"/>
        <n v="2.33"/>
        <n v="102.3"/>
        <n v="6.6"/>
        <n v="14.52"/>
        <n v="8.28"/>
        <n v="370.37"/>
        <n v="196.56"/>
        <n v="16.8"/>
        <n v="39.93"/>
        <n v="20.52"/>
        <n v="3.74"/>
        <n v="339.0"/>
        <n v="17.52"/>
        <n v="13.68"/>
        <n v="150.48"/>
        <n v="0.42"/>
        <n v="175.0"/>
        <n v="31.6"/>
        <n v="215.71"/>
        <n v="134.31"/>
        <n v="69.08"/>
        <n v="46.25"/>
        <n v="25.12"/>
        <n v="14.91"/>
        <n v="25.89"/>
        <n v="11.8"/>
        <n v="13.36"/>
        <n v="62.04"/>
        <n v="108.75"/>
        <n v="6.15"/>
        <n v="150.5"/>
        <n v="66.24"/>
        <n v="189.08"/>
        <n v="7.75"/>
        <n v="24.85"/>
        <n v="5.52"/>
        <n v="34.69"/>
        <n v="6.4"/>
        <n v="3.5"/>
        <n v="2.13"/>
        <n v="17.75"/>
        <n v="13.92"/>
        <n v="8.22"/>
        <n v="18.46"/>
        <n v="10.17"/>
        <n v="31.05"/>
        <n v="28.98"/>
        <n v="4.64"/>
        <n v="1.73"/>
        <n v="13.35"/>
        <n v="33.92"/>
        <n v="11.55"/>
        <n v="108.22"/>
        <n v="203.44"/>
        <n v="6.2"/>
        <n v="11.85"/>
        <n v="-38.0"/>
        <n v="4.31"/>
        <n v="3.62"/>
        <n v="6.27"/>
        <n v="67.47"/>
        <n v="4.84"/>
        <n v="2.61"/>
        <n v="22.38"/>
        <n v="17.28"/>
        <n v="5.8"/>
        <n v="75.38"/>
        <n v="67.17"/>
        <n v="3.82"/>
        <n v="26.94"/>
        <n v="35.75"/>
        <n v="-4.5"/>
        <n v="26.2"/>
        <n v="-34.16"/>
        <n v="4.4"/>
        <n v="14.85"/>
        <n v="38.75"/>
        <n v="26.5"/>
        <n v="8.6"/>
        <n v="40.5"/>
        <n v="101.43"/>
        <n v="387.36"/>
        <n v="29.45"/>
        <n v="53.61"/>
        <n v="18.15"/>
        <n v="44.5"/>
        <n v="3.2"/>
        <n v="43.5"/>
        <n v="20.59"/>
        <n v="35.52"/>
        <n v="12.07"/>
        <n v="256.68"/>
        <n v="10.35"/>
        <n v="0.88"/>
        <n v="45.08"/>
        <n v="50.05"/>
        <n v="16.25"/>
        <n v="130.24"/>
        <n v="29.52"/>
        <n v="6.05"/>
        <n v="6.84"/>
        <n v="6.8"/>
        <n v="5.74"/>
        <n v="73.0"/>
        <n v="20.9"/>
        <n v="118.03"/>
        <n v="49.84"/>
        <n v="3.18"/>
        <n v="18.6"/>
        <n v="7.02"/>
        <n v="27.84"/>
        <n v="12.75"/>
        <n v="19.4"/>
        <n v="31.75"/>
        <n v="32.84"/>
        <n v="30.6"/>
        <n v="72.45"/>
        <n v="75.75"/>
        <n v="66.2"/>
        <n v="128.51"/>
        <n v="92.0"/>
        <n v="79.05"/>
        <n v="128.34"/>
        <n v="165.6"/>
        <n v="213.84"/>
        <n v="54.67"/>
        <n v="62.92"/>
        <n v="117.25"/>
        <n v="10.36"/>
        <n v="24.5"/>
        <n v="5.4"/>
        <n v="15.91"/>
        <n v="19.49"/>
        <n v="19.2"/>
        <n v="56.4"/>
        <n v="22.56"/>
        <n v="9.57"/>
        <n v="27.01"/>
        <n v="2.07"/>
        <n v="0.83"/>
        <n v="46.08"/>
        <n v="107.25"/>
        <n v="30.8"/>
        <n v="60.03"/>
        <n v="11.04"/>
        <n v="8.04"/>
        <n v="14.08"/>
        <n v="278.98"/>
        <n v="357.48"/>
        <n v="9.3"/>
        <n v="19.53"/>
        <n v="93.72"/>
        <n v="-3.0"/>
        <n v="127.05"/>
        <n v="127.75"/>
        <n v="-38.4"/>
        <n v="53.92"/>
        <n v="39.36"/>
        <n v="261.0"/>
        <n v="7.81"/>
        <n v="55.89"/>
        <n v="84.87"/>
        <n v="229.79"/>
        <n v="55.68"/>
        <n v="33.6"/>
        <n v="35.19"/>
        <n v="98.88"/>
        <n v="37.72"/>
        <n v="46.35"/>
        <n v="52.26"/>
        <n v="3.52"/>
        <n v="236.88"/>
        <n v="43.31"/>
        <n v="42.35"/>
        <n v="69.5"/>
        <n v="16.53"/>
        <n v="61.2"/>
        <n v="31.16"/>
        <n v="19.18"/>
        <n v="30.25"/>
        <n v="1.13"/>
        <n v="80.73"/>
        <n v="25.62"/>
        <n v="-3.95"/>
        <n v="5.45"/>
        <n v="37.44"/>
        <n v="12.6"/>
        <n v="44.16"/>
        <n v="12.88"/>
        <n v="4.02"/>
        <n v="11.44"/>
        <n v="27.91"/>
        <n v="38.16"/>
        <n v="2.17"/>
        <n v="1.21"/>
        <n v="12.25"/>
        <n v="15.6"/>
        <n v="18.81"/>
        <n v="4.35"/>
        <n v="3.88"/>
        <n v="21.73"/>
        <n v="23.63"/>
        <n v="20.63"/>
        <n v="8.15"/>
        <n v="13.44"/>
        <n v="3.65"/>
        <n v="3.42"/>
        <n v="14.49"/>
        <n v="6.7"/>
        <n v="5.28"/>
        <n v="597.69"/>
        <n v="789.12"/>
        <n v="195.96"/>
        <n v="94.38"/>
        <n v="147.0"/>
        <n v="-3.5"/>
        <n v="125.34"/>
        <n v="118.08"/>
        <n v="408.0"/>
        <n v="58.08"/>
        <n v="71.06"/>
        <n v="1204.0"/>
        <n v="109.71"/>
        <n v="358.2"/>
        <n v="168.25"/>
        <n v="86.28"/>
        <n v="116.75"/>
        <n v="45.54"/>
        <n v="76.36"/>
        <n v="63.48"/>
        <n v="85.24"/>
        <n v="228.1"/>
        <n v="22.77"/>
        <n v="86.94"/>
        <n v="166.0"/>
        <n v="87.12"/>
        <n v="56.98"/>
        <n v="22.32"/>
        <n v="13.31"/>
        <n v="15.75"/>
        <n v="1.71"/>
        <n v="14.63"/>
        <n v="19.8"/>
        <n v="77.33"/>
        <n v="1.75"/>
        <n v="24.92"/>
        <n v="10.85"/>
        <n v="48.84"/>
        <n v="36.63"/>
        <n v="512.0"/>
        <n v="218.84"/>
        <n v="284.0"/>
        <n v="127.5"/>
        <n v="384.11"/>
        <n v="57.6"/>
        <n v="915.14"/>
        <n v="122.68"/>
        <n v="60.75"/>
        <n v="23.32"/>
        <n v="-11.8"/>
        <n v="251.25"/>
        <n v="295.83"/>
        <n v="-43.0"/>
      </sharedItems>
    </cacheField>
    <cacheField name="MonthKey_Row" numFmtId="164">
      <sharedItems containsDate="1" containsString="0" containsBlank="1">
        <d v="2025-01-01T00:00:00Z"/>
        <m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</sharedItems>
    </cacheField>
    <cacheField name="MonthKey">
      <sharedItems containsDate="1" containsString="0" containsBlank="1" containsMixedTypes="1">
        <d v="2025-01-01T00:00:00Z"/>
        <m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5.0"/>
        <n v="36.0"/>
        <n v="37.0"/>
        <n v="38.0"/>
        <n v="40.0"/>
        <n v="41.0"/>
        <n v="42.0"/>
        <n v="43.0"/>
        <n v="44.0"/>
        <n v="45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8.0"/>
        <n v="109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585" sheet="VMS_Sales"/>
  </cacheSource>
  <cacheFields>
    <cacheField name="Machine code" numFmtId="0">
      <sharedItems containsString="0" containsBlank="1" containsNumber="1" containsInteger="1">
        <n v="2.404120076E9"/>
        <m/>
        <n v="2.503000216E9"/>
        <n v="2.411000046E9"/>
        <n v="2.503000217E9"/>
        <n v="2.509000369E9"/>
        <n v="2.50900037E9"/>
        <n v="2.509000371E9"/>
        <n v="2.510001719E9"/>
      </sharedItems>
    </cacheField>
    <cacheField name="Machine name" numFmtId="0">
      <sharedItems containsBlank="1">
        <s v="DPMall"/>
        <m/>
        <s v="HTMall"/>
        <s v="HospAlmoa"/>
        <s v="SeaCost"/>
        <s v="Istiklal"/>
        <s v="HTLand"/>
        <s v="Attahadi Universty"/>
        <s v="SeaCost2"/>
      </sharedItems>
    </cacheField>
    <cacheField name="Product Number" numFmtId="0">
      <sharedItems containsString="0" containsBlank="1" containsNumber="1" containsInteger="1">
        <m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5.0"/>
        <n v="26.0"/>
        <n v="27.0"/>
        <n v="28.0"/>
        <n v="29.0"/>
        <n v="30.0"/>
        <n v="31.0"/>
        <n v="32.0"/>
        <n v="33.0"/>
        <n v="35.0"/>
        <n v="36.0"/>
        <n v="37.0"/>
        <n v="38.0"/>
        <n v="40.0"/>
        <n v="41.0"/>
        <n v="24.0"/>
        <n v="42.0"/>
        <n v="43.0"/>
        <n v="44.0"/>
        <n v="45.0"/>
        <n v="47.0"/>
        <n v="48.0"/>
        <n v="51.0"/>
        <n v="49.0"/>
        <n v="50.0"/>
        <n v="53.0"/>
        <n v="54.0"/>
        <n v="55.0"/>
        <n v="56.0"/>
        <n v="59.0"/>
        <n v="60.0"/>
        <n v="64.0"/>
        <n v="52.0"/>
        <n v="70.0"/>
        <n v="71.0"/>
        <n v="73.0"/>
        <n v="75.0"/>
        <n v="76.0"/>
        <n v="83.0"/>
        <n v="84.0"/>
        <n v="57.0"/>
        <n v="58.0"/>
        <n v="61.0"/>
        <n v="62.0"/>
        <n v="63.0"/>
        <n v="65.0"/>
        <n v="66.0"/>
        <n v="67.0"/>
        <n v="68.0"/>
        <n v="72.0"/>
        <n v="74.0"/>
        <n v="77.0"/>
        <n v="78.0"/>
        <n v="80.0"/>
        <n v="81.0"/>
        <n v="82.0"/>
        <n v="79.0"/>
        <n v="86.0"/>
        <n v="87.0"/>
        <n v="88.0"/>
        <n v="89.0"/>
        <n v="90.0"/>
        <n v="91.0"/>
        <n v="92.0"/>
        <n v="93.0"/>
        <n v="94.0"/>
        <n v="96.0"/>
        <n v="97.0"/>
        <n v="98.0"/>
        <n v="99.0"/>
        <n v="106.0"/>
        <n v="111.0"/>
        <n v="112.0"/>
        <n v="113.0"/>
        <n v="114.0"/>
        <n v="122.0"/>
        <n v="123.0"/>
        <n v="95.0"/>
        <n v="102.0"/>
        <n v="118.0"/>
        <n v="119.0"/>
        <n v="121.0"/>
        <n v="124.0"/>
        <n v="126.0"/>
        <n v="127.0"/>
        <n v="0.0"/>
        <n v="100.0"/>
        <n v="101.0"/>
        <n v="103.0"/>
        <n v="104.0"/>
        <n v="105.0"/>
        <n v="108.0"/>
        <n v="109.0"/>
        <n v="116.0"/>
        <n v="117.0"/>
        <n v="120.0"/>
        <n v="115.0"/>
        <n v="129.0"/>
        <n v="130.0"/>
        <n v="137.0"/>
        <n v="135.0"/>
        <n v="136.0"/>
        <n v="131.0"/>
        <n v="128.0"/>
        <n v="132.0"/>
        <n v="133.0"/>
        <n v="134.0"/>
        <n v="138.0"/>
        <n v="139.0"/>
        <n v="142.0"/>
        <n v="145.0"/>
        <n v="140.0"/>
        <n v="141.0"/>
        <n v="143.0"/>
      </sharedItems>
    </cacheField>
    <cacheField name="product name" numFmtId="0">
      <sharedItems containsBlank="1">
        <s v="Tiger Medium 16"/>
        <s v="Takis"/>
        <s v="Tiger excellence *10"/>
        <s v="kinza"/>
        <s v="Dark blue energy"/>
        <s v="tiger chips *12"/>
        <s v="Mr Crunch cheez top"/>
        <s v="popcorn pizza funday"/>
        <s v="ono cake"/>
        <s v="Masa suntop"/>
        <s v="Mr Crunch"/>
        <s v="Roshen Chocolate"/>
        <s v="GoOn Energy chocolate"/>
        <s v="Milk &amp; cereals loacker"/>
        <s v="maxxx chips 65g"/>
        <s v="festa"/>
        <s v="Freez drink"/>
        <s v="sitos 90g"/>
        <s v="Green"/>
        <s v="SunTop Saudi"/>
        <s v="mr bite"/>
        <s v="Gardena"/>
        <s v="Water"/>
        <s v="Al Ain can"/>
        <s v="X!R 500ml"/>
        <s v="Wild Power Energy drink"/>
        <s v="Wild Power Energy 500ml"/>
        <s v="Laviva"/>
        <s v="drFood Stix"/>
        <s v="Wafe up extra"/>
        <s v="Wanted chocolate"/>
        <s v="popcorn funday"/>
        <s v="Al Nada cake"/>
        <s v="Boss Energy drink"/>
        <s v="X!R"/>
        <s v="Donut cake"/>
        <s v="Tiger Small"/>
        <m/>
        <s v="Marshmellow sweetBag"/>
        <s v="vivaldi"/>
        <s v="Tiger excellence super jambo"/>
        <s v="xo energy"/>
        <s v="flik flak"/>
        <s v="pattes chips"/>
        <s v="monster energy"/>
        <s v="bonart sour"/>
        <s v="kinder bueno"/>
        <s v="shani 500ml"/>
        <s v="skittles"/>
        <s v="schweppers"/>
        <s v="pringles"/>
        <s v="pepsi 500ml"/>
        <s v="m&amp;m's"/>
        <s v="boba tea"/>
        <s v="helo kitty"/>
        <s v="sprite"/>
        <s v="kinder country"/>
        <s v="Spuds noraml"/>
        <s v="Tiger *12"/>
        <s v="Al rihan"/>
        <s v="Chotos"/>
        <s v="maxFly"/>
        <s v="jelly candy"/>
        <s v="kitkat"/>
        <s v="Doritos nacho"/>
        <s v="kinder bones"/>
        <s v="maxBrew"/>
        <s v="Barbican"/>
        <s v="prigles bugle"/>
        <s v="snickers"/>
        <s v="skittles drink"/>
        <s v="SunTop"/>
        <s v="vitaGo"/>
        <s v="real Doritos"/>
        <s v="Maltesers"/>
        <s v="waffle cones"/>
        <s v="Doritos Dinamita"/>
        <s v="ifrui juice"/>
        <s v="Doritos cool ranc"/>
        <s v="Schweppes"/>
        <s v="wafe'up"/>
        <s v="Takies"/>
        <s v="m&amp;m"/>
        <s v="bonart"/>
        <s v="Freez"/>
        <s v="Twix"/>
        <s v="Bounty"/>
        <s v="Pepsi"/>
        <s v="Mars"/>
        <s v="Rauch Drink"/>
        <s v="Almarai Chocolate"/>
        <s v="Corissant Karuzo"/>
        <s v="Sirma"/>
        <s v="Kunuz Juice"/>
        <s v="Digestive"/>
        <s v="Lovita cookies"/>
        <s v="Pretzels"/>
        <s v="kinder delice"/>
        <s v="MrCrunch"/>
        <s v="Caser Juice"/>
        <s v="Natural Grape"/>
        <s v="MrCrunch Normal"/>
        <s v="Kinder bueno1stick"/>
        <s v="Justo Drink"/>
        <s v="Haribo"/>
        <s v="Ivsar water"/>
        <s v="7up"/>
        <s v="Mirinda"/>
        <s v="Tropia"/>
        <s v="Bourbon biscuit"/>
        <s v="Toren Dark Chocolate"/>
        <s v="zigi marinated peanuts"/>
        <s v="Almarai Strawberry"/>
        <s v="Indomie"/>
        <s v="MrCrunch-RingGo"/>
        <s v="Rani"/>
        <s v="Twix ex"/>
        <s v="koren Indomie"/>
        <s v="Doritos real"/>
        <s v="ex mars"/>
        <s v="ifruit juice"/>
        <s v="Today Chocolate"/>
        <s v="Prime"/>
        <s v="Jannaty"/>
        <s v="PopCorn Chocolate"/>
        <s v="Dallas juice"/>
        <s v="Prime Ex"/>
        <s v="Nuts"/>
        <s v="Yipy Juice"/>
        <s v="Roshetto"/>
        <s v="HiPro"/>
        <s v="Saminsa"/>
        <s v="Mulino Cookis"/>
        <s v="Yasmin Penuts"/>
        <s v="Smsm"/>
        <s v="L suntop"/>
        <s v="Yasmin Almonds"/>
        <s v="Mr Crunch normal"/>
        <s v="bueno 1 stick"/>
        <s v="Mrbeast"/>
        <s v="mr.bite strike"/>
        <s v="brownies moulin"/>
        <s v="Chico"/>
        <s v="Tiger *12 tomato"/>
        <s v="Marie biscuit"/>
        <s v="Tiger *12 Cheese"/>
        <s v="Tiger *12 kebab"/>
        <s v="Tiger 12 paprika"/>
        <s v="Tiger 12 chili and lemon"/>
        <s v="Doritos green hot"/>
        <s v="Shani"/>
        <s v="Toblerone"/>
        <s v="Rayhan suntop"/>
        <s v="Tiger *16 kebab"/>
        <s v="Tiger *16 tomato"/>
        <s v="Tiger excellence"/>
        <s v="Savi stix"/>
        <s v="Lexus"/>
        <s v="Tiger 12 sweet chili"/>
        <s v="Buldak"/>
        <s v="Haribo bears"/>
        <s v="Turbo strips"/>
        <s v="Chotso"/>
        <s v="Lolo"/>
        <s v="Coach Suntop"/>
        <s v="Twix single"/>
        <s v="æœªè®¾ç½®"/>
        <s v="Mr Cruch veggy's"/>
        <s v="vita go"/>
        <s v="Goftime"/>
        <s v="Souffle"/>
        <s v="Waffi"/>
        <s v="Shada up"/>
        <s v="Be happy kids"/>
        <s v="Duplo"/>
        <s v="Wafer Laviva"/>
        <s v="Chillax chips"/>
        <s v="Lavazza"/>
        <s v="tiger 12"/>
        <s v="Kitkat 2 fingers"/>
        <s v="Schweppes bullet"/>
        <s v="Yupi"/>
        <s v="Haribo 80g"/>
        <s v="Yumi zak"/>
        <s v="未设置"/>
        <s v="EXO"/>
        <s v="Almarai Banana"/>
        <s v="Activ chips"/>
        <s v="vitrac"/>
        <s v="Doritos red hot"/>
        <s v="Twix wafer roll"/>
        <s v="Galaxy wafer roll"/>
        <s v="Sweeto jelly"/>
        <s v="Snickers wafer roll"/>
        <s v="Bounty wafer roll"/>
        <s v="BeBeto marshmello"/>
        <s v="Doritos BBQ"/>
      </sharedItems>
    </cacheField>
    <cacheField name="Commodity price" numFmtId="0">
      <sharedItems containsString="0" containsBlank="1" containsNumber="1">
        <m/>
        <n v="5.0"/>
        <n v="1.0"/>
        <n v="7.0"/>
        <n v="8.0"/>
        <n v="3.0"/>
        <n v="2.0"/>
        <n v="12.0"/>
        <n v="20.0"/>
        <n v="4.0"/>
        <n v="10.0"/>
        <n v="6.0"/>
        <n v="15.0"/>
        <n v="6.777777778"/>
        <n v="6.785714286"/>
        <n v="5.157894737"/>
        <n v="3.965517241"/>
        <n v="4.466666667"/>
        <n v="3.5"/>
        <n v="6.307692308"/>
        <n v="5.009950249"/>
        <n v="3.111111111"/>
        <n v="6.861111111"/>
        <n v="5.2"/>
        <n v="4.066666667"/>
        <n v="6.363636364"/>
        <n v="3.347826087"/>
        <n v="9.726027397"/>
        <n v="7.947368421"/>
        <n v="4.333333333"/>
        <n v="4.8"/>
        <n v="2.242424242"/>
        <n v="3.476190476"/>
        <n v="7.615384615"/>
        <n v="3.266666667"/>
        <n v="7.340909091"/>
        <n v="1.983870968"/>
        <n v="2.922413793"/>
        <n v="4.65"/>
        <n v="3.9"/>
        <n v="5.727272727"/>
        <n v="8.125"/>
        <n v="3.131578947"/>
        <n v="5.147058824"/>
        <n v="5.086956522"/>
        <n v="1.033755274"/>
        <n v="7.391304348"/>
        <n v="28.07692308"/>
        <n v="2.666666667"/>
        <n v="3.428571429"/>
        <n v="2.575757576"/>
        <n v="5.357142857"/>
        <n v="5.692307692"/>
        <n v="5.285714286"/>
        <n v="5.4"/>
        <n v="8.615384615"/>
        <n v="1.66"/>
        <n v="3.75862069"/>
        <n v="3.666666667"/>
        <n v="4.833333333"/>
        <n v="3.444444444"/>
        <n v="6.428571429"/>
        <n v="6.833333333"/>
        <n v="4.955555556"/>
        <n v="4.4"/>
        <n v="7.65"/>
        <n v="7.518518519"/>
        <n v="2.5"/>
        <n v="2.76"/>
        <n v="5.5"/>
        <n v="5.333333333"/>
        <n v="4.142857143"/>
        <n v="5.875"/>
        <n v="7.5"/>
        <n v="5.033333333"/>
        <n v="2.011904762"/>
        <n v="4.5"/>
        <n v="6.5"/>
        <n v="0.0"/>
        <n v="25.0"/>
      </sharedItems>
    </cacheField>
    <cacheField name="Number of transaction" numFmtId="0">
      <sharedItems containsString="0" containsBlank="1" containsNumber="1" containsInteger="1">
        <n v="19.0"/>
        <n v="46.0"/>
        <n v="88.0"/>
        <n v="29.0"/>
        <n v="152.0"/>
        <n v="50.0"/>
        <n v="3.0"/>
        <n v="320.0"/>
        <n v="108.0"/>
        <n v="34.0"/>
        <n v="1.0"/>
        <n v="7.0"/>
        <n v="79.0"/>
        <n v="2.0"/>
        <n v="21.0"/>
        <n v="10.0"/>
        <n v="396.0"/>
        <n v="47.0"/>
        <n v="472.0"/>
        <n v="33.0"/>
        <n v="24.0"/>
        <n v="61.0"/>
        <n v="66.0"/>
        <n v="283.0"/>
        <n v="43.0"/>
        <n v="71.0"/>
        <n v="14.0"/>
        <n v="38.0"/>
        <n v="163.0"/>
        <n v="16.0"/>
        <n v="144.0"/>
        <n v="80.0"/>
        <m/>
        <n v="31.0"/>
        <n v="40.0"/>
        <n v="9.0"/>
        <n v="54.0"/>
        <n v="22.0"/>
        <n v="69.0"/>
        <n v="174.0"/>
        <n v="18.0"/>
        <n v="363.0"/>
        <n v="201.0"/>
        <n v="107.0"/>
        <n v="13.0"/>
        <n v="6.0"/>
        <n v="11.0"/>
        <n v="17.0"/>
        <n v="313.0"/>
        <n v="95.0"/>
        <n v="62.0"/>
        <n v="8.0"/>
        <n v="41.0"/>
        <n v="334.0"/>
        <n v="25.0"/>
        <n v="35.0"/>
        <n v="36.0"/>
        <n v="4.0"/>
        <n v="5.0"/>
        <n v="23.0"/>
        <n v="64.0"/>
        <n v="39.0"/>
        <n v="30.0"/>
        <n v="211.0"/>
        <n v="465.0"/>
        <n v="106.0"/>
        <n v="57.0"/>
        <n v="341.0"/>
        <n v="90.0"/>
        <n v="93.0"/>
        <n v="26.0"/>
        <n v="60.0"/>
        <n v="28.0"/>
        <n v="600.0"/>
        <n v="48.0"/>
        <n v="44.0"/>
        <n v="45.0"/>
        <n v="302.0"/>
        <n v="76.0"/>
        <n v="177.0"/>
        <n v="109.0"/>
        <n v="499.0"/>
        <n v="566.0"/>
        <n v="170.0"/>
        <n v="42.0"/>
        <n v="15.0"/>
        <n v="20.0"/>
        <n v="97.0"/>
        <n v="447.0"/>
        <n v="156.0"/>
        <n v="124.0"/>
        <n v="115.0"/>
        <n v="86.0"/>
        <n v="216.0"/>
        <n v="712.0"/>
        <n v="82.0"/>
        <n v="37.0"/>
        <n v="53.0"/>
        <n v="252.0"/>
        <n v="32.0"/>
        <n v="120.0"/>
        <n v="247.0"/>
        <n v="101.0"/>
        <n v="59.0"/>
        <n v="233.0"/>
        <n v="279.0"/>
        <n v="52.0"/>
        <n v="269.0"/>
        <n v="49.0"/>
        <n v="412.0"/>
        <n v="85.0"/>
        <n v="240.0"/>
        <n v="161.0"/>
        <n v="12.0"/>
        <n v="332.0"/>
        <n v="1024.0"/>
        <n v="127.0"/>
        <n v="123.0"/>
        <n v="561.0"/>
        <n v="548.0"/>
        <n v="83.0"/>
        <n v="102.0"/>
        <n v="67.0"/>
        <n v="239.0"/>
        <n v="244.0"/>
        <n v="487.0"/>
        <n v="63.0"/>
        <n v="238.0"/>
        <n v="141.0"/>
        <n v="214.0"/>
        <n v="74.0"/>
        <n v="208.0"/>
        <n v="1332.0"/>
        <n v="193.0"/>
        <n v="139.0"/>
        <n v="391.0"/>
        <n v="51.0"/>
        <n v="81.0"/>
        <n v="112.0"/>
        <n v="191.0"/>
        <n v="183.0"/>
        <n v="225.0"/>
        <n v="867.0"/>
        <n v="444.0"/>
        <n v="116.0"/>
        <n v="138.0"/>
        <n v="153.0"/>
        <n v="73.0"/>
        <n v="99.0"/>
        <n v="89.0"/>
        <n v="27.0"/>
        <n v="181.0"/>
        <n v="1545.0"/>
        <n v="226.0"/>
        <n v="110.0"/>
        <n v="433.0"/>
        <n v="166.0"/>
        <n v="210.0"/>
        <n v="850.0"/>
        <n v="131.0"/>
        <n v="342.0"/>
        <n v="75.0"/>
        <n v="77.0"/>
        <n v="70.0"/>
        <n v="1049.0"/>
        <n v="55.0"/>
        <n v="333.0"/>
        <n v="228.0"/>
        <n v="84.0"/>
        <n v="536.0"/>
        <n v="94.0"/>
        <n v="297.0"/>
        <n v="68.0"/>
        <n v="100.0"/>
        <n v="118.0"/>
        <n v="265.0"/>
        <n v="377.0"/>
        <n v="143.0"/>
        <n v="96.0"/>
        <n v="103.0"/>
        <n v="446.0"/>
        <n v="253.0"/>
        <n v="189.0"/>
        <n v="172.0"/>
        <n v="505.0"/>
        <n v="132.0"/>
        <n v="267.0"/>
        <n v="121.0"/>
        <n v="58.0"/>
        <n v="140.0"/>
        <n v="553.0"/>
        <n v="330.0"/>
        <n v="111.0"/>
        <n v="56.0"/>
        <n v="383.0"/>
        <n v="155.0"/>
        <n v="150.0"/>
        <n v="194.0"/>
        <n v="402.0"/>
        <n v="114.0"/>
        <n v="403.0"/>
        <n v="199.0"/>
        <n v="849.0"/>
        <n v="259.0"/>
        <n v="87.0"/>
        <n v="512.0"/>
        <n v="91.0"/>
        <n v="277.0"/>
        <n v="125.0"/>
        <n v="527.0"/>
        <n v="98.0"/>
        <n v="1082.0"/>
        <n v="237.0"/>
        <n v="133.0"/>
        <n v="387.0"/>
        <n v="173.0"/>
        <n v="209.0"/>
        <n v="65.0"/>
        <n v="326.0"/>
        <n v="303.0"/>
        <n v="113.0"/>
        <n v="92.0"/>
        <n v="624.0"/>
        <n v="104.0"/>
        <n v="117.0"/>
        <n v="186.0"/>
        <n v="273.0"/>
        <n v="72.0"/>
        <n v="264.0"/>
        <n v="327.0"/>
        <n v="145.0"/>
        <n v="538.0"/>
        <n v="459.0"/>
        <n v="105.0"/>
        <n v="200.0"/>
        <n v="329.0"/>
      </sharedItems>
    </cacheField>
    <cacheField name="Transaction amount" numFmtId="0">
      <sharedItems containsString="0" containsBlank="1" containsNumber="1">
        <n v="77.0"/>
        <n v="820.0"/>
        <n v="430.0"/>
        <n v="58.0"/>
        <n v="57.0"/>
        <n v="608.0"/>
        <n v="200.0"/>
        <n v="15.0"/>
        <n v="88.0"/>
        <n v="333.0"/>
        <n v="420.0"/>
        <n v="97.0"/>
        <n v="3.0"/>
        <n v="19.0"/>
        <n v="392.0"/>
        <n v="6.0"/>
        <n v="95.0"/>
        <n v="59.0"/>
        <n v="181.0"/>
        <n v="396.0"/>
        <n v="93.0"/>
        <n v="101.0"/>
        <n v="472.0"/>
        <n v="89.0"/>
        <n v="153.0"/>
        <n v="185.0"/>
        <n v="330.0"/>
        <n v="566.0"/>
        <n v="113.0"/>
        <n v="146.0"/>
        <n v="28.0"/>
        <n v="190.0"/>
        <n v="163.0"/>
        <n v="48.0"/>
        <n v="583.0"/>
        <n v="80.0"/>
        <m/>
        <n v="768.0"/>
        <n v="27.0"/>
        <n v="268.0"/>
        <n v="44.0"/>
        <n v="138.0"/>
        <n v="50.0"/>
        <n v="156.0"/>
        <n v="691.0"/>
        <n v="84.0"/>
        <n v="61.0"/>
        <n v="363.0"/>
        <n v="218.0"/>
        <n v="443.0"/>
        <n v="78.0"/>
        <n v="87.0"/>
        <n v="18.0"/>
        <n v="55.0"/>
        <n v="21.0"/>
        <n v="9.0"/>
        <n v="105.0"/>
        <n v="68.0"/>
        <n v="313.0"/>
        <n v="198.0"/>
        <n v="310.0"/>
        <n v="79.0"/>
        <n v="24.0"/>
        <n v="164.0"/>
        <n v="334.0"/>
        <n v="40.0"/>
        <n v="108.0"/>
        <n v="124.0"/>
        <n v="30.0"/>
        <n v="2.0"/>
        <n v="578.0"/>
        <n v="41.0"/>
        <n v="428.0"/>
        <n v="320.0"/>
        <n v="150.0"/>
        <n v="841.0"/>
        <n v="8.0"/>
        <n v="465.0"/>
        <n v="106.0"/>
        <n v="145.0"/>
        <n v="42.0"/>
        <n v="10.0"/>
        <n v="275.0"/>
        <n v="341.0"/>
        <n v="90.0"/>
        <n v="186.0"/>
        <n v="475.0"/>
        <n v="104.0"/>
        <n v="240.0"/>
        <n v="100.0"/>
        <n v="600.0"/>
        <n v="72.0"/>
        <n v="172.0"/>
        <n v="66.0"/>
        <n v="144.0"/>
        <n v="140.0"/>
        <n v="180.0"/>
        <n v="1203.0"/>
        <n v="96.0"/>
        <n v="195.0"/>
        <n v="20.0"/>
        <n v="152.0"/>
        <n v="708.0"/>
        <n v="176.0"/>
        <n v="165.0"/>
        <n v="208.0"/>
        <n v="511.0"/>
        <n v="212.0"/>
        <n v="110.0"/>
        <n v="2294.0"/>
        <n v="22.0"/>
        <n v="683.0"/>
        <n v="210.0"/>
        <n v="75.0"/>
        <n v="457.0"/>
        <n v="447.0"/>
        <n v="248.0"/>
        <n v="610.0"/>
        <n v="64.0"/>
        <n v="391.0"/>
        <n v="857.0"/>
        <n v="712.0"/>
        <n v="246.0"/>
        <n v="183.0"/>
        <n v="148.0"/>
        <n v="235.0"/>
        <n v="1227.0"/>
        <n v="481.0"/>
        <n v="219.0"/>
        <n v="263.0"/>
        <n v="115.0"/>
        <n v="988.0"/>
        <n v="417.0"/>
        <n v="56.0"/>
        <n v="120.0"/>
        <n v="1172.0"/>
        <n v="74.0"/>
        <n v="290.0"/>
        <n v="25.0"/>
        <n v="32.0"/>
        <n v="12.0"/>
        <n v="236.0"/>
        <n v="260.0"/>
        <n v="269.0"/>
        <n v="216.0"/>
        <n v="63.0"/>
        <n v="4.0"/>
        <n v="245.0"/>
        <n v="98.0"/>
        <n v="416.0"/>
        <n v="255.0"/>
        <n v="155.0"/>
        <n v="1200.0"/>
        <n v="33.0"/>
        <n v="230.0"/>
        <n v="644.0"/>
        <n v="1660.0"/>
        <n v="1024.0"/>
        <n v="635.0"/>
        <n v="149.0"/>
        <n v="1368.0"/>
        <n v="244.0"/>
        <n v="370.0"/>
        <n v="418.0"/>
        <n v="823.0"/>
        <n v="574.0"/>
        <n v="548.0"/>
        <n v="166.0"/>
        <n v="184.0"/>
        <n v="456.0"/>
        <n v="160.0"/>
        <n v="226.0"/>
        <n v="529.0"/>
        <n v="319.0"/>
        <n v="311.0"/>
        <n v="130.0"/>
        <n v="811.0"/>
        <n v="239.0"/>
        <n v="71.0"/>
        <n v="117.0"/>
        <n v="250.0"/>
        <n v="126.0"/>
        <n v="60.0"/>
        <n v="496.0"/>
        <n v="46.0"/>
        <n v="1190.0"/>
        <n v="168.0"/>
        <n v="204.0"/>
        <n v="581.0"/>
        <n v="36.0"/>
        <n v="201.0"/>
        <n v="214.0"/>
        <n v="254.0"/>
        <n v="296.0"/>
        <n v="34.0"/>
        <n v="45.0"/>
        <n v="26.0"/>
        <n v="52.0"/>
        <n v="1040.0"/>
        <n v="1332.0"/>
        <n v="111.0"/>
        <n v="972.0"/>
        <n v="131.0"/>
        <n v="92.0"/>
        <n v="14.0"/>
        <n v="515.0"/>
        <n v="492.0"/>
        <n v="265.0"/>
        <n v="369.0"/>
        <n v="528.0"/>
        <n v="167.0"/>
        <n v="135.0"/>
        <n v="129.0"/>
        <n v="385.0"/>
        <n v="143.0"/>
        <n v="35.0"/>
        <n v="16.0"/>
        <n v="215.0"/>
        <n v="955.0"/>
        <n v="193.0"/>
        <n v="102.0"/>
        <n v="83.0"/>
        <n v="49.0"/>
        <n v="62.0"/>
        <n v="326.0"/>
        <n v="142.0"/>
        <n v="243.0"/>
        <n v="867.0"/>
        <n v="54.0"/>
        <n v="47.0"/>
        <n v="1194.0"/>
        <n v="192.0"/>
        <n v="843.0"/>
        <n v="440.0"/>
        <n v="444.0"/>
        <n v="580.0"/>
        <n v="605.0"/>
        <n v="438.0"/>
        <n v="134.0"/>
        <n v="267.0"/>
        <n v="382.0"/>
        <n v="170.0"/>
        <n v="905.0"/>
        <n v="1545.0"/>
        <n v="266.0"/>
        <n v="1130.0"/>
        <n v="161.0"/>
        <n v="487.0"/>
        <n v="437.0"/>
        <n v="386.0"/>
        <n v="276.0"/>
        <n v="916.0"/>
        <n v="38.0"/>
        <n v="291.0"/>
        <n v="223.0"/>
        <n v="830.0"/>
        <n v="222.0"/>
        <n v="125.0"/>
        <n v="136.0"/>
        <n v="337.0"/>
        <n v="91.0"/>
        <n v="850.0"/>
        <n v="171.0"/>
        <n v="342.0"/>
        <n v="29.0"/>
        <n v="306.0"/>
        <n v="154.0"/>
        <n v="225.0"/>
        <n v="147.0"/>
        <n v="39.0"/>
        <n v="70.0"/>
        <n v="182.0"/>
        <n v="37.0"/>
        <n v="1061.0"/>
        <n v="870.0"/>
        <n v="478.0"/>
        <n v="671.0"/>
        <n v="73.0"/>
        <n v="65.0"/>
        <n v="252.0"/>
        <n v="159.0"/>
        <n v="81.0"/>
        <n v="23.0"/>
        <n v="188.0"/>
        <n v="554.0"/>
        <n v="535.0"/>
        <n v="114.0"/>
        <n v="470.0"/>
        <n v="297.0"/>
        <n v="174.0"/>
        <n v="450.0"/>
        <n v="249.0"/>
        <n v="205.0"/>
        <n v="107.0"/>
        <n v="261.0"/>
        <n v="589.0"/>
        <n v="873.0"/>
        <n v="1325.0"/>
        <n v="345.0"/>
        <n v="423.0"/>
        <n v="272.0"/>
        <n v="286.0"/>
        <n v="288.0"/>
        <n v="427.0"/>
        <n v="31.0"/>
        <n v="446.0"/>
        <n v="273.0"/>
        <n v="112.0"/>
        <n v="179.0"/>
        <n v="380.0"/>
        <n v="280.0"/>
        <n v="522.0"/>
        <n v="715.0"/>
        <n v="505.0"/>
        <n v="765.0"/>
        <n v="660.0"/>
        <n v="51.0"/>
        <n v="121.0"/>
        <n v="234.0"/>
        <n v="189.0"/>
        <n v="7.0"/>
        <n v="553.0"/>
        <n v="885.0"/>
        <n v="400.0"/>
        <n v="344.0"/>
        <n v="122.0"/>
        <n v="123.0"/>
        <n v="285.0"/>
        <n v="398.0"/>
        <n v="141.0"/>
        <n v="460.0"/>
        <n v="162.0"/>
        <n v="364.0"/>
        <n v="493.0"/>
        <n v="128.0"/>
        <n v="85.0"/>
        <n v="69.0"/>
        <n v="194.0"/>
        <n v="173.0"/>
        <n v="133.0"/>
        <n v="402.0"/>
        <n v="570.0"/>
        <n v="403.0"/>
        <n v="615.0"/>
        <n v="237.0"/>
        <n v="196.0"/>
        <n v="103.0"/>
        <n v="67.0"/>
        <n v="82.0"/>
        <n v="1007.0"/>
        <n v="849.0"/>
        <n v="1295.0"/>
        <n v="435.0"/>
        <n v="512.0"/>
        <n v="247.0"/>
        <n v="300.0"/>
        <n v="270.0"/>
        <n v="132.0"/>
        <n v="710.0"/>
        <n v="277.0"/>
        <n v="302.0"/>
        <n v="191.0"/>
        <n v="1010.0"/>
        <n v="366.0"/>
        <n v="305.0"/>
        <n v="527.0"/>
        <n v="490.0"/>
        <n v="99.0"/>
        <n v="365.0"/>
        <n v="127.0"/>
        <n v="323.0"/>
        <n v="339.0"/>
        <n v="5.0"/>
        <n v="119.0"/>
        <n v="1.0"/>
        <n v="175.0"/>
        <n v="350.0"/>
        <n v="1082.0"/>
        <n v="256.0"/>
        <n v="575.0"/>
        <n v="476.0"/>
        <n v="399.0"/>
        <n v="531.0"/>
        <n v="213.0"/>
        <n v="620.0"/>
        <n v="17.0"/>
        <n v="387.0"/>
        <n v="224.0"/>
        <n v="404.0"/>
        <n v="109.0"/>
        <n v="11.0"/>
        <n v="1038.0"/>
        <n v="86.0"/>
        <n v="209.0"/>
        <n v="203.0"/>
        <n v="92.5"/>
        <n v="11.75"/>
        <n v="52.5"/>
        <n v="75.5"/>
        <n v="315.0"/>
        <n v="71.5"/>
        <n v="38.5"/>
        <n v="42.25"/>
        <n v="31.5"/>
        <n v="67.5"/>
        <n v="524.0"/>
        <n v="158.0"/>
        <n v="347.0"/>
        <n v="303.0"/>
        <n v="354.0"/>
        <n v="76.0"/>
        <n v="545.0"/>
        <n v="624.0"/>
        <n v="520.0"/>
        <n v="207.0"/>
        <n v="351.0"/>
        <n v="425.0"/>
        <n v="940.0"/>
        <n v="565.0"/>
        <n v="585.0"/>
        <n v="637.0"/>
        <n v="678.0"/>
        <n v="371.0"/>
        <n v="231.0"/>
        <n v="94.0"/>
        <n v="301.0"/>
        <n v="138.5"/>
        <n v="294.5"/>
        <n v="104.5"/>
        <n v="42.5"/>
        <n v="258.0"/>
        <n v="295.0"/>
        <n v="34.5"/>
        <n v="21.5"/>
        <n v="16.5"/>
        <n v="538.0"/>
        <n v="25.5"/>
        <n v="157.0"/>
        <n v="360.0"/>
        <n v="264.0"/>
        <n v="294.0"/>
        <n v="613.0"/>
        <n v="486.0"/>
        <n v="292.0"/>
        <n v="591.0"/>
        <n v="514.0"/>
        <n v="329.0"/>
        <n v="186.5"/>
        <n v="98.5"/>
        <n v="87.5"/>
        <n v="12.5"/>
      </sharedItems>
    </cacheField>
    <cacheField name="The refund count" numFmtId="0">
      <sharedItems containsString="0" containsBlank="1" containsNumber="1" containsInteger="1">
        <m/>
        <n v="0.0"/>
      </sharedItems>
    </cacheField>
    <cacheField name="Refund amount" numFmtId="0">
      <sharedItems containsString="0" containsBlank="1" containsNumber="1" containsInteger="1">
        <m/>
        <n v="0.0"/>
      </sharedItems>
    </cacheField>
    <cacheField name="Total Transaction Quantity" numFmtId="0">
      <sharedItems containsString="0" containsBlank="1" containsNumber="1" containsInteger="1">
        <n v="19.0"/>
        <n v="46.0"/>
        <n v="88.0"/>
        <n v="29.0"/>
        <n v="152.0"/>
        <n v="50.0"/>
        <n v="3.0"/>
        <n v="320.0"/>
        <n v="108.0"/>
        <n v="34.0"/>
        <n v="1.0"/>
        <n v="7.0"/>
        <n v="79.0"/>
        <n v="2.0"/>
        <n v="21.0"/>
        <n v="10.0"/>
        <n v="396.0"/>
        <n v="47.0"/>
        <n v="472.0"/>
        <n v="33.0"/>
        <n v="24.0"/>
        <n v="61.0"/>
        <n v="66.0"/>
        <n v="283.0"/>
        <n v="43.0"/>
        <n v="71.0"/>
        <n v="14.0"/>
        <n v="38.0"/>
        <n v="163.0"/>
        <n v="16.0"/>
        <n v="144.0"/>
        <n v="80.0"/>
        <n v="0.0"/>
        <n v="31.0"/>
        <n v="40.0"/>
        <n v="9.0"/>
        <n v="54.0"/>
        <n v="22.0"/>
        <n v="69.0"/>
        <n v="174.0"/>
        <n v="18.0"/>
        <n v="363.0"/>
        <n v="201.0"/>
        <n v="107.0"/>
        <n v="13.0"/>
        <n v="6.0"/>
        <n v="11.0"/>
        <n v="17.0"/>
        <n v="313.0"/>
        <n v="95.0"/>
        <n v="62.0"/>
        <n v="8.0"/>
        <n v="41.0"/>
        <n v="334.0"/>
        <n v="25.0"/>
        <n v="35.0"/>
        <n v="36.0"/>
        <n v="4.0"/>
        <n v="5.0"/>
        <n v="23.0"/>
        <n v="64.0"/>
        <n v="39.0"/>
        <n v="30.0"/>
        <n v="211.0"/>
        <n v="465.0"/>
        <n v="106.0"/>
        <n v="57.0"/>
        <n v="341.0"/>
        <n v="90.0"/>
        <n v="93.0"/>
        <n v="26.0"/>
        <n v="60.0"/>
        <n v="28.0"/>
        <n v="600.0"/>
        <n v="48.0"/>
        <n v="44.0"/>
        <n v="45.0"/>
        <n v="302.0"/>
        <n v="76.0"/>
        <n v="177.0"/>
        <n v="109.0"/>
        <n v="499.0"/>
        <n v="566.0"/>
        <n v="170.0"/>
        <n v="42.0"/>
        <n v="15.0"/>
        <n v="20.0"/>
        <n v="97.0"/>
        <n v="447.0"/>
        <n v="156.0"/>
        <n v="124.0"/>
        <n v="115.0"/>
        <n v="86.0"/>
        <n v="216.0"/>
        <n v="712.0"/>
        <n v="82.0"/>
        <n v="37.0"/>
        <n v="53.0"/>
        <n v="252.0"/>
        <n v="32.0"/>
        <n v="120.0"/>
        <n v="247.0"/>
        <n v="101.0"/>
        <n v="59.0"/>
        <n v="233.0"/>
        <n v="279.0"/>
        <n v="52.0"/>
        <n v="269.0"/>
        <n v="49.0"/>
        <n v="412.0"/>
        <n v="85.0"/>
        <n v="240.0"/>
        <n v="161.0"/>
        <n v="12.0"/>
        <n v="332.0"/>
        <n v="1024.0"/>
        <n v="127.0"/>
        <n v="123.0"/>
        <n v="561.0"/>
        <n v="548.0"/>
        <n v="83.0"/>
        <n v="102.0"/>
        <n v="67.0"/>
        <n v="239.0"/>
        <n v="244.0"/>
        <n v="487.0"/>
        <n v="63.0"/>
        <n v="238.0"/>
        <n v="141.0"/>
        <n v="214.0"/>
        <n v="74.0"/>
        <n v="208.0"/>
        <n v="1332.0"/>
        <n v="193.0"/>
        <n v="139.0"/>
        <n v="391.0"/>
        <n v="51.0"/>
        <n v="81.0"/>
        <n v="112.0"/>
        <n v="191.0"/>
        <n v="183.0"/>
        <n v="225.0"/>
        <n v="867.0"/>
        <n v="444.0"/>
        <n v="116.0"/>
        <n v="138.0"/>
        <n v="153.0"/>
        <n v="73.0"/>
        <n v="99.0"/>
        <n v="89.0"/>
        <n v="27.0"/>
        <n v="181.0"/>
        <n v="1545.0"/>
        <n v="226.0"/>
        <n v="110.0"/>
        <n v="433.0"/>
        <n v="166.0"/>
        <n v="210.0"/>
        <n v="850.0"/>
        <n v="131.0"/>
        <n v="342.0"/>
        <n v="75.0"/>
        <n v="77.0"/>
        <n v="70.0"/>
        <n v="1049.0"/>
        <n v="55.0"/>
        <n v="333.0"/>
        <n v="228.0"/>
        <n v="84.0"/>
        <n v="536.0"/>
        <n v="94.0"/>
        <n v="297.0"/>
        <n v="68.0"/>
        <n v="100.0"/>
        <n v="118.0"/>
        <n v="265.0"/>
        <n v="377.0"/>
        <n v="143.0"/>
        <n v="96.0"/>
        <n v="103.0"/>
        <n v="446.0"/>
        <n v="253.0"/>
        <n v="189.0"/>
        <n v="172.0"/>
        <n v="505.0"/>
        <n v="132.0"/>
        <n v="267.0"/>
        <n v="121.0"/>
        <n v="58.0"/>
        <n v="140.0"/>
        <n v="553.0"/>
        <n v="330.0"/>
        <n v="111.0"/>
        <n v="56.0"/>
        <n v="383.0"/>
        <n v="155.0"/>
        <n v="150.0"/>
        <n v="194.0"/>
        <n v="402.0"/>
        <n v="114.0"/>
        <n v="403.0"/>
        <n v="199.0"/>
        <n v="849.0"/>
        <n v="259.0"/>
        <n v="87.0"/>
        <n v="512.0"/>
        <n v="91.0"/>
        <n v="277.0"/>
        <n v="125.0"/>
        <n v="527.0"/>
        <n v="98.0"/>
        <n v="1082.0"/>
        <n v="237.0"/>
        <n v="133.0"/>
        <n v="387.0"/>
        <n v="173.0"/>
        <n v="209.0"/>
        <n v="65.0"/>
        <n v="326.0"/>
        <m/>
        <n v="303.0"/>
        <n v="113.0"/>
        <n v="92.0"/>
        <n v="624.0"/>
        <n v="104.0"/>
        <n v="117.0"/>
        <n v="186.0"/>
        <n v="273.0"/>
        <n v="72.0"/>
        <n v="264.0"/>
        <n v="327.0"/>
        <n v="145.0"/>
        <n v="538.0"/>
        <n v="459.0"/>
        <n v="105.0"/>
        <n v="200.0"/>
        <n v="329.0"/>
      </sharedItems>
    </cacheField>
    <cacheField name="Total Transaction Amount" numFmtId="0">
      <sharedItems containsString="0" containsBlank="1" containsNumber="1">
        <n v="77.0"/>
        <n v="820.0"/>
        <n v="430.0"/>
        <n v="58.0"/>
        <n v="57.0"/>
        <n v="608.0"/>
        <n v="200.0"/>
        <n v="15.0"/>
        <n v="88.0"/>
        <n v="333.0"/>
        <n v="420.0"/>
        <n v="97.0"/>
        <n v="3.0"/>
        <n v="19.0"/>
        <n v="392.0"/>
        <n v="6.0"/>
        <n v="95.0"/>
        <n v="59.0"/>
        <n v="181.0"/>
        <n v="396.0"/>
        <n v="93.0"/>
        <n v="101.0"/>
        <n v="472.0"/>
        <n v="89.0"/>
        <n v="153.0"/>
        <n v="185.0"/>
        <n v="330.0"/>
        <n v="566.0"/>
        <n v="113.0"/>
        <n v="146.0"/>
        <n v="28.0"/>
        <n v="190.0"/>
        <n v="163.0"/>
        <n v="48.0"/>
        <n v="583.0"/>
        <n v="80.0"/>
        <n v="0.0"/>
        <n v="768.0"/>
        <n v="27.0"/>
        <n v="268.0"/>
        <n v="44.0"/>
        <n v="138.0"/>
        <n v="50.0"/>
        <n v="156.0"/>
        <n v="691.0"/>
        <n v="84.0"/>
        <n v="61.0"/>
        <n v="363.0"/>
        <n v="218.0"/>
        <n v="443.0"/>
        <n v="78.0"/>
        <n v="87.0"/>
        <n v="18.0"/>
        <n v="55.0"/>
        <n v="21.0"/>
        <n v="9.0"/>
        <n v="105.0"/>
        <n v="68.0"/>
        <n v="313.0"/>
        <n v="198.0"/>
        <n v="310.0"/>
        <n v="79.0"/>
        <n v="24.0"/>
        <n v="164.0"/>
        <n v="334.0"/>
        <n v="40.0"/>
        <n v="108.0"/>
        <n v="124.0"/>
        <n v="30.0"/>
        <n v="2.0"/>
        <n v="578.0"/>
        <n v="41.0"/>
        <n v="428.0"/>
        <n v="320.0"/>
        <n v="150.0"/>
        <n v="841.0"/>
        <n v="8.0"/>
        <n v="465.0"/>
        <n v="106.0"/>
        <n v="145.0"/>
        <n v="42.0"/>
        <n v="10.0"/>
        <n v="275.0"/>
        <n v="341.0"/>
        <n v="90.0"/>
        <n v="186.0"/>
        <n v="475.0"/>
        <n v="104.0"/>
        <n v="240.0"/>
        <n v="100.0"/>
        <n v="600.0"/>
        <n v="72.0"/>
        <n v="172.0"/>
        <n v="66.0"/>
        <n v="144.0"/>
        <n v="140.0"/>
        <n v="180.0"/>
        <n v="1203.0"/>
        <n v="96.0"/>
        <n v="195.0"/>
        <n v="20.0"/>
        <n v="152.0"/>
        <n v="708.0"/>
        <n v="176.0"/>
        <n v="165.0"/>
        <n v="208.0"/>
        <n v="511.0"/>
        <n v="212.0"/>
        <n v="110.0"/>
        <n v="2294.0"/>
        <n v="22.0"/>
        <n v="683.0"/>
        <n v="210.0"/>
        <n v="75.0"/>
        <n v="457.0"/>
        <n v="447.0"/>
        <n v="248.0"/>
        <n v="610.0"/>
        <n v="64.0"/>
        <n v="391.0"/>
        <n v="857.0"/>
        <n v="712.0"/>
        <n v="246.0"/>
        <n v="183.0"/>
        <n v="148.0"/>
        <n v="235.0"/>
        <n v="1227.0"/>
        <n v="481.0"/>
        <n v="219.0"/>
        <n v="263.0"/>
        <n v="115.0"/>
        <n v="988.0"/>
        <n v="417.0"/>
        <n v="56.0"/>
        <n v="120.0"/>
        <n v="1172.0"/>
        <n v="74.0"/>
        <n v="290.0"/>
        <n v="25.0"/>
        <n v="32.0"/>
        <n v="12.0"/>
        <n v="236.0"/>
        <n v="260.0"/>
        <n v="269.0"/>
        <n v="216.0"/>
        <n v="63.0"/>
        <n v="4.0"/>
        <n v="245.0"/>
        <n v="98.0"/>
        <n v="416.0"/>
        <n v="255.0"/>
        <n v="155.0"/>
        <n v="1200.0"/>
        <n v="33.0"/>
        <n v="230.0"/>
        <n v="644.0"/>
        <n v="1660.0"/>
        <n v="1024.0"/>
        <n v="635.0"/>
        <n v="149.0"/>
        <n v="1368.0"/>
        <n v="244.0"/>
        <n v="370.0"/>
        <n v="418.0"/>
        <n v="823.0"/>
        <n v="574.0"/>
        <n v="548.0"/>
        <n v="166.0"/>
        <n v="184.0"/>
        <n v="456.0"/>
        <n v="160.0"/>
        <n v="226.0"/>
        <n v="529.0"/>
        <n v="319.0"/>
        <n v="311.0"/>
        <n v="130.0"/>
        <n v="811.0"/>
        <n v="239.0"/>
        <n v="71.0"/>
        <n v="117.0"/>
        <n v="250.0"/>
        <n v="126.0"/>
        <n v="60.0"/>
        <n v="496.0"/>
        <n v="46.0"/>
        <n v="1190.0"/>
        <n v="168.0"/>
        <n v="204.0"/>
        <n v="581.0"/>
        <n v="36.0"/>
        <n v="201.0"/>
        <n v="214.0"/>
        <n v="254.0"/>
        <n v="296.0"/>
        <n v="34.0"/>
        <n v="45.0"/>
        <n v="26.0"/>
        <n v="52.0"/>
        <n v="1040.0"/>
        <n v="1332.0"/>
        <n v="111.0"/>
        <n v="972.0"/>
        <n v="131.0"/>
        <n v="92.0"/>
        <n v="14.0"/>
        <n v="515.0"/>
        <n v="492.0"/>
        <n v="265.0"/>
        <n v="369.0"/>
        <n v="528.0"/>
        <n v="167.0"/>
        <n v="135.0"/>
        <n v="129.0"/>
        <n v="385.0"/>
        <n v="143.0"/>
        <n v="35.0"/>
        <n v="16.0"/>
        <n v="215.0"/>
        <n v="955.0"/>
        <n v="193.0"/>
        <n v="102.0"/>
        <n v="83.0"/>
        <n v="49.0"/>
        <n v="62.0"/>
        <n v="326.0"/>
        <n v="142.0"/>
        <n v="243.0"/>
        <n v="867.0"/>
        <n v="54.0"/>
        <n v="47.0"/>
        <n v="1194.0"/>
        <n v="192.0"/>
        <n v="843.0"/>
        <n v="440.0"/>
        <n v="444.0"/>
        <n v="580.0"/>
        <n v="605.0"/>
        <n v="438.0"/>
        <n v="134.0"/>
        <n v="267.0"/>
        <n v="382.0"/>
        <n v="170.0"/>
        <n v="905.0"/>
        <n v="1545.0"/>
        <n v="266.0"/>
        <n v="1130.0"/>
        <n v="161.0"/>
        <n v="487.0"/>
        <n v="437.0"/>
        <n v="386.0"/>
        <n v="276.0"/>
        <n v="916.0"/>
        <n v="38.0"/>
        <n v="291.0"/>
        <n v="223.0"/>
        <n v="830.0"/>
        <n v="222.0"/>
        <n v="125.0"/>
        <n v="136.0"/>
        <n v="337.0"/>
        <n v="91.0"/>
        <n v="850.0"/>
        <n v="171.0"/>
        <n v="342.0"/>
        <n v="29.0"/>
        <n v="306.0"/>
        <n v="154.0"/>
        <n v="225.0"/>
        <n v="147.0"/>
        <n v="39.0"/>
        <n v="70.0"/>
        <n v="182.0"/>
        <n v="37.0"/>
        <n v="1061.0"/>
        <n v="870.0"/>
        <n v="478.0"/>
        <n v="671.0"/>
        <n v="73.0"/>
        <n v="65.0"/>
        <n v="252.0"/>
        <n v="159.0"/>
        <n v="81.0"/>
        <n v="23.0"/>
        <n v="188.0"/>
        <n v="554.0"/>
        <n v="535.0"/>
        <n v="114.0"/>
        <n v="470.0"/>
        <n v="297.0"/>
        <n v="174.0"/>
        <n v="450.0"/>
        <n v="249.0"/>
        <n v="205.0"/>
        <n v="107.0"/>
        <n v="261.0"/>
        <n v="589.0"/>
        <n v="873.0"/>
        <n v="1325.0"/>
        <n v="345.0"/>
        <n v="423.0"/>
        <n v="272.0"/>
        <n v="286.0"/>
        <n v="288.0"/>
        <n v="427.0"/>
        <n v="31.0"/>
        <n v="446.0"/>
        <n v="273.0"/>
        <n v="112.0"/>
        <n v="179.0"/>
        <n v="380.0"/>
        <n v="280.0"/>
        <n v="522.0"/>
        <n v="715.0"/>
        <n v="505.0"/>
        <n v="765.0"/>
        <n v="660.0"/>
        <n v="51.0"/>
        <n v="121.0"/>
        <n v="234.0"/>
        <n v="189.0"/>
        <n v="7.0"/>
        <n v="553.0"/>
        <n v="885.0"/>
        <n v="400.0"/>
        <n v="344.0"/>
        <n v="122.0"/>
        <n v="123.0"/>
        <n v="285.0"/>
        <n v="398.0"/>
        <n v="141.0"/>
        <n v="460.0"/>
        <n v="162.0"/>
        <n v="364.0"/>
        <n v="493.0"/>
        <n v="128.0"/>
        <n v="85.0"/>
        <n v="69.0"/>
        <n v="194.0"/>
        <n v="173.0"/>
        <n v="133.0"/>
        <n v="402.0"/>
        <n v="570.0"/>
        <n v="403.0"/>
        <n v="615.0"/>
        <n v="237.0"/>
        <n v="196.0"/>
        <n v="103.0"/>
        <n v="67.0"/>
        <n v="82.0"/>
        <n v="1007.0"/>
        <n v="849.0"/>
        <n v="1295.0"/>
        <n v="435.0"/>
        <n v="512.0"/>
        <n v="247.0"/>
        <n v="300.0"/>
        <n v="270.0"/>
        <n v="132.0"/>
        <n v="710.0"/>
        <n v="277.0"/>
        <n v="302.0"/>
        <n v="191.0"/>
        <n v="1010.0"/>
        <n v="366.0"/>
        <n v="305.0"/>
        <n v="527.0"/>
        <n v="490.0"/>
        <n v="99.0"/>
        <n v="365.0"/>
        <n v="127.0"/>
        <n v="323.0"/>
        <n v="339.0"/>
        <n v="5.0"/>
        <n v="119.0"/>
        <n v="1.0"/>
        <n v="175.0"/>
        <n v="350.0"/>
        <n v="1082.0"/>
        <n v="256.0"/>
        <n v="575.0"/>
        <n v="476.0"/>
        <n v="399.0"/>
        <n v="531.0"/>
        <n v="213.0"/>
        <n v="620.0"/>
        <n v="17.0"/>
        <n v="387.0"/>
        <n v="224.0"/>
        <n v="404.0"/>
        <n v="109.0"/>
        <n v="11.0"/>
        <n v="1038.0"/>
        <n v="86.0"/>
        <n v="209.0"/>
        <n v="203.0"/>
        <n v="92.5"/>
        <n v="11.75"/>
        <n v="52.5"/>
        <n v="75.5"/>
        <n v="315.0"/>
        <n v="71.5"/>
        <n v="38.5"/>
        <n v="42.25"/>
        <n v="31.5"/>
        <n v="67.5"/>
        <n v="524.0"/>
        <n v="158.0"/>
        <n v="347.0"/>
        <m/>
        <n v="303.0"/>
        <n v="354.0"/>
        <n v="76.0"/>
        <n v="545.0"/>
        <n v="624.0"/>
        <n v="520.0"/>
        <n v="207.0"/>
        <n v="351.0"/>
        <n v="425.0"/>
        <n v="940.0"/>
        <n v="565.0"/>
        <n v="585.0"/>
        <n v="637.0"/>
        <n v="678.0"/>
        <n v="371.0"/>
        <n v="231.0"/>
        <n v="94.0"/>
        <n v="301.0"/>
        <n v="138.5"/>
        <n v="294.5"/>
        <n v="104.5"/>
        <n v="42.5"/>
        <n v="258.0"/>
        <n v="295.0"/>
        <n v="34.5"/>
        <n v="21.5"/>
        <n v="16.5"/>
        <n v="538.0"/>
        <n v="25.5"/>
        <n v="157.0"/>
        <n v="360.0"/>
        <n v="264.0"/>
        <n v="294.0"/>
        <n v="613.0"/>
        <n v="486.0"/>
        <n v="292.0"/>
        <n v="591.0"/>
        <n v="514.0"/>
        <n v="329.0"/>
        <n v="186.5"/>
        <n v="98.5"/>
        <n v="87.5"/>
        <n v="12.5"/>
      </sharedItems>
    </cacheField>
    <cacheField name="Cost Price" numFmtId="0">
      <sharedItems containsString="0" containsBlank="1" containsNumber="1">
        <n v="0.0"/>
        <n v="2.8"/>
        <n v="0.3"/>
        <n v="6.2"/>
        <n v="4.75"/>
        <n v="2.0"/>
        <n v="3.08"/>
        <n v="3.45"/>
        <n v="1.83"/>
        <n v="5.83"/>
        <n v="3.5"/>
        <n v="0.6"/>
        <n v="0.7"/>
        <n v="5.8"/>
        <n v="1.54"/>
        <n v="0.92"/>
        <n v="7.0"/>
        <n v="12.0"/>
        <n v="1.33"/>
        <n v="3.79"/>
        <n v="2.2"/>
        <n v="2.92"/>
        <n v="3.41"/>
        <n v="3.75"/>
        <n v="3.28"/>
        <n v="4.5"/>
        <n v="2.25"/>
        <n v="3.6"/>
        <n v="8.25"/>
        <n v="3.0"/>
        <n v="0.63"/>
        <n v="5.18"/>
        <n v="3.63"/>
        <n v="3.25"/>
        <n v="2.4"/>
        <n v="2.96"/>
        <n v="2.33"/>
        <n v="4.13"/>
        <n v="2.05"/>
        <n v="1.0"/>
        <n v="1.75"/>
        <n v="2.62"/>
        <n v="4.7"/>
        <n v="0.91"/>
        <n v="2.08"/>
        <n v="2.44"/>
        <n v="2.83"/>
        <n v="1.6"/>
        <n v="2.17"/>
        <n v="8.5"/>
        <n v="6.0"/>
        <n v="2.6"/>
        <n v="2.91"/>
        <n v="8.83"/>
        <n v="14.16"/>
        <n v="5.0"/>
        <n v="9.0"/>
        <n v="4.58"/>
        <n v="9.58"/>
        <n v="1.36"/>
        <n v="4.79"/>
        <n v="1.8"/>
        <n v="4.4"/>
        <n v="0.95"/>
        <n v="1.87"/>
        <n v="1.3"/>
        <n v="2.66"/>
        <n v="3.8"/>
        <n v="5.2"/>
        <n v="3.13"/>
        <n v="2.77"/>
        <n v="0.47"/>
        <n v="3.17"/>
        <n v="0.68"/>
        <n v="2.18"/>
        <n v="24.17"/>
        <n v="8.0"/>
        <n v="1.37"/>
        <n v="3.16"/>
        <n v="2.67"/>
        <n v="0.45"/>
        <n v="2.35"/>
        <n v="5.96"/>
        <n v="0.43"/>
        <n v="1.58"/>
        <n v="0.87"/>
        <n v="1.41"/>
        <n v="3.33"/>
        <n v="1.95"/>
        <m/>
        <n v="2.93"/>
        <n v="0.28"/>
        <n v="7.5"/>
        <n v="4.29"/>
        <n v="1.79"/>
        <n v="5.5"/>
        <n v="2.29"/>
        <n v="2.04"/>
        <n v="4.08"/>
        <n v="7.2"/>
        <n v="15.0"/>
        <n v="3.62"/>
        <n v="1.08"/>
        <n v="3.66"/>
        <n v="1.12"/>
        <n v="1.91"/>
      </sharedItems>
    </cacheField>
    <cacheField name="Cost Amount" numFmtId="0">
      <sharedItems containsString="0" containsBlank="1" containsNumber="1">
        <n v="0.0"/>
        <n v="929.6"/>
        <n v="307.2"/>
        <n v="787.4"/>
        <n v="99.75"/>
        <n v="92.0"/>
        <n v="828.52"/>
        <n v="133.0"/>
        <n v="120.75"/>
        <n v="225.09"/>
        <n v="513.04"/>
        <n v="703.5"/>
        <n v="336.6"/>
        <n v="383.6"/>
        <n v="243.6"/>
        <n v="127.82"/>
        <n v="42.32"/>
        <n v="266.0"/>
        <n v="96.0"/>
        <n v="135.66"/>
        <n v="413.11"/>
        <n v="253.0"/>
        <n v="195.64"/>
        <n v="129.58"/>
        <n v="117.6"/>
        <n v="64.2"/>
        <n v="161.2"/>
        <n v="30.0"/>
        <n v="154.0"/>
        <n v="259.0"/>
        <n v="24.0"/>
        <n v="359.6"/>
        <n v="23.1"/>
        <n v="39.9"/>
        <n v="26.4"/>
        <n v="78.43"/>
        <n v="31.5"/>
        <n v="37.5"/>
        <n v="6.56"/>
        <n v="49.5"/>
        <n v="56.25"/>
        <n v="21.6"/>
        <n v="57.75"/>
        <n v="22.0"/>
        <n v="34.58"/>
        <n v="18.0"/>
        <n v="38.0"/>
        <n v="16.38"/>
        <n v="82.88"/>
        <n v="47.19"/>
        <n v="32.5"/>
        <n v="582.4"/>
        <n v="399.6"/>
        <n v="576.6"/>
        <n v="123.5"/>
        <n v="70.0"/>
        <n v="594.44"/>
        <n v="66.5"/>
        <n v="69.0"/>
        <n v="76.86"/>
        <n v="11.66"/>
        <n v="486.5"/>
        <n v="234.6"/>
        <n v="48.3"/>
        <n v="295.8"/>
        <n v="261.8"/>
        <n v="11.96"/>
        <n v="308.0"/>
        <n v="168.0"/>
        <n v="107.73"/>
        <n v="227.4"/>
        <n v="94.6"/>
        <n v="327.04"/>
        <n v="122.76"/>
        <n v="60.0"/>
        <n v="24.5"/>
        <n v="33.75"/>
        <n v="13.12"/>
        <n v="94.5"/>
        <n v="9.0"/>
        <n v="246.4"/>
        <n v="133.2"/>
        <n v="297.6"/>
        <n v="56.0"/>
        <n v="357.28"/>
        <n v="483.0"/>
        <n v="91.8"/>
        <n v="423.4"/>
        <n v="20.02"/>
        <n v="131.67"/>
        <n v="105.6"/>
        <n v="112.53"/>
        <n v="126.0"/>
        <n v="86.25"/>
        <n v="45.92"/>
        <n v="144.0"/>
        <n v="200.25"/>
        <n v="122.4"/>
        <n v="46.55"/>
        <n v="15.0"/>
        <n v="40.0"/>
        <n v="40.32"/>
        <n v="315.98"/>
        <n v="58.08"/>
        <n v="110.5"/>
        <n v="26.64"/>
        <n v="23.3"/>
        <n v="86.73"/>
        <n v="12.3"/>
        <n v="81.0"/>
        <n v="4.0"/>
        <n v="506.8"/>
        <n v="463.5"/>
        <n v="316.2"/>
        <n v="78.0"/>
        <n v="696.08"/>
        <n v="55.2"/>
        <n v="134.09"/>
        <n v="385.0"/>
        <n v="259.8"/>
        <n v="135.1"/>
        <n v="104.4"/>
        <n v="297.22"/>
        <n v="21.16"/>
        <n v="161.0"/>
        <n v="48.0"/>
        <n v="168.91"/>
        <n v="96.8"/>
        <n v="659.92"/>
        <n v="105.71"/>
        <n v="22.96"/>
        <n v="103.5"/>
        <n v="218.25"/>
        <n v="39.0"/>
        <n v="11.84"/>
        <n v="59.5"/>
        <n v="95.2"/>
        <n v="102.6"/>
        <n v="111.6"/>
        <n v="292.6"/>
        <n v="231.0"/>
        <n v="45.0"/>
        <n v="102.41"/>
        <n v="55.0"/>
        <n v="64.79"/>
        <n v="202.5"/>
        <n v="75.6"/>
        <n v="98.0"/>
        <n v="14.63"/>
        <n v="26.0"/>
        <n v="44.1"/>
        <n v="134.68"/>
        <n v="83.49"/>
        <n v="100.75"/>
        <n v="5.92"/>
        <n v="107.18"/>
        <n v="140.42"/>
        <n v="5.24"/>
        <n v="22.5"/>
        <n v="19.5"/>
        <n v="28.2"/>
        <n v="336.0"/>
        <n v="314.7"/>
        <n v="192.2"/>
        <n v="2.0"/>
        <n v="535.92"/>
        <n v="23.79"/>
        <n v="104.94"/>
        <n v="192.5"/>
        <n v="199.8"/>
        <n v="368.06"/>
        <n v="14.0"/>
        <n v="143.64"/>
        <n v="85.8"/>
        <n v="665.76"/>
        <n v="51.15"/>
        <n v="45.5"/>
        <n v="58.5"/>
        <n v="189.0"/>
        <n v="28.8"/>
        <n v="25.41"/>
        <n v="67.57"/>
        <n v="92.75"/>
        <n v="60.75"/>
        <n v="6.9"/>
        <n v="23.75"/>
        <n v="10.0"/>
        <n v="24.64"/>
        <n v="1.83"/>
        <n v="4.8"/>
        <n v="2.8"/>
        <n v="4.62"/>
        <n v="7.0"/>
        <n v="1.33"/>
        <n v="3.79"/>
        <n v="5.84"/>
        <n v="0.91"/>
        <n v="4.16"/>
        <n v="89.1"/>
        <n v="186.0"/>
        <n v="12.0"/>
        <n v="391.16"/>
        <n v="40.8"/>
        <n v="464.0"/>
        <n v="3.08"/>
        <n v="117.04"/>
        <n v="220.0"/>
        <n v="34.1"/>
        <n v="193.5"/>
        <n v="180.0"/>
        <n v="151.2"/>
        <n v="114.0"/>
        <n v="7.98"/>
        <n v="20.0"/>
        <n v="68.67"/>
        <n v="91.0"/>
        <n v="76.89"/>
        <n v="214.76"/>
        <n v="36.6"/>
        <n v="6.75"/>
        <n v="36.0"/>
        <n v="3.25"/>
        <n v="18.8"/>
        <n v="72.8"/>
        <n v="28.3"/>
        <n v="33.6"/>
        <n v="19.53"/>
        <n v="34.0"/>
        <n v="330.4"/>
        <n v="260.1"/>
        <n v="816.2"/>
        <n v="43.92"/>
        <n v="241.5"/>
        <n v="226.2"/>
        <n v="203.0"/>
        <n v="190.96"/>
        <n v="190.19"/>
        <n v="211.2"/>
        <n v="300.76"/>
        <n v="23.87"/>
        <n v="35.0"/>
        <n v="153.0"/>
        <n v="164.25"/>
        <n v="79.22"/>
        <n v="63.55"/>
        <n v="42.0"/>
        <n v="5.25"/>
        <n v="65.25"/>
        <n v="90.0"/>
        <n v="81.12"/>
        <n v="26.04"/>
        <n v="17.5"/>
        <n v="2.6"/>
        <n v="133.8"/>
        <n v="6.16"/>
        <n v="151.8"/>
        <n v="9.24"/>
        <n v="134.0"/>
        <n v="25.9"/>
        <n v="57.82"/>
        <n v="23.28"/>
        <n v="220.75"/>
        <n v="171.99"/>
        <n v="49.0"/>
        <n v="297.36"/>
        <n v="200.0"/>
        <n v="62.4"/>
        <n v="156.52"/>
        <n v="72.0"/>
        <n v="18.32"/>
        <n v="28.74"/>
        <n v="27.2"/>
        <n v="46.64"/>
        <n v="28.0"/>
        <n v="67.06"/>
        <n v="1.8"/>
        <n v="13.2"/>
        <n v="8.55"/>
        <n v="80.1"/>
        <n v="117.8"/>
        <n v="217.0"/>
        <n v="72.6"/>
        <n v="1.54"/>
        <n v="154.28"/>
        <n v="127.6"/>
        <n v="128.25"/>
        <n v="104.0"/>
        <n v="19.95"/>
        <n v="88.2"/>
        <n v="77.7"/>
        <n v="48.75"/>
        <n v="41.44"/>
        <n v="25.63"/>
        <n v="161.07"/>
        <n v="26.65"/>
        <n v="123.0"/>
        <n v="54.0"/>
        <n v="89.44"/>
        <n v="33.96"/>
        <n v="49.6"/>
        <n v="4.34"/>
        <n v="17.49"/>
        <n v="51.0"/>
        <n v="132.0"/>
        <n v="92.4"/>
        <n v="165.9"/>
        <n v="130.2"/>
        <n v="545.16"/>
        <n v="280.0"/>
        <n v="198.0"/>
        <n v="147.63"/>
        <n v="114.4"/>
        <n v="55.48"/>
        <n v="112.5"/>
        <n v="137.25"/>
        <n v="112.0"/>
        <n v="23.68"/>
        <n v="49.2"/>
        <n v="29.25"/>
        <n v="92.25"/>
        <n v="17.6"/>
        <n v="34.72"/>
        <n v="5.83"/>
        <n v="21.0"/>
        <n v="246.0"/>
        <n v="111.8"/>
        <n v="114.9"/>
        <n v="148.2"/>
        <n v="5.18"/>
        <n v="74.75"/>
        <n v="41.3"/>
        <n v="32.01"/>
        <n v="35.32"/>
        <n v="141.05"/>
        <n v="70.8"/>
        <n v="25.0"/>
        <n v="49.92"/>
        <n v="136.5"/>
        <n v="91.6"/>
        <n v="19.16"/>
        <n v="10.88"/>
        <n v="17.36"/>
        <n v="81.62"/>
        <n v="249.08"/>
        <n v="10.8"/>
        <n v="12.6"/>
        <n v="57.95"/>
        <n v="207.2"/>
        <n v="120.9"/>
        <n v="55.8"/>
        <n v="378.84"/>
        <n v="301.0"/>
        <n v="406.0"/>
        <n v="264.67"/>
        <n v="173.8"/>
        <n v="38.5"/>
        <n v="171.0"/>
        <n v="3.6"/>
        <n v="38.57"/>
        <n v="64.89"/>
        <n v="15.54"/>
        <n v="97.5"/>
        <n v="61.95"/>
        <n v="120.0"/>
        <n v="124.8"/>
        <n v="56.6"/>
        <n v="22.4"/>
        <n v="43.4"/>
        <n v="76.5"/>
        <n v="70.2"/>
        <n v="562.8"/>
        <n v="254.7"/>
        <n v="99.2"/>
        <n v="797.72"/>
        <n v="304.5"/>
        <n v="208.8"/>
        <n v="256.69"/>
        <n v="200.2"/>
        <n v="225.0"/>
        <n v="100.0"/>
        <n v="17.76"/>
        <n v="69.7"/>
        <n v="157.5"/>
        <n v="99.0"/>
        <n v="110.25"/>
        <n v="59.8"/>
        <n v="343.1"/>
        <n v="83.1"/>
        <n v="221.54"/>
        <n v="114.6"/>
        <n v="68.0"/>
        <n v="23.94"/>
        <n v="6.0"/>
        <n v="55.25"/>
        <n v="24.78"/>
        <n v="47.25"/>
        <n v="29.1"/>
        <n v="8.83"/>
        <n v="30.03"/>
        <n v="28.32"/>
        <n v="90.09"/>
        <n v="4.58"/>
        <n v="9.58"/>
        <n v="9.52"/>
        <n v="23.32"/>
        <n v="105.38"/>
        <n v="5.4"/>
        <n v="25.65"/>
        <n v="474.7"/>
        <n v="14.96"/>
        <n v="6.51"/>
        <n v="47.88"/>
        <n v="21.28"/>
        <n v="100.2"/>
        <n v="80.6"/>
        <n v="273.75"/>
        <n v="76.2"/>
        <n v="255.2"/>
        <n v="164.92"/>
        <n v="261.0"/>
        <n v="76.0"/>
        <n v="119.25"/>
        <n v="135.2"/>
        <n v="74.0"/>
        <n v="46.95"/>
        <n v="14.49"/>
        <n v="70.21"/>
        <n v="3.0"/>
        <n v="155.12"/>
        <n v="74.88"/>
        <n v="1.6"/>
        <n v="71.06"/>
        <n v="0.47"/>
        <n v="129.5"/>
        <n v="63.84"/>
        <n v="10.5"/>
        <n v="41.21"/>
        <n v="42.75"/>
        <n v="57.48"/>
        <n v="14.28"/>
        <n v="13.08"/>
        <n v="15.26"/>
        <n v="34.2"/>
        <n v="93.1"/>
        <n v="180.88"/>
        <n v="324.6"/>
        <n v="80.0"/>
        <n v="80.5"/>
        <n v="164.5"/>
        <n v="186.56"/>
        <n v="431.25"/>
        <n v="142.2"/>
        <n v="14.7"/>
        <n v="133.4"/>
        <n v="112.42"/>
        <n v="314.21"/>
        <n v="316.54"/>
        <n v="299.25"/>
        <n v="229.5"/>
        <n v="10.4"/>
        <n v="160.0"/>
        <n v="30.29"/>
        <n v="309.75"/>
        <n v="193.9"/>
        <n v="51.75"/>
        <n v="159.75"/>
        <n v="137.28"/>
        <n v="9.6"/>
        <n v="3.5"/>
        <n v="31.35"/>
        <n v="291.4"/>
        <n v="147.0"/>
        <n v="52.5"/>
        <n v="73.5"/>
        <n v="441.56"/>
        <n v="115.5"/>
        <n v="22.19"/>
        <n v="74.25"/>
        <n v="88.0"/>
        <n v="8.16"/>
        <n v="61.04"/>
        <n v="21.8"/>
        <n v="30.14"/>
        <n v="148.52"/>
        <n v="16.02"/>
        <n v="7.2"/>
        <n v="7.65"/>
        <n v="7.05"/>
        <n v="116.1"/>
        <n v="151.58"/>
        <n v="35.76"/>
        <n v="227.25"/>
        <n v="58.0"/>
        <n v="50.08"/>
        <n v="88.06"/>
        <n v="13.0"/>
        <n v="12.39"/>
        <n v="17.46"/>
        <n v="17.66"/>
        <n v="14.16"/>
        <n v="37.44"/>
        <n v="88.27"/>
        <n v="29.15"/>
        <n v="33.53"/>
        <n v="43.2"/>
        <n v="7.6"/>
        <n v="89.3"/>
        <n v="7.48"/>
        <n v="97.65"/>
        <n v="422.12"/>
        <n v="96.25"/>
        <n v="5.16"/>
        <n v="63.2"/>
        <n v="4.35"/>
        <n v="95.8"/>
        <n v="33.3"/>
        <n v="29.24"/>
        <n v="6.2"/>
        <n v="25.35"/>
        <n v="62.7"/>
        <n v="217.5"/>
        <n v="156.6"/>
        <n v="49.21"/>
        <n v="6.82"/>
        <n v="15.6"/>
        <n v="32.0"/>
        <n v="31.3"/>
        <n v="8.0"/>
        <n v="36.26"/>
        <n v="36.3"/>
        <n v="174.51"/>
        <n v="24.75"/>
        <n v="43.68"/>
        <n v="16.0"/>
        <n v="1.75"/>
        <n v="9.35"/>
        <n v="37.24"/>
        <n v="43.11"/>
        <n v="29.61"/>
        <n v="4.5"/>
        <m/>
        <n v="99.62"/>
        <n v="84.84"/>
        <n v="10.35"/>
        <n v="240.24"/>
        <n v="121.72"/>
        <n v="3.41"/>
        <n v="77.0"/>
        <n v="46.8"/>
        <n v="110.0"/>
        <n v="43.51"/>
        <n v="9.16"/>
        <n v="68.86"/>
        <n v="38.4"/>
        <n v="18.27"/>
        <n v="51.8"/>
        <n v="82.6"/>
        <n v="327.0"/>
        <n v="84.73"/>
        <n v="5.66"/>
        <n v="52.74"/>
        <n v="41.02"/>
        <n v="15.85"/>
        <n v="158.07"/>
        <n v="76.84"/>
        <n v="50.4"/>
        <n v="95.0"/>
        <n v="26.25"/>
        <n v="8.79"/>
        <n v="269.56"/>
        <n v="174.72"/>
        <n v="37.95"/>
        <n v="110.77"/>
        <n v="446.16"/>
        <n v="105.0"/>
        <n v="106.26"/>
        <n v="68.02"/>
        <n v="150.75"/>
        <n v="52.0"/>
        <n v="168.75"/>
        <n v="60.5"/>
        <n v="158.01"/>
        <n v="10.25"/>
        <n v="238.68"/>
        <n v="255.0"/>
        <n v="100.76"/>
        <n v="282.0"/>
        <n v="331.09"/>
        <n v="152.36"/>
        <n v="2.44"/>
        <n v="20.4"/>
        <n v="4.36"/>
        <n v="101.25"/>
        <n v="23.29"/>
        <n v="477.36"/>
        <n v="2.67"/>
        <n v="83.7"/>
        <n v="9.4"/>
        <n v="21.48"/>
        <n v="11.72"/>
        <n v="266.63"/>
        <n v="76.44"/>
        <n v="59.07"/>
        <n v="162.0"/>
        <n v="27.48"/>
        <n v="6.26"/>
        <n v="10.36"/>
        <n v="339.0"/>
        <n v="42.48"/>
        <n v="65.52"/>
        <n v="75.0"/>
        <n v="155.29"/>
        <n v="96.69"/>
        <n v="64.75"/>
        <n v="6.88"/>
        <n v="6.09"/>
        <n v="31.96"/>
        <n v="5.85"/>
        <n v="150.5"/>
        <n v="3.8"/>
        <n v="1.35"/>
        <n v="93.76"/>
        <n v="73.92"/>
        <n v="127.5"/>
        <n v="17.25"/>
        <n v="150.15"/>
        <n v="252.0"/>
        <n v="18.48"/>
        <n v="69.81"/>
        <n v="139.5"/>
        <n v="41.6"/>
        <n v="6.87"/>
        <n v="57.25"/>
        <n v="65.73"/>
        <n v="31.08"/>
        <n v="59.54"/>
        <n v="16.83"/>
        <n v="43.95"/>
        <n v="25.36"/>
        <n v="78.75"/>
        <n v="62.27"/>
        <n v="21.15"/>
        <n v="72.08"/>
        <n v="40.5"/>
        <n v="16.45"/>
        <n v="13.5"/>
        <n v="134.78"/>
        <n v="91.56"/>
        <n v="13.8"/>
        <n v="291.72"/>
        <n v="19.69"/>
        <n v="17.88"/>
        <n v="10.23"/>
        <n v="27.0"/>
        <n v="130.53"/>
        <n v="9.39"/>
        <n v="46.62"/>
        <n v="36.72"/>
        <n v="435.0"/>
        <n v="183.2"/>
        <n v="90.83"/>
        <n v="12.68"/>
        <n v="54.8"/>
        <n v="314.16"/>
        <n v="7.24"/>
        <n v="54.25"/>
        <n v="22.9"/>
        <n v="85.5"/>
        <n v="143.57"/>
        <n v="150.64"/>
        <n v="65.55"/>
        <n v="390.39"/>
        <n v="26.85"/>
        <n v="27.5"/>
        <n v="20.8"/>
        <n v="130.5"/>
        <n v="66.41"/>
        <n v="75.48"/>
        <n v="216.0"/>
        <n v="38.93"/>
        <n v="57.0"/>
        <n v="363.32"/>
        <n v="14.65"/>
        <n v="23.12"/>
        <n v="199.92"/>
        <n v="40.95"/>
        <n v="14.48"/>
        <n v="22.75"/>
        <n v="11.48"/>
        <n v="8.95"/>
        <n v="3.2"/>
        <n v="9.1"/>
        <n v="84.97"/>
        <n v="34.16"/>
        <n v="2.82"/>
        <n v="8.75"/>
        <n v="234.4"/>
        <n v="83.16"/>
        <n v="330.33"/>
        <n v="93.08"/>
        <n v="13.64"/>
        <n v="269.5"/>
        <n v="48.09"/>
        <n v="84.51"/>
        <n v="12.8"/>
        <n v="45.43"/>
        <n v="192.0"/>
        <n v="70.99"/>
        <n v="2.93"/>
        <n v="3.17"/>
        <n v="97.92"/>
        <n v="87.75"/>
        <n v="79.2"/>
        <n v="12.96"/>
        <n v="29.16"/>
        <n v="21.96"/>
        <n v="17.92"/>
        <n v="334.02"/>
        <n v="128.52"/>
        <n v="20.7"/>
        <n v="52.47"/>
        <n v="566.28"/>
        <n v="187.95"/>
        <n v="119.08"/>
        <n v="83.64"/>
        <n v="330.0"/>
        <n v="67.5"/>
        <n v="25.19"/>
        <n v="79.11"/>
        <n v="120.13"/>
        <n v="284.21"/>
        <n v="61.0"/>
        <n v="118.32"/>
        <n v="86.4"/>
        <n v="49.81"/>
        <n v="69.12"/>
        <n v="52.92"/>
        <n v="44.28"/>
        <n v="28.65"/>
        <n v="142.74"/>
        <n v="4.48"/>
        <n v="92.12"/>
        <n v="261.69"/>
        <n v="182.0"/>
        <n v="15.75"/>
        <n v="62.65"/>
        <n v="117.0"/>
        <n v="33.0"/>
        <n v="34.35"/>
        <n v="59.47"/>
        <n v="67.34"/>
        <n v="1.87"/>
        <n v="35.16"/>
        <n v="114.27"/>
        <n v="44.38"/>
        <n v="23.95"/>
        <n v="79.56"/>
      </sharedItems>
    </cacheField>
    <cacheField name="Profits" numFmtId="0">
      <sharedItems containsString="0" containsBlank="1" containsNumber="1">
        <n v="77.0"/>
        <n v="820.0"/>
        <n v="430.0"/>
        <n v="58.0"/>
        <n v="57.0"/>
        <n v="608.0"/>
        <n v="200.0"/>
        <n v="15.0"/>
        <n v="88.0"/>
        <n v="333.0"/>
        <n v="420.0"/>
        <n v="97.0"/>
        <n v="3.0"/>
        <n v="19.0"/>
        <n v="392.0"/>
        <n v="6.0"/>
        <n v="95.0"/>
        <n v="59.0"/>
        <n v="181.0"/>
        <n v="396.0"/>
        <n v="93.0"/>
        <n v="101.0"/>
        <n v="472.0"/>
        <n v="89.0"/>
        <n v="153.0"/>
        <n v="185.0"/>
        <n v="330.0"/>
        <n v="566.0"/>
        <n v="113.0"/>
        <n v="146.0"/>
        <n v="28.0"/>
        <n v="190.0"/>
        <n v="163.0"/>
        <n v="48.0"/>
        <n v="583.0"/>
        <n v="80.0"/>
        <n v="0.0"/>
        <n v="768.0"/>
        <n v="27.0"/>
        <n v="268.0"/>
        <n v="44.0"/>
        <n v="138.0"/>
        <n v="50.0"/>
        <n v="156.0"/>
        <n v="691.0"/>
        <n v="84.0"/>
        <n v="61.0"/>
        <n v="363.0"/>
        <n v="218.0"/>
        <n v="443.0"/>
        <n v="78.0"/>
        <n v="87.0"/>
        <n v="18.0"/>
        <n v="55.0"/>
        <n v="21.0"/>
        <n v="9.0"/>
        <n v="105.0"/>
        <n v="68.0"/>
        <n v="313.0"/>
        <n v="198.0"/>
        <n v="310.0"/>
        <n v="79.0"/>
        <n v="24.0"/>
        <n v="164.0"/>
        <n v="334.0"/>
        <n v="40.0"/>
        <n v="108.0"/>
        <n v="124.0"/>
        <n v="30.0"/>
        <n v="2.0"/>
        <n v="578.0"/>
        <n v="41.0"/>
        <n v="428.0"/>
        <n v="320.0"/>
        <n v="150.0"/>
        <n v="841.0"/>
        <n v="8.0"/>
        <n v="465.0"/>
        <n v="106.0"/>
        <n v="145.0"/>
        <n v="42.0"/>
        <n v="10.0"/>
        <n v="275.0"/>
        <n v="341.0"/>
        <n v="90.0"/>
        <n v="186.0"/>
        <n v="475.0"/>
        <n v="104.0"/>
        <n v="240.0"/>
        <n v="100.0"/>
        <n v="600.0"/>
        <n v="72.0"/>
        <n v="172.0"/>
        <n v="66.0"/>
        <n v="144.0"/>
        <n v="140.0"/>
        <n v="180.0"/>
        <n v="1203.0"/>
        <n v="96.0"/>
        <n v="195.0"/>
        <n v="20.0"/>
        <n v="152.0"/>
        <n v="708.0"/>
        <n v="176.0"/>
        <n v="165.0"/>
        <n v="208.0"/>
        <n v="511.0"/>
        <n v="212.0"/>
        <n v="110.0"/>
        <n v="2294.0"/>
        <n v="22.0"/>
        <n v="683.0"/>
        <n v="210.0"/>
        <n v="75.0"/>
        <n v="457.0"/>
        <n v="447.0"/>
        <n v="248.0"/>
        <n v="610.0"/>
        <n v="64.0"/>
        <n v="391.0"/>
        <n v="857.0"/>
        <n v="712.0"/>
        <n v="246.0"/>
        <n v="183.0"/>
        <n v="148.0"/>
        <n v="235.0"/>
        <n v="1227.0"/>
        <n v="481.0"/>
        <n v="219.0"/>
        <n v="263.0"/>
        <n v="115.0"/>
        <n v="988.0"/>
        <n v="417.0"/>
        <n v="56.0"/>
        <n v="120.0"/>
        <n v="1172.0"/>
        <n v="74.0"/>
        <n v="290.0"/>
        <n v="25.0"/>
        <n v="32.0"/>
        <n v="12.0"/>
        <n v="236.0"/>
        <n v="260.0"/>
        <n v="269.0"/>
        <n v="216.0"/>
        <n v="63.0"/>
        <n v="4.0"/>
        <n v="245.0"/>
        <n v="98.0"/>
        <n v="416.0"/>
        <n v="255.0"/>
        <n v="155.0"/>
        <n v="1200.0"/>
        <n v="33.0"/>
        <n v="230.0"/>
        <n v="644.0"/>
        <n v="730.4"/>
        <n v="716.8"/>
        <n v="-152.4"/>
        <n v="49.25"/>
        <n v="46.0"/>
        <n v="539.48"/>
        <n v="111.0"/>
        <n v="42.25"/>
        <n v="144.91"/>
        <n v="-95.04"/>
        <n v="119.5"/>
        <n v="237.4"/>
        <n v="164.4"/>
        <n v="-7.6"/>
        <n v="38.18"/>
        <n v="141.68"/>
        <n v="90.34"/>
        <n v="115.89"/>
        <n v="115.36"/>
        <n v="35.42"/>
        <n v="130.0"/>
        <n v="811.0"/>
        <n v="239.0"/>
        <n v="71.0"/>
        <n v="117.0"/>
        <n v="250.0"/>
        <n v="126.0"/>
        <n v="60.0"/>
        <n v="496.0"/>
        <n v="1190.0"/>
        <n v="168.0"/>
        <n v="204.0"/>
        <n v="581.0"/>
        <n v="36.0"/>
        <n v="83.4"/>
        <n v="149.8"/>
        <n v="-31.2"/>
        <n v="37.0"/>
        <n v="16.0"/>
        <n v="-49.6"/>
        <n v="10.9"/>
        <n v="20.1"/>
        <n v="9.6"/>
        <n v="36.57"/>
        <n v="13.5"/>
        <n v="2.5"/>
        <n v="1.44"/>
        <n v="-5.5"/>
        <n v="18.75"/>
        <n v="2.4"/>
        <n v="5.25"/>
        <n v="43.42"/>
        <n v="9.62"/>
        <n v="18.12"/>
        <n v="4.81"/>
        <n v="17.5"/>
        <n v="457.6"/>
        <n v="932.4"/>
        <n v="-111.6"/>
        <n v="-19.5"/>
        <n v="377.56"/>
        <n v="64.5"/>
        <n v="23.0"/>
        <n v="47.14"/>
        <n v="2.34"/>
        <n v="28.5"/>
        <n v="257.4"/>
        <n v="28.7"/>
        <n v="-30.8"/>
        <n v="107.2"/>
        <n v="30.04"/>
        <n v="220.0"/>
        <n v="59.27"/>
        <n v="-92.4"/>
        <n v="34.4"/>
        <n v="57.96"/>
        <n v="20.24"/>
        <n v="10.5"/>
        <n v="2.25"/>
        <n v="2.88"/>
        <n v="-10.5"/>
        <n v="215.0"/>
        <n v="955.0"/>
        <n v="193.0"/>
        <n v="102.0"/>
        <n v="83.0"/>
        <n v="49.0"/>
        <n v="62.0"/>
        <n v="326.0"/>
        <n v="142.0"/>
        <n v="243.0"/>
        <n v="52.0"/>
        <n v="867.0"/>
        <n v="54.0"/>
        <n v="47.0"/>
        <n v="1194.0"/>
        <n v="192.0"/>
        <n v="843.0"/>
        <n v="193.6"/>
        <n v="310.8"/>
        <n v="-42.6"/>
        <n v="222.72"/>
        <n v="122.0"/>
        <n v="68.2"/>
        <n v="14.6"/>
        <n v="5.98"/>
        <n v="66.33"/>
        <n v="38.4"/>
        <n v="52.47"/>
        <n v="9.75"/>
        <n v="9.08"/>
        <n v="-10.0"/>
        <n v="66.75"/>
        <n v="17.6"/>
        <n v="8.25"/>
        <n v="58.45"/>
        <n v="5.0"/>
        <n v="23.68"/>
        <n v="66.02"/>
        <n v="5.92"/>
        <n v="59.5"/>
        <n v="7.36"/>
        <n v="24.7"/>
        <n v="18.27"/>
        <n v="8.5"/>
        <n v="11.7"/>
        <n v="398.2"/>
        <n v="1081.5"/>
        <n v="-50.2"/>
        <n v="39.0"/>
        <n v="433.92"/>
        <n v="24.8"/>
        <n v="26.91"/>
        <n v="177.2"/>
        <n v="57.9"/>
        <n v="3.6"/>
        <n v="88.78"/>
        <n v="24.84"/>
        <n v="-28.0"/>
        <n v="85.09"/>
        <n v="37.2"/>
        <n v="256.08"/>
        <n v="25.29"/>
        <n v="-0.96"/>
        <n v="4.5"/>
        <n v="72.75"/>
        <n v="13.0"/>
        <n v="4.16"/>
        <n v="42.5"/>
        <n v="45.0"/>
        <n v="223.0"/>
        <n v="830.0"/>
        <n v="222.0"/>
        <n v="125.0"/>
        <n v="136.0"/>
        <n v="337.0"/>
        <n v="91.0"/>
        <n v="850.0"/>
        <n v="823.0"/>
        <n v="635.0"/>
        <n v="75.8"/>
        <n v="239.4"/>
        <n v="-3.6"/>
        <n v="11.0"/>
        <n v="182.4"/>
        <n v="99.0"/>
        <n v="10.2"/>
        <n v="51.59"/>
        <n v="30.21"/>
        <n v="22.5"/>
        <n v="29.4"/>
        <n v="18.37"/>
        <n v="25.9"/>
        <n v="47.32"/>
        <n v="26.51"/>
        <n v="54.25"/>
        <n v="2.08"/>
        <n v="122.82"/>
        <n v="29.58"/>
        <n v="2.76"/>
        <n v="7.5"/>
        <n v="8.8"/>
        <n v="264.0"/>
        <n v="746.3"/>
        <n v="-6.2"/>
        <n v="334.08"/>
        <n v="15.21"/>
        <n v="21.06"/>
        <n v="82.5"/>
        <n v="133.2"/>
        <n v="109.94"/>
        <n v="-4.0"/>
        <n v="72.36"/>
        <n v="31.2"/>
        <n v="5.24"/>
        <n v="21.85"/>
        <n v="19.5"/>
        <n v="12.5"/>
        <n v="6.5"/>
        <n v="11.2"/>
        <n v="7.59"/>
        <n v="77.43"/>
        <n v="66.25"/>
        <n v="20.25"/>
        <n v="16.1"/>
        <n v="-8.75"/>
        <n v="31.36"/>
        <n v="4.17"/>
        <n v="9.2"/>
        <n v="7.38"/>
        <n v="-1.0"/>
        <n v="0.67"/>
        <n v="8.21"/>
        <n v="0.16"/>
        <n v="1.09"/>
        <n v="1.84"/>
        <n v="188.0"/>
        <n v="440.0"/>
        <n v="34.0"/>
        <n v="135.0"/>
        <n v="35.0"/>
        <n v="554.0"/>
        <n v="535.0"/>
        <n v="114.0"/>
        <n v="65.0"/>
        <n v="470.0"/>
        <n v="68.4"/>
        <n v="207.9"/>
        <n v="-12.0"/>
        <n v="243.84"/>
        <n v="-14.0"/>
        <n v="0.92"/>
        <n v="20.84"/>
        <n v="86.96"/>
        <n v="29.0"/>
        <n v="9.9"/>
        <n v="11.5"/>
        <n v="-21.2"/>
        <n v="16.02"/>
        <n v="-2.0"/>
        <n v="38.33"/>
        <n v="50.32"/>
        <n v="-22.19"/>
        <n v="87.11"/>
        <n v="46.24"/>
        <n v="26.0"/>
        <n v="37.4"/>
        <n v="0.75"/>
        <n v="5.2"/>
        <n v="32.2"/>
        <n v="21.7"/>
        <n v="71.4"/>
        <n v="7.47"/>
        <n v="14.5"/>
        <n v="258.6"/>
        <n v="612.9"/>
        <n v="508.8"/>
        <n v="28.08"/>
        <n v="103.5"/>
        <n v="196.8"/>
        <n v="7.0"/>
        <n v="81.04"/>
        <n v="95.81"/>
        <n v="76.8"/>
        <n v="126.24"/>
        <n v="7.13"/>
        <n v="1.0"/>
        <n v="54.75"/>
        <n v="14.0"/>
        <n v="90.78"/>
        <n v="91.45"/>
        <n v="3.75"/>
        <n v="21.75"/>
        <n v="35.88"/>
        <n v="9.96"/>
        <n v="1.4"/>
        <n v="312.2"/>
        <n v="9.84"/>
        <n v="121.2"/>
        <n v="8.76"/>
        <n v="67.0"/>
        <n v="14.1"/>
        <n v="53.5"/>
        <n v="8.18"/>
        <n v="8.72"/>
        <n v="-41.75"/>
        <n v="208.01"/>
        <n v="122.64"/>
        <n v="32.25"/>
        <n v="27.6"/>
        <n v="365.48"/>
        <n v="6.68"/>
        <n v="16.26"/>
        <n v="32.8"/>
        <n v="21.96"/>
        <n v="3.36"/>
        <n v="30.94"/>
        <n v="1.2"/>
        <n v="4.8"/>
        <n v="9.45"/>
        <n v="715.0"/>
        <n v="505.0"/>
        <n v="765.0"/>
        <n v="660.0"/>
        <n v="81.0"/>
        <n v="186.9"/>
        <n v="-21.8"/>
        <n v="17.0"/>
        <n v="158.2"/>
        <n v="48.4"/>
        <n v="-9.6"/>
        <n v="2.46"/>
        <n v="67.72"/>
        <n v="25.4"/>
        <n v="42.75"/>
        <n v="40.05"/>
        <n v="28.8"/>
        <n v="20.3"/>
        <n v="9.59"/>
        <n v="26.25"/>
        <n v="10.56"/>
        <n v="29.37"/>
        <n v="27.93"/>
        <n v="38.35"/>
        <n v="-11.0"/>
        <n v="39.56"/>
        <n v="26.04"/>
        <n v="105.4"/>
        <n v="2.66"/>
        <n v="-5.49"/>
        <n v="-12.5"/>
        <n v="70.6"/>
        <n v="387.1"/>
        <n v="-4.2"/>
        <n v="339.84"/>
        <n v="74.37"/>
        <n v="41.6"/>
        <n v="12.52"/>
        <n v="45.75"/>
        <n v="8.32"/>
        <n v="70.8"/>
        <n v="30.75"/>
        <n v="13.28"/>
        <n v="-1.83"/>
        <n v="54.2"/>
        <n v="283.1"/>
        <n v="105.8"/>
        <n v="2.82"/>
        <n v="63.25"/>
        <n v="4.7"/>
        <n v="21.99"/>
        <n v="12.68"/>
        <n v="168.95"/>
        <n v="35.5"/>
        <n v="29.2"/>
        <n v="51.0"/>
        <n v="22.08"/>
        <n v="323.5"/>
        <n v="28.4"/>
        <n v="10.84"/>
        <n v="13.12"/>
        <n v="6.64"/>
        <n v="-21.62"/>
        <n v="114.92"/>
        <n v="4.2"/>
        <n v="8.4"/>
        <n v="63.05"/>
        <n v="493.0"/>
        <n v="128.0"/>
        <n v="85.0"/>
        <n v="69.0"/>
        <n v="194.0"/>
        <n v="173.0"/>
        <n v="133.0"/>
        <n v="402.0"/>
        <n v="131.0"/>
        <n v="129.0"/>
        <n v="570.0"/>
        <n v="162.8"/>
        <n v="282.1"/>
        <n v="236.16"/>
        <n v="133.33"/>
        <n v="63.2"/>
        <n v="27.5"/>
        <n v="76.43"/>
        <n v="38.11"/>
        <n v="-0.54"/>
        <n v="52.5"/>
        <n v="26.7"/>
        <n v="5.05"/>
        <n v="17.7"/>
        <n v="55.2"/>
        <n v="43.4"/>
        <n v="47.6"/>
        <n v="16.6"/>
        <n v="37.8"/>
        <n v="444.2"/>
        <n v="594.3"/>
        <n v="12.8"/>
        <n v="497.28"/>
        <n v="39.06"/>
        <n v="130.5"/>
        <n v="204.8"/>
        <n v="38.2"/>
        <n v="129.31"/>
        <n v="72.8"/>
        <n v="6.24"/>
        <n v="100.3"/>
        <n v="112.5"/>
        <n v="36.75"/>
        <n v="17.2"/>
        <n v="366.9"/>
        <n v="193.9"/>
        <n v="80.46"/>
        <n v="76.4"/>
        <n v="25.05"/>
        <n v="66.06"/>
        <n v="42.3"/>
        <n v="46.75"/>
        <n v="1.22"/>
        <n v="87.75"/>
        <n v="18.9"/>
        <n v="3.17"/>
        <n v="43.97"/>
        <n v="11.68"/>
        <n v="25.75"/>
        <n v="206.91"/>
        <n v="1.42"/>
        <n v="5.42"/>
        <n v="11.48"/>
        <n v="-11.32"/>
        <n v="48.62"/>
        <n v="28.35"/>
        <n v="535.3"/>
        <n v="17.04"/>
        <n v="8.49"/>
        <n v="366.0"/>
        <n v="305.0"/>
        <n v="277.0"/>
        <n v="527.0"/>
        <n v="174.0"/>
        <n v="82.0"/>
        <n v="490.0"/>
        <n v="42.12"/>
        <n v="18.72"/>
        <n v="233.8"/>
        <n v="18.4"/>
        <n v="38.0"/>
        <n v="91.25"/>
        <n v="50.8"/>
        <n v="67.8"/>
        <n v="81.08"/>
        <n v="11.6"/>
        <n v="39.75"/>
        <n v="20.8"/>
        <n v="13.05"/>
        <n v="8.51"/>
        <n v="47.12"/>
        <n v="14.79"/>
        <n v="124.88"/>
        <n v="33.12"/>
        <n v="3.4"/>
        <n v="1.66"/>
        <n v="47.94"/>
        <n v="0.53"/>
        <n v="55.5"/>
        <n v="16.5"/>
        <n v="56.16"/>
        <n v="23.79"/>
        <n v="14.25"/>
        <n v="26.52"/>
        <n v="6.72"/>
        <n v="16.92"/>
        <n v="12.74"/>
        <n v="38.5"/>
        <n v="10.8"/>
        <n v="81.9"/>
        <n v="169.12"/>
        <n v="757.4"/>
        <n v="7.2"/>
        <n v="36.5"/>
        <n v="70.5"/>
        <n v="69.44"/>
        <n v="143.75"/>
        <n v="102.8"/>
        <n v="27.3"/>
        <n v="36.6"/>
        <n v="33.58"/>
        <n v="50.79"/>
        <n v="159.46"/>
        <n v="99.75"/>
        <n v="76.5"/>
        <n v="1.6"/>
        <n v="-1.76"/>
        <n v="34.71"/>
        <n v="221.25"/>
        <n v="156.1"/>
        <n v="17.25"/>
        <n v="53.25"/>
        <n v="60.72"/>
        <n v="20.4"/>
        <n v="53.65"/>
        <n v="328.6"/>
        <n v="37.5"/>
        <n v="9.5"/>
        <n v="388.44"/>
        <n v="49.5"/>
        <n v="12.81"/>
        <n v="24.75"/>
        <n v="3.84"/>
        <n v="78.96"/>
        <n v="28.2"/>
        <n v="90.75"/>
        <n v="35.86"/>
        <n v="86.48"/>
        <n v="13.98"/>
        <n v="7.8"/>
        <n v="9.35"/>
        <n v="4.95"/>
        <n v="270.9"/>
        <n v="72.42"/>
        <n v="53.0"/>
        <n v="83.5"/>
        <n v="24.24"/>
        <n v="176.75"/>
        <n v="29.92"/>
        <n v="5.61"/>
        <n v="5.75"/>
        <n v="11.54"/>
        <n v="6.34"/>
        <n v="5.84"/>
        <n v="24.56"/>
        <n v="202.73"/>
        <n v="-14.15"/>
        <n v="11.47"/>
        <n v="38.8"/>
        <n v="0.2"/>
        <n v="100.7"/>
        <n v="8.52"/>
        <n v="125.35"/>
        <n v="615.88"/>
        <n v="68.75"/>
        <n v="18.84"/>
        <n v="56.8"/>
        <n v="17.65"/>
        <n v="57.2"/>
        <n v="2.95"/>
        <n v="16.7"/>
        <n v="56.76"/>
        <n v="1.8"/>
        <n v="26.65"/>
        <n v="80.5"/>
        <n v="146.3"/>
        <n v="72.5"/>
        <n v="46.4"/>
        <n v="43.29"/>
        <n v="25.5"/>
        <n v="4.18"/>
        <n v="1.35"/>
        <n v="8.7"/>
        <n v="16.24"/>
        <n v="18.7"/>
        <n v="13.55"/>
        <n v="140.49"/>
        <n v="19.32"/>
        <n v="5.65"/>
        <n v="32.76"/>
        <n v="19.89"/>
        <n v="12.64"/>
        <n v="7.04"/>
        <n v="33.75"/>
        <n v="1.5"/>
        <n v="2.8"/>
        <n v="36.27"/>
        <n v="15.66"/>
        <n v="224.0"/>
        <n v="19.6"/>
        <n v="50.52"/>
        <n v="59.25"/>
        <n v="231.46"/>
        <n v="163.46"/>
        <n v="17.48"/>
        <n v="27.75"/>
        <n v="15.3"/>
        <n v="7.6"/>
        <n v="21.25"/>
        <n v="132.51"/>
        <n v="-0.33"/>
        <m/>
        <n v="70.38"/>
        <n v="218.16"/>
        <n v="4.65"/>
        <n v="39.76"/>
        <n v="82.28"/>
        <n v="37.75"/>
        <n v="2.59"/>
        <n v="13.49"/>
        <n v="2.84"/>
        <n v="32.14"/>
        <n v="61.6"/>
        <n v="57.73"/>
        <n v="17.4"/>
        <n v="26.27"/>
        <n v="4.34"/>
        <n v="37.26"/>
        <n v="23.98"/>
        <n v="9.15"/>
        <n v="11.25"/>
        <n v="55.93"/>
        <n v="36.16"/>
        <n v="57.75"/>
        <n v="6.21"/>
        <n v="190.44"/>
        <n v="449.28"/>
        <n v="17.05"/>
        <n v="41.23"/>
        <n v="73.84"/>
        <n v="31.74"/>
        <n v="45.98"/>
        <n v="56.25"/>
        <n v="-15.5"/>
        <n v="48.99"/>
        <n v="14.75"/>
        <n v="112.32"/>
        <n v="170.0"/>
        <n v="31.24"/>
        <n v="658.0"/>
        <n v="233.91"/>
        <n v="107.64"/>
        <n v="2.56"/>
        <n v="5.64"/>
        <n v="123.75"/>
        <n v="27.71"/>
        <n v="2.33"/>
        <n v="102.3"/>
        <n v="6.6"/>
        <n v="14.52"/>
        <n v="8.28"/>
        <n v="370.37"/>
        <n v="196.56"/>
        <n v="16.8"/>
        <n v="39.93"/>
        <n v="20.52"/>
        <n v="3.74"/>
        <n v="339.0"/>
        <n v="17.52"/>
        <n v="13.68"/>
        <n v="150.48"/>
        <n v="0.42"/>
        <n v="175.0"/>
        <n v="31.6"/>
        <n v="215.71"/>
        <n v="134.31"/>
        <n v="69.08"/>
        <n v="46.25"/>
        <n v="25.12"/>
        <n v="14.91"/>
        <n v="25.89"/>
        <n v="11.8"/>
        <n v="13.36"/>
        <n v="62.04"/>
        <n v="108.75"/>
        <n v="6.15"/>
        <n v="150.5"/>
        <n v="66.24"/>
        <n v="189.08"/>
        <n v="7.75"/>
        <n v="24.85"/>
        <n v="5.52"/>
        <n v="34.69"/>
        <n v="6.4"/>
        <n v="3.5"/>
        <n v="2.13"/>
        <n v="17.75"/>
        <n v="13.92"/>
        <n v="8.22"/>
        <n v="18.46"/>
        <n v="10.17"/>
        <n v="31.05"/>
        <n v="28.98"/>
        <n v="4.64"/>
        <n v="1.73"/>
        <n v="13.35"/>
        <n v="33.92"/>
        <n v="11.55"/>
        <n v="108.22"/>
        <n v="203.44"/>
        <n v="6.2"/>
        <n v="11.85"/>
        <n v="-38.0"/>
        <n v="4.31"/>
        <n v="3.62"/>
        <n v="6.27"/>
        <n v="67.47"/>
        <n v="4.84"/>
        <n v="2.61"/>
        <n v="22.38"/>
        <n v="17.28"/>
        <n v="5.8"/>
        <n v="75.38"/>
        <n v="67.17"/>
        <n v="3.82"/>
        <n v="26.94"/>
        <n v="35.75"/>
        <n v="-4.5"/>
        <n v="26.2"/>
        <n v="-34.16"/>
        <n v="4.4"/>
        <n v="14.85"/>
        <n v="38.75"/>
        <n v="26.5"/>
        <n v="8.6"/>
        <n v="40.5"/>
        <n v="101.43"/>
        <n v="387.36"/>
        <n v="29.45"/>
        <n v="53.61"/>
        <n v="18.15"/>
        <n v="44.5"/>
        <n v="3.2"/>
        <n v="43.5"/>
        <n v="20.59"/>
        <n v="35.52"/>
        <n v="12.07"/>
        <n v="256.68"/>
        <n v="10.35"/>
        <n v="0.88"/>
        <n v="45.08"/>
        <n v="50.05"/>
        <n v="16.25"/>
        <n v="130.24"/>
        <n v="29.52"/>
        <n v="6.05"/>
        <n v="6.84"/>
        <n v="6.8"/>
        <n v="5.74"/>
        <n v="73.0"/>
        <n v="20.9"/>
        <n v="118.03"/>
        <n v="49.84"/>
        <n v="3.18"/>
        <n v="18.6"/>
        <n v="7.02"/>
        <n v="27.84"/>
        <n v="12.75"/>
        <n v="19.4"/>
        <n v="31.75"/>
        <n v="32.84"/>
        <n v="30.6"/>
        <n v="72.45"/>
        <n v="75.75"/>
        <n v="66.2"/>
        <n v="128.51"/>
        <n v="92.0"/>
        <n v="79.05"/>
        <n v="128.34"/>
        <n v="165.6"/>
        <n v="213.84"/>
        <n v="54.67"/>
        <n v="62.92"/>
        <n v="117.25"/>
        <n v="10.36"/>
        <n v="24.5"/>
        <n v="5.4"/>
        <n v="15.91"/>
        <n v="19.49"/>
        <n v="19.2"/>
        <n v="56.4"/>
        <n v="22.56"/>
        <n v="9.57"/>
        <n v="27.01"/>
        <n v="2.07"/>
        <n v="0.83"/>
        <n v="46.08"/>
        <n v="107.25"/>
        <n v="30.8"/>
        <n v="60.03"/>
        <n v="11.04"/>
        <n v="8.04"/>
        <n v="14.08"/>
        <n v="278.98"/>
        <n v="357.48"/>
        <n v="9.3"/>
        <n v="19.53"/>
        <n v="93.72"/>
        <n v="-3.0"/>
        <n v="127.05"/>
        <n v="127.75"/>
        <n v="-38.4"/>
        <n v="53.92"/>
        <n v="39.36"/>
        <n v="261.0"/>
        <n v="7.81"/>
        <n v="55.89"/>
        <n v="84.87"/>
        <n v="229.79"/>
        <n v="55.68"/>
        <n v="33.6"/>
        <n v="35.19"/>
        <n v="98.88"/>
        <n v="37.72"/>
        <n v="46.35"/>
        <n v="52.26"/>
        <n v="3.52"/>
        <n v="236.88"/>
        <n v="43.31"/>
        <n v="42.35"/>
        <n v="69.5"/>
        <n v="16.53"/>
        <n v="61.2"/>
        <n v="31.16"/>
        <n v="19.18"/>
        <n v="30.25"/>
        <n v="1.13"/>
        <n v="80.73"/>
        <n v="25.62"/>
        <n v="-3.95"/>
        <n v="5.45"/>
        <n v="37.44"/>
      </sharedItems>
    </cacheField>
    <cacheField name="MonthKey_Row" numFmtId="164">
      <sharedItems containsDate="1" containsString="0" containsBlank="1">
        <d v="2025-01-01T00:00:00Z"/>
        <m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</sharedItems>
    </cacheField>
    <cacheField name="MonthKey" numFmtId="165">
      <sharedItems containsDate="1" containsString="0" containsBlank="1">
        <d v="2025-01-01T00:00:00Z"/>
        <m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KPI_Calc" cacheId="0" dataCaption="" rowGrandTotals="0" compact="0" compactData="0">
  <location ref="A1:E68" firstHeaderRow="0" firstDataRow="3" firstDataCol="0"/>
  <pivotFields>
    <pivotField name="Machine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chine name" axis="axisRow" compact="0" outline="0" multipleItemSelectionAllowed="1" showAll="0" sortType="ascending">
      <items>
        <item x="1"/>
        <item x="7"/>
        <item x="0"/>
        <item x="3"/>
        <item x="6"/>
        <item x="2"/>
        <item x="5"/>
        <item x="4"/>
        <item x="8"/>
        <item t="default"/>
      </items>
    </pivotField>
    <pivotField name="Produc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Commodity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Number of transac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Transaction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t="default"/>
      </items>
    </pivotField>
    <pivotField name="The refund count" compact="0" outline="0" multipleItemSelectionAllowed="1" showAll="0">
      <items>
        <item x="0"/>
        <item x="1"/>
        <item t="default"/>
      </items>
    </pivotField>
    <pivotField name="Refund amount" compact="0" outline="0" multipleItemSelectionAllowed="1" showAll="0">
      <items>
        <item x="0"/>
        <item x="1"/>
        <item t="default"/>
      </items>
    </pivotField>
    <pivotField name="Total Transaction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name="Total Transaction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t="default"/>
      </items>
    </pivotField>
    <pivotField name="Cos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Cost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t="default"/>
      </items>
    </pivotField>
    <pivotField name="Prof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MonthKey_Row" axis="axisRow" compact="0" numFmtId="164" outline="0" multipleItemSelectionAllowed="1" showAll="0" sortType="descending">
      <items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0"/>
        <item h="1" x="1"/>
        <item t="default"/>
      </items>
    </pivotField>
    <pivotField name="MonthK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4"/>
    <field x="1"/>
  </rowFields>
  <colFields>
    <field x="-2"/>
  </colFields>
  <dataFields>
    <dataField name="Transaction amount" fld="6" baseField="0"/>
    <dataField name="Profits" fld="13" baseField="0"/>
    <dataField name="Units" fld="5" baseField="0"/>
  </dataFields>
</pivotTableDefinition>
</file>

<file path=xl/pivotTables/pivotTable2.xml><?xml version="1.0" encoding="utf-8"?>
<pivotTableDefinition xmlns="http://schemas.openxmlformats.org/spreadsheetml/2006/main" name="KPI_Calc 2" cacheId="1" dataCaption="" rowGrandTotals="0" compact="0" compactData="0">
  <location ref="Q3:U5" firstHeaderRow="0" firstDataRow="3" firstDataCol="0" rowPageCount="1" colPageCount="1"/>
  <pivotFields>
    <pivotField name="Machine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chine name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t="default"/>
      </items>
    </pivotField>
    <pivotField name="Produc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product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mmodity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Number of transac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t="default"/>
      </items>
    </pivotField>
    <pivotField name="Transaction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ame="The refund count" compact="0" outline="0" multipleItemSelectionAllowed="1" showAll="0">
      <items>
        <item x="0"/>
        <item x="1"/>
        <item t="default"/>
      </items>
    </pivotField>
    <pivotField name="Refund amount" compact="0" outline="0" multipleItemSelectionAllowed="1" showAll="0">
      <items>
        <item x="0"/>
        <item x="1"/>
        <item t="default"/>
      </items>
    </pivotField>
    <pivotField name="Total Transaction 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name="Total Transaction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Cos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Cost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t="default"/>
      </items>
    </pivotField>
    <pivotField name="Prof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t="default"/>
      </items>
    </pivotField>
    <pivotField name="MonthKey_Row" axis="axisRow" compact="0" numFmtId="164" outline="0" multipleItemSelectionAllowed="1" showAll="0" sortType="ascending" defaultSubtotal="0">
      <items>
        <item h="1" sd="0" x="1"/>
        <item h="1" x="0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sd="0" x="13"/>
        <item sd="0" x="14"/>
        <item x="15"/>
      </items>
    </pivotField>
    <pivotField name="MonthKey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4"/>
    <field x="3"/>
  </rowFields>
  <colFields>
    <field x="-2"/>
  </colFields>
  <pageFields>
    <pageField fld="1"/>
  </pageFields>
  <dataFields>
    <dataField name="SUM of Profits" fld="13" baseField="0"/>
    <dataField name="SUM of Transaction amount" fld="6" baseField="0"/>
    <dataField name="SUM of Number of transaction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QHIWiZJCConY8txPFqEp1HoObjuNw1I/view?usp=sharing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07jD0YxZFMGwbFdDrpiUs-CM-tgO2G2O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G2" s="1">
        <f t="array" ref="G2">IFERROR(XLOOKUP(B2, Machines!A:A, Machines!C:C), 0)
</f>
        <v>0</v>
      </c>
      <c r="H2" s="1">
        <f t="shared" ref="H2:H7" si="1">IFERROR( D2 + F2 - G2, 0)
</f>
        <v>439.36</v>
      </c>
      <c r="I2" s="1">
        <f t="shared" ref="I2:I36" si="2">IF(OR($B2="",RIGHT($A2,5)="Total"),"", $C2 / $E2)
</f>
        <v>4.216475096</v>
      </c>
      <c r="J2" s="1">
        <f>IFERROR(__xludf.DUMMYFUNCTION("IF($B2="""","""",
  100 * $E2 / MAX(FILTER($E:$E, $A:$A=$A2, $B:$B&lt;&gt;""""))
)
"),100.0)</f>
        <v>100</v>
      </c>
      <c r="K2" s="1">
        <f>IFERROR(__xludf.DUMMYFUNCTION("IF($B2="""","""",
  100 * $H2 / MAX(FILTER($H:$H, $A:$A=$A2, $B:$B&lt;&gt;""""))
)
"),100.0)</f>
        <v>100</v>
      </c>
      <c r="L2" s="1">
        <f t="shared" ref="L2:L36" si="3">IF($B2="","", 0.4*$I2 + 0.6*$J2)
</f>
        <v>61.68659004</v>
      </c>
      <c r="M2" s="1">
        <f>IFERROR(__xludf.DUMMYFUNCTION("IF($B2="""","""",
  RANK($K2, FILTER($K:$K, $A:$A=$A2, $B:$B&lt;&gt;""""), 0)
)
"),1.0)</f>
        <v>1</v>
      </c>
      <c r="N2" s="1" t="str">
        <f t="shared" ref="N2:N36" si="4">IF($B2="","",
 IF($L2&gt;=60,"🟢 Strong",
 IF($L2&gt;=35,"🟡 Watch",
 "🔴 Action Needed")))
</f>
        <v>🟢 Strong</v>
      </c>
      <c r="O2" s="1" t="str">
        <f t="shared" ref="O2:O36" si="5">IF($B2="","",
 IF($N2="🟢 Strong","OK",
 IF($K2&lt;$J2,"Profit issue → pricing/cost/rent",
 "Traffic issue → location/product mix")))
</f>
        <v>OK</v>
      </c>
    </row>
    <row r="3">
      <c r="F3" s="2">
        <v>1000.0</v>
      </c>
      <c r="G3" s="2">
        <v>500.0</v>
      </c>
      <c r="H3" s="1">
        <f t="shared" si="1"/>
        <v>3949.24</v>
      </c>
      <c r="I3" s="1">
        <f t="shared" si="2"/>
        <v>3.433755274</v>
      </c>
      <c r="J3" s="1">
        <f>IFERROR(__xludf.DUMMYFUNCTION("IF($B3="""","""",
  100 * $E3 / MAX(FILTER($E:$E, $A:$A=$A3, $B:$B&lt;&gt;""""))
)
"),52.3756906077348)</f>
        <v>52.37569061</v>
      </c>
      <c r="K3" s="1">
        <f>IFERROR(__xludf.DUMMYFUNCTION("IF($B3="""","""",
  100 * $H3 / MAX(FILTER($H:$H, $A:$A=$A3, $B:$B&lt;&gt;""""))
)
"),73.06155371705124)</f>
        <v>73.06155372</v>
      </c>
      <c r="L3" s="1">
        <f t="shared" si="3"/>
        <v>32.79891647</v>
      </c>
      <c r="M3" s="1">
        <f>IFERROR(__xludf.DUMMYFUNCTION("IF($B3="""","""",
  RANK($K3, FILTER($K:$K, $A:$A=$A3, $B:$B&lt;&gt;""""), 0)
)
"),4.0)</f>
        <v>4</v>
      </c>
      <c r="N3" s="1" t="str">
        <f t="shared" si="4"/>
        <v>🔴 Action Needed</v>
      </c>
      <c r="O3" s="1" t="str">
        <f t="shared" si="5"/>
        <v>Traffic issue → location/product mix</v>
      </c>
    </row>
    <row r="4">
      <c r="H4" s="1">
        <f t="shared" si="1"/>
        <v>1626.18</v>
      </c>
      <c r="I4" s="1">
        <f t="shared" si="2"/>
        <v>3.397260274</v>
      </c>
      <c r="J4" s="1">
        <f>IFERROR(__xludf.DUMMYFUNCTION("IF($B4="""","""",
  100 * $E4 / MAX(FILTER($E:$E, $A:$A=$A4, $B:$B&lt;&gt;""""))
)
"),30.65193370165746)</f>
        <v>30.6519337</v>
      </c>
      <c r="K4" s="1">
        <f>IFERROR(__xludf.DUMMYFUNCTION("IF($B4="""","""",
  100 * $H4 / MAX(FILTER($H:$H, $A:$A=$A4, $B:$B&lt;&gt;""""))
)
"),30.084582710494768)</f>
        <v>30.08458271</v>
      </c>
      <c r="L4" s="1">
        <f t="shared" si="3"/>
        <v>19.75006433</v>
      </c>
      <c r="M4" s="1">
        <f>IFERROR(__xludf.DUMMYFUNCTION("IF($B4="""","""",
  RANK($K4, FILTER($K:$K, $A:$A=$A4, $B:$B&lt;&gt;""""), 0)
)
"),13.0)</f>
        <v>13</v>
      </c>
      <c r="N4" s="1" t="str">
        <f t="shared" si="4"/>
        <v>🔴 Action Needed</v>
      </c>
      <c r="O4" s="1" t="str">
        <f t="shared" si="5"/>
        <v>Profit issue → pricing/cost/rent</v>
      </c>
    </row>
    <row r="5">
      <c r="F5" s="2">
        <v>1000.0</v>
      </c>
      <c r="G5" s="2"/>
      <c r="H5" s="1">
        <f t="shared" si="1"/>
        <v>3587.57</v>
      </c>
      <c r="I5" s="1">
        <f t="shared" si="2"/>
        <v>3.206027668</v>
      </c>
      <c r="J5" s="1">
        <f>IFERROR(__xludf.DUMMYFUNCTION("IF($B5="""","""",
  100 * $E5 / MAX(FILTER($E:$E, $A:$A=$A5, $B:$B&lt;&gt;""""))
)
"),44.729281767955804)</f>
        <v>44.72928177</v>
      </c>
      <c r="K5" s="1">
        <f>IFERROR(__xludf.DUMMYFUNCTION("IF($B5="""","""",
  100 * $H5 / MAX(FILTER($H:$H, $A:$A=$A5, $B:$B&lt;&gt;""""))
)
"),66.37060251306113)</f>
        <v>66.37060251</v>
      </c>
      <c r="L5" s="1">
        <f t="shared" si="3"/>
        <v>28.11998013</v>
      </c>
      <c r="M5" s="1">
        <f>IFERROR(__xludf.DUMMYFUNCTION("IF($B5="""","""",
  RANK($K5, FILTER($K:$K, $A:$A=$A5, $B:$B&lt;&gt;""""), 0)
)
"),5.0)</f>
        <v>5</v>
      </c>
      <c r="N5" s="1" t="str">
        <f t="shared" si="4"/>
        <v>🔴 Action Needed</v>
      </c>
      <c r="O5" s="1" t="str">
        <f t="shared" si="5"/>
        <v>Traffic issue → location/product mix</v>
      </c>
    </row>
    <row r="6">
      <c r="G6" s="1">
        <f t="array" ref="G6">IFERROR(XLOOKUP(B6, Machines!A:A, Machines!C:C), 0)
</f>
        <v>1000</v>
      </c>
      <c r="H6" s="1">
        <f t="shared" si="1"/>
        <v>5405.36</v>
      </c>
      <c r="I6" s="1">
        <f t="shared" si="2"/>
        <v>3.29480663</v>
      </c>
      <c r="J6" s="1">
        <f>IFERROR(__xludf.DUMMYFUNCTION("IF($B6="""","""",
  100 * $E6 / MAX(FILTER($E:$E, $A:$A=$A6, $B:$B&lt;&gt;""""))
)
"),100.0)</f>
        <v>100</v>
      </c>
      <c r="K6" s="1">
        <f>IFERROR(__xludf.DUMMYFUNCTION("IF($B6="""","""",
  100 * $H6 / MAX(FILTER($H:$H, $A:$A=$A6, $B:$B&lt;&gt;""""))
)
"),100.0)</f>
        <v>100</v>
      </c>
      <c r="L6" s="1">
        <f t="shared" si="3"/>
        <v>61.31792265</v>
      </c>
      <c r="M6" s="1">
        <f>IFERROR(__xludf.DUMMYFUNCTION("IF($B6="""","""",
  RANK($K6, FILTER($K:$K, $A:$A=$A6, $B:$B&lt;&gt;""""), 0)
)
"),1.0)</f>
        <v>1</v>
      </c>
      <c r="N6" s="1" t="str">
        <f t="shared" si="4"/>
        <v>🟢 Strong</v>
      </c>
      <c r="O6" s="1" t="str">
        <f t="shared" si="5"/>
        <v>OK</v>
      </c>
    </row>
    <row r="7">
      <c r="H7" s="1">
        <f t="shared" si="1"/>
        <v>1445.9</v>
      </c>
      <c r="I7" s="1">
        <f t="shared" si="2"/>
        <v>3.078790142</v>
      </c>
      <c r="J7" s="1">
        <f>IFERROR(__xludf.DUMMYFUNCTION("IF($B7="""","""",
  100 * $E7 / MAX(FILTER($E:$E, $A:$A=$A7, $B:$B&lt;&gt;""""))
)
"),29.591160220994475)</f>
        <v>29.59116022</v>
      </c>
      <c r="K7" s="1">
        <f>IFERROR(__xludf.DUMMYFUNCTION("IF($B7="""","""",
  100 * $H7 / MAX(FILTER($H:$H, $A:$A=$A7, $B:$B&lt;&gt;""""))
)
"),26.74937469474744)</f>
        <v>26.74937469</v>
      </c>
      <c r="L7" s="1">
        <f t="shared" si="3"/>
        <v>18.98621219</v>
      </c>
      <c r="M7" s="1">
        <f>IFERROR(__xludf.DUMMYFUNCTION("IF($B7="""","""",
  RANK($K7, FILTER($K:$K, $A:$A=$A7, $B:$B&lt;&gt;""""), 0)
)
"),16.0)</f>
        <v>16</v>
      </c>
      <c r="N7" s="1" t="str">
        <f t="shared" si="4"/>
        <v>🔴 Action Needed</v>
      </c>
      <c r="O7" s="1" t="str">
        <f t="shared" si="5"/>
        <v>Profit issue → pricing/cost/rent</v>
      </c>
    </row>
    <row r="8">
      <c r="H8" s="1">
        <f>IFERROR( D8 + F9 - G8, 0)
</f>
        <v>447.8</v>
      </c>
      <c r="I8" s="1">
        <f t="shared" si="2"/>
        <v>4.607954545</v>
      </c>
      <c r="J8" s="1">
        <f>IFERROR(__xludf.DUMMYFUNCTION("IF($B8="""","""",
  100 * $E8 / MAX(FILTER($E:$E, $A:$A=$A8, $B:$B&lt;&gt;""""))
)
"),3.889502762430939)</f>
        <v>3.889502762</v>
      </c>
      <c r="K8" s="1">
        <f>IFERROR(__xludf.DUMMYFUNCTION("IF($B8="""","""",
  100 * $H8 / MAX(FILTER($H:$H, $A:$A=$A8, $B:$B&lt;&gt;""""))
)
"),8.284369588704548)</f>
        <v>8.284369589</v>
      </c>
      <c r="L8" s="1">
        <f t="shared" si="3"/>
        <v>4.176883476</v>
      </c>
      <c r="M8" s="1">
        <f>IFERROR(__xludf.DUMMYFUNCTION("IF($B8="""","""",
  RANK($K8, FILTER($K:$K, $A:$A=$A8, $B:$B&lt;&gt;""""), 0)
)
"),24.0)</f>
        <v>24</v>
      </c>
      <c r="N8" s="1" t="str">
        <f t="shared" si="4"/>
        <v>🔴 Action Needed</v>
      </c>
      <c r="O8" s="1" t="str">
        <f t="shared" si="5"/>
        <v>Traffic issue → location/product mix</v>
      </c>
    </row>
    <row r="9">
      <c r="H9" s="1">
        <f t="shared" ref="H9:H15" si="6">IFERROR( D9 + F9 - G9, 0)
</f>
        <v>16401.41</v>
      </c>
      <c r="I9" s="1" t="str">
        <f t="shared" si="2"/>
        <v/>
      </c>
      <c r="J9" s="1" t="str">
        <f>IFERROR(__xludf.DUMMYFUNCTION("IF($B9="""","""",
  100 * $E9 / MAX(FILTER($E:$E, $A:$A=$A9, $B:$B&lt;&gt;""""))
)
"),"")</f>
        <v/>
      </c>
      <c r="K9" s="1" t="str">
        <f>IFERROR(__xludf.DUMMYFUNCTION("IF($B9="""","""",
  100 * $H9 / MAX(FILTER($H:$H, $A:$A=$A9, $B:$B&lt;&gt;""""))
)
"),"")</f>
        <v/>
      </c>
      <c r="L9" s="1" t="str">
        <f t="shared" si="3"/>
        <v/>
      </c>
      <c r="M9" s="1" t="str">
        <f>IFERROR(__xludf.DUMMYFUNCTION("IF($B9="""","""",
  RANK($K9, FILTER($K:$K, $A:$A=$A9, $B:$B&lt;&gt;""""), 0)
)
"),"")</f>
        <v/>
      </c>
      <c r="N9" s="1" t="str">
        <f t="shared" si="4"/>
        <v/>
      </c>
      <c r="O9" s="1" t="str">
        <f t="shared" si="5"/>
        <v/>
      </c>
    </row>
    <row r="10">
      <c r="G10" s="1">
        <f t="array" ref="G10">IFERROR(XLOOKUP(B10, Machines!A:A, Machines!C:C), 0)
</f>
        <v>0</v>
      </c>
      <c r="H10" s="1">
        <f t="shared" si="6"/>
        <v>1306.17</v>
      </c>
      <c r="I10" s="1">
        <f t="shared" si="2"/>
        <v>3.406958561</v>
      </c>
      <c r="J10" s="1">
        <f>IFERROR(__xludf.DUMMYFUNCTION("IF($B10="""","""",
  100 * $E10 / MAX(FILTER($E:$E, $A:$A=$A10, $B:$B&lt;&gt;""""))
)
"),100.0)</f>
        <v>100</v>
      </c>
      <c r="K10" s="1">
        <f>IFERROR(__xludf.DUMMYFUNCTION("IF($B10="""","""",
  100 * $H10 / MAX(FILTER($H:$H, $A:$A=$A10, $B:$B&lt;&gt;""""))
)
"),100.0)</f>
        <v>100</v>
      </c>
      <c r="L10" s="1">
        <f t="shared" si="3"/>
        <v>61.36278342</v>
      </c>
      <c r="M10" s="1">
        <f>IFERROR(__xludf.DUMMYFUNCTION("IF($B10="""","""",
  RANK($K10, FILTER($K:$K, $A:$A=$A10, $B:$B&lt;&gt;""""), 0)
)
"),1.0)</f>
        <v>1</v>
      </c>
      <c r="N10" s="1" t="str">
        <f t="shared" si="4"/>
        <v>🟢 Strong</v>
      </c>
      <c r="O10" s="1" t="str">
        <f t="shared" si="5"/>
        <v>OK</v>
      </c>
    </row>
    <row r="11">
      <c r="F11" s="2">
        <v>1000.0</v>
      </c>
      <c r="G11" s="1">
        <f t="array" ref="G11">IFERROR(XLOOKUP(B11, Machines!A:A, Machines!C:C), 0)
</f>
        <v>500</v>
      </c>
      <c r="H11" s="1">
        <f t="shared" si="6"/>
        <v>1515.1</v>
      </c>
      <c r="I11" s="1">
        <f t="shared" si="2"/>
        <v>3.143854749</v>
      </c>
      <c r="J11" s="1">
        <f>IFERROR(__xludf.DUMMYFUNCTION("IF($B11="""","""",
  100 * $E11 / MAX(FILTER($E:$E, $A:$A=$A11, $B:$B&lt;&gt;""""))
)
"),15.823204419889503)</f>
        <v>15.82320442</v>
      </c>
      <c r="K11" s="1">
        <f>IFERROR(__xludf.DUMMYFUNCTION("IF($B11="""","""",
  100 * $H11 / MAX(FILTER($H:$H, $A:$A=$A11, $B:$B&lt;&gt;""""))
)
"),28.029585448517775)</f>
        <v>28.02958545</v>
      </c>
      <c r="L11" s="1">
        <f t="shared" si="3"/>
        <v>10.75146455</v>
      </c>
      <c r="M11" s="1">
        <f>IFERROR(__xludf.DUMMYFUNCTION("IF($B11="""","""",
  RANK($K11, FILTER($K:$K, $A:$A=$A11, $B:$B&lt;&gt;""""), 0)
)
"),15.0)</f>
        <v>15</v>
      </c>
      <c r="N11" s="1" t="str">
        <f t="shared" si="4"/>
        <v>🔴 Action Needed</v>
      </c>
      <c r="O11" s="1" t="str">
        <f t="shared" si="5"/>
        <v>Traffic issue → location/product mix</v>
      </c>
    </row>
    <row r="12">
      <c r="H12" s="1">
        <f t="shared" si="6"/>
        <v>1368.57</v>
      </c>
      <c r="I12" s="1">
        <f t="shared" si="2"/>
        <v>3.362916006</v>
      </c>
      <c r="J12" s="1">
        <f>IFERROR(__xludf.DUMMYFUNCTION("IF($B12="""","""",
  100 * $E12 / MAX(FILTER($E:$E, $A:$A=$A12, $B:$B&lt;&gt;""""))
)
"),27.88950276243094)</f>
        <v>27.88950276</v>
      </c>
      <c r="K12" s="1">
        <f>IFERROR(__xludf.DUMMYFUNCTION("IF($B12="""","""",
  100 * $H12 / MAX(FILTER($H:$H, $A:$A=$A12, $B:$B&lt;&gt;""""))
)
"),25.318757677564502)</f>
        <v>25.31875768</v>
      </c>
      <c r="L12" s="1">
        <f t="shared" si="3"/>
        <v>18.07886806</v>
      </c>
      <c r="M12" s="1">
        <f>IFERROR(__xludf.DUMMYFUNCTION("IF($B12="""","""",
  RANK($K12, FILTER($K:$K, $A:$A=$A12, $B:$B&lt;&gt;""""), 0)
)
"),17.0)</f>
        <v>17</v>
      </c>
      <c r="N12" s="1" t="str">
        <f t="shared" si="4"/>
        <v>🔴 Action Needed</v>
      </c>
      <c r="O12" s="1" t="str">
        <f t="shared" si="5"/>
        <v>Profit issue → pricing/cost/rent</v>
      </c>
    </row>
    <row r="13">
      <c r="H13" s="1">
        <f t="shared" si="6"/>
        <v>2969.46</v>
      </c>
      <c r="I13" s="1">
        <f t="shared" si="2"/>
        <v>3.277826855</v>
      </c>
      <c r="J13" s="1">
        <f>IFERROR(__xludf.DUMMYFUNCTION("IF($B13="""","""",
  100 * $E13 / MAX(FILTER($E:$E, $A:$A=$A13, $B:$B&lt;&gt;""""))
)
"),50.033149171270715)</f>
        <v>50.03314917</v>
      </c>
      <c r="K13" s="1">
        <f>IFERROR(__xludf.DUMMYFUNCTION("IF($B13="""","""",
  100 * $H13 / MAX(FILTER($H:$H, $A:$A=$A13, $B:$B&lt;&gt;""""))
)
"),54.93547145796024)</f>
        <v>54.93547146</v>
      </c>
      <c r="L13" s="1">
        <f t="shared" si="3"/>
        <v>31.33102024</v>
      </c>
      <c r="M13" s="1">
        <f>IFERROR(__xludf.DUMMYFUNCTION("IF($B13="""","""",
  RANK($K13, FILTER($K:$K, $A:$A=$A13, $B:$B&lt;&gt;""""), 0)
)
"),7.0)</f>
        <v>7</v>
      </c>
      <c r="N13" s="1" t="str">
        <f t="shared" si="4"/>
        <v>🔴 Action Needed</v>
      </c>
      <c r="O13" s="1" t="str">
        <f t="shared" si="5"/>
        <v>Traffic issue → location/product mix</v>
      </c>
    </row>
    <row r="14">
      <c r="F14" s="2">
        <v>1000.0</v>
      </c>
      <c r="G14" s="2">
        <v>1000.0</v>
      </c>
      <c r="H14" s="1">
        <f t="shared" si="6"/>
        <v>1639.68</v>
      </c>
      <c r="I14" s="1">
        <f t="shared" si="2"/>
        <v>2.779303416</v>
      </c>
      <c r="J14" s="1">
        <f>IFERROR(__xludf.DUMMYFUNCTION("IF($B14="""","""",
  100 * $E14 / MAX(FILTER($E:$E, $A:$A=$A14, $B:$B&lt;&gt;""""))
)
"),32.994475138121544)</f>
        <v>32.99447514</v>
      </c>
      <c r="K14" s="1">
        <f>IFERROR(__xludf.DUMMYFUNCTION("IF($B14="""","""",
  100 * $H14 / MAX(FILTER($H:$H, $A:$A=$A14, $B:$B&lt;&gt;""""))
)
"),30.334334808412393)</f>
        <v>30.33433481</v>
      </c>
      <c r="L14" s="1">
        <f t="shared" si="3"/>
        <v>20.90840645</v>
      </c>
      <c r="M14" s="1">
        <f>IFERROR(__xludf.DUMMYFUNCTION("IF($B14="""","""",
  RANK($K14, FILTER($K:$K, $A:$A=$A14, $B:$B&lt;&gt;""""), 0)
)
"),12.0)</f>
        <v>12</v>
      </c>
      <c r="N14" s="1" t="str">
        <f t="shared" si="4"/>
        <v>🔴 Action Needed</v>
      </c>
      <c r="O14" s="1" t="str">
        <f t="shared" si="5"/>
        <v>Profit issue → pricing/cost/rent</v>
      </c>
    </row>
    <row r="15">
      <c r="G15" s="1">
        <f t="array" ref="G15">IFERROR(XLOOKUP(B15, Machines!A:A, Machines!C:C), 0)
</f>
        <v>0</v>
      </c>
      <c r="H15" s="1">
        <f t="shared" si="6"/>
        <v>1033.65</v>
      </c>
      <c r="I15" s="1">
        <f t="shared" si="2"/>
        <v>3.120975161</v>
      </c>
      <c r="J15" s="1">
        <f>IFERROR(__xludf.DUMMYFUNCTION("IF($B15="""","""",
  100 * $E15 / MAX(FILTER($E:$E, $A:$A=$A15, $B:$B&lt;&gt;""""))
)
"),24.022099447513813)</f>
        <v>24.02209945</v>
      </c>
      <c r="K15" s="1">
        <f>IFERROR(__xludf.DUMMYFUNCTION("IF($B15="""","""",
  100 * $H15 / MAX(FILTER($H:$H, $A:$A=$A15, $B:$B&lt;&gt;""""))
)
"),19.1226856305593)</f>
        <v>19.12268563</v>
      </c>
      <c r="L15" s="1">
        <f t="shared" si="3"/>
        <v>15.66164973</v>
      </c>
      <c r="M15" s="1">
        <f>IFERROR(__xludf.DUMMYFUNCTION("IF($B15="""","""",
  RANK($K15, FILTER($K:$K, $A:$A=$A15, $B:$B&lt;&gt;""""), 0)
)
"),20.0)</f>
        <v>20</v>
      </c>
      <c r="N15" s="1" t="str">
        <f t="shared" si="4"/>
        <v>🔴 Action Needed</v>
      </c>
      <c r="O15" s="1" t="str">
        <f t="shared" si="5"/>
        <v>Profit issue → pricing/cost/rent</v>
      </c>
    </row>
    <row r="16">
      <c r="G16" s="2">
        <v>300.0</v>
      </c>
      <c r="H16" s="1">
        <f>IFERROR( D16 + F18 - G16, 0)
</f>
        <v>4136.55</v>
      </c>
      <c r="I16" s="1">
        <f t="shared" si="2"/>
        <v>4.102283105</v>
      </c>
      <c r="J16" s="1">
        <f>IFERROR(__xludf.DUMMYFUNCTION("IF($B16="""","""",
  100 * $E16 / MAX(FILTER($E:$E, $A:$A=$A16, $B:$B&lt;&gt;""""))
)
"),24.19889502762431)</f>
        <v>24.19889503</v>
      </c>
      <c r="K16" s="1">
        <f>IFERROR(__xludf.DUMMYFUNCTION("IF($B16="""","""",
  100 * $H16 / MAX(FILTER($H:$H, $A:$A=$A16, $B:$B&lt;&gt;""""))
)
"),76.52681782526975)</f>
        <v>76.52681783</v>
      </c>
      <c r="L16" s="1">
        <f t="shared" si="3"/>
        <v>16.16025026</v>
      </c>
      <c r="M16" s="1">
        <f>IFERROR(__xludf.DUMMYFUNCTION("IF($B16="""","""",
  RANK($K16, FILTER($K:$K, $A:$A=$A16, $B:$B&lt;&gt;""""), 0)
)
"),2.0)</f>
        <v>2</v>
      </c>
      <c r="N16" s="1" t="str">
        <f t="shared" si="4"/>
        <v>🔴 Action Needed</v>
      </c>
      <c r="O16" s="1" t="str">
        <f t="shared" si="5"/>
        <v>Traffic issue → location/product mix</v>
      </c>
    </row>
    <row r="17">
      <c r="F17" s="4"/>
      <c r="H17" s="1">
        <f t="shared" ref="H17:H26" si="7">IFERROR( D17 + F17 - G17, 0)
</f>
        <v>572.33</v>
      </c>
      <c r="I17" s="1">
        <f t="shared" si="2"/>
        <v>4.49339207</v>
      </c>
      <c r="J17" s="1">
        <f>IFERROR(__xludf.DUMMYFUNCTION("IF($B17="""","""",
  100 * $E17 / MAX(FILTER($E:$E, $A:$A=$A17, $B:$B&lt;&gt;""""))
)
"),5.016574585635359)</f>
        <v>5.016574586</v>
      </c>
      <c r="K17" s="1">
        <f>IFERROR(__xludf.DUMMYFUNCTION("IF($B17="""","""",
  100 * $H17 / MAX(FILTER($H:$H, $A:$A=$A17, $B:$B&lt;&gt;""""))
)
"),10.588193940829107)</f>
        <v>10.58819394</v>
      </c>
      <c r="L17" s="1">
        <f t="shared" si="3"/>
        <v>4.80730158</v>
      </c>
      <c r="M17" s="1">
        <f>IFERROR(__xludf.DUMMYFUNCTION("IF($B17="""","""",
  RANK($K17, FILTER($K:$K, $A:$A=$A17, $B:$B&lt;&gt;""""), 0)
)
"),22.0)</f>
        <v>22</v>
      </c>
      <c r="N17" s="1" t="str">
        <f t="shared" si="4"/>
        <v>🔴 Action Needed</v>
      </c>
      <c r="O17" s="1" t="str">
        <f t="shared" si="5"/>
        <v>Traffic issue → location/product mix</v>
      </c>
    </row>
    <row r="18">
      <c r="F18" s="4">
        <f>SUM(F10:F16)</f>
        <v>2000</v>
      </c>
      <c r="H18" s="1">
        <f t="shared" si="7"/>
        <v>14341.51</v>
      </c>
      <c r="I18" s="1" t="str">
        <f t="shared" si="2"/>
        <v/>
      </c>
      <c r="J18" s="1" t="str">
        <f>IFERROR(__xludf.DUMMYFUNCTION("IF($B18="""","""",
  100 * $E18 / MAX(FILTER($E:$E, $A:$A=$A18, $B:$B&lt;&gt;""""))
)
"),"")</f>
        <v/>
      </c>
      <c r="K18" s="1" t="str">
        <f>IFERROR(__xludf.DUMMYFUNCTION("IF($B18="""","""",
  100 * $H18 / MAX(FILTER($H:$H, $A:$A=$A18, $B:$B&lt;&gt;""""))
)
"),"")</f>
        <v/>
      </c>
      <c r="L18" s="1" t="str">
        <f t="shared" si="3"/>
        <v/>
      </c>
      <c r="M18" s="1" t="str">
        <f>IFERROR(__xludf.DUMMYFUNCTION("IF($B18="""","""",
  RANK($K18, FILTER($K:$K, $A:$A=$A18, $B:$B&lt;&gt;""""), 0)
)
"),"")</f>
        <v/>
      </c>
      <c r="N18" s="1" t="str">
        <f t="shared" si="4"/>
        <v/>
      </c>
      <c r="O18" s="1" t="str">
        <f t="shared" si="5"/>
        <v/>
      </c>
    </row>
    <row r="19">
      <c r="F19" s="2">
        <v>1000.0</v>
      </c>
      <c r="G19" s="2">
        <v>500.0</v>
      </c>
      <c r="H19" s="1">
        <f t="shared" si="7"/>
        <v>1677.36</v>
      </c>
      <c r="I19" s="1">
        <f t="shared" si="2"/>
        <v>2.749003984</v>
      </c>
      <c r="J19" s="1">
        <f>IFERROR(__xludf.DUMMYFUNCTION("IF($B19="""","""",
  100 * $E19 / MAX(FILTER($E:$E, $A:$A=$A19, $B:$B&lt;&gt;""""))
)
"),100.0)</f>
        <v>100</v>
      </c>
      <c r="K19" s="1">
        <f>IFERROR(__xludf.DUMMYFUNCTION("IF($B19="""","""",
  100 * $H19 / MAX(FILTER($H:$H, $A:$A=$A19, $B:$B&lt;&gt;""""))
)
"),99.99999999999999)</f>
        <v>100</v>
      </c>
      <c r="L19" s="1">
        <f t="shared" si="3"/>
        <v>61.09960159</v>
      </c>
      <c r="M19" s="1">
        <f>IFERROR(__xludf.DUMMYFUNCTION("IF($B19="""","""",
  RANK($K19, FILTER($K:$K, $A:$A=$A19, $B:$B&lt;&gt;""""), 0)
)
"),1.0)</f>
        <v>1</v>
      </c>
      <c r="N19" s="1" t="str">
        <f t="shared" si="4"/>
        <v>🟢 Strong</v>
      </c>
      <c r="O19" s="1" t="str">
        <f t="shared" si="5"/>
        <v>OK</v>
      </c>
    </row>
    <row r="20">
      <c r="F20" s="4"/>
      <c r="G20" s="1">
        <f t="array" ref="G20">IFERROR(XLOOKUP(B20, Machines!A:A, Machines!C:C), 0)
</f>
        <v>0</v>
      </c>
      <c r="H20" s="1">
        <f t="shared" si="7"/>
        <v>1567.26</v>
      </c>
      <c r="I20" s="1">
        <f t="shared" si="2"/>
        <v>3.153506001</v>
      </c>
      <c r="J20" s="1">
        <f>IFERROR(__xludf.DUMMYFUNCTION("IF($B20="""","""",
  100 * $E20 / MAX(FILTER($E:$E, $A:$A=$A20, $B:$B&lt;&gt;""""))
)
"),34.98342541436464)</f>
        <v>34.98342541</v>
      </c>
      <c r="K20" s="1">
        <f>IFERROR(__xludf.DUMMYFUNCTION("IF($B20="""","""",
  100 * $H20 / MAX(FILTER($H:$H, $A:$A=$A20, $B:$B&lt;&gt;""""))
)
"),28.994553554249862)</f>
        <v>28.99455355</v>
      </c>
      <c r="L20" s="1">
        <f t="shared" si="3"/>
        <v>22.25145765</v>
      </c>
      <c r="M20" s="1">
        <f>IFERROR(__xludf.DUMMYFUNCTION("IF($B20="""","""",
  RANK($K20, FILTER($K:$K, $A:$A=$A20, $B:$B&lt;&gt;""""), 0)
)
"),14.0)</f>
        <v>14</v>
      </c>
      <c r="N20" s="1" t="str">
        <f t="shared" si="4"/>
        <v>🔴 Action Needed</v>
      </c>
      <c r="O20" s="1" t="str">
        <f t="shared" si="5"/>
        <v>Profit issue → pricing/cost/rent</v>
      </c>
    </row>
    <row r="21">
      <c r="F21" s="5">
        <v>1000.0</v>
      </c>
      <c r="G21" s="1">
        <f t="array" ref="G21">IFERROR(XLOOKUP(B21, Machines!A:A, Machines!C:C), 0)
</f>
        <v>1000</v>
      </c>
      <c r="H21" s="1">
        <f t="shared" si="7"/>
        <v>4118.83</v>
      </c>
      <c r="I21" s="1">
        <f t="shared" si="2"/>
        <v>2.968795146</v>
      </c>
      <c r="J21" s="1">
        <f>IFERROR(__xludf.DUMMYFUNCTION("IF($B21="""","""",
  100 * $E21 / MAX(FILTER($E:$E, $A:$A=$A21, $B:$B&lt;&gt;""""))
)
"),76.48618784530387)</f>
        <v>76.48618785</v>
      </c>
      <c r="K21" s="1">
        <f>IFERROR(__xludf.DUMMYFUNCTION("IF($B21="""","""",
  100 * $H21 / MAX(FILTER($H:$H, $A:$A=$A21, $B:$B&lt;&gt;""""))
)
"),76.1989950715586)</f>
        <v>76.19899507</v>
      </c>
      <c r="L21" s="1">
        <f t="shared" si="3"/>
        <v>47.07923077</v>
      </c>
      <c r="M21" s="1">
        <f>IFERROR(__xludf.DUMMYFUNCTION("IF($B21="""","""",
  RANK($K21, FILTER($K:$K, $A:$A=$A21, $B:$B&lt;&gt;""""), 0)
)
"),3.0)</f>
        <v>3</v>
      </c>
      <c r="N21" s="1" t="str">
        <f t="shared" si="4"/>
        <v>🟡 Watch</v>
      </c>
      <c r="O21" s="1" t="str">
        <f t="shared" si="5"/>
        <v>Profit issue → pricing/cost/rent</v>
      </c>
    </row>
    <row r="22">
      <c r="H22" s="1">
        <f t="shared" si="7"/>
        <v>1014.02</v>
      </c>
      <c r="I22" s="1">
        <f t="shared" si="2"/>
        <v>3.235587583</v>
      </c>
      <c r="J22" s="1">
        <f>IFERROR(__xludf.DUMMYFUNCTION("IF($B22="""","""",
  100 * $E22 / MAX(FILTER($E:$E, $A:$A=$A22, $B:$B&lt;&gt;""""))
)
"),19.933701657458563)</f>
        <v>19.93370166</v>
      </c>
      <c r="K22" s="1">
        <f>IFERROR(__xludf.DUMMYFUNCTION("IF($B22="""","""",
  100 * $H22 / MAX(FILTER($H:$H, $A:$A=$A22, $B:$B&lt;&gt;""""))
)
"),18.759527580031676)</f>
        <v>18.75952758</v>
      </c>
      <c r="L22" s="1">
        <f t="shared" si="3"/>
        <v>13.25445603</v>
      </c>
      <c r="M22" s="1">
        <f>IFERROR(__xludf.DUMMYFUNCTION("IF($B22="""","""",
  RANK($K22, FILTER($K:$K, $A:$A=$A22, $B:$B&lt;&gt;""""), 0)
)
"),21.0)</f>
        <v>21</v>
      </c>
      <c r="N22" s="1" t="str">
        <f t="shared" si="4"/>
        <v>🔴 Action Needed</v>
      </c>
      <c r="O22" s="1" t="str">
        <f t="shared" si="5"/>
        <v>Profit issue → pricing/cost/rent</v>
      </c>
    </row>
    <row r="23">
      <c r="G23" s="2">
        <v>200.0</v>
      </c>
      <c r="H23" s="1">
        <f t="shared" si="7"/>
        <v>2245.81</v>
      </c>
      <c r="I23" s="1">
        <f t="shared" si="2"/>
        <v>3.474852071</v>
      </c>
      <c r="J23" s="1">
        <f>IFERROR(__xludf.DUMMYFUNCTION("IF($B23="""","""",
  100 * $E23 / MAX(FILTER($E:$E, $A:$A=$A23, $B:$B&lt;&gt;""""))
)
"),29.87845303867403)</f>
        <v>29.87845304</v>
      </c>
      <c r="K23" s="1">
        <f>IFERROR(__xludf.DUMMYFUNCTION("IF($B23="""","""",
  100 * $H23 / MAX(FILTER($H:$H, $A:$A=$A23, $B:$B&lt;&gt;""""))
)
"),41.547834001805626)</f>
        <v>41.547834</v>
      </c>
      <c r="L23" s="1">
        <f t="shared" si="3"/>
        <v>19.31701265</v>
      </c>
      <c r="M23" s="1">
        <f>IFERROR(__xludf.DUMMYFUNCTION("IF($B23="""","""",
  RANK($K23, FILTER($K:$K, $A:$A=$A23, $B:$B&lt;&gt;""""), 0)
)
"),8.0)</f>
        <v>8</v>
      </c>
      <c r="N23" s="1" t="str">
        <f t="shared" si="4"/>
        <v>🔴 Action Needed</v>
      </c>
      <c r="O23" s="1" t="str">
        <f t="shared" si="5"/>
        <v>Traffic issue → location/product mix</v>
      </c>
    </row>
    <row r="24">
      <c r="F24" s="1">
        <f>SUM(F19:F23)</f>
        <v>2000</v>
      </c>
      <c r="H24" s="1">
        <f t="shared" si="7"/>
        <v>12323.28</v>
      </c>
      <c r="I24" s="1" t="str">
        <f t="shared" si="2"/>
        <v/>
      </c>
      <c r="J24" s="1" t="str">
        <f>IFERROR(__xludf.DUMMYFUNCTION("IF($B24="""","""",
  100 * $E24 / MAX(FILTER($E:$E, $A:$A=$A24, $B:$B&lt;&gt;""""))
)
"),"")</f>
        <v/>
      </c>
      <c r="K24" s="1" t="str">
        <f>IFERROR(__xludf.DUMMYFUNCTION("IF($B24="""","""",
  100 * $H24 / MAX(FILTER($H:$H, $A:$A=$A24, $B:$B&lt;&gt;""""))
)
"),"")</f>
        <v/>
      </c>
      <c r="L24" s="1" t="str">
        <f t="shared" si="3"/>
        <v/>
      </c>
      <c r="M24" s="1" t="str">
        <f>IFERROR(__xludf.DUMMYFUNCTION("IF($B24="""","""",
  RANK($K24, FILTER($K:$K, $A:$A=$A24, $B:$B&lt;&gt;""""), 0)
)
"),"")</f>
        <v/>
      </c>
      <c r="N24" s="1" t="str">
        <f t="shared" si="4"/>
        <v/>
      </c>
      <c r="O24" s="1" t="str">
        <f t="shared" si="5"/>
        <v/>
      </c>
    </row>
    <row r="25">
      <c r="F25" s="2">
        <v>1000.0</v>
      </c>
      <c r="H25" s="1">
        <f t="shared" si="7"/>
        <v>5270</v>
      </c>
      <c r="I25" s="1">
        <f t="shared" si="2"/>
        <v>2.558418214</v>
      </c>
      <c r="J25" s="1">
        <f>IFERROR(__xludf.DUMMYFUNCTION("IF($B25="""","""",
  100 * $E25 / MAX(FILTER($E:$E, $A:$A=$A25, $B:$B&lt;&gt;""""))
)
"),100.0)</f>
        <v>100</v>
      </c>
      <c r="K25" s="1">
        <f>IFERROR(__xludf.DUMMYFUNCTION("IF($B25="""","""",
  100 * $H25 / MAX(FILTER($H:$H, $A:$A=$A25, $B:$B&lt;&gt;""""))
)
"),100.0)</f>
        <v>100</v>
      </c>
      <c r="L25" s="1">
        <f t="shared" si="3"/>
        <v>61.02336729</v>
      </c>
      <c r="M25" s="1">
        <f>IFERROR(__xludf.DUMMYFUNCTION("IF($B25="""","""",
  RANK($K25, FILTER($K:$K, $A:$A=$A25, $B:$B&lt;&gt;""""), 0)
)
"),1.0)</f>
        <v>1</v>
      </c>
      <c r="N25" s="1" t="str">
        <f t="shared" si="4"/>
        <v>🟢 Strong</v>
      </c>
      <c r="O25" s="1" t="str">
        <f t="shared" si="5"/>
        <v>OK</v>
      </c>
    </row>
    <row r="26">
      <c r="H26" s="1">
        <f t="shared" si="7"/>
        <v>1786.24</v>
      </c>
      <c r="I26" s="1">
        <f t="shared" si="2"/>
        <v>2.917318436</v>
      </c>
      <c r="J26" s="1">
        <f>IFERROR(__xludf.DUMMYFUNCTION("IF($B26="""","""",
  100 * $E26 / MAX(FILTER($E:$E, $A:$A=$A26, $B:$B&lt;&gt;""""))
)
"),39.55801104972376)</f>
        <v>39.55801105</v>
      </c>
      <c r="K26" s="1">
        <f>IFERROR(__xludf.DUMMYFUNCTION("IF($B26="""","""",
  100 * $H26 / MAX(FILTER($H:$H, $A:$A=$A26, $B:$B&lt;&gt;""""))
)
"),33.04571758402771)</f>
        <v>33.04571758</v>
      </c>
      <c r="L26" s="1">
        <f t="shared" si="3"/>
        <v>24.901734</v>
      </c>
      <c r="M26" s="1">
        <f>IFERROR(__xludf.DUMMYFUNCTION("IF($B26="""","""",
  RANK($K26, FILTER($K:$K, $A:$A=$A26, $B:$B&lt;&gt;""""), 0)
)
"),9.0)</f>
        <v>9</v>
      </c>
      <c r="N26" s="1" t="str">
        <f t="shared" si="4"/>
        <v>🔴 Action Needed</v>
      </c>
      <c r="O26" s="1" t="str">
        <f t="shared" si="5"/>
        <v>Profit issue → pricing/cost/rent</v>
      </c>
    </row>
    <row r="27">
      <c r="I27" s="1">
        <f t="shared" si="2"/>
        <v>2.770279482</v>
      </c>
      <c r="J27" s="1">
        <f>IFERROR(__xludf.DUMMYFUNCTION("IF($B27="""","""",
  100 * $E27 / MAX(FILTER($E:$E, $A:$A=$A27, $B:$B&lt;&gt;""""))
)
"),64.83977900552486)</f>
        <v>64.83977901</v>
      </c>
      <c r="K27" s="1">
        <f>IFERROR(__xludf.DUMMYFUNCTION("IF($B27="""","""",
  100 * $H27 / MAX(FILTER($H:$H, $A:$A=$A27, $B:$B&lt;&gt;""""))
)
"),0.0)</f>
        <v>0</v>
      </c>
      <c r="L27" s="1">
        <f t="shared" si="3"/>
        <v>40.0119792</v>
      </c>
      <c r="M27" s="1">
        <f>IFERROR(__xludf.DUMMYFUNCTION("IF($B27="""","""",
  RANK($K27, FILTER($K:$K, $A:$A=$A27, $B:$B&lt;&gt;""""), 0)
)
"),25.0)</f>
        <v>25</v>
      </c>
      <c r="N27" s="1" t="str">
        <f t="shared" si="4"/>
        <v>🟡 Watch</v>
      </c>
      <c r="O27" s="1" t="str">
        <f t="shared" si="5"/>
        <v>Profit issue → pricing/cost/rent</v>
      </c>
    </row>
    <row r="28">
      <c r="F28" s="2">
        <v>1000.0</v>
      </c>
      <c r="G28" s="2">
        <v>1000.0</v>
      </c>
      <c r="H28" s="1">
        <f t="shared" ref="H28:H29" si="8">IFERROR( D28 + F28 - G28, 0)
</f>
        <v>1752.25</v>
      </c>
      <c r="I28" s="1">
        <f t="shared" si="2"/>
        <v>3.352941176</v>
      </c>
      <c r="J28" s="1">
        <f>IFERROR(__xludf.DUMMYFUNCTION("IF($B28="""","""",
  100 * $E28 / MAX(FILTER($E:$E, $A:$A=$A28, $B:$B&lt;&gt;""""))
)
"),23.668508287292816)</f>
        <v>23.66850829</v>
      </c>
      <c r="K28" s="1">
        <f>IFERROR(__xludf.DUMMYFUNCTION("IF($B28="""","""",
  100 * $H28 / MAX(FILTER($H:$H, $A:$A=$A28, $B:$B&lt;&gt;""""))
)
"),32.41689730193735)</f>
        <v>32.4168973</v>
      </c>
      <c r="L28" s="1">
        <f t="shared" si="3"/>
        <v>15.54228144</v>
      </c>
      <c r="M28" s="1">
        <f>IFERROR(__xludf.DUMMYFUNCTION("IF($B28="""","""",
  RANK($K28, FILTER($K:$K, $A:$A=$A28, $B:$B&lt;&gt;""""), 0)
)
"),10.0)</f>
        <v>10</v>
      </c>
      <c r="N28" s="1" t="str">
        <f t="shared" si="4"/>
        <v>🔴 Action Needed</v>
      </c>
      <c r="O28" s="1" t="str">
        <f t="shared" si="5"/>
        <v>Traffic issue → location/product mix</v>
      </c>
    </row>
    <row r="29">
      <c r="F29" s="2">
        <f>SUM(F25:F28)</f>
        <v>2000</v>
      </c>
      <c r="G29" s="2">
        <v>1000.0</v>
      </c>
      <c r="H29" s="1">
        <f t="shared" si="8"/>
        <v>12033.01</v>
      </c>
      <c r="I29" s="1" t="str">
        <f t="shared" si="2"/>
        <v/>
      </c>
      <c r="J29" s="1" t="str">
        <f>IFERROR(__xludf.DUMMYFUNCTION("IF($B29="""","""",
  100 * $E29 / MAX(FILTER($E:$E, $A:$A=$A29, $B:$B&lt;&gt;""""))
)
"),"")</f>
        <v/>
      </c>
      <c r="K29" s="1" t="str">
        <f>IFERROR(__xludf.DUMMYFUNCTION("IF($B29="""","""",
  100 * $H29 / MAX(FILTER($H:$H, $A:$A=$A29, $B:$B&lt;&gt;""""))
)
"),"")</f>
        <v/>
      </c>
      <c r="L29" s="1" t="str">
        <f t="shared" si="3"/>
        <v/>
      </c>
      <c r="M29" s="1" t="str">
        <f>IFERROR(__xludf.DUMMYFUNCTION("IF($B29="""","""",
  RANK($K29, FILTER($K:$K, $A:$A=$A29, $B:$B&lt;&gt;""""), 0)
)
"),"")</f>
        <v/>
      </c>
      <c r="N29" s="1" t="str">
        <f t="shared" si="4"/>
        <v/>
      </c>
      <c r="O29" s="1" t="str">
        <f t="shared" si="5"/>
        <v/>
      </c>
    </row>
    <row r="30">
      <c r="F30" s="2">
        <v>1000.0</v>
      </c>
      <c r="H30" s="1">
        <f>IFERROR( D30 + F29 - G30, 0)
</f>
        <v>5760</v>
      </c>
      <c r="I30" s="1">
        <f t="shared" si="2"/>
        <v>2.718727404</v>
      </c>
      <c r="J30" s="1">
        <f>IFERROR(__xludf.DUMMYFUNCTION("IF($B30="""","""",
  100 * $E30 / MAX(FILTER($E:$E, $A:$A=$A30, $B:$B&lt;&gt;""""))
)
"),100.0)</f>
        <v>100</v>
      </c>
      <c r="K30" s="1">
        <f>IFERROR(__xludf.DUMMYFUNCTION("IF($B30="""","""",
  100 * $H30 / MAX(FILTER($H:$H, $A:$A=$A30, $B:$B&lt;&gt;""""))
)
"),100.0)</f>
        <v>100</v>
      </c>
      <c r="L30" s="1">
        <f t="shared" si="3"/>
        <v>61.08749096</v>
      </c>
      <c r="M30" s="1">
        <f>IFERROR(__xludf.DUMMYFUNCTION("IF($B30="""","""",
  RANK($K30, FILTER($K:$K, $A:$A=$A30, $B:$B&lt;&gt;""""), 0)
)
"),1.0)</f>
        <v>1</v>
      </c>
      <c r="N30" s="1" t="str">
        <f t="shared" si="4"/>
        <v>🟢 Strong</v>
      </c>
      <c r="O30" s="1" t="str">
        <f t="shared" si="5"/>
        <v>OK</v>
      </c>
    </row>
    <row r="31">
      <c r="H31" s="1">
        <f>IFERROR( D31 + F31 - G31, 0)
</f>
        <v>1140.2</v>
      </c>
      <c r="I31" s="1">
        <f t="shared" si="2"/>
        <v>2.832655827</v>
      </c>
      <c r="J31" s="1">
        <f>IFERROR(__xludf.DUMMYFUNCTION("IF($B31="""","""",
  100 * $E31 / MAX(FILTER($E:$E, $A:$A=$A31, $B:$B&lt;&gt;""""))
)
"),32.61878453038674)</f>
        <v>32.61878453</v>
      </c>
      <c r="K31" s="1">
        <f>IFERROR(__xludf.DUMMYFUNCTION("IF($B31="""","""",
  100 * $H31 / MAX(FILTER($H:$H, $A:$A=$A31, $B:$B&lt;&gt;""""))
)
"),21.093877188568385)</f>
        <v>21.09387719</v>
      </c>
      <c r="L31" s="1">
        <f t="shared" si="3"/>
        <v>20.70433305</v>
      </c>
      <c r="M31" s="1">
        <f>IFERROR(__xludf.DUMMYFUNCTION("IF($B31="""","""",
  RANK($K31, FILTER($K:$K, $A:$A=$A31, $B:$B&lt;&gt;""""), 0)
)
"),18.0)</f>
        <v>18</v>
      </c>
      <c r="N31" s="1" t="str">
        <f t="shared" si="4"/>
        <v>🔴 Action Needed</v>
      </c>
      <c r="O31" s="1" t="str">
        <f t="shared" si="5"/>
        <v>Profit issue → pricing/cost/rent</v>
      </c>
    </row>
    <row r="32">
      <c r="F32" s="2">
        <v>1000.0</v>
      </c>
      <c r="G32" s="2">
        <v>350.0</v>
      </c>
      <c r="I32" s="1">
        <f t="shared" si="2"/>
        <v>2.626095926</v>
      </c>
      <c r="J32" s="1">
        <f>IFERROR(__xludf.DUMMYFUNCTION("IF($B32="""","""",
  100 * $E32 / MAX(FILTER($E:$E, $A:$A=$A32, $B:$B&lt;&gt;""""))
)
"),42.850828729281766)</f>
        <v>42.85082873</v>
      </c>
      <c r="K32" s="1">
        <f>IFERROR(__xludf.DUMMYFUNCTION("IF($B32="""","""",
  100 * $H32 / MAX(FILTER($H:$H, $A:$A=$A32, $B:$B&lt;&gt;""""))
)
"),0.0)</f>
        <v>0</v>
      </c>
      <c r="L32" s="1">
        <f t="shared" si="3"/>
        <v>26.76093561</v>
      </c>
      <c r="M32" s="1">
        <f>IFERROR(__xludf.DUMMYFUNCTION("IF($B32="""","""",
  RANK($K32, FILTER($K:$K, $A:$A=$A32, $B:$B&lt;&gt;""""), 0)
)
"),25.0)</f>
        <v>25</v>
      </c>
      <c r="N32" s="1" t="str">
        <f t="shared" si="4"/>
        <v>🔴 Action Needed</v>
      </c>
      <c r="O32" s="1" t="str">
        <f t="shared" si="5"/>
        <v>Profit issue → pricing/cost/rent</v>
      </c>
    </row>
    <row r="33">
      <c r="G33" s="2">
        <v>1000.0</v>
      </c>
      <c r="H33" s="1">
        <f t="shared" ref="H33:H36" si="9">IFERROR( D33 + F33 - G33, 0)
</f>
        <v>570.52</v>
      </c>
      <c r="I33" s="1">
        <f t="shared" si="2"/>
        <v>2.470110701</v>
      </c>
      <c r="J33" s="1">
        <f>IFERROR(__xludf.DUMMYFUNCTION("IF($B33="""","""",
  100 * $E33 / MAX(FILTER($E:$E, $A:$A=$A33, $B:$B&lt;&gt;""""))
)
"),29.944751381215468)</f>
        <v>29.94475138</v>
      </c>
      <c r="K33" s="1">
        <f>IFERROR(__xludf.DUMMYFUNCTION("IF($B33="""","""",
  100 * $H33 / MAX(FILTER($H:$H, $A:$A=$A33, $B:$B&lt;&gt;""""))
)
"),10.55470865955275)</f>
        <v>10.55470866</v>
      </c>
      <c r="L33" s="1">
        <f t="shared" si="3"/>
        <v>18.95489511</v>
      </c>
      <c r="M33" s="1">
        <f>IFERROR(__xludf.DUMMYFUNCTION("IF($B33="""","""",
  RANK($K33, FILTER($K:$K, $A:$A=$A33, $B:$B&lt;&gt;""""), 0)
)
"),23.0)</f>
        <v>23</v>
      </c>
      <c r="N33" s="1" t="str">
        <f t="shared" si="4"/>
        <v>🔴 Action Needed</v>
      </c>
      <c r="O33" s="1" t="str">
        <f t="shared" si="5"/>
        <v>Profit issue → pricing/cost/rent</v>
      </c>
    </row>
    <row r="34">
      <c r="F34" s="2">
        <f>SUM(F30:F33)</f>
        <v>2000</v>
      </c>
      <c r="G34" s="2">
        <v>0.0</v>
      </c>
      <c r="H34" s="1">
        <f t="shared" si="9"/>
        <v>10217.22</v>
      </c>
      <c r="I34" s="1" t="str">
        <f t="shared" si="2"/>
        <v/>
      </c>
      <c r="J34" s="1" t="str">
        <f>IFERROR(__xludf.DUMMYFUNCTION("IF($B34="""","""",
  100 * $E34 / MAX(FILTER($E:$E, $A:$A=$A34, $B:$B&lt;&gt;""""))
)
"),"")</f>
        <v/>
      </c>
      <c r="K34" s="1" t="str">
        <f>IFERROR(__xludf.DUMMYFUNCTION("IF($B34="""","""",
  100 * $H34 / MAX(FILTER($H:$H, $A:$A=$A34, $B:$B&lt;&gt;""""))
)
"),"")</f>
        <v/>
      </c>
      <c r="L34" s="1" t="str">
        <f t="shared" si="3"/>
        <v/>
      </c>
      <c r="M34" s="1" t="str">
        <f>IFERROR(__xludf.DUMMYFUNCTION("IF($B34="""","""",
  RANK($K34, FILTER($K:$K, $A:$A=$A34, $B:$B&lt;&gt;""""), 0)
)
"),"")</f>
        <v/>
      </c>
      <c r="N34" s="1" t="str">
        <f t="shared" si="4"/>
        <v/>
      </c>
      <c r="O34" s="1" t="str">
        <f t="shared" si="5"/>
        <v/>
      </c>
    </row>
    <row r="35">
      <c r="H35" s="1">
        <f t="shared" si="9"/>
        <v>4317</v>
      </c>
      <c r="I35" s="1">
        <f t="shared" si="2"/>
        <v>2.893431635</v>
      </c>
      <c r="J35" s="1">
        <f>IFERROR(__xludf.DUMMYFUNCTION("IF($B35="""","""",
  100 * $E35 / MAX(FILTER($E:$E, $A:$A=$A35, $B:$B&lt;&gt;""""))
)
"),100.0)</f>
        <v>100</v>
      </c>
      <c r="K35" s="1">
        <f>IFERROR(__xludf.DUMMYFUNCTION("IF($B35="""","""",
  100 * $H35 / MAX(FILTER($H:$H, $A:$A=$A35, $B:$B&lt;&gt;""""))
)
"),100.0)</f>
        <v>100</v>
      </c>
      <c r="L35" s="1">
        <f t="shared" si="3"/>
        <v>61.15737265</v>
      </c>
      <c r="M35" s="1">
        <f>IFERROR(__xludf.DUMMYFUNCTION("IF($B35="""","""",
  RANK($K35, FILTER($K:$K, $A:$A=$A35, $B:$B&lt;&gt;""""), 0)
)
"),1.0)</f>
        <v>1</v>
      </c>
      <c r="N35" s="1" t="str">
        <f t="shared" si="4"/>
        <v>🟢 Strong</v>
      </c>
      <c r="O35" s="1" t="str">
        <f t="shared" si="5"/>
        <v>OK</v>
      </c>
    </row>
    <row r="36">
      <c r="G36" s="2">
        <v>350.0</v>
      </c>
      <c r="H36" s="1">
        <f t="shared" si="9"/>
        <v>1057.54</v>
      </c>
      <c r="I36" s="1">
        <f t="shared" si="2"/>
        <v>3.144348894</v>
      </c>
      <c r="J36" s="1">
        <f>IFERROR(__xludf.DUMMYFUNCTION("IF($B36="""","""",
  100 * $E36 / MAX(FILTER($E:$E, $A:$A=$A36, $B:$B&lt;&gt;""""))
)
"),35.97790055248619)</f>
        <v>35.97790055</v>
      </c>
      <c r="K36" s="1">
        <f>IFERROR(__xludf.DUMMYFUNCTION("IF($B36="""","""",
  100 * $H36 / MAX(FILTER($H:$H, $A:$A=$A36, $B:$B&lt;&gt;""""))
)
"),19.56465434309649)</f>
        <v>19.56465434</v>
      </c>
      <c r="L36" s="1">
        <f t="shared" si="3"/>
        <v>22.84447989</v>
      </c>
      <c r="M36" s="1">
        <f>IFERROR(__xludf.DUMMYFUNCTION("IF($B36="""","""",
  RANK($K36, FILTER($K:$K, $A:$A=$A36, $B:$B&lt;&gt;""""), 0)
)
"),19.0)</f>
        <v>19</v>
      </c>
      <c r="N36" s="1" t="str">
        <f t="shared" si="4"/>
        <v>🔴 Action Needed</v>
      </c>
      <c r="O36" s="1" t="str">
        <f t="shared" si="5"/>
        <v>Profit issue → pricing/cost/rent</v>
      </c>
    </row>
    <row r="37"/>
    <row r="38">
      <c r="F38" s="2">
        <v>1000.0</v>
      </c>
      <c r="G38" s="2">
        <v>1000.0</v>
      </c>
      <c r="H38" s="1">
        <f t="shared" ref="H38:H41" si="10">IFERROR( D38 + F38 - G38, 0)
</f>
        <v>1704.18</v>
      </c>
      <c r="I38" s="1">
        <f t="shared" ref="I38:I41" si="11">IF(OR($B38="",RIGHT($A38,5)="Total"),"", $C38 / $E38)
</f>
        <v>2.668279198</v>
      </c>
      <c r="J38" s="1">
        <f>IFERROR(__xludf.DUMMYFUNCTION("IF($B38="""","""",
  100 * $E38 / MAX(FILTER($E:$E, $A:$A=$A38, $B:$B&lt;&gt;""""))
)
"),31.977900552486187)</f>
        <v>31.97790055</v>
      </c>
      <c r="K38" s="1">
        <f>IFERROR(__xludf.DUMMYFUNCTION("IF($B38="""","""",
  100 * $H38 / MAX(FILTER($H:$H, $A:$A=$A38, $B:$B&lt;&gt;""""))
)
"),31.5275948317966)</f>
        <v>31.52759483</v>
      </c>
      <c r="L38" s="1">
        <f t="shared" ref="L38:L41" si="12">IF($B38="","", 0.4*$I38 + 0.6*$J38)
</f>
        <v>20.25405201</v>
      </c>
      <c r="M38" s="1">
        <f>IFERROR(__xludf.DUMMYFUNCTION("IF($B38="""","""",
  RANK($K38, FILTER($K:$K, $A:$A=$A38, $B:$B&lt;&gt;""""), 0)
)
"),11.0)</f>
        <v>11</v>
      </c>
      <c r="N38" s="1" t="str">
        <f t="shared" ref="N38:N41" si="13">IF($B38="","",
 IF($L38&gt;=60,"🟢 Strong",
 IF($L38&gt;=35,"🟡 Watch",
 "🔴 Action Needed")))
</f>
        <v>🔴 Action Needed</v>
      </c>
      <c r="O38" s="1" t="str">
        <f t="shared" ref="O38:O41" si="14">IF($B38="","",
 IF($N38="🟢 Strong","OK",
 IF($K38&lt;$J38,"Profit issue → pricing/cost/rent",
 "Traffic issue → location/product mix")))
</f>
        <v>Profit issue → pricing/cost/rent</v>
      </c>
    </row>
    <row r="39">
      <c r="F39" s="2">
        <v>1000.0</v>
      </c>
      <c r="G39" s="2">
        <v>0.0</v>
      </c>
      <c r="H39" s="1">
        <f t="shared" si="10"/>
        <v>11001.51</v>
      </c>
      <c r="I39" s="1" t="str">
        <f t="shared" si="11"/>
        <v/>
      </c>
      <c r="J39" s="1" t="str">
        <f>IFERROR(__xludf.DUMMYFUNCTION("IF($B39="""","""",
  100 * $E39 / MAX(FILTER($E:$E, $A:$A=$A39, $B:$B&lt;&gt;""""))
)
"),"")</f>
        <v/>
      </c>
      <c r="K39" s="1" t="str">
        <f>IFERROR(__xludf.DUMMYFUNCTION("IF($B39="""","""",
  100 * $H39 / MAX(FILTER($H:$H, $A:$A=$A39, $B:$B&lt;&gt;""""))
)
"),"")</f>
        <v/>
      </c>
      <c r="L39" s="1" t="str">
        <f t="shared" si="12"/>
        <v/>
      </c>
      <c r="M39" s="1" t="str">
        <f>IFERROR(__xludf.DUMMYFUNCTION("IF($B39="""","""",
  RANK($K39, FILTER($K:$K, $A:$A=$A39, $B:$B&lt;&gt;""""), 0)
)
"),"")</f>
        <v/>
      </c>
      <c r="N39" s="1" t="str">
        <f t="shared" si="13"/>
        <v/>
      </c>
      <c r="O39" s="1" t="str">
        <f t="shared" si="14"/>
        <v/>
      </c>
    </row>
    <row r="40">
      <c r="G40" s="2">
        <v>0.0</v>
      </c>
      <c r="H40" s="1">
        <f t="shared" si="10"/>
        <v>0</v>
      </c>
      <c r="I40" s="1" t="str">
        <f t="shared" si="11"/>
        <v/>
      </c>
      <c r="J40" s="1" t="str">
        <f>IFERROR(__xludf.DUMMYFUNCTION("IF($B40="""","""",
  100 * $E40 / MAX(FILTER($E:$E, $A:$A=$A40, $B:$B&lt;&gt;""""))
)
"),"")</f>
        <v/>
      </c>
      <c r="K40" s="1" t="str">
        <f>IFERROR(__xludf.DUMMYFUNCTION("IF($B40="""","""",
  100 * $H40 / MAX(FILTER($H:$H, $A:$A=$A40, $B:$B&lt;&gt;""""))
)
"),"")</f>
        <v/>
      </c>
      <c r="L40" s="1" t="str">
        <f t="shared" si="12"/>
        <v/>
      </c>
      <c r="M40" s="1" t="str">
        <f>IFERROR(__xludf.DUMMYFUNCTION("IF($B40="""","""",
  RANK($K40, FILTER($K:$K, $A:$A=$A40, $B:$B&lt;&gt;""""), 0)
)
"),"")</f>
        <v/>
      </c>
      <c r="N40" s="1" t="str">
        <f t="shared" si="13"/>
        <v/>
      </c>
      <c r="O40" s="1" t="str">
        <f t="shared" si="14"/>
        <v/>
      </c>
    </row>
    <row r="41">
      <c r="G41" s="2">
        <v>150.0</v>
      </c>
      <c r="H41" s="1">
        <f t="shared" si="10"/>
        <v>3557</v>
      </c>
      <c r="I41" s="1">
        <f t="shared" si="11"/>
        <v>2.514925373</v>
      </c>
      <c r="J41" s="1">
        <f>IFERROR(__xludf.DUMMYFUNCTION("IF($B41="""","""",
  100 * $E41 / MAX(FILTER($E:$E, $A:$A=$A41, $B:$B&lt;&gt;""""))
)
"),32.574585635359114)</f>
        <v>32.57458564</v>
      </c>
      <c r="K41" s="1">
        <f>IFERROR(__xludf.DUMMYFUNCTION("IF($B41="""","""",
  100 * $H41 / MAX(FILTER($H:$H, $A:$A=$A41, $B:$B&lt;&gt;""""))
)
"),65.80505276244322)</f>
        <v>65.80505276</v>
      </c>
      <c r="L41" s="1">
        <f t="shared" si="12"/>
        <v>20.55072153</v>
      </c>
      <c r="M41" s="1">
        <f>IFERROR(__xludf.DUMMYFUNCTION("IF($B41="""","""",
  RANK($K41, FILTER($K:$K, $A:$A=$A41, $B:$B&lt;&gt;""""), 0)
)
"),6.0)</f>
        <v>6</v>
      </c>
      <c r="N41" s="1" t="str">
        <f t="shared" si="13"/>
        <v>🔴 Action Needed</v>
      </c>
      <c r="O41" s="1" t="str">
        <f t="shared" si="14"/>
        <v>Traffic issue → location/product mix</v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9.63"/>
    <col customWidth="1" min="7" max="7" width="19.38"/>
  </cols>
  <sheetData>
    <row r="1">
      <c r="A1" s="6" t="s">
        <v>40</v>
      </c>
      <c r="B1" s="6" t="s">
        <v>1</v>
      </c>
      <c r="C1" s="6" t="s">
        <v>41</v>
      </c>
      <c r="D1" s="6" t="s">
        <v>13</v>
      </c>
      <c r="E1" s="6" t="s">
        <v>42</v>
      </c>
      <c r="F1" s="6" t="s">
        <v>43</v>
      </c>
      <c r="G1" s="6" t="s">
        <v>2</v>
      </c>
      <c r="H1" s="6" t="s">
        <v>44</v>
      </c>
      <c r="I1" s="6" t="s">
        <v>45</v>
      </c>
      <c r="J1" s="6" t="s">
        <v>46</v>
      </c>
      <c r="K1" s="6" t="s">
        <v>47</v>
      </c>
      <c r="L1" s="6" t="s">
        <v>48</v>
      </c>
      <c r="M1" s="6" t="s">
        <v>49</v>
      </c>
      <c r="N1" s="6" t="s">
        <v>3</v>
      </c>
      <c r="O1" s="7" t="s">
        <v>0</v>
      </c>
      <c r="P1" s="7" t="s">
        <v>50</v>
      </c>
      <c r="Q1" s="8" t="s">
        <v>51</v>
      </c>
      <c r="R1" s="8" t="s">
        <v>51</v>
      </c>
    </row>
    <row r="2">
      <c r="A2" s="9">
        <v>2.404120076E9</v>
      </c>
      <c r="B2" s="10" t="s">
        <v>19</v>
      </c>
      <c r="C2" s="11"/>
      <c r="D2" s="10" t="s">
        <v>52</v>
      </c>
      <c r="E2" s="11"/>
      <c r="F2" s="9">
        <v>19.0</v>
      </c>
      <c r="G2" s="9">
        <v>77.0</v>
      </c>
      <c r="H2" s="11"/>
      <c r="I2" s="11"/>
      <c r="J2" s="9">
        <v>19.0</v>
      </c>
      <c r="K2" s="9">
        <v>77.0</v>
      </c>
      <c r="L2" s="9">
        <v>0.0</v>
      </c>
      <c r="M2" s="9">
        <v>0.0</v>
      </c>
      <c r="N2" s="9">
        <v>77.0</v>
      </c>
      <c r="O2" s="12">
        <v>45658.0</v>
      </c>
      <c r="P2" s="13">
        <v>45658.0</v>
      </c>
      <c r="Q2" s="14"/>
      <c r="R2" s="14"/>
    </row>
    <row r="3">
      <c r="A3" s="9">
        <v>2.404120076E9</v>
      </c>
      <c r="B3" s="10" t="s">
        <v>19</v>
      </c>
      <c r="C3" s="11"/>
      <c r="D3" s="10" t="s">
        <v>53</v>
      </c>
      <c r="E3" s="11"/>
      <c r="F3" s="9">
        <v>46.0</v>
      </c>
      <c r="G3" s="9">
        <v>820.0</v>
      </c>
      <c r="H3" s="11"/>
      <c r="I3" s="11"/>
      <c r="J3" s="9">
        <v>46.0</v>
      </c>
      <c r="K3" s="9">
        <v>820.0</v>
      </c>
      <c r="L3" s="9">
        <v>0.0</v>
      </c>
      <c r="M3" s="9">
        <v>0.0</v>
      </c>
      <c r="N3" s="9">
        <v>820.0</v>
      </c>
      <c r="O3" s="12">
        <v>45658.0</v>
      </c>
      <c r="P3" s="15"/>
      <c r="Q3" s="14"/>
      <c r="R3" s="14"/>
    </row>
    <row r="4">
      <c r="A4" s="9">
        <v>2.404120076E9</v>
      </c>
      <c r="B4" s="10" t="s">
        <v>19</v>
      </c>
      <c r="C4" s="11"/>
      <c r="D4" s="10" t="s">
        <v>54</v>
      </c>
      <c r="E4" s="11"/>
      <c r="F4" s="9">
        <v>88.0</v>
      </c>
      <c r="G4" s="9">
        <v>430.0</v>
      </c>
      <c r="H4" s="11"/>
      <c r="I4" s="11"/>
      <c r="J4" s="9">
        <v>88.0</v>
      </c>
      <c r="K4" s="9">
        <v>430.0</v>
      </c>
      <c r="L4" s="9">
        <v>0.0</v>
      </c>
      <c r="M4" s="9">
        <v>0.0</v>
      </c>
      <c r="N4" s="9">
        <v>430.0</v>
      </c>
      <c r="O4" s="12">
        <v>45658.0</v>
      </c>
      <c r="P4" s="15"/>
      <c r="Q4" s="14"/>
      <c r="R4" s="14"/>
    </row>
    <row r="5">
      <c r="A5" s="9">
        <v>2.404120076E9</v>
      </c>
      <c r="B5" s="10" t="s">
        <v>19</v>
      </c>
      <c r="C5" s="11"/>
      <c r="D5" s="10" t="s">
        <v>55</v>
      </c>
      <c r="E5" s="11"/>
      <c r="F5" s="9">
        <v>29.0</v>
      </c>
      <c r="G5" s="9">
        <v>58.0</v>
      </c>
      <c r="H5" s="11"/>
      <c r="I5" s="11"/>
      <c r="J5" s="9">
        <v>29.0</v>
      </c>
      <c r="K5" s="9">
        <v>58.0</v>
      </c>
      <c r="L5" s="9">
        <v>0.0</v>
      </c>
      <c r="M5" s="9">
        <v>0.0</v>
      </c>
      <c r="N5" s="9">
        <v>58.0</v>
      </c>
      <c r="O5" s="12">
        <v>45658.0</v>
      </c>
      <c r="P5" s="15"/>
      <c r="Q5" s="14"/>
      <c r="R5" s="14"/>
    </row>
    <row r="6">
      <c r="A6" s="9">
        <v>2.404120076E9</v>
      </c>
      <c r="B6" s="10" t="s">
        <v>19</v>
      </c>
      <c r="C6" s="11"/>
      <c r="D6" s="10" t="s">
        <v>56</v>
      </c>
      <c r="E6" s="11"/>
      <c r="F6" s="9">
        <v>19.0</v>
      </c>
      <c r="G6" s="9">
        <v>57.0</v>
      </c>
      <c r="H6" s="11"/>
      <c r="I6" s="11"/>
      <c r="J6" s="9">
        <v>19.0</v>
      </c>
      <c r="K6" s="9">
        <v>57.0</v>
      </c>
      <c r="L6" s="9">
        <v>0.0</v>
      </c>
      <c r="M6" s="9">
        <v>0.0</v>
      </c>
      <c r="N6" s="9">
        <v>57.0</v>
      </c>
      <c r="O6" s="12">
        <v>45658.0</v>
      </c>
      <c r="P6" s="15"/>
      <c r="Q6" s="14"/>
      <c r="R6" s="14"/>
    </row>
    <row r="7">
      <c r="A7" s="9">
        <v>2.404120076E9</v>
      </c>
      <c r="B7" s="10" t="s">
        <v>19</v>
      </c>
      <c r="C7" s="11"/>
      <c r="D7" s="10" t="s">
        <v>57</v>
      </c>
      <c r="E7" s="11"/>
      <c r="F7" s="9">
        <v>152.0</v>
      </c>
      <c r="G7" s="9">
        <v>608.0</v>
      </c>
      <c r="H7" s="11"/>
      <c r="I7" s="11"/>
      <c r="J7" s="9">
        <v>152.0</v>
      </c>
      <c r="K7" s="9">
        <v>608.0</v>
      </c>
      <c r="L7" s="9">
        <v>0.0</v>
      </c>
      <c r="M7" s="9">
        <v>0.0</v>
      </c>
      <c r="N7" s="9">
        <v>608.0</v>
      </c>
      <c r="O7" s="12">
        <v>45658.0</v>
      </c>
      <c r="P7" s="15"/>
      <c r="Q7" s="14"/>
      <c r="R7" s="14"/>
    </row>
    <row r="8">
      <c r="A8" s="9">
        <v>2.404120076E9</v>
      </c>
      <c r="B8" s="10" t="s">
        <v>19</v>
      </c>
      <c r="C8" s="11"/>
      <c r="D8" s="10" t="s">
        <v>58</v>
      </c>
      <c r="E8" s="11"/>
      <c r="F8" s="9">
        <v>50.0</v>
      </c>
      <c r="G8" s="9">
        <v>200.0</v>
      </c>
      <c r="H8" s="11"/>
      <c r="I8" s="11"/>
      <c r="J8" s="9">
        <v>50.0</v>
      </c>
      <c r="K8" s="9">
        <v>200.0</v>
      </c>
      <c r="L8" s="9">
        <v>0.0</v>
      </c>
      <c r="M8" s="9">
        <v>0.0</v>
      </c>
      <c r="N8" s="9">
        <v>200.0</v>
      </c>
      <c r="O8" s="12">
        <v>45658.0</v>
      </c>
      <c r="P8" s="15"/>
      <c r="Q8" s="14"/>
      <c r="R8" s="14"/>
    </row>
    <row r="9">
      <c r="A9" s="9">
        <v>2.404120076E9</v>
      </c>
      <c r="B9" s="10" t="s">
        <v>19</v>
      </c>
      <c r="C9" s="11"/>
      <c r="D9" s="10" t="s">
        <v>59</v>
      </c>
      <c r="E9" s="11"/>
      <c r="F9" s="9">
        <v>3.0</v>
      </c>
      <c r="G9" s="9">
        <v>15.0</v>
      </c>
      <c r="H9" s="11"/>
      <c r="I9" s="11"/>
      <c r="J9" s="9">
        <v>3.0</v>
      </c>
      <c r="K9" s="9">
        <v>15.0</v>
      </c>
      <c r="L9" s="9">
        <v>0.0</v>
      </c>
      <c r="M9" s="9">
        <v>0.0</v>
      </c>
      <c r="N9" s="9">
        <v>15.0</v>
      </c>
      <c r="O9" s="12">
        <v>45658.0</v>
      </c>
      <c r="P9" s="15"/>
      <c r="Q9" s="14"/>
      <c r="R9" s="14"/>
    </row>
    <row r="10">
      <c r="A10" s="9">
        <v>2.404120076E9</v>
      </c>
      <c r="B10" s="10" t="s">
        <v>19</v>
      </c>
      <c r="C10" s="11"/>
      <c r="D10" s="10" t="s">
        <v>60</v>
      </c>
      <c r="E10" s="11"/>
      <c r="F10" s="9">
        <v>88.0</v>
      </c>
      <c r="G10" s="9">
        <v>88.0</v>
      </c>
      <c r="H10" s="11"/>
      <c r="I10" s="11"/>
      <c r="J10" s="9">
        <v>88.0</v>
      </c>
      <c r="K10" s="9">
        <v>88.0</v>
      </c>
      <c r="L10" s="9">
        <v>0.0</v>
      </c>
      <c r="M10" s="9">
        <v>0.0</v>
      </c>
      <c r="N10" s="9">
        <v>88.0</v>
      </c>
      <c r="O10" s="12">
        <v>45658.0</v>
      </c>
      <c r="P10" s="15"/>
      <c r="Q10" s="14"/>
      <c r="R10" s="14"/>
    </row>
    <row r="11">
      <c r="A11" s="9">
        <v>2.404120076E9</v>
      </c>
      <c r="B11" s="10" t="s">
        <v>19</v>
      </c>
      <c r="C11" s="11"/>
      <c r="D11" s="10" t="s">
        <v>61</v>
      </c>
      <c r="E11" s="11"/>
      <c r="F11" s="9">
        <v>320.0</v>
      </c>
      <c r="G11" s="9">
        <v>333.0</v>
      </c>
      <c r="H11" s="11"/>
      <c r="I11" s="11"/>
      <c r="J11" s="9">
        <v>320.0</v>
      </c>
      <c r="K11" s="9">
        <v>333.0</v>
      </c>
      <c r="L11" s="9">
        <v>0.0</v>
      </c>
      <c r="M11" s="9">
        <v>0.0</v>
      </c>
      <c r="N11" s="9">
        <v>333.0</v>
      </c>
      <c r="O11" s="12">
        <v>45658.0</v>
      </c>
      <c r="P11" s="15"/>
      <c r="Q11" s="14"/>
      <c r="R11" s="14"/>
    </row>
    <row r="12">
      <c r="A12" s="9">
        <v>2.404120076E9</v>
      </c>
      <c r="B12" s="10" t="s">
        <v>19</v>
      </c>
      <c r="C12" s="11"/>
      <c r="D12" s="10" t="s">
        <v>62</v>
      </c>
      <c r="E12" s="11"/>
      <c r="F12" s="9">
        <v>108.0</v>
      </c>
      <c r="G12" s="9">
        <v>420.0</v>
      </c>
      <c r="H12" s="11"/>
      <c r="I12" s="11"/>
      <c r="J12" s="9">
        <v>108.0</v>
      </c>
      <c r="K12" s="9">
        <v>420.0</v>
      </c>
      <c r="L12" s="9">
        <v>0.0</v>
      </c>
      <c r="M12" s="9">
        <v>0.0</v>
      </c>
      <c r="N12" s="9">
        <v>420.0</v>
      </c>
      <c r="O12" s="12">
        <v>45658.0</v>
      </c>
      <c r="P12" s="15"/>
      <c r="Q12" s="14"/>
      <c r="R12" s="14"/>
    </row>
    <row r="13">
      <c r="A13" s="9">
        <v>2.404120076E9</v>
      </c>
      <c r="B13" s="10" t="s">
        <v>19</v>
      </c>
      <c r="C13" s="11"/>
      <c r="D13" s="10" t="s">
        <v>63</v>
      </c>
      <c r="E13" s="11"/>
      <c r="F13" s="9">
        <v>34.0</v>
      </c>
      <c r="G13" s="9">
        <v>97.0</v>
      </c>
      <c r="H13" s="11"/>
      <c r="I13" s="11"/>
      <c r="J13" s="9">
        <v>34.0</v>
      </c>
      <c r="K13" s="9">
        <v>97.0</v>
      </c>
      <c r="L13" s="9">
        <v>0.0</v>
      </c>
      <c r="M13" s="9">
        <v>0.0</v>
      </c>
      <c r="N13" s="9">
        <v>97.0</v>
      </c>
      <c r="O13" s="12">
        <v>45658.0</v>
      </c>
      <c r="P13" s="15"/>
      <c r="Q13" s="14"/>
      <c r="R13" s="14"/>
    </row>
    <row r="14">
      <c r="A14" s="9">
        <v>2.404120076E9</v>
      </c>
      <c r="B14" s="10" t="s">
        <v>19</v>
      </c>
      <c r="C14" s="11"/>
      <c r="D14" s="10" t="s">
        <v>64</v>
      </c>
      <c r="E14" s="11"/>
      <c r="F14" s="9">
        <v>1.0</v>
      </c>
      <c r="G14" s="9">
        <v>3.0</v>
      </c>
      <c r="H14" s="11"/>
      <c r="I14" s="11"/>
      <c r="J14" s="9">
        <v>1.0</v>
      </c>
      <c r="K14" s="9">
        <v>3.0</v>
      </c>
      <c r="L14" s="9">
        <v>0.0</v>
      </c>
      <c r="M14" s="9">
        <v>0.0</v>
      </c>
      <c r="N14" s="9">
        <v>3.0</v>
      </c>
      <c r="O14" s="12">
        <v>45658.0</v>
      </c>
      <c r="P14" s="15"/>
      <c r="Q14" s="14"/>
      <c r="R14" s="14"/>
    </row>
    <row r="15">
      <c r="A15" s="9">
        <v>2.404120076E9</v>
      </c>
      <c r="B15" s="10" t="s">
        <v>19</v>
      </c>
      <c r="C15" s="11"/>
      <c r="D15" s="10" t="s">
        <v>65</v>
      </c>
      <c r="E15" s="11"/>
      <c r="F15" s="9">
        <v>7.0</v>
      </c>
      <c r="G15" s="9">
        <v>19.0</v>
      </c>
      <c r="H15" s="11"/>
      <c r="I15" s="11"/>
      <c r="J15" s="9">
        <v>7.0</v>
      </c>
      <c r="K15" s="9">
        <v>19.0</v>
      </c>
      <c r="L15" s="9">
        <v>0.0</v>
      </c>
      <c r="M15" s="9">
        <v>0.0</v>
      </c>
      <c r="N15" s="9">
        <v>19.0</v>
      </c>
      <c r="O15" s="12">
        <v>45658.0</v>
      </c>
      <c r="P15" s="15"/>
      <c r="Q15" s="14"/>
      <c r="R15" s="14"/>
    </row>
    <row r="16">
      <c r="A16" s="9">
        <v>2.404120076E9</v>
      </c>
      <c r="B16" s="10" t="s">
        <v>19</v>
      </c>
      <c r="C16" s="11"/>
      <c r="D16" s="10" t="s">
        <v>66</v>
      </c>
      <c r="E16" s="11"/>
      <c r="F16" s="9">
        <v>79.0</v>
      </c>
      <c r="G16" s="9">
        <v>392.0</v>
      </c>
      <c r="H16" s="11"/>
      <c r="I16" s="11"/>
      <c r="J16" s="9">
        <v>79.0</v>
      </c>
      <c r="K16" s="9">
        <v>392.0</v>
      </c>
      <c r="L16" s="9">
        <v>0.0</v>
      </c>
      <c r="M16" s="9">
        <v>0.0</v>
      </c>
      <c r="N16" s="9">
        <v>392.0</v>
      </c>
      <c r="O16" s="12">
        <v>45658.0</v>
      </c>
      <c r="P16" s="15"/>
      <c r="Q16" s="14"/>
      <c r="R16" s="14"/>
    </row>
    <row r="17">
      <c r="A17" s="9">
        <v>2.404120076E9</v>
      </c>
      <c r="B17" s="10" t="s">
        <v>19</v>
      </c>
      <c r="C17" s="11"/>
      <c r="D17" s="10" t="s">
        <v>67</v>
      </c>
      <c r="E17" s="11"/>
      <c r="F17" s="9">
        <v>2.0</v>
      </c>
      <c r="G17" s="9">
        <v>6.0</v>
      </c>
      <c r="H17" s="11"/>
      <c r="I17" s="11"/>
      <c r="J17" s="9">
        <v>2.0</v>
      </c>
      <c r="K17" s="9">
        <v>6.0</v>
      </c>
      <c r="L17" s="9">
        <v>0.0</v>
      </c>
      <c r="M17" s="9">
        <v>0.0</v>
      </c>
      <c r="N17" s="9">
        <v>6.0</v>
      </c>
      <c r="O17" s="12">
        <v>45658.0</v>
      </c>
      <c r="P17" s="15"/>
      <c r="Q17" s="14"/>
      <c r="R17" s="14"/>
    </row>
    <row r="18">
      <c r="A18" s="9">
        <v>2.404120076E9</v>
      </c>
      <c r="B18" s="10" t="s">
        <v>19</v>
      </c>
      <c r="C18" s="11"/>
      <c r="D18" s="10" t="s">
        <v>68</v>
      </c>
      <c r="E18" s="11"/>
      <c r="F18" s="9">
        <v>21.0</v>
      </c>
      <c r="G18" s="9">
        <v>95.0</v>
      </c>
      <c r="H18" s="11"/>
      <c r="I18" s="11"/>
      <c r="J18" s="9">
        <v>21.0</v>
      </c>
      <c r="K18" s="9">
        <v>95.0</v>
      </c>
      <c r="L18" s="9">
        <v>0.0</v>
      </c>
      <c r="M18" s="9">
        <v>0.0</v>
      </c>
      <c r="N18" s="9">
        <v>95.0</v>
      </c>
      <c r="O18" s="12">
        <v>45658.0</v>
      </c>
      <c r="P18" s="15"/>
      <c r="Q18" s="14"/>
      <c r="R18" s="14"/>
    </row>
    <row r="19">
      <c r="A19" s="9">
        <v>2.404120076E9</v>
      </c>
      <c r="B19" s="10" t="s">
        <v>19</v>
      </c>
      <c r="C19" s="11"/>
      <c r="D19" s="10" t="s">
        <v>69</v>
      </c>
      <c r="E19" s="11"/>
      <c r="F19" s="9">
        <v>10.0</v>
      </c>
      <c r="G19" s="9">
        <v>59.0</v>
      </c>
      <c r="H19" s="11"/>
      <c r="I19" s="11"/>
      <c r="J19" s="9">
        <v>10.0</v>
      </c>
      <c r="K19" s="9">
        <v>59.0</v>
      </c>
      <c r="L19" s="9">
        <v>0.0</v>
      </c>
      <c r="M19" s="9">
        <v>0.0</v>
      </c>
      <c r="N19" s="9">
        <v>59.0</v>
      </c>
      <c r="O19" s="12">
        <v>45658.0</v>
      </c>
      <c r="P19" s="15"/>
      <c r="Q19" s="14"/>
      <c r="R19" s="14"/>
    </row>
    <row r="20">
      <c r="A20" s="9">
        <v>2.404120076E9</v>
      </c>
      <c r="B20" s="10" t="s">
        <v>19</v>
      </c>
      <c r="C20" s="11"/>
      <c r="D20" s="10" t="s">
        <v>70</v>
      </c>
      <c r="E20" s="11"/>
      <c r="F20" s="9">
        <v>46.0</v>
      </c>
      <c r="G20" s="9">
        <v>181.0</v>
      </c>
      <c r="H20" s="11"/>
      <c r="I20" s="11"/>
      <c r="J20" s="9">
        <v>46.0</v>
      </c>
      <c r="K20" s="9">
        <v>181.0</v>
      </c>
      <c r="L20" s="9">
        <v>0.0</v>
      </c>
      <c r="M20" s="9">
        <v>0.0</v>
      </c>
      <c r="N20" s="9">
        <v>181.0</v>
      </c>
      <c r="O20" s="12">
        <v>45658.0</v>
      </c>
      <c r="P20" s="15"/>
      <c r="Q20" s="14"/>
      <c r="R20" s="14"/>
    </row>
    <row r="21">
      <c r="A21" s="9">
        <v>2.404120076E9</v>
      </c>
      <c r="B21" s="10" t="s">
        <v>19</v>
      </c>
      <c r="C21" s="11"/>
      <c r="D21" s="10" t="s">
        <v>71</v>
      </c>
      <c r="E21" s="11"/>
      <c r="F21" s="9">
        <v>396.0</v>
      </c>
      <c r="G21" s="9">
        <v>396.0</v>
      </c>
      <c r="H21" s="11"/>
      <c r="I21" s="11"/>
      <c r="J21" s="9">
        <v>396.0</v>
      </c>
      <c r="K21" s="9">
        <v>396.0</v>
      </c>
      <c r="L21" s="9">
        <v>0.0</v>
      </c>
      <c r="M21" s="9">
        <v>0.0</v>
      </c>
      <c r="N21" s="9">
        <v>396.0</v>
      </c>
      <c r="O21" s="12">
        <v>45658.0</v>
      </c>
      <c r="P21" s="15"/>
      <c r="Q21" s="14"/>
      <c r="R21" s="14"/>
    </row>
    <row r="22">
      <c r="A22" s="9">
        <v>2.404120076E9</v>
      </c>
      <c r="B22" s="10" t="s">
        <v>19</v>
      </c>
      <c r="C22" s="11"/>
      <c r="D22" s="10" t="s">
        <v>72</v>
      </c>
      <c r="E22" s="11"/>
      <c r="F22" s="9">
        <v>47.0</v>
      </c>
      <c r="G22" s="9">
        <v>93.0</v>
      </c>
      <c r="H22" s="11"/>
      <c r="I22" s="11"/>
      <c r="J22" s="9">
        <v>47.0</v>
      </c>
      <c r="K22" s="9">
        <v>93.0</v>
      </c>
      <c r="L22" s="9">
        <v>0.0</v>
      </c>
      <c r="M22" s="9">
        <v>0.0</v>
      </c>
      <c r="N22" s="9">
        <v>93.0</v>
      </c>
      <c r="O22" s="12">
        <v>45658.0</v>
      </c>
      <c r="P22" s="15"/>
      <c r="Q22" s="14"/>
      <c r="R22" s="14"/>
    </row>
    <row r="23">
      <c r="A23" s="9">
        <v>2.404120076E9</v>
      </c>
      <c r="B23" s="10" t="s">
        <v>19</v>
      </c>
      <c r="C23" s="11"/>
      <c r="D23" s="10" t="s">
        <v>73</v>
      </c>
      <c r="E23" s="11"/>
      <c r="F23" s="9">
        <v>21.0</v>
      </c>
      <c r="G23" s="9">
        <v>101.0</v>
      </c>
      <c r="H23" s="11"/>
      <c r="I23" s="11"/>
      <c r="J23" s="9">
        <v>21.0</v>
      </c>
      <c r="K23" s="9">
        <v>101.0</v>
      </c>
      <c r="L23" s="9">
        <v>0.0</v>
      </c>
      <c r="M23" s="9">
        <v>0.0</v>
      </c>
      <c r="N23" s="9">
        <v>101.0</v>
      </c>
      <c r="O23" s="12">
        <v>45658.0</v>
      </c>
      <c r="P23" s="15"/>
      <c r="Q23" s="14"/>
      <c r="R23" s="14"/>
    </row>
    <row r="24">
      <c r="A24" s="9">
        <v>2.404120076E9</v>
      </c>
      <c r="B24" s="10" t="s">
        <v>19</v>
      </c>
      <c r="C24" s="11"/>
      <c r="D24" s="10" t="s">
        <v>74</v>
      </c>
      <c r="E24" s="11"/>
      <c r="F24" s="9">
        <v>472.0</v>
      </c>
      <c r="G24" s="9">
        <v>472.0</v>
      </c>
      <c r="H24" s="11"/>
      <c r="I24" s="11"/>
      <c r="J24" s="9">
        <v>472.0</v>
      </c>
      <c r="K24" s="9">
        <v>472.0</v>
      </c>
      <c r="L24" s="9">
        <v>0.0</v>
      </c>
      <c r="M24" s="9">
        <v>0.0</v>
      </c>
      <c r="N24" s="9">
        <v>472.0</v>
      </c>
      <c r="O24" s="12">
        <v>45658.0</v>
      </c>
      <c r="P24" s="15"/>
      <c r="Q24" s="14"/>
      <c r="R24" s="14"/>
    </row>
    <row r="25">
      <c r="A25" s="9">
        <v>2.404120076E9</v>
      </c>
      <c r="B25" s="10" t="s">
        <v>19</v>
      </c>
      <c r="C25" s="11"/>
      <c r="D25" s="10" t="s">
        <v>75</v>
      </c>
      <c r="E25" s="11"/>
      <c r="F25" s="9">
        <v>33.0</v>
      </c>
      <c r="G25" s="9">
        <v>89.0</v>
      </c>
      <c r="H25" s="11"/>
      <c r="I25" s="11"/>
      <c r="J25" s="9">
        <v>33.0</v>
      </c>
      <c r="K25" s="9">
        <v>89.0</v>
      </c>
      <c r="L25" s="9">
        <v>0.0</v>
      </c>
      <c r="M25" s="9">
        <v>0.0</v>
      </c>
      <c r="N25" s="9">
        <v>89.0</v>
      </c>
      <c r="O25" s="12">
        <v>45658.0</v>
      </c>
      <c r="P25" s="15"/>
      <c r="Q25" s="14"/>
      <c r="R25" s="14"/>
    </row>
    <row r="26">
      <c r="A26" s="9">
        <v>2.404120076E9</v>
      </c>
      <c r="B26" s="10" t="s">
        <v>19</v>
      </c>
      <c r="C26" s="11"/>
      <c r="D26" s="10" t="s">
        <v>76</v>
      </c>
      <c r="E26" s="11"/>
      <c r="F26" s="9">
        <v>24.0</v>
      </c>
      <c r="G26" s="9">
        <v>153.0</v>
      </c>
      <c r="H26" s="11"/>
      <c r="I26" s="11"/>
      <c r="J26" s="9">
        <v>24.0</v>
      </c>
      <c r="K26" s="9">
        <v>153.0</v>
      </c>
      <c r="L26" s="9">
        <v>0.0</v>
      </c>
      <c r="M26" s="9">
        <v>0.0</v>
      </c>
      <c r="N26" s="9">
        <v>153.0</v>
      </c>
      <c r="O26" s="12">
        <v>45658.0</v>
      </c>
      <c r="P26" s="15"/>
      <c r="Q26" s="14"/>
      <c r="R26" s="14"/>
    </row>
    <row r="27">
      <c r="A27" s="9">
        <v>2.404120076E9</v>
      </c>
      <c r="B27" s="10" t="s">
        <v>19</v>
      </c>
      <c r="C27" s="11"/>
      <c r="D27" s="10" t="s">
        <v>77</v>
      </c>
      <c r="E27" s="11"/>
      <c r="F27" s="9">
        <v>61.0</v>
      </c>
      <c r="G27" s="9">
        <v>185.0</v>
      </c>
      <c r="H27" s="11"/>
      <c r="I27" s="11"/>
      <c r="J27" s="9">
        <v>61.0</v>
      </c>
      <c r="K27" s="9">
        <v>185.0</v>
      </c>
      <c r="L27" s="9">
        <v>0.0</v>
      </c>
      <c r="M27" s="9">
        <v>0.0</v>
      </c>
      <c r="N27" s="9">
        <v>185.0</v>
      </c>
      <c r="O27" s="12">
        <v>45658.0</v>
      </c>
      <c r="P27" s="15"/>
      <c r="Q27" s="14"/>
      <c r="R27" s="14"/>
    </row>
    <row r="28">
      <c r="A28" s="9">
        <v>2.404120076E9</v>
      </c>
      <c r="B28" s="10" t="s">
        <v>19</v>
      </c>
      <c r="C28" s="11"/>
      <c r="D28" s="10" t="s">
        <v>78</v>
      </c>
      <c r="E28" s="11"/>
      <c r="F28" s="9">
        <v>66.0</v>
      </c>
      <c r="G28" s="9">
        <v>330.0</v>
      </c>
      <c r="H28" s="11"/>
      <c r="I28" s="11"/>
      <c r="J28" s="9">
        <v>66.0</v>
      </c>
      <c r="K28" s="9">
        <v>330.0</v>
      </c>
      <c r="L28" s="9">
        <v>0.0</v>
      </c>
      <c r="M28" s="9">
        <v>0.0</v>
      </c>
      <c r="N28" s="9">
        <v>330.0</v>
      </c>
      <c r="O28" s="12">
        <v>45658.0</v>
      </c>
      <c r="P28" s="15"/>
      <c r="Q28" s="14"/>
      <c r="R28" s="14"/>
    </row>
    <row r="29">
      <c r="A29" s="9">
        <v>2.404120076E9</v>
      </c>
      <c r="B29" s="10" t="s">
        <v>19</v>
      </c>
      <c r="C29" s="11"/>
      <c r="D29" s="10" t="s">
        <v>79</v>
      </c>
      <c r="E29" s="11"/>
      <c r="F29" s="9">
        <v>283.0</v>
      </c>
      <c r="G29" s="9">
        <v>566.0</v>
      </c>
      <c r="H29" s="11"/>
      <c r="I29" s="11"/>
      <c r="J29" s="9">
        <v>283.0</v>
      </c>
      <c r="K29" s="9">
        <v>566.0</v>
      </c>
      <c r="L29" s="9">
        <v>0.0</v>
      </c>
      <c r="M29" s="9">
        <v>0.0</v>
      </c>
      <c r="N29" s="9">
        <v>566.0</v>
      </c>
      <c r="O29" s="12">
        <v>45658.0</v>
      </c>
      <c r="P29" s="15"/>
      <c r="Q29" s="14"/>
      <c r="R29" s="14"/>
    </row>
    <row r="30">
      <c r="A30" s="9">
        <v>2.404120076E9</v>
      </c>
      <c r="B30" s="10" t="s">
        <v>19</v>
      </c>
      <c r="C30" s="11"/>
      <c r="D30" s="10" t="s">
        <v>80</v>
      </c>
      <c r="E30" s="11"/>
      <c r="F30" s="9">
        <v>43.0</v>
      </c>
      <c r="G30" s="9">
        <v>113.0</v>
      </c>
      <c r="H30" s="11"/>
      <c r="I30" s="11"/>
      <c r="J30" s="9">
        <v>43.0</v>
      </c>
      <c r="K30" s="9">
        <v>113.0</v>
      </c>
      <c r="L30" s="9">
        <v>0.0</v>
      </c>
      <c r="M30" s="9">
        <v>0.0</v>
      </c>
      <c r="N30" s="9">
        <v>113.0</v>
      </c>
      <c r="O30" s="12">
        <v>45658.0</v>
      </c>
      <c r="P30" s="15"/>
      <c r="Q30" s="14"/>
      <c r="R30" s="14"/>
    </row>
    <row r="31">
      <c r="A31" s="9">
        <v>2.404120076E9</v>
      </c>
      <c r="B31" s="10" t="s">
        <v>19</v>
      </c>
      <c r="C31" s="11"/>
      <c r="D31" s="10" t="s">
        <v>81</v>
      </c>
      <c r="E31" s="11"/>
      <c r="F31" s="9">
        <v>71.0</v>
      </c>
      <c r="G31" s="9">
        <v>146.0</v>
      </c>
      <c r="H31" s="11"/>
      <c r="I31" s="11"/>
      <c r="J31" s="9">
        <v>71.0</v>
      </c>
      <c r="K31" s="9">
        <v>146.0</v>
      </c>
      <c r="L31" s="9">
        <v>0.0</v>
      </c>
      <c r="M31" s="9">
        <v>0.0</v>
      </c>
      <c r="N31" s="9">
        <v>146.0</v>
      </c>
      <c r="O31" s="12">
        <v>45658.0</v>
      </c>
      <c r="P31" s="15"/>
      <c r="Q31" s="14"/>
      <c r="R31" s="14"/>
    </row>
    <row r="32">
      <c r="A32" s="9">
        <v>2.404120076E9</v>
      </c>
      <c r="B32" s="10" t="s">
        <v>19</v>
      </c>
      <c r="C32" s="11"/>
      <c r="D32" s="10" t="s">
        <v>82</v>
      </c>
      <c r="E32" s="11"/>
      <c r="F32" s="9">
        <v>14.0</v>
      </c>
      <c r="G32" s="9">
        <v>28.0</v>
      </c>
      <c r="H32" s="11"/>
      <c r="I32" s="11"/>
      <c r="J32" s="9">
        <v>14.0</v>
      </c>
      <c r="K32" s="9">
        <v>28.0</v>
      </c>
      <c r="L32" s="9">
        <v>0.0</v>
      </c>
      <c r="M32" s="9">
        <v>0.0</v>
      </c>
      <c r="N32" s="9">
        <v>28.0</v>
      </c>
      <c r="O32" s="12">
        <v>45658.0</v>
      </c>
      <c r="P32" s="15"/>
      <c r="Q32" s="14"/>
      <c r="R32" s="14"/>
    </row>
    <row r="33">
      <c r="A33" s="9">
        <v>2.404120076E9</v>
      </c>
      <c r="B33" s="10" t="s">
        <v>19</v>
      </c>
      <c r="C33" s="11"/>
      <c r="D33" s="10" t="s">
        <v>83</v>
      </c>
      <c r="E33" s="11"/>
      <c r="F33" s="9">
        <v>38.0</v>
      </c>
      <c r="G33" s="9">
        <v>190.0</v>
      </c>
      <c r="H33" s="11"/>
      <c r="I33" s="11"/>
      <c r="J33" s="9">
        <v>38.0</v>
      </c>
      <c r="K33" s="9">
        <v>190.0</v>
      </c>
      <c r="L33" s="9">
        <v>0.0</v>
      </c>
      <c r="M33" s="9">
        <v>0.0</v>
      </c>
      <c r="N33" s="9">
        <v>190.0</v>
      </c>
      <c r="O33" s="12">
        <v>45658.0</v>
      </c>
      <c r="P33" s="15"/>
      <c r="Q33" s="14"/>
      <c r="R33" s="14"/>
    </row>
    <row r="34">
      <c r="A34" s="9">
        <v>2.404120076E9</v>
      </c>
      <c r="B34" s="10" t="s">
        <v>19</v>
      </c>
      <c r="C34" s="11"/>
      <c r="D34" s="10" t="s">
        <v>84</v>
      </c>
      <c r="E34" s="11"/>
      <c r="F34" s="9">
        <v>163.0</v>
      </c>
      <c r="G34" s="9">
        <v>163.0</v>
      </c>
      <c r="H34" s="11"/>
      <c r="I34" s="11"/>
      <c r="J34" s="9">
        <v>163.0</v>
      </c>
      <c r="K34" s="9">
        <v>163.0</v>
      </c>
      <c r="L34" s="9">
        <v>0.0</v>
      </c>
      <c r="M34" s="9">
        <v>0.0</v>
      </c>
      <c r="N34" s="9">
        <v>163.0</v>
      </c>
      <c r="O34" s="12">
        <v>45658.0</v>
      </c>
      <c r="P34" s="15"/>
      <c r="Q34" s="14"/>
      <c r="R34" s="14"/>
    </row>
    <row r="35">
      <c r="A35" s="9">
        <v>2.404120076E9</v>
      </c>
      <c r="B35" s="10" t="s">
        <v>19</v>
      </c>
      <c r="C35" s="11"/>
      <c r="D35" s="10" t="s">
        <v>85</v>
      </c>
      <c r="E35" s="11"/>
      <c r="F35" s="9">
        <v>16.0</v>
      </c>
      <c r="G35" s="9">
        <v>48.0</v>
      </c>
      <c r="H35" s="11"/>
      <c r="I35" s="11"/>
      <c r="J35" s="9">
        <v>16.0</v>
      </c>
      <c r="K35" s="9">
        <v>48.0</v>
      </c>
      <c r="L35" s="9">
        <v>0.0</v>
      </c>
      <c r="M35" s="9">
        <v>0.0</v>
      </c>
      <c r="N35" s="9">
        <v>48.0</v>
      </c>
      <c r="O35" s="12">
        <v>45658.0</v>
      </c>
      <c r="P35" s="15"/>
      <c r="Q35" s="14"/>
      <c r="R35" s="14"/>
    </row>
    <row r="36">
      <c r="A36" s="9">
        <v>2.404120076E9</v>
      </c>
      <c r="B36" s="10" t="s">
        <v>19</v>
      </c>
      <c r="C36" s="11"/>
      <c r="D36" s="10" t="s">
        <v>86</v>
      </c>
      <c r="E36" s="11"/>
      <c r="F36" s="9">
        <v>144.0</v>
      </c>
      <c r="G36" s="9">
        <v>583.0</v>
      </c>
      <c r="H36" s="11"/>
      <c r="I36" s="11"/>
      <c r="J36" s="9">
        <v>144.0</v>
      </c>
      <c r="K36" s="9">
        <v>583.0</v>
      </c>
      <c r="L36" s="9">
        <v>0.0</v>
      </c>
      <c r="M36" s="9">
        <v>0.0</v>
      </c>
      <c r="N36" s="9">
        <v>583.0</v>
      </c>
      <c r="O36" s="12">
        <v>45658.0</v>
      </c>
      <c r="P36" s="15"/>
      <c r="Q36" s="14"/>
      <c r="R36" s="14"/>
    </row>
    <row r="37">
      <c r="A37" s="9">
        <v>2.404120076E9</v>
      </c>
      <c r="B37" s="10" t="s">
        <v>19</v>
      </c>
      <c r="C37" s="11"/>
      <c r="D37" s="10" t="s">
        <v>87</v>
      </c>
      <c r="E37" s="11"/>
      <c r="F37" s="9">
        <v>80.0</v>
      </c>
      <c r="G37" s="9">
        <v>80.0</v>
      </c>
      <c r="H37" s="11"/>
      <c r="I37" s="11"/>
      <c r="J37" s="9">
        <v>80.0</v>
      </c>
      <c r="K37" s="9">
        <v>80.0</v>
      </c>
      <c r="L37" s="9">
        <v>0.0</v>
      </c>
      <c r="M37" s="9">
        <v>0.0</v>
      </c>
      <c r="N37" s="9">
        <v>80.0</v>
      </c>
      <c r="O37" s="12">
        <v>45658.0</v>
      </c>
      <c r="P37" s="15"/>
      <c r="Q37" s="14"/>
      <c r="R37" s="14"/>
    </row>
    <row r="38">
      <c r="A38" s="9">
        <v>2.404120076E9</v>
      </c>
      <c r="B38" s="10" t="s">
        <v>19</v>
      </c>
      <c r="C38" s="11"/>
      <c r="D38" s="10" t="s">
        <v>88</v>
      </c>
      <c r="E38" s="11"/>
      <c r="F38" s="9">
        <v>2.0</v>
      </c>
      <c r="G38" s="9">
        <v>6.0</v>
      </c>
      <c r="H38" s="11"/>
      <c r="I38" s="11"/>
      <c r="J38" s="9">
        <v>2.0</v>
      </c>
      <c r="K38" s="9">
        <v>6.0</v>
      </c>
      <c r="L38" s="9">
        <v>0.0</v>
      </c>
      <c r="M38" s="9">
        <v>0.0</v>
      </c>
      <c r="N38" s="9">
        <v>6.0</v>
      </c>
      <c r="O38" s="12">
        <v>45658.0</v>
      </c>
      <c r="P38" s="15"/>
      <c r="Q38" s="14"/>
      <c r="R38" s="14"/>
    </row>
    <row r="39">
      <c r="A39" s="11"/>
      <c r="B39" s="16"/>
      <c r="C39" s="11"/>
      <c r="D39" s="11"/>
      <c r="E39" s="11"/>
      <c r="F39" s="11"/>
      <c r="G39" s="11"/>
      <c r="H39" s="11"/>
      <c r="I39" s="11"/>
      <c r="J39" s="9">
        <v>0.0</v>
      </c>
      <c r="K39" s="9">
        <v>0.0</v>
      </c>
      <c r="L39" s="9">
        <v>0.0</v>
      </c>
      <c r="M39" s="9">
        <v>0.0</v>
      </c>
      <c r="N39" s="9">
        <v>0.0</v>
      </c>
      <c r="O39" s="17"/>
      <c r="P39" s="15"/>
      <c r="Q39" s="14"/>
      <c r="R39" s="14"/>
    </row>
    <row r="40">
      <c r="A40" s="9">
        <v>2.404120076E9</v>
      </c>
      <c r="B40" s="10" t="s">
        <v>19</v>
      </c>
      <c r="C40" s="11"/>
      <c r="D40" s="10" t="s">
        <v>52</v>
      </c>
      <c r="E40" s="11"/>
      <c r="F40" s="9">
        <v>31.0</v>
      </c>
      <c r="G40" s="9">
        <v>93.0</v>
      </c>
      <c r="H40" s="11"/>
      <c r="I40" s="11"/>
      <c r="J40" s="9">
        <v>31.0</v>
      </c>
      <c r="K40" s="9">
        <v>93.0</v>
      </c>
      <c r="L40" s="9">
        <v>0.0</v>
      </c>
      <c r="M40" s="9">
        <v>0.0</v>
      </c>
      <c r="N40" s="9">
        <v>93.0</v>
      </c>
      <c r="O40" s="12">
        <v>45689.0</v>
      </c>
      <c r="P40" s="13">
        <v>45689.0</v>
      </c>
      <c r="Q40" s="14"/>
      <c r="R40" s="14"/>
    </row>
    <row r="41">
      <c r="A41" s="9">
        <v>2.404120076E9</v>
      </c>
      <c r="B41" s="10" t="s">
        <v>19</v>
      </c>
      <c r="C41" s="11"/>
      <c r="D41" s="10" t="s">
        <v>53</v>
      </c>
      <c r="E41" s="11"/>
      <c r="F41" s="9">
        <v>40.0</v>
      </c>
      <c r="G41" s="9">
        <v>768.0</v>
      </c>
      <c r="H41" s="11"/>
      <c r="I41" s="11"/>
      <c r="J41" s="9">
        <v>40.0</v>
      </c>
      <c r="K41" s="9">
        <v>768.0</v>
      </c>
      <c r="L41" s="9">
        <v>0.0</v>
      </c>
      <c r="M41" s="9">
        <v>0.0</v>
      </c>
      <c r="N41" s="9">
        <v>768.0</v>
      </c>
      <c r="O41" s="12">
        <v>45689.0</v>
      </c>
      <c r="P41" s="15"/>
      <c r="Q41" s="14"/>
      <c r="R41" s="14"/>
    </row>
    <row r="42">
      <c r="A42" s="9">
        <v>2.404120076E9</v>
      </c>
      <c r="B42" s="10" t="s">
        <v>19</v>
      </c>
      <c r="C42" s="11"/>
      <c r="D42" s="10" t="s">
        <v>89</v>
      </c>
      <c r="E42" s="11"/>
      <c r="F42" s="9">
        <v>9.0</v>
      </c>
      <c r="G42" s="9">
        <v>27.0</v>
      </c>
      <c r="H42" s="11"/>
      <c r="I42" s="11"/>
      <c r="J42" s="9">
        <v>9.0</v>
      </c>
      <c r="K42" s="9">
        <v>27.0</v>
      </c>
      <c r="L42" s="9">
        <v>0.0</v>
      </c>
      <c r="M42" s="9">
        <v>0.0</v>
      </c>
      <c r="N42" s="9">
        <v>27.0</v>
      </c>
      <c r="O42" s="12">
        <v>45689.0</v>
      </c>
      <c r="P42" s="15"/>
      <c r="Q42" s="14"/>
      <c r="R42" s="14"/>
    </row>
    <row r="43">
      <c r="A43" s="9">
        <v>2.404120076E9</v>
      </c>
      <c r="B43" s="10" t="s">
        <v>19</v>
      </c>
      <c r="C43" s="11"/>
      <c r="D43" s="10" t="s">
        <v>54</v>
      </c>
      <c r="E43" s="11"/>
      <c r="F43" s="9">
        <v>54.0</v>
      </c>
      <c r="G43" s="9">
        <v>268.0</v>
      </c>
      <c r="H43" s="11"/>
      <c r="I43" s="11"/>
      <c r="J43" s="9">
        <v>54.0</v>
      </c>
      <c r="K43" s="9">
        <v>268.0</v>
      </c>
      <c r="L43" s="9">
        <v>0.0</v>
      </c>
      <c r="M43" s="9">
        <v>0.0</v>
      </c>
      <c r="N43" s="9">
        <v>268.0</v>
      </c>
      <c r="O43" s="12">
        <v>45689.0</v>
      </c>
      <c r="P43" s="15"/>
      <c r="Q43" s="14"/>
      <c r="R43" s="14"/>
    </row>
    <row r="44">
      <c r="A44" s="9">
        <v>2.404120076E9</v>
      </c>
      <c r="B44" s="10" t="s">
        <v>19</v>
      </c>
      <c r="C44" s="11"/>
      <c r="D44" s="10" t="s">
        <v>90</v>
      </c>
      <c r="E44" s="11"/>
      <c r="F44" s="9">
        <v>22.0</v>
      </c>
      <c r="G44" s="9">
        <v>44.0</v>
      </c>
      <c r="H44" s="11"/>
      <c r="I44" s="11"/>
      <c r="J44" s="9">
        <v>22.0</v>
      </c>
      <c r="K44" s="9">
        <v>44.0</v>
      </c>
      <c r="L44" s="9">
        <v>0.0</v>
      </c>
      <c r="M44" s="9">
        <v>0.0</v>
      </c>
      <c r="N44" s="9">
        <v>44.0</v>
      </c>
      <c r="O44" s="12">
        <v>45689.0</v>
      </c>
      <c r="P44" s="15"/>
      <c r="Q44" s="14"/>
      <c r="R44" s="14"/>
    </row>
    <row r="45">
      <c r="A45" s="9">
        <v>2.404120076E9</v>
      </c>
      <c r="B45" s="10" t="s">
        <v>19</v>
      </c>
      <c r="C45" s="11"/>
      <c r="D45" s="10" t="s">
        <v>55</v>
      </c>
      <c r="E45" s="11"/>
      <c r="F45" s="9">
        <v>69.0</v>
      </c>
      <c r="G45" s="9">
        <v>138.0</v>
      </c>
      <c r="H45" s="11"/>
      <c r="I45" s="11"/>
      <c r="J45" s="9">
        <v>69.0</v>
      </c>
      <c r="K45" s="9">
        <v>138.0</v>
      </c>
      <c r="L45" s="9">
        <v>0.0</v>
      </c>
      <c r="M45" s="9">
        <v>0.0</v>
      </c>
      <c r="N45" s="9">
        <v>138.0</v>
      </c>
      <c r="O45" s="12">
        <v>45689.0</v>
      </c>
      <c r="P45" s="15"/>
      <c r="Q45" s="14"/>
      <c r="R45" s="14"/>
    </row>
    <row r="46">
      <c r="A46" s="9">
        <v>2.404120076E9</v>
      </c>
      <c r="B46" s="10" t="s">
        <v>19</v>
      </c>
      <c r="C46" s="11"/>
      <c r="D46" s="10" t="s">
        <v>91</v>
      </c>
      <c r="E46" s="11"/>
      <c r="F46" s="9">
        <v>10.0</v>
      </c>
      <c r="G46" s="9">
        <v>50.0</v>
      </c>
      <c r="H46" s="11"/>
      <c r="I46" s="11"/>
      <c r="J46" s="9">
        <v>10.0</v>
      </c>
      <c r="K46" s="9">
        <v>50.0</v>
      </c>
      <c r="L46" s="9">
        <v>0.0</v>
      </c>
      <c r="M46" s="9">
        <v>0.0</v>
      </c>
      <c r="N46" s="9">
        <v>50.0</v>
      </c>
      <c r="O46" s="12">
        <v>45689.0</v>
      </c>
      <c r="P46" s="15"/>
      <c r="Q46" s="14"/>
      <c r="R46" s="14"/>
    </row>
    <row r="47">
      <c r="A47" s="9">
        <v>2.404120076E9</v>
      </c>
      <c r="B47" s="10" t="s">
        <v>19</v>
      </c>
      <c r="C47" s="11"/>
      <c r="D47" s="10" t="s">
        <v>92</v>
      </c>
      <c r="E47" s="11"/>
      <c r="F47" s="9">
        <v>31.0</v>
      </c>
      <c r="G47" s="9">
        <v>156.0</v>
      </c>
      <c r="H47" s="11"/>
      <c r="I47" s="11"/>
      <c r="J47" s="9">
        <v>31.0</v>
      </c>
      <c r="K47" s="9">
        <v>156.0</v>
      </c>
      <c r="L47" s="9">
        <v>0.0</v>
      </c>
      <c r="M47" s="9">
        <v>0.0</v>
      </c>
      <c r="N47" s="9">
        <v>156.0</v>
      </c>
      <c r="O47" s="12">
        <v>45689.0</v>
      </c>
      <c r="P47" s="15"/>
      <c r="Q47" s="14"/>
      <c r="R47" s="14"/>
    </row>
    <row r="48">
      <c r="A48" s="9">
        <v>2.404120076E9</v>
      </c>
      <c r="B48" s="10" t="s">
        <v>19</v>
      </c>
      <c r="C48" s="11"/>
      <c r="D48" s="10" t="s">
        <v>57</v>
      </c>
      <c r="E48" s="11"/>
      <c r="F48" s="9">
        <v>174.0</v>
      </c>
      <c r="G48" s="9">
        <v>691.0</v>
      </c>
      <c r="H48" s="11"/>
      <c r="I48" s="11"/>
      <c r="J48" s="9">
        <v>174.0</v>
      </c>
      <c r="K48" s="9">
        <v>691.0</v>
      </c>
      <c r="L48" s="9">
        <v>0.0</v>
      </c>
      <c r="M48" s="9">
        <v>0.0</v>
      </c>
      <c r="N48" s="9">
        <v>691.0</v>
      </c>
      <c r="O48" s="12">
        <v>45689.0</v>
      </c>
      <c r="P48" s="15"/>
      <c r="Q48" s="14"/>
      <c r="R48" s="14"/>
    </row>
    <row r="49">
      <c r="A49" s="9">
        <v>2.404120076E9</v>
      </c>
      <c r="B49" s="10" t="s">
        <v>19</v>
      </c>
      <c r="C49" s="11"/>
      <c r="D49" s="10" t="s">
        <v>58</v>
      </c>
      <c r="E49" s="11"/>
      <c r="F49" s="9">
        <v>50.0</v>
      </c>
      <c r="G49" s="9">
        <v>200.0</v>
      </c>
      <c r="H49" s="11"/>
      <c r="I49" s="11"/>
      <c r="J49" s="9">
        <v>50.0</v>
      </c>
      <c r="K49" s="9">
        <v>200.0</v>
      </c>
      <c r="L49" s="9">
        <v>0.0</v>
      </c>
      <c r="M49" s="9">
        <v>0.0</v>
      </c>
      <c r="N49" s="9">
        <v>200.0</v>
      </c>
      <c r="O49" s="12">
        <v>45689.0</v>
      </c>
      <c r="P49" s="15"/>
      <c r="Q49" s="14"/>
      <c r="R49" s="14"/>
    </row>
    <row r="50">
      <c r="A50" s="9">
        <v>2.404120076E9</v>
      </c>
      <c r="B50" s="10" t="s">
        <v>19</v>
      </c>
      <c r="C50" s="11"/>
      <c r="D50" s="10" t="s">
        <v>59</v>
      </c>
      <c r="E50" s="11"/>
      <c r="F50" s="9">
        <v>18.0</v>
      </c>
      <c r="G50" s="9">
        <v>84.0</v>
      </c>
      <c r="H50" s="11"/>
      <c r="I50" s="11"/>
      <c r="J50" s="9">
        <v>18.0</v>
      </c>
      <c r="K50" s="9">
        <v>84.0</v>
      </c>
      <c r="L50" s="9">
        <v>0.0</v>
      </c>
      <c r="M50" s="9">
        <v>0.0</v>
      </c>
      <c r="N50" s="9">
        <v>84.0</v>
      </c>
      <c r="O50" s="12">
        <v>45689.0</v>
      </c>
      <c r="P50" s="15"/>
      <c r="Q50" s="14"/>
      <c r="R50" s="14"/>
    </row>
    <row r="51">
      <c r="A51" s="9">
        <v>2.404120076E9</v>
      </c>
      <c r="B51" s="10" t="s">
        <v>19</v>
      </c>
      <c r="C51" s="11"/>
      <c r="D51" s="10" t="s">
        <v>60</v>
      </c>
      <c r="E51" s="11"/>
      <c r="F51" s="9">
        <v>61.0</v>
      </c>
      <c r="G51" s="9">
        <v>61.0</v>
      </c>
      <c r="H51" s="11"/>
      <c r="I51" s="11"/>
      <c r="J51" s="9">
        <v>61.0</v>
      </c>
      <c r="K51" s="9">
        <v>61.0</v>
      </c>
      <c r="L51" s="9">
        <v>0.0</v>
      </c>
      <c r="M51" s="9">
        <v>0.0</v>
      </c>
      <c r="N51" s="9">
        <v>61.0</v>
      </c>
      <c r="O51" s="12">
        <v>45689.0</v>
      </c>
      <c r="P51" s="15"/>
      <c r="Q51" s="14"/>
      <c r="R51" s="14"/>
    </row>
    <row r="52">
      <c r="A52" s="9">
        <v>2.404120076E9</v>
      </c>
      <c r="B52" s="10" t="s">
        <v>19</v>
      </c>
      <c r="C52" s="11"/>
      <c r="D52" s="10" t="s">
        <v>93</v>
      </c>
      <c r="E52" s="11"/>
      <c r="F52" s="9">
        <v>363.0</v>
      </c>
      <c r="G52" s="9">
        <v>363.0</v>
      </c>
      <c r="H52" s="11"/>
      <c r="I52" s="11"/>
      <c r="J52" s="9">
        <v>363.0</v>
      </c>
      <c r="K52" s="9">
        <v>363.0</v>
      </c>
      <c r="L52" s="9">
        <v>0.0</v>
      </c>
      <c r="M52" s="9">
        <v>0.0</v>
      </c>
      <c r="N52" s="9">
        <v>363.0</v>
      </c>
      <c r="O52" s="12">
        <v>45689.0</v>
      </c>
      <c r="P52" s="15"/>
      <c r="Q52" s="14"/>
      <c r="R52" s="14"/>
    </row>
    <row r="53">
      <c r="A53" s="9">
        <v>2.404120076E9</v>
      </c>
      <c r="B53" s="10" t="s">
        <v>19</v>
      </c>
      <c r="C53" s="11"/>
      <c r="D53" s="10" t="s">
        <v>61</v>
      </c>
      <c r="E53" s="11"/>
      <c r="F53" s="9">
        <v>201.0</v>
      </c>
      <c r="G53" s="9">
        <v>218.0</v>
      </c>
      <c r="H53" s="11"/>
      <c r="I53" s="11"/>
      <c r="J53" s="9">
        <v>201.0</v>
      </c>
      <c r="K53" s="9">
        <v>218.0</v>
      </c>
      <c r="L53" s="9">
        <v>0.0</v>
      </c>
      <c r="M53" s="9">
        <v>0.0</v>
      </c>
      <c r="N53" s="9">
        <v>218.0</v>
      </c>
      <c r="O53" s="12">
        <v>45689.0</v>
      </c>
      <c r="P53" s="15"/>
      <c r="Q53" s="14"/>
      <c r="R53" s="14"/>
    </row>
    <row r="54">
      <c r="A54" s="9">
        <v>2.404120076E9</v>
      </c>
      <c r="B54" s="10" t="s">
        <v>19</v>
      </c>
      <c r="C54" s="11"/>
      <c r="D54" s="10" t="s">
        <v>62</v>
      </c>
      <c r="E54" s="11"/>
      <c r="F54" s="9">
        <v>107.0</v>
      </c>
      <c r="G54" s="9">
        <v>443.0</v>
      </c>
      <c r="H54" s="11"/>
      <c r="I54" s="11"/>
      <c r="J54" s="9">
        <v>107.0</v>
      </c>
      <c r="K54" s="9">
        <v>443.0</v>
      </c>
      <c r="L54" s="9">
        <v>0.0</v>
      </c>
      <c r="M54" s="9">
        <v>0.0</v>
      </c>
      <c r="N54" s="9">
        <v>443.0</v>
      </c>
      <c r="O54" s="12">
        <v>45689.0</v>
      </c>
      <c r="P54" s="15"/>
      <c r="Q54" s="14"/>
      <c r="R54" s="14"/>
    </row>
    <row r="55">
      <c r="A55" s="9">
        <v>2.404120076E9</v>
      </c>
      <c r="B55" s="10" t="s">
        <v>19</v>
      </c>
      <c r="C55" s="11"/>
      <c r="D55" s="10" t="s">
        <v>94</v>
      </c>
      <c r="E55" s="11"/>
      <c r="F55" s="9">
        <v>13.0</v>
      </c>
      <c r="G55" s="9">
        <v>78.0</v>
      </c>
      <c r="H55" s="11"/>
      <c r="I55" s="11"/>
      <c r="J55" s="9">
        <v>13.0</v>
      </c>
      <c r="K55" s="9">
        <v>78.0</v>
      </c>
      <c r="L55" s="9">
        <v>0.0</v>
      </c>
      <c r="M55" s="9">
        <v>0.0</v>
      </c>
      <c r="N55" s="9">
        <v>78.0</v>
      </c>
      <c r="O55" s="12">
        <v>45689.0</v>
      </c>
      <c r="P55" s="15"/>
      <c r="Q55" s="14"/>
      <c r="R55" s="14"/>
    </row>
    <row r="56">
      <c r="A56" s="9">
        <v>2.404120076E9</v>
      </c>
      <c r="B56" s="10" t="s">
        <v>19</v>
      </c>
      <c r="C56" s="11"/>
      <c r="D56" s="10" t="s">
        <v>63</v>
      </c>
      <c r="E56" s="11"/>
      <c r="F56" s="9">
        <v>29.0</v>
      </c>
      <c r="G56" s="9">
        <v>87.0</v>
      </c>
      <c r="H56" s="11"/>
      <c r="I56" s="11"/>
      <c r="J56" s="9">
        <v>29.0</v>
      </c>
      <c r="K56" s="9">
        <v>87.0</v>
      </c>
      <c r="L56" s="9">
        <v>0.0</v>
      </c>
      <c r="M56" s="9">
        <v>0.0</v>
      </c>
      <c r="N56" s="9">
        <v>87.0</v>
      </c>
      <c r="O56" s="12">
        <v>45689.0</v>
      </c>
      <c r="P56" s="15"/>
      <c r="Q56" s="14"/>
      <c r="R56" s="14"/>
    </row>
    <row r="57">
      <c r="A57" s="9">
        <v>2.404120076E9</v>
      </c>
      <c r="B57" s="10" t="s">
        <v>19</v>
      </c>
      <c r="C57" s="11"/>
      <c r="D57" s="10" t="s">
        <v>65</v>
      </c>
      <c r="E57" s="11"/>
      <c r="F57" s="9">
        <v>6.0</v>
      </c>
      <c r="G57" s="9">
        <v>18.0</v>
      </c>
      <c r="H57" s="11"/>
      <c r="I57" s="11"/>
      <c r="J57" s="9">
        <v>6.0</v>
      </c>
      <c r="K57" s="9">
        <v>18.0</v>
      </c>
      <c r="L57" s="9">
        <v>0.0</v>
      </c>
      <c r="M57" s="9">
        <v>0.0</v>
      </c>
      <c r="N57" s="9">
        <v>18.0</v>
      </c>
      <c r="O57" s="12">
        <v>45689.0</v>
      </c>
      <c r="P57" s="15"/>
      <c r="Q57" s="14"/>
      <c r="R57" s="14"/>
    </row>
    <row r="58">
      <c r="A58" s="9">
        <v>2.404120076E9</v>
      </c>
      <c r="B58" s="10" t="s">
        <v>19</v>
      </c>
      <c r="C58" s="11"/>
      <c r="D58" s="10" t="s">
        <v>66</v>
      </c>
      <c r="E58" s="11"/>
      <c r="F58" s="9">
        <v>11.0</v>
      </c>
      <c r="G58" s="9">
        <v>55.0</v>
      </c>
      <c r="H58" s="11"/>
      <c r="I58" s="11"/>
      <c r="J58" s="9">
        <v>11.0</v>
      </c>
      <c r="K58" s="9">
        <v>55.0</v>
      </c>
      <c r="L58" s="9">
        <v>0.0</v>
      </c>
      <c r="M58" s="9">
        <v>0.0</v>
      </c>
      <c r="N58" s="9">
        <v>55.0</v>
      </c>
      <c r="O58" s="12">
        <v>45689.0</v>
      </c>
      <c r="P58" s="15"/>
      <c r="Q58" s="14"/>
      <c r="R58" s="14"/>
    </row>
    <row r="59">
      <c r="A59" s="9">
        <v>2.404120076E9</v>
      </c>
      <c r="B59" s="10" t="s">
        <v>19</v>
      </c>
      <c r="C59" s="11"/>
      <c r="D59" s="10" t="s">
        <v>67</v>
      </c>
      <c r="E59" s="11"/>
      <c r="F59" s="9">
        <v>7.0</v>
      </c>
      <c r="G59" s="9">
        <v>21.0</v>
      </c>
      <c r="H59" s="11"/>
      <c r="I59" s="11"/>
      <c r="J59" s="9">
        <v>7.0</v>
      </c>
      <c r="K59" s="9">
        <v>21.0</v>
      </c>
      <c r="L59" s="9">
        <v>0.0</v>
      </c>
      <c r="M59" s="9">
        <v>0.0</v>
      </c>
      <c r="N59" s="9">
        <v>21.0</v>
      </c>
      <c r="O59" s="12">
        <v>45689.0</v>
      </c>
      <c r="P59" s="15"/>
      <c r="Q59" s="14"/>
      <c r="R59" s="14"/>
    </row>
    <row r="60">
      <c r="A60" s="9">
        <v>2.404120076E9</v>
      </c>
      <c r="B60" s="10" t="s">
        <v>19</v>
      </c>
      <c r="C60" s="11"/>
      <c r="D60" s="10" t="s">
        <v>95</v>
      </c>
      <c r="E60" s="11"/>
      <c r="F60" s="9">
        <v>1.0</v>
      </c>
      <c r="G60" s="9">
        <v>9.0</v>
      </c>
      <c r="H60" s="11"/>
      <c r="I60" s="11"/>
      <c r="J60" s="9">
        <v>1.0</v>
      </c>
      <c r="K60" s="9">
        <v>9.0</v>
      </c>
      <c r="L60" s="9">
        <v>0.0</v>
      </c>
      <c r="M60" s="9">
        <v>0.0</v>
      </c>
      <c r="N60" s="9">
        <v>9.0</v>
      </c>
      <c r="O60" s="12">
        <v>45689.0</v>
      </c>
      <c r="P60" s="15"/>
      <c r="Q60" s="14"/>
      <c r="R60" s="14"/>
    </row>
    <row r="61">
      <c r="A61" s="9">
        <v>2.404120076E9</v>
      </c>
      <c r="B61" s="10" t="s">
        <v>19</v>
      </c>
      <c r="C61" s="11"/>
      <c r="D61" s="10" t="s">
        <v>68</v>
      </c>
      <c r="E61" s="11"/>
      <c r="F61" s="9">
        <v>21.0</v>
      </c>
      <c r="G61" s="9">
        <v>105.0</v>
      </c>
      <c r="H61" s="11"/>
      <c r="I61" s="11"/>
      <c r="J61" s="9">
        <v>21.0</v>
      </c>
      <c r="K61" s="9">
        <v>105.0</v>
      </c>
      <c r="L61" s="9">
        <v>0.0</v>
      </c>
      <c r="M61" s="9">
        <v>0.0</v>
      </c>
      <c r="N61" s="9">
        <v>105.0</v>
      </c>
      <c r="O61" s="12">
        <v>45689.0</v>
      </c>
      <c r="P61" s="15"/>
      <c r="Q61" s="14"/>
      <c r="R61" s="14"/>
    </row>
    <row r="62">
      <c r="A62" s="9">
        <v>2.404120076E9</v>
      </c>
      <c r="B62" s="10" t="s">
        <v>19</v>
      </c>
      <c r="C62" s="11"/>
      <c r="D62" s="10" t="s">
        <v>70</v>
      </c>
      <c r="E62" s="11"/>
      <c r="F62" s="9">
        <v>17.0</v>
      </c>
      <c r="G62" s="9">
        <v>68.0</v>
      </c>
      <c r="H62" s="11"/>
      <c r="I62" s="11"/>
      <c r="J62" s="9">
        <v>17.0</v>
      </c>
      <c r="K62" s="9">
        <v>68.0</v>
      </c>
      <c r="L62" s="9">
        <v>0.0</v>
      </c>
      <c r="M62" s="9">
        <v>0.0</v>
      </c>
      <c r="N62" s="9">
        <v>68.0</v>
      </c>
      <c r="O62" s="12">
        <v>45689.0</v>
      </c>
      <c r="P62" s="15"/>
      <c r="Q62" s="14"/>
      <c r="R62" s="14"/>
    </row>
    <row r="63">
      <c r="A63" s="9">
        <v>2.404120076E9</v>
      </c>
      <c r="B63" s="10" t="s">
        <v>19</v>
      </c>
      <c r="C63" s="11"/>
      <c r="D63" s="10" t="s">
        <v>96</v>
      </c>
      <c r="E63" s="11"/>
      <c r="F63" s="9">
        <v>34.0</v>
      </c>
      <c r="G63" s="9">
        <v>138.0</v>
      </c>
      <c r="H63" s="11"/>
      <c r="I63" s="11"/>
      <c r="J63" s="9">
        <v>34.0</v>
      </c>
      <c r="K63" s="9">
        <v>138.0</v>
      </c>
      <c r="L63" s="9">
        <v>0.0</v>
      </c>
      <c r="M63" s="9">
        <v>0.0</v>
      </c>
      <c r="N63" s="9">
        <v>138.0</v>
      </c>
      <c r="O63" s="12">
        <v>45689.0</v>
      </c>
      <c r="P63" s="15"/>
      <c r="Q63" s="14"/>
      <c r="R63" s="14"/>
    </row>
    <row r="64">
      <c r="A64" s="9">
        <v>2.404120076E9</v>
      </c>
      <c r="B64" s="10" t="s">
        <v>19</v>
      </c>
      <c r="C64" s="11"/>
      <c r="D64" s="10" t="s">
        <v>71</v>
      </c>
      <c r="E64" s="11"/>
      <c r="F64" s="9">
        <v>313.0</v>
      </c>
      <c r="G64" s="9">
        <v>313.0</v>
      </c>
      <c r="H64" s="11"/>
      <c r="I64" s="11"/>
      <c r="J64" s="9">
        <v>313.0</v>
      </c>
      <c r="K64" s="9">
        <v>313.0</v>
      </c>
      <c r="L64" s="9">
        <v>0.0</v>
      </c>
      <c r="M64" s="9">
        <v>0.0</v>
      </c>
      <c r="N64" s="9">
        <v>313.0</v>
      </c>
      <c r="O64" s="12">
        <v>45689.0</v>
      </c>
      <c r="P64" s="15"/>
      <c r="Q64" s="14"/>
      <c r="R64" s="14"/>
    </row>
    <row r="65">
      <c r="A65" s="9">
        <v>2.404120076E9</v>
      </c>
      <c r="B65" s="10" t="s">
        <v>19</v>
      </c>
      <c r="C65" s="11"/>
      <c r="D65" s="10" t="s">
        <v>72</v>
      </c>
      <c r="E65" s="11"/>
      <c r="F65" s="9">
        <v>95.0</v>
      </c>
      <c r="G65" s="9">
        <v>198.0</v>
      </c>
      <c r="H65" s="11"/>
      <c r="I65" s="11"/>
      <c r="J65" s="9">
        <v>95.0</v>
      </c>
      <c r="K65" s="9">
        <v>198.0</v>
      </c>
      <c r="L65" s="9">
        <v>0.0</v>
      </c>
      <c r="M65" s="9">
        <v>0.0</v>
      </c>
      <c r="N65" s="9">
        <v>198.0</v>
      </c>
      <c r="O65" s="12">
        <v>45689.0</v>
      </c>
      <c r="P65" s="15"/>
      <c r="Q65" s="14"/>
      <c r="R65" s="14"/>
    </row>
    <row r="66">
      <c r="A66" s="9">
        <v>2.404120076E9</v>
      </c>
      <c r="B66" s="10" t="s">
        <v>19</v>
      </c>
      <c r="C66" s="11"/>
      <c r="D66" s="10" t="s">
        <v>97</v>
      </c>
      <c r="E66" s="11"/>
      <c r="F66" s="9">
        <v>62.0</v>
      </c>
      <c r="G66" s="9">
        <v>310.0</v>
      </c>
      <c r="H66" s="11"/>
      <c r="I66" s="11"/>
      <c r="J66" s="9">
        <v>62.0</v>
      </c>
      <c r="K66" s="9">
        <v>310.0</v>
      </c>
      <c r="L66" s="9">
        <v>0.0</v>
      </c>
      <c r="M66" s="9">
        <v>0.0</v>
      </c>
      <c r="N66" s="9">
        <v>310.0</v>
      </c>
      <c r="O66" s="12">
        <v>45689.0</v>
      </c>
      <c r="P66" s="15"/>
      <c r="Q66" s="14"/>
      <c r="R66" s="14"/>
    </row>
    <row r="67">
      <c r="A67" s="9">
        <v>2.404120076E9</v>
      </c>
      <c r="B67" s="10" t="s">
        <v>19</v>
      </c>
      <c r="C67" s="11"/>
      <c r="D67" s="10" t="s">
        <v>73</v>
      </c>
      <c r="E67" s="11"/>
      <c r="F67" s="9">
        <v>18.0</v>
      </c>
      <c r="G67" s="9">
        <v>79.0</v>
      </c>
      <c r="H67" s="11"/>
      <c r="I67" s="11"/>
      <c r="J67" s="9">
        <v>18.0</v>
      </c>
      <c r="K67" s="9">
        <v>79.0</v>
      </c>
      <c r="L67" s="9">
        <v>0.0</v>
      </c>
      <c r="M67" s="9">
        <v>0.0</v>
      </c>
      <c r="N67" s="9">
        <v>79.0</v>
      </c>
      <c r="O67" s="12">
        <v>45689.0</v>
      </c>
      <c r="P67" s="15"/>
      <c r="Q67" s="14"/>
      <c r="R67" s="14"/>
    </row>
    <row r="68">
      <c r="A68" s="9">
        <v>2.404120076E9</v>
      </c>
      <c r="B68" s="10" t="s">
        <v>19</v>
      </c>
      <c r="C68" s="11"/>
      <c r="D68" s="10" t="s">
        <v>98</v>
      </c>
      <c r="E68" s="11"/>
      <c r="F68" s="9">
        <v>8.0</v>
      </c>
      <c r="G68" s="9">
        <v>24.0</v>
      </c>
      <c r="H68" s="11"/>
      <c r="I68" s="11"/>
      <c r="J68" s="9">
        <v>8.0</v>
      </c>
      <c r="K68" s="9">
        <v>24.0</v>
      </c>
      <c r="L68" s="9">
        <v>0.0</v>
      </c>
      <c r="M68" s="9">
        <v>0.0</v>
      </c>
      <c r="N68" s="9">
        <v>24.0</v>
      </c>
      <c r="O68" s="12">
        <v>45689.0</v>
      </c>
      <c r="P68" s="15"/>
      <c r="Q68" s="14"/>
      <c r="R68" s="14"/>
    </row>
    <row r="69">
      <c r="A69" s="9">
        <v>2.404120076E9</v>
      </c>
      <c r="B69" s="10" t="s">
        <v>19</v>
      </c>
      <c r="C69" s="11"/>
      <c r="D69" s="10" t="s">
        <v>99</v>
      </c>
      <c r="E69" s="11"/>
      <c r="F69" s="9">
        <v>41.0</v>
      </c>
      <c r="G69" s="9">
        <v>164.0</v>
      </c>
      <c r="H69" s="11"/>
      <c r="I69" s="11"/>
      <c r="J69" s="9">
        <v>41.0</v>
      </c>
      <c r="K69" s="9">
        <v>164.0</v>
      </c>
      <c r="L69" s="9">
        <v>0.0</v>
      </c>
      <c r="M69" s="9">
        <v>0.0</v>
      </c>
      <c r="N69" s="9">
        <v>164.0</v>
      </c>
      <c r="O69" s="12">
        <v>45689.0</v>
      </c>
      <c r="P69" s="15"/>
      <c r="Q69" s="14"/>
      <c r="R69" s="14"/>
    </row>
    <row r="70">
      <c r="A70" s="9">
        <v>2.404120076E9</v>
      </c>
      <c r="B70" s="10" t="s">
        <v>19</v>
      </c>
      <c r="C70" s="11"/>
      <c r="D70" s="10" t="s">
        <v>74</v>
      </c>
      <c r="E70" s="11"/>
      <c r="F70" s="9">
        <v>334.0</v>
      </c>
      <c r="G70" s="9">
        <v>334.0</v>
      </c>
      <c r="H70" s="11"/>
      <c r="I70" s="11"/>
      <c r="J70" s="9">
        <v>334.0</v>
      </c>
      <c r="K70" s="9">
        <v>334.0</v>
      </c>
      <c r="L70" s="9">
        <v>0.0</v>
      </c>
      <c r="M70" s="9">
        <v>0.0</v>
      </c>
      <c r="N70" s="9">
        <v>334.0</v>
      </c>
      <c r="O70" s="12">
        <v>45689.0</v>
      </c>
      <c r="P70" s="15"/>
      <c r="Q70" s="14"/>
      <c r="R70" s="14"/>
    </row>
    <row r="71">
      <c r="A71" s="9">
        <v>2.404120076E9</v>
      </c>
      <c r="B71" s="10" t="s">
        <v>19</v>
      </c>
      <c r="C71" s="11"/>
      <c r="D71" s="10" t="s">
        <v>100</v>
      </c>
      <c r="E71" s="11"/>
      <c r="F71" s="9">
        <v>8.0</v>
      </c>
      <c r="G71" s="9">
        <v>24.0</v>
      </c>
      <c r="H71" s="11"/>
      <c r="I71" s="11"/>
      <c r="J71" s="9">
        <v>8.0</v>
      </c>
      <c r="K71" s="9">
        <v>24.0</v>
      </c>
      <c r="L71" s="9">
        <v>0.0</v>
      </c>
      <c r="M71" s="9">
        <v>0.0</v>
      </c>
      <c r="N71" s="9">
        <v>24.0</v>
      </c>
      <c r="O71" s="12">
        <v>45689.0</v>
      </c>
      <c r="P71" s="15"/>
      <c r="Q71" s="14"/>
      <c r="R71" s="14"/>
    </row>
    <row r="72">
      <c r="A72" s="9">
        <v>2.404120076E9</v>
      </c>
      <c r="B72" s="10" t="s">
        <v>19</v>
      </c>
      <c r="C72" s="11"/>
      <c r="D72" s="10" t="s">
        <v>75</v>
      </c>
      <c r="E72" s="11"/>
      <c r="F72" s="9">
        <v>19.0</v>
      </c>
      <c r="G72" s="9">
        <v>57.0</v>
      </c>
      <c r="H72" s="11"/>
      <c r="I72" s="11"/>
      <c r="J72" s="9">
        <v>19.0</v>
      </c>
      <c r="K72" s="9">
        <v>57.0</v>
      </c>
      <c r="L72" s="9">
        <v>0.0</v>
      </c>
      <c r="M72" s="9">
        <v>0.0</v>
      </c>
      <c r="N72" s="9">
        <v>57.0</v>
      </c>
      <c r="O72" s="12">
        <v>45689.0</v>
      </c>
      <c r="P72" s="15"/>
      <c r="Q72" s="14"/>
      <c r="R72" s="14"/>
    </row>
    <row r="73">
      <c r="A73" s="9">
        <v>2.404120076E9</v>
      </c>
      <c r="B73" s="10" t="s">
        <v>19</v>
      </c>
      <c r="C73" s="11"/>
      <c r="D73" s="10" t="s">
        <v>76</v>
      </c>
      <c r="E73" s="11"/>
      <c r="F73" s="9">
        <v>25.0</v>
      </c>
      <c r="G73" s="9">
        <v>146.0</v>
      </c>
      <c r="H73" s="11"/>
      <c r="I73" s="11"/>
      <c r="J73" s="9">
        <v>25.0</v>
      </c>
      <c r="K73" s="9">
        <v>146.0</v>
      </c>
      <c r="L73" s="9">
        <v>0.0</v>
      </c>
      <c r="M73" s="9">
        <v>0.0</v>
      </c>
      <c r="N73" s="9">
        <v>146.0</v>
      </c>
      <c r="O73" s="12">
        <v>45689.0</v>
      </c>
      <c r="P73" s="15"/>
      <c r="Q73" s="14"/>
      <c r="R73" s="14"/>
    </row>
    <row r="74">
      <c r="A74" s="9">
        <v>2.404120076E9</v>
      </c>
      <c r="B74" s="10" t="s">
        <v>19</v>
      </c>
      <c r="C74" s="11"/>
      <c r="D74" s="10" t="s">
        <v>77</v>
      </c>
      <c r="E74" s="11"/>
      <c r="F74" s="9">
        <v>46.0</v>
      </c>
      <c r="G74" s="9">
        <v>138.0</v>
      </c>
      <c r="H74" s="11"/>
      <c r="I74" s="11"/>
      <c r="J74" s="9">
        <v>46.0</v>
      </c>
      <c r="K74" s="9">
        <v>138.0</v>
      </c>
      <c r="L74" s="9">
        <v>0.0</v>
      </c>
      <c r="M74" s="9">
        <v>0.0</v>
      </c>
      <c r="N74" s="9">
        <v>138.0</v>
      </c>
      <c r="O74" s="12">
        <v>45689.0</v>
      </c>
      <c r="P74" s="15"/>
      <c r="Q74" s="14"/>
      <c r="R74" s="14"/>
    </row>
    <row r="75">
      <c r="A75" s="9">
        <v>2.404120076E9</v>
      </c>
      <c r="B75" s="10" t="s">
        <v>19</v>
      </c>
      <c r="C75" s="11"/>
      <c r="D75" s="10" t="s">
        <v>78</v>
      </c>
      <c r="E75" s="11"/>
      <c r="F75" s="9">
        <v>8.0</v>
      </c>
      <c r="G75" s="9">
        <v>40.0</v>
      </c>
      <c r="H75" s="11"/>
      <c r="I75" s="11"/>
      <c r="J75" s="9">
        <v>8.0</v>
      </c>
      <c r="K75" s="9">
        <v>40.0</v>
      </c>
      <c r="L75" s="9">
        <v>0.0</v>
      </c>
      <c r="M75" s="9">
        <v>0.0</v>
      </c>
      <c r="N75" s="9">
        <v>40.0</v>
      </c>
      <c r="O75" s="12">
        <v>45689.0</v>
      </c>
      <c r="P75" s="15"/>
      <c r="Q75" s="14"/>
      <c r="R75" s="14"/>
    </row>
    <row r="76">
      <c r="A76" s="9">
        <v>2.404120076E9</v>
      </c>
      <c r="B76" s="10" t="s">
        <v>19</v>
      </c>
      <c r="C76" s="11"/>
      <c r="D76" s="10" t="s">
        <v>79</v>
      </c>
      <c r="E76" s="11"/>
      <c r="F76" s="9">
        <v>40.0</v>
      </c>
      <c r="G76" s="9">
        <v>80.0</v>
      </c>
      <c r="H76" s="11"/>
      <c r="I76" s="11"/>
      <c r="J76" s="9">
        <v>40.0</v>
      </c>
      <c r="K76" s="9">
        <v>80.0</v>
      </c>
      <c r="L76" s="9">
        <v>0.0</v>
      </c>
      <c r="M76" s="9">
        <v>0.0</v>
      </c>
      <c r="N76" s="9">
        <v>80.0</v>
      </c>
      <c r="O76" s="12">
        <v>45689.0</v>
      </c>
      <c r="P76" s="15"/>
      <c r="Q76" s="14"/>
      <c r="R76" s="14"/>
    </row>
    <row r="77">
      <c r="A77" s="9">
        <v>2.404120076E9</v>
      </c>
      <c r="B77" s="10" t="s">
        <v>19</v>
      </c>
      <c r="C77" s="11"/>
      <c r="D77" s="10" t="s">
        <v>80</v>
      </c>
      <c r="E77" s="11"/>
      <c r="F77" s="9">
        <v>35.0</v>
      </c>
      <c r="G77" s="9">
        <v>105.0</v>
      </c>
      <c r="H77" s="11"/>
      <c r="I77" s="11"/>
      <c r="J77" s="9">
        <v>35.0</v>
      </c>
      <c r="K77" s="9">
        <v>105.0</v>
      </c>
      <c r="L77" s="9">
        <v>0.0</v>
      </c>
      <c r="M77" s="9">
        <v>0.0</v>
      </c>
      <c r="N77" s="9">
        <v>105.0</v>
      </c>
      <c r="O77" s="12">
        <v>45689.0</v>
      </c>
      <c r="P77" s="15"/>
      <c r="Q77" s="14"/>
      <c r="R77" s="14"/>
    </row>
    <row r="78">
      <c r="A78" s="9">
        <v>2.404120076E9</v>
      </c>
      <c r="B78" s="10" t="s">
        <v>19</v>
      </c>
      <c r="C78" s="11"/>
      <c r="D78" s="10" t="s">
        <v>101</v>
      </c>
      <c r="E78" s="11"/>
      <c r="F78" s="9">
        <v>1.0</v>
      </c>
      <c r="G78" s="9">
        <v>6.0</v>
      </c>
      <c r="H78" s="11"/>
      <c r="I78" s="11"/>
      <c r="J78" s="9">
        <v>1.0</v>
      </c>
      <c r="K78" s="9">
        <v>6.0</v>
      </c>
      <c r="L78" s="9">
        <v>0.0</v>
      </c>
      <c r="M78" s="9">
        <v>0.0</v>
      </c>
      <c r="N78" s="9">
        <v>6.0</v>
      </c>
      <c r="O78" s="12">
        <v>45689.0</v>
      </c>
      <c r="P78" s="15"/>
      <c r="Q78" s="14"/>
      <c r="R78" s="14"/>
    </row>
    <row r="79">
      <c r="A79" s="9">
        <v>2.404120076E9</v>
      </c>
      <c r="B79" s="10" t="s">
        <v>19</v>
      </c>
      <c r="C79" s="11"/>
      <c r="D79" s="10" t="s">
        <v>102</v>
      </c>
      <c r="E79" s="11"/>
      <c r="F79" s="9">
        <v>36.0</v>
      </c>
      <c r="G79" s="9">
        <v>108.0</v>
      </c>
      <c r="H79" s="11"/>
      <c r="I79" s="11"/>
      <c r="J79" s="9">
        <v>36.0</v>
      </c>
      <c r="K79" s="9">
        <v>108.0</v>
      </c>
      <c r="L79" s="9">
        <v>0.0</v>
      </c>
      <c r="M79" s="9">
        <v>0.0</v>
      </c>
      <c r="N79" s="9">
        <v>108.0</v>
      </c>
      <c r="O79" s="12">
        <v>45689.0</v>
      </c>
      <c r="P79" s="15"/>
      <c r="Q79" s="14"/>
      <c r="R79" s="14"/>
    </row>
    <row r="80">
      <c r="A80" s="9">
        <v>2.404120076E9</v>
      </c>
      <c r="B80" s="10" t="s">
        <v>19</v>
      </c>
      <c r="C80" s="11"/>
      <c r="D80" s="10" t="s">
        <v>103</v>
      </c>
      <c r="E80" s="11"/>
      <c r="F80" s="9">
        <v>31.0</v>
      </c>
      <c r="G80" s="9">
        <v>124.0</v>
      </c>
      <c r="H80" s="11"/>
      <c r="I80" s="11"/>
      <c r="J80" s="9">
        <v>31.0</v>
      </c>
      <c r="K80" s="9">
        <v>124.0</v>
      </c>
      <c r="L80" s="9">
        <v>0.0</v>
      </c>
      <c r="M80" s="9">
        <v>0.0</v>
      </c>
      <c r="N80" s="9">
        <v>124.0</v>
      </c>
      <c r="O80" s="12">
        <v>45689.0</v>
      </c>
      <c r="P80" s="15"/>
      <c r="Q80" s="14"/>
      <c r="R80" s="14"/>
    </row>
    <row r="81">
      <c r="A81" s="9">
        <v>2.404120076E9</v>
      </c>
      <c r="B81" s="10" t="s">
        <v>19</v>
      </c>
      <c r="C81" s="11"/>
      <c r="D81" s="10" t="s">
        <v>104</v>
      </c>
      <c r="E81" s="11"/>
      <c r="F81" s="9">
        <v>4.0</v>
      </c>
      <c r="G81" s="9">
        <v>48.0</v>
      </c>
      <c r="H81" s="11"/>
      <c r="I81" s="11"/>
      <c r="J81" s="9">
        <v>4.0</v>
      </c>
      <c r="K81" s="9">
        <v>48.0</v>
      </c>
      <c r="L81" s="9">
        <v>0.0</v>
      </c>
      <c r="M81" s="9">
        <v>0.0</v>
      </c>
      <c r="N81" s="9">
        <v>48.0</v>
      </c>
      <c r="O81" s="12">
        <v>45689.0</v>
      </c>
      <c r="P81" s="15"/>
      <c r="Q81" s="14"/>
      <c r="R81" s="14"/>
    </row>
    <row r="82">
      <c r="A82" s="9">
        <v>2.404120076E9</v>
      </c>
      <c r="B82" s="10" t="s">
        <v>19</v>
      </c>
      <c r="C82" s="11"/>
      <c r="D82" s="10" t="s">
        <v>105</v>
      </c>
      <c r="E82" s="11"/>
      <c r="F82" s="9">
        <v>5.0</v>
      </c>
      <c r="G82" s="9">
        <v>30.0</v>
      </c>
      <c r="H82" s="11"/>
      <c r="I82" s="11"/>
      <c r="J82" s="9">
        <v>5.0</v>
      </c>
      <c r="K82" s="9">
        <v>30.0</v>
      </c>
      <c r="L82" s="9">
        <v>0.0</v>
      </c>
      <c r="M82" s="9">
        <v>0.0</v>
      </c>
      <c r="N82" s="9">
        <v>30.0</v>
      </c>
      <c r="O82" s="12">
        <v>45689.0</v>
      </c>
      <c r="P82" s="15"/>
      <c r="Q82" s="14"/>
      <c r="R82" s="14"/>
    </row>
    <row r="83">
      <c r="A83" s="9">
        <v>2.404120076E9</v>
      </c>
      <c r="B83" s="10" t="s">
        <v>19</v>
      </c>
      <c r="C83" s="11"/>
      <c r="D83" s="10" t="s">
        <v>106</v>
      </c>
      <c r="E83" s="11"/>
      <c r="F83" s="9">
        <v>1.0</v>
      </c>
      <c r="G83" s="9">
        <v>2.0</v>
      </c>
      <c r="H83" s="11"/>
      <c r="I83" s="11"/>
      <c r="J83" s="9">
        <v>1.0</v>
      </c>
      <c r="K83" s="9">
        <v>2.0</v>
      </c>
      <c r="L83" s="9">
        <v>0.0</v>
      </c>
      <c r="M83" s="9">
        <v>0.0</v>
      </c>
      <c r="N83" s="9">
        <v>2.0</v>
      </c>
      <c r="O83" s="12">
        <v>45689.0</v>
      </c>
      <c r="P83" s="15"/>
      <c r="Q83" s="14"/>
      <c r="R83" s="14"/>
    </row>
    <row r="84">
      <c r="A84" s="9">
        <v>2.404120076E9</v>
      </c>
      <c r="B84" s="10" t="s">
        <v>19</v>
      </c>
      <c r="C84" s="11"/>
      <c r="D84" s="10" t="s">
        <v>81</v>
      </c>
      <c r="E84" s="11"/>
      <c r="F84" s="9">
        <v>69.0</v>
      </c>
      <c r="G84" s="9">
        <v>138.0</v>
      </c>
      <c r="H84" s="11"/>
      <c r="I84" s="11"/>
      <c r="J84" s="9">
        <v>69.0</v>
      </c>
      <c r="K84" s="9">
        <v>138.0</v>
      </c>
      <c r="L84" s="9">
        <v>0.0</v>
      </c>
      <c r="M84" s="9">
        <v>0.0</v>
      </c>
      <c r="N84" s="9">
        <v>138.0</v>
      </c>
      <c r="O84" s="12">
        <v>45689.0</v>
      </c>
      <c r="P84" s="15"/>
      <c r="Q84" s="14"/>
      <c r="R84" s="14"/>
    </row>
    <row r="85">
      <c r="A85" s="9">
        <v>2.404120076E9</v>
      </c>
      <c r="B85" s="10" t="s">
        <v>19</v>
      </c>
      <c r="C85" s="11"/>
      <c r="D85" s="10" t="s">
        <v>107</v>
      </c>
      <c r="E85" s="11"/>
      <c r="F85" s="9">
        <v>19.0</v>
      </c>
      <c r="G85" s="9">
        <v>57.0</v>
      </c>
      <c r="H85" s="11"/>
      <c r="I85" s="11"/>
      <c r="J85" s="9">
        <v>19.0</v>
      </c>
      <c r="K85" s="9">
        <v>57.0</v>
      </c>
      <c r="L85" s="9">
        <v>0.0</v>
      </c>
      <c r="M85" s="9">
        <v>0.0</v>
      </c>
      <c r="N85" s="9">
        <v>57.0</v>
      </c>
      <c r="O85" s="12">
        <v>45689.0</v>
      </c>
      <c r="P85" s="15"/>
      <c r="Q85" s="14"/>
      <c r="R85" s="14"/>
    </row>
    <row r="86">
      <c r="A86" s="9">
        <v>2.404120076E9</v>
      </c>
      <c r="B86" s="10" t="s">
        <v>19</v>
      </c>
      <c r="C86" s="11"/>
      <c r="D86" s="10" t="s">
        <v>85</v>
      </c>
      <c r="E86" s="11"/>
      <c r="F86" s="9">
        <v>19.0</v>
      </c>
      <c r="G86" s="9">
        <v>57.0</v>
      </c>
      <c r="H86" s="11"/>
      <c r="I86" s="11"/>
      <c r="J86" s="9">
        <v>19.0</v>
      </c>
      <c r="K86" s="9">
        <v>57.0</v>
      </c>
      <c r="L86" s="9">
        <v>0.0</v>
      </c>
      <c r="M86" s="9">
        <v>0.0</v>
      </c>
      <c r="N86" s="9">
        <v>57.0</v>
      </c>
      <c r="O86" s="12">
        <v>45689.0</v>
      </c>
      <c r="P86" s="15"/>
      <c r="Q86" s="14"/>
      <c r="R86" s="14"/>
    </row>
    <row r="87">
      <c r="A87" s="9">
        <v>2.404120076E9</v>
      </c>
      <c r="B87" s="10" t="s">
        <v>19</v>
      </c>
      <c r="C87" s="11"/>
      <c r="D87" s="10" t="s">
        <v>86</v>
      </c>
      <c r="E87" s="11"/>
      <c r="F87" s="9">
        <v>144.0</v>
      </c>
      <c r="G87" s="9">
        <v>578.0</v>
      </c>
      <c r="H87" s="11"/>
      <c r="I87" s="11"/>
      <c r="J87" s="9">
        <v>144.0</v>
      </c>
      <c r="K87" s="9">
        <v>578.0</v>
      </c>
      <c r="L87" s="9">
        <v>0.0</v>
      </c>
      <c r="M87" s="9">
        <v>0.0</v>
      </c>
      <c r="N87" s="9">
        <v>578.0</v>
      </c>
      <c r="O87" s="12">
        <v>45689.0</v>
      </c>
      <c r="P87" s="15"/>
      <c r="Q87" s="14"/>
      <c r="R87" s="14"/>
    </row>
    <row r="88">
      <c r="A88" s="9">
        <v>2.404120076E9</v>
      </c>
      <c r="B88" s="10" t="s">
        <v>19</v>
      </c>
      <c r="C88" s="11"/>
      <c r="D88" s="10" t="s">
        <v>108</v>
      </c>
      <c r="E88" s="11"/>
      <c r="F88" s="9">
        <v>8.0</v>
      </c>
      <c r="G88" s="9">
        <v>41.0</v>
      </c>
      <c r="H88" s="11"/>
      <c r="I88" s="11"/>
      <c r="J88" s="9">
        <v>8.0</v>
      </c>
      <c r="K88" s="9">
        <v>41.0</v>
      </c>
      <c r="L88" s="9">
        <v>0.0</v>
      </c>
      <c r="M88" s="9">
        <v>0.0</v>
      </c>
      <c r="N88" s="9">
        <v>41.0</v>
      </c>
      <c r="O88" s="12">
        <v>45689.0</v>
      </c>
      <c r="P88" s="15"/>
      <c r="Q88" s="14"/>
      <c r="R88" s="14"/>
    </row>
    <row r="89">
      <c r="A89" s="11"/>
      <c r="B89" s="16"/>
      <c r="C89" s="11"/>
      <c r="D89" s="11"/>
      <c r="E89" s="11"/>
      <c r="F89" s="11"/>
      <c r="G89" s="11"/>
      <c r="H89" s="11"/>
      <c r="I89" s="11"/>
      <c r="J89" s="9">
        <v>0.0</v>
      </c>
      <c r="K89" s="9">
        <v>0.0</v>
      </c>
      <c r="L89" s="9">
        <v>0.0</v>
      </c>
      <c r="M89" s="9">
        <v>0.0</v>
      </c>
      <c r="N89" s="9">
        <v>0.0</v>
      </c>
      <c r="O89" s="17"/>
      <c r="P89" s="15"/>
      <c r="Q89" s="14"/>
      <c r="R89" s="14"/>
    </row>
    <row r="90">
      <c r="A90" s="11"/>
      <c r="B90" s="16"/>
      <c r="C90" s="11"/>
      <c r="D90" s="11"/>
      <c r="E90" s="11"/>
      <c r="F90" s="11"/>
      <c r="G90" s="11"/>
      <c r="H90" s="11"/>
      <c r="I90" s="11"/>
      <c r="J90" s="9">
        <v>0.0</v>
      </c>
      <c r="K90" s="9">
        <v>0.0</v>
      </c>
      <c r="L90" s="9">
        <v>0.0</v>
      </c>
      <c r="M90" s="9">
        <v>0.0</v>
      </c>
      <c r="N90" s="9">
        <v>0.0</v>
      </c>
      <c r="O90" s="17"/>
      <c r="P90" s="15"/>
      <c r="Q90" s="14"/>
      <c r="R90" s="14"/>
    </row>
    <row r="91">
      <c r="A91" s="11"/>
      <c r="B91" s="16"/>
      <c r="C91" s="11"/>
      <c r="D91" s="11"/>
      <c r="E91" s="11"/>
      <c r="F91" s="11"/>
      <c r="G91" s="11"/>
      <c r="H91" s="11"/>
      <c r="I91" s="11"/>
      <c r="J91" s="9">
        <v>0.0</v>
      </c>
      <c r="K91" s="9">
        <v>0.0</v>
      </c>
      <c r="L91" s="9">
        <v>0.0</v>
      </c>
      <c r="M91" s="9">
        <v>0.0</v>
      </c>
      <c r="N91" s="9">
        <v>0.0</v>
      </c>
      <c r="O91" s="17"/>
      <c r="P91" s="15"/>
      <c r="Q91" s="14"/>
      <c r="R91" s="14"/>
    </row>
    <row r="92">
      <c r="A92" s="11"/>
      <c r="B92" s="16"/>
      <c r="C92" s="11"/>
      <c r="D92" s="11"/>
      <c r="E92" s="11"/>
      <c r="F92" s="11"/>
      <c r="G92" s="11"/>
      <c r="H92" s="11"/>
      <c r="I92" s="11"/>
      <c r="J92" s="9">
        <v>0.0</v>
      </c>
      <c r="K92" s="9">
        <v>0.0</v>
      </c>
      <c r="L92" s="9">
        <v>0.0</v>
      </c>
      <c r="M92" s="9">
        <v>0.0</v>
      </c>
      <c r="N92" s="9">
        <v>0.0</v>
      </c>
      <c r="O92" s="17"/>
      <c r="P92" s="15"/>
      <c r="Q92" s="14"/>
      <c r="R92" s="14"/>
    </row>
    <row r="93">
      <c r="A93" s="11"/>
      <c r="B93" s="16"/>
      <c r="C93" s="11"/>
      <c r="D93" s="11"/>
      <c r="E93" s="11"/>
      <c r="F93" s="11"/>
      <c r="G93" s="11"/>
      <c r="H93" s="11"/>
      <c r="I93" s="11"/>
      <c r="J93" s="9">
        <v>0.0</v>
      </c>
      <c r="K93" s="9">
        <v>0.0</v>
      </c>
      <c r="L93" s="9">
        <v>0.0</v>
      </c>
      <c r="M93" s="9">
        <v>0.0</v>
      </c>
      <c r="N93" s="9">
        <v>0.0</v>
      </c>
      <c r="O93" s="17"/>
      <c r="P93" s="15"/>
      <c r="Q93" s="14"/>
      <c r="R93" s="14"/>
    </row>
    <row r="94">
      <c r="A94" s="9">
        <v>2.404120076E9</v>
      </c>
      <c r="B94" s="10" t="s">
        <v>19</v>
      </c>
      <c r="C94" s="11"/>
      <c r="D94" s="10" t="s">
        <v>53</v>
      </c>
      <c r="E94" s="11"/>
      <c r="F94" s="9">
        <v>23.0</v>
      </c>
      <c r="G94" s="9">
        <v>428.0</v>
      </c>
      <c r="H94" s="11"/>
      <c r="I94" s="11"/>
      <c r="J94" s="9">
        <v>23.0</v>
      </c>
      <c r="K94" s="9">
        <v>428.0</v>
      </c>
      <c r="L94" s="9">
        <v>0.0</v>
      </c>
      <c r="M94" s="9">
        <v>0.0</v>
      </c>
      <c r="N94" s="9">
        <v>428.0</v>
      </c>
      <c r="O94" s="12">
        <v>45717.0</v>
      </c>
      <c r="P94" s="13">
        <v>45717.0</v>
      </c>
      <c r="Q94" s="14"/>
      <c r="R94" s="14"/>
    </row>
    <row r="95">
      <c r="A95" s="9">
        <v>2.404120076E9</v>
      </c>
      <c r="B95" s="10" t="s">
        <v>19</v>
      </c>
      <c r="C95" s="11"/>
      <c r="D95" s="10" t="s">
        <v>54</v>
      </c>
      <c r="E95" s="11"/>
      <c r="F95" s="9">
        <v>64.0</v>
      </c>
      <c r="G95" s="9">
        <v>320.0</v>
      </c>
      <c r="H95" s="11"/>
      <c r="I95" s="11"/>
      <c r="J95" s="9">
        <v>64.0</v>
      </c>
      <c r="K95" s="9">
        <v>320.0</v>
      </c>
      <c r="L95" s="9">
        <v>0.0</v>
      </c>
      <c r="M95" s="9">
        <v>0.0</v>
      </c>
      <c r="N95" s="9">
        <v>320.0</v>
      </c>
      <c r="O95" s="12">
        <v>45717.0</v>
      </c>
      <c r="P95" s="15"/>
      <c r="Q95" s="14"/>
      <c r="R95" s="14"/>
    </row>
    <row r="96">
      <c r="A96" s="9">
        <v>2.404120076E9</v>
      </c>
      <c r="B96" s="10" t="s">
        <v>19</v>
      </c>
      <c r="C96" s="11"/>
      <c r="D96" s="10" t="s">
        <v>55</v>
      </c>
      <c r="E96" s="11"/>
      <c r="F96" s="9">
        <v>39.0</v>
      </c>
      <c r="G96" s="9">
        <v>78.0</v>
      </c>
      <c r="H96" s="11"/>
      <c r="I96" s="11"/>
      <c r="J96" s="9">
        <v>39.0</v>
      </c>
      <c r="K96" s="9">
        <v>78.0</v>
      </c>
      <c r="L96" s="9">
        <v>0.0</v>
      </c>
      <c r="M96" s="9">
        <v>0.0</v>
      </c>
      <c r="N96" s="9">
        <v>78.0</v>
      </c>
      <c r="O96" s="12">
        <v>45717.0</v>
      </c>
      <c r="P96" s="15"/>
      <c r="Q96" s="14"/>
      <c r="R96" s="14"/>
    </row>
    <row r="97">
      <c r="A97" s="9">
        <v>2.404120076E9</v>
      </c>
      <c r="B97" s="10" t="s">
        <v>19</v>
      </c>
      <c r="C97" s="11"/>
      <c r="D97" s="10" t="s">
        <v>92</v>
      </c>
      <c r="E97" s="11"/>
      <c r="F97" s="9">
        <v>30.0</v>
      </c>
      <c r="G97" s="9">
        <v>150.0</v>
      </c>
      <c r="H97" s="11"/>
      <c r="I97" s="11"/>
      <c r="J97" s="9">
        <v>30.0</v>
      </c>
      <c r="K97" s="9">
        <v>150.0</v>
      </c>
      <c r="L97" s="9">
        <v>0.0</v>
      </c>
      <c r="M97" s="9">
        <v>0.0</v>
      </c>
      <c r="N97" s="9">
        <v>150.0</v>
      </c>
      <c r="O97" s="12">
        <v>45717.0</v>
      </c>
      <c r="P97" s="15"/>
      <c r="Q97" s="14"/>
      <c r="R97" s="14"/>
    </row>
    <row r="98">
      <c r="A98" s="9">
        <v>2.404120076E9</v>
      </c>
      <c r="B98" s="10" t="s">
        <v>19</v>
      </c>
      <c r="C98" s="11"/>
      <c r="D98" s="10" t="s">
        <v>109</v>
      </c>
      <c r="E98" s="11"/>
      <c r="F98" s="9">
        <v>211.0</v>
      </c>
      <c r="G98" s="9">
        <v>841.0</v>
      </c>
      <c r="H98" s="11"/>
      <c r="I98" s="11"/>
      <c r="J98" s="9">
        <v>211.0</v>
      </c>
      <c r="K98" s="9">
        <v>841.0</v>
      </c>
      <c r="L98" s="9">
        <v>0.0</v>
      </c>
      <c r="M98" s="9">
        <v>0.0</v>
      </c>
      <c r="N98" s="9">
        <v>841.0</v>
      </c>
      <c r="O98" s="12">
        <v>45717.0</v>
      </c>
      <c r="P98" s="15"/>
      <c r="Q98" s="14"/>
      <c r="R98" s="14"/>
    </row>
    <row r="99">
      <c r="A99" s="9">
        <v>2.404120076E9</v>
      </c>
      <c r="B99" s="10" t="s">
        <v>19</v>
      </c>
      <c r="C99" s="11"/>
      <c r="D99" s="10" t="s">
        <v>58</v>
      </c>
      <c r="E99" s="11"/>
      <c r="F99" s="9">
        <v>2.0</v>
      </c>
      <c r="G99" s="9">
        <v>8.0</v>
      </c>
      <c r="H99" s="11"/>
      <c r="I99" s="11"/>
      <c r="J99" s="9">
        <v>2.0</v>
      </c>
      <c r="K99" s="9">
        <v>8.0</v>
      </c>
      <c r="L99" s="9">
        <v>0.0</v>
      </c>
      <c r="M99" s="9">
        <v>0.0</v>
      </c>
      <c r="N99" s="9">
        <v>8.0</v>
      </c>
      <c r="O99" s="12">
        <v>45717.0</v>
      </c>
      <c r="P99" s="15"/>
      <c r="Q99" s="14"/>
      <c r="R99" s="14"/>
    </row>
    <row r="100">
      <c r="A100" s="9">
        <v>2.404120076E9</v>
      </c>
      <c r="B100" s="10" t="s">
        <v>19</v>
      </c>
      <c r="C100" s="11"/>
      <c r="D100" s="10" t="s">
        <v>93</v>
      </c>
      <c r="E100" s="11"/>
      <c r="F100" s="9">
        <v>465.0</v>
      </c>
      <c r="G100" s="9">
        <v>465.0</v>
      </c>
      <c r="H100" s="11"/>
      <c r="I100" s="11"/>
      <c r="J100" s="9">
        <v>465.0</v>
      </c>
      <c r="K100" s="9">
        <v>465.0</v>
      </c>
      <c r="L100" s="9">
        <v>0.0</v>
      </c>
      <c r="M100" s="9">
        <v>0.0</v>
      </c>
      <c r="N100" s="9">
        <v>465.0</v>
      </c>
      <c r="O100" s="12">
        <v>45717.0</v>
      </c>
      <c r="P100" s="15"/>
      <c r="Q100" s="14"/>
      <c r="R100" s="14"/>
    </row>
    <row r="101">
      <c r="A101" s="9">
        <v>2.404120076E9</v>
      </c>
      <c r="B101" s="10" t="s">
        <v>19</v>
      </c>
      <c r="C101" s="11"/>
      <c r="D101" s="10" t="s">
        <v>61</v>
      </c>
      <c r="E101" s="11"/>
      <c r="F101" s="9">
        <v>106.0</v>
      </c>
      <c r="G101" s="9">
        <v>106.0</v>
      </c>
      <c r="H101" s="11"/>
      <c r="I101" s="11"/>
      <c r="J101" s="9">
        <v>106.0</v>
      </c>
      <c r="K101" s="9">
        <v>106.0</v>
      </c>
      <c r="L101" s="9">
        <v>0.0</v>
      </c>
      <c r="M101" s="9">
        <v>0.0</v>
      </c>
      <c r="N101" s="9">
        <v>106.0</v>
      </c>
      <c r="O101" s="12">
        <v>45717.0</v>
      </c>
      <c r="P101" s="15"/>
      <c r="Q101" s="14"/>
      <c r="R101" s="14"/>
    </row>
    <row r="102">
      <c r="A102" s="9">
        <v>2.404120076E9</v>
      </c>
      <c r="B102" s="10" t="s">
        <v>19</v>
      </c>
      <c r="C102" s="11"/>
      <c r="D102" s="10" t="s">
        <v>62</v>
      </c>
      <c r="E102" s="11"/>
      <c r="F102" s="9">
        <v>35.0</v>
      </c>
      <c r="G102" s="9">
        <v>145.0</v>
      </c>
      <c r="H102" s="11"/>
      <c r="I102" s="11"/>
      <c r="J102" s="9">
        <v>35.0</v>
      </c>
      <c r="K102" s="9">
        <v>145.0</v>
      </c>
      <c r="L102" s="9">
        <v>0.0</v>
      </c>
      <c r="M102" s="9">
        <v>0.0</v>
      </c>
      <c r="N102" s="9">
        <v>145.0</v>
      </c>
      <c r="O102" s="12">
        <v>45717.0</v>
      </c>
      <c r="P102" s="15"/>
      <c r="Q102" s="14"/>
      <c r="R102" s="14"/>
    </row>
    <row r="103">
      <c r="A103" s="9">
        <v>2.404120076E9</v>
      </c>
      <c r="B103" s="10" t="s">
        <v>19</v>
      </c>
      <c r="C103" s="11"/>
      <c r="D103" s="10" t="s">
        <v>94</v>
      </c>
      <c r="E103" s="11"/>
      <c r="F103" s="9">
        <v>8.0</v>
      </c>
      <c r="G103" s="9">
        <v>42.0</v>
      </c>
      <c r="H103" s="11"/>
      <c r="I103" s="11"/>
      <c r="J103" s="9">
        <v>8.0</v>
      </c>
      <c r="K103" s="9">
        <v>42.0</v>
      </c>
      <c r="L103" s="9">
        <v>0.0</v>
      </c>
      <c r="M103" s="9">
        <v>0.0</v>
      </c>
      <c r="N103" s="9">
        <v>42.0</v>
      </c>
      <c r="O103" s="12">
        <v>45717.0</v>
      </c>
      <c r="P103" s="15"/>
      <c r="Q103" s="14"/>
      <c r="R103" s="14"/>
    </row>
    <row r="104">
      <c r="A104" s="9">
        <v>2.404120076E9</v>
      </c>
      <c r="B104" s="10" t="s">
        <v>19</v>
      </c>
      <c r="C104" s="11"/>
      <c r="D104" s="10" t="s">
        <v>66</v>
      </c>
      <c r="E104" s="11"/>
      <c r="F104" s="9">
        <v>7.0</v>
      </c>
      <c r="G104" s="9">
        <v>28.0</v>
      </c>
      <c r="H104" s="11"/>
      <c r="I104" s="11"/>
      <c r="J104" s="9">
        <v>7.0</v>
      </c>
      <c r="K104" s="9">
        <v>28.0</v>
      </c>
      <c r="L104" s="9">
        <v>0.0</v>
      </c>
      <c r="M104" s="9">
        <v>0.0</v>
      </c>
      <c r="N104" s="9">
        <v>28.0</v>
      </c>
      <c r="O104" s="12">
        <v>45717.0</v>
      </c>
      <c r="P104" s="15"/>
      <c r="Q104" s="14"/>
      <c r="R104" s="14"/>
    </row>
    <row r="105">
      <c r="A105" s="9">
        <v>2.404120076E9</v>
      </c>
      <c r="B105" s="10" t="s">
        <v>19</v>
      </c>
      <c r="C105" s="11"/>
      <c r="D105" s="10" t="s">
        <v>95</v>
      </c>
      <c r="E105" s="11"/>
      <c r="F105" s="9">
        <v>2.0</v>
      </c>
      <c r="G105" s="9">
        <v>10.0</v>
      </c>
      <c r="H105" s="11"/>
      <c r="I105" s="11"/>
      <c r="J105" s="9">
        <v>2.0</v>
      </c>
      <c r="K105" s="9">
        <v>10.0</v>
      </c>
      <c r="L105" s="9">
        <v>0.0</v>
      </c>
      <c r="M105" s="9">
        <v>0.0</v>
      </c>
      <c r="N105" s="9">
        <v>10.0</v>
      </c>
      <c r="O105" s="12">
        <v>45717.0</v>
      </c>
      <c r="P105" s="15"/>
      <c r="Q105" s="14"/>
      <c r="R105" s="14"/>
    </row>
    <row r="106">
      <c r="A106" s="9">
        <v>2.404120076E9</v>
      </c>
      <c r="B106" s="10" t="s">
        <v>19</v>
      </c>
      <c r="C106" s="11"/>
      <c r="D106" s="10" t="s">
        <v>68</v>
      </c>
      <c r="E106" s="11"/>
      <c r="F106" s="9">
        <v>8.0</v>
      </c>
      <c r="G106" s="9">
        <v>40.0</v>
      </c>
      <c r="H106" s="11"/>
      <c r="I106" s="11"/>
      <c r="J106" s="9">
        <v>8.0</v>
      </c>
      <c r="K106" s="9">
        <v>40.0</v>
      </c>
      <c r="L106" s="9">
        <v>0.0</v>
      </c>
      <c r="M106" s="9">
        <v>0.0</v>
      </c>
      <c r="N106" s="9">
        <v>40.0</v>
      </c>
      <c r="O106" s="12">
        <v>45717.0</v>
      </c>
      <c r="P106" s="15"/>
      <c r="Q106" s="14"/>
      <c r="R106" s="14"/>
    </row>
    <row r="107">
      <c r="A107" s="9">
        <v>2.404120076E9</v>
      </c>
      <c r="B107" s="10" t="s">
        <v>19</v>
      </c>
      <c r="C107" s="11"/>
      <c r="D107" s="10" t="s">
        <v>70</v>
      </c>
      <c r="E107" s="11"/>
      <c r="F107" s="9">
        <v>6.0</v>
      </c>
      <c r="G107" s="9">
        <v>24.0</v>
      </c>
      <c r="H107" s="11"/>
      <c r="I107" s="11"/>
      <c r="J107" s="9">
        <v>6.0</v>
      </c>
      <c r="K107" s="9">
        <v>24.0</v>
      </c>
      <c r="L107" s="9">
        <v>0.0</v>
      </c>
      <c r="M107" s="9">
        <v>0.0</v>
      </c>
      <c r="N107" s="9">
        <v>24.0</v>
      </c>
      <c r="O107" s="12">
        <v>45717.0</v>
      </c>
      <c r="P107" s="15"/>
      <c r="Q107" s="14"/>
      <c r="R107" s="14"/>
    </row>
    <row r="108">
      <c r="A108" s="9">
        <v>2.404120076E9</v>
      </c>
      <c r="B108" s="10" t="s">
        <v>19</v>
      </c>
      <c r="C108" s="11"/>
      <c r="D108" s="10" t="s">
        <v>96</v>
      </c>
      <c r="E108" s="11"/>
      <c r="F108" s="9">
        <v>57.0</v>
      </c>
      <c r="G108" s="9">
        <v>275.0</v>
      </c>
      <c r="H108" s="11"/>
      <c r="I108" s="11"/>
      <c r="J108" s="9">
        <v>57.0</v>
      </c>
      <c r="K108" s="9">
        <v>275.0</v>
      </c>
      <c r="L108" s="9">
        <v>0.0</v>
      </c>
      <c r="M108" s="9">
        <v>0.0</v>
      </c>
      <c r="N108" s="9">
        <v>275.0</v>
      </c>
      <c r="O108" s="12">
        <v>45717.0</v>
      </c>
      <c r="P108" s="15"/>
      <c r="Q108" s="14"/>
      <c r="R108" s="14"/>
    </row>
    <row r="109">
      <c r="A109" s="9">
        <v>2.404120076E9</v>
      </c>
      <c r="B109" s="10" t="s">
        <v>19</v>
      </c>
      <c r="C109" s="11"/>
      <c r="D109" s="10" t="s">
        <v>71</v>
      </c>
      <c r="E109" s="11"/>
      <c r="F109" s="9">
        <v>341.0</v>
      </c>
      <c r="G109" s="9">
        <v>341.0</v>
      </c>
      <c r="H109" s="11"/>
      <c r="I109" s="11"/>
      <c r="J109" s="9">
        <v>341.0</v>
      </c>
      <c r="K109" s="9">
        <v>341.0</v>
      </c>
      <c r="L109" s="9">
        <v>0.0</v>
      </c>
      <c r="M109" s="9">
        <v>0.0</v>
      </c>
      <c r="N109" s="9">
        <v>341.0</v>
      </c>
      <c r="O109" s="12">
        <v>45717.0</v>
      </c>
      <c r="P109" s="15"/>
      <c r="Q109" s="14"/>
      <c r="R109" s="14"/>
    </row>
    <row r="110">
      <c r="A110" s="9">
        <v>2.404120076E9</v>
      </c>
      <c r="B110" s="10" t="s">
        <v>19</v>
      </c>
      <c r="C110" s="11"/>
      <c r="D110" s="10" t="s">
        <v>110</v>
      </c>
      <c r="E110" s="11"/>
      <c r="F110" s="9">
        <v>90.0</v>
      </c>
      <c r="G110" s="9">
        <v>90.0</v>
      </c>
      <c r="H110" s="11"/>
      <c r="I110" s="11"/>
      <c r="J110" s="9">
        <v>90.0</v>
      </c>
      <c r="K110" s="9">
        <v>90.0</v>
      </c>
      <c r="L110" s="9">
        <v>0.0</v>
      </c>
      <c r="M110" s="9">
        <v>0.0</v>
      </c>
      <c r="N110" s="9">
        <v>90.0</v>
      </c>
      <c r="O110" s="12">
        <v>45717.0</v>
      </c>
      <c r="P110" s="15"/>
      <c r="Q110" s="14"/>
      <c r="R110" s="14"/>
    </row>
    <row r="111">
      <c r="A111" s="9">
        <v>2.404120076E9</v>
      </c>
      <c r="B111" s="10" t="s">
        <v>19</v>
      </c>
      <c r="C111" s="11"/>
      <c r="D111" s="10" t="s">
        <v>72</v>
      </c>
      <c r="E111" s="11"/>
      <c r="F111" s="9">
        <v>93.0</v>
      </c>
      <c r="G111" s="9">
        <v>186.0</v>
      </c>
      <c r="H111" s="11"/>
      <c r="I111" s="11"/>
      <c r="J111" s="9">
        <v>93.0</v>
      </c>
      <c r="K111" s="9">
        <v>186.0</v>
      </c>
      <c r="L111" s="9">
        <v>0.0</v>
      </c>
      <c r="M111" s="9">
        <v>0.0</v>
      </c>
      <c r="N111" s="9">
        <v>186.0</v>
      </c>
      <c r="O111" s="12">
        <v>45717.0</v>
      </c>
      <c r="P111" s="15"/>
      <c r="Q111" s="14"/>
      <c r="R111" s="14"/>
    </row>
    <row r="112">
      <c r="A112" s="9">
        <v>2.404120076E9</v>
      </c>
      <c r="B112" s="10" t="s">
        <v>19</v>
      </c>
      <c r="C112" s="11"/>
      <c r="D112" s="10" t="s">
        <v>97</v>
      </c>
      <c r="E112" s="11"/>
      <c r="F112" s="9">
        <v>95.0</v>
      </c>
      <c r="G112" s="9">
        <v>475.0</v>
      </c>
      <c r="H112" s="11"/>
      <c r="I112" s="11"/>
      <c r="J112" s="9">
        <v>95.0</v>
      </c>
      <c r="K112" s="9">
        <v>475.0</v>
      </c>
      <c r="L112" s="9">
        <v>0.0</v>
      </c>
      <c r="M112" s="9">
        <v>0.0</v>
      </c>
      <c r="N112" s="9">
        <v>475.0</v>
      </c>
      <c r="O112" s="12">
        <v>45717.0</v>
      </c>
      <c r="P112" s="15"/>
      <c r="Q112" s="14"/>
      <c r="R112" s="14"/>
    </row>
    <row r="113">
      <c r="A113" s="9">
        <v>2.404120076E9</v>
      </c>
      <c r="B113" s="10" t="s">
        <v>19</v>
      </c>
      <c r="C113" s="11"/>
      <c r="D113" s="10" t="s">
        <v>73</v>
      </c>
      <c r="E113" s="11"/>
      <c r="F113" s="9">
        <v>26.0</v>
      </c>
      <c r="G113" s="9">
        <v>104.0</v>
      </c>
      <c r="H113" s="11"/>
      <c r="I113" s="11"/>
      <c r="J113" s="9">
        <v>26.0</v>
      </c>
      <c r="K113" s="9">
        <v>104.0</v>
      </c>
      <c r="L113" s="9">
        <v>0.0</v>
      </c>
      <c r="M113" s="9">
        <v>0.0</v>
      </c>
      <c r="N113" s="9">
        <v>104.0</v>
      </c>
      <c r="O113" s="12">
        <v>45717.0</v>
      </c>
      <c r="P113" s="15"/>
      <c r="Q113" s="14"/>
      <c r="R113" s="14"/>
    </row>
    <row r="114">
      <c r="A114" s="9">
        <v>2.404120076E9</v>
      </c>
      <c r="B114" s="10" t="s">
        <v>19</v>
      </c>
      <c r="C114" s="11"/>
      <c r="D114" s="10" t="s">
        <v>98</v>
      </c>
      <c r="E114" s="11"/>
      <c r="F114" s="9">
        <v>1.0</v>
      </c>
      <c r="G114" s="9">
        <v>3.0</v>
      </c>
      <c r="H114" s="11"/>
      <c r="I114" s="11"/>
      <c r="J114" s="9">
        <v>1.0</v>
      </c>
      <c r="K114" s="9">
        <v>3.0</v>
      </c>
      <c r="L114" s="9">
        <v>0.0</v>
      </c>
      <c r="M114" s="9">
        <v>0.0</v>
      </c>
      <c r="N114" s="9">
        <v>3.0</v>
      </c>
      <c r="O114" s="12">
        <v>45717.0</v>
      </c>
      <c r="P114" s="15"/>
      <c r="Q114" s="14"/>
      <c r="R114" s="14"/>
    </row>
    <row r="115">
      <c r="A115" s="9">
        <v>2.404120076E9</v>
      </c>
      <c r="B115" s="10" t="s">
        <v>19</v>
      </c>
      <c r="C115" s="11"/>
      <c r="D115" s="10" t="s">
        <v>99</v>
      </c>
      <c r="E115" s="11"/>
      <c r="F115" s="9">
        <v>60.0</v>
      </c>
      <c r="G115" s="9">
        <v>240.0</v>
      </c>
      <c r="H115" s="11"/>
      <c r="I115" s="11"/>
      <c r="J115" s="9">
        <v>60.0</v>
      </c>
      <c r="K115" s="9">
        <v>240.0</v>
      </c>
      <c r="L115" s="9">
        <v>0.0</v>
      </c>
      <c r="M115" s="9">
        <v>0.0</v>
      </c>
      <c r="N115" s="9">
        <v>240.0</v>
      </c>
      <c r="O115" s="12">
        <v>45717.0</v>
      </c>
      <c r="P115" s="15"/>
      <c r="Q115" s="14"/>
      <c r="R115" s="14"/>
    </row>
    <row r="116">
      <c r="A116" s="9">
        <v>2.404120076E9</v>
      </c>
      <c r="B116" s="10" t="s">
        <v>19</v>
      </c>
      <c r="C116" s="11"/>
      <c r="D116" s="10" t="s">
        <v>111</v>
      </c>
      <c r="E116" s="11"/>
      <c r="F116" s="9">
        <v>28.0</v>
      </c>
      <c r="G116" s="9">
        <v>100.0</v>
      </c>
      <c r="H116" s="11"/>
      <c r="I116" s="11"/>
      <c r="J116" s="9">
        <v>28.0</v>
      </c>
      <c r="K116" s="9">
        <v>100.0</v>
      </c>
      <c r="L116" s="9">
        <v>0.0</v>
      </c>
      <c r="M116" s="9">
        <v>0.0</v>
      </c>
      <c r="N116" s="9">
        <v>100.0</v>
      </c>
      <c r="O116" s="12">
        <v>45717.0</v>
      </c>
      <c r="P116" s="15"/>
      <c r="Q116" s="14"/>
      <c r="R116" s="14"/>
    </row>
    <row r="117">
      <c r="A117" s="9">
        <v>2.404120076E9</v>
      </c>
      <c r="B117" s="10" t="s">
        <v>19</v>
      </c>
      <c r="C117" s="11"/>
      <c r="D117" s="10" t="s">
        <v>74</v>
      </c>
      <c r="E117" s="11"/>
      <c r="F117" s="9">
        <v>600.0</v>
      </c>
      <c r="G117" s="9">
        <v>600.0</v>
      </c>
      <c r="H117" s="11"/>
      <c r="I117" s="11"/>
      <c r="J117" s="9">
        <v>600.0</v>
      </c>
      <c r="K117" s="9">
        <v>600.0</v>
      </c>
      <c r="L117" s="9">
        <v>0.0</v>
      </c>
      <c r="M117" s="9">
        <v>0.0</v>
      </c>
      <c r="N117" s="9">
        <v>600.0</v>
      </c>
      <c r="O117" s="12">
        <v>45717.0</v>
      </c>
      <c r="P117" s="15"/>
      <c r="Q117" s="14"/>
      <c r="R117" s="14"/>
    </row>
    <row r="118">
      <c r="A118" s="9">
        <v>2.404120076E9</v>
      </c>
      <c r="B118" s="10" t="s">
        <v>19</v>
      </c>
      <c r="C118" s="11"/>
      <c r="D118" s="10" t="s">
        <v>112</v>
      </c>
      <c r="E118" s="11"/>
      <c r="F118" s="9">
        <v>7.0</v>
      </c>
      <c r="G118" s="9">
        <v>28.0</v>
      </c>
      <c r="H118" s="11"/>
      <c r="I118" s="11"/>
      <c r="J118" s="9">
        <v>7.0</v>
      </c>
      <c r="K118" s="9">
        <v>28.0</v>
      </c>
      <c r="L118" s="9">
        <v>0.0</v>
      </c>
      <c r="M118" s="9">
        <v>0.0</v>
      </c>
      <c r="N118" s="9">
        <v>28.0</v>
      </c>
      <c r="O118" s="12">
        <v>45717.0</v>
      </c>
      <c r="P118" s="15"/>
      <c r="Q118" s="14"/>
      <c r="R118" s="14"/>
    </row>
    <row r="119">
      <c r="A119" s="9">
        <v>2.404120076E9</v>
      </c>
      <c r="B119" s="10" t="s">
        <v>19</v>
      </c>
      <c r="C119" s="11"/>
      <c r="D119" s="10" t="s">
        <v>100</v>
      </c>
      <c r="E119" s="11"/>
      <c r="F119" s="9">
        <v>24.0</v>
      </c>
      <c r="G119" s="9">
        <v>72.0</v>
      </c>
      <c r="H119" s="11"/>
      <c r="I119" s="11"/>
      <c r="J119" s="9">
        <v>24.0</v>
      </c>
      <c r="K119" s="9">
        <v>72.0</v>
      </c>
      <c r="L119" s="9">
        <v>0.0</v>
      </c>
      <c r="M119" s="9">
        <v>0.0</v>
      </c>
      <c r="N119" s="9">
        <v>72.0</v>
      </c>
      <c r="O119" s="12">
        <v>45717.0</v>
      </c>
      <c r="P119" s="15"/>
      <c r="Q119" s="14"/>
      <c r="R119" s="14"/>
    </row>
    <row r="120">
      <c r="A120" s="9">
        <v>2.404120076E9</v>
      </c>
      <c r="B120" s="10" t="s">
        <v>19</v>
      </c>
      <c r="C120" s="11"/>
      <c r="D120" s="10" t="s">
        <v>76</v>
      </c>
      <c r="E120" s="11"/>
      <c r="F120" s="9">
        <v>30.0</v>
      </c>
      <c r="G120" s="9">
        <v>172.0</v>
      </c>
      <c r="H120" s="11"/>
      <c r="I120" s="11"/>
      <c r="J120" s="9">
        <v>30.0</v>
      </c>
      <c r="K120" s="9">
        <v>172.0</v>
      </c>
      <c r="L120" s="9">
        <v>0.0</v>
      </c>
      <c r="M120" s="9">
        <v>0.0</v>
      </c>
      <c r="N120" s="9">
        <v>172.0</v>
      </c>
      <c r="O120" s="12">
        <v>45717.0</v>
      </c>
      <c r="P120" s="15"/>
      <c r="Q120" s="14"/>
      <c r="R120" s="14"/>
    </row>
    <row r="121">
      <c r="A121" s="9">
        <v>2.404120076E9</v>
      </c>
      <c r="B121" s="10" t="s">
        <v>19</v>
      </c>
      <c r="C121" s="11"/>
      <c r="D121" s="10" t="s">
        <v>78</v>
      </c>
      <c r="E121" s="11"/>
      <c r="F121" s="9">
        <v>21.0</v>
      </c>
      <c r="G121" s="9">
        <v>105.0</v>
      </c>
      <c r="H121" s="11"/>
      <c r="I121" s="11"/>
      <c r="J121" s="9">
        <v>21.0</v>
      </c>
      <c r="K121" s="9">
        <v>105.0</v>
      </c>
      <c r="L121" s="9">
        <v>0.0</v>
      </c>
      <c r="M121" s="9">
        <v>0.0</v>
      </c>
      <c r="N121" s="9">
        <v>105.0</v>
      </c>
      <c r="O121" s="12">
        <v>45717.0</v>
      </c>
      <c r="P121" s="15"/>
      <c r="Q121" s="14"/>
      <c r="R121" s="14"/>
    </row>
    <row r="122">
      <c r="A122" s="9">
        <v>2.404120076E9</v>
      </c>
      <c r="B122" s="10" t="s">
        <v>19</v>
      </c>
      <c r="C122" s="11"/>
      <c r="D122" s="10" t="s">
        <v>79</v>
      </c>
      <c r="E122" s="11"/>
      <c r="F122" s="9">
        <v>35.0</v>
      </c>
      <c r="G122" s="9">
        <v>105.0</v>
      </c>
      <c r="H122" s="11"/>
      <c r="I122" s="11"/>
      <c r="J122" s="9">
        <v>35.0</v>
      </c>
      <c r="K122" s="9">
        <v>105.0</v>
      </c>
      <c r="L122" s="9">
        <v>0.0</v>
      </c>
      <c r="M122" s="9">
        <v>0.0</v>
      </c>
      <c r="N122" s="9">
        <v>105.0</v>
      </c>
      <c r="O122" s="12">
        <v>45717.0</v>
      </c>
      <c r="P122" s="15"/>
      <c r="Q122" s="14"/>
      <c r="R122" s="14"/>
    </row>
    <row r="123">
      <c r="A123" s="9">
        <v>2.404120076E9</v>
      </c>
      <c r="B123" s="10" t="s">
        <v>19</v>
      </c>
      <c r="C123" s="11"/>
      <c r="D123" s="10" t="s">
        <v>101</v>
      </c>
      <c r="E123" s="11"/>
      <c r="F123" s="9">
        <v>11.0</v>
      </c>
      <c r="G123" s="9">
        <v>66.0</v>
      </c>
      <c r="H123" s="11"/>
      <c r="I123" s="11"/>
      <c r="J123" s="9">
        <v>11.0</v>
      </c>
      <c r="K123" s="9">
        <v>66.0</v>
      </c>
      <c r="L123" s="9">
        <v>0.0</v>
      </c>
      <c r="M123" s="9">
        <v>0.0</v>
      </c>
      <c r="N123" s="9">
        <v>66.0</v>
      </c>
      <c r="O123" s="12">
        <v>45717.0</v>
      </c>
      <c r="P123" s="15"/>
      <c r="Q123" s="14"/>
      <c r="R123" s="14"/>
    </row>
    <row r="124">
      <c r="A124" s="9">
        <v>2.404120076E9</v>
      </c>
      <c r="B124" s="10" t="s">
        <v>19</v>
      </c>
      <c r="C124" s="11"/>
      <c r="D124" s="10" t="s">
        <v>102</v>
      </c>
      <c r="E124" s="11"/>
      <c r="F124" s="9">
        <v>48.0</v>
      </c>
      <c r="G124" s="9">
        <v>144.0</v>
      </c>
      <c r="H124" s="11"/>
      <c r="I124" s="11"/>
      <c r="J124" s="9">
        <v>48.0</v>
      </c>
      <c r="K124" s="9">
        <v>144.0</v>
      </c>
      <c r="L124" s="9">
        <v>0.0</v>
      </c>
      <c r="M124" s="9">
        <v>0.0</v>
      </c>
      <c r="N124" s="9">
        <v>144.0</v>
      </c>
      <c r="O124" s="12">
        <v>45717.0</v>
      </c>
      <c r="P124" s="15"/>
      <c r="Q124" s="14"/>
      <c r="R124" s="14"/>
    </row>
    <row r="125">
      <c r="A125" s="9">
        <v>2.404120076E9</v>
      </c>
      <c r="B125" s="10" t="s">
        <v>19</v>
      </c>
      <c r="C125" s="11"/>
      <c r="D125" s="10" t="s">
        <v>113</v>
      </c>
      <c r="E125" s="11"/>
      <c r="F125" s="9">
        <v>23.0</v>
      </c>
      <c r="G125" s="9">
        <v>79.0</v>
      </c>
      <c r="H125" s="11"/>
      <c r="I125" s="11"/>
      <c r="J125" s="9">
        <v>23.0</v>
      </c>
      <c r="K125" s="9">
        <v>79.0</v>
      </c>
      <c r="L125" s="9">
        <v>0.0</v>
      </c>
      <c r="M125" s="9">
        <v>0.0</v>
      </c>
      <c r="N125" s="9">
        <v>79.0</v>
      </c>
      <c r="O125" s="12">
        <v>45717.0</v>
      </c>
      <c r="P125" s="15"/>
      <c r="Q125" s="14"/>
      <c r="R125" s="14"/>
    </row>
    <row r="126">
      <c r="A126" s="9">
        <v>2.404120076E9</v>
      </c>
      <c r="B126" s="10" t="s">
        <v>19</v>
      </c>
      <c r="C126" s="11"/>
      <c r="D126" s="10" t="s">
        <v>114</v>
      </c>
      <c r="E126" s="11"/>
      <c r="F126" s="9">
        <v>44.0</v>
      </c>
      <c r="G126" s="9">
        <v>140.0</v>
      </c>
      <c r="H126" s="11"/>
      <c r="I126" s="11"/>
      <c r="J126" s="9">
        <v>44.0</v>
      </c>
      <c r="K126" s="9">
        <v>140.0</v>
      </c>
      <c r="L126" s="9">
        <v>0.0</v>
      </c>
      <c r="M126" s="9">
        <v>0.0</v>
      </c>
      <c r="N126" s="9">
        <v>140.0</v>
      </c>
      <c r="O126" s="12">
        <v>45717.0</v>
      </c>
      <c r="P126" s="15"/>
      <c r="Q126" s="14"/>
      <c r="R126" s="14"/>
    </row>
    <row r="127">
      <c r="A127" s="9">
        <v>2.404120076E9</v>
      </c>
      <c r="B127" s="10" t="s">
        <v>19</v>
      </c>
      <c r="C127" s="11"/>
      <c r="D127" s="10" t="s">
        <v>103</v>
      </c>
      <c r="E127" s="11"/>
      <c r="F127" s="9">
        <v>45.0</v>
      </c>
      <c r="G127" s="9">
        <v>180.0</v>
      </c>
      <c r="H127" s="11"/>
      <c r="I127" s="11"/>
      <c r="J127" s="9">
        <v>45.0</v>
      </c>
      <c r="K127" s="9">
        <v>180.0</v>
      </c>
      <c r="L127" s="9">
        <v>0.0</v>
      </c>
      <c r="M127" s="9">
        <v>0.0</v>
      </c>
      <c r="N127" s="9">
        <v>180.0</v>
      </c>
      <c r="O127" s="12">
        <v>45717.0</v>
      </c>
      <c r="P127" s="15"/>
      <c r="Q127" s="14"/>
      <c r="R127" s="14"/>
    </row>
    <row r="128">
      <c r="A128" s="9">
        <v>2.404120076E9</v>
      </c>
      <c r="B128" s="10" t="s">
        <v>19</v>
      </c>
      <c r="C128" s="11"/>
      <c r="D128" s="10" t="s">
        <v>115</v>
      </c>
      <c r="E128" s="11"/>
      <c r="F128" s="9">
        <v>302.0</v>
      </c>
      <c r="G128" s="9">
        <v>1203.0</v>
      </c>
      <c r="H128" s="11"/>
      <c r="I128" s="11"/>
      <c r="J128" s="9">
        <v>302.0</v>
      </c>
      <c r="K128" s="9">
        <v>1203.0</v>
      </c>
      <c r="L128" s="9">
        <v>0.0</v>
      </c>
      <c r="M128" s="9">
        <v>0.0</v>
      </c>
      <c r="N128" s="9">
        <v>1203.0</v>
      </c>
      <c r="O128" s="12">
        <v>45717.0</v>
      </c>
      <c r="P128" s="15"/>
      <c r="Q128" s="14"/>
      <c r="R128" s="14"/>
    </row>
    <row r="129">
      <c r="A129" s="9">
        <v>2.404120076E9</v>
      </c>
      <c r="B129" s="10" t="s">
        <v>19</v>
      </c>
      <c r="C129" s="11"/>
      <c r="D129" s="10" t="s">
        <v>104</v>
      </c>
      <c r="E129" s="11"/>
      <c r="F129" s="9">
        <v>8.0</v>
      </c>
      <c r="G129" s="9">
        <v>96.0</v>
      </c>
      <c r="H129" s="11"/>
      <c r="I129" s="11"/>
      <c r="J129" s="9">
        <v>8.0</v>
      </c>
      <c r="K129" s="9">
        <v>96.0</v>
      </c>
      <c r="L129" s="9">
        <v>0.0</v>
      </c>
      <c r="M129" s="9">
        <v>0.0</v>
      </c>
      <c r="N129" s="9">
        <v>96.0</v>
      </c>
      <c r="O129" s="12">
        <v>45717.0</v>
      </c>
      <c r="P129" s="15"/>
      <c r="Q129" s="14"/>
      <c r="R129" s="14"/>
    </row>
    <row r="130">
      <c r="A130" s="9">
        <v>2.404120076E9</v>
      </c>
      <c r="B130" s="10" t="s">
        <v>19</v>
      </c>
      <c r="C130" s="11"/>
      <c r="D130" s="10" t="s">
        <v>116</v>
      </c>
      <c r="E130" s="11"/>
      <c r="F130" s="9">
        <v>10.0</v>
      </c>
      <c r="G130" s="9">
        <v>50.0</v>
      </c>
      <c r="H130" s="11"/>
      <c r="I130" s="11"/>
      <c r="J130" s="9">
        <v>10.0</v>
      </c>
      <c r="K130" s="9">
        <v>50.0</v>
      </c>
      <c r="L130" s="9">
        <v>0.0</v>
      </c>
      <c r="M130" s="9">
        <v>0.0</v>
      </c>
      <c r="N130" s="9">
        <v>50.0</v>
      </c>
      <c r="O130" s="12">
        <v>45717.0</v>
      </c>
      <c r="P130" s="15"/>
      <c r="Q130" s="14"/>
      <c r="R130" s="14"/>
    </row>
    <row r="131">
      <c r="A131" s="9">
        <v>2.404120076E9</v>
      </c>
      <c r="B131" s="10" t="s">
        <v>19</v>
      </c>
      <c r="C131" s="11"/>
      <c r="D131" s="10" t="s">
        <v>117</v>
      </c>
      <c r="E131" s="11"/>
      <c r="F131" s="9">
        <v>1.0</v>
      </c>
      <c r="G131" s="9">
        <v>6.0</v>
      </c>
      <c r="H131" s="11"/>
      <c r="I131" s="11"/>
      <c r="J131" s="9">
        <v>1.0</v>
      </c>
      <c r="K131" s="9">
        <v>6.0</v>
      </c>
      <c r="L131" s="9">
        <v>0.0</v>
      </c>
      <c r="M131" s="9">
        <v>0.0</v>
      </c>
      <c r="N131" s="9">
        <v>6.0</v>
      </c>
      <c r="O131" s="12">
        <v>45717.0</v>
      </c>
      <c r="P131" s="15"/>
      <c r="Q131" s="14"/>
      <c r="R131" s="14"/>
    </row>
    <row r="132">
      <c r="A132" s="9">
        <v>2.404120076E9</v>
      </c>
      <c r="B132" s="10" t="s">
        <v>19</v>
      </c>
      <c r="C132" s="11"/>
      <c r="D132" s="10" t="s">
        <v>118</v>
      </c>
      <c r="E132" s="11"/>
      <c r="F132" s="9">
        <v>6.0</v>
      </c>
      <c r="G132" s="9">
        <v>24.0</v>
      </c>
      <c r="H132" s="11"/>
      <c r="I132" s="11"/>
      <c r="J132" s="9">
        <v>6.0</v>
      </c>
      <c r="K132" s="9">
        <v>24.0</v>
      </c>
      <c r="L132" s="9">
        <v>0.0</v>
      </c>
      <c r="M132" s="9">
        <v>0.0</v>
      </c>
      <c r="N132" s="9">
        <v>24.0</v>
      </c>
      <c r="O132" s="12">
        <v>45717.0</v>
      </c>
      <c r="P132" s="15"/>
      <c r="Q132" s="14"/>
      <c r="R132" s="14"/>
    </row>
    <row r="133">
      <c r="A133" s="9">
        <v>2.404120076E9</v>
      </c>
      <c r="B133" s="10" t="s">
        <v>19</v>
      </c>
      <c r="C133" s="11"/>
      <c r="D133" s="10" t="s">
        <v>105</v>
      </c>
      <c r="E133" s="11"/>
      <c r="F133" s="9">
        <v>33.0</v>
      </c>
      <c r="G133" s="9">
        <v>195.0</v>
      </c>
      <c r="H133" s="11"/>
      <c r="I133" s="11"/>
      <c r="J133" s="9">
        <v>33.0</v>
      </c>
      <c r="K133" s="9">
        <v>195.0</v>
      </c>
      <c r="L133" s="9">
        <v>0.0</v>
      </c>
      <c r="M133" s="9">
        <v>0.0</v>
      </c>
      <c r="N133" s="9">
        <v>195.0</v>
      </c>
      <c r="O133" s="12">
        <v>45717.0</v>
      </c>
      <c r="P133" s="15"/>
      <c r="Q133" s="14"/>
      <c r="R133" s="14"/>
    </row>
    <row r="134">
      <c r="A134" s="9">
        <v>2.404120076E9</v>
      </c>
      <c r="B134" s="10" t="s">
        <v>19</v>
      </c>
      <c r="C134" s="11"/>
      <c r="D134" s="10" t="s">
        <v>106</v>
      </c>
      <c r="E134" s="11"/>
      <c r="F134" s="9">
        <v>10.0</v>
      </c>
      <c r="G134" s="9">
        <v>20.0</v>
      </c>
      <c r="H134" s="11"/>
      <c r="I134" s="11"/>
      <c r="J134" s="9">
        <v>10.0</v>
      </c>
      <c r="K134" s="9">
        <v>20.0</v>
      </c>
      <c r="L134" s="9">
        <v>0.0</v>
      </c>
      <c r="M134" s="9">
        <v>0.0</v>
      </c>
      <c r="N134" s="9">
        <v>20.0</v>
      </c>
      <c r="O134" s="12">
        <v>45717.0</v>
      </c>
      <c r="P134" s="15"/>
      <c r="Q134" s="14"/>
      <c r="R134" s="14"/>
    </row>
    <row r="135">
      <c r="A135" s="9">
        <v>2.404120076E9</v>
      </c>
      <c r="B135" s="10" t="s">
        <v>19</v>
      </c>
      <c r="C135" s="11"/>
      <c r="D135" s="10" t="s">
        <v>81</v>
      </c>
      <c r="E135" s="11"/>
      <c r="F135" s="9">
        <v>76.0</v>
      </c>
      <c r="G135" s="9">
        <v>152.0</v>
      </c>
      <c r="H135" s="11"/>
      <c r="I135" s="11"/>
      <c r="J135" s="9">
        <v>76.0</v>
      </c>
      <c r="K135" s="9">
        <v>152.0</v>
      </c>
      <c r="L135" s="9">
        <v>0.0</v>
      </c>
      <c r="M135" s="9">
        <v>0.0</v>
      </c>
      <c r="N135" s="9">
        <v>152.0</v>
      </c>
      <c r="O135" s="12">
        <v>45717.0</v>
      </c>
      <c r="P135" s="15"/>
      <c r="Q135" s="14"/>
      <c r="R135" s="14"/>
    </row>
    <row r="136">
      <c r="A136" s="9">
        <v>2.404120076E9</v>
      </c>
      <c r="B136" s="10" t="s">
        <v>19</v>
      </c>
      <c r="C136" s="11"/>
      <c r="D136" s="10" t="s">
        <v>107</v>
      </c>
      <c r="E136" s="11"/>
      <c r="F136" s="9">
        <v>5.0</v>
      </c>
      <c r="G136" s="9">
        <v>15.0</v>
      </c>
      <c r="H136" s="11"/>
      <c r="I136" s="11"/>
      <c r="J136" s="9">
        <v>5.0</v>
      </c>
      <c r="K136" s="9">
        <v>15.0</v>
      </c>
      <c r="L136" s="9">
        <v>0.0</v>
      </c>
      <c r="M136" s="9">
        <v>0.0</v>
      </c>
      <c r="N136" s="9">
        <v>15.0</v>
      </c>
      <c r="O136" s="12">
        <v>45717.0</v>
      </c>
      <c r="P136" s="15"/>
      <c r="Q136" s="14"/>
      <c r="R136" s="14"/>
    </row>
    <row r="137">
      <c r="A137" s="9">
        <v>2.404120076E9</v>
      </c>
      <c r="B137" s="10" t="s">
        <v>19</v>
      </c>
      <c r="C137" s="11"/>
      <c r="D137" s="10" t="s">
        <v>86</v>
      </c>
      <c r="E137" s="11"/>
      <c r="F137" s="9">
        <v>177.0</v>
      </c>
      <c r="G137" s="9">
        <v>708.0</v>
      </c>
      <c r="H137" s="11"/>
      <c r="I137" s="11"/>
      <c r="J137" s="9">
        <v>177.0</v>
      </c>
      <c r="K137" s="9">
        <v>708.0</v>
      </c>
      <c r="L137" s="9">
        <v>0.0</v>
      </c>
      <c r="M137" s="9">
        <v>0.0</v>
      </c>
      <c r="N137" s="9">
        <v>708.0</v>
      </c>
      <c r="O137" s="12">
        <v>45717.0</v>
      </c>
      <c r="P137" s="15"/>
      <c r="Q137" s="14"/>
      <c r="R137" s="14"/>
    </row>
    <row r="138">
      <c r="A138" s="9">
        <v>2.404120076E9</v>
      </c>
      <c r="B138" s="10" t="s">
        <v>19</v>
      </c>
      <c r="C138" s="11"/>
      <c r="D138" s="10" t="s">
        <v>108</v>
      </c>
      <c r="E138" s="11"/>
      <c r="F138" s="9">
        <v>8.0</v>
      </c>
      <c r="G138" s="9">
        <v>24.0</v>
      </c>
      <c r="H138" s="11"/>
      <c r="I138" s="11"/>
      <c r="J138" s="9">
        <v>8.0</v>
      </c>
      <c r="K138" s="9">
        <v>24.0</v>
      </c>
      <c r="L138" s="9">
        <v>0.0</v>
      </c>
      <c r="M138" s="9">
        <v>0.0</v>
      </c>
      <c r="N138" s="9">
        <v>24.0</v>
      </c>
      <c r="O138" s="12">
        <v>45717.0</v>
      </c>
      <c r="P138" s="15"/>
      <c r="Q138" s="14"/>
      <c r="R138" s="14"/>
    </row>
    <row r="139">
      <c r="A139" s="9">
        <v>2.404120076E9</v>
      </c>
      <c r="B139" s="10" t="s">
        <v>19</v>
      </c>
      <c r="C139" s="11"/>
      <c r="D139" s="10" t="s">
        <v>119</v>
      </c>
      <c r="E139" s="11"/>
      <c r="F139" s="9">
        <v>44.0</v>
      </c>
      <c r="G139" s="9">
        <v>176.0</v>
      </c>
      <c r="H139" s="11"/>
      <c r="I139" s="11"/>
      <c r="J139" s="9">
        <v>44.0</v>
      </c>
      <c r="K139" s="9">
        <v>176.0</v>
      </c>
      <c r="L139" s="9">
        <v>0.0</v>
      </c>
      <c r="M139" s="9">
        <v>0.0</v>
      </c>
      <c r="N139" s="9">
        <v>176.0</v>
      </c>
      <c r="O139" s="12">
        <v>45717.0</v>
      </c>
      <c r="P139" s="15"/>
      <c r="Q139" s="14"/>
      <c r="R139" s="14"/>
    </row>
    <row r="140">
      <c r="A140" s="11"/>
      <c r="B140" s="16"/>
      <c r="C140" s="11"/>
      <c r="D140" s="11"/>
      <c r="E140" s="11"/>
      <c r="F140" s="11"/>
      <c r="G140" s="11"/>
      <c r="H140" s="11"/>
      <c r="I140" s="11"/>
      <c r="J140" s="9">
        <v>0.0</v>
      </c>
      <c r="K140" s="9">
        <v>0.0</v>
      </c>
      <c r="L140" s="9">
        <v>0.0</v>
      </c>
      <c r="M140" s="9">
        <v>0.0</v>
      </c>
      <c r="N140" s="9">
        <v>0.0</v>
      </c>
      <c r="O140" s="17"/>
      <c r="P140" s="15"/>
      <c r="Q140" s="14"/>
      <c r="R140" s="14"/>
    </row>
    <row r="141">
      <c r="A141" s="11"/>
      <c r="B141" s="16"/>
      <c r="C141" s="11"/>
      <c r="D141" s="11"/>
      <c r="E141" s="11"/>
      <c r="F141" s="11"/>
      <c r="G141" s="11"/>
      <c r="H141" s="11"/>
      <c r="I141" s="11"/>
      <c r="J141" s="9">
        <v>0.0</v>
      </c>
      <c r="K141" s="9">
        <v>0.0</v>
      </c>
      <c r="L141" s="9">
        <v>0.0</v>
      </c>
      <c r="M141" s="9">
        <v>0.0</v>
      </c>
      <c r="N141" s="9">
        <v>0.0</v>
      </c>
      <c r="O141" s="17"/>
      <c r="P141" s="15"/>
      <c r="Q141" s="14"/>
      <c r="R141" s="14"/>
    </row>
    <row r="142">
      <c r="A142" s="11"/>
      <c r="B142" s="16"/>
      <c r="C142" s="11"/>
      <c r="D142" s="11"/>
      <c r="E142" s="11"/>
      <c r="F142" s="11"/>
      <c r="G142" s="11"/>
      <c r="H142" s="11"/>
      <c r="I142" s="11"/>
      <c r="J142" s="9">
        <v>0.0</v>
      </c>
      <c r="K142" s="9">
        <v>0.0</v>
      </c>
      <c r="L142" s="9">
        <v>0.0</v>
      </c>
      <c r="M142" s="9">
        <v>0.0</v>
      </c>
      <c r="N142" s="9">
        <v>0.0</v>
      </c>
      <c r="O142" s="17"/>
      <c r="P142" s="15"/>
      <c r="Q142" s="14"/>
      <c r="R142" s="14"/>
    </row>
    <row r="143">
      <c r="A143" s="11"/>
      <c r="B143" s="16"/>
      <c r="C143" s="11"/>
      <c r="D143" s="11"/>
      <c r="E143" s="11"/>
      <c r="F143" s="11"/>
      <c r="G143" s="11"/>
      <c r="H143" s="11"/>
      <c r="I143" s="11"/>
      <c r="J143" s="9">
        <v>0.0</v>
      </c>
      <c r="K143" s="9">
        <v>0.0</v>
      </c>
      <c r="L143" s="9">
        <v>0.0</v>
      </c>
      <c r="M143" s="9">
        <v>0.0</v>
      </c>
      <c r="N143" s="9">
        <v>0.0</v>
      </c>
      <c r="O143" s="17"/>
      <c r="P143" s="15"/>
      <c r="Q143" s="14"/>
      <c r="R143" s="14"/>
    </row>
    <row r="144">
      <c r="A144" s="11"/>
      <c r="B144" s="16"/>
      <c r="C144" s="11"/>
      <c r="D144" s="11"/>
      <c r="E144" s="11"/>
      <c r="F144" s="11"/>
      <c r="G144" s="11"/>
      <c r="H144" s="11"/>
      <c r="I144" s="11"/>
      <c r="J144" s="9">
        <v>0.0</v>
      </c>
      <c r="K144" s="9">
        <v>0.0</v>
      </c>
      <c r="L144" s="9">
        <v>0.0</v>
      </c>
      <c r="M144" s="9">
        <v>0.0</v>
      </c>
      <c r="N144" s="9">
        <v>0.0</v>
      </c>
      <c r="O144" s="17"/>
      <c r="P144" s="15"/>
      <c r="Q144" s="14"/>
      <c r="R144" s="14"/>
    </row>
    <row r="145">
      <c r="A145" s="9">
        <v>2.404120076E9</v>
      </c>
      <c r="B145" s="10" t="s">
        <v>19</v>
      </c>
      <c r="C145" s="11"/>
      <c r="D145" s="10" t="s">
        <v>53</v>
      </c>
      <c r="E145" s="11"/>
      <c r="F145" s="9">
        <v>9.0</v>
      </c>
      <c r="G145" s="9">
        <v>165.0</v>
      </c>
      <c r="H145" s="11"/>
      <c r="I145" s="11"/>
      <c r="J145" s="9">
        <v>9.0</v>
      </c>
      <c r="K145" s="9">
        <v>165.0</v>
      </c>
      <c r="L145" s="9">
        <v>0.0</v>
      </c>
      <c r="M145" s="9">
        <v>0.0</v>
      </c>
      <c r="N145" s="9">
        <v>165.0</v>
      </c>
      <c r="O145" s="12">
        <v>45748.0</v>
      </c>
      <c r="P145" s="13">
        <v>45748.0</v>
      </c>
      <c r="Q145" s="14"/>
      <c r="R145" s="14"/>
    </row>
    <row r="146">
      <c r="A146" s="9">
        <v>2.404120076E9</v>
      </c>
      <c r="B146" s="10" t="s">
        <v>19</v>
      </c>
      <c r="C146" s="11"/>
      <c r="D146" s="10" t="s">
        <v>89</v>
      </c>
      <c r="E146" s="11"/>
      <c r="F146" s="9">
        <v>57.0</v>
      </c>
      <c r="G146" s="9">
        <v>208.0</v>
      </c>
      <c r="H146" s="11"/>
      <c r="I146" s="11"/>
      <c r="J146" s="9">
        <v>57.0</v>
      </c>
      <c r="K146" s="9">
        <v>208.0</v>
      </c>
      <c r="L146" s="9">
        <v>0.0</v>
      </c>
      <c r="M146" s="9">
        <v>0.0</v>
      </c>
      <c r="N146" s="9">
        <v>208.0</v>
      </c>
      <c r="O146" s="12">
        <v>45748.0</v>
      </c>
      <c r="P146" s="15"/>
      <c r="Q146" s="14"/>
      <c r="R146" s="14"/>
    </row>
    <row r="147">
      <c r="A147" s="9">
        <v>2.404120076E9</v>
      </c>
      <c r="B147" s="10" t="s">
        <v>19</v>
      </c>
      <c r="C147" s="11"/>
      <c r="D147" s="10" t="s">
        <v>54</v>
      </c>
      <c r="E147" s="11"/>
      <c r="F147" s="9">
        <v>109.0</v>
      </c>
      <c r="G147" s="9">
        <v>511.0</v>
      </c>
      <c r="H147" s="11"/>
      <c r="I147" s="11"/>
      <c r="J147" s="9">
        <v>109.0</v>
      </c>
      <c r="K147" s="9">
        <v>511.0</v>
      </c>
      <c r="L147" s="9">
        <v>0.0</v>
      </c>
      <c r="M147" s="9">
        <v>0.0</v>
      </c>
      <c r="N147" s="9">
        <v>511.0</v>
      </c>
      <c r="O147" s="12">
        <v>45748.0</v>
      </c>
      <c r="P147" s="15"/>
      <c r="Q147" s="14"/>
      <c r="R147" s="14"/>
    </row>
    <row r="148">
      <c r="A148" s="9">
        <v>2.404120076E9</v>
      </c>
      <c r="B148" s="10" t="s">
        <v>19</v>
      </c>
      <c r="C148" s="11"/>
      <c r="D148" s="10" t="s">
        <v>55</v>
      </c>
      <c r="E148" s="11"/>
      <c r="F148" s="9">
        <v>106.0</v>
      </c>
      <c r="G148" s="9">
        <v>212.0</v>
      </c>
      <c r="H148" s="11"/>
      <c r="I148" s="11"/>
      <c r="J148" s="9">
        <v>106.0</v>
      </c>
      <c r="K148" s="9">
        <v>212.0</v>
      </c>
      <c r="L148" s="9">
        <v>0.0</v>
      </c>
      <c r="M148" s="9">
        <v>0.0</v>
      </c>
      <c r="N148" s="9">
        <v>212.0</v>
      </c>
      <c r="O148" s="12">
        <v>45748.0</v>
      </c>
      <c r="P148" s="15"/>
      <c r="Q148" s="14"/>
      <c r="R148" s="14"/>
    </row>
    <row r="149">
      <c r="A149" s="9">
        <v>2.404120076E9</v>
      </c>
      <c r="B149" s="10" t="s">
        <v>19</v>
      </c>
      <c r="C149" s="11"/>
      <c r="D149" s="10" t="s">
        <v>92</v>
      </c>
      <c r="E149" s="11"/>
      <c r="F149" s="9">
        <v>22.0</v>
      </c>
      <c r="G149" s="9">
        <v>110.0</v>
      </c>
      <c r="H149" s="11"/>
      <c r="I149" s="11"/>
      <c r="J149" s="9">
        <v>22.0</v>
      </c>
      <c r="K149" s="9">
        <v>110.0</v>
      </c>
      <c r="L149" s="9">
        <v>0.0</v>
      </c>
      <c r="M149" s="9">
        <v>0.0</v>
      </c>
      <c r="N149" s="9">
        <v>110.0</v>
      </c>
      <c r="O149" s="12">
        <v>45748.0</v>
      </c>
      <c r="P149" s="15"/>
      <c r="Q149" s="14"/>
      <c r="R149" s="14"/>
    </row>
    <row r="150">
      <c r="A150" s="9">
        <v>2.404120076E9</v>
      </c>
      <c r="B150" s="10" t="s">
        <v>19</v>
      </c>
      <c r="C150" s="11"/>
      <c r="D150" s="10" t="s">
        <v>109</v>
      </c>
      <c r="E150" s="11"/>
      <c r="F150" s="9">
        <v>499.0</v>
      </c>
      <c r="G150" s="9">
        <v>2294.0</v>
      </c>
      <c r="H150" s="11"/>
      <c r="I150" s="11"/>
      <c r="J150" s="9">
        <v>499.0</v>
      </c>
      <c r="K150" s="9">
        <v>2294.0</v>
      </c>
      <c r="L150" s="9">
        <v>0.0</v>
      </c>
      <c r="M150" s="9">
        <v>0.0</v>
      </c>
      <c r="N150" s="9">
        <v>2294.0</v>
      </c>
      <c r="O150" s="12">
        <v>45748.0</v>
      </c>
      <c r="P150" s="15"/>
      <c r="Q150" s="14"/>
      <c r="R150" s="14"/>
    </row>
    <row r="151">
      <c r="A151" s="9">
        <v>2.404120076E9</v>
      </c>
      <c r="B151" s="10" t="s">
        <v>19</v>
      </c>
      <c r="C151" s="11"/>
      <c r="D151" s="10" t="s">
        <v>93</v>
      </c>
      <c r="E151" s="11"/>
      <c r="F151" s="9">
        <v>566.0</v>
      </c>
      <c r="G151" s="9">
        <v>566.0</v>
      </c>
      <c r="H151" s="11"/>
      <c r="I151" s="11"/>
      <c r="J151" s="9">
        <v>566.0</v>
      </c>
      <c r="K151" s="9">
        <v>566.0</v>
      </c>
      <c r="L151" s="9">
        <v>0.0</v>
      </c>
      <c r="M151" s="9">
        <v>0.0</v>
      </c>
      <c r="N151" s="9">
        <v>566.0</v>
      </c>
      <c r="O151" s="12">
        <v>45748.0</v>
      </c>
      <c r="P151" s="15"/>
      <c r="Q151" s="14"/>
      <c r="R151" s="14"/>
    </row>
    <row r="152">
      <c r="A152" s="9">
        <v>2.404120076E9</v>
      </c>
      <c r="B152" s="10" t="s">
        <v>19</v>
      </c>
      <c r="C152" s="11"/>
      <c r="D152" s="10" t="s">
        <v>61</v>
      </c>
      <c r="E152" s="11"/>
      <c r="F152" s="9">
        <v>22.0</v>
      </c>
      <c r="G152" s="9">
        <v>22.0</v>
      </c>
      <c r="H152" s="11"/>
      <c r="I152" s="11"/>
      <c r="J152" s="9">
        <v>22.0</v>
      </c>
      <c r="K152" s="9">
        <v>22.0</v>
      </c>
      <c r="L152" s="9">
        <v>0.0</v>
      </c>
      <c r="M152" s="9">
        <v>0.0</v>
      </c>
      <c r="N152" s="9">
        <v>22.0</v>
      </c>
      <c r="O152" s="12">
        <v>45748.0</v>
      </c>
      <c r="P152" s="15"/>
      <c r="Q152" s="14"/>
      <c r="R152" s="14"/>
    </row>
    <row r="153">
      <c r="A153" s="9">
        <v>2.404120076E9</v>
      </c>
      <c r="B153" s="10" t="s">
        <v>19</v>
      </c>
      <c r="C153" s="11"/>
      <c r="D153" s="10" t="s">
        <v>62</v>
      </c>
      <c r="E153" s="11"/>
      <c r="F153" s="9">
        <v>170.0</v>
      </c>
      <c r="G153" s="9">
        <v>683.0</v>
      </c>
      <c r="H153" s="11"/>
      <c r="I153" s="11"/>
      <c r="J153" s="9">
        <v>170.0</v>
      </c>
      <c r="K153" s="9">
        <v>683.0</v>
      </c>
      <c r="L153" s="9">
        <v>0.0</v>
      </c>
      <c r="M153" s="9">
        <v>0.0</v>
      </c>
      <c r="N153" s="9">
        <v>683.0</v>
      </c>
      <c r="O153" s="12">
        <v>45748.0</v>
      </c>
      <c r="P153" s="15"/>
      <c r="Q153" s="14"/>
      <c r="R153" s="14"/>
    </row>
    <row r="154">
      <c r="A154" s="9">
        <v>2.404120076E9</v>
      </c>
      <c r="B154" s="10" t="s">
        <v>19</v>
      </c>
      <c r="C154" s="11"/>
      <c r="D154" s="10" t="s">
        <v>68</v>
      </c>
      <c r="E154" s="11"/>
      <c r="F154" s="9">
        <v>42.0</v>
      </c>
      <c r="G154" s="9">
        <v>210.0</v>
      </c>
      <c r="H154" s="11"/>
      <c r="I154" s="11"/>
      <c r="J154" s="9">
        <v>42.0</v>
      </c>
      <c r="K154" s="9">
        <v>210.0</v>
      </c>
      <c r="L154" s="9">
        <v>0.0</v>
      </c>
      <c r="M154" s="9">
        <v>0.0</v>
      </c>
      <c r="N154" s="9">
        <v>210.0</v>
      </c>
      <c r="O154" s="12">
        <v>45748.0</v>
      </c>
      <c r="P154" s="15"/>
      <c r="Q154" s="14"/>
      <c r="R154" s="14"/>
    </row>
    <row r="155">
      <c r="A155" s="9">
        <v>2.404120076E9</v>
      </c>
      <c r="B155" s="10" t="s">
        <v>19</v>
      </c>
      <c r="C155" s="11"/>
      <c r="D155" s="10" t="s">
        <v>120</v>
      </c>
      <c r="E155" s="11"/>
      <c r="F155" s="9">
        <v>15.0</v>
      </c>
      <c r="G155" s="9">
        <v>75.0</v>
      </c>
      <c r="H155" s="11"/>
      <c r="I155" s="11"/>
      <c r="J155" s="9">
        <v>15.0</v>
      </c>
      <c r="K155" s="9">
        <v>75.0</v>
      </c>
      <c r="L155" s="9">
        <v>0.0</v>
      </c>
      <c r="M155" s="9">
        <v>0.0</v>
      </c>
      <c r="N155" s="9">
        <v>75.0</v>
      </c>
      <c r="O155" s="12">
        <v>45748.0</v>
      </c>
      <c r="P155" s="15"/>
      <c r="Q155" s="14"/>
      <c r="R155" s="14"/>
    </row>
    <row r="156">
      <c r="A156" s="9">
        <v>2.404120076E9</v>
      </c>
      <c r="B156" s="10" t="s">
        <v>19</v>
      </c>
      <c r="C156" s="11"/>
      <c r="D156" s="10" t="s">
        <v>70</v>
      </c>
      <c r="E156" s="11"/>
      <c r="F156" s="9">
        <v>17.0</v>
      </c>
      <c r="G156" s="9">
        <v>68.0</v>
      </c>
      <c r="H156" s="11"/>
      <c r="I156" s="11"/>
      <c r="J156" s="9">
        <v>17.0</v>
      </c>
      <c r="K156" s="9">
        <v>68.0</v>
      </c>
      <c r="L156" s="9">
        <v>0.0</v>
      </c>
      <c r="M156" s="9">
        <v>0.0</v>
      </c>
      <c r="N156" s="9">
        <v>68.0</v>
      </c>
      <c r="O156" s="12">
        <v>45748.0</v>
      </c>
      <c r="P156" s="15"/>
      <c r="Q156" s="14"/>
      <c r="R156" s="14"/>
    </row>
    <row r="157">
      <c r="A157" s="9">
        <v>2.404120076E9</v>
      </c>
      <c r="B157" s="10" t="s">
        <v>19</v>
      </c>
      <c r="C157" s="11"/>
      <c r="D157" s="10" t="s">
        <v>121</v>
      </c>
      <c r="E157" s="11"/>
      <c r="F157" s="9">
        <v>20.0</v>
      </c>
      <c r="G157" s="9">
        <v>140.0</v>
      </c>
      <c r="H157" s="11"/>
      <c r="I157" s="11"/>
      <c r="J157" s="9">
        <v>20.0</v>
      </c>
      <c r="K157" s="9">
        <v>140.0</v>
      </c>
      <c r="L157" s="9">
        <v>0.0</v>
      </c>
      <c r="M157" s="9">
        <v>0.0</v>
      </c>
      <c r="N157" s="9">
        <v>140.0</v>
      </c>
      <c r="O157" s="12">
        <v>45748.0</v>
      </c>
      <c r="P157" s="15"/>
      <c r="Q157" s="14"/>
      <c r="R157" s="14"/>
    </row>
    <row r="158">
      <c r="A158" s="9">
        <v>2.404120076E9</v>
      </c>
      <c r="B158" s="10" t="s">
        <v>19</v>
      </c>
      <c r="C158" s="11"/>
      <c r="D158" s="10" t="s">
        <v>96</v>
      </c>
      <c r="E158" s="11"/>
      <c r="F158" s="9">
        <v>97.0</v>
      </c>
      <c r="G158" s="9">
        <v>457.0</v>
      </c>
      <c r="H158" s="11"/>
      <c r="I158" s="11"/>
      <c r="J158" s="9">
        <v>97.0</v>
      </c>
      <c r="K158" s="9">
        <v>457.0</v>
      </c>
      <c r="L158" s="9">
        <v>0.0</v>
      </c>
      <c r="M158" s="9">
        <v>0.0</v>
      </c>
      <c r="N158" s="9">
        <v>457.0</v>
      </c>
      <c r="O158" s="12">
        <v>45748.0</v>
      </c>
      <c r="P158" s="15"/>
      <c r="Q158" s="14"/>
      <c r="R158" s="14"/>
    </row>
    <row r="159">
      <c r="A159" s="9">
        <v>2.404120076E9</v>
      </c>
      <c r="B159" s="10" t="s">
        <v>19</v>
      </c>
      <c r="C159" s="11"/>
      <c r="D159" s="10" t="s">
        <v>122</v>
      </c>
      <c r="E159" s="11"/>
      <c r="F159" s="9">
        <v>447.0</v>
      </c>
      <c r="G159" s="9">
        <v>447.0</v>
      </c>
      <c r="H159" s="11"/>
      <c r="I159" s="11"/>
      <c r="J159" s="9">
        <v>447.0</v>
      </c>
      <c r="K159" s="9">
        <v>447.0</v>
      </c>
      <c r="L159" s="9">
        <v>0.0</v>
      </c>
      <c r="M159" s="9">
        <v>0.0</v>
      </c>
      <c r="N159" s="9">
        <v>447.0</v>
      </c>
      <c r="O159" s="12">
        <v>45748.0</v>
      </c>
      <c r="P159" s="15"/>
      <c r="Q159" s="14"/>
      <c r="R159" s="14"/>
    </row>
    <row r="160">
      <c r="A160" s="9">
        <v>2.404120076E9</v>
      </c>
      <c r="B160" s="10" t="s">
        <v>19</v>
      </c>
      <c r="C160" s="11"/>
      <c r="D160" s="10" t="s">
        <v>110</v>
      </c>
      <c r="E160" s="11"/>
      <c r="F160" s="9">
        <v>156.0</v>
      </c>
      <c r="G160" s="9">
        <v>156.0</v>
      </c>
      <c r="H160" s="11"/>
      <c r="I160" s="11"/>
      <c r="J160" s="9">
        <v>156.0</v>
      </c>
      <c r="K160" s="9">
        <v>156.0</v>
      </c>
      <c r="L160" s="9">
        <v>0.0</v>
      </c>
      <c r="M160" s="9">
        <v>0.0</v>
      </c>
      <c r="N160" s="9">
        <v>156.0</v>
      </c>
      <c r="O160" s="12">
        <v>45748.0</v>
      </c>
      <c r="P160" s="15"/>
      <c r="Q160" s="14"/>
      <c r="R160" s="14"/>
    </row>
    <row r="161">
      <c r="A161" s="9">
        <v>2.404120076E9</v>
      </c>
      <c r="B161" s="10" t="s">
        <v>19</v>
      </c>
      <c r="C161" s="11"/>
      <c r="D161" s="10" t="s">
        <v>72</v>
      </c>
      <c r="E161" s="11"/>
      <c r="F161" s="9">
        <v>124.0</v>
      </c>
      <c r="G161" s="9">
        <v>248.0</v>
      </c>
      <c r="H161" s="11"/>
      <c r="I161" s="11"/>
      <c r="J161" s="9">
        <v>124.0</v>
      </c>
      <c r="K161" s="9">
        <v>248.0</v>
      </c>
      <c r="L161" s="9">
        <v>0.0</v>
      </c>
      <c r="M161" s="9">
        <v>0.0</v>
      </c>
      <c r="N161" s="9">
        <v>248.0</v>
      </c>
      <c r="O161" s="12">
        <v>45748.0</v>
      </c>
      <c r="P161" s="15"/>
      <c r="Q161" s="14"/>
      <c r="R161" s="14"/>
    </row>
    <row r="162">
      <c r="A162" s="9">
        <v>2.404120076E9</v>
      </c>
      <c r="B162" s="10" t="s">
        <v>19</v>
      </c>
      <c r="C162" s="11"/>
      <c r="D162" s="10" t="s">
        <v>97</v>
      </c>
      <c r="E162" s="11"/>
      <c r="F162" s="9">
        <v>115.0</v>
      </c>
      <c r="G162" s="9">
        <v>610.0</v>
      </c>
      <c r="H162" s="11"/>
      <c r="I162" s="11"/>
      <c r="J162" s="9">
        <v>115.0</v>
      </c>
      <c r="K162" s="9">
        <v>610.0</v>
      </c>
      <c r="L162" s="9">
        <v>0.0</v>
      </c>
      <c r="M162" s="9">
        <v>0.0</v>
      </c>
      <c r="N162" s="9">
        <v>610.0</v>
      </c>
      <c r="O162" s="12">
        <v>45748.0</v>
      </c>
      <c r="P162" s="15"/>
      <c r="Q162" s="14"/>
      <c r="R162" s="14"/>
    </row>
    <row r="163">
      <c r="A163" s="9">
        <v>2.404120076E9</v>
      </c>
      <c r="B163" s="10" t="s">
        <v>19</v>
      </c>
      <c r="C163" s="11"/>
      <c r="D163" s="10" t="s">
        <v>123</v>
      </c>
      <c r="E163" s="11"/>
      <c r="F163" s="9">
        <v>8.0</v>
      </c>
      <c r="G163" s="9">
        <v>24.0</v>
      </c>
      <c r="H163" s="11"/>
      <c r="I163" s="11"/>
      <c r="J163" s="9">
        <v>8.0</v>
      </c>
      <c r="K163" s="9">
        <v>24.0</v>
      </c>
      <c r="L163" s="9">
        <v>0.0</v>
      </c>
      <c r="M163" s="9">
        <v>0.0</v>
      </c>
      <c r="N163" s="9">
        <v>24.0</v>
      </c>
      <c r="O163" s="12">
        <v>45748.0</v>
      </c>
      <c r="P163" s="15"/>
      <c r="Q163" s="14"/>
      <c r="R163" s="14"/>
    </row>
    <row r="164">
      <c r="A164" s="9">
        <v>2.404120076E9</v>
      </c>
      <c r="B164" s="10" t="s">
        <v>19</v>
      </c>
      <c r="C164" s="11"/>
      <c r="D164" s="10" t="s">
        <v>73</v>
      </c>
      <c r="E164" s="11"/>
      <c r="F164" s="9">
        <v>10.0</v>
      </c>
      <c r="G164" s="9">
        <v>40.0</v>
      </c>
      <c r="H164" s="11"/>
      <c r="I164" s="11"/>
      <c r="J164" s="9">
        <v>10.0</v>
      </c>
      <c r="K164" s="9">
        <v>40.0</v>
      </c>
      <c r="L164" s="9">
        <v>0.0</v>
      </c>
      <c r="M164" s="9">
        <v>0.0</v>
      </c>
      <c r="N164" s="9">
        <v>40.0</v>
      </c>
      <c r="O164" s="12">
        <v>45748.0</v>
      </c>
      <c r="P164" s="15"/>
      <c r="Q164" s="14"/>
      <c r="R164" s="14"/>
    </row>
    <row r="165">
      <c r="A165" s="9">
        <v>2.404120076E9</v>
      </c>
      <c r="B165" s="10" t="s">
        <v>19</v>
      </c>
      <c r="C165" s="11"/>
      <c r="D165" s="10" t="s">
        <v>124</v>
      </c>
      <c r="E165" s="11"/>
      <c r="F165" s="9">
        <v>9.0</v>
      </c>
      <c r="G165" s="9">
        <v>64.0</v>
      </c>
      <c r="H165" s="11"/>
      <c r="I165" s="11"/>
      <c r="J165" s="9">
        <v>9.0</v>
      </c>
      <c r="K165" s="9">
        <v>64.0</v>
      </c>
      <c r="L165" s="9">
        <v>0.0</v>
      </c>
      <c r="M165" s="9">
        <v>0.0</v>
      </c>
      <c r="N165" s="9">
        <v>64.0</v>
      </c>
      <c r="O165" s="12">
        <v>45748.0</v>
      </c>
      <c r="P165" s="15"/>
      <c r="Q165" s="14"/>
      <c r="R165" s="14"/>
    </row>
    <row r="166">
      <c r="A166" s="9">
        <v>2.404120076E9</v>
      </c>
      <c r="B166" s="10" t="s">
        <v>19</v>
      </c>
      <c r="C166" s="11"/>
      <c r="D166" s="10" t="s">
        <v>99</v>
      </c>
      <c r="E166" s="11"/>
      <c r="F166" s="9">
        <v>86.0</v>
      </c>
      <c r="G166" s="9">
        <v>391.0</v>
      </c>
      <c r="H166" s="11"/>
      <c r="I166" s="11"/>
      <c r="J166" s="9">
        <v>86.0</v>
      </c>
      <c r="K166" s="9">
        <v>391.0</v>
      </c>
      <c r="L166" s="9">
        <v>0.0</v>
      </c>
      <c r="M166" s="9">
        <v>0.0</v>
      </c>
      <c r="N166" s="9">
        <v>391.0</v>
      </c>
      <c r="O166" s="12">
        <v>45748.0</v>
      </c>
      <c r="P166" s="15"/>
      <c r="Q166" s="14"/>
      <c r="R166" s="14"/>
    </row>
    <row r="167">
      <c r="A167" s="9">
        <v>2.404120076E9</v>
      </c>
      <c r="B167" s="10" t="s">
        <v>19</v>
      </c>
      <c r="C167" s="11"/>
      <c r="D167" s="10" t="s">
        <v>111</v>
      </c>
      <c r="E167" s="11"/>
      <c r="F167" s="9">
        <v>216.0</v>
      </c>
      <c r="G167" s="9">
        <v>857.0</v>
      </c>
      <c r="H167" s="11"/>
      <c r="I167" s="11"/>
      <c r="J167" s="9">
        <v>216.0</v>
      </c>
      <c r="K167" s="9">
        <v>857.0</v>
      </c>
      <c r="L167" s="9">
        <v>0.0</v>
      </c>
      <c r="M167" s="9">
        <v>0.0</v>
      </c>
      <c r="N167" s="9">
        <v>857.0</v>
      </c>
      <c r="O167" s="12">
        <v>45748.0</v>
      </c>
      <c r="P167" s="15"/>
      <c r="Q167" s="14"/>
      <c r="R167" s="14"/>
    </row>
    <row r="168">
      <c r="A168" s="9">
        <v>2.404120076E9</v>
      </c>
      <c r="B168" s="10" t="s">
        <v>19</v>
      </c>
      <c r="C168" s="11"/>
      <c r="D168" s="10" t="s">
        <v>74</v>
      </c>
      <c r="E168" s="11"/>
      <c r="F168" s="9">
        <v>712.0</v>
      </c>
      <c r="G168" s="9">
        <v>712.0</v>
      </c>
      <c r="H168" s="11"/>
      <c r="I168" s="11"/>
      <c r="J168" s="9">
        <v>712.0</v>
      </c>
      <c r="K168" s="9">
        <v>712.0</v>
      </c>
      <c r="L168" s="9">
        <v>0.0</v>
      </c>
      <c r="M168" s="9">
        <v>0.0</v>
      </c>
      <c r="N168" s="9">
        <v>712.0</v>
      </c>
      <c r="O168" s="12">
        <v>45748.0</v>
      </c>
      <c r="P168" s="15"/>
      <c r="Q168" s="14"/>
      <c r="R168" s="14"/>
    </row>
    <row r="169">
      <c r="A169" s="9">
        <v>2.404120076E9</v>
      </c>
      <c r="B169" s="10" t="s">
        <v>19</v>
      </c>
      <c r="C169" s="11"/>
      <c r="D169" s="10" t="s">
        <v>112</v>
      </c>
      <c r="E169" s="11"/>
      <c r="F169" s="9">
        <v>18.0</v>
      </c>
      <c r="G169" s="9">
        <v>72.0</v>
      </c>
      <c r="H169" s="11"/>
      <c r="I169" s="11"/>
      <c r="J169" s="9">
        <v>18.0</v>
      </c>
      <c r="K169" s="9">
        <v>72.0</v>
      </c>
      <c r="L169" s="9">
        <v>0.0</v>
      </c>
      <c r="M169" s="9">
        <v>0.0</v>
      </c>
      <c r="N169" s="9">
        <v>72.0</v>
      </c>
      <c r="O169" s="12">
        <v>45748.0</v>
      </c>
      <c r="P169" s="15"/>
      <c r="Q169" s="14"/>
      <c r="R169" s="14"/>
    </row>
    <row r="170">
      <c r="A170" s="9">
        <v>2.404120076E9</v>
      </c>
      <c r="B170" s="10" t="s">
        <v>19</v>
      </c>
      <c r="C170" s="11"/>
      <c r="D170" s="10" t="s">
        <v>100</v>
      </c>
      <c r="E170" s="11"/>
      <c r="F170" s="9">
        <v>50.0</v>
      </c>
      <c r="G170" s="9">
        <v>150.0</v>
      </c>
      <c r="H170" s="11"/>
      <c r="I170" s="11"/>
      <c r="J170" s="9">
        <v>50.0</v>
      </c>
      <c r="K170" s="9">
        <v>150.0</v>
      </c>
      <c r="L170" s="9">
        <v>0.0</v>
      </c>
      <c r="M170" s="9">
        <v>0.0</v>
      </c>
      <c r="N170" s="9">
        <v>150.0</v>
      </c>
      <c r="O170" s="12">
        <v>45748.0</v>
      </c>
      <c r="P170" s="15"/>
      <c r="Q170" s="14"/>
      <c r="R170" s="14"/>
    </row>
    <row r="171">
      <c r="A171" s="9">
        <v>2.404120076E9</v>
      </c>
      <c r="B171" s="10" t="s">
        <v>19</v>
      </c>
      <c r="C171" s="11"/>
      <c r="D171" s="10" t="s">
        <v>76</v>
      </c>
      <c r="E171" s="11"/>
      <c r="F171" s="9">
        <v>13.0</v>
      </c>
      <c r="G171" s="9">
        <v>80.0</v>
      </c>
      <c r="H171" s="11"/>
      <c r="I171" s="11"/>
      <c r="J171" s="9">
        <v>13.0</v>
      </c>
      <c r="K171" s="9">
        <v>80.0</v>
      </c>
      <c r="L171" s="9">
        <v>0.0</v>
      </c>
      <c r="M171" s="9">
        <v>0.0</v>
      </c>
      <c r="N171" s="9">
        <v>80.0</v>
      </c>
      <c r="O171" s="12">
        <v>45748.0</v>
      </c>
      <c r="P171" s="15"/>
      <c r="Q171" s="14"/>
      <c r="R171" s="14"/>
    </row>
    <row r="172">
      <c r="A172" s="9">
        <v>2.404120076E9</v>
      </c>
      <c r="B172" s="10" t="s">
        <v>19</v>
      </c>
      <c r="C172" s="11"/>
      <c r="D172" s="10" t="s">
        <v>79</v>
      </c>
      <c r="E172" s="11"/>
      <c r="F172" s="9">
        <v>82.0</v>
      </c>
      <c r="G172" s="9">
        <v>246.0</v>
      </c>
      <c r="H172" s="11"/>
      <c r="I172" s="11"/>
      <c r="J172" s="9">
        <v>82.0</v>
      </c>
      <c r="K172" s="9">
        <v>246.0</v>
      </c>
      <c r="L172" s="9">
        <v>0.0</v>
      </c>
      <c r="M172" s="9">
        <v>0.0</v>
      </c>
      <c r="N172" s="9">
        <v>246.0</v>
      </c>
      <c r="O172" s="12">
        <v>45748.0</v>
      </c>
      <c r="P172" s="15"/>
      <c r="Q172" s="14"/>
      <c r="R172" s="14"/>
    </row>
    <row r="173">
      <c r="A173" s="9">
        <v>2.404120076E9</v>
      </c>
      <c r="B173" s="10" t="s">
        <v>19</v>
      </c>
      <c r="C173" s="11"/>
      <c r="D173" s="10" t="s">
        <v>102</v>
      </c>
      <c r="E173" s="11"/>
      <c r="F173" s="9">
        <v>62.0</v>
      </c>
      <c r="G173" s="9">
        <v>183.0</v>
      </c>
      <c r="H173" s="11"/>
      <c r="I173" s="11"/>
      <c r="J173" s="9">
        <v>62.0</v>
      </c>
      <c r="K173" s="9">
        <v>183.0</v>
      </c>
      <c r="L173" s="9">
        <v>0.0</v>
      </c>
      <c r="M173" s="9">
        <v>0.0</v>
      </c>
      <c r="N173" s="9">
        <v>183.0</v>
      </c>
      <c r="O173" s="12">
        <v>45748.0</v>
      </c>
      <c r="P173" s="15"/>
      <c r="Q173" s="14"/>
      <c r="R173" s="14"/>
    </row>
    <row r="174">
      <c r="A174" s="9">
        <v>2.404120076E9</v>
      </c>
      <c r="B174" s="10" t="s">
        <v>19</v>
      </c>
      <c r="C174" s="11"/>
      <c r="D174" s="10" t="s">
        <v>114</v>
      </c>
      <c r="E174" s="11"/>
      <c r="F174" s="9">
        <v>37.0</v>
      </c>
      <c r="G174" s="9">
        <v>148.0</v>
      </c>
      <c r="H174" s="11"/>
      <c r="I174" s="11"/>
      <c r="J174" s="9">
        <v>37.0</v>
      </c>
      <c r="K174" s="9">
        <v>148.0</v>
      </c>
      <c r="L174" s="9">
        <v>0.0</v>
      </c>
      <c r="M174" s="9">
        <v>0.0</v>
      </c>
      <c r="N174" s="9">
        <v>148.0</v>
      </c>
      <c r="O174" s="12">
        <v>45748.0</v>
      </c>
      <c r="P174" s="15"/>
      <c r="Q174" s="14"/>
      <c r="R174" s="14"/>
    </row>
    <row r="175">
      <c r="A175" s="9">
        <v>2.404120076E9</v>
      </c>
      <c r="B175" s="10" t="s">
        <v>19</v>
      </c>
      <c r="C175" s="11"/>
      <c r="D175" s="10" t="s">
        <v>103</v>
      </c>
      <c r="E175" s="11"/>
      <c r="F175" s="9">
        <v>53.0</v>
      </c>
      <c r="G175" s="9">
        <v>235.0</v>
      </c>
      <c r="H175" s="11"/>
      <c r="I175" s="11"/>
      <c r="J175" s="9">
        <v>53.0</v>
      </c>
      <c r="K175" s="9">
        <v>235.0</v>
      </c>
      <c r="L175" s="9">
        <v>0.0</v>
      </c>
      <c r="M175" s="9">
        <v>0.0</v>
      </c>
      <c r="N175" s="9">
        <v>235.0</v>
      </c>
      <c r="O175" s="12">
        <v>45748.0</v>
      </c>
      <c r="P175" s="15"/>
      <c r="Q175" s="14"/>
      <c r="R175" s="14"/>
    </row>
    <row r="176">
      <c r="A176" s="9">
        <v>2.404120076E9</v>
      </c>
      <c r="B176" s="10" t="s">
        <v>19</v>
      </c>
      <c r="C176" s="11"/>
      <c r="D176" s="10" t="s">
        <v>115</v>
      </c>
      <c r="E176" s="11"/>
      <c r="F176" s="9">
        <v>252.0</v>
      </c>
      <c r="G176" s="9">
        <v>1227.0</v>
      </c>
      <c r="H176" s="11"/>
      <c r="I176" s="11"/>
      <c r="J176" s="9">
        <v>252.0</v>
      </c>
      <c r="K176" s="9">
        <v>1227.0</v>
      </c>
      <c r="L176" s="9">
        <v>0.0</v>
      </c>
      <c r="M176" s="9">
        <v>0.0</v>
      </c>
      <c r="N176" s="9">
        <v>1227.0</v>
      </c>
      <c r="O176" s="12">
        <v>45748.0</v>
      </c>
      <c r="P176" s="15"/>
      <c r="Q176" s="14"/>
      <c r="R176" s="14"/>
    </row>
    <row r="177">
      <c r="A177" s="9">
        <v>2.404120076E9</v>
      </c>
      <c r="B177" s="10" t="s">
        <v>19</v>
      </c>
      <c r="C177" s="11"/>
      <c r="D177" s="10" t="s">
        <v>104</v>
      </c>
      <c r="E177" s="11"/>
      <c r="F177" s="9">
        <v>7.0</v>
      </c>
      <c r="G177" s="9">
        <v>84.0</v>
      </c>
      <c r="H177" s="11"/>
      <c r="I177" s="11"/>
      <c r="J177" s="9">
        <v>7.0</v>
      </c>
      <c r="K177" s="9">
        <v>84.0</v>
      </c>
      <c r="L177" s="9">
        <v>0.0</v>
      </c>
      <c r="M177" s="9">
        <v>0.0</v>
      </c>
      <c r="N177" s="9">
        <v>84.0</v>
      </c>
      <c r="O177" s="12">
        <v>45748.0</v>
      </c>
      <c r="P177" s="15"/>
      <c r="Q177" s="14"/>
      <c r="R177" s="14"/>
    </row>
    <row r="178">
      <c r="A178" s="9">
        <v>2.404120076E9</v>
      </c>
      <c r="B178" s="10" t="s">
        <v>19</v>
      </c>
      <c r="C178" s="11"/>
      <c r="D178" s="10" t="s">
        <v>116</v>
      </c>
      <c r="E178" s="11"/>
      <c r="F178" s="9">
        <v>97.0</v>
      </c>
      <c r="G178" s="9">
        <v>481.0</v>
      </c>
      <c r="H178" s="11"/>
      <c r="I178" s="11"/>
      <c r="J178" s="9">
        <v>97.0</v>
      </c>
      <c r="K178" s="9">
        <v>481.0</v>
      </c>
      <c r="L178" s="9">
        <v>0.0</v>
      </c>
      <c r="M178" s="9">
        <v>0.0</v>
      </c>
      <c r="N178" s="9">
        <v>481.0</v>
      </c>
      <c r="O178" s="12">
        <v>45748.0</v>
      </c>
      <c r="P178" s="15"/>
      <c r="Q178" s="14"/>
      <c r="R178" s="14"/>
    </row>
    <row r="179">
      <c r="A179" s="9">
        <v>2.404120076E9</v>
      </c>
      <c r="B179" s="10" t="s">
        <v>19</v>
      </c>
      <c r="C179" s="11"/>
      <c r="D179" s="10" t="s">
        <v>117</v>
      </c>
      <c r="E179" s="11"/>
      <c r="F179" s="9">
        <v>3.0</v>
      </c>
      <c r="G179" s="9">
        <v>18.0</v>
      </c>
      <c r="H179" s="11"/>
      <c r="I179" s="11"/>
      <c r="J179" s="9">
        <v>3.0</v>
      </c>
      <c r="K179" s="9">
        <v>18.0</v>
      </c>
      <c r="L179" s="9">
        <v>0.0</v>
      </c>
      <c r="M179" s="9">
        <v>0.0</v>
      </c>
      <c r="N179" s="9">
        <v>18.0</v>
      </c>
      <c r="O179" s="12">
        <v>45748.0</v>
      </c>
      <c r="P179" s="15"/>
      <c r="Q179" s="14"/>
      <c r="R179" s="14"/>
    </row>
    <row r="180">
      <c r="A180" s="9">
        <v>2.404120076E9</v>
      </c>
      <c r="B180" s="10" t="s">
        <v>19</v>
      </c>
      <c r="C180" s="11"/>
      <c r="D180" s="10" t="s">
        <v>118</v>
      </c>
      <c r="E180" s="11"/>
      <c r="F180" s="9">
        <v>2.0</v>
      </c>
      <c r="G180" s="9">
        <v>8.0</v>
      </c>
      <c r="H180" s="11"/>
      <c r="I180" s="11"/>
      <c r="J180" s="9">
        <v>2.0</v>
      </c>
      <c r="K180" s="9">
        <v>8.0</v>
      </c>
      <c r="L180" s="9">
        <v>0.0</v>
      </c>
      <c r="M180" s="9">
        <v>0.0</v>
      </c>
      <c r="N180" s="9">
        <v>8.0</v>
      </c>
      <c r="O180" s="12">
        <v>45748.0</v>
      </c>
      <c r="P180" s="15"/>
      <c r="Q180" s="14"/>
      <c r="R180" s="14"/>
    </row>
    <row r="181">
      <c r="A181" s="9">
        <v>2.404120076E9</v>
      </c>
      <c r="B181" s="10" t="s">
        <v>19</v>
      </c>
      <c r="C181" s="11"/>
      <c r="D181" s="10" t="s">
        <v>105</v>
      </c>
      <c r="E181" s="11"/>
      <c r="F181" s="9">
        <v>32.0</v>
      </c>
      <c r="G181" s="9">
        <v>219.0</v>
      </c>
      <c r="H181" s="11"/>
      <c r="I181" s="11"/>
      <c r="J181" s="9">
        <v>32.0</v>
      </c>
      <c r="K181" s="9">
        <v>219.0</v>
      </c>
      <c r="L181" s="9">
        <v>0.0</v>
      </c>
      <c r="M181" s="9">
        <v>0.0</v>
      </c>
      <c r="N181" s="9">
        <v>219.0</v>
      </c>
      <c r="O181" s="12">
        <v>45748.0</v>
      </c>
      <c r="P181" s="15"/>
      <c r="Q181" s="14"/>
      <c r="R181" s="14"/>
    </row>
    <row r="182">
      <c r="A182" s="9">
        <v>2.404120076E9</v>
      </c>
      <c r="B182" s="10" t="s">
        <v>19</v>
      </c>
      <c r="C182" s="11"/>
      <c r="D182" s="10" t="s">
        <v>81</v>
      </c>
      <c r="E182" s="11"/>
      <c r="F182" s="9">
        <v>120.0</v>
      </c>
      <c r="G182" s="9">
        <v>263.0</v>
      </c>
      <c r="H182" s="11"/>
      <c r="I182" s="11"/>
      <c r="J182" s="9">
        <v>120.0</v>
      </c>
      <c r="K182" s="9">
        <v>263.0</v>
      </c>
      <c r="L182" s="9">
        <v>0.0</v>
      </c>
      <c r="M182" s="9">
        <v>0.0</v>
      </c>
      <c r="N182" s="9">
        <v>263.0</v>
      </c>
      <c r="O182" s="12">
        <v>45748.0</v>
      </c>
      <c r="P182" s="15"/>
      <c r="Q182" s="14"/>
      <c r="R182" s="14"/>
    </row>
    <row r="183">
      <c r="A183" s="9">
        <v>2.404120076E9</v>
      </c>
      <c r="B183" s="10" t="s">
        <v>19</v>
      </c>
      <c r="C183" s="11"/>
      <c r="D183" s="10" t="s">
        <v>125</v>
      </c>
      <c r="E183" s="11"/>
      <c r="F183" s="9">
        <v>23.0</v>
      </c>
      <c r="G183" s="9">
        <v>115.0</v>
      </c>
      <c r="H183" s="11"/>
      <c r="I183" s="11"/>
      <c r="J183" s="9">
        <v>23.0</v>
      </c>
      <c r="K183" s="9">
        <v>115.0</v>
      </c>
      <c r="L183" s="9">
        <v>0.0</v>
      </c>
      <c r="M183" s="9">
        <v>0.0</v>
      </c>
      <c r="N183" s="9">
        <v>115.0</v>
      </c>
      <c r="O183" s="12">
        <v>45748.0</v>
      </c>
      <c r="P183" s="15"/>
      <c r="Q183" s="14"/>
      <c r="R183" s="14"/>
    </row>
    <row r="184">
      <c r="A184" s="9">
        <v>2.404120076E9</v>
      </c>
      <c r="B184" s="10" t="s">
        <v>19</v>
      </c>
      <c r="C184" s="11"/>
      <c r="D184" s="10" t="s">
        <v>86</v>
      </c>
      <c r="E184" s="11"/>
      <c r="F184" s="9">
        <v>247.0</v>
      </c>
      <c r="G184" s="9">
        <v>988.0</v>
      </c>
      <c r="H184" s="11"/>
      <c r="I184" s="11"/>
      <c r="J184" s="9">
        <v>247.0</v>
      </c>
      <c r="K184" s="9">
        <v>988.0</v>
      </c>
      <c r="L184" s="9">
        <v>0.0</v>
      </c>
      <c r="M184" s="9">
        <v>0.0</v>
      </c>
      <c r="N184" s="9">
        <v>988.0</v>
      </c>
      <c r="O184" s="12">
        <v>45748.0</v>
      </c>
      <c r="P184" s="15"/>
      <c r="Q184" s="14"/>
      <c r="R184" s="14"/>
    </row>
    <row r="185">
      <c r="A185" s="9">
        <v>2.404120076E9</v>
      </c>
      <c r="B185" s="10" t="s">
        <v>19</v>
      </c>
      <c r="C185" s="11"/>
      <c r="D185" s="10" t="s">
        <v>119</v>
      </c>
      <c r="E185" s="11"/>
      <c r="F185" s="9">
        <v>101.0</v>
      </c>
      <c r="G185" s="9">
        <v>417.0</v>
      </c>
      <c r="H185" s="11"/>
      <c r="I185" s="11"/>
      <c r="J185" s="9">
        <v>101.0</v>
      </c>
      <c r="K185" s="9">
        <v>417.0</v>
      </c>
      <c r="L185" s="9">
        <v>0.0</v>
      </c>
      <c r="M185" s="9">
        <v>0.0</v>
      </c>
      <c r="N185" s="9">
        <v>417.0</v>
      </c>
      <c r="O185" s="12">
        <v>45748.0</v>
      </c>
      <c r="P185" s="15"/>
      <c r="Q185" s="14"/>
      <c r="R185" s="14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9">
        <v>0.0</v>
      </c>
      <c r="K186" s="9">
        <v>0.0</v>
      </c>
      <c r="L186" s="9">
        <v>0.0</v>
      </c>
      <c r="M186" s="9">
        <v>0.0</v>
      </c>
      <c r="N186" s="9">
        <v>0.0</v>
      </c>
      <c r="O186" s="17"/>
      <c r="P186" s="15"/>
      <c r="Q186" s="14"/>
      <c r="R186" s="14"/>
    </row>
    <row r="187">
      <c r="A187" s="9">
        <v>2.404120076E9</v>
      </c>
      <c r="B187" s="10" t="s">
        <v>19</v>
      </c>
      <c r="C187" s="11"/>
      <c r="D187" s="10" t="s">
        <v>53</v>
      </c>
      <c r="E187" s="11"/>
      <c r="F187" s="9">
        <v>2.0</v>
      </c>
      <c r="G187" s="9">
        <v>50.0</v>
      </c>
      <c r="H187" s="11"/>
      <c r="I187" s="11"/>
      <c r="J187" s="9">
        <v>2.0</v>
      </c>
      <c r="K187" s="9">
        <v>50.0</v>
      </c>
      <c r="L187" s="9">
        <v>0.0</v>
      </c>
      <c r="M187" s="9">
        <v>0.0</v>
      </c>
      <c r="N187" s="9">
        <v>50.0</v>
      </c>
      <c r="O187" s="12">
        <v>45778.0</v>
      </c>
      <c r="P187" s="13">
        <v>45778.0</v>
      </c>
      <c r="Q187" s="14"/>
      <c r="R187" s="14"/>
    </row>
    <row r="188">
      <c r="A188" s="9">
        <v>2.404120076E9</v>
      </c>
      <c r="B188" s="10" t="s">
        <v>19</v>
      </c>
      <c r="C188" s="11"/>
      <c r="D188" s="10" t="s">
        <v>89</v>
      </c>
      <c r="E188" s="11"/>
      <c r="F188" s="9">
        <v>16.0</v>
      </c>
      <c r="G188" s="9">
        <v>56.0</v>
      </c>
      <c r="H188" s="11"/>
      <c r="I188" s="11"/>
      <c r="J188" s="9">
        <v>16.0</v>
      </c>
      <c r="K188" s="9">
        <v>56.0</v>
      </c>
      <c r="L188" s="9">
        <v>0.0</v>
      </c>
      <c r="M188" s="9">
        <v>0.0</v>
      </c>
      <c r="N188" s="9">
        <v>56.0</v>
      </c>
      <c r="O188" s="12">
        <v>45778.0</v>
      </c>
      <c r="P188" s="15"/>
      <c r="Q188" s="14"/>
      <c r="R188" s="14"/>
    </row>
    <row r="189">
      <c r="A189" s="9">
        <v>2.404120076E9</v>
      </c>
      <c r="B189" s="10" t="s">
        <v>19</v>
      </c>
      <c r="C189" s="11"/>
      <c r="D189" s="10" t="s">
        <v>55</v>
      </c>
      <c r="E189" s="11"/>
      <c r="F189" s="9">
        <v>59.0</v>
      </c>
      <c r="G189" s="9">
        <v>115.0</v>
      </c>
      <c r="H189" s="11"/>
      <c r="I189" s="11"/>
      <c r="J189" s="9">
        <v>59.0</v>
      </c>
      <c r="K189" s="9">
        <v>115.0</v>
      </c>
      <c r="L189" s="9">
        <v>0.0</v>
      </c>
      <c r="M189" s="9">
        <v>0.0</v>
      </c>
      <c r="N189" s="9">
        <v>115.0</v>
      </c>
      <c r="O189" s="12">
        <v>45778.0</v>
      </c>
      <c r="P189" s="15"/>
      <c r="Q189" s="14"/>
      <c r="R189" s="14"/>
    </row>
    <row r="190">
      <c r="A190" s="9">
        <v>2.404120076E9</v>
      </c>
      <c r="B190" s="10" t="s">
        <v>19</v>
      </c>
      <c r="C190" s="11"/>
      <c r="D190" s="10" t="s">
        <v>92</v>
      </c>
      <c r="E190" s="11"/>
      <c r="F190" s="9">
        <v>24.0</v>
      </c>
      <c r="G190" s="9">
        <v>120.0</v>
      </c>
      <c r="H190" s="11"/>
      <c r="I190" s="11"/>
      <c r="J190" s="9">
        <v>24.0</v>
      </c>
      <c r="K190" s="9">
        <v>120.0</v>
      </c>
      <c r="L190" s="9">
        <v>0.0</v>
      </c>
      <c r="M190" s="9">
        <v>0.0</v>
      </c>
      <c r="N190" s="9">
        <v>120.0</v>
      </c>
      <c r="O190" s="12">
        <v>45778.0</v>
      </c>
      <c r="P190" s="15"/>
      <c r="Q190" s="14"/>
      <c r="R190" s="14"/>
    </row>
    <row r="191">
      <c r="A191" s="9">
        <v>2.404120076E9</v>
      </c>
      <c r="B191" s="10" t="s">
        <v>19</v>
      </c>
      <c r="C191" s="11"/>
      <c r="D191" s="10" t="s">
        <v>109</v>
      </c>
      <c r="E191" s="11"/>
      <c r="F191" s="9">
        <v>233.0</v>
      </c>
      <c r="G191" s="9">
        <v>1172.0</v>
      </c>
      <c r="H191" s="11"/>
      <c r="I191" s="11"/>
      <c r="J191" s="9">
        <v>233.0</v>
      </c>
      <c r="K191" s="9">
        <v>1172.0</v>
      </c>
      <c r="L191" s="9">
        <v>0.0</v>
      </c>
      <c r="M191" s="9">
        <v>0.0</v>
      </c>
      <c r="N191" s="9">
        <v>1172.0</v>
      </c>
      <c r="O191" s="12">
        <v>45778.0</v>
      </c>
      <c r="P191" s="15"/>
      <c r="Q191" s="14"/>
      <c r="R191" s="14"/>
    </row>
    <row r="192">
      <c r="A192" s="9">
        <v>2.404120076E9</v>
      </c>
      <c r="B192" s="10" t="s">
        <v>19</v>
      </c>
      <c r="C192" s="11"/>
      <c r="D192" s="10" t="s">
        <v>60</v>
      </c>
      <c r="E192" s="11"/>
      <c r="F192" s="9">
        <v>60.0</v>
      </c>
      <c r="G192" s="9">
        <v>74.0</v>
      </c>
      <c r="H192" s="11"/>
      <c r="I192" s="11"/>
      <c r="J192" s="9">
        <v>60.0</v>
      </c>
      <c r="K192" s="9">
        <v>74.0</v>
      </c>
      <c r="L192" s="9">
        <v>0.0</v>
      </c>
      <c r="M192" s="9">
        <v>0.0</v>
      </c>
      <c r="N192" s="9">
        <v>74.0</v>
      </c>
      <c r="O192" s="12">
        <v>45778.0</v>
      </c>
      <c r="P192" s="15"/>
      <c r="Q192" s="14"/>
      <c r="R192" s="14"/>
    </row>
    <row r="193">
      <c r="A193" s="9">
        <v>2.404120076E9</v>
      </c>
      <c r="B193" s="10" t="s">
        <v>19</v>
      </c>
      <c r="C193" s="11"/>
      <c r="D193" s="10" t="s">
        <v>93</v>
      </c>
      <c r="E193" s="11"/>
      <c r="F193" s="9">
        <v>279.0</v>
      </c>
      <c r="G193" s="9">
        <v>290.0</v>
      </c>
      <c r="H193" s="11"/>
      <c r="I193" s="11"/>
      <c r="J193" s="9">
        <v>279.0</v>
      </c>
      <c r="K193" s="9">
        <v>290.0</v>
      </c>
      <c r="L193" s="9">
        <v>0.0</v>
      </c>
      <c r="M193" s="9">
        <v>0.0</v>
      </c>
      <c r="N193" s="9">
        <v>290.0</v>
      </c>
      <c r="O193" s="12">
        <v>45778.0</v>
      </c>
      <c r="P193" s="15"/>
      <c r="Q193" s="14"/>
      <c r="R193" s="14"/>
    </row>
    <row r="194">
      <c r="A194" s="9">
        <v>2.404120076E9</v>
      </c>
      <c r="B194" s="10" t="s">
        <v>19</v>
      </c>
      <c r="C194" s="11"/>
      <c r="D194" s="10" t="s">
        <v>62</v>
      </c>
      <c r="E194" s="11"/>
      <c r="F194" s="9">
        <v>7.0</v>
      </c>
      <c r="G194" s="9">
        <v>28.0</v>
      </c>
      <c r="H194" s="11"/>
      <c r="I194" s="11"/>
      <c r="J194" s="9">
        <v>7.0</v>
      </c>
      <c r="K194" s="9">
        <v>28.0</v>
      </c>
      <c r="L194" s="9">
        <v>0.0</v>
      </c>
      <c r="M194" s="9">
        <v>0.0</v>
      </c>
      <c r="N194" s="9">
        <v>28.0</v>
      </c>
      <c r="O194" s="12">
        <v>45778.0</v>
      </c>
      <c r="P194" s="15"/>
      <c r="Q194" s="14"/>
      <c r="R194" s="14"/>
    </row>
    <row r="195">
      <c r="A195" s="9">
        <v>2.404120076E9</v>
      </c>
      <c r="B195" s="10" t="s">
        <v>19</v>
      </c>
      <c r="C195" s="11"/>
      <c r="D195" s="10" t="s">
        <v>68</v>
      </c>
      <c r="E195" s="11"/>
      <c r="F195" s="9">
        <v>18.0</v>
      </c>
      <c r="G195" s="9">
        <v>90.0</v>
      </c>
      <c r="H195" s="11"/>
      <c r="I195" s="11"/>
      <c r="J195" s="9">
        <v>18.0</v>
      </c>
      <c r="K195" s="9">
        <v>90.0</v>
      </c>
      <c r="L195" s="9">
        <v>0.0</v>
      </c>
      <c r="M195" s="9">
        <v>0.0</v>
      </c>
      <c r="N195" s="9">
        <v>90.0</v>
      </c>
      <c r="O195" s="12">
        <v>45778.0</v>
      </c>
      <c r="P195" s="15"/>
      <c r="Q195" s="14"/>
      <c r="R195" s="14"/>
    </row>
    <row r="196">
      <c r="A196" s="9">
        <v>2.404120076E9</v>
      </c>
      <c r="B196" s="10" t="s">
        <v>19</v>
      </c>
      <c r="C196" s="11"/>
      <c r="D196" s="10" t="s">
        <v>120</v>
      </c>
      <c r="E196" s="11"/>
      <c r="F196" s="9">
        <v>5.0</v>
      </c>
      <c r="G196" s="9">
        <v>25.0</v>
      </c>
      <c r="H196" s="11"/>
      <c r="I196" s="11"/>
      <c r="J196" s="9">
        <v>5.0</v>
      </c>
      <c r="K196" s="9">
        <v>25.0</v>
      </c>
      <c r="L196" s="9">
        <v>0.0</v>
      </c>
      <c r="M196" s="9">
        <v>0.0</v>
      </c>
      <c r="N196" s="9">
        <v>25.0</v>
      </c>
      <c r="O196" s="12">
        <v>45778.0</v>
      </c>
      <c r="P196" s="15"/>
      <c r="Q196" s="14"/>
      <c r="R196" s="14"/>
    </row>
    <row r="197">
      <c r="A197" s="9">
        <v>2.404120076E9</v>
      </c>
      <c r="B197" s="10" t="s">
        <v>19</v>
      </c>
      <c r="C197" s="11"/>
      <c r="D197" s="10" t="s">
        <v>70</v>
      </c>
      <c r="E197" s="11"/>
      <c r="F197" s="9">
        <v>8.0</v>
      </c>
      <c r="G197" s="9">
        <v>32.0</v>
      </c>
      <c r="H197" s="11"/>
      <c r="I197" s="11"/>
      <c r="J197" s="9">
        <v>8.0</v>
      </c>
      <c r="K197" s="9">
        <v>32.0</v>
      </c>
      <c r="L197" s="9">
        <v>0.0</v>
      </c>
      <c r="M197" s="9">
        <v>0.0</v>
      </c>
      <c r="N197" s="9">
        <v>32.0</v>
      </c>
      <c r="O197" s="12">
        <v>45778.0</v>
      </c>
      <c r="P197" s="15"/>
      <c r="Q197" s="14"/>
      <c r="R197" s="14"/>
    </row>
    <row r="198">
      <c r="A198" s="9">
        <v>2.404120076E9</v>
      </c>
      <c r="B198" s="10" t="s">
        <v>19</v>
      </c>
      <c r="C198" s="11"/>
      <c r="D198" s="10" t="s">
        <v>126</v>
      </c>
      <c r="E198" s="11"/>
      <c r="F198" s="9">
        <v>3.0</v>
      </c>
      <c r="G198" s="9">
        <v>12.0</v>
      </c>
      <c r="H198" s="11"/>
      <c r="I198" s="11"/>
      <c r="J198" s="9">
        <v>3.0</v>
      </c>
      <c r="K198" s="9">
        <v>12.0</v>
      </c>
      <c r="L198" s="9">
        <v>0.0</v>
      </c>
      <c r="M198" s="9">
        <v>0.0</v>
      </c>
      <c r="N198" s="9">
        <v>12.0</v>
      </c>
      <c r="O198" s="12">
        <v>45778.0</v>
      </c>
      <c r="P198" s="15"/>
      <c r="Q198" s="14"/>
      <c r="R198" s="14"/>
    </row>
    <row r="199">
      <c r="A199" s="9">
        <v>2.404120076E9</v>
      </c>
      <c r="B199" s="10" t="s">
        <v>19</v>
      </c>
      <c r="C199" s="11"/>
      <c r="D199" s="10" t="s">
        <v>121</v>
      </c>
      <c r="E199" s="11"/>
      <c r="F199" s="9">
        <v>34.0</v>
      </c>
      <c r="G199" s="9">
        <v>236.0</v>
      </c>
      <c r="H199" s="11"/>
      <c r="I199" s="11"/>
      <c r="J199" s="9">
        <v>34.0</v>
      </c>
      <c r="K199" s="9">
        <v>236.0</v>
      </c>
      <c r="L199" s="9">
        <v>0.0</v>
      </c>
      <c r="M199" s="9">
        <v>0.0</v>
      </c>
      <c r="N199" s="9">
        <v>236.0</v>
      </c>
      <c r="O199" s="12">
        <v>45778.0</v>
      </c>
      <c r="P199" s="15"/>
      <c r="Q199" s="14"/>
      <c r="R199" s="14"/>
    </row>
    <row r="200">
      <c r="A200" s="9">
        <v>2.404120076E9</v>
      </c>
      <c r="B200" s="10" t="s">
        <v>19</v>
      </c>
      <c r="C200" s="11"/>
      <c r="D200" s="10" t="s">
        <v>96</v>
      </c>
      <c r="E200" s="11"/>
      <c r="F200" s="9">
        <v>52.0</v>
      </c>
      <c r="G200" s="9">
        <v>260.0</v>
      </c>
      <c r="H200" s="11"/>
      <c r="I200" s="11"/>
      <c r="J200" s="9">
        <v>52.0</v>
      </c>
      <c r="K200" s="9">
        <v>260.0</v>
      </c>
      <c r="L200" s="9">
        <v>0.0</v>
      </c>
      <c r="M200" s="9">
        <v>0.0</v>
      </c>
      <c r="N200" s="9">
        <v>260.0</v>
      </c>
      <c r="O200" s="12">
        <v>45778.0</v>
      </c>
      <c r="P200" s="15"/>
      <c r="Q200" s="14"/>
      <c r="R200" s="14"/>
    </row>
    <row r="201">
      <c r="A201" s="9">
        <v>2.404120076E9</v>
      </c>
      <c r="B201" s="10" t="s">
        <v>19</v>
      </c>
      <c r="C201" s="11"/>
      <c r="D201" s="10" t="s">
        <v>122</v>
      </c>
      <c r="E201" s="11"/>
      <c r="F201" s="9">
        <v>269.0</v>
      </c>
      <c r="G201" s="9">
        <v>269.0</v>
      </c>
      <c r="H201" s="11"/>
      <c r="I201" s="11"/>
      <c r="J201" s="9">
        <v>269.0</v>
      </c>
      <c r="K201" s="9">
        <v>269.0</v>
      </c>
      <c r="L201" s="9">
        <v>0.0</v>
      </c>
      <c r="M201" s="9">
        <v>0.0</v>
      </c>
      <c r="N201" s="9">
        <v>269.0</v>
      </c>
      <c r="O201" s="12">
        <v>45778.0</v>
      </c>
      <c r="P201" s="15"/>
      <c r="Q201" s="14"/>
      <c r="R201" s="14"/>
    </row>
    <row r="202">
      <c r="A202" s="9">
        <v>2.404120076E9</v>
      </c>
      <c r="B202" s="10" t="s">
        <v>19</v>
      </c>
      <c r="C202" s="11"/>
      <c r="D202" s="10" t="s">
        <v>72</v>
      </c>
      <c r="E202" s="11"/>
      <c r="F202" s="9">
        <v>108.0</v>
      </c>
      <c r="G202" s="9">
        <v>216.0</v>
      </c>
      <c r="H202" s="11"/>
      <c r="I202" s="11"/>
      <c r="J202" s="9">
        <v>108.0</v>
      </c>
      <c r="K202" s="9">
        <v>216.0</v>
      </c>
      <c r="L202" s="9">
        <v>0.0</v>
      </c>
      <c r="M202" s="9">
        <v>0.0</v>
      </c>
      <c r="N202" s="9">
        <v>216.0</v>
      </c>
      <c r="O202" s="12">
        <v>45778.0</v>
      </c>
      <c r="P202" s="15"/>
      <c r="Q202" s="14"/>
      <c r="R202" s="14"/>
    </row>
    <row r="203">
      <c r="A203" s="9">
        <v>2.404120076E9</v>
      </c>
      <c r="B203" s="10" t="s">
        <v>19</v>
      </c>
      <c r="C203" s="11"/>
      <c r="D203" s="10" t="s">
        <v>97</v>
      </c>
      <c r="E203" s="11"/>
      <c r="F203" s="9">
        <v>24.0</v>
      </c>
      <c r="G203" s="9">
        <v>144.0</v>
      </c>
      <c r="H203" s="11"/>
      <c r="I203" s="11"/>
      <c r="J203" s="9">
        <v>24.0</v>
      </c>
      <c r="K203" s="9">
        <v>144.0</v>
      </c>
      <c r="L203" s="9">
        <v>0.0</v>
      </c>
      <c r="M203" s="9">
        <v>0.0</v>
      </c>
      <c r="N203" s="9">
        <v>144.0</v>
      </c>
      <c r="O203" s="12">
        <v>45778.0</v>
      </c>
      <c r="P203" s="15"/>
      <c r="Q203" s="14"/>
      <c r="R203" s="14"/>
    </row>
    <row r="204">
      <c r="A204" s="9">
        <v>2.404120076E9</v>
      </c>
      <c r="B204" s="10" t="s">
        <v>19</v>
      </c>
      <c r="C204" s="11"/>
      <c r="D204" s="10" t="s">
        <v>123</v>
      </c>
      <c r="E204" s="11"/>
      <c r="F204" s="9">
        <v>21.0</v>
      </c>
      <c r="G204" s="9">
        <v>63.0</v>
      </c>
      <c r="H204" s="11"/>
      <c r="I204" s="11"/>
      <c r="J204" s="9">
        <v>21.0</v>
      </c>
      <c r="K204" s="9">
        <v>63.0</v>
      </c>
      <c r="L204" s="9">
        <v>0.0</v>
      </c>
      <c r="M204" s="9">
        <v>0.0</v>
      </c>
      <c r="N204" s="9">
        <v>63.0</v>
      </c>
      <c r="O204" s="12">
        <v>45778.0</v>
      </c>
      <c r="P204" s="15"/>
      <c r="Q204" s="14"/>
      <c r="R204" s="14"/>
    </row>
    <row r="205">
      <c r="A205" s="9">
        <v>2.404120076E9</v>
      </c>
      <c r="B205" s="10" t="s">
        <v>19</v>
      </c>
      <c r="C205" s="11"/>
      <c r="D205" s="10" t="s">
        <v>73</v>
      </c>
      <c r="E205" s="11"/>
      <c r="F205" s="9">
        <v>1.0</v>
      </c>
      <c r="G205" s="9">
        <v>4.0</v>
      </c>
      <c r="H205" s="11"/>
      <c r="I205" s="11"/>
      <c r="J205" s="9">
        <v>1.0</v>
      </c>
      <c r="K205" s="9">
        <v>4.0</v>
      </c>
      <c r="L205" s="9">
        <v>0.0</v>
      </c>
      <c r="M205" s="9">
        <v>0.0</v>
      </c>
      <c r="N205" s="9">
        <v>4.0</v>
      </c>
      <c r="O205" s="12">
        <v>45778.0</v>
      </c>
      <c r="P205" s="15"/>
      <c r="Q205" s="14"/>
      <c r="R205" s="14"/>
    </row>
    <row r="206">
      <c r="A206" s="9">
        <v>2.404120076E9</v>
      </c>
      <c r="B206" s="10" t="s">
        <v>19</v>
      </c>
      <c r="C206" s="11"/>
      <c r="D206" s="10" t="s">
        <v>99</v>
      </c>
      <c r="E206" s="11"/>
      <c r="F206" s="9">
        <v>49.0</v>
      </c>
      <c r="G206" s="9">
        <v>245.0</v>
      </c>
      <c r="H206" s="11"/>
      <c r="I206" s="11"/>
      <c r="J206" s="9">
        <v>49.0</v>
      </c>
      <c r="K206" s="9">
        <v>245.0</v>
      </c>
      <c r="L206" s="9">
        <v>0.0</v>
      </c>
      <c r="M206" s="9">
        <v>0.0</v>
      </c>
      <c r="N206" s="9">
        <v>245.0</v>
      </c>
      <c r="O206" s="12">
        <v>45778.0</v>
      </c>
      <c r="P206" s="15"/>
      <c r="Q206" s="14"/>
      <c r="R206" s="14"/>
    </row>
    <row r="207">
      <c r="A207" s="9">
        <v>2.404120076E9</v>
      </c>
      <c r="B207" s="10" t="s">
        <v>19</v>
      </c>
      <c r="C207" s="11"/>
      <c r="D207" s="10" t="s">
        <v>111</v>
      </c>
      <c r="E207" s="11"/>
      <c r="F207" s="9">
        <v>23.0</v>
      </c>
      <c r="G207" s="9">
        <v>98.0</v>
      </c>
      <c r="H207" s="11"/>
      <c r="I207" s="11"/>
      <c r="J207" s="9">
        <v>23.0</v>
      </c>
      <c r="K207" s="9">
        <v>98.0</v>
      </c>
      <c r="L207" s="9">
        <v>0.0</v>
      </c>
      <c r="M207" s="9">
        <v>0.0</v>
      </c>
      <c r="N207" s="9">
        <v>98.0</v>
      </c>
      <c r="O207" s="12">
        <v>45778.0</v>
      </c>
      <c r="P207" s="15"/>
      <c r="Q207" s="14"/>
      <c r="R207" s="14"/>
    </row>
    <row r="208">
      <c r="A208" s="9">
        <v>2.404120076E9</v>
      </c>
      <c r="B208" s="10" t="s">
        <v>19</v>
      </c>
      <c r="C208" s="11"/>
      <c r="D208" s="10" t="s">
        <v>74</v>
      </c>
      <c r="E208" s="11"/>
      <c r="F208" s="9">
        <v>412.0</v>
      </c>
      <c r="G208" s="9">
        <v>416.0</v>
      </c>
      <c r="H208" s="11"/>
      <c r="I208" s="11"/>
      <c r="J208" s="9">
        <v>412.0</v>
      </c>
      <c r="K208" s="9">
        <v>416.0</v>
      </c>
      <c r="L208" s="9">
        <v>0.0</v>
      </c>
      <c r="M208" s="9">
        <v>0.0</v>
      </c>
      <c r="N208" s="9">
        <v>416.0</v>
      </c>
      <c r="O208" s="12">
        <v>45778.0</v>
      </c>
      <c r="P208" s="15"/>
      <c r="Q208" s="14"/>
      <c r="R208" s="14"/>
    </row>
    <row r="209">
      <c r="A209" s="9">
        <v>2.404120076E9</v>
      </c>
      <c r="B209" s="10" t="s">
        <v>19</v>
      </c>
      <c r="C209" s="11"/>
      <c r="D209" s="10" t="s">
        <v>100</v>
      </c>
      <c r="E209" s="11"/>
      <c r="F209" s="9">
        <v>19.0</v>
      </c>
      <c r="G209" s="9">
        <v>57.0</v>
      </c>
      <c r="H209" s="11"/>
      <c r="I209" s="11"/>
      <c r="J209" s="9">
        <v>19.0</v>
      </c>
      <c r="K209" s="9">
        <v>57.0</v>
      </c>
      <c r="L209" s="9">
        <v>0.0</v>
      </c>
      <c r="M209" s="9">
        <v>0.0</v>
      </c>
      <c r="N209" s="9">
        <v>57.0</v>
      </c>
      <c r="O209" s="12">
        <v>45778.0</v>
      </c>
      <c r="P209" s="15"/>
      <c r="Q209" s="14"/>
      <c r="R209" s="14"/>
    </row>
    <row r="210">
      <c r="A210" s="9">
        <v>2.404120076E9</v>
      </c>
      <c r="B210" s="10" t="s">
        <v>19</v>
      </c>
      <c r="C210" s="11"/>
      <c r="D210" s="10" t="s">
        <v>79</v>
      </c>
      <c r="E210" s="11"/>
      <c r="F210" s="9">
        <v>35.0</v>
      </c>
      <c r="G210" s="9">
        <v>105.0</v>
      </c>
      <c r="H210" s="11"/>
      <c r="I210" s="11"/>
      <c r="J210" s="9">
        <v>35.0</v>
      </c>
      <c r="K210" s="9">
        <v>105.0</v>
      </c>
      <c r="L210" s="9">
        <v>0.0</v>
      </c>
      <c r="M210" s="9">
        <v>0.0</v>
      </c>
      <c r="N210" s="9">
        <v>105.0</v>
      </c>
      <c r="O210" s="12">
        <v>45778.0</v>
      </c>
      <c r="P210" s="15"/>
      <c r="Q210" s="14"/>
      <c r="R210" s="14"/>
    </row>
    <row r="211">
      <c r="A211" s="9">
        <v>2.404120076E9</v>
      </c>
      <c r="B211" s="10" t="s">
        <v>19</v>
      </c>
      <c r="C211" s="11"/>
      <c r="D211" s="10" t="s">
        <v>102</v>
      </c>
      <c r="E211" s="11"/>
      <c r="F211" s="9">
        <v>85.0</v>
      </c>
      <c r="G211" s="9">
        <v>255.0</v>
      </c>
      <c r="H211" s="11"/>
      <c r="I211" s="11"/>
      <c r="J211" s="9">
        <v>85.0</v>
      </c>
      <c r="K211" s="9">
        <v>255.0</v>
      </c>
      <c r="L211" s="9">
        <v>0.0</v>
      </c>
      <c r="M211" s="9">
        <v>0.0</v>
      </c>
      <c r="N211" s="9">
        <v>255.0</v>
      </c>
      <c r="O211" s="12">
        <v>45778.0</v>
      </c>
      <c r="P211" s="15"/>
      <c r="Q211" s="14"/>
      <c r="R211" s="14"/>
    </row>
    <row r="212">
      <c r="A212" s="9">
        <v>2.404120076E9</v>
      </c>
      <c r="B212" s="10" t="s">
        <v>19</v>
      </c>
      <c r="C212" s="11"/>
      <c r="D212" s="10" t="s">
        <v>114</v>
      </c>
      <c r="E212" s="11"/>
      <c r="F212" s="9">
        <v>35.0</v>
      </c>
      <c r="G212" s="9">
        <v>113.0</v>
      </c>
      <c r="H212" s="11"/>
      <c r="I212" s="11"/>
      <c r="J212" s="9">
        <v>35.0</v>
      </c>
      <c r="K212" s="9">
        <v>113.0</v>
      </c>
      <c r="L212" s="9">
        <v>0.0</v>
      </c>
      <c r="M212" s="9">
        <v>0.0</v>
      </c>
      <c r="N212" s="9">
        <v>113.0</v>
      </c>
      <c r="O212" s="12">
        <v>45778.0</v>
      </c>
      <c r="P212" s="15"/>
      <c r="Q212" s="14"/>
      <c r="R212" s="14"/>
    </row>
    <row r="213">
      <c r="A213" s="9">
        <v>2.404120076E9</v>
      </c>
      <c r="B213" s="10" t="s">
        <v>19</v>
      </c>
      <c r="C213" s="11"/>
      <c r="D213" s="10" t="s">
        <v>103</v>
      </c>
      <c r="E213" s="11"/>
      <c r="F213" s="9">
        <v>31.0</v>
      </c>
      <c r="G213" s="9">
        <v>155.0</v>
      </c>
      <c r="H213" s="11"/>
      <c r="I213" s="11"/>
      <c r="J213" s="9">
        <v>31.0</v>
      </c>
      <c r="K213" s="9">
        <v>155.0</v>
      </c>
      <c r="L213" s="9">
        <v>0.0</v>
      </c>
      <c r="M213" s="9">
        <v>0.0</v>
      </c>
      <c r="N213" s="9">
        <v>155.0</v>
      </c>
      <c r="O213" s="12">
        <v>45778.0</v>
      </c>
      <c r="P213" s="15"/>
      <c r="Q213" s="14"/>
      <c r="R213" s="14"/>
    </row>
    <row r="214">
      <c r="A214" s="9">
        <v>2.404120076E9</v>
      </c>
      <c r="B214" s="10" t="s">
        <v>19</v>
      </c>
      <c r="C214" s="11"/>
      <c r="D214" s="2" t="s">
        <v>115</v>
      </c>
      <c r="E214" s="11"/>
      <c r="F214" s="9">
        <v>240.0</v>
      </c>
      <c r="G214" s="9">
        <v>1200.0</v>
      </c>
      <c r="H214" s="11"/>
      <c r="I214" s="11"/>
      <c r="J214" s="9">
        <v>240.0</v>
      </c>
      <c r="K214" s="9">
        <v>1200.0</v>
      </c>
      <c r="L214" s="9">
        <v>0.0</v>
      </c>
      <c r="M214" s="9">
        <v>0.0</v>
      </c>
      <c r="N214" s="9">
        <v>1200.0</v>
      </c>
      <c r="O214" s="12">
        <v>45778.0</v>
      </c>
      <c r="P214" s="15"/>
      <c r="Q214" s="14"/>
      <c r="R214" s="14"/>
    </row>
    <row r="215">
      <c r="A215" s="9">
        <v>2.404120076E9</v>
      </c>
      <c r="B215" s="10" t="s">
        <v>19</v>
      </c>
      <c r="C215" s="11"/>
      <c r="D215" s="10" t="s">
        <v>118</v>
      </c>
      <c r="E215" s="11"/>
      <c r="F215" s="9">
        <v>16.0</v>
      </c>
      <c r="G215" s="9">
        <v>64.0</v>
      </c>
      <c r="H215" s="11"/>
      <c r="I215" s="11"/>
      <c r="J215" s="9">
        <v>16.0</v>
      </c>
      <c r="K215" s="9">
        <v>64.0</v>
      </c>
      <c r="L215" s="9">
        <v>0.0</v>
      </c>
      <c r="M215" s="9">
        <v>0.0</v>
      </c>
      <c r="N215" s="9">
        <v>64.0</v>
      </c>
      <c r="O215" s="12">
        <v>45778.0</v>
      </c>
      <c r="P215" s="15"/>
      <c r="Q215" s="14"/>
      <c r="R215" s="14"/>
    </row>
    <row r="216">
      <c r="A216" s="9">
        <v>2.404120076E9</v>
      </c>
      <c r="B216" s="10" t="s">
        <v>19</v>
      </c>
      <c r="C216" s="11"/>
      <c r="D216" s="10" t="s">
        <v>105</v>
      </c>
      <c r="E216" s="11"/>
      <c r="F216" s="9">
        <v>8.0</v>
      </c>
      <c r="G216" s="9">
        <v>56.0</v>
      </c>
      <c r="H216" s="11"/>
      <c r="I216" s="11"/>
      <c r="J216" s="9">
        <v>8.0</v>
      </c>
      <c r="K216" s="9">
        <v>56.0</v>
      </c>
      <c r="L216" s="9">
        <v>0.0</v>
      </c>
      <c r="M216" s="9">
        <v>0.0</v>
      </c>
      <c r="N216" s="9">
        <v>56.0</v>
      </c>
      <c r="O216" s="12">
        <v>45778.0</v>
      </c>
      <c r="P216" s="15"/>
      <c r="Q216" s="14"/>
      <c r="R216" s="14"/>
    </row>
    <row r="217">
      <c r="A217" s="9">
        <v>2.404120076E9</v>
      </c>
      <c r="B217" s="10" t="s">
        <v>19</v>
      </c>
      <c r="C217" s="11"/>
      <c r="D217" s="10" t="s">
        <v>81</v>
      </c>
      <c r="E217" s="11"/>
      <c r="F217" s="9">
        <v>11.0</v>
      </c>
      <c r="G217" s="9">
        <v>33.0</v>
      </c>
      <c r="H217" s="11"/>
      <c r="I217" s="11"/>
      <c r="J217" s="9">
        <v>11.0</v>
      </c>
      <c r="K217" s="9">
        <v>33.0</v>
      </c>
      <c r="L217" s="9">
        <v>0.0</v>
      </c>
      <c r="M217" s="9">
        <v>0.0</v>
      </c>
      <c r="N217" s="9">
        <v>33.0</v>
      </c>
      <c r="O217" s="12">
        <v>45778.0</v>
      </c>
      <c r="P217" s="15"/>
      <c r="Q217" s="14"/>
      <c r="R217" s="14"/>
    </row>
    <row r="218">
      <c r="A218" s="9">
        <v>2.404120076E9</v>
      </c>
      <c r="B218" s="10" t="s">
        <v>19</v>
      </c>
      <c r="C218" s="11"/>
      <c r="D218" s="10" t="s">
        <v>125</v>
      </c>
      <c r="E218" s="11"/>
      <c r="F218" s="9">
        <v>46.0</v>
      </c>
      <c r="G218" s="9">
        <v>230.0</v>
      </c>
      <c r="H218" s="11"/>
      <c r="I218" s="11"/>
      <c r="J218" s="9">
        <v>46.0</v>
      </c>
      <c r="K218" s="9">
        <v>230.0</v>
      </c>
      <c r="L218" s="9">
        <v>0.0</v>
      </c>
      <c r="M218" s="9">
        <v>0.0</v>
      </c>
      <c r="N218" s="9">
        <v>230.0</v>
      </c>
      <c r="O218" s="12">
        <v>45778.0</v>
      </c>
      <c r="P218" s="15"/>
      <c r="Q218" s="14"/>
      <c r="R218" s="14"/>
    </row>
    <row r="219">
      <c r="A219" s="9">
        <v>2.404120076E9</v>
      </c>
      <c r="B219" s="10" t="s">
        <v>19</v>
      </c>
      <c r="C219" s="11"/>
      <c r="D219" s="10" t="s">
        <v>127</v>
      </c>
      <c r="E219" s="11"/>
      <c r="F219" s="9">
        <v>8.0</v>
      </c>
      <c r="G219" s="9">
        <v>96.0</v>
      </c>
      <c r="H219" s="11"/>
      <c r="I219" s="11"/>
      <c r="J219" s="9">
        <v>8.0</v>
      </c>
      <c r="K219" s="9">
        <v>96.0</v>
      </c>
      <c r="L219" s="9">
        <v>0.0</v>
      </c>
      <c r="M219" s="9">
        <v>0.0</v>
      </c>
      <c r="N219" s="9">
        <v>96.0</v>
      </c>
      <c r="O219" s="12">
        <v>45778.0</v>
      </c>
      <c r="P219" s="15"/>
      <c r="Q219" s="14"/>
      <c r="R219" s="14"/>
    </row>
    <row r="220">
      <c r="A220" s="9">
        <v>2.404120076E9</v>
      </c>
      <c r="B220" s="10" t="s">
        <v>19</v>
      </c>
      <c r="C220" s="11"/>
      <c r="D220" s="10" t="s">
        <v>86</v>
      </c>
      <c r="E220" s="11"/>
      <c r="F220" s="9">
        <v>161.0</v>
      </c>
      <c r="G220" s="9">
        <v>644.0</v>
      </c>
      <c r="H220" s="11"/>
      <c r="I220" s="11"/>
      <c r="J220" s="9">
        <v>161.0</v>
      </c>
      <c r="K220" s="9">
        <v>644.0</v>
      </c>
      <c r="L220" s="9">
        <v>0.0</v>
      </c>
      <c r="M220" s="9">
        <v>0.0</v>
      </c>
      <c r="N220" s="9">
        <v>644.0</v>
      </c>
      <c r="O220" s="12">
        <v>45778.0</v>
      </c>
      <c r="P220" s="15"/>
      <c r="Q220" s="14"/>
      <c r="R220" s="14"/>
    </row>
    <row r="221">
      <c r="A221" s="9">
        <v>2.404120076E9</v>
      </c>
      <c r="B221" s="10" t="s">
        <v>19</v>
      </c>
      <c r="C221" s="11"/>
      <c r="D221" s="10" t="s">
        <v>128</v>
      </c>
      <c r="E221" s="11"/>
      <c r="F221" s="9">
        <v>12.0</v>
      </c>
      <c r="G221" s="9">
        <v>24.0</v>
      </c>
      <c r="H221" s="11"/>
      <c r="I221" s="11"/>
      <c r="J221" s="9">
        <v>12.0</v>
      </c>
      <c r="K221" s="9">
        <v>24.0</v>
      </c>
      <c r="L221" s="9">
        <v>0.0</v>
      </c>
      <c r="M221" s="9">
        <v>0.0</v>
      </c>
      <c r="N221" s="9">
        <v>24.0</v>
      </c>
      <c r="O221" s="12">
        <v>45778.0</v>
      </c>
      <c r="P221" s="15"/>
      <c r="Q221" s="14"/>
      <c r="R221" s="14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9">
        <v>0.0</v>
      </c>
      <c r="K222" s="9">
        <v>0.0</v>
      </c>
      <c r="L222" s="9">
        <v>0.0</v>
      </c>
      <c r="M222" s="9">
        <v>0.0</v>
      </c>
      <c r="N222" s="9">
        <v>0.0</v>
      </c>
      <c r="O222" s="12"/>
      <c r="P222" s="15"/>
      <c r="Q222" s="14"/>
      <c r="R222" s="14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9">
        <v>0.0</v>
      </c>
      <c r="K223" s="9">
        <v>0.0</v>
      </c>
      <c r="L223" s="9">
        <v>0.0</v>
      </c>
      <c r="M223" s="9">
        <v>0.0</v>
      </c>
      <c r="N223" s="9">
        <v>0.0</v>
      </c>
      <c r="O223" s="17"/>
      <c r="P223" s="15"/>
      <c r="Q223" s="14"/>
      <c r="R223" s="14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9">
        <v>0.0</v>
      </c>
      <c r="K224" s="9">
        <v>0.0</v>
      </c>
      <c r="L224" s="9">
        <v>0.0</v>
      </c>
      <c r="M224" s="9">
        <v>0.0</v>
      </c>
      <c r="N224" s="9">
        <v>0.0</v>
      </c>
      <c r="O224" s="17"/>
      <c r="P224" s="15"/>
      <c r="Q224" s="14"/>
      <c r="R224" s="14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9">
        <v>0.0</v>
      </c>
      <c r="K225" s="9">
        <v>0.0</v>
      </c>
      <c r="L225" s="9">
        <v>0.0</v>
      </c>
      <c r="M225" s="9">
        <v>0.0</v>
      </c>
      <c r="N225" s="9">
        <v>0.0</v>
      </c>
      <c r="O225" s="17"/>
      <c r="P225" s="15"/>
      <c r="Q225" s="14"/>
      <c r="R225" s="14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9">
        <v>0.0</v>
      </c>
      <c r="K226" s="9">
        <v>0.0</v>
      </c>
      <c r="L226" s="9">
        <v>0.0</v>
      </c>
      <c r="M226" s="9">
        <v>0.0</v>
      </c>
      <c r="N226" s="9">
        <v>0.0</v>
      </c>
      <c r="O226" s="17"/>
      <c r="P226" s="15"/>
      <c r="Q226" s="14"/>
      <c r="R226" s="14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9">
        <v>0.0</v>
      </c>
      <c r="K227" s="9">
        <v>0.0</v>
      </c>
      <c r="L227" s="9">
        <v>0.0</v>
      </c>
      <c r="M227" s="9">
        <v>0.0</v>
      </c>
      <c r="N227" s="9">
        <v>0.0</v>
      </c>
      <c r="O227" s="17"/>
      <c r="P227" s="15"/>
      <c r="Q227" s="14"/>
      <c r="R227" s="14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9">
        <v>0.0</v>
      </c>
      <c r="K228" s="9">
        <v>0.0</v>
      </c>
      <c r="L228" s="9">
        <v>0.0</v>
      </c>
      <c r="M228" s="9">
        <v>0.0</v>
      </c>
      <c r="N228" s="9">
        <v>0.0</v>
      </c>
      <c r="O228" s="17"/>
      <c r="P228" s="15"/>
      <c r="Q228" s="14"/>
      <c r="R228" s="14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9">
        <v>0.0</v>
      </c>
      <c r="K229" s="9">
        <v>0.0</v>
      </c>
      <c r="L229" s="9">
        <v>0.0</v>
      </c>
      <c r="M229" s="9">
        <v>0.0</v>
      </c>
      <c r="N229" s="9">
        <v>0.0</v>
      </c>
      <c r="O229" s="17"/>
      <c r="P229" s="15"/>
      <c r="Q229" s="14"/>
      <c r="R229" s="14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9">
        <v>0.0</v>
      </c>
      <c r="K230" s="9">
        <v>0.0</v>
      </c>
      <c r="L230" s="9">
        <v>0.0</v>
      </c>
      <c r="M230" s="9">
        <v>0.0</v>
      </c>
      <c r="N230" s="9">
        <v>0.0</v>
      </c>
      <c r="O230" s="17"/>
      <c r="P230" s="15"/>
      <c r="Q230" s="14"/>
      <c r="R230" s="14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9">
        <v>0.0</v>
      </c>
      <c r="K231" s="9">
        <v>0.0</v>
      </c>
      <c r="L231" s="9">
        <v>0.0</v>
      </c>
      <c r="M231" s="9">
        <v>0.0</v>
      </c>
      <c r="N231" s="9">
        <v>0.0</v>
      </c>
      <c r="O231" s="17"/>
      <c r="P231" s="15"/>
      <c r="Q231" s="14"/>
      <c r="R231" s="14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9">
        <v>0.0</v>
      </c>
      <c r="K232" s="9">
        <v>0.0</v>
      </c>
      <c r="L232" s="9">
        <v>0.0</v>
      </c>
      <c r="M232" s="9">
        <v>0.0</v>
      </c>
      <c r="N232" s="9">
        <v>0.0</v>
      </c>
      <c r="O232" s="17"/>
      <c r="P232" s="15"/>
      <c r="Q232" s="14"/>
      <c r="R232" s="14"/>
    </row>
    <row r="233">
      <c r="A233" s="9">
        <v>2.503000216E9</v>
      </c>
      <c r="B233" s="18" t="s">
        <v>23</v>
      </c>
      <c r="C233" s="9">
        <v>1.0</v>
      </c>
      <c r="D233" s="10" t="s">
        <v>129</v>
      </c>
      <c r="E233" s="9">
        <v>5.0</v>
      </c>
      <c r="F233" s="9">
        <v>332.0</v>
      </c>
      <c r="G233" s="9">
        <v>1660.0</v>
      </c>
      <c r="H233" s="9">
        <v>0.0</v>
      </c>
      <c r="I233" s="9">
        <v>0.0</v>
      </c>
      <c r="J233" s="9">
        <v>332.0</v>
      </c>
      <c r="K233" s="9">
        <v>1660.0</v>
      </c>
      <c r="L233" s="9">
        <v>2.8</v>
      </c>
      <c r="M233" s="9">
        <v>929.6</v>
      </c>
      <c r="N233" s="9">
        <v>730.4</v>
      </c>
      <c r="O233" s="12">
        <v>45809.0</v>
      </c>
      <c r="P233" s="13">
        <v>45809.0</v>
      </c>
      <c r="Q233" s="14"/>
      <c r="R233" s="14"/>
    </row>
    <row r="234">
      <c r="A234" s="9">
        <v>2.503000216E9</v>
      </c>
      <c r="B234" s="18" t="s">
        <v>23</v>
      </c>
      <c r="C234" s="9">
        <v>2.0</v>
      </c>
      <c r="D234" s="10" t="s">
        <v>74</v>
      </c>
      <c r="E234" s="9">
        <v>1.0</v>
      </c>
      <c r="F234" s="9">
        <v>1024.0</v>
      </c>
      <c r="G234" s="9">
        <v>1024.0</v>
      </c>
      <c r="H234" s="9">
        <v>0.0</v>
      </c>
      <c r="I234" s="9">
        <v>0.0</v>
      </c>
      <c r="J234" s="9">
        <v>1024.0</v>
      </c>
      <c r="K234" s="9">
        <v>1024.0</v>
      </c>
      <c r="L234" s="9">
        <v>0.3</v>
      </c>
      <c r="M234" s="9">
        <v>307.2</v>
      </c>
      <c r="N234" s="9">
        <v>716.8</v>
      </c>
      <c r="O234" s="12">
        <v>45809.0</v>
      </c>
      <c r="P234" s="15"/>
      <c r="Q234" s="14"/>
      <c r="R234" s="14"/>
    </row>
    <row r="235">
      <c r="A235" s="9">
        <v>2.503000216E9</v>
      </c>
      <c r="B235" s="18" t="s">
        <v>23</v>
      </c>
      <c r="C235" s="9">
        <v>3.0</v>
      </c>
      <c r="D235" s="10" t="s">
        <v>125</v>
      </c>
      <c r="E235" s="9">
        <v>7.0</v>
      </c>
      <c r="F235" s="9">
        <v>127.0</v>
      </c>
      <c r="G235" s="9">
        <v>635.0</v>
      </c>
      <c r="H235" s="9">
        <v>0.0</v>
      </c>
      <c r="I235" s="9">
        <v>0.0</v>
      </c>
      <c r="J235" s="9">
        <v>127.0</v>
      </c>
      <c r="K235" s="9">
        <v>635.0</v>
      </c>
      <c r="L235" s="9">
        <v>6.2</v>
      </c>
      <c r="M235" s="9">
        <v>787.4</v>
      </c>
      <c r="N235" s="9">
        <v>-152.4</v>
      </c>
      <c r="O235" s="12">
        <v>45809.0</v>
      </c>
      <c r="P235" s="15"/>
      <c r="Q235" s="14"/>
      <c r="R235" s="14"/>
    </row>
    <row r="236">
      <c r="A236" s="9">
        <v>2.503000216E9</v>
      </c>
      <c r="B236" s="18" t="s">
        <v>23</v>
      </c>
      <c r="C236" s="9">
        <v>4.0</v>
      </c>
      <c r="D236" s="10" t="s">
        <v>130</v>
      </c>
      <c r="E236" s="9">
        <v>8.0</v>
      </c>
      <c r="F236" s="9">
        <v>21.0</v>
      </c>
      <c r="G236" s="9">
        <v>149.0</v>
      </c>
      <c r="H236" s="9">
        <v>0.0</v>
      </c>
      <c r="I236" s="9">
        <v>0.0</v>
      </c>
      <c r="J236" s="9">
        <v>21.0</v>
      </c>
      <c r="K236" s="9">
        <v>149.0</v>
      </c>
      <c r="L236" s="9">
        <v>4.75</v>
      </c>
      <c r="M236" s="9">
        <v>99.75</v>
      </c>
      <c r="N236" s="9">
        <v>49.25</v>
      </c>
      <c r="O236" s="12">
        <v>45809.0</v>
      </c>
      <c r="P236" s="15"/>
      <c r="Q236" s="14"/>
      <c r="R236" s="14"/>
    </row>
    <row r="237">
      <c r="A237" s="9">
        <v>2.503000216E9</v>
      </c>
      <c r="B237" s="18" t="s">
        <v>23</v>
      </c>
      <c r="C237" s="9">
        <v>5.0</v>
      </c>
      <c r="D237" s="10" t="s">
        <v>131</v>
      </c>
      <c r="E237" s="9">
        <v>3.0</v>
      </c>
      <c r="F237" s="9">
        <v>46.0</v>
      </c>
      <c r="G237" s="9">
        <v>138.0</v>
      </c>
      <c r="H237" s="9">
        <v>0.0</v>
      </c>
      <c r="I237" s="9">
        <v>0.0</v>
      </c>
      <c r="J237" s="9">
        <v>46.0</v>
      </c>
      <c r="K237" s="9">
        <v>138.0</v>
      </c>
      <c r="L237" s="9">
        <v>2.0</v>
      </c>
      <c r="M237" s="9">
        <v>92.0</v>
      </c>
      <c r="N237" s="9">
        <v>46.0</v>
      </c>
      <c r="O237" s="12">
        <v>45809.0</v>
      </c>
      <c r="P237" s="15"/>
      <c r="Q237" s="14"/>
      <c r="R237" s="14"/>
    </row>
    <row r="238">
      <c r="A238" s="9">
        <v>2.503000216E9</v>
      </c>
      <c r="B238" s="18" t="s">
        <v>23</v>
      </c>
      <c r="C238" s="9">
        <v>6.0</v>
      </c>
      <c r="D238" s="10" t="s">
        <v>109</v>
      </c>
      <c r="E238" s="9">
        <v>5.0</v>
      </c>
      <c r="F238" s="9">
        <v>269.0</v>
      </c>
      <c r="G238" s="9">
        <v>1368.0</v>
      </c>
      <c r="H238" s="9">
        <v>0.0</v>
      </c>
      <c r="I238" s="9">
        <v>0.0</v>
      </c>
      <c r="J238" s="9">
        <v>269.0</v>
      </c>
      <c r="K238" s="9">
        <v>1368.0</v>
      </c>
      <c r="L238" s="9">
        <v>3.08</v>
      </c>
      <c r="M238" s="9">
        <v>828.52</v>
      </c>
      <c r="N238" s="9">
        <v>539.48</v>
      </c>
      <c r="O238" s="12">
        <v>45809.0</v>
      </c>
      <c r="P238" s="15"/>
      <c r="Q238" s="14"/>
      <c r="R238" s="14"/>
    </row>
    <row r="239">
      <c r="A239" s="9">
        <v>2.503000216E9</v>
      </c>
      <c r="B239" s="18" t="s">
        <v>23</v>
      </c>
      <c r="C239" s="9">
        <v>7.0</v>
      </c>
      <c r="D239" s="10" t="s">
        <v>132</v>
      </c>
      <c r="E239" s="9">
        <v>7.0</v>
      </c>
      <c r="F239" s="9">
        <v>28.0</v>
      </c>
      <c r="G239" s="9">
        <v>244.0</v>
      </c>
      <c r="H239" s="9">
        <v>0.0</v>
      </c>
      <c r="I239" s="9">
        <v>0.0</v>
      </c>
      <c r="J239" s="9">
        <v>28.0</v>
      </c>
      <c r="K239" s="9">
        <v>244.0</v>
      </c>
      <c r="L239" s="9">
        <v>4.75</v>
      </c>
      <c r="M239" s="9">
        <v>133.0</v>
      </c>
      <c r="N239" s="9">
        <v>111.0</v>
      </c>
      <c r="O239" s="12">
        <v>45809.0</v>
      </c>
      <c r="P239" s="15"/>
      <c r="Q239" s="14"/>
      <c r="R239" s="14"/>
    </row>
    <row r="240">
      <c r="A240" s="9">
        <v>2.503000216E9</v>
      </c>
      <c r="B240" s="18" t="s">
        <v>23</v>
      </c>
      <c r="C240" s="9">
        <v>8.0</v>
      </c>
      <c r="D240" s="10" t="s">
        <v>133</v>
      </c>
      <c r="E240" s="9">
        <v>5.0</v>
      </c>
      <c r="F240" s="9">
        <v>35.0</v>
      </c>
      <c r="G240" s="9">
        <v>163.0</v>
      </c>
      <c r="H240" s="9">
        <v>0.0</v>
      </c>
      <c r="I240" s="9">
        <v>0.0</v>
      </c>
      <c r="J240" s="9">
        <v>35.0</v>
      </c>
      <c r="K240" s="9">
        <v>163.0</v>
      </c>
      <c r="L240" s="9">
        <v>3.45</v>
      </c>
      <c r="M240" s="9">
        <v>120.75</v>
      </c>
      <c r="N240" s="9">
        <v>42.25</v>
      </c>
      <c r="O240" s="12">
        <v>45809.0</v>
      </c>
      <c r="P240" s="15"/>
      <c r="Q240" s="14"/>
      <c r="R240" s="14"/>
    </row>
    <row r="241">
      <c r="A241" s="9">
        <v>2.503000216E9</v>
      </c>
      <c r="B241" s="18" t="s">
        <v>23</v>
      </c>
      <c r="C241" s="9">
        <v>9.0</v>
      </c>
      <c r="D241" s="10" t="s">
        <v>134</v>
      </c>
      <c r="E241" s="9">
        <v>3.0</v>
      </c>
      <c r="F241" s="9">
        <v>123.0</v>
      </c>
      <c r="G241" s="9">
        <v>370.0</v>
      </c>
      <c r="H241" s="9">
        <v>0.0</v>
      </c>
      <c r="I241" s="9">
        <v>0.0</v>
      </c>
      <c r="J241" s="9">
        <v>123.0</v>
      </c>
      <c r="K241" s="9">
        <v>370.0</v>
      </c>
      <c r="L241" s="9">
        <v>1.83</v>
      </c>
      <c r="M241" s="9">
        <v>225.09</v>
      </c>
      <c r="N241" s="9">
        <v>144.91</v>
      </c>
      <c r="O241" s="12">
        <v>45809.0</v>
      </c>
      <c r="P241" s="15"/>
      <c r="Q241" s="14"/>
      <c r="R241" s="14"/>
    </row>
    <row r="242">
      <c r="A242" s="9">
        <v>2.503000216E9</v>
      </c>
      <c r="B242" s="18" t="s">
        <v>23</v>
      </c>
      <c r="C242" s="9">
        <v>10.0</v>
      </c>
      <c r="D242" s="10" t="s">
        <v>135</v>
      </c>
      <c r="E242" s="9">
        <v>8.0</v>
      </c>
      <c r="F242" s="9">
        <v>88.0</v>
      </c>
      <c r="G242" s="9">
        <v>418.0</v>
      </c>
      <c r="H242" s="9">
        <v>0.0</v>
      </c>
      <c r="I242" s="9">
        <v>0.0</v>
      </c>
      <c r="J242" s="9">
        <v>88.0</v>
      </c>
      <c r="K242" s="9">
        <v>418.0</v>
      </c>
      <c r="L242" s="9">
        <v>5.83</v>
      </c>
      <c r="M242" s="9">
        <v>513.04</v>
      </c>
      <c r="N242" s="9">
        <v>-95.04</v>
      </c>
      <c r="O242" s="12">
        <v>45809.0</v>
      </c>
      <c r="P242" s="15"/>
      <c r="Q242" s="14"/>
      <c r="R242" s="14"/>
    </row>
    <row r="243">
      <c r="A243" s="9">
        <v>2.503000216E9</v>
      </c>
      <c r="B243" s="18" t="s">
        <v>23</v>
      </c>
      <c r="C243" s="9">
        <v>11.0</v>
      </c>
      <c r="D243" s="10" t="s">
        <v>86</v>
      </c>
      <c r="E243" s="9">
        <v>5.0</v>
      </c>
      <c r="F243" s="9">
        <v>201.0</v>
      </c>
      <c r="G243" s="9">
        <v>823.0</v>
      </c>
      <c r="H243" s="9">
        <v>0.0</v>
      </c>
      <c r="I243" s="9">
        <v>0.0</v>
      </c>
      <c r="J243" s="9">
        <v>201.0</v>
      </c>
      <c r="K243" s="9">
        <v>823.0</v>
      </c>
      <c r="L243" s="9">
        <v>3.5</v>
      </c>
      <c r="M243" s="9">
        <v>703.5</v>
      </c>
      <c r="N243" s="9">
        <v>119.5</v>
      </c>
      <c r="O243" s="12">
        <v>45809.0</v>
      </c>
      <c r="P243" s="15"/>
      <c r="Q243" s="14"/>
      <c r="R243" s="14"/>
    </row>
    <row r="244">
      <c r="A244" s="9">
        <v>2.503000216E9</v>
      </c>
      <c r="B244" s="18" t="s">
        <v>23</v>
      </c>
      <c r="C244" s="9">
        <v>12.0</v>
      </c>
      <c r="D244" s="10" t="s">
        <v>136</v>
      </c>
      <c r="E244" s="9">
        <v>1.0</v>
      </c>
      <c r="F244" s="9">
        <v>561.0</v>
      </c>
      <c r="G244" s="9">
        <v>574.0</v>
      </c>
      <c r="H244" s="9">
        <v>0.0</v>
      </c>
      <c r="I244" s="9">
        <v>0.0</v>
      </c>
      <c r="J244" s="9">
        <v>561.0</v>
      </c>
      <c r="K244" s="9">
        <v>574.0</v>
      </c>
      <c r="L244" s="9">
        <v>0.6</v>
      </c>
      <c r="M244" s="9">
        <v>336.6</v>
      </c>
      <c r="N244" s="9">
        <v>237.4</v>
      </c>
      <c r="O244" s="12">
        <v>45809.0</v>
      </c>
      <c r="P244" s="15"/>
      <c r="Q244" s="14"/>
      <c r="R244" s="14"/>
    </row>
    <row r="245">
      <c r="A245" s="9">
        <v>2.503000216E9</v>
      </c>
      <c r="B245" s="18" t="s">
        <v>23</v>
      </c>
      <c r="C245" s="9">
        <v>13.0</v>
      </c>
      <c r="D245" s="10" t="s">
        <v>137</v>
      </c>
      <c r="E245" s="9">
        <v>1.0</v>
      </c>
      <c r="F245" s="9">
        <v>548.0</v>
      </c>
      <c r="G245" s="9">
        <v>548.0</v>
      </c>
      <c r="H245" s="9">
        <v>0.0</v>
      </c>
      <c r="I245" s="9">
        <v>0.0</v>
      </c>
      <c r="J245" s="9">
        <v>548.0</v>
      </c>
      <c r="K245" s="9">
        <v>548.0</v>
      </c>
      <c r="L245" s="9">
        <v>0.7</v>
      </c>
      <c r="M245" s="9">
        <v>383.6</v>
      </c>
      <c r="N245" s="9">
        <v>164.4</v>
      </c>
      <c r="O245" s="12">
        <v>45809.0</v>
      </c>
      <c r="P245" s="15"/>
      <c r="Q245" s="14"/>
      <c r="R245" s="14"/>
    </row>
    <row r="246">
      <c r="A246" s="9">
        <v>2.503000216E9</v>
      </c>
      <c r="B246" s="18" t="s">
        <v>23</v>
      </c>
      <c r="C246" s="9">
        <v>14.0</v>
      </c>
      <c r="D246" s="10" t="s">
        <v>138</v>
      </c>
      <c r="E246" s="9">
        <v>7.0</v>
      </c>
      <c r="F246" s="9">
        <v>42.0</v>
      </c>
      <c r="G246" s="9">
        <v>236.0</v>
      </c>
      <c r="H246" s="9">
        <v>0.0</v>
      </c>
      <c r="I246" s="9">
        <v>0.0</v>
      </c>
      <c r="J246" s="9">
        <v>42.0</v>
      </c>
      <c r="K246" s="9">
        <v>236.0</v>
      </c>
      <c r="L246" s="9">
        <v>5.8</v>
      </c>
      <c r="M246" s="9">
        <v>243.6</v>
      </c>
      <c r="N246" s="9">
        <v>-7.6</v>
      </c>
      <c r="O246" s="12">
        <v>45809.0</v>
      </c>
      <c r="P246" s="15"/>
      <c r="Q246" s="14"/>
      <c r="R246" s="14"/>
    </row>
    <row r="247">
      <c r="A247" s="9">
        <v>2.503000216E9</v>
      </c>
      <c r="B247" s="18" t="s">
        <v>23</v>
      </c>
      <c r="C247" s="9">
        <v>15.0</v>
      </c>
      <c r="D247" s="10" t="s">
        <v>55</v>
      </c>
      <c r="E247" s="9">
        <v>2.0</v>
      </c>
      <c r="F247" s="9">
        <v>83.0</v>
      </c>
      <c r="G247" s="9">
        <v>166.0</v>
      </c>
      <c r="H247" s="9">
        <v>0.0</v>
      </c>
      <c r="I247" s="9">
        <v>0.0</v>
      </c>
      <c r="J247" s="9">
        <v>83.0</v>
      </c>
      <c r="K247" s="9">
        <v>166.0</v>
      </c>
      <c r="L247" s="9">
        <v>1.54</v>
      </c>
      <c r="M247" s="9">
        <v>127.82</v>
      </c>
      <c r="N247" s="9">
        <v>38.18</v>
      </c>
      <c r="O247" s="12">
        <v>45809.0</v>
      </c>
      <c r="P247" s="15"/>
      <c r="Q247" s="14"/>
      <c r="R247" s="14"/>
    </row>
    <row r="248">
      <c r="A248" s="9">
        <v>2.503000216E9</v>
      </c>
      <c r="B248" s="18" t="s">
        <v>23</v>
      </c>
      <c r="C248" s="9">
        <v>16.0</v>
      </c>
      <c r="D248" s="10" t="s">
        <v>139</v>
      </c>
      <c r="E248" s="9">
        <v>2.0</v>
      </c>
      <c r="F248" s="9">
        <v>46.0</v>
      </c>
      <c r="G248" s="9">
        <v>184.0</v>
      </c>
      <c r="H248" s="9">
        <v>0.0</v>
      </c>
      <c r="I248" s="9">
        <v>0.0</v>
      </c>
      <c r="J248" s="9">
        <v>46.0</v>
      </c>
      <c r="K248" s="9">
        <v>184.0</v>
      </c>
      <c r="L248" s="9">
        <v>0.92</v>
      </c>
      <c r="M248" s="9">
        <v>42.32</v>
      </c>
      <c r="N248" s="9">
        <v>141.68</v>
      </c>
      <c r="O248" s="12">
        <v>45809.0</v>
      </c>
      <c r="P248" s="15"/>
      <c r="Q248" s="14"/>
      <c r="R248" s="14"/>
    </row>
    <row r="249">
      <c r="A249" s="9">
        <v>2.503000216E9</v>
      </c>
      <c r="B249" s="18" t="s">
        <v>23</v>
      </c>
      <c r="C249" s="9">
        <v>17.0</v>
      </c>
      <c r="D249" s="10" t="s">
        <v>127</v>
      </c>
      <c r="E249" s="9">
        <v>12.0</v>
      </c>
      <c r="F249" s="9">
        <v>38.0</v>
      </c>
      <c r="G249" s="9">
        <v>456.0</v>
      </c>
      <c r="H249" s="9">
        <v>0.0</v>
      </c>
      <c r="I249" s="9">
        <v>0.0</v>
      </c>
      <c r="J249" s="9">
        <v>38.0</v>
      </c>
      <c r="K249" s="9">
        <v>456.0</v>
      </c>
      <c r="L249" s="9">
        <v>7.0</v>
      </c>
      <c r="M249" s="9">
        <v>266.0</v>
      </c>
      <c r="N249" s="9">
        <v>190.0</v>
      </c>
      <c r="O249" s="12">
        <v>45809.0</v>
      </c>
      <c r="P249" s="15"/>
      <c r="Q249" s="14"/>
      <c r="R249" s="14"/>
    </row>
    <row r="250">
      <c r="A250" s="9">
        <v>2.503000216E9</v>
      </c>
      <c r="B250" s="18" t="s">
        <v>23</v>
      </c>
      <c r="C250" s="9">
        <v>18.0</v>
      </c>
      <c r="D250" s="10" t="s">
        <v>140</v>
      </c>
      <c r="E250" s="9">
        <v>20.0</v>
      </c>
      <c r="F250" s="9">
        <v>8.0</v>
      </c>
      <c r="G250" s="9">
        <v>160.0</v>
      </c>
      <c r="H250" s="9">
        <v>0.0</v>
      </c>
      <c r="I250" s="9">
        <v>0.0</v>
      </c>
      <c r="J250" s="9">
        <v>8.0</v>
      </c>
      <c r="K250" s="9">
        <v>160.0</v>
      </c>
      <c r="L250" s="9">
        <v>12.0</v>
      </c>
      <c r="M250" s="9">
        <v>96.0</v>
      </c>
      <c r="N250" s="9">
        <v>64.0</v>
      </c>
      <c r="O250" s="12">
        <v>45809.0</v>
      </c>
      <c r="P250" s="15"/>
      <c r="Q250" s="14"/>
      <c r="R250" s="14"/>
    </row>
    <row r="251">
      <c r="A251" s="9">
        <v>2.503000216E9</v>
      </c>
      <c r="B251" s="18" t="s">
        <v>23</v>
      </c>
      <c r="C251" s="9">
        <v>19.0</v>
      </c>
      <c r="D251" s="10" t="s">
        <v>72</v>
      </c>
      <c r="E251" s="9">
        <v>2.0</v>
      </c>
      <c r="F251" s="9">
        <v>102.0</v>
      </c>
      <c r="G251" s="9">
        <v>226.0</v>
      </c>
      <c r="H251" s="9">
        <v>0.0</v>
      </c>
      <c r="I251" s="9">
        <v>0.0</v>
      </c>
      <c r="J251" s="9">
        <v>102.0</v>
      </c>
      <c r="K251" s="9">
        <v>226.0</v>
      </c>
      <c r="L251" s="9">
        <v>1.33</v>
      </c>
      <c r="M251" s="9">
        <v>135.66</v>
      </c>
      <c r="N251" s="9">
        <v>90.34</v>
      </c>
      <c r="O251" s="12">
        <v>45809.0</v>
      </c>
      <c r="P251" s="15"/>
      <c r="Q251" s="14"/>
      <c r="R251" s="14"/>
    </row>
    <row r="252">
      <c r="A252" s="9">
        <v>2.503000216E9</v>
      </c>
      <c r="B252" s="18" t="s">
        <v>23</v>
      </c>
      <c r="C252" s="9">
        <v>20.0</v>
      </c>
      <c r="D252" s="10" t="s">
        <v>141</v>
      </c>
      <c r="E252" s="9">
        <v>5.0</v>
      </c>
      <c r="F252" s="9">
        <v>109.0</v>
      </c>
      <c r="G252" s="9">
        <v>529.0</v>
      </c>
      <c r="H252" s="9">
        <v>0.0</v>
      </c>
      <c r="I252" s="9">
        <v>0.0</v>
      </c>
      <c r="J252" s="9">
        <v>109.0</v>
      </c>
      <c r="K252" s="9">
        <v>529.0</v>
      </c>
      <c r="L252" s="9">
        <v>3.79</v>
      </c>
      <c r="M252" s="9">
        <v>413.11</v>
      </c>
      <c r="N252" s="9">
        <v>115.89</v>
      </c>
      <c r="O252" s="12">
        <v>45809.0</v>
      </c>
      <c r="P252" s="15"/>
      <c r="Q252" s="14"/>
      <c r="R252" s="14"/>
    </row>
    <row r="253">
      <c r="A253" s="9">
        <v>2.503000216E9</v>
      </c>
      <c r="B253" s="18" t="s">
        <v>23</v>
      </c>
      <c r="C253" s="9">
        <v>21.0</v>
      </c>
      <c r="D253" s="10" t="s">
        <v>79</v>
      </c>
      <c r="E253" s="9">
        <v>3.0</v>
      </c>
      <c r="F253" s="9">
        <v>115.0</v>
      </c>
      <c r="G253" s="9">
        <v>319.0</v>
      </c>
      <c r="H253" s="9">
        <v>0.0</v>
      </c>
      <c r="I253" s="9">
        <v>0.0</v>
      </c>
      <c r="J253" s="9">
        <v>115.0</v>
      </c>
      <c r="K253" s="9">
        <v>319.0</v>
      </c>
      <c r="L253" s="9">
        <v>2.2</v>
      </c>
      <c r="M253" s="9">
        <v>253.0</v>
      </c>
      <c r="N253" s="9">
        <v>66.0</v>
      </c>
      <c r="O253" s="12">
        <v>45809.0</v>
      </c>
      <c r="P253" s="15"/>
      <c r="Q253" s="14"/>
      <c r="R253" s="14"/>
    </row>
    <row r="254">
      <c r="A254" s="9">
        <v>2.503000216E9</v>
      </c>
      <c r="B254" s="18" t="s">
        <v>23</v>
      </c>
      <c r="C254" s="9">
        <v>22.0</v>
      </c>
      <c r="D254" s="10" t="s">
        <v>142</v>
      </c>
      <c r="E254" s="9">
        <v>5.0</v>
      </c>
      <c r="F254" s="9">
        <v>67.0</v>
      </c>
      <c r="G254" s="9">
        <v>311.0</v>
      </c>
      <c r="H254" s="9">
        <v>0.0</v>
      </c>
      <c r="I254" s="9">
        <v>0.0</v>
      </c>
      <c r="J254" s="9">
        <v>67.0</v>
      </c>
      <c r="K254" s="9">
        <v>311.0</v>
      </c>
      <c r="L254" s="9">
        <v>2.92</v>
      </c>
      <c r="M254" s="9">
        <v>195.64</v>
      </c>
      <c r="N254" s="9">
        <v>115.36</v>
      </c>
      <c r="O254" s="12">
        <v>45809.0</v>
      </c>
      <c r="P254" s="15"/>
      <c r="Q254" s="14"/>
      <c r="R254" s="14"/>
    </row>
    <row r="255">
      <c r="A255" s="9">
        <v>2.503000216E9</v>
      </c>
      <c r="B255" s="18" t="s">
        <v>23</v>
      </c>
      <c r="C255" s="9">
        <v>23.0</v>
      </c>
      <c r="D255" s="10" t="s">
        <v>143</v>
      </c>
      <c r="E255" s="9">
        <v>5.0</v>
      </c>
      <c r="F255" s="9">
        <v>38.0</v>
      </c>
      <c r="G255" s="9">
        <v>165.0</v>
      </c>
      <c r="H255" s="9">
        <v>0.0</v>
      </c>
      <c r="I255" s="9">
        <v>0.0</v>
      </c>
      <c r="J255" s="9">
        <v>38.0</v>
      </c>
      <c r="K255" s="9">
        <v>165.0</v>
      </c>
      <c r="L255" s="9">
        <v>3.41</v>
      </c>
      <c r="M255" s="9">
        <v>129.58</v>
      </c>
      <c r="N255" s="9">
        <v>35.42</v>
      </c>
      <c r="O255" s="12">
        <v>45809.0</v>
      </c>
      <c r="P255" s="15"/>
      <c r="Q255" s="14"/>
      <c r="R255" s="14"/>
    </row>
    <row r="256">
      <c r="A256" s="9">
        <v>2.404120076E9</v>
      </c>
      <c r="B256" s="10" t="s">
        <v>19</v>
      </c>
      <c r="C256" s="11"/>
      <c r="D256" s="10" t="s">
        <v>53</v>
      </c>
      <c r="E256" s="11"/>
      <c r="F256" s="9">
        <v>6.0</v>
      </c>
      <c r="G256" s="9">
        <v>120.0</v>
      </c>
      <c r="H256" s="11"/>
      <c r="I256" s="11"/>
      <c r="J256" s="9">
        <v>6.0</v>
      </c>
      <c r="K256" s="9">
        <v>120.0</v>
      </c>
      <c r="L256" s="9">
        <v>0.0</v>
      </c>
      <c r="M256" s="9">
        <v>0.0</v>
      </c>
      <c r="N256" s="9">
        <v>120.0</v>
      </c>
      <c r="O256" s="12">
        <v>45809.0</v>
      </c>
      <c r="P256" s="15"/>
      <c r="Q256" s="14"/>
      <c r="R256" s="14"/>
    </row>
    <row r="257">
      <c r="A257" s="9">
        <v>2.404120076E9</v>
      </c>
      <c r="B257" s="10" t="s">
        <v>19</v>
      </c>
      <c r="C257" s="11"/>
      <c r="D257" s="10" t="s">
        <v>89</v>
      </c>
      <c r="E257" s="11"/>
      <c r="F257" s="9">
        <v>26.0</v>
      </c>
      <c r="G257" s="9">
        <v>130.0</v>
      </c>
      <c r="H257" s="11"/>
      <c r="I257" s="11"/>
      <c r="J257" s="9">
        <v>26.0</v>
      </c>
      <c r="K257" s="9">
        <v>130.0</v>
      </c>
      <c r="L257" s="9">
        <v>0.0</v>
      </c>
      <c r="M257" s="9">
        <v>0.0</v>
      </c>
      <c r="N257" s="9">
        <v>130.0</v>
      </c>
      <c r="O257" s="12">
        <v>45809.0</v>
      </c>
      <c r="P257" s="15"/>
      <c r="Q257" s="14"/>
      <c r="R257" s="14"/>
    </row>
    <row r="258">
      <c r="A258" s="9">
        <v>2.404120076E9</v>
      </c>
      <c r="B258" s="10" t="s">
        <v>19</v>
      </c>
      <c r="C258" s="11"/>
      <c r="D258" s="10" t="s">
        <v>55</v>
      </c>
      <c r="E258" s="11"/>
      <c r="F258" s="9">
        <v>71.0</v>
      </c>
      <c r="G258" s="9">
        <v>97.0</v>
      </c>
      <c r="H258" s="11"/>
      <c r="I258" s="11"/>
      <c r="J258" s="9">
        <v>71.0</v>
      </c>
      <c r="K258" s="9">
        <v>97.0</v>
      </c>
      <c r="L258" s="9">
        <v>0.0</v>
      </c>
      <c r="M258" s="9">
        <v>0.0</v>
      </c>
      <c r="N258" s="9">
        <v>97.0</v>
      </c>
      <c r="O258" s="12">
        <v>45809.0</v>
      </c>
      <c r="P258" s="15"/>
      <c r="Q258" s="14"/>
      <c r="R258" s="14"/>
    </row>
    <row r="259">
      <c r="A259" s="9">
        <v>2.404120076E9</v>
      </c>
      <c r="B259" s="10" t="s">
        <v>19</v>
      </c>
      <c r="C259" s="11"/>
      <c r="D259" s="10" t="s">
        <v>92</v>
      </c>
      <c r="E259" s="11"/>
      <c r="F259" s="9">
        <v>29.0</v>
      </c>
      <c r="G259" s="9">
        <v>144.0</v>
      </c>
      <c r="H259" s="11"/>
      <c r="I259" s="11"/>
      <c r="J259" s="9">
        <v>29.0</v>
      </c>
      <c r="K259" s="9">
        <v>144.0</v>
      </c>
      <c r="L259" s="9">
        <v>0.0</v>
      </c>
      <c r="M259" s="9">
        <v>0.0</v>
      </c>
      <c r="N259" s="9">
        <v>144.0</v>
      </c>
      <c r="O259" s="12">
        <v>45809.0</v>
      </c>
      <c r="P259" s="15"/>
      <c r="Q259" s="14"/>
      <c r="R259" s="14"/>
    </row>
    <row r="260">
      <c r="A260" s="9">
        <v>2.404120076E9</v>
      </c>
      <c r="B260" s="10" t="s">
        <v>19</v>
      </c>
      <c r="C260" s="11"/>
      <c r="D260" s="10" t="s">
        <v>109</v>
      </c>
      <c r="E260" s="11"/>
      <c r="F260" s="9">
        <v>161.0</v>
      </c>
      <c r="G260" s="9">
        <v>811.0</v>
      </c>
      <c r="H260" s="11"/>
      <c r="I260" s="11"/>
      <c r="J260" s="9">
        <v>161.0</v>
      </c>
      <c r="K260" s="9">
        <v>811.0</v>
      </c>
      <c r="L260" s="9">
        <v>0.0</v>
      </c>
      <c r="M260" s="9">
        <v>0.0</v>
      </c>
      <c r="N260" s="9">
        <v>811.0</v>
      </c>
      <c r="O260" s="12">
        <v>45809.0</v>
      </c>
      <c r="P260" s="15"/>
      <c r="Q260" s="14"/>
      <c r="R260" s="14"/>
    </row>
    <row r="261">
      <c r="A261" s="9">
        <v>2.404120076E9</v>
      </c>
      <c r="B261" s="10" t="s">
        <v>19</v>
      </c>
      <c r="C261" s="11"/>
      <c r="D261" s="10" t="s">
        <v>60</v>
      </c>
      <c r="E261" s="11"/>
      <c r="F261" s="9">
        <v>239.0</v>
      </c>
      <c r="G261" s="9">
        <v>239.0</v>
      </c>
      <c r="H261" s="11"/>
      <c r="I261" s="11"/>
      <c r="J261" s="9">
        <v>239.0</v>
      </c>
      <c r="K261" s="9">
        <v>239.0</v>
      </c>
      <c r="L261" s="9">
        <v>0.0</v>
      </c>
      <c r="M261" s="9">
        <v>0.0</v>
      </c>
      <c r="N261" s="9">
        <v>239.0</v>
      </c>
      <c r="O261" s="12">
        <v>45809.0</v>
      </c>
      <c r="P261" s="15"/>
      <c r="Q261" s="14"/>
      <c r="R261" s="14"/>
    </row>
    <row r="262">
      <c r="A262" s="9">
        <v>2.404120076E9</v>
      </c>
      <c r="B262" s="10" t="s">
        <v>19</v>
      </c>
      <c r="C262" s="11"/>
      <c r="D262" s="10" t="s">
        <v>68</v>
      </c>
      <c r="E262" s="11"/>
      <c r="F262" s="9">
        <v>12.0</v>
      </c>
      <c r="G262" s="9">
        <v>59.0</v>
      </c>
      <c r="H262" s="11"/>
      <c r="I262" s="11"/>
      <c r="J262" s="9">
        <v>12.0</v>
      </c>
      <c r="K262" s="9">
        <v>59.0</v>
      </c>
      <c r="L262" s="9">
        <v>0.0</v>
      </c>
      <c r="M262" s="9">
        <v>0.0</v>
      </c>
      <c r="N262" s="9">
        <v>59.0</v>
      </c>
      <c r="O262" s="12">
        <v>45809.0</v>
      </c>
      <c r="P262" s="15"/>
      <c r="Q262" s="14"/>
      <c r="R262" s="14"/>
    </row>
    <row r="263">
      <c r="A263" s="9">
        <v>2.404120076E9</v>
      </c>
      <c r="B263" s="10" t="s">
        <v>19</v>
      </c>
      <c r="C263" s="11"/>
      <c r="D263" s="10" t="s">
        <v>120</v>
      </c>
      <c r="E263" s="11"/>
      <c r="F263" s="9">
        <v>26.0</v>
      </c>
      <c r="G263" s="9">
        <v>130.0</v>
      </c>
      <c r="H263" s="11"/>
      <c r="I263" s="11"/>
      <c r="J263" s="9">
        <v>26.0</v>
      </c>
      <c r="K263" s="9">
        <v>130.0</v>
      </c>
      <c r="L263" s="9">
        <v>0.0</v>
      </c>
      <c r="M263" s="9">
        <v>0.0</v>
      </c>
      <c r="N263" s="9">
        <v>130.0</v>
      </c>
      <c r="O263" s="12">
        <v>45809.0</v>
      </c>
      <c r="P263" s="15"/>
      <c r="Q263" s="14"/>
      <c r="R263" s="14"/>
    </row>
    <row r="264">
      <c r="A264" s="9">
        <v>2.404120076E9</v>
      </c>
      <c r="B264" s="10" t="s">
        <v>19</v>
      </c>
      <c r="C264" s="11"/>
      <c r="D264" s="10" t="s">
        <v>70</v>
      </c>
      <c r="E264" s="11"/>
      <c r="F264" s="9">
        <v>35.0</v>
      </c>
      <c r="G264" s="9">
        <v>71.0</v>
      </c>
      <c r="H264" s="11"/>
      <c r="I264" s="11"/>
      <c r="J264" s="9">
        <v>35.0</v>
      </c>
      <c r="K264" s="9">
        <v>71.0</v>
      </c>
      <c r="L264" s="9">
        <v>0.0</v>
      </c>
      <c r="M264" s="9">
        <v>0.0</v>
      </c>
      <c r="N264" s="9">
        <v>71.0</v>
      </c>
      <c r="O264" s="12">
        <v>45809.0</v>
      </c>
      <c r="P264" s="15"/>
      <c r="Q264" s="14"/>
      <c r="R264" s="14"/>
    </row>
    <row r="265">
      <c r="A265" s="9">
        <v>2.404120076E9</v>
      </c>
      <c r="B265" s="10" t="s">
        <v>19</v>
      </c>
      <c r="C265" s="11"/>
      <c r="D265" s="10" t="s">
        <v>121</v>
      </c>
      <c r="E265" s="11"/>
      <c r="F265" s="9">
        <v>13.0</v>
      </c>
      <c r="G265" s="9">
        <v>108.0</v>
      </c>
      <c r="H265" s="11"/>
      <c r="I265" s="11"/>
      <c r="J265" s="9">
        <v>13.0</v>
      </c>
      <c r="K265" s="9">
        <v>108.0</v>
      </c>
      <c r="L265" s="9">
        <v>0.0</v>
      </c>
      <c r="M265" s="9">
        <v>0.0</v>
      </c>
      <c r="N265" s="9">
        <v>108.0</v>
      </c>
      <c r="O265" s="12">
        <v>45809.0</v>
      </c>
      <c r="P265" s="15"/>
      <c r="Q265" s="14"/>
      <c r="R265" s="14"/>
    </row>
    <row r="266">
      <c r="A266" s="9">
        <v>2.404120076E9</v>
      </c>
      <c r="B266" s="10" t="s">
        <v>19</v>
      </c>
      <c r="C266" s="11"/>
      <c r="D266" s="10" t="s">
        <v>96</v>
      </c>
      <c r="E266" s="11"/>
      <c r="F266" s="9">
        <v>25.0</v>
      </c>
      <c r="G266" s="9">
        <v>117.0</v>
      </c>
      <c r="H266" s="11"/>
      <c r="I266" s="11"/>
      <c r="J266" s="9">
        <v>25.0</v>
      </c>
      <c r="K266" s="9">
        <v>117.0</v>
      </c>
      <c r="L266" s="9">
        <v>0.0</v>
      </c>
      <c r="M266" s="9">
        <v>0.0</v>
      </c>
      <c r="N266" s="9">
        <v>117.0</v>
      </c>
      <c r="O266" s="12">
        <v>45809.0</v>
      </c>
      <c r="P266" s="15"/>
      <c r="Q266" s="14"/>
      <c r="R266" s="14"/>
    </row>
    <row r="267">
      <c r="A267" s="9">
        <v>2.404120076E9</v>
      </c>
      <c r="B267" s="10" t="s">
        <v>19</v>
      </c>
      <c r="C267" s="11"/>
      <c r="D267" s="10" t="s">
        <v>122</v>
      </c>
      <c r="E267" s="11"/>
      <c r="F267" s="9">
        <v>244.0</v>
      </c>
      <c r="G267" s="9">
        <v>250.0</v>
      </c>
      <c r="H267" s="11"/>
      <c r="I267" s="11"/>
      <c r="J267" s="9">
        <v>244.0</v>
      </c>
      <c r="K267" s="9">
        <v>250.0</v>
      </c>
      <c r="L267" s="9">
        <v>0.0</v>
      </c>
      <c r="M267" s="9">
        <v>0.0</v>
      </c>
      <c r="N267" s="9">
        <v>250.0</v>
      </c>
      <c r="O267" s="12">
        <v>45809.0</v>
      </c>
      <c r="P267" s="15"/>
      <c r="Q267" s="14"/>
      <c r="R267" s="14"/>
    </row>
    <row r="268">
      <c r="A268" s="9">
        <v>2.404120076E9</v>
      </c>
      <c r="B268" s="10" t="s">
        <v>19</v>
      </c>
      <c r="C268" s="11"/>
      <c r="D268" s="10" t="s">
        <v>72</v>
      </c>
      <c r="E268" s="11"/>
      <c r="F268" s="9">
        <v>76.0</v>
      </c>
      <c r="G268" s="9">
        <v>152.0</v>
      </c>
      <c r="H268" s="11"/>
      <c r="I268" s="11"/>
      <c r="J268" s="9">
        <v>76.0</v>
      </c>
      <c r="K268" s="9">
        <v>152.0</v>
      </c>
      <c r="L268" s="9">
        <v>0.0</v>
      </c>
      <c r="M268" s="9">
        <v>0.0</v>
      </c>
      <c r="N268" s="9">
        <v>152.0</v>
      </c>
      <c r="O268" s="12">
        <v>45809.0</v>
      </c>
      <c r="P268" s="15"/>
      <c r="Q268" s="14"/>
      <c r="R268" s="14"/>
    </row>
    <row r="269">
      <c r="A269" s="9">
        <v>2.404120076E9</v>
      </c>
      <c r="B269" s="10" t="s">
        <v>19</v>
      </c>
      <c r="C269" s="11"/>
      <c r="D269" s="10" t="s">
        <v>97</v>
      </c>
      <c r="E269" s="11"/>
      <c r="F269" s="9">
        <v>26.0</v>
      </c>
      <c r="G269" s="9">
        <v>156.0</v>
      </c>
      <c r="H269" s="11"/>
      <c r="I269" s="11"/>
      <c r="J269" s="9">
        <v>26.0</v>
      </c>
      <c r="K269" s="9">
        <v>156.0</v>
      </c>
      <c r="L269" s="9">
        <v>0.0</v>
      </c>
      <c r="M269" s="9">
        <v>0.0</v>
      </c>
      <c r="N269" s="9">
        <v>156.0</v>
      </c>
      <c r="O269" s="12">
        <v>45809.0</v>
      </c>
      <c r="P269" s="15"/>
      <c r="Q269" s="14"/>
      <c r="R269" s="14"/>
    </row>
    <row r="270">
      <c r="A270" s="9">
        <v>2.404120076E9</v>
      </c>
      <c r="B270" s="10" t="s">
        <v>19</v>
      </c>
      <c r="C270" s="11"/>
      <c r="D270" s="10" t="s">
        <v>123</v>
      </c>
      <c r="E270" s="11"/>
      <c r="F270" s="9">
        <v>42.0</v>
      </c>
      <c r="G270" s="9">
        <v>126.0</v>
      </c>
      <c r="H270" s="11"/>
      <c r="I270" s="11"/>
      <c r="J270" s="9">
        <v>42.0</v>
      </c>
      <c r="K270" s="9">
        <v>126.0</v>
      </c>
      <c r="L270" s="9">
        <v>0.0</v>
      </c>
      <c r="M270" s="9">
        <v>0.0</v>
      </c>
      <c r="N270" s="9">
        <v>126.0</v>
      </c>
      <c r="O270" s="12">
        <v>45809.0</v>
      </c>
      <c r="P270" s="15"/>
      <c r="Q270" s="14"/>
      <c r="R270" s="14"/>
    </row>
    <row r="271">
      <c r="A271" s="9">
        <v>2.404120076E9</v>
      </c>
      <c r="B271" s="10" t="s">
        <v>19</v>
      </c>
      <c r="C271" s="11"/>
      <c r="D271" s="10" t="s">
        <v>73</v>
      </c>
      <c r="E271" s="11"/>
      <c r="F271" s="9">
        <v>15.0</v>
      </c>
      <c r="G271" s="9">
        <v>60.0</v>
      </c>
      <c r="H271" s="11"/>
      <c r="I271" s="11"/>
      <c r="J271" s="9">
        <v>15.0</v>
      </c>
      <c r="K271" s="9">
        <v>60.0</v>
      </c>
      <c r="L271" s="9">
        <v>0.0</v>
      </c>
      <c r="M271" s="9">
        <v>0.0</v>
      </c>
      <c r="N271" s="9">
        <v>60.0</v>
      </c>
      <c r="O271" s="12">
        <v>45809.0</v>
      </c>
      <c r="P271" s="15"/>
      <c r="Q271" s="14"/>
      <c r="R271" s="14"/>
    </row>
    <row r="272">
      <c r="A272" s="9">
        <v>2.404120076E9</v>
      </c>
      <c r="B272" s="10" t="s">
        <v>19</v>
      </c>
      <c r="C272" s="11"/>
      <c r="D272" s="10" t="s">
        <v>99</v>
      </c>
      <c r="E272" s="11"/>
      <c r="F272" s="9">
        <v>29.0</v>
      </c>
      <c r="G272" s="9">
        <v>145.0</v>
      </c>
      <c r="H272" s="11"/>
      <c r="I272" s="11"/>
      <c r="J272" s="9">
        <v>29.0</v>
      </c>
      <c r="K272" s="9">
        <v>145.0</v>
      </c>
      <c r="L272" s="9">
        <v>0.0</v>
      </c>
      <c r="M272" s="9">
        <v>0.0</v>
      </c>
      <c r="N272" s="9">
        <v>145.0</v>
      </c>
      <c r="O272" s="12">
        <v>45809.0</v>
      </c>
      <c r="P272" s="15"/>
      <c r="Q272" s="14"/>
      <c r="R272" s="14"/>
    </row>
    <row r="273">
      <c r="A273" s="9">
        <v>2.404120076E9</v>
      </c>
      <c r="B273" s="10" t="s">
        <v>19</v>
      </c>
      <c r="C273" s="11"/>
      <c r="D273" s="10" t="s">
        <v>74</v>
      </c>
      <c r="E273" s="11"/>
      <c r="F273" s="9">
        <v>487.0</v>
      </c>
      <c r="G273" s="9">
        <v>496.0</v>
      </c>
      <c r="H273" s="11"/>
      <c r="I273" s="11"/>
      <c r="J273" s="9">
        <v>487.0</v>
      </c>
      <c r="K273" s="9">
        <v>496.0</v>
      </c>
      <c r="L273" s="9">
        <v>0.0</v>
      </c>
      <c r="M273" s="9">
        <v>0.0</v>
      </c>
      <c r="N273" s="9">
        <v>496.0</v>
      </c>
      <c r="O273" s="12">
        <v>45809.0</v>
      </c>
      <c r="P273" s="15"/>
      <c r="Q273" s="14"/>
      <c r="R273" s="14"/>
    </row>
    <row r="274">
      <c r="A274" s="9">
        <v>2.404120076E9</v>
      </c>
      <c r="B274" s="10" t="s">
        <v>19</v>
      </c>
      <c r="C274" s="11"/>
      <c r="D274" s="10" t="s">
        <v>100</v>
      </c>
      <c r="E274" s="11"/>
      <c r="F274" s="9">
        <v>16.0</v>
      </c>
      <c r="G274" s="9">
        <v>46.0</v>
      </c>
      <c r="H274" s="11"/>
      <c r="I274" s="11"/>
      <c r="J274" s="9">
        <v>16.0</v>
      </c>
      <c r="K274" s="9">
        <v>46.0</v>
      </c>
      <c r="L274" s="9">
        <v>0.0</v>
      </c>
      <c r="M274" s="9">
        <v>0.0</v>
      </c>
      <c r="N274" s="9">
        <v>46.0</v>
      </c>
      <c r="O274" s="12">
        <v>45809.0</v>
      </c>
      <c r="P274" s="15"/>
      <c r="Q274" s="14"/>
      <c r="R274" s="14"/>
    </row>
    <row r="275">
      <c r="A275" s="9">
        <v>2.404120076E9</v>
      </c>
      <c r="B275" s="10" t="s">
        <v>19</v>
      </c>
      <c r="C275" s="11"/>
      <c r="D275" s="10" t="s">
        <v>79</v>
      </c>
      <c r="E275" s="11"/>
      <c r="F275" s="9">
        <v>34.0</v>
      </c>
      <c r="G275" s="9">
        <v>90.0</v>
      </c>
      <c r="H275" s="11"/>
      <c r="I275" s="11"/>
      <c r="J275" s="9">
        <v>34.0</v>
      </c>
      <c r="K275" s="9">
        <v>90.0</v>
      </c>
      <c r="L275" s="9">
        <v>0.0</v>
      </c>
      <c r="M275" s="9">
        <v>0.0</v>
      </c>
      <c r="N275" s="9">
        <v>90.0</v>
      </c>
      <c r="O275" s="12">
        <v>45809.0</v>
      </c>
      <c r="P275" s="15"/>
      <c r="Q275" s="14"/>
      <c r="R275" s="14"/>
    </row>
    <row r="276">
      <c r="A276" s="9">
        <v>2.404120076E9</v>
      </c>
      <c r="B276" s="10" t="s">
        <v>19</v>
      </c>
      <c r="C276" s="11"/>
      <c r="D276" s="10" t="s">
        <v>102</v>
      </c>
      <c r="E276" s="11"/>
      <c r="F276" s="9">
        <v>63.0</v>
      </c>
      <c r="G276" s="9">
        <v>190.0</v>
      </c>
      <c r="H276" s="11"/>
      <c r="I276" s="11"/>
      <c r="J276" s="9">
        <v>63.0</v>
      </c>
      <c r="K276" s="9">
        <v>190.0</v>
      </c>
      <c r="L276" s="9">
        <v>0.0</v>
      </c>
      <c r="M276" s="9">
        <v>0.0</v>
      </c>
      <c r="N276" s="9">
        <v>190.0</v>
      </c>
      <c r="O276" s="12">
        <v>45809.0</v>
      </c>
      <c r="P276" s="15"/>
      <c r="Q276" s="14"/>
      <c r="R276" s="14"/>
    </row>
    <row r="277">
      <c r="A277" s="9">
        <v>2.404120076E9</v>
      </c>
      <c r="B277" s="10" t="s">
        <v>19</v>
      </c>
      <c r="C277" s="11"/>
      <c r="D277" s="10" t="s">
        <v>114</v>
      </c>
      <c r="E277" s="11"/>
      <c r="F277" s="9">
        <v>12.0</v>
      </c>
      <c r="G277" s="9">
        <v>48.0</v>
      </c>
      <c r="H277" s="11"/>
      <c r="I277" s="11"/>
      <c r="J277" s="9">
        <v>12.0</v>
      </c>
      <c r="K277" s="9">
        <v>48.0</v>
      </c>
      <c r="L277" s="9">
        <v>0.0</v>
      </c>
      <c r="M277" s="9">
        <v>0.0</v>
      </c>
      <c r="N277" s="9">
        <v>48.0</v>
      </c>
      <c r="O277" s="12">
        <v>45809.0</v>
      </c>
      <c r="P277" s="15"/>
      <c r="Q277" s="14"/>
      <c r="R277" s="14"/>
    </row>
    <row r="278">
      <c r="A278" s="9">
        <v>2.404120076E9</v>
      </c>
      <c r="B278" s="10" t="s">
        <v>19</v>
      </c>
      <c r="C278" s="11"/>
      <c r="D278" s="10" t="s">
        <v>115</v>
      </c>
      <c r="E278" s="11"/>
      <c r="F278" s="9">
        <v>238.0</v>
      </c>
      <c r="G278" s="9">
        <v>1190.0</v>
      </c>
      <c r="H278" s="11"/>
      <c r="I278" s="11"/>
      <c r="J278" s="9">
        <v>238.0</v>
      </c>
      <c r="K278" s="9">
        <v>1190.0</v>
      </c>
      <c r="L278" s="9">
        <v>0.0</v>
      </c>
      <c r="M278" s="9">
        <v>0.0</v>
      </c>
      <c r="N278" s="9">
        <v>1190.0</v>
      </c>
      <c r="O278" s="12">
        <v>45809.0</v>
      </c>
      <c r="P278" s="15"/>
      <c r="Q278" s="14"/>
      <c r="R278" s="14"/>
    </row>
    <row r="279">
      <c r="A279" s="9">
        <v>2.404120076E9</v>
      </c>
      <c r="B279" s="10" t="s">
        <v>19</v>
      </c>
      <c r="C279" s="11"/>
      <c r="D279" s="10" t="s">
        <v>118</v>
      </c>
      <c r="E279" s="11"/>
      <c r="F279" s="9">
        <v>42.0</v>
      </c>
      <c r="G279" s="9">
        <v>168.0</v>
      </c>
      <c r="H279" s="11"/>
      <c r="I279" s="11"/>
      <c r="J279" s="9">
        <v>42.0</v>
      </c>
      <c r="K279" s="9">
        <v>168.0</v>
      </c>
      <c r="L279" s="9">
        <v>0.0</v>
      </c>
      <c r="M279" s="9">
        <v>0.0</v>
      </c>
      <c r="N279" s="9">
        <v>168.0</v>
      </c>
      <c r="O279" s="12">
        <v>45809.0</v>
      </c>
      <c r="P279" s="15"/>
      <c r="Q279" s="14"/>
      <c r="R279" s="14"/>
    </row>
    <row r="280">
      <c r="A280" s="9">
        <v>2.404120076E9</v>
      </c>
      <c r="B280" s="10" t="s">
        <v>19</v>
      </c>
      <c r="C280" s="11"/>
      <c r="D280" s="10" t="s">
        <v>105</v>
      </c>
      <c r="E280" s="11"/>
      <c r="F280" s="9">
        <v>11.0</v>
      </c>
      <c r="G280" s="9">
        <v>57.0</v>
      </c>
      <c r="H280" s="11"/>
      <c r="I280" s="11"/>
      <c r="J280" s="9">
        <v>11.0</v>
      </c>
      <c r="K280" s="9">
        <v>57.0</v>
      </c>
      <c r="L280" s="9">
        <v>0.0</v>
      </c>
      <c r="M280" s="9">
        <v>0.0</v>
      </c>
      <c r="N280" s="9">
        <v>57.0</v>
      </c>
      <c r="O280" s="12">
        <v>45809.0</v>
      </c>
      <c r="P280" s="15"/>
      <c r="Q280" s="14"/>
      <c r="R280" s="14"/>
    </row>
    <row r="281">
      <c r="A281" s="9">
        <v>2.404120076E9</v>
      </c>
      <c r="B281" s="10" t="s">
        <v>19</v>
      </c>
      <c r="C281" s="11"/>
      <c r="D281" s="10" t="s">
        <v>81</v>
      </c>
      <c r="E281" s="11"/>
      <c r="F281" s="9">
        <v>39.0</v>
      </c>
      <c r="G281" s="9">
        <v>117.0</v>
      </c>
      <c r="H281" s="11"/>
      <c r="I281" s="11"/>
      <c r="J281" s="9">
        <v>39.0</v>
      </c>
      <c r="K281" s="9">
        <v>117.0</v>
      </c>
      <c r="L281" s="9">
        <v>0.0</v>
      </c>
      <c r="M281" s="9">
        <v>0.0</v>
      </c>
      <c r="N281" s="9">
        <v>117.0</v>
      </c>
      <c r="O281" s="12">
        <v>45809.0</v>
      </c>
      <c r="P281" s="15"/>
      <c r="Q281" s="14"/>
      <c r="R281" s="14"/>
    </row>
    <row r="282">
      <c r="A282" s="9">
        <v>2.404120076E9</v>
      </c>
      <c r="B282" s="10" t="s">
        <v>19</v>
      </c>
      <c r="C282" s="11"/>
      <c r="D282" s="10" t="s">
        <v>125</v>
      </c>
      <c r="E282" s="11"/>
      <c r="F282" s="9">
        <v>50.0</v>
      </c>
      <c r="G282" s="9">
        <v>250.0</v>
      </c>
      <c r="H282" s="11"/>
      <c r="I282" s="11"/>
      <c r="J282" s="9">
        <v>50.0</v>
      </c>
      <c r="K282" s="9">
        <v>250.0</v>
      </c>
      <c r="L282" s="9">
        <v>0.0</v>
      </c>
      <c r="M282" s="9">
        <v>0.0</v>
      </c>
      <c r="N282" s="9">
        <v>250.0</v>
      </c>
      <c r="O282" s="12">
        <v>45809.0</v>
      </c>
      <c r="P282" s="15"/>
      <c r="Q282" s="14"/>
      <c r="R282" s="14"/>
    </row>
    <row r="283">
      <c r="A283" s="9">
        <v>2.404120076E9</v>
      </c>
      <c r="B283" s="10" t="s">
        <v>19</v>
      </c>
      <c r="C283" s="11"/>
      <c r="D283" s="10" t="s">
        <v>127</v>
      </c>
      <c r="E283" s="11"/>
      <c r="F283" s="9">
        <v>17.0</v>
      </c>
      <c r="G283" s="9">
        <v>204.0</v>
      </c>
      <c r="H283" s="11"/>
      <c r="I283" s="11"/>
      <c r="J283" s="9">
        <v>17.0</v>
      </c>
      <c r="K283" s="9">
        <v>204.0</v>
      </c>
      <c r="L283" s="9">
        <v>0.0</v>
      </c>
      <c r="M283" s="9">
        <v>0.0</v>
      </c>
      <c r="N283" s="9">
        <v>204.0</v>
      </c>
      <c r="O283" s="12">
        <v>45809.0</v>
      </c>
      <c r="P283" s="15"/>
      <c r="Q283" s="14"/>
      <c r="R283" s="14"/>
    </row>
    <row r="284">
      <c r="A284" s="9">
        <v>2.404120076E9</v>
      </c>
      <c r="B284" s="10" t="s">
        <v>19</v>
      </c>
      <c r="C284" s="11"/>
      <c r="D284" s="10" t="s">
        <v>86</v>
      </c>
      <c r="E284" s="11"/>
      <c r="F284" s="9">
        <v>141.0</v>
      </c>
      <c r="G284" s="9">
        <v>581.0</v>
      </c>
      <c r="H284" s="11"/>
      <c r="I284" s="11"/>
      <c r="J284" s="9">
        <v>141.0</v>
      </c>
      <c r="K284" s="9">
        <v>581.0</v>
      </c>
      <c r="L284" s="9">
        <v>0.0</v>
      </c>
      <c r="M284" s="9">
        <v>0.0</v>
      </c>
      <c r="N284" s="9">
        <v>581.0</v>
      </c>
      <c r="O284" s="12">
        <v>45809.0</v>
      </c>
      <c r="P284" s="15"/>
      <c r="Q284" s="14"/>
      <c r="R284" s="14"/>
    </row>
    <row r="285">
      <c r="A285" s="9">
        <v>2.404120076E9</v>
      </c>
      <c r="B285" s="10" t="s">
        <v>19</v>
      </c>
      <c r="C285" s="11"/>
      <c r="D285" s="10" t="s">
        <v>128</v>
      </c>
      <c r="E285" s="11"/>
      <c r="F285" s="9">
        <v>19.0</v>
      </c>
      <c r="G285" s="9">
        <v>36.0</v>
      </c>
      <c r="H285" s="11"/>
      <c r="I285" s="11"/>
      <c r="J285" s="9">
        <v>19.0</v>
      </c>
      <c r="K285" s="9">
        <v>36.0</v>
      </c>
      <c r="L285" s="9">
        <v>0.0</v>
      </c>
      <c r="M285" s="9">
        <v>0.0</v>
      </c>
      <c r="N285" s="9">
        <v>36.0</v>
      </c>
      <c r="O285" s="12">
        <v>45809.0</v>
      </c>
      <c r="P285" s="15"/>
      <c r="Q285" s="14"/>
      <c r="R285" s="14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9">
        <v>0.0</v>
      </c>
      <c r="K286" s="9">
        <v>0.0</v>
      </c>
      <c r="L286" s="9">
        <v>0.0</v>
      </c>
      <c r="M286" s="9">
        <v>0.0</v>
      </c>
      <c r="N286" s="9">
        <v>0.0</v>
      </c>
      <c r="O286" s="12"/>
      <c r="P286" s="15"/>
      <c r="Q286" s="14"/>
      <c r="R286" s="14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9">
        <v>0.0</v>
      </c>
      <c r="K287" s="9">
        <v>0.0</v>
      </c>
      <c r="L287" s="9">
        <v>0.0</v>
      </c>
      <c r="M287" s="9">
        <v>0.0</v>
      </c>
      <c r="N287" s="9">
        <v>0.0</v>
      </c>
      <c r="O287" s="17"/>
      <c r="P287" s="15"/>
      <c r="Q287" s="14"/>
      <c r="R287" s="14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9">
        <v>0.0</v>
      </c>
      <c r="K288" s="9">
        <v>0.0</v>
      </c>
      <c r="L288" s="9">
        <v>0.0</v>
      </c>
      <c r="M288" s="9">
        <v>0.0</v>
      </c>
      <c r="N288" s="9">
        <v>0.0</v>
      </c>
      <c r="O288" s="17"/>
      <c r="P288" s="15"/>
      <c r="Q288" s="14"/>
      <c r="R288" s="14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9">
        <v>0.0</v>
      </c>
      <c r="K289" s="9">
        <v>0.0</v>
      </c>
      <c r="L289" s="9">
        <v>0.0</v>
      </c>
      <c r="M289" s="9">
        <v>0.0</v>
      </c>
      <c r="N289" s="9">
        <v>0.0</v>
      </c>
      <c r="O289" s="17"/>
      <c r="P289" s="15"/>
      <c r="Q289" s="14"/>
      <c r="R289" s="14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9">
        <v>0.0</v>
      </c>
      <c r="K290" s="9">
        <v>0.0</v>
      </c>
      <c r="L290" s="9">
        <v>0.0</v>
      </c>
      <c r="M290" s="9">
        <v>0.0</v>
      </c>
      <c r="N290" s="9">
        <v>0.0</v>
      </c>
      <c r="O290" s="17"/>
      <c r="P290" s="15"/>
      <c r="Q290" s="14"/>
      <c r="R290" s="14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9">
        <v>0.0</v>
      </c>
      <c r="K291" s="9">
        <v>0.0</v>
      </c>
      <c r="L291" s="9">
        <v>0.0</v>
      </c>
      <c r="M291" s="9">
        <v>0.0</v>
      </c>
      <c r="N291" s="9">
        <v>0.0</v>
      </c>
      <c r="O291" s="17"/>
      <c r="P291" s="15"/>
      <c r="Q291" s="14"/>
      <c r="R291" s="14"/>
    </row>
    <row r="292">
      <c r="A292" s="9">
        <v>2.411000046E9</v>
      </c>
      <c r="B292" s="10" t="s">
        <v>21</v>
      </c>
      <c r="C292" s="9">
        <v>1.0</v>
      </c>
      <c r="D292" s="10" t="s">
        <v>115</v>
      </c>
      <c r="E292" s="9">
        <v>5.0</v>
      </c>
      <c r="F292" s="9">
        <v>42.0</v>
      </c>
      <c r="G292" s="9">
        <v>201.0</v>
      </c>
      <c r="H292" s="9">
        <v>0.0</v>
      </c>
      <c r="I292" s="9">
        <v>0.0</v>
      </c>
      <c r="J292" s="9">
        <v>42.0</v>
      </c>
      <c r="K292" s="9">
        <v>201.0</v>
      </c>
      <c r="L292" s="9">
        <v>2.8</v>
      </c>
      <c r="M292" s="9">
        <v>117.6</v>
      </c>
      <c r="N292" s="9">
        <v>83.4</v>
      </c>
      <c r="O292" s="12">
        <v>45839.0</v>
      </c>
      <c r="P292" s="13">
        <v>45839.0</v>
      </c>
      <c r="Q292" s="14"/>
      <c r="R292" s="14"/>
    </row>
    <row r="293">
      <c r="A293" s="9">
        <v>2.411000046E9</v>
      </c>
      <c r="B293" s="10" t="s">
        <v>21</v>
      </c>
      <c r="C293" s="9">
        <v>2.0</v>
      </c>
      <c r="D293" s="10" t="s">
        <v>74</v>
      </c>
      <c r="E293" s="9">
        <v>1.0</v>
      </c>
      <c r="F293" s="9">
        <v>214.0</v>
      </c>
      <c r="G293" s="9">
        <v>214.0</v>
      </c>
      <c r="H293" s="9">
        <v>0.0</v>
      </c>
      <c r="I293" s="9">
        <v>0.0</v>
      </c>
      <c r="J293" s="9">
        <v>214.0</v>
      </c>
      <c r="K293" s="9">
        <v>214.0</v>
      </c>
      <c r="L293" s="9">
        <v>0.3</v>
      </c>
      <c r="M293" s="9">
        <v>64.2</v>
      </c>
      <c r="N293" s="9">
        <v>149.8</v>
      </c>
      <c r="O293" s="12">
        <v>45839.0</v>
      </c>
      <c r="P293" s="15"/>
      <c r="Q293" s="14"/>
      <c r="R293" s="14"/>
    </row>
    <row r="294">
      <c r="A294" s="9">
        <v>2.411000046E9</v>
      </c>
      <c r="B294" s="10" t="s">
        <v>21</v>
      </c>
      <c r="C294" s="9">
        <v>3.0</v>
      </c>
      <c r="D294" s="10" t="s">
        <v>125</v>
      </c>
      <c r="E294" s="9">
        <v>7.0</v>
      </c>
      <c r="F294" s="9">
        <v>26.0</v>
      </c>
      <c r="G294" s="9">
        <v>130.0</v>
      </c>
      <c r="H294" s="9">
        <v>0.0</v>
      </c>
      <c r="I294" s="9">
        <v>0.0</v>
      </c>
      <c r="J294" s="9">
        <v>26.0</v>
      </c>
      <c r="K294" s="9">
        <v>130.0</v>
      </c>
      <c r="L294" s="9">
        <v>6.2</v>
      </c>
      <c r="M294" s="9">
        <v>161.2</v>
      </c>
      <c r="N294" s="9">
        <v>-31.2</v>
      </c>
      <c r="O294" s="19">
        <v>45839.0</v>
      </c>
      <c r="P294" s="15"/>
      <c r="Q294" s="14"/>
      <c r="R294" s="14"/>
    </row>
    <row r="295">
      <c r="A295" s="9">
        <v>2.411000046E9</v>
      </c>
      <c r="B295" s="10" t="s">
        <v>21</v>
      </c>
      <c r="C295" s="9">
        <v>5.0</v>
      </c>
      <c r="D295" s="10" t="s">
        <v>131</v>
      </c>
      <c r="E295" s="9">
        <v>3.0</v>
      </c>
      <c r="F295" s="9">
        <v>15.0</v>
      </c>
      <c r="G295" s="9">
        <v>55.0</v>
      </c>
      <c r="H295" s="9">
        <v>0.0</v>
      </c>
      <c r="I295" s="9">
        <v>0.0</v>
      </c>
      <c r="J295" s="9">
        <v>15.0</v>
      </c>
      <c r="K295" s="9">
        <v>55.0</v>
      </c>
      <c r="L295" s="9">
        <v>2.0</v>
      </c>
      <c r="M295" s="9">
        <v>30.0</v>
      </c>
      <c r="N295" s="9">
        <v>25.0</v>
      </c>
      <c r="O295" s="19">
        <v>45839.0</v>
      </c>
      <c r="P295" s="15"/>
      <c r="Q295" s="14"/>
      <c r="R295" s="14"/>
    </row>
    <row r="296">
      <c r="A296" s="9">
        <v>2.411000046E9</v>
      </c>
      <c r="B296" s="10" t="s">
        <v>21</v>
      </c>
      <c r="C296" s="9">
        <v>6.0</v>
      </c>
      <c r="D296" s="10" t="s">
        <v>109</v>
      </c>
      <c r="E296" s="9">
        <v>5.0</v>
      </c>
      <c r="F296" s="9">
        <v>50.0</v>
      </c>
      <c r="G296" s="9">
        <v>254.0</v>
      </c>
      <c r="H296" s="9">
        <v>0.0</v>
      </c>
      <c r="I296" s="9">
        <v>0.0</v>
      </c>
      <c r="J296" s="9">
        <v>50.0</v>
      </c>
      <c r="K296" s="9">
        <v>254.0</v>
      </c>
      <c r="L296" s="9">
        <v>3.08</v>
      </c>
      <c r="M296" s="9">
        <v>154.0</v>
      </c>
      <c r="N296" s="9">
        <v>100.0</v>
      </c>
      <c r="O296" s="12">
        <v>45839.0</v>
      </c>
      <c r="P296" s="15"/>
      <c r="Q296" s="14"/>
      <c r="R296" s="14"/>
    </row>
    <row r="297">
      <c r="A297" s="9">
        <v>2.411000046E9</v>
      </c>
      <c r="B297" s="10" t="s">
        <v>21</v>
      </c>
      <c r="C297" s="9">
        <v>11.0</v>
      </c>
      <c r="D297" s="10" t="s">
        <v>86</v>
      </c>
      <c r="E297" s="9">
        <v>5.0</v>
      </c>
      <c r="F297" s="9">
        <v>74.0</v>
      </c>
      <c r="G297" s="9">
        <v>296.0</v>
      </c>
      <c r="H297" s="9">
        <v>0.0</v>
      </c>
      <c r="I297" s="9">
        <v>0.0</v>
      </c>
      <c r="J297" s="9">
        <v>74.0</v>
      </c>
      <c r="K297" s="9">
        <v>296.0</v>
      </c>
      <c r="L297" s="9">
        <v>3.5</v>
      </c>
      <c r="M297" s="9">
        <v>259.0</v>
      </c>
      <c r="N297" s="9">
        <v>37.0</v>
      </c>
      <c r="O297" s="12">
        <v>45839.0</v>
      </c>
      <c r="P297" s="15"/>
      <c r="Q297" s="14"/>
      <c r="R297" s="14"/>
    </row>
    <row r="298">
      <c r="A298" s="9">
        <v>2.411000046E9</v>
      </c>
      <c r="B298" s="10" t="s">
        <v>21</v>
      </c>
      <c r="C298" s="9">
        <v>12.0</v>
      </c>
      <c r="D298" s="10" t="s">
        <v>136</v>
      </c>
      <c r="E298" s="9">
        <v>1.0</v>
      </c>
      <c r="F298" s="9">
        <v>40.0</v>
      </c>
      <c r="G298" s="9">
        <v>40.0</v>
      </c>
      <c r="H298" s="9">
        <v>0.0</v>
      </c>
      <c r="I298" s="9">
        <v>0.0</v>
      </c>
      <c r="J298" s="9">
        <v>40.0</v>
      </c>
      <c r="K298" s="9">
        <v>40.0</v>
      </c>
      <c r="L298" s="9">
        <v>0.6</v>
      </c>
      <c r="M298" s="9">
        <v>24.0</v>
      </c>
      <c r="N298" s="9">
        <v>16.0</v>
      </c>
      <c r="O298" s="19">
        <v>45839.0</v>
      </c>
      <c r="P298" s="15"/>
      <c r="Q298" s="14"/>
      <c r="R298" s="14"/>
    </row>
    <row r="299">
      <c r="A299" s="9">
        <v>2.411000046E9</v>
      </c>
      <c r="B299" s="10" t="s">
        <v>21</v>
      </c>
      <c r="C299" s="9">
        <v>14.0</v>
      </c>
      <c r="D299" s="10" t="s">
        <v>138</v>
      </c>
      <c r="E299" s="9">
        <v>7.0</v>
      </c>
      <c r="F299" s="9">
        <v>62.0</v>
      </c>
      <c r="G299" s="9">
        <v>310.0</v>
      </c>
      <c r="H299" s="9">
        <v>0.0</v>
      </c>
      <c r="I299" s="9">
        <v>0.0</v>
      </c>
      <c r="J299" s="9">
        <v>62.0</v>
      </c>
      <c r="K299" s="9">
        <v>310.0</v>
      </c>
      <c r="L299" s="9">
        <v>5.8</v>
      </c>
      <c r="M299" s="9">
        <v>359.6</v>
      </c>
      <c r="N299" s="9">
        <v>-49.6</v>
      </c>
      <c r="O299" s="19">
        <v>45839.0</v>
      </c>
      <c r="P299" s="15"/>
      <c r="Q299" s="14"/>
      <c r="R299" s="14"/>
    </row>
    <row r="300">
      <c r="A300" s="9">
        <v>2.411000046E9</v>
      </c>
      <c r="B300" s="10" t="s">
        <v>21</v>
      </c>
      <c r="C300" s="9">
        <v>15.0</v>
      </c>
      <c r="D300" s="10" t="s">
        <v>55</v>
      </c>
      <c r="E300" s="9">
        <v>2.0</v>
      </c>
      <c r="F300" s="9">
        <v>15.0</v>
      </c>
      <c r="G300" s="9">
        <v>34.0</v>
      </c>
      <c r="H300" s="9">
        <v>0.0</v>
      </c>
      <c r="I300" s="9">
        <v>0.0</v>
      </c>
      <c r="J300" s="9">
        <v>15.0</v>
      </c>
      <c r="K300" s="9">
        <v>34.0</v>
      </c>
      <c r="L300" s="9">
        <v>1.54</v>
      </c>
      <c r="M300" s="9">
        <v>23.1</v>
      </c>
      <c r="N300" s="9">
        <v>10.9</v>
      </c>
      <c r="O300" s="12">
        <v>45839.0</v>
      </c>
      <c r="P300" s="15"/>
      <c r="Q300" s="14"/>
      <c r="R300" s="14"/>
    </row>
    <row r="301">
      <c r="A301" s="9">
        <v>2.411000046E9</v>
      </c>
      <c r="B301" s="10" t="s">
        <v>21</v>
      </c>
      <c r="C301" s="9">
        <v>19.0</v>
      </c>
      <c r="D301" s="10" t="s">
        <v>72</v>
      </c>
      <c r="E301" s="9">
        <v>2.0</v>
      </c>
      <c r="F301" s="9">
        <v>30.0</v>
      </c>
      <c r="G301" s="9">
        <v>60.0</v>
      </c>
      <c r="H301" s="9">
        <v>0.0</v>
      </c>
      <c r="I301" s="9">
        <v>0.0</v>
      </c>
      <c r="J301" s="9">
        <v>30.0</v>
      </c>
      <c r="K301" s="9">
        <v>60.0</v>
      </c>
      <c r="L301" s="9">
        <v>1.33</v>
      </c>
      <c r="M301" s="9">
        <v>39.9</v>
      </c>
      <c r="N301" s="9">
        <v>20.1</v>
      </c>
      <c r="O301" s="12">
        <v>45839.0</v>
      </c>
      <c r="P301" s="15"/>
      <c r="Q301" s="14"/>
      <c r="R301" s="14"/>
    </row>
    <row r="302">
      <c r="A302" s="9">
        <v>2.411000046E9</v>
      </c>
      <c r="B302" s="10" t="s">
        <v>21</v>
      </c>
      <c r="C302" s="9">
        <v>21.0</v>
      </c>
      <c r="D302" s="10" t="s">
        <v>79</v>
      </c>
      <c r="E302" s="9">
        <v>3.0</v>
      </c>
      <c r="F302" s="9">
        <v>12.0</v>
      </c>
      <c r="G302" s="9">
        <v>36.0</v>
      </c>
      <c r="H302" s="9">
        <v>0.0</v>
      </c>
      <c r="I302" s="9">
        <v>0.0</v>
      </c>
      <c r="J302" s="9">
        <v>12.0</v>
      </c>
      <c r="K302" s="9">
        <v>36.0</v>
      </c>
      <c r="L302" s="9">
        <v>2.2</v>
      </c>
      <c r="M302" s="9">
        <v>26.4</v>
      </c>
      <c r="N302" s="9">
        <v>9.6</v>
      </c>
      <c r="O302" s="19">
        <v>45839.0</v>
      </c>
      <c r="P302" s="15"/>
      <c r="Q302" s="14"/>
      <c r="R302" s="14"/>
    </row>
    <row r="303">
      <c r="A303" s="9">
        <v>2.411000046E9</v>
      </c>
      <c r="B303" s="10" t="s">
        <v>21</v>
      </c>
      <c r="C303" s="9">
        <v>23.0</v>
      </c>
      <c r="D303" s="10" t="s">
        <v>143</v>
      </c>
      <c r="E303" s="9">
        <v>5.0</v>
      </c>
      <c r="F303" s="9">
        <v>23.0</v>
      </c>
      <c r="G303" s="9">
        <v>115.0</v>
      </c>
      <c r="H303" s="9">
        <v>0.0</v>
      </c>
      <c r="I303" s="9">
        <v>0.0</v>
      </c>
      <c r="J303" s="9">
        <v>23.0</v>
      </c>
      <c r="K303" s="9">
        <v>115.0</v>
      </c>
      <c r="L303" s="9">
        <v>3.41</v>
      </c>
      <c r="M303" s="9">
        <v>78.43</v>
      </c>
      <c r="N303" s="9">
        <v>36.57</v>
      </c>
      <c r="O303" s="19">
        <v>45839.0</v>
      </c>
      <c r="P303" s="15"/>
      <c r="Q303" s="14"/>
      <c r="R303" s="14"/>
    </row>
    <row r="304">
      <c r="A304" s="9">
        <v>2.411000046E9</v>
      </c>
      <c r="B304" s="10" t="s">
        <v>21</v>
      </c>
      <c r="C304" s="9">
        <v>25.0</v>
      </c>
      <c r="D304" s="10" t="s">
        <v>144</v>
      </c>
      <c r="E304" s="9">
        <v>5.0</v>
      </c>
      <c r="F304" s="9">
        <v>9.0</v>
      </c>
      <c r="G304" s="9">
        <v>45.0</v>
      </c>
      <c r="H304" s="9">
        <v>0.0</v>
      </c>
      <c r="I304" s="9">
        <v>0.0</v>
      </c>
      <c r="J304" s="9">
        <v>9.0</v>
      </c>
      <c r="K304" s="9">
        <v>45.0</v>
      </c>
      <c r="L304" s="9">
        <v>3.5</v>
      </c>
      <c r="M304" s="9">
        <v>31.5</v>
      </c>
      <c r="N304" s="9">
        <v>13.5</v>
      </c>
      <c r="O304" s="12">
        <v>45839.0</v>
      </c>
      <c r="P304" s="15"/>
      <c r="Q304" s="14"/>
      <c r="R304" s="14"/>
    </row>
    <row r="305">
      <c r="A305" s="9">
        <v>2.411000046E9</v>
      </c>
      <c r="B305" s="10" t="s">
        <v>21</v>
      </c>
      <c r="C305" s="9">
        <v>26.0</v>
      </c>
      <c r="D305" s="10" t="s">
        <v>145</v>
      </c>
      <c r="E305" s="9">
        <v>5.0</v>
      </c>
      <c r="F305" s="9">
        <v>10.0</v>
      </c>
      <c r="G305" s="9">
        <v>40.0</v>
      </c>
      <c r="H305" s="9">
        <v>0.0</v>
      </c>
      <c r="I305" s="9">
        <v>0.0</v>
      </c>
      <c r="J305" s="9">
        <v>10.0</v>
      </c>
      <c r="K305" s="9">
        <v>40.0</v>
      </c>
      <c r="L305" s="9">
        <v>3.75</v>
      </c>
      <c r="M305" s="9">
        <v>37.5</v>
      </c>
      <c r="N305" s="9">
        <v>2.5</v>
      </c>
      <c r="O305" s="12">
        <v>45839.0</v>
      </c>
      <c r="P305" s="15"/>
      <c r="Q305" s="14"/>
      <c r="R305" s="14"/>
    </row>
    <row r="306">
      <c r="A306" s="9">
        <v>2.411000046E9</v>
      </c>
      <c r="B306" s="10" t="s">
        <v>21</v>
      </c>
      <c r="C306" s="9">
        <v>27.0</v>
      </c>
      <c r="D306" s="10" t="s">
        <v>73</v>
      </c>
      <c r="E306" s="9">
        <v>4.0</v>
      </c>
      <c r="F306" s="9">
        <v>2.0</v>
      </c>
      <c r="G306" s="9">
        <v>8.0</v>
      </c>
      <c r="H306" s="9">
        <v>0.0</v>
      </c>
      <c r="I306" s="9">
        <v>0.0</v>
      </c>
      <c r="J306" s="9">
        <v>2.0</v>
      </c>
      <c r="K306" s="9">
        <v>8.0</v>
      </c>
      <c r="L306" s="9">
        <v>3.28</v>
      </c>
      <c r="M306" s="9">
        <v>6.56</v>
      </c>
      <c r="N306" s="9">
        <v>1.44</v>
      </c>
      <c r="O306" s="19">
        <v>45839.0</v>
      </c>
      <c r="P306" s="15"/>
      <c r="Q306" s="14"/>
      <c r="R306" s="14"/>
    </row>
    <row r="307">
      <c r="A307" s="9">
        <v>2.411000046E9</v>
      </c>
      <c r="B307" s="10" t="s">
        <v>21</v>
      </c>
      <c r="C307" s="9">
        <v>28.0</v>
      </c>
      <c r="D307" s="10" t="s">
        <v>146</v>
      </c>
      <c r="E307" s="9">
        <v>5.0</v>
      </c>
      <c r="F307" s="9">
        <v>11.0</v>
      </c>
      <c r="G307" s="9">
        <v>44.0</v>
      </c>
      <c r="H307" s="9">
        <v>0.0</v>
      </c>
      <c r="I307" s="9">
        <v>0.0</v>
      </c>
      <c r="J307" s="9">
        <v>11.0</v>
      </c>
      <c r="K307" s="9">
        <v>44.0</v>
      </c>
      <c r="L307" s="9">
        <v>4.5</v>
      </c>
      <c r="M307" s="9">
        <v>49.5</v>
      </c>
      <c r="N307" s="9">
        <v>-5.5</v>
      </c>
      <c r="O307" s="19">
        <v>45839.0</v>
      </c>
      <c r="P307" s="15"/>
      <c r="Q307" s="14"/>
      <c r="R307" s="14"/>
    </row>
    <row r="308">
      <c r="A308" s="9">
        <v>2.411000046E9</v>
      </c>
      <c r="B308" s="10" t="s">
        <v>21</v>
      </c>
      <c r="C308" s="9">
        <v>29.0</v>
      </c>
      <c r="D308" s="10" t="s">
        <v>147</v>
      </c>
      <c r="E308" s="9">
        <v>3.0</v>
      </c>
      <c r="F308" s="9">
        <v>25.0</v>
      </c>
      <c r="G308" s="9">
        <v>75.0</v>
      </c>
      <c r="H308" s="9">
        <v>0.0</v>
      </c>
      <c r="I308" s="9">
        <v>0.0</v>
      </c>
      <c r="J308" s="9">
        <v>25.0</v>
      </c>
      <c r="K308" s="9">
        <v>75.0</v>
      </c>
      <c r="L308" s="9">
        <v>2.25</v>
      </c>
      <c r="M308" s="9">
        <v>56.25</v>
      </c>
      <c r="N308" s="9">
        <v>18.75</v>
      </c>
      <c r="O308" s="12">
        <v>45839.0</v>
      </c>
      <c r="P308" s="15"/>
      <c r="Q308" s="14"/>
      <c r="R308" s="14"/>
    </row>
    <row r="309">
      <c r="A309" s="9">
        <v>2.411000046E9</v>
      </c>
      <c r="B309" s="10" t="s">
        <v>21</v>
      </c>
      <c r="C309" s="9">
        <v>30.0</v>
      </c>
      <c r="D309" s="10" t="s">
        <v>148</v>
      </c>
      <c r="E309" s="9">
        <v>5.0</v>
      </c>
      <c r="F309" s="9">
        <v>6.0</v>
      </c>
      <c r="G309" s="9">
        <v>24.0</v>
      </c>
      <c r="H309" s="9">
        <v>0.0</v>
      </c>
      <c r="I309" s="9">
        <v>0.0</v>
      </c>
      <c r="J309" s="9">
        <v>6.0</v>
      </c>
      <c r="K309" s="9">
        <v>24.0</v>
      </c>
      <c r="L309" s="9">
        <v>3.6</v>
      </c>
      <c r="M309" s="9">
        <v>21.6</v>
      </c>
      <c r="N309" s="9">
        <v>2.4</v>
      </c>
      <c r="O309" s="12">
        <v>45839.0</v>
      </c>
      <c r="P309" s="15"/>
      <c r="Q309" s="14"/>
      <c r="R309" s="14"/>
    </row>
    <row r="310">
      <c r="A310" s="9">
        <v>2.411000046E9</v>
      </c>
      <c r="B310" s="10" t="s">
        <v>21</v>
      </c>
      <c r="C310" s="9">
        <v>31.0</v>
      </c>
      <c r="D310" s="10" t="s">
        <v>149</v>
      </c>
      <c r="E310" s="9">
        <v>10.0</v>
      </c>
      <c r="F310" s="9">
        <v>7.0</v>
      </c>
      <c r="G310" s="9">
        <v>63.0</v>
      </c>
      <c r="H310" s="9">
        <v>0.0</v>
      </c>
      <c r="I310" s="9">
        <v>0.0</v>
      </c>
      <c r="J310" s="9">
        <v>7.0</v>
      </c>
      <c r="K310" s="9">
        <v>63.0</v>
      </c>
      <c r="L310" s="9">
        <v>8.25</v>
      </c>
      <c r="M310" s="9">
        <v>57.75</v>
      </c>
      <c r="N310" s="9">
        <v>5.25</v>
      </c>
      <c r="O310" s="19">
        <v>45839.0</v>
      </c>
      <c r="P310" s="15"/>
      <c r="Q310" s="14"/>
      <c r="R310" s="14"/>
    </row>
    <row r="311">
      <c r="A311" s="9">
        <v>2.411000046E9</v>
      </c>
      <c r="B311" s="10" t="s">
        <v>21</v>
      </c>
      <c r="C311" s="9">
        <v>32.0</v>
      </c>
      <c r="D311" s="10" t="s">
        <v>150</v>
      </c>
      <c r="E311" s="9">
        <v>3.0</v>
      </c>
      <c r="F311" s="9">
        <v>11.0</v>
      </c>
      <c r="G311" s="9">
        <v>24.0</v>
      </c>
      <c r="H311" s="9">
        <v>0.0</v>
      </c>
      <c r="I311" s="9">
        <v>0.0</v>
      </c>
      <c r="J311" s="9">
        <v>11.0</v>
      </c>
      <c r="K311" s="9">
        <v>24.0</v>
      </c>
      <c r="L311" s="9">
        <v>2.0</v>
      </c>
      <c r="M311" s="9">
        <v>22.0</v>
      </c>
      <c r="N311" s="9">
        <v>2.0</v>
      </c>
      <c r="O311" s="19">
        <v>45839.0</v>
      </c>
      <c r="P311" s="15"/>
      <c r="Q311" s="14"/>
      <c r="R311" s="14"/>
    </row>
    <row r="312">
      <c r="A312" s="9">
        <v>2.411000046E9</v>
      </c>
      <c r="B312" s="10" t="s">
        <v>21</v>
      </c>
      <c r="C312" s="9">
        <v>33.0</v>
      </c>
      <c r="D312" s="10" t="s">
        <v>151</v>
      </c>
      <c r="E312" s="9">
        <v>3.0</v>
      </c>
      <c r="F312" s="9">
        <v>26.0</v>
      </c>
      <c r="G312" s="9">
        <v>78.0</v>
      </c>
      <c r="H312" s="9">
        <v>0.0</v>
      </c>
      <c r="I312" s="9">
        <v>0.0</v>
      </c>
      <c r="J312" s="9">
        <v>26.0</v>
      </c>
      <c r="K312" s="9">
        <v>78.0</v>
      </c>
      <c r="L312" s="9">
        <v>1.33</v>
      </c>
      <c r="M312" s="9">
        <v>34.58</v>
      </c>
      <c r="N312" s="9">
        <v>43.42</v>
      </c>
      <c r="O312" s="12">
        <v>45839.0</v>
      </c>
      <c r="P312" s="15"/>
      <c r="Q312" s="14"/>
      <c r="R312" s="14"/>
    </row>
    <row r="313">
      <c r="A313" s="9">
        <v>2.411000046E9</v>
      </c>
      <c r="B313" s="10" t="s">
        <v>21</v>
      </c>
      <c r="C313" s="9">
        <v>35.0</v>
      </c>
      <c r="D313" s="10" t="s">
        <v>152</v>
      </c>
      <c r="E313" s="9">
        <v>4.0</v>
      </c>
      <c r="F313" s="9">
        <v>6.0</v>
      </c>
      <c r="G313" s="9">
        <v>24.0</v>
      </c>
      <c r="H313" s="9">
        <v>0.0</v>
      </c>
      <c r="I313" s="9">
        <v>0.0</v>
      </c>
      <c r="J313" s="9">
        <v>6.0</v>
      </c>
      <c r="K313" s="9">
        <v>24.0</v>
      </c>
      <c r="L313" s="9">
        <v>3.0</v>
      </c>
      <c r="M313" s="9">
        <v>18.0</v>
      </c>
      <c r="N313" s="9">
        <v>6.0</v>
      </c>
      <c r="O313" s="12">
        <v>45839.0</v>
      </c>
      <c r="P313" s="15"/>
      <c r="Q313" s="14"/>
      <c r="R313" s="14"/>
    </row>
    <row r="314">
      <c r="A314" s="9">
        <v>2.411000046E9</v>
      </c>
      <c r="B314" s="10" t="s">
        <v>21</v>
      </c>
      <c r="C314" s="9">
        <v>36.0</v>
      </c>
      <c r="D314" s="10" t="s">
        <v>153</v>
      </c>
      <c r="E314" s="9">
        <v>3.0</v>
      </c>
      <c r="F314" s="9">
        <v>19.0</v>
      </c>
      <c r="G314" s="9">
        <v>75.0</v>
      </c>
      <c r="H314" s="9">
        <v>0.0</v>
      </c>
      <c r="I314" s="9">
        <v>0.0</v>
      </c>
      <c r="J314" s="9">
        <v>19.0</v>
      </c>
      <c r="K314" s="9">
        <v>75.0</v>
      </c>
      <c r="L314" s="9">
        <v>2.0</v>
      </c>
      <c r="M314" s="9">
        <v>38.0</v>
      </c>
      <c r="N314" s="9">
        <v>37.0</v>
      </c>
      <c r="O314" s="19">
        <v>45839.0</v>
      </c>
      <c r="P314" s="15"/>
      <c r="Q314" s="14"/>
      <c r="R314" s="14"/>
    </row>
    <row r="315">
      <c r="A315" s="9">
        <v>2.411000046E9</v>
      </c>
      <c r="B315" s="10" t="s">
        <v>21</v>
      </c>
      <c r="C315" s="9">
        <v>37.0</v>
      </c>
      <c r="D315" s="10" t="s">
        <v>154</v>
      </c>
      <c r="E315" s="9">
        <v>1.0</v>
      </c>
      <c r="F315" s="9">
        <v>26.0</v>
      </c>
      <c r="G315" s="9">
        <v>26.0</v>
      </c>
      <c r="H315" s="9">
        <v>0.0</v>
      </c>
      <c r="I315" s="9">
        <v>0.0</v>
      </c>
      <c r="J315" s="9">
        <v>26.0</v>
      </c>
      <c r="K315" s="9">
        <v>26.0</v>
      </c>
      <c r="L315" s="9">
        <v>0.63</v>
      </c>
      <c r="M315" s="9">
        <v>16.38</v>
      </c>
      <c r="N315" s="9">
        <v>9.62</v>
      </c>
      <c r="O315" s="19">
        <v>45839.0</v>
      </c>
      <c r="P315" s="15"/>
      <c r="Q315" s="14"/>
      <c r="R315" s="14"/>
    </row>
    <row r="316">
      <c r="A316" s="9">
        <v>2.411000046E9</v>
      </c>
      <c r="B316" s="10" t="s">
        <v>21</v>
      </c>
      <c r="C316" s="9">
        <v>38.0</v>
      </c>
      <c r="D316" s="10" t="s">
        <v>155</v>
      </c>
      <c r="E316" s="9">
        <v>7.0</v>
      </c>
      <c r="F316" s="9">
        <v>16.0</v>
      </c>
      <c r="G316" s="9">
        <v>101.0</v>
      </c>
      <c r="H316" s="9">
        <v>0.0</v>
      </c>
      <c r="I316" s="9">
        <v>0.0</v>
      </c>
      <c r="J316" s="9">
        <v>16.0</v>
      </c>
      <c r="K316" s="9">
        <v>101.0</v>
      </c>
      <c r="L316" s="9">
        <v>5.18</v>
      </c>
      <c r="M316" s="9">
        <v>82.88</v>
      </c>
      <c r="N316" s="9">
        <v>18.12</v>
      </c>
      <c r="O316" s="12">
        <v>45839.0</v>
      </c>
      <c r="P316" s="15"/>
      <c r="Q316" s="14"/>
      <c r="R316" s="14"/>
    </row>
    <row r="317">
      <c r="A317" s="9">
        <v>2.411000046E9</v>
      </c>
      <c r="B317" s="10" t="s">
        <v>21</v>
      </c>
      <c r="C317" s="9">
        <v>40.0</v>
      </c>
      <c r="D317" s="10" t="s">
        <v>156</v>
      </c>
      <c r="E317" s="9">
        <v>5.0</v>
      </c>
      <c r="F317" s="9">
        <v>13.0</v>
      </c>
      <c r="G317" s="9">
        <v>52.0</v>
      </c>
      <c r="H317" s="9">
        <v>0.0</v>
      </c>
      <c r="I317" s="9">
        <v>0.0</v>
      </c>
      <c r="J317" s="9">
        <v>13.0</v>
      </c>
      <c r="K317" s="9">
        <v>52.0</v>
      </c>
      <c r="L317" s="9">
        <v>3.63</v>
      </c>
      <c r="M317" s="9">
        <v>47.19</v>
      </c>
      <c r="N317" s="9">
        <v>4.81</v>
      </c>
      <c r="O317" s="12">
        <v>45839.0</v>
      </c>
      <c r="P317" s="15"/>
      <c r="Q317" s="14"/>
      <c r="R317" s="14"/>
    </row>
    <row r="318">
      <c r="A318" s="9">
        <v>2.411000046E9</v>
      </c>
      <c r="B318" s="10" t="s">
        <v>21</v>
      </c>
      <c r="C318" s="9">
        <v>41.0</v>
      </c>
      <c r="D318" s="10" t="s">
        <v>157</v>
      </c>
      <c r="E318" s="9">
        <v>5.0</v>
      </c>
      <c r="F318" s="9">
        <v>10.0</v>
      </c>
      <c r="G318" s="9">
        <v>50.0</v>
      </c>
      <c r="H318" s="9">
        <v>0.0</v>
      </c>
      <c r="I318" s="9">
        <v>0.0</v>
      </c>
      <c r="J318" s="9">
        <v>10.0</v>
      </c>
      <c r="K318" s="9">
        <v>50.0</v>
      </c>
      <c r="L318" s="9">
        <v>3.25</v>
      </c>
      <c r="M318" s="9">
        <v>32.5</v>
      </c>
      <c r="N318" s="9">
        <v>17.5</v>
      </c>
      <c r="O318" s="19">
        <v>45839.0</v>
      </c>
      <c r="P318" s="15"/>
      <c r="Q318" s="14"/>
      <c r="R318" s="14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9">
        <v>0.0</v>
      </c>
      <c r="K319" s="9">
        <v>0.0</v>
      </c>
      <c r="L319" s="9">
        <v>0.0</v>
      </c>
      <c r="M319" s="9">
        <v>0.0</v>
      </c>
      <c r="N319" s="9">
        <v>0.0</v>
      </c>
      <c r="O319" s="19">
        <v>45839.0</v>
      </c>
      <c r="P319" s="15"/>
      <c r="Q319" s="14"/>
      <c r="R319" s="14"/>
    </row>
    <row r="320">
      <c r="A320" s="9">
        <v>2.503000216E9</v>
      </c>
      <c r="B320" s="18" t="s">
        <v>23</v>
      </c>
      <c r="C320" s="9">
        <v>1.0</v>
      </c>
      <c r="D320" s="10" t="s">
        <v>129</v>
      </c>
      <c r="E320" s="9">
        <v>5.0</v>
      </c>
      <c r="F320" s="9">
        <v>208.0</v>
      </c>
      <c r="G320" s="9">
        <v>1040.0</v>
      </c>
      <c r="H320" s="9">
        <v>0.0</v>
      </c>
      <c r="I320" s="9">
        <v>0.0</v>
      </c>
      <c r="J320" s="9">
        <v>208.0</v>
      </c>
      <c r="K320" s="9">
        <v>1040.0</v>
      </c>
      <c r="L320" s="9">
        <v>2.8</v>
      </c>
      <c r="M320" s="9">
        <v>582.4</v>
      </c>
      <c r="N320" s="9">
        <v>457.6</v>
      </c>
      <c r="O320" s="12">
        <v>45839.0</v>
      </c>
      <c r="P320" s="15"/>
      <c r="Q320" s="14"/>
      <c r="R320" s="14"/>
    </row>
    <row r="321">
      <c r="A321" s="9">
        <v>2.503000216E9</v>
      </c>
      <c r="B321" s="18" t="s">
        <v>23</v>
      </c>
      <c r="C321" s="9">
        <v>2.0</v>
      </c>
      <c r="D321" s="10" t="s">
        <v>74</v>
      </c>
      <c r="E321" s="9">
        <v>1.0</v>
      </c>
      <c r="F321" s="9">
        <v>1332.0</v>
      </c>
      <c r="G321" s="9">
        <v>1332.0</v>
      </c>
      <c r="H321" s="9">
        <v>0.0</v>
      </c>
      <c r="I321" s="9">
        <v>0.0</v>
      </c>
      <c r="J321" s="9">
        <v>1332.0</v>
      </c>
      <c r="K321" s="9">
        <v>1332.0</v>
      </c>
      <c r="L321" s="9">
        <v>0.3</v>
      </c>
      <c r="M321" s="9">
        <v>399.6</v>
      </c>
      <c r="N321" s="9">
        <v>932.4</v>
      </c>
      <c r="O321" s="12">
        <v>45839.0</v>
      </c>
      <c r="P321" s="15"/>
      <c r="Q321" s="14"/>
      <c r="R321" s="14"/>
    </row>
    <row r="322">
      <c r="A322" s="9">
        <v>2.503000216E9</v>
      </c>
      <c r="B322" s="18" t="s">
        <v>23</v>
      </c>
      <c r="C322" s="9">
        <v>3.0</v>
      </c>
      <c r="D322" s="10" t="s">
        <v>125</v>
      </c>
      <c r="E322" s="9">
        <v>7.0</v>
      </c>
      <c r="F322" s="9">
        <v>93.0</v>
      </c>
      <c r="G322" s="9">
        <v>465.0</v>
      </c>
      <c r="H322" s="9">
        <v>0.0</v>
      </c>
      <c r="I322" s="9">
        <v>0.0</v>
      </c>
      <c r="J322" s="9">
        <v>93.0</v>
      </c>
      <c r="K322" s="9">
        <v>465.0</v>
      </c>
      <c r="L322" s="9">
        <v>6.2</v>
      </c>
      <c r="M322" s="9">
        <v>576.6</v>
      </c>
      <c r="N322" s="9">
        <v>-111.6</v>
      </c>
      <c r="O322" s="19">
        <v>45839.0</v>
      </c>
      <c r="P322" s="15"/>
      <c r="Q322" s="14"/>
      <c r="R322" s="14"/>
    </row>
    <row r="323">
      <c r="A323" s="9">
        <v>2.503000216E9</v>
      </c>
      <c r="B323" s="18" t="s">
        <v>23</v>
      </c>
      <c r="C323" s="9">
        <v>4.0</v>
      </c>
      <c r="D323" s="10" t="s">
        <v>130</v>
      </c>
      <c r="E323" s="9">
        <v>8.0</v>
      </c>
      <c r="F323" s="9">
        <v>26.0</v>
      </c>
      <c r="G323" s="9">
        <v>104.0</v>
      </c>
      <c r="H323" s="9">
        <v>0.0</v>
      </c>
      <c r="I323" s="9">
        <v>0.0</v>
      </c>
      <c r="J323" s="9">
        <v>26.0</v>
      </c>
      <c r="K323" s="9">
        <v>104.0</v>
      </c>
      <c r="L323" s="9">
        <v>4.75</v>
      </c>
      <c r="M323" s="9">
        <v>123.5</v>
      </c>
      <c r="N323" s="9">
        <v>-19.5</v>
      </c>
      <c r="O323" s="19">
        <v>45839.0</v>
      </c>
      <c r="P323" s="15"/>
      <c r="Q323" s="14"/>
      <c r="R323" s="14"/>
    </row>
    <row r="324">
      <c r="A324" s="9">
        <v>2.503000216E9</v>
      </c>
      <c r="B324" s="18" t="s">
        <v>23</v>
      </c>
      <c r="C324" s="9">
        <v>5.0</v>
      </c>
      <c r="D324" s="10" t="s">
        <v>131</v>
      </c>
      <c r="E324" s="9">
        <v>3.0</v>
      </c>
      <c r="F324" s="9">
        <v>35.0</v>
      </c>
      <c r="G324" s="9">
        <v>111.0</v>
      </c>
      <c r="H324" s="9">
        <v>0.0</v>
      </c>
      <c r="I324" s="9">
        <v>0.0</v>
      </c>
      <c r="J324" s="9">
        <v>35.0</v>
      </c>
      <c r="K324" s="9">
        <v>111.0</v>
      </c>
      <c r="L324" s="9">
        <v>2.0</v>
      </c>
      <c r="M324" s="9">
        <v>70.0</v>
      </c>
      <c r="N324" s="9">
        <v>41.0</v>
      </c>
      <c r="O324" s="12">
        <v>45839.0</v>
      </c>
      <c r="P324" s="15"/>
      <c r="Q324" s="14"/>
      <c r="R324" s="14"/>
    </row>
    <row r="325">
      <c r="A325" s="9">
        <v>2.503000216E9</v>
      </c>
      <c r="B325" s="18" t="s">
        <v>23</v>
      </c>
      <c r="C325" s="9">
        <v>6.0</v>
      </c>
      <c r="D325" s="10" t="s">
        <v>109</v>
      </c>
      <c r="E325" s="9">
        <v>5.0</v>
      </c>
      <c r="F325" s="9">
        <v>193.0</v>
      </c>
      <c r="G325" s="9">
        <v>972.0</v>
      </c>
      <c r="H325" s="9">
        <v>0.0</v>
      </c>
      <c r="I325" s="9">
        <v>0.0</v>
      </c>
      <c r="J325" s="9">
        <v>193.0</v>
      </c>
      <c r="K325" s="9">
        <v>972.0</v>
      </c>
      <c r="L325" s="9">
        <v>3.08</v>
      </c>
      <c r="M325" s="9">
        <v>594.44</v>
      </c>
      <c r="N325" s="9">
        <v>377.56</v>
      </c>
      <c r="O325" s="12">
        <v>45839.0</v>
      </c>
      <c r="P325" s="15"/>
      <c r="Q325" s="14"/>
      <c r="R325" s="14"/>
    </row>
    <row r="326">
      <c r="A326" s="9">
        <v>2.503000216E9</v>
      </c>
      <c r="B326" s="18" t="s">
        <v>23</v>
      </c>
      <c r="C326" s="9">
        <v>7.0</v>
      </c>
      <c r="D326" s="10" t="s">
        <v>132</v>
      </c>
      <c r="E326" s="9">
        <v>7.0</v>
      </c>
      <c r="F326" s="9">
        <v>14.0</v>
      </c>
      <c r="G326" s="9">
        <v>131.0</v>
      </c>
      <c r="H326" s="9">
        <v>0.0</v>
      </c>
      <c r="I326" s="9">
        <v>0.0</v>
      </c>
      <c r="J326" s="9">
        <v>14.0</v>
      </c>
      <c r="K326" s="9">
        <v>131.0</v>
      </c>
      <c r="L326" s="9">
        <v>4.75</v>
      </c>
      <c r="M326" s="9">
        <v>66.5</v>
      </c>
      <c r="N326" s="9">
        <v>64.5</v>
      </c>
      <c r="O326" s="19">
        <v>45839.0</v>
      </c>
      <c r="P326" s="15"/>
      <c r="Q326" s="14"/>
      <c r="R326" s="14"/>
    </row>
    <row r="327">
      <c r="A327" s="9">
        <v>2.503000216E9</v>
      </c>
      <c r="B327" s="18" t="s">
        <v>23</v>
      </c>
      <c r="C327" s="9">
        <v>8.0</v>
      </c>
      <c r="D327" s="10" t="s">
        <v>133</v>
      </c>
      <c r="E327" s="9">
        <v>5.0</v>
      </c>
      <c r="F327" s="9">
        <v>20.0</v>
      </c>
      <c r="G327" s="9">
        <v>92.0</v>
      </c>
      <c r="H327" s="9">
        <v>0.0</v>
      </c>
      <c r="I327" s="9">
        <v>0.0</v>
      </c>
      <c r="J327" s="9">
        <v>20.0</v>
      </c>
      <c r="K327" s="9">
        <v>92.0</v>
      </c>
      <c r="L327" s="9">
        <v>3.45</v>
      </c>
      <c r="M327" s="9">
        <v>69.0</v>
      </c>
      <c r="N327" s="9">
        <v>23.0</v>
      </c>
      <c r="O327" s="19">
        <v>45839.0</v>
      </c>
      <c r="P327" s="15"/>
      <c r="Q327" s="14"/>
      <c r="R327" s="14"/>
    </row>
    <row r="328">
      <c r="A328" s="9">
        <v>2.503000216E9</v>
      </c>
      <c r="B328" s="18" t="s">
        <v>23</v>
      </c>
      <c r="C328" s="9">
        <v>9.0</v>
      </c>
      <c r="D328" s="10" t="s">
        <v>134</v>
      </c>
      <c r="E328" s="9">
        <v>3.0</v>
      </c>
      <c r="F328" s="9">
        <v>42.0</v>
      </c>
      <c r="G328" s="9">
        <v>124.0</v>
      </c>
      <c r="H328" s="9">
        <v>0.0</v>
      </c>
      <c r="I328" s="9">
        <v>0.0</v>
      </c>
      <c r="J328" s="9">
        <v>42.0</v>
      </c>
      <c r="K328" s="9">
        <v>124.0</v>
      </c>
      <c r="L328" s="9">
        <v>1.83</v>
      </c>
      <c r="M328" s="9">
        <v>76.86</v>
      </c>
      <c r="N328" s="9">
        <v>47.14</v>
      </c>
      <c r="O328" s="12">
        <v>45839.0</v>
      </c>
      <c r="P328" s="15"/>
      <c r="Q328" s="14"/>
      <c r="R328" s="14"/>
    </row>
    <row r="329">
      <c r="A329" s="9">
        <v>2.503000216E9</v>
      </c>
      <c r="B329" s="18" t="s">
        <v>23</v>
      </c>
      <c r="C329" s="9">
        <v>10.0</v>
      </c>
      <c r="D329" s="10" t="s">
        <v>135</v>
      </c>
      <c r="E329" s="9">
        <v>8.0</v>
      </c>
      <c r="F329" s="9">
        <v>2.0</v>
      </c>
      <c r="G329" s="9">
        <v>14.0</v>
      </c>
      <c r="H329" s="9">
        <v>0.0</v>
      </c>
      <c r="I329" s="9">
        <v>0.0</v>
      </c>
      <c r="J329" s="9">
        <v>2.0</v>
      </c>
      <c r="K329" s="9">
        <v>14.0</v>
      </c>
      <c r="L329" s="9">
        <v>5.83</v>
      </c>
      <c r="M329" s="9">
        <v>11.66</v>
      </c>
      <c r="N329" s="9">
        <v>2.34</v>
      </c>
      <c r="O329" s="12">
        <v>45839.0</v>
      </c>
      <c r="P329" s="15"/>
      <c r="Q329" s="14"/>
      <c r="R329" s="14"/>
    </row>
    <row r="330">
      <c r="A330" s="9">
        <v>2.503000216E9</v>
      </c>
      <c r="B330" s="18" t="s">
        <v>23</v>
      </c>
      <c r="C330" s="9">
        <v>11.0</v>
      </c>
      <c r="D330" s="10" t="s">
        <v>86</v>
      </c>
      <c r="E330" s="9">
        <v>5.0</v>
      </c>
      <c r="F330" s="9">
        <v>139.0</v>
      </c>
      <c r="G330" s="9">
        <v>515.0</v>
      </c>
      <c r="H330" s="9">
        <v>0.0</v>
      </c>
      <c r="I330" s="9">
        <v>0.0</v>
      </c>
      <c r="J330" s="9">
        <v>139.0</v>
      </c>
      <c r="K330" s="9">
        <v>515.0</v>
      </c>
      <c r="L330" s="9">
        <v>3.5</v>
      </c>
      <c r="M330" s="9">
        <v>486.5</v>
      </c>
      <c r="N330" s="9">
        <v>28.5</v>
      </c>
      <c r="O330" s="19">
        <v>45839.0</v>
      </c>
      <c r="P330" s="15"/>
      <c r="Q330" s="14"/>
      <c r="R330" s="14"/>
    </row>
    <row r="331">
      <c r="A331" s="9">
        <v>2.503000216E9</v>
      </c>
      <c r="B331" s="18" t="s">
        <v>23</v>
      </c>
      <c r="C331" s="9">
        <v>12.0</v>
      </c>
      <c r="D331" s="10" t="s">
        <v>136</v>
      </c>
      <c r="E331" s="9">
        <v>1.0</v>
      </c>
      <c r="F331" s="9">
        <v>391.0</v>
      </c>
      <c r="G331" s="9">
        <v>492.0</v>
      </c>
      <c r="H331" s="9">
        <v>0.0</v>
      </c>
      <c r="I331" s="9">
        <v>0.0</v>
      </c>
      <c r="J331" s="9">
        <v>391.0</v>
      </c>
      <c r="K331" s="9">
        <v>492.0</v>
      </c>
      <c r="L331" s="9">
        <v>0.6</v>
      </c>
      <c r="M331" s="9">
        <v>234.6</v>
      </c>
      <c r="N331" s="9">
        <v>257.4</v>
      </c>
      <c r="O331" s="19">
        <v>45839.0</v>
      </c>
      <c r="P331" s="15"/>
      <c r="Q331" s="14"/>
      <c r="R331" s="14"/>
    </row>
    <row r="332">
      <c r="A332" s="9">
        <v>2.503000216E9</v>
      </c>
      <c r="B332" s="18" t="s">
        <v>23</v>
      </c>
      <c r="C332" s="9">
        <v>13.0</v>
      </c>
      <c r="D332" s="10" t="s">
        <v>137</v>
      </c>
      <c r="E332" s="9">
        <v>1.0</v>
      </c>
      <c r="F332" s="9">
        <v>69.0</v>
      </c>
      <c r="G332" s="9">
        <v>77.0</v>
      </c>
      <c r="H332" s="9">
        <v>0.0</v>
      </c>
      <c r="I332" s="9">
        <v>0.0</v>
      </c>
      <c r="J332" s="9">
        <v>69.0</v>
      </c>
      <c r="K332" s="9">
        <v>77.0</v>
      </c>
      <c r="L332" s="9">
        <v>0.7</v>
      </c>
      <c r="M332" s="9">
        <v>48.3</v>
      </c>
      <c r="N332" s="9">
        <v>28.7</v>
      </c>
      <c r="O332" s="12">
        <v>45839.0</v>
      </c>
      <c r="P332" s="15"/>
      <c r="Q332" s="14"/>
      <c r="R332" s="14"/>
    </row>
    <row r="333">
      <c r="A333" s="9">
        <v>2.503000216E9</v>
      </c>
      <c r="B333" s="18" t="s">
        <v>23</v>
      </c>
      <c r="C333" s="9">
        <v>14.0</v>
      </c>
      <c r="D333" s="10" t="s">
        <v>138</v>
      </c>
      <c r="E333" s="9">
        <v>7.0</v>
      </c>
      <c r="F333" s="9">
        <v>51.0</v>
      </c>
      <c r="G333" s="9">
        <v>265.0</v>
      </c>
      <c r="H333" s="9">
        <v>0.0</v>
      </c>
      <c r="I333" s="9">
        <v>0.0</v>
      </c>
      <c r="J333" s="9">
        <v>51.0</v>
      </c>
      <c r="K333" s="9">
        <v>265.0</v>
      </c>
      <c r="L333" s="9">
        <v>5.8</v>
      </c>
      <c r="M333" s="9">
        <v>295.8</v>
      </c>
      <c r="N333" s="9">
        <v>-30.8</v>
      </c>
      <c r="O333" s="12">
        <v>45839.0</v>
      </c>
      <c r="P333" s="15"/>
      <c r="Q333" s="14"/>
      <c r="R333" s="14"/>
    </row>
    <row r="334">
      <c r="A334" s="9">
        <v>2.503000216E9</v>
      </c>
      <c r="B334" s="18" t="s">
        <v>23</v>
      </c>
      <c r="C334" s="9">
        <v>15.0</v>
      </c>
      <c r="D334" s="10" t="s">
        <v>55</v>
      </c>
      <c r="E334" s="9">
        <v>2.0</v>
      </c>
      <c r="F334" s="9">
        <v>170.0</v>
      </c>
      <c r="G334" s="9">
        <v>369.0</v>
      </c>
      <c r="H334" s="9">
        <v>0.0</v>
      </c>
      <c r="I334" s="9">
        <v>0.0</v>
      </c>
      <c r="J334" s="9">
        <v>170.0</v>
      </c>
      <c r="K334" s="9">
        <v>369.0</v>
      </c>
      <c r="L334" s="9">
        <v>1.54</v>
      </c>
      <c r="M334" s="9">
        <v>261.8</v>
      </c>
      <c r="N334" s="9">
        <v>107.2</v>
      </c>
      <c r="O334" s="19">
        <v>45839.0</v>
      </c>
      <c r="P334" s="15"/>
      <c r="Q334" s="14"/>
      <c r="R334" s="14"/>
    </row>
    <row r="335">
      <c r="A335" s="9">
        <v>2.503000216E9</v>
      </c>
      <c r="B335" s="18" t="s">
        <v>23</v>
      </c>
      <c r="C335" s="9">
        <v>16.0</v>
      </c>
      <c r="D335" s="10" t="s">
        <v>139</v>
      </c>
      <c r="E335" s="9">
        <v>2.0</v>
      </c>
      <c r="F335" s="9">
        <v>13.0</v>
      </c>
      <c r="G335" s="9">
        <v>42.0</v>
      </c>
      <c r="H335" s="9">
        <v>0.0</v>
      </c>
      <c r="I335" s="9">
        <v>0.0</v>
      </c>
      <c r="J335" s="9">
        <v>13.0</v>
      </c>
      <c r="K335" s="9">
        <v>42.0</v>
      </c>
      <c r="L335" s="9">
        <v>0.92</v>
      </c>
      <c r="M335" s="9">
        <v>11.96</v>
      </c>
      <c r="N335" s="9">
        <v>30.04</v>
      </c>
      <c r="O335" s="19">
        <v>45839.0</v>
      </c>
      <c r="P335" s="15"/>
      <c r="Q335" s="14"/>
      <c r="R335" s="14"/>
    </row>
    <row r="336">
      <c r="A336" s="9">
        <v>2.503000216E9</v>
      </c>
      <c r="B336" s="18" t="s">
        <v>23</v>
      </c>
      <c r="C336" s="9">
        <v>17.0</v>
      </c>
      <c r="D336" s="10" t="s">
        <v>127</v>
      </c>
      <c r="E336" s="9">
        <v>12.0</v>
      </c>
      <c r="F336" s="9">
        <v>44.0</v>
      </c>
      <c r="G336" s="9">
        <v>528.0</v>
      </c>
      <c r="H336" s="9">
        <v>0.0</v>
      </c>
      <c r="I336" s="9">
        <v>0.0</v>
      </c>
      <c r="J336" s="9">
        <v>44.0</v>
      </c>
      <c r="K336" s="9">
        <v>528.0</v>
      </c>
      <c r="L336" s="9">
        <v>7.0</v>
      </c>
      <c r="M336" s="9">
        <v>308.0</v>
      </c>
      <c r="N336" s="9">
        <v>220.0</v>
      </c>
      <c r="O336" s="12">
        <v>45839.0</v>
      </c>
      <c r="P336" s="15"/>
      <c r="Q336" s="14"/>
      <c r="R336" s="14"/>
    </row>
    <row r="337">
      <c r="A337" s="9">
        <v>2.503000216E9</v>
      </c>
      <c r="B337" s="18" t="s">
        <v>23</v>
      </c>
      <c r="C337" s="9">
        <v>18.0</v>
      </c>
      <c r="D337" s="10" t="s">
        <v>140</v>
      </c>
      <c r="E337" s="9">
        <v>20.0</v>
      </c>
      <c r="F337" s="9">
        <v>14.0</v>
      </c>
      <c r="G337" s="9">
        <v>190.0</v>
      </c>
      <c r="H337" s="9">
        <v>0.0</v>
      </c>
      <c r="I337" s="9">
        <v>0.0</v>
      </c>
      <c r="J337" s="9">
        <v>14.0</v>
      </c>
      <c r="K337" s="9">
        <v>190.0</v>
      </c>
      <c r="L337" s="9">
        <v>12.0</v>
      </c>
      <c r="M337" s="9">
        <v>168.0</v>
      </c>
      <c r="N337" s="9">
        <v>22.0</v>
      </c>
      <c r="O337" s="12">
        <v>45839.0</v>
      </c>
      <c r="P337" s="15"/>
      <c r="Q337" s="14"/>
      <c r="R337" s="14"/>
    </row>
    <row r="338">
      <c r="A338" s="9">
        <v>2.503000216E9</v>
      </c>
      <c r="B338" s="18" t="s">
        <v>23</v>
      </c>
      <c r="C338" s="9">
        <v>19.0</v>
      </c>
      <c r="D338" s="10" t="s">
        <v>72</v>
      </c>
      <c r="E338" s="9">
        <v>2.0</v>
      </c>
      <c r="F338" s="9">
        <v>81.0</v>
      </c>
      <c r="G338" s="9">
        <v>167.0</v>
      </c>
      <c r="H338" s="9">
        <v>0.0</v>
      </c>
      <c r="I338" s="9">
        <v>0.0</v>
      </c>
      <c r="J338" s="9">
        <v>81.0</v>
      </c>
      <c r="K338" s="9">
        <v>167.0</v>
      </c>
      <c r="L338" s="9">
        <v>1.33</v>
      </c>
      <c r="M338" s="9">
        <v>107.73</v>
      </c>
      <c r="N338" s="9">
        <v>59.27</v>
      </c>
      <c r="O338" s="19">
        <v>45839.0</v>
      </c>
      <c r="P338" s="15"/>
      <c r="Q338" s="14"/>
      <c r="R338" s="14"/>
    </row>
    <row r="339">
      <c r="A339" s="9">
        <v>2.503000216E9</v>
      </c>
      <c r="B339" s="18" t="s">
        <v>23</v>
      </c>
      <c r="C339" s="9">
        <v>20.0</v>
      </c>
      <c r="D339" s="10" t="s">
        <v>141</v>
      </c>
      <c r="E339" s="9">
        <v>5.0</v>
      </c>
      <c r="F339" s="9">
        <v>60.0</v>
      </c>
      <c r="G339" s="9">
        <v>135.0</v>
      </c>
      <c r="H339" s="9">
        <v>0.0</v>
      </c>
      <c r="I339" s="9">
        <v>0.0</v>
      </c>
      <c r="J339" s="9">
        <v>60.0</v>
      </c>
      <c r="K339" s="9">
        <v>135.0</v>
      </c>
      <c r="L339" s="9">
        <v>3.79</v>
      </c>
      <c r="M339" s="9">
        <v>227.4</v>
      </c>
      <c r="N339" s="9">
        <v>-92.4</v>
      </c>
      <c r="O339" s="19">
        <v>45839.0</v>
      </c>
      <c r="P339" s="15"/>
      <c r="Q339" s="14"/>
      <c r="R339" s="14"/>
    </row>
    <row r="340">
      <c r="A340" s="9">
        <v>2.503000216E9</v>
      </c>
      <c r="B340" s="18" t="s">
        <v>23</v>
      </c>
      <c r="C340" s="9">
        <v>21.0</v>
      </c>
      <c r="D340" s="10" t="s">
        <v>79</v>
      </c>
      <c r="E340" s="9">
        <v>3.0</v>
      </c>
      <c r="F340" s="9">
        <v>43.0</v>
      </c>
      <c r="G340" s="9">
        <v>129.0</v>
      </c>
      <c r="H340" s="9">
        <v>0.0</v>
      </c>
      <c r="I340" s="9">
        <v>0.0</v>
      </c>
      <c r="J340" s="9">
        <v>43.0</v>
      </c>
      <c r="K340" s="9">
        <v>129.0</v>
      </c>
      <c r="L340" s="9">
        <v>2.2</v>
      </c>
      <c r="M340" s="9">
        <v>94.6</v>
      </c>
      <c r="N340" s="9">
        <v>34.4</v>
      </c>
      <c r="O340" s="12">
        <v>45839.0</v>
      </c>
      <c r="P340" s="15"/>
      <c r="Q340" s="14"/>
      <c r="R340" s="14"/>
    </row>
    <row r="341">
      <c r="A341" s="9">
        <v>2.503000216E9</v>
      </c>
      <c r="B341" s="18" t="s">
        <v>23</v>
      </c>
      <c r="C341" s="9">
        <v>22.0</v>
      </c>
      <c r="D341" s="10" t="s">
        <v>142</v>
      </c>
      <c r="E341" s="9">
        <v>5.0</v>
      </c>
      <c r="F341" s="9">
        <v>112.0</v>
      </c>
      <c r="G341" s="9">
        <v>385.0</v>
      </c>
      <c r="H341" s="9">
        <v>0.0</v>
      </c>
      <c r="I341" s="9">
        <v>0.0</v>
      </c>
      <c r="J341" s="9">
        <v>112.0</v>
      </c>
      <c r="K341" s="9">
        <v>385.0</v>
      </c>
      <c r="L341" s="9">
        <v>2.92</v>
      </c>
      <c r="M341" s="9">
        <v>327.04</v>
      </c>
      <c r="N341" s="9">
        <v>57.96</v>
      </c>
      <c r="O341" s="12">
        <v>45839.0</v>
      </c>
      <c r="P341" s="15"/>
      <c r="Q341" s="14"/>
      <c r="R341" s="14"/>
    </row>
    <row r="342">
      <c r="A342" s="9">
        <v>2.503000216E9</v>
      </c>
      <c r="B342" s="18" t="s">
        <v>23</v>
      </c>
      <c r="C342" s="9">
        <v>23.0</v>
      </c>
      <c r="D342" s="10" t="s">
        <v>143</v>
      </c>
      <c r="E342" s="9">
        <v>5.0</v>
      </c>
      <c r="F342" s="9">
        <v>36.0</v>
      </c>
      <c r="G342" s="9">
        <v>143.0</v>
      </c>
      <c r="H342" s="9">
        <v>0.0</v>
      </c>
      <c r="I342" s="9">
        <v>0.0</v>
      </c>
      <c r="J342" s="9">
        <v>36.0</v>
      </c>
      <c r="K342" s="9">
        <v>143.0</v>
      </c>
      <c r="L342" s="9">
        <v>3.41</v>
      </c>
      <c r="M342" s="9">
        <v>122.76</v>
      </c>
      <c r="N342" s="9">
        <v>20.24</v>
      </c>
      <c r="O342" s="19">
        <v>45839.0</v>
      </c>
      <c r="P342" s="15"/>
      <c r="Q342" s="14"/>
      <c r="R342" s="14"/>
    </row>
    <row r="343">
      <c r="A343" s="9">
        <v>2.503000216E9</v>
      </c>
      <c r="B343" s="18" t="s">
        <v>23</v>
      </c>
      <c r="C343" s="9">
        <v>24.0</v>
      </c>
      <c r="D343" s="10" t="s">
        <v>158</v>
      </c>
      <c r="E343" s="9">
        <v>3.0</v>
      </c>
      <c r="F343" s="9">
        <v>25.0</v>
      </c>
      <c r="G343" s="9">
        <v>75.0</v>
      </c>
      <c r="H343" s="9">
        <v>0.0</v>
      </c>
      <c r="I343" s="9">
        <v>0.0</v>
      </c>
      <c r="J343" s="9">
        <v>25.0</v>
      </c>
      <c r="K343" s="9">
        <v>75.0</v>
      </c>
      <c r="L343" s="9">
        <v>2.4</v>
      </c>
      <c r="M343" s="9">
        <v>60.0</v>
      </c>
      <c r="N343" s="9">
        <v>15.0</v>
      </c>
      <c r="O343" s="19">
        <v>45839.0</v>
      </c>
      <c r="P343" s="15"/>
      <c r="Q343" s="14"/>
      <c r="R343" s="14"/>
    </row>
    <row r="344">
      <c r="A344" s="9">
        <v>2.503000216E9</v>
      </c>
      <c r="B344" s="18" t="s">
        <v>23</v>
      </c>
      <c r="C344" s="9">
        <v>25.0</v>
      </c>
      <c r="D344" s="10" t="s">
        <v>144</v>
      </c>
      <c r="E344" s="9">
        <v>5.0</v>
      </c>
      <c r="F344" s="9">
        <v>7.0</v>
      </c>
      <c r="G344" s="9">
        <v>35.0</v>
      </c>
      <c r="H344" s="9">
        <v>0.0</v>
      </c>
      <c r="I344" s="9">
        <v>0.0</v>
      </c>
      <c r="J344" s="9">
        <v>7.0</v>
      </c>
      <c r="K344" s="9">
        <v>35.0</v>
      </c>
      <c r="L344" s="9">
        <v>3.5</v>
      </c>
      <c r="M344" s="9">
        <v>24.5</v>
      </c>
      <c r="N344" s="9">
        <v>10.5</v>
      </c>
      <c r="O344" s="12">
        <v>45839.0</v>
      </c>
      <c r="P344" s="15"/>
      <c r="Q344" s="14"/>
      <c r="R344" s="14"/>
    </row>
    <row r="345">
      <c r="A345" s="9">
        <v>2.503000216E9</v>
      </c>
      <c r="B345" s="18" t="s">
        <v>23</v>
      </c>
      <c r="C345" s="9">
        <v>26.0</v>
      </c>
      <c r="D345" s="10" t="s">
        <v>145</v>
      </c>
      <c r="E345" s="9">
        <v>5.0</v>
      </c>
      <c r="F345" s="9">
        <v>9.0</v>
      </c>
      <c r="G345" s="9">
        <v>36.0</v>
      </c>
      <c r="H345" s="9">
        <v>0.0</v>
      </c>
      <c r="I345" s="9">
        <v>0.0</v>
      </c>
      <c r="J345" s="9">
        <v>9.0</v>
      </c>
      <c r="K345" s="9">
        <v>36.0</v>
      </c>
      <c r="L345" s="9">
        <v>3.75</v>
      </c>
      <c r="M345" s="9">
        <v>33.75</v>
      </c>
      <c r="N345" s="9">
        <v>2.25</v>
      </c>
      <c r="O345" s="12">
        <v>45839.0</v>
      </c>
      <c r="P345" s="15"/>
      <c r="Q345" s="14"/>
      <c r="R345" s="14"/>
    </row>
    <row r="346">
      <c r="A346" s="9">
        <v>2.503000216E9</v>
      </c>
      <c r="B346" s="18" t="s">
        <v>23</v>
      </c>
      <c r="C346" s="9">
        <v>27.0</v>
      </c>
      <c r="D346" s="10" t="s">
        <v>73</v>
      </c>
      <c r="E346" s="9">
        <v>4.0</v>
      </c>
      <c r="F346" s="9">
        <v>4.0</v>
      </c>
      <c r="G346" s="9">
        <v>16.0</v>
      </c>
      <c r="H346" s="9">
        <v>0.0</v>
      </c>
      <c r="I346" s="9">
        <v>0.0</v>
      </c>
      <c r="J346" s="9">
        <v>4.0</v>
      </c>
      <c r="K346" s="9">
        <v>16.0</v>
      </c>
      <c r="L346" s="9">
        <v>3.28</v>
      </c>
      <c r="M346" s="9">
        <v>13.12</v>
      </c>
      <c r="N346" s="9">
        <v>2.88</v>
      </c>
      <c r="O346" s="19">
        <v>45839.0</v>
      </c>
      <c r="P346" s="15"/>
      <c r="Q346" s="14"/>
      <c r="R346" s="14"/>
    </row>
    <row r="347">
      <c r="A347" s="9">
        <v>2.503000216E9</v>
      </c>
      <c r="B347" s="18" t="s">
        <v>23</v>
      </c>
      <c r="C347" s="9">
        <v>28.0</v>
      </c>
      <c r="D347" s="10" t="s">
        <v>146</v>
      </c>
      <c r="E347" s="9">
        <v>5.0</v>
      </c>
      <c r="F347" s="9">
        <v>21.0</v>
      </c>
      <c r="G347" s="9">
        <v>84.0</v>
      </c>
      <c r="H347" s="9">
        <v>0.0</v>
      </c>
      <c r="I347" s="9">
        <v>0.0</v>
      </c>
      <c r="J347" s="9">
        <v>21.0</v>
      </c>
      <c r="K347" s="9">
        <v>84.0</v>
      </c>
      <c r="L347" s="9">
        <v>4.5</v>
      </c>
      <c r="M347" s="9">
        <v>94.5</v>
      </c>
      <c r="N347" s="9">
        <v>-10.5</v>
      </c>
      <c r="O347" s="19">
        <v>45839.0</v>
      </c>
      <c r="P347" s="15"/>
      <c r="Q347" s="14"/>
      <c r="R347" s="14"/>
    </row>
    <row r="348">
      <c r="A348" s="9">
        <v>2.503000216E9</v>
      </c>
      <c r="B348" s="18" t="s">
        <v>23</v>
      </c>
      <c r="C348" s="9">
        <v>29.0</v>
      </c>
      <c r="D348" s="10" t="s">
        <v>147</v>
      </c>
      <c r="E348" s="9">
        <v>3.0</v>
      </c>
      <c r="F348" s="9">
        <v>25.0</v>
      </c>
      <c r="G348" s="9">
        <v>75.0</v>
      </c>
      <c r="H348" s="9">
        <v>0.0</v>
      </c>
      <c r="I348" s="9">
        <v>0.0</v>
      </c>
      <c r="J348" s="9">
        <v>25.0</v>
      </c>
      <c r="K348" s="9">
        <v>75.0</v>
      </c>
      <c r="L348" s="9">
        <v>2.25</v>
      </c>
      <c r="M348" s="9">
        <v>56.25</v>
      </c>
      <c r="N348" s="9">
        <v>18.75</v>
      </c>
      <c r="O348" s="12">
        <v>45839.0</v>
      </c>
      <c r="P348" s="15"/>
      <c r="Q348" s="14"/>
      <c r="R348" s="14"/>
    </row>
    <row r="349">
      <c r="A349" s="9">
        <v>2.503000216E9</v>
      </c>
      <c r="B349" s="18" t="s">
        <v>23</v>
      </c>
      <c r="C349" s="9">
        <v>35.0</v>
      </c>
      <c r="D349" s="10" t="s">
        <v>152</v>
      </c>
      <c r="E349" s="9">
        <v>4.0</v>
      </c>
      <c r="F349" s="9">
        <v>3.0</v>
      </c>
      <c r="G349" s="9">
        <v>12.0</v>
      </c>
      <c r="H349" s="9">
        <v>0.0</v>
      </c>
      <c r="I349" s="9">
        <v>0.0</v>
      </c>
      <c r="J349" s="9">
        <v>3.0</v>
      </c>
      <c r="K349" s="9">
        <v>12.0</v>
      </c>
      <c r="L349" s="9">
        <v>3.0</v>
      </c>
      <c r="M349" s="9">
        <v>9.0</v>
      </c>
      <c r="N349" s="9">
        <v>3.0</v>
      </c>
      <c r="O349" s="12">
        <v>45839.0</v>
      </c>
      <c r="P349" s="15"/>
      <c r="Q349" s="14"/>
      <c r="R349" s="14"/>
    </row>
    <row r="350">
      <c r="A350" s="9">
        <v>2.404120076E9</v>
      </c>
      <c r="B350" s="10" t="s">
        <v>19</v>
      </c>
      <c r="C350" s="11"/>
      <c r="D350" s="10" t="s">
        <v>53</v>
      </c>
      <c r="E350" s="11"/>
      <c r="F350" s="9">
        <v>6.0</v>
      </c>
      <c r="G350" s="9">
        <v>120.0</v>
      </c>
      <c r="H350" s="11"/>
      <c r="I350" s="11"/>
      <c r="J350" s="9">
        <v>6.0</v>
      </c>
      <c r="K350" s="9">
        <v>120.0</v>
      </c>
      <c r="L350" s="9">
        <v>0.0</v>
      </c>
      <c r="M350" s="9">
        <v>0.0</v>
      </c>
      <c r="N350" s="9">
        <v>120.0</v>
      </c>
      <c r="O350" s="19">
        <v>45839.0</v>
      </c>
      <c r="P350" s="15"/>
      <c r="Q350" s="14"/>
      <c r="R350" s="14"/>
    </row>
    <row r="351">
      <c r="A351" s="9">
        <v>2.404120076E9</v>
      </c>
      <c r="B351" s="10" t="s">
        <v>19</v>
      </c>
      <c r="C351" s="11"/>
      <c r="D351" s="10" t="s">
        <v>89</v>
      </c>
      <c r="E351" s="11"/>
      <c r="F351" s="9">
        <v>23.0</v>
      </c>
      <c r="G351" s="9">
        <v>95.0</v>
      </c>
      <c r="H351" s="11"/>
      <c r="I351" s="11"/>
      <c r="J351" s="9">
        <v>23.0</v>
      </c>
      <c r="K351" s="9">
        <v>95.0</v>
      </c>
      <c r="L351" s="9">
        <v>0.0</v>
      </c>
      <c r="M351" s="9">
        <v>0.0</v>
      </c>
      <c r="N351" s="9">
        <v>95.0</v>
      </c>
      <c r="O351" s="19">
        <v>45839.0</v>
      </c>
      <c r="P351" s="15"/>
      <c r="Q351" s="14"/>
      <c r="R351" s="14"/>
    </row>
    <row r="352">
      <c r="A352" s="9">
        <v>2.404120076E9</v>
      </c>
      <c r="B352" s="10" t="s">
        <v>19</v>
      </c>
      <c r="C352" s="11"/>
      <c r="D352" s="10" t="s">
        <v>55</v>
      </c>
      <c r="E352" s="11"/>
      <c r="F352" s="9">
        <v>85.0</v>
      </c>
      <c r="G352" s="9">
        <v>176.0</v>
      </c>
      <c r="H352" s="11"/>
      <c r="I352" s="11"/>
      <c r="J352" s="9">
        <v>85.0</v>
      </c>
      <c r="K352" s="9">
        <v>176.0</v>
      </c>
      <c r="L352" s="9">
        <v>0.0</v>
      </c>
      <c r="M352" s="9">
        <v>0.0</v>
      </c>
      <c r="N352" s="9">
        <v>176.0</v>
      </c>
      <c r="O352" s="12">
        <v>45839.0</v>
      </c>
      <c r="P352" s="15"/>
      <c r="Q352" s="14"/>
      <c r="R352" s="14"/>
    </row>
    <row r="353">
      <c r="A353" s="9">
        <v>2.404120076E9</v>
      </c>
      <c r="B353" s="10" t="s">
        <v>19</v>
      </c>
      <c r="C353" s="11"/>
      <c r="D353" s="10" t="s">
        <v>92</v>
      </c>
      <c r="E353" s="11"/>
      <c r="F353" s="9">
        <v>43.0</v>
      </c>
      <c r="G353" s="9">
        <v>215.0</v>
      </c>
      <c r="H353" s="11"/>
      <c r="I353" s="11"/>
      <c r="J353" s="9">
        <v>43.0</v>
      </c>
      <c r="K353" s="9">
        <v>215.0</v>
      </c>
      <c r="L353" s="9">
        <v>0.0</v>
      </c>
      <c r="M353" s="9">
        <v>0.0</v>
      </c>
      <c r="N353" s="9">
        <v>215.0</v>
      </c>
      <c r="O353" s="12">
        <v>45839.0</v>
      </c>
      <c r="P353" s="15"/>
      <c r="Q353" s="14"/>
      <c r="R353" s="14"/>
    </row>
    <row r="354">
      <c r="A354" s="9">
        <v>2.404120076E9</v>
      </c>
      <c r="B354" s="10" t="s">
        <v>19</v>
      </c>
      <c r="C354" s="11"/>
      <c r="D354" s="10" t="s">
        <v>109</v>
      </c>
      <c r="E354" s="11"/>
      <c r="F354" s="9">
        <v>191.0</v>
      </c>
      <c r="G354" s="9">
        <v>955.0</v>
      </c>
      <c r="H354" s="11"/>
      <c r="I354" s="11"/>
      <c r="J354" s="9">
        <v>191.0</v>
      </c>
      <c r="K354" s="9">
        <v>955.0</v>
      </c>
      <c r="L354" s="9">
        <v>0.0</v>
      </c>
      <c r="M354" s="9">
        <v>0.0</v>
      </c>
      <c r="N354" s="9">
        <v>955.0</v>
      </c>
      <c r="O354" s="19">
        <v>45839.0</v>
      </c>
      <c r="P354" s="15"/>
      <c r="Q354" s="14"/>
      <c r="R354" s="14"/>
    </row>
    <row r="355">
      <c r="A355" s="9">
        <v>2.404120076E9</v>
      </c>
      <c r="B355" s="10" t="s">
        <v>19</v>
      </c>
      <c r="C355" s="11"/>
      <c r="D355" s="10" t="s">
        <v>60</v>
      </c>
      <c r="E355" s="11"/>
      <c r="F355" s="9">
        <v>183.0</v>
      </c>
      <c r="G355" s="9">
        <v>193.0</v>
      </c>
      <c r="H355" s="11"/>
      <c r="I355" s="11"/>
      <c r="J355" s="9">
        <v>183.0</v>
      </c>
      <c r="K355" s="9">
        <v>193.0</v>
      </c>
      <c r="L355" s="9">
        <v>0.0</v>
      </c>
      <c r="M355" s="9">
        <v>0.0</v>
      </c>
      <c r="N355" s="9">
        <v>193.0</v>
      </c>
      <c r="O355" s="19">
        <v>45839.0</v>
      </c>
      <c r="P355" s="15"/>
      <c r="Q355" s="14"/>
      <c r="R355" s="14"/>
    </row>
    <row r="356">
      <c r="A356" s="9">
        <v>2.404120076E9</v>
      </c>
      <c r="B356" s="10" t="s">
        <v>19</v>
      </c>
      <c r="C356" s="11"/>
      <c r="D356" s="10" t="s">
        <v>68</v>
      </c>
      <c r="E356" s="11"/>
      <c r="F356" s="9">
        <v>21.0</v>
      </c>
      <c r="G356" s="9">
        <v>102.0</v>
      </c>
      <c r="H356" s="11"/>
      <c r="I356" s="11"/>
      <c r="J356" s="9">
        <v>21.0</v>
      </c>
      <c r="K356" s="9">
        <v>102.0</v>
      </c>
      <c r="L356" s="9">
        <v>0.0</v>
      </c>
      <c r="M356" s="9">
        <v>0.0</v>
      </c>
      <c r="N356" s="9">
        <v>102.0</v>
      </c>
      <c r="O356" s="12">
        <v>45839.0</v>
      </c>
      <c r="P356" s="15"/>
      <c r="Q356" s="14"/>
      <c r="R356" s="14"/>
    </row>
    <row r="357">
      <c r="A357" s="9">
        <v>2.404120076E9</v>
      </c>
      <c r="B357" s="10" t="s">
        <v>19</v>
      </c>
      <c r="C357" s="11"/>
      <c r="D357" s="10" t="s">
        <v>120</v>
      </c>
      <c r="E357" s="11"/>
      <c r="F357" s="9">
        <v>19.0</v>
      </c>
      <c r="G357" s="9">
        <v>83.0</v>
      </c>
      <c r="H357" s="11"/>
      <c r="I357" s="11"/>
      <c r="J357" s="9">
        <v>19.0</v>
      </c>
      <c r="K357" s="9">
        <v>83.0</v>
      </c>
      <c r="L357" s="9">
        <v>0.0</v>
      </c>
      <c r="M357" s="9">
        <v>0.0</v>
      </c>
      <c r="N357" s="9">
        <v>83.0</v>
      </c>
      <c r="O357" s="12">
        <v>45839.0</v>
      </c>
      <c r="P357" s="15"/>
      <c r="Q357" s="14"/>
      <c r="R357" s="14"/>
    </row>
    <row r="358">
      <c r="A358" s="9">
        <v>2.404120076E9</v>
      </c>
      <c r="B358" s="10" t="s">
        <v>19</v>
      </c>
      <c r="C358" s="11"/>
      <c r="D358" s="10" t="s">
        <v>70</v>
      </c>
      <c r="E358" s="11"/>
      <c r="F358" s="9">
        <v>12.0</v>
      </c>
      <c r="G358" s="9">
        <v>49.0</v>
      </c>
      <c r="H358" s="11"/>
      <c r="I358" s="11"/>
      <c r="J358" s="9">
        <v>12.0</v>
      </c>
      <c r="K358" s="9">
        <v>49.0</v>
      </c>
      <c r="L358" s="9">
        <v>0.0</v>
      </c>
      <c r="M358" s="9">
        <v>0.0</v>
      </c>
      <c r="N358" s="9">
        <v>49.0</v>
      </c>
      <c r="O358" s="19">
        <v>45839.0</v>
      </c>
      <c r="P358" s="15"/>
      <c r="Q358" s="14"/>
      <c r="R358" s="14"/>
    </row>
    <row r="359">
      <c r="A359" s="9">
        <v>2.404120076E9</v>
      </c>
      <c r="B359" s="10" t="s">
        <v>19</v>
      </c>
      <c r="C359" s="11"/>
      <c r="D359" s="10" t="s">
        <v>121</v>
      </c>
      <c r="E359" s="11"/>
      <c r="F359" s="9">
        <v>12.0</v>
      </c>
      <c r="G359" s="9">
        <v>62.0</v>
      </c>
      <c r="H359" s="11"/>
      <c r="I359" s="11"/>
      <c r="J359" s="9">
        <v>12.0</v>
      </c>
      <c r="K359" s="9">
        <v>62.0</v>
      </c>
      <c r="L359" s="9">
        <v>0.0</v>
      </c>
      <c r="M359" s="9">
        <v>0.0</v>
      </c>
      <c r="N359" s="9">
        <v>62.0</v>
      </c>
      <c r="O359" s="19">
        <v>45839.0</v>
      </c>
      <c r="P359" s="15"/>
      <c r="Q359" s="14"/>
      <c r="R359" s="14"/>
    </row>
    <row r="360">
      <c r="A360" s="9">
        <v>2.404120076E9</v>
      </c>
      <c r="B360" s="10" t="s">
        <v>19</v>
      </c>
      <c r="C360" s="11"/>
      <c r="D360" s="10" t="s">
        <v>96</v>
      </c>
      <c r="E360" s="11"/>
      <c r="F360" s="9">
        <v>41.0</v>
      </c>
      <c r="G360" s="9">
        <v>156.0</v>
      </c>
      <c r="H360" s="11"/>
      <c r="I360" s="11"/>
      <c r="J360" s="9">
        <v>41.0</v>
      </c>
      <c r="K360" s="9">
        <v>156.0</v>
      </c>
      <c r="L360" s="9">
        <v>0.0</v>
      </c>
      <c r="M360" s="9">
        <v>0.0</v>
      </c>
      <c r="N360" s="9">
        <v>156.0</v>
      </c>
      <c r="O360" s="12">
        <v>45839.0</v>
      </c>
      <c r="P360" s="15"/>
      <c r="Q360" s="14"/>
      <c r="R360" s="14"/>
    </row>
    <row r="361">
      <c r="A361" s="9">
        <v>2.404120076E9</v>
      </c>
      <c r="B361" s="10" t="s">
        <v>19</v>
      </c>
      <c r="C361" s="11"/>
      <c r="D361" s="10" t="s">
        <v>136</v>
      </c>
      <c r="E361" s="11"/>
      <c r="F361" s="9">
        <v>225.0</v>
      </c>
      <c r="G361" s="9">
        <v>326.0</v>
      </c>
      <c r="H361" s="11"/>
      <c r="I361" s="11"/>
      <c r="J361" s="9">
        <v>225.0</v>
      </c>
      <c r="K361" s="9">
        <v>326.0</v>
      </c>
      <c r="L361" s="9">
        <v>0.0</v>
      </c>
      <c r="M361" s="9">
        <v>0.0</v>
      </c>
      <c r="N361" s="9">
        <v>326.0</v>
      </c>
      <c r="O361" s="12">
        <v>45839.0</v>
      </c>
      <c r="P361" s="15"/>
      <c r="Q361" s="14"/>
      <c r="R361" s="14"/>
    </row>
    <row r="362">
      <c r="A362" s="9">
        <v>2.404120076E9</v>
      </c>
      <c r="B362" s="10" t="s">
        <v>19</v>
      </c>
      <c r="C362" s="11"/>
      <c r="D362" s="10" t="s">
        <v>72</v>
      </c>
      <c r="E362" s="11"/>
      <c r="F362" s="9">
        <v>71.0</v>
      </c>
      <c r="G362" s="9">
        <v>142.0</v>
      </c>
      <c r="H362" s="11"/>
      <c r="I362" s="11"/>
      <c r="J362" s="9">
        <v>71.0</v>
      </c>
      <c r="K362" s="9">
        <v>142.0</v>
      </c>
      <c r="L362" s="9">
        <v>0.0</v>
      </c>
      <c r="M362" s="9">
        <v>0.0</v>
      </c>
      <c r="N362" s="9">
        <v>142.0</v>
      </c>
      <c r="O362" s="19">
        <v>45839.0</v>
      </c>
      <c r="P362" s="15"/>
      <c r="Q362" s="14"/>
      <c r="R362" s="14"/>
    </row>
    <row r="363">
      <c r="A363" s="9">
        <v>2.404120076E9</v>
      </c>
      <c r="B363" s="10" t="s">
        <v>19</v>
      </c>
      <c r="C363" s="11"/>
      <c r="D363" s="10" t="s">
        <v>97</v>
      </c>
      <c r="E363" s="11"/>
      <c r="F363" s="9">
        <v>48.0</v>
      </c>
      <c r="G363" s="9">
        <v>243.0</v>
      </c>
      <c r="H363" s="11"/>
      <c r="I363" s="11"/>
      <c r="J363" s="9">
        <v>48.0</v>
      </c>
      <c r="K363" s="9">
        <v>243.0</v>
      </c>
      <c r="L363" s="9">
        <v>0.0</v>
      </c>
      <c r="M363" s="9">
        <v>0.0</v>
      </c>
      <c r="N363" s="9">
        <v>243.0</v>
      </c>
      <c r="O363" s="19">
        <v>45839.0</v>
      </c>
      <c r="P363" s="15"/>
      <c r="Q363" s="14"/>
      <c r="R363" s="14"/>
    </row>
    <row r="364">
      <c r="A364" s="9">
        <v>2.404120076E9</v>
      </c>
      <c r="B364" s="10" t="s">
        <v>19</v>
      </c>
      <c r="C364" s="11"/>
      <c r="D364" s="10" t="s">
        <v>123</v>
      </c>
      <c r="E364" s="11"/>
      <c r="F364" s="9">
        <v>34.0</v>
      </c>
      <c r="G364" s="9">
        <v>102.0</v>
      </c>
      <c r="H364" s="11"/>
      <c r="I364" s="11"/>
      <c r="J364" s="9">
        <v>34.0</v>
      </c>
      <c r="K364" s="9">
        <v>102.0</v>
      </c>
      <c r="L364" s="9">
        <v>0.0</v>
      </c>
      <c r="M364" s="9">
        <v>0.0</v>
      </c>
      <c r="N364" s="9">
        <v>102.0</v>
      </c>
      <c r="O364" s="12">
        <v>45839.0</v>
      </c>
      <c r="P364" s="15"/>
      <c r="Q364" s="14"/>
      <c r="R364" s="14"/>
    </row>
    <row r="365">
      <c r="A365" s="9">
        <v>2.404120076E9</v>
      </c>
      <c r="B365" s="10" t="s">
        <v>19</v>
      </c>
      <c r="C365" s="11"/>
      <c r="D365" s="10" t="s">
        <v>73</v>
      </c>
      <c r="E365" s="11"/>
      <c r="F365" s="9">
        <v>13.0</v>
      </c>
      <c r="G365" s="9">
        <v>52.0</v>
      </c>
      <c r="H365" s="11"/>
      <c r="I365" s="11"/>
      <c r="J365" s="9">
        <v>13.0</v>
      </c>
      <c r="K365" s="9">
        <v>52.0</v>
      </c>
      <c r="L365" s="9">
        <v>0.0</v>
      </c>
      <c r="M365" s="9">
        <v>0.0</v>
      </c>
      <c r="N365" s="9">
        <v>52.0</v>
      </c>
      <c r="O365" s="12">
        <v>45839.0</v>
      </c>
      <c r="P365" s="15"/>
      <c r="Q365" s="14"/>
      <c r="R365" s="14"/>
    </row>
    <row r="366">
      <c r="A366" s="9">
        <v>2.404120076E9</v>
      </c>
      <c r="B366" s="10" t="s">
        <v>19</v>
      </c>
      <c r="C366" s="11"/>
      <c r="D366" s="10" t="s">
        <v>74</v>
      </c>
      <c r="E366" s="11"/>
      <c r="F366" s="9">
        <v>867.0</v>
      </c>
      <c r="G366" s="9">
        <v>867.0</v>
      </c>
      <c r="H366" s="11"/>
      <c r="I366" s="11"/>
      <c r="J366" s="9">
        <v>867.0</v>
      </c>
      <c r="K366" s="9">
        <v>867.0</v>
      </c>
      <c r="L366" s="9">
        <v>0.0</v>
      </c>
      <c r="M366" s="9">
        <v>0.0</v>
      </c>
      <c r="N366" s="9">
        <v>867.0</v>
      </c>
      <c r="O366" s="19">
        <v>45839.0</v>
      </c>
      <c r="P366" s="15"/>
      <c r="Q366" s="14"/>
      <c r="R366" s="14"/>
    </row>
    <row r="367">
      <c r="A367" s="9">
        <v>2.404120076E9</v>
      </c>
      <c r="B367" s="10" t="s">
        <v>19</v>
      </c>
      <c r="C367" s="11"/>
      <c r="D367" s="10" t="s">
        <v>100</v>
      </c>
      <c r="E367" s="11"/>
      <c r="F367" s="9">
        <v>41.0</v>
      </c>
      <c r="G367" s="9">
        <v>84.0</v>
      </c>
      <c r="H367" s="11"/>
      <c r="I367" s="11"/>
      <c r="J367" s="9">
        <v>41.0</v>
      </c>
      <c r="K367" s="9">
        <v>84.0</v>
      </c>
      <c r="L367" s="9">
        <v>0.0</v>
      </c>
      <c r="M367" s="9">
        <v>0.0</v>
      </c>
      <c r="N367" s="9">
        <v>84.0</v>
      </c>
      <c r="O367" s="19">
        <v>45839.0</v>
      </c>
      <c r="P367" s="15"/>
      <c r="Q367" s="14"/>
      <c r="R367" s="14"/>
    </row>
    <row r="368">
      <c r="A368" s="9">
        <v>2.404120076E9</v>
      </c>
      <c r="B368" s="10" t="s">
        <v>19</v>
      </c>
      <c r="C368" s="11"/>
      <c r="D368" s="10" t="s">
        <v>79</v>
      </c>
      <c r="E368" s="11"/>
      <c r="F368" s="9">
        <v>46.0</v>
      </c>
      <c r="G368" s="9">
        <v>138.0</v>
      </c>
      <c r="H368" s="11"/>
      <c r="I368" s="11"/>
      <c r="J368" s="9">
        <v>46.0</v>
      </c>
      <c r="K368" s="9">
        <v>138.0</v>
      </c>
      <c r="L368" s="9">
        <v>0.0</v>
      </c>
      <c r="M368" s="9">
        <v>0.0</v>
      </c>
      <c r="N368" s="9">
        <v>138.0</v>
      </c>
      <c r="O368" s="12">
        <v>45839.0</v>
      </c>
      <c r="P368" s="15"/>
      <c r="Q368" s="14"/>
      <c r="R368" s="14"/>
    </row>
    <row r="369">
      <c r="A369" s="9">
        <v>2.404120076E9</v>
      </c>
      <c r="B369" s="10" t="s">
        <v>19</v>
      </c>
      <c r="C369" s="11"/>
      <c r="D369" s="10" t="s">
        <v>102</v>
      </c>
      <c r="E369" s="11"/>
      <c r="F369" s="9">
        <v>18.0</v>
      </c>
      <c r="G369" s="9">
        <v>54.0</v>
      </c>
      <c r="H369" s="11"/>
      <c r="I369" s="11"/>
      <c r="J369" s="9">
        <v>18.0</v>
      </c>
      <c r="K369" s="9">
        <v>54.0</v>
      </c>
      <c r="L369" s="9">
        <v>0.0</v>
      </c>
      <c r="M369" s="9">
        <v>0.0</v>
      </c>
      <c r="N369" s="9">
        <v>54.0</v>
      </c>
      <c r="O369" s="12">
        <v>45839.0</v>
      </c>
      <c r="P369" s="15"/>
      <c r="Q369" s="14"/>
      <c r="R369" s="14"/>
    </row>
    <row r="370">
      <c r="A370" s="9">
        <v>2.404120076E9</v>
      </c>
      <c r="B370" s="10" t="s">
        <v>19</v>
      </c>
      <c r="C370" s="11"/>
      <c r="D370" s="10" t="s">
        <v>114</v>
      </c>
      <c r="E370" s="11"/>
      <c r="F370" s="9">
        <v>11.0</v>
      </c>
      <c r="G370" s="9">
        <v>47.0</v>
      </c>
      <c r="H370" s="11"/>
      <c r="I370" s="11"/>
      <c r="J370" s="9">
        <v>11.0</v>
      </c>
      <c r="K370" s="9">
        <v>47.0</v>
      </c>
      <c r="L370" s="9">
        <v>0.0</v>
      </c>
      <c r="M370" s="9">
        <v>0.0</v>
      </c>
      <c r="N370" s="9">
        <v>47.0</v>
      </c>
      <c r="O370" s="12">
        <v>45839.0</v>
      </c>
      <c r="P370" s="15"/>
      <c r="Q370" s="14"/>
      <c r="R370" s="14"/>
    </row>
    <row r="371">
      <c r="A371" s="9">
        <v>2.404120076E9</v>
      </c>
      <c r="B371" s="10" t="s">
        <v>19</v>
      </c>
      <c r="C371" s="11"/>
      <c r="D371" s="2" t="s">
        <v>115</v>
      </c>
      <c r="E371" s="11"/>
      <c r="F371" s="9">
        <v>240.0</v>
      </c>
      <c r="G371" s="9">
        <v>1194.0</v>
      </c>
      <c r="H371" s="11"/>
      <c r="I371" s="11"/>
      <c r="J371" s="9">
        <v>240.0</v>
      </c>
      <c r="K371" s="9">
        <v>1194.0</v>
      </c>
      <c r="L371" s="9">
        <v>0.0</v>
      </c>
      <c r="M371" s="9">
        <v>0.0</v>
      </c>
      <c r="N371" s="9">
        <v>1194.0</v>
      </c>
      <c r="O371" s="12">
        <v>45839.0</v>
      </c>
      <c r="P371" s="15"/>
      <c r="Q371" s="14"/>
      <c r="R371" s="14"/>
    </row>
    <row r="372">
      <c r="A372" s="9">
        <v>2.404120076E9</v>
      </c>
      <c r="B372" s="10" t="s">
        <v>19</v>
      </c>
      <c r="C372" s="11"/>
      <c r="D372" s="10" t="s">
        <v>105</v>
      </c>
      <c r="E372" s="11"/>
      <c r="F372" s="9">
        <v>14.0</v>
      </c>
      <c r="G372" s="9">
        <v>60.0</v>
      </c>
      <c r="H372" s="11"/>
      <c r="I372" s="11"/>
      <c r="J372" s="9">
        <v>14.0</v>
      </c>
      <c r="K372" s="9">
        <v>60.0</v>
      </c>
      <c r="L372" s="9">
        <v>0.0</v>
      </c>
      <c r="M372" s="9">
        <v>0.0</v>
      </c>
      <c r="N372" s="9">
        <v>60.0</v>
      </c>
      <c r="O372" s="19">
        <v>45839.0</v>
      </c>
      <c r="P372" s="15"/>
      <c r="Q372" s="14"/>
      <c r="R372" s="14"/>
    </row>
    <row r="373">
      <c r="A373" s="9">
        <v>2.404120076E9</v>
      </c>
      <c r="B373" s="10" t="s">
        <v>19</v>
      </c>
      <c r="C373" s="11"/>
      <c r="D373" s="10" t="s">
        <v>81</v>
      </c>
      <c r="E373" s="11"/>
      <c r="F373" s="9">
        <v>14.0</v>
      </c>
      <c r="G373" s="9">
        <v>58.0</v>
      </c>
      <c r="H373" s="11"/>
      <c r="I373" s="11"/>
      <c r="J373" s="9">
        <v>14.0</v>
      </c>
      <c r="K373" s="9">
        <v>58.0</v>
      </c>
      <c r="L373" s="9">
        <v>0.0</v>
      </c>
      <c r="M373" s="9">
        <v>0.0</v>
      </c>
      <c r="N373" s="9">
        <v>58.0</v>
      </c>
      <c r="O373" s="19">
        <v>45839.0</v>
      </c>
      <c r="P373" s="15"/>
      <c r="Q373" s="14"/>
      <c r="R373" s="14"/>
    </row>
    <row r="374">
      <c r="A374" s="9">
        <v>2.404120076E9</v>
      </c>
      <c r="B374" s="10" t="s">
        <v>19</v>
      </c>
      <c r="C374" s="11"/>
      <c r="D374" s="10" t="s">
        <v>125</v>
      </c>
      <c r="E374" s="11"/>
      <c r="F374" s="9">
        <v>47.0</v>
      </c>
      <c r="G374" s="9">
        <v>235.0</v>
      </c>
      <c r="H374" s="11"/>
      <c r="I374" s="11"/>
      <c r="J374" s="9">
        <v>47.0</v>
      </c>
      <c r="K374" s="9">
        <v>235.0</v>
      </c>
      <c r="L374" s="9">
        <v>0.0</v>
      </c>
      <c r="M374" s="9">
        <v>0.0</v>
      </c>
      <c r="N374" s="9">
        <v>235.0</v>
      </c>
      <c r="O374" s="12">
        <v>45839.0</v>
      </c>
      <c r="P374" s="15"/>
      <c r="Q374" s="14"/>
      <c r="R374" s="14"/>
    </row>
    <row r="375">
      <c r="A375" s="9">
        <v>2.404120076E9</v>
      </c>
      <c r="B375" s="10" t="s">
        <v>19</v>
      </c>
      <c r="C375" s="11"/>
      <c r="D375" s="10" t="s">
        <v>127</v>
      </c>
      <c r="E375" s="11"/>
      <c r="F375" s="9">
        <v>16.0</v>
      </c>
      <c r="G375" s="9">
        <v>192.0</v>
      </c>
      <c r="H375" s="11"/>
      <c r="I375" s="11"/>
      <c r="J375" s="9">
        <v>16.0</v>
      </c>
      <c r="K375" s="9">
        <v>192.0</v>
      </c>
      <c r="L375" s="9">
        <v>0.0</v>
      </c>
      <c r="M375" s="9">
        <v>0.0</v>
      </c>
      <c r="N375" s="9">
        <v>192.0</v>
      </c>
      <c r="O375" s="12">
        <v>45839.0</v>
      </c>
      <c r="P375" s="15"/>
      <c r="Q375" s="14"/>
      <c r="R375" s="14"/>
    </row>
    <row r="376">
      <c r="A376" s="9">
        <v>2.404120076E9</v>
      </c>
      <c r="B376" s="10" t="s">
        <v>19</v>
      </c>
      <c r="C376" s="11"/>
      <c r="D376" s="10" t="s">
        <v>86</v>
      </c>
      <c r="E376" s="11"/>
      <c r="F376" s="9">
        <v>174.0</v>
      </c>
      <c r="G376" s="9">
        <v>843.0</v>
      </c>
      <c r="H376" s="11"/>
      <c r="I376" s="11"/>
      <c r="J376" s="9">
        <v>174.0</v>
      </c>
      <c r="K376" s="9">
        <v>843.0</v>
      </c>
      <c r="L376" s="9">
        <v>0.0</v>
      </c>
      <c r="M376" s="9">
        <v>0.0</v>
      </c>
      <c r="N376" s="9">
        <v>843.0</v>
      </c>
      <c r="O376" s="19">
        <v>45839.0</v>
      </c>
      <c r="P376" s="15"/>
      <c r="Q376" s="14"/>
      <c r="R376" s="14"/>
    </row>
    <row r="377">
      <c r="A377" s="9">
        <v>2.404120076E9</v>
      </c>
      <c r="B377" s="10" t="s">
        <v>19</v>
      </c>
      <c r="C377" s="11"/>
      <c r="D377" s="10" t="s">
        <v>128</v>
      </c>
      <c r="E377" s="11"/>
      <c r="F377" s="9">
        <v>25.0</v>
      </c>
      <c r="G377" s="9">
        <v>75.0</v>
      </c>
      <c r="H377" s="11"/>
      <c r="I377" s="11"/>
      <c r="J377" s="9">
        <v>25.0</v>
      </c>
      <c r="K377" s="9">
        <v>75.0</v>
      </c>
      <c r="L377" s="9">
        <v>0.0</v>
      </c>
      <c r="M377" s="9">
        <v>0.0</v>
      </c>
      <c r="N377" s="9">
        <v>75.0</v>
      </c>
      <c r="O377" s="19">
        <v>45839.0</v>
      </c>
      <c r="P377" s="15"/>
      <c r="Q377" s="14"/>
      <c r="R377" s="14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9">
        <v>0.0</v>
      </c>
      <c r="K378" s="9">
        <v>0.0</v>
      </c>
      <c r="L378" s="9">
        <v>0.0</v>
      </c>
      <c r="M378" s="9">
        <v>0.0</v>
      </c>
      <c r="N378" s="9">
        <v>0.0</v>
      </c>
      <c r="O378" s="17"/>
      <c r="P378" s="15"/>
      <c r="Q378" s="14"/>
      <c r="R378" s="14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9">
        <v>0.0</v>
      </c>
      <c r="K379" s="9">
        <v>0.0</v>
      </c>
      <c r="L379" s="9">
        <v>0.0</v>
      </c>
      <c r="M379" s="9">
        <v>0.0</v>
      </c>
      <c r="N379" s="9">
        <v>0.0</v>
      </c>
      <c r="O379" s="17"/>
      <c r="P379" s="15"/>
      <c r="Q379" s="14"/>
      <c r="R379" s="14"/>
    </row>
    <row r="380">
      <c r="A380" s="9">
        <v>2.411000046E9</v>
      </c>
      <c r="B380" s="10" t="s">
        <v>21</v>
      </c>
      <c r="C380" s="9">
        <v>1.0</v>
      </c>
      <c r="D380" s="2" t="s">
        <v>129</v>
      </c>
      <c r="E380" s="9">
        <v>5.0</v>
      </c>
      <c r="F380" s="9">
        <v>88.0</v>
      </c>
      <c r="G380" s="9">
        <v>440.0</v>
      </c>
      <c r="H380" s="9">
        <v>0.0</v>
      </c>
      <c r="I380" s="9">
        <v>0.0</v>
      </c>
      <c r="J380" s="9">
        <v>88.0</v>
      </c>
      <c r="K380" s="9">
        <v>440.0</v>
      </c>
      <c r="L380" s="9">
        <v>2.8</v>
      </c>
      <c r="M380" s="9">
        <v>246.4</v>
      </c>
      <c r="N380" s="9">
        <v>193.6</v>
      </c>
      <c r="O380" s="12">
        <v>45870.0</v>
      </c>
      <c r="P380" s="13">
        <v>45870.0</v>
      </c>
      <c r="Q380" s="14"/>
      <c r="R380" s="14"/>
    </row>
    <row r="381">
      <c r="A381" s="9">
        <v>2.411000046E9</v>
      </c>
      <c r="B381" s="10" t="s">
        <v>21</v>
      </c>
      <c r="C381" s="9">
        <v>2.0</v>
      </c>
      <c r="D381" s="10" t="s">
        <v>74</v>
      </c>
      <c r="E381" s="9">
        <v>1.0</v>
      </c>
      <c r="F381" s="9">
        <v>444.0</v>
      </c>
      <c r="G381" s="9">
        <v>444.0</v>
      </c>
      <c r="H381" s="9">
        <v>0.0</v>
      </c>
      <c r="I381" s="9">
        <v>0.0</v>
      </c>
      <c r="J381" s="9">
        <v>444.0</v>
      </c>
      <c r="K381" s="9">
        <v>444.0</v>
      </c>
      <c r="L381" s="9">
        <v>0.3</v>
      </c>
      <c r="M381" s="9">
        <v>133.2</v>
      </c>
      <c r="N381" s="9">
        <v>310.8</v>
      </c>
      <c r="O381" s="12">
        <v>45870.0</v>
      </c>
      <c r="P381" s="15"/>
      <c r="Q381" s="14"/>
      <c r="R381" s="14"/>
    </row>
    <row r="382">
      <c r="A382" s="9">
        <v>2.411000046E9</v>
      </c>
      <c r="B382" s="10" t="s">
        <v>21</v>
      </c>
      <c r="C382" s="9">
        <v>3.0</v>
      </c>
      <c r="D382" s="10" t="s">
        <v>125</v>
      </c>
      <c r="E382" s="9">
        <v>7.0</v>
      </c>
      <c r="F382" s="9">
        <v>48.0</v>
      </c>
      <c r="G382" s="9">
        <v>255.0</v>
      </c>
      <c r="H382" s="9">
        <v>0.0</v>
      </c>
      <c r="I382" s="9">
        <v>0.0</v>
      </c>
      <c r="J382" s="9">
        <v>48.0</v>
      </c>
      <c r="K382" s="9">
        <v>255.0</v>
      </c>
      <c r="L382" s="9">
        <v>6.2</v>
      </c>
      <c r="M382" s="9">
        <v>297.6</v>
      </c>
      <c r="N382" s="9">
        <v>-42.6</v>
      </c>
      <c r="O382" s="12">
        <v>45870.0</v>
      </c>
      <c r="P382" s="15"/>
      <c r="Q382" s="14"/>
      <c r="R382" s="14"/>
    </row>
    <row r="383">
      <c r="A383" s="9">
        <v>2.411000046E9</v>
      </c>
      <c r="B383" s="10" t="s">
        <v>21</v>
      </c>
      <c r="C383" s="9">
        <v>5.0</v>
      </c>
      <c r="D383" s="10" t="s">
        <v>131</v>
      </c>
      <c r="E383" s="9">
        <v>3.0</v>
      </c>
      <c r="F383" s="9">
        <v>28.0</v>
      </c>
      <c r="G383" s="9">
        <v>84.0</v>
      </c>
      <c r="H383" s="9">
        <v>0.0</v>
      </c>
      <c r="I383" s="9">
        <v>0.0</v>
      </c>
      <c r="J383" s="9">
        <v>28.0</v>
      </c>
      <c r="K383" s="9">
        <v>84.0</v>
      </c>
      <c r="L383" s="9">
        <v>2.0</v>
      </c>
      <c r="M383" s="9">
        <v>56.0</v>
      </c>
      <c r="N383" s="9">
        <v>28.0</v>
      </c>
      <c r="O383" s="12">
        <v>45870.0</v>
      </c>
      <c r="P383" s="15"/>
      <c r="Q383" s="14"/>
      <c r="R383" s="14"/>
    </row>
    <row r="384">
      <c r="A384" s="9">
        <v>2.411000046E9</v>
      </c>
      <c r="B384" s="10" t="s">
        <v>21</v>
      </c>
      <c r="C384" s="9">
        <v>6.0</v>
      </c>
      <c r="D384" s="10" t="s">
        <v>109</v>
      </c>
      <c r="E384" s="9">
        <v>5.0</v>
      </c>
      <c r="F384" s="9">
        <v>116.0</v>
      </c>
      <c r="G384" s="9">
        <v>580.0</v>
      </c>
      <c r="H384" s="9">
        <v>0.0</v>
      </c>
      <c r="I384" s="9">
        <v>0.0</v>
      </c>
      <c r="J384" s="9">
        <v>116.0</v>
      </c>
      <c r="K384" s="9">
        <v>580.0</v>
      </c>
      <c r="L384" s="9">
        <v>3.08</v>
      </c>
      <c r="M384" s="9">
        <v>357.28</v>
      </c>
      <c r="N384" s="9">
        <v>222.72</v>
      </c>
      <c r="O384" s="12">
        <v>45870.0</v>
      </c>
      <c r="P384" s="15"/>
      <c r="Q384" s="14"/>
      <c r="R384" s="14"/>
    </row>
    <row r="385">
      <c r="A385" s="9">
        <v>2.411000046E9</v>
      </c>
      <c r="B385" s="10" t="s">
        <v>21</v>
      </c>
      <c r="C385" s="9">
        <v>11.0</v>
      </c>
      <c r="D385" s="10" t="s">
        <v>86</v>
      </c>
      <c r="E385" s="9">
        <v>5.0</v>
      </c>
      <c r="F385" s="9">
        <v>138.0</v>
      </c>
      <c r="G385" s="9">
        <v>605.0</v>
      </c>
      <c r="H385" s="9">
        <v>0.0</v>
      </c>
      <c r="I385" s="9">
        <v>0.0</v>
      </c>
      <c r="J385" s="9">
        <v>138.0</v>
      </c>
      <c r="K385" s="9">
        <v>605.0</v>
      </c>
      <c r="L385" s="9">
        <v>3.5</v>
      </c>
      <c r="M385" s="9">
        <v>483.0</v>
      </c>
      <c r="N385" s="9">
        <v>122.0</v>
      </c>
      <c r="O385" s="12">
        <v>45870.0</v>
      </c>
      <c r="P385" s="15"/>
      <c r="Q385" s="14"/>
      <c r="R385" s="14"/>
    </row>
    <row r="386">
      <c r="A386" s="9">
        <v>2.411000046E9</v>
      </c>
      <c r="B386" s="10" t="s">
        <v>21</v>
      </c>
      <c r="C386" s="9">
        <v>12.0</v>
      </c>
      <c r="D386" s="10" t="s">
        <v>136</v>
      </c>
      <c r="E386" s="9">
        <v>1.0</v>
      </c>
      <c r="F386" s="9">
        <v>153.0</v>
      </c>
      <c r="G386" s="9">
        <v>160.0</v>
      </c>
      <c r="H386" s="9">
        <v>0.0</v>
      </c>
      <c r="I386" s="9">
        <v>0.0</v>
      </c>
      <c r="J386" s="9">
        <v>153.0</v>
      </c>
      <c r="K386" s="9">
        <v>160.0</v>
      </c>
      <c r="L386" s="9">
        <v>0.6</v>
      </c>
      <c r="M386" s="9">
        <v>91.8</v>
      </c>
      <c r="N386" s="9">
        <v>68.2</v>
      </c>
      <c r="O386" s="12">
        <v>45870.0</v>
      </c>
      <c r="P386" s="15"/>
      <c r="Q386" s="14"/>
      <c r="R386" s="14"/>
    </row>
    <row r="387">
      <c r="A387" s="9">
        <v>2.411000046E9</v>
      </c>
      <c r="B387" s="10" t="s">
        <v>21</v>
      </c>
      <c r="C387" s="9">
        <v>14.0</v>
      </c>
      <c r="D387" s="10" t="s">
        <v>138</v>
      </c>
      <c r="E387" s="9">
        <v>7.0</v>
      </c>
      <c r="F387" s="9">
        <v>73.0</v>
      </c>
      <c r="G387" s="9">
        <v>438.0</v>
      </c>
      <c r="H387" s="9">
        <v>0.0</v>
      </c>
      <c r="I387" s="9">
        <v>0.0</v>
      </c>
      <c r="J387" s="9">
        <v>73.0</v>
      </c>
      <c r="K387" s="9">
        <v>438.0</v>
      </c>
      <c r="L387" s="9">
        <v>5.8</v>
      </c>
      <c r="M387" s="9">
        <v>423.4</v>
      </c>
      <c r="N387" s="9">
        <v>14.6</v>
      </c>
      <c r="O387" s="12">
        <v>45870.0</v>
      </c>
      <c r="P387" s="15"/>
      <c r="Q387" s="14"/>
      <c r="R387" s="14"/>
    </row>
    <row r="388">
      <c r="A388" s="9">
        <v>2.411000046E9</v>
      </c>
      <c r="B388" s="10" t="s">
        <v>21</v>
      </c>
      <c r="C388" s="9">
        <v>15.0</v>
      </c>
      <c r="D388" s="10" t="s">
        <v>55</v>
      </c>
      <c r="E388" s="9">
        <v>2.0</v>
      </c>
      <c r="F388" s="9">
        <v>13.0</v>
      </c>
      <c r="G388" s="9">
        <v>26.0</v>
      </c>
      <c r="H388" s="9">
        <v>0.0</v>
      </c>
      <c r="I388" s="9">
        <v>0.0</v>
      </c>
      <c r="J388" s="9">
        <v>13.0</v>
      </c>
      <c r="K388" s="9">
        <v>26.0</v>
      </c>
      <c r="L388" s="9">
        <v>1.54</v>
      </c>
      <c r="M388" s="9">
        <v>20.02</v>
      </c>
      <c r="N388" s="9">
        <v>5.98</v>
      </c>
      <c r="O388" s="12">
        <v>45870.0</v>
      </c>
      <c r="P388" s="15"/>
      <c r="Q388" s="14"/>
      <c r="R388" s="14"/>
    </row>
    <row r="389">
      <c r="A389" s="9">
        <v>2.411000046E9</v>
      </c>
      <c r="B389" s="10" t="s">
        <v>21</v>
      </c>
      <c r="C389" s="9">
        <v>19.0</v>
      </c>
      <c r="D389" s="10" t="s">
        <v>72</v>
      </c>
      <c r="E389" s="9">
        <v>2.0</v>
      </c>
      <c r="F389" s="9">
        <v>99.0</v>
      </c>
      <c r="G389" s="9">
        <v>198.0</v>
      </c>
      <c r="H389" s="9">
        <v>0.0</v>
      </c>
      <c r="I389" s="9">
        <v>0.0</v>
      </c>
      <c r="J389" s="9">
        <v>99.0</v>
      </c>
      <c r="K389" s="9">
        <v>198.0</v>
      </c>
      <c r="L389" s="9">
        <v>1.33</v>
      </c>
      <c r="M389" s="9">
        <v>131.67</v>
      </c>
      <c r="N389" s="9">
        <v>66.33</v>
      </c>
      <c r="O389" s="12">
        <v>45870.0</v>
      </c>
      <c r="P389" s="15"/>
      <c r="Q389" s="14"/>
      <c r="R389" s="14"/>
    </row>
    <row r="390">
      <c r="A390" s="9">
        <v>2.411000046E9</v>
      </c>
      <c r="B390" s="10" t="s">
        <v>21</v>
      </c>
      <c r="C390" s="9">
        <v>21.0</v>
      </c>
      <c r="D390" s="10" t="s">
        <v>79</v>
      </c>
      <c r="E390" s="9">
        <v>3.0</v>
      </c>
      <c r="F390" s="9">
        <v>48.0</v>
      </c>
      <c r="G390" s="9">
        <v>144.0</v>
      </c>
      <c r="H390" s="9">
        <v>0.0</v>
      </c>
      <c r="I390" s="9">
        <v>0.0</v>
      </c>
      <c r="J390" s="9">
        <v>48.0</v>
      </c>
      <c r="K390" s="9">
        <v>144.0</v>
      </c>
      <c r="L390" s="9">
        <v>2.2</v>
      </c>
      <c r="M390" s="9">
        <v>105.6</v>
      </c>
      <c r="N390" s="9">
        <v>38.4</v>
      </c>
      <c r="O390" s="12">
        <v>45870.0</v>
      </c>
      <c r="P390" s="15"/>
      <c r="Q390" s="14"/>
      <c r="R390" s="14"/>
    </row>
    <row r="391">
      <c r="A391" s="9">
        <v>2.411000046E9</v>
      </c>
      <c r="B391" s="10" t="s">
        <v>21</v>
      </c>
      <c r="C391" s="9">
        <v>23.0</v>
      </c>
      <c r="D391" s="10" t="s">
        <v>143</v>
      </c>
      <c r="E391" s="9">
        <v>5.0</v>
      </c>
      <c r="F391" s="9">
        <v>33.0</v>
      </c>
      <c r="G391" s="9">
        <v>165.0</v>
      </c>
      <c r="H391" s="9">
        <v>0.0</v>
      </c>
      <c r="I391" s="9">
        <v>0.0</v>
      </c>
      <c r="J391" s="9">
        <v>33.0</v>
      </c>
      <c r="K391" s="9">
        <v>165.0</v>
      </c>
      <c r="L391" s="9">
        <v>3.41</v>
      </c>
      <c r="M391" s="9">
        <v>112.53</v>
      </c>
      <c r="N391" s="9">
        <v>52.47</v>
      </c>
      <c r="O391" s="12">
        <v>45870.0</v>
      </c>
      <c r="P391" s="15"/>
      <c r="Q391" s="14"/>
      <c r="R391" s="14"/>
    </row>
    <row r="392">
      <c r="A392" s="9">
        <v>2.411000046E9</v>
      </c>
      <c r="B392" s="10" t="s">
        <v>21</v>
      </c>
      <c r="C392" s="9">
        <v>25.0</v>
      </c>
      <c r="D392" s="10" t="s">
        <v>144</v>
      </c>
      <c r="E392" s="9">
        <v>5.0</v>
      </c>
      <c r="F392" s="9">
        <v>36.0</v>
      </c>
      <c r="G392" s="9">
        <v>180.0</v>
      </c>
      <c r="H392" s="9">
        <v>0.0</v>
      </c>
      <c r="I392" s="9">
        <v>0.0</v>
      </c>
      <c r="J392" s="9">
        <v>36.0</v>
      </c>
      <c r="K392" s="9">
        <v>180.0</v>
      </c>
      <c r="L392" s="9">
        <v>3.5</v>
      </c>
      <c r="M392" s="9">
        <v>126.0</v>
      </c>
      <c r="N392" s="9">
        <v>54.0</v>
      </c>
      <c r="O392" s="12">
        <v>45870.0</v>
      </c>
      <c r="P392" s="15"/>
      <c r="Q392" s="14"/>
      <c r="R392" s="14"/>
    </row>
    <row r="393">
      <c r="A393" s="9">
        <v>2.411000046E9</v>
      </c>
      <c r="B393" s="10" t="s">
        <v>21</v>
      </c>
      <c r="C393" s="9">
        <v>26.0</v>
      </c>
      <c r="D393" s="10" t="s">
        <v>145</v>
      </c>
      <c r="E393" s="9">
        <v>5.0</v>
      </c>
      <c r="F393" s="9">
        <v>23.0</v>
      </c>
      <c r="G393" s="9">
        <v>96.0</v>
      </c>
      <c r="H393" s="9">
        <v>0.0</v>
      </c>
      <c r="I393" s="9">
        <v>0.0</v>
      </c>
      <c r="J393" s="9">
        <v>23.0</v>
      </c>
      <c r="K393" s="9">
        <v>96.0</v>
      </c>
      <c r="L393" s="9">
        <v>3.75</v>
      </c>
      <c r="M393" s="9">
        <v>86.25</v>
      </c>
      <c r="N393" s="9">
        <v>9.75</v>
      </c>
      <c r="O393" s="12">
        <v>45870.0</v>
      </c>
      <c r="P393" s="15"/>
      <c r="Q393" s="14"/>
      <c r="R393" s="14"/>
    </row>
    <row r="394">
      <c r="A394" s="9">
        <v>2.411000046E9</v>
      </c>
      <c r="B394" s="10" t="s">
        <v>21</v>
      </c>
      <c r="C394" s="9">
        <v>27.0</v>
      </c>
      <c r="D394" s="10" t="s">
        <v>73</v>
      </c>
      <c r="E394" s="9">
        <v>4.0</v>
      </c>
      <c r="F394" s="9">
        <v>14.0</v>
      </c>
      <c r="G394" s="9">
        <v>55.0</v>
      </c>
      <c r="H394" s="9">
        <v>0.0</v>
      </c>
      <c r="I394" s="9">
        <v>0.0</v>
      </c>
      <c r="J394" s="9">
        <v>14.0</v>
      </c>
      <c r="K394" s="9">
        <v>55.0</v>
      </c>
      <c r="L394" s="9">
        <v>3.28</v>
      </c>
      <c r="M394" s="9">
        <v>45.92</v>
      </c>
      <c r="N394" s="9">
        <v>9.08</v>
      </c>
      <c r="O394" s="12">
        <v>45870.0</v>
      </c>
      <c r="P394" s="15"/>
      <c r="Q394" s="14"/>
      <c r="R394" s="14"/>
    </row>
    <row r="395">
      <c r="A395" s="9">
        <v>2.411000046E9</v>
      </c>
      <c r="B395" s="10" t="s">
        <v>21</v>
      </c>
      <c r="C395" s="9">
        <v>28.0</v>
      </c>
      <c r="D395" s="10" t="s">
        <v>146</v>
      </c>
      <c r="E395" s="9">
        <v>5.0</v>
      </c>
      <c r="F395" s="9">
        <v>32.0</v>
      </c>
      <c r="G395" s="9">
        <v>134.0</v>
      </c>
      <c r="H395" s="9">
        <v>0.0</v>
      </c>
      <c r="I395" s="9">
        <v>0.0</v>
      </c>
      <c r="J395" s="9">
        <v>32.0</v>
      </c>
      <c r="K395" s="9">
        <v>134.0</v>
      </c>
      <c r="L395" s="9">
        <v>4.5</v>
      </c>
      <c r="M395" s="9">
        <v>144.0</v>
      </c>
      <c r="N395" s="9">
        <v>-10.0</v>
      </c>
      <c r="O395" s="12">
        <v>45870.0</v>
      </c>
      <c r="P395" s="15"/>
      <c r="Q395" s="14"/>
      <c r="R395" s="14"/>
    </row>
    <row r="396">
      <c r="A396" s="9">
        <v>2.411000046E9</v>
      </c>
      <c r="B396" s="10" t="s">
        <v>21</v>
      </c>
      <c r="C396" s="9">
        <v>29.0</v>
      </c>
      <c r="D396" s="10" t="s">
        <v>147</v>
      </c>
      <c r="E396" s="9">
        <v>3.0</v>
      </c>
      <c r="F396" s="9">
        <v>89.0</v>
      </c>
      <c r="G396" s="9">
        <v>267.0</v>
      </c>
      <c r="H396" s="9">
        <v>0.0</v>
      </c>
      <c r="I396" s="9">
        <v>0.0</v>
      </c>
      <c r="J396" s="9">
        <v>89.0</v>
      </c>
      <c r="K396" s="9">
        <v>267.0</v>
      </c>
      <c r="L396" s="9">
        <v>2.25</v>
      </c>
      <c r="M396" s="9">
        <v>200.25</v>
      </c>
      <c r="N396" s="9">
        <v>66.75</v>
      </c>
      <c r="O396" s="12">
        <v>45870.0</v>
      </c>
      <c r="P396" s="15"/>
      <c r="Q396" s="14"/>
      <c r="R396" s="14"/>
    </row>
    <row r="397">
      <c r="A397" s="9">
        <v>2.411000046E9</v>
      </c>
      <c r="B397" s="10" t="s">
        <v>21</v>
      </c>
      <c r="C397" s="9">
        <v>30.0</v>
      </c>
      <c r="D397" s="10" t="s">
        <v>148</v>
      </c>
      <c r="E397" s="9">
        <v>5.0</v>
      </c>
      <c r="F397" s="9">
        <v>34.0</v>
      </c>
      <c r="G397" s="9">
        <v>140.0</v>
      </c>
      <c r="H397" s="9">
        <v>0.0</v>
      </c>
      <c r="I397" s="9">
        <v>0.0</v>
      </c>
      <c r="J397" s="9">
        <v>34.0</v>
      </c>
      <c r="K397" s="9">
        <v>140.0</v>
      </c>
      <c r="L397" s="9">
        <v>3.6</v>
      </c>
      <c r="M397" s="9">
        <v>122.4</v>
      </c>
      <c r="N397" s="9">
        <v>17.6</v>
      </c>
      <c r="O397" s="12">
        <v>45870.0</v>
      </c>
      <c r="P397" s="15"/>
      <c r="Q397" s="14"/>
      <c r="R397" s="14"/>
    </row>
    <row r="398">
      <c r="A398" s="9">
        <v>2.411000046E9</v>
      </c>
      <c r="B398" s="10" t="s">
        <v>21</v>
      </c>
      <c r="C398" s="9">
        <v>31.0</v>
      </c>
      <c r="D398" s="10" t="s">
        <v>149</v>
      </c>
      <c r="E398" s="9">
        <v>10.0</v>
      </c>
      <c r="F398" s="9">
        <v>7.0</v>
      </c>
      <c r="G398" s="9">
        <v>66.0</v>
      </c>
      <c r="H398" s="9">
        <v>0.0</v>
      </c>
      <c r="I398" s="9">
        <v>0.0</v>
      </c>
      <c r="J398" s="9">
        <v>7.0</v>
      </c>
      <c r="K398" s="9">
        <v>66.0</v>
      </c>
      <c r="L398" s="9">
        <v>8.25</v>
      </c>
      <c r="M398" s="9">
        <v>57.75</v>
      </c>
      <c r="N398" s="9">
        <v>8.25</v>
      </c>
      <c r="O398" s="12">
        <v>45870.0</v>
      </c>
      <c r="P398" s="15"/>
      <c r="Q398" s="14"/>
      <c r="R398" s="14"/>
    </row>
    <row r="399">
      <c r="A399" s="9">
        <v>2.411000046E9</v>
      </c>
      <c r="B399" s="10" t="s">
        <v>21</v>
      </c>
      <c r="C399" s="9">
        <v>32.0</v>
      </c>
      <c r="D399" s="10" t="s">
        <v>150</v>
      </c>
      <c r="E399" s="9">
        <v>3.0</v>
      </c>
      <c r="F399" s="9">
        <v>28.0</v>
      </c>
      <c r="G399" s="9">
        <v>84.0</v>
      </c>
      <c r="H399" s="9">
        <v>0.0</v>
      </c>
      <c r="I399" s="9">
        <v>0.0</v>
      </c>
      <c r="J399" s="9">
        <v>28.0</v>
      </c>
      <c r="K399" s="9">
        <v>84.0</v>
      </c>
      <c r="L399" s="9">
        <v>2.0</v>
      </c>
      <c r="M399" s="9">
        <v>56.0</v>
      </c>
      <c r="N399" s="9">
        <v>28.0</v>
      </c>
      <c r="O399" s="12">
        <v>45870.0</v>
      </c>
      <c r="P399" s="15"/>
      <c r="Q399" s="14"/>
      <c r="R399" s="14"/>
    </row>
    <row r="400">
      <c r="A400" s="9">
        <v>2.411000046E9</v>
      </c>
      <c r="B400" s="10" t="s">
        <v>21</v>
      </c>
      <c r="C400" s="9">
        <v>33.0</v>
      </c>
      <c r="D400" s="10" t="s">
        <v>151</v>
      </c>
      <c r="E400" s="9">
        <v>3.0</v>
      </c>
      <c r="F400" s="9">
        <v>35.0</v>
      </c>
      <c r="G400" s="9">
        <v>105.0</v>
      </c>
      <c r="H400" s="9">
        <v>0.0</v>
      </c>
      <c r="I400" s="9">
        <v>0.0</v>
      </c>
      <c r="J400" s="9">
        <v>35.0</v>
      </c>
      <c r="K400" s="9">
        <v>105.0</v>
      </c>
      <c r="L400" s="9">
        <v>1.33</v>
      </c>
      <c r="M400" s="9">
        <v>46.55</v>
      </c>
      <c r="N400" s="9">
        <v>58.45</v>
      </c>
      <c r="O400" s="12">
        <v>45870.0</v>
      </c>
      <c r="P400" s="15"/>
      <c r="Q400" s="14"/>
      <c r="R400" s="14"/>
    </row>
    <row r="401">
      <c r="A401" s="9">
        <v>2.411000046E9</v>
      </c>
      <c r="B401" s="10" t="s">
        <v>21</v>
      </c>
      <c r="C401" s="9">
        <v>35.0</v>
      </c>
      <c r="D401" s="10" t="s">
        <v>152</v>
      </c>
      <c r="E401" s="9">
        <v>4.0</v>
      </c>
      <c r="F401" s="9">
        <v>5.0</v>
      </c>
      <c r="G401" s="9">
        <v>20.0</v>
      </c>
      <c r="H401" s="9">
        <v>0.0</v>
      </c>
      <c r="I401" s="9">
        <v>0.0</v>
      </c>
      <c r="J401" s="9">
        <v>5.0</v>
      </c>
      <c r="K401" s="9">
        <v>20.0</v>
      </c>
      <c r="L401" s="9">
        <v>3.0</v>
      </c>
      <c r="M401" s="9">
        <v>15.0</v>
      </c>
      <c r="N401" s="9">
        <v>5.0</v>
      </c>
      <c r="O401" s="12">
        <v>45870.0</v>
      </c>
      <c r="P401" s="15"/>
      <c r="Q401" s="14"/>
      <c r="R401" s="14"/>
    </row>
    <row r="402">
      <c r="A402" s="9">
        <v>2.411000046E9</v>
      </c>
      <c r="B402" s="10" t="s">
        <v>21</v>
      </c>
      <c r="C402" s="9">
        <v>36.0</v>
      </c>
      <c r="D402" s="10" t="s">
        <v>153</v>
      </c>
      <c r="E402" s="9">
        <v>3.0</v>
      </c>
      <c r="F402" s="9">
        <v>20.0</v>
      </c>
      <c r="G402" s="9">
        <v>62.0</v>
      </c>
      <c r="H402" s="9">
        <v>0.0</v>
      </c>
      <c r="I402" s="9">
        <v>0.0</v>
      </c>
      <c r="J402" s="9">
        <v>20.0</v>
      </c>
      <c r="K402" s="9">
        <v>62.0</v>
      </c>
      <c r="L402" s="9">
        <v>2.0</v>
      </c>
      <c r="M402" s="9">
        <v>40.0</v>
      </c>
      <c r="N402" s="9">
        <v>22.0</v>
      </c>
      <c r="O402" s="12">
        <v>45870.0</v>
      </c>
      <c r="P402" s="15"/>
      <c r="Q402" s="14"/>
      <c r="R402" s="14"/>
    </row>
    <row r="403">
      <c r="A403" s="9">
        <v>2.411000046E9</v>
      </c>
      <c r="B403" s="10" t="s">
        <v>21</v>
      </c>
      <c r="C403" s="9">
        <v>37.0</v>
      </c>
      <c r="D403" s="10" t="s">
        <v>154</v>
      </c>
      <c r="E403" s="9">
        <v>1.0</v>
      </c>
      <c r="F403" s="9">
        <v>64.0</v>
      </c>
      <c r="G403" s="9">
        <v>64.0</v>
      </c>
      <c r="H403" s="9">
        <v>0.0</v>
      </c>
      <c r="I403" s="9">
        <v>0.0</v>
      </c>
      <c r="J403" s="9">
        <v>64.0</v>
      </c>
      <c r="K403" s="9">
        <v>64.0</v>
      </c>
      <c r="L403" s="9">
        <v>0.63</v>
      </c>
      <c r="M403" s="9">
        <v>40.32</v>
      </c>
      <c r="N403" s="9">
        <v>23.68</v>
      </c>
      <c r="O403" s="12">
        <v>45870.0</v>
      </c>
      <c r="P403" s="15"/>
      <c r="Q403" s="14"/>
      <c r="R403" s="14"/>
    </row>
    <row r="404">
      <c r="A404" s="9">
        <v>2.411000046E9</v>
      </c>
      <c r="B404" s="10" t="s">
        <v>21</v>
      </c>
      <c r="C404" s="9">
        <v>38.0</v>
      </c>
      <c r="D404" s="10" t="s">
        <v>155</v>
      </c>
      <c r="E404" s="9">
        <v>7.0</v>
      </c>
      <c r="F404" s="9">
        <v>61.0</v>
      </c>
      <c r="G404" s="9">
        <v>382.0</v>
      </c>
      <c r="H404" s="9">
        <v>0.0</v>
      </c>
      <c r="I404" s="9">
        <v>0.0</v>
      </c>
      <c r="J404" s="9">
        <v>61.0</v>
      </c>
      <c r="K404" s="9">
        <v>382.0</v>
      </c>
      <c r="L404" s="9">
        <v>5.18</v>
      </c>
      <c r="M404" s="9">
        <v>315.98</v>
      </c>
      <c r="N404" s="9">
        <v>66.02</v>
      </c>
      <c r="O404" s="12">
        <v>45870.0</v>
      </c>
      <c r="P404" s="15"/>
      <c r="Q404" s="14"/>
      <c r="R404" s="14"/>
    </row>
    <row r="405">
      <c r="A405" s="9">
        <v>2.411000046E9</v>
      </c>
      <c r="B405" s="10" t="s">
        <v>21</v>
      </c>
      <c r="C405" s="9">
        <v>40.0</v>
      </c>
      <c r="D405" s="10" t="s">
        <v>156</v>
      </c>
      <c r="E405" s="9">
        <v>5.0</v>
      </c>
      <c r="F405" s="9">
        <v>16.0</v>
      </c>
      <c r="G405" s="9">
        <v>64.0</v>
      </c>
      <c r="H405" s="9">
        <v>0.0</v>
      </c>
      <c r="I405" s="9">
        <v>0.0</v>
      </c>
      <c r="J405" s="9">
        <v>16.0</v>
      </c>
      <c r="K405" s="9">
        <v>64.0</v>
      </c>
      <c r="L405" s="9">
        <v>3.63</v>
      </c>
      <c r="M405" s="9">
        <v>58.08</v>
      </c>
      <c r="N405" s="9">
        <v>5.92</v>
      </c>
      <c r="O405" s="12">
        <v>45870.0</v>
      </c>
      <c r="P405" s="15"/>
      <c r="Q405" s="14"/>
      <c r="R405" s="14"/>
    </row>
    <row r="406">
      <c r="A406" s="9">
        <v>2.411000046E9</v>
      </c>
      <c r="B406" s="10" t="s">
        <v>21</v>
      </c>
      <c r="C406" s="9">
        <v>41.0</v>
      </c>
      <c r="D406" s="10" t="s">
        <v>157</v>
      </c>
      <c r="E406" s="9">
        <v>5.0</v>
      </c>
      <c r="F406" s="9">
        <v>34.0</v>
      </c>
      <c r="G406" s="9">
        <v>170.0</v>
      </c>
      <c r="H406" s="9">
        <v>0.0</v>
      </c>
      <c r="I406" s="9">
        <v>0.0</v>
      </c>
      <c r="J406" s="9">
        <v>34.0</v>
      </c>
      <c r="K406" s="9">
        <v>170.0</v>
      </c>
      <c r="L406" s="9">
        <v>3.25</v>
      </c>
      <c r="M406" s="9">
        <v>110.5</v>
      </c>
      <c r="N406" s="9">
        <v>59.5</v>
      </c>
      <c r="O406" s="12">
        <v>45870.0</v>
      </c>
      <c r="P406" s="15"/>
      <c r="Q406" s="14"/>
      <c r="R406" s="14"/>
    </row>
    <row r="407">
      <c r="A407" s="9">
        <v>2.411000046E9</v>
      </c>
      <c r="B407" s="10" t="s">
        <v>21</v>
      </c>
      <c r="C407" s="9">
        <v>42.0</v>
      </c>
      <c r="D407" s="10" t="s">
        <v>70</v>
      </c>
      <c r="E407" s="9">
        <v>4.0</v>
      </c>
      <c r="F407" s="9">
        <v>9.0</v>
      </c>
      <c r="G407" s="9">
        <v>34.0</v>
      </c>
      <c r="H407" s="9">
        <v>0.0</v>
      </c>
      <c r="I407" s="9">
        <v>0.0</v>
      </c>
      <c r="J407" s="9">
        <v>9.0</v>
      </c>
      <c r="K407" s="9">
        <v>34.0</v>
      </c>
      <c r="L407" s="9">
        <v>2.96</v>
      </c>
      <c r="M407" s="9">
        <v>26.64</v>
      </c>
      <c r="N407" s="9">
        <v>7.36</v>
      </c>
      <c r="O407" s="12">
        <v>45870.0</v>
      </c>
      <c r="P407" s="15"/>
      <c r="Q407" s="14"/>
      <c r="R407" s="14"/>
    </row>
    <row r="408">
      <c r="A408" s="9">
        <v>2.411000046E9</v>
      </c>
      <c r="B408" s="10" t="s">
        <v>21</v>
      </c>
      <c r="C408" s="9">
        <v>43.0</v>
      </c>
      <c r="D408" s="10" t="s">
        <v>159</v>
      </c>
      <c r="E408" s="9">
        <v>5.0</v>
      </c>
      <c r="F408" s="9">
        <v>10.0</v>
      </c>
      <c r="G408" s="9">
        <v>48.0</v>
      </c>
      <c r="H408" s="9">
        <v>0.0</v>
      </c>
      <c r="I408" s="9">
        <v>0.0</v>
      </c>
      <c r="J408" s="9">
        <v>10.0</v>
      </c>
      <c r="K408" s="9">
        <v>48.0</v>
      </c>
      <c r="L408" s="9">
        <v>2.33</v>
      </c>
      <c r="M408" s="9">
        <v>23.3</v>
      </c>
      <c r="N408" s="9">
        <v>24.7</v>
      </c>
      <c r="O408" s="12">
        <v>45870.0</v>
      </c>
      <c r="P408" s="15"/>
      <c r="Q408" s="14"/>
      <c r="R408" s="14"/>
    </row>
    <row r="409">
      <c r="A409" s="9">
        <v>2.411000046E9</v>
      </c>
      <c r="B409" s="10" t="s">
        <v>21</v>
      </c>
      <c r="C409" s="9">
        <v>44.0</v>
      </c>
      <c r="D409" s="10" t="s">
        <v>160</v>
      </c>
      <c r="E409" s="9">
        <v>5.0</v>
      </c>
      <c r="F409" s="9">
        <v>21.0</v>
      </c>
      <c r="G409" s="9">
        <v>105.0</v>
      </c>
      <c r="H409" s="9">
        <v>0.0</v>
      </c>
      <c r="I409" s="9">
        <v>0.0</v>
      </c>
      <c r="J409" s="9">
        <v>21.0</v>
      </c>
      <c r="K409" s="9">
        <v>105.0</v>
      </c>
      <c r="L409" s="9">
        <v>4.13</v>
      </c>
      <c r="M409" s="9">
        <v>86.73</v>
      </c>
      <c r="N409" s="9">
        <v>18.27</v>
      </c>
      <c r="O409" s="12">
        <v>45870.0</v>
      </c>
      <c r="P409" s="15"/>
      <c r="Q409" s="14"/>
      <c r="R409" s="14"/>
    </row>
    <row r="410">
      <c r="A410" s="9">
        <v>2.411000046E9</v>
      </c>
      <c r="B410" s="10" t="s">
        <v>21</v>
      </c>
      <c r="C410" s="9">
        <v>45.0</v>
      </c>
      <c r="D410" s="10" t="s">
        <v>161</v>
      </c>
      <c r="E410" s="9">
        <v>5.0</v>
      </c>
      <c r="F410" s="9">
        <v>7.0</v>
      </c>
      <c r="G410" s="9">
        <v>33.0</v>
      </c>
      <c r="H410" s="9">
        <v>0.0</v>
      </c>
      <c r="I410" s="9">
        <v>0.0</v>
      </c>
      <c r="J410" s="9">
        <v>7.0</v>
      </c>
      <c r="K410" s="9">
        <v>33.0</v>
      </c>
      <c r="L410" s="9">
        <v>3.5</v>
      </c>
      <c r="M410" s="9">
        <v>24.5</v>
      </c>
      <c r="N410" s="9">
        <v>8.5</v>
      </c>
      <c r="O410" s="12">
        <v>45870.0</v>
      </c>
      <c r="P410" s="15"/>
      <c r="Q410" s="14"/>
      <c r="R410" s="14"/>
    </row>
    <row r="411">
      <c r="A411" s="9">
        <v>2.411000046E9</v>
      </c>
      <c r="B411" s="10" t="s">
        <v>21</v>
      </c>
      <c r="C411" s="9">
        <v>47.0</v>
      </c>
      <c r="D411" s="10" t="s">
        <v>162</v>
      </c>
      <c r="E411" s="9">
        <v>5.0</v>
      </c>
      <c r="F411" s="9">
        <v>6.0</v>
      </c>
      <c r="G411" s="9">
        <v>24.0</v>
      </c>
      <c r="H411" s="9">
        <v>0.0</v>
      </c>
      <c r="I411" s="9">
        <v>0.0</v>
      </c>
      <c r="J411" s="9">
        <v>6.0</v>
      </c>
      <c r="K411" s="9">
        <v>24.0</v>
      </c>
      <c r="L411" s="9">
        <v>2.05</v>
      </c>
      <c r="M411" s="9">
        <v>12.3</v>
      </c>
      <c r="N411" s="9">
        <v>11.7</v>
      </c>
      <c r="O411" s="12">
        <v>45870.0</v>
      </c>
      <c r="P411" s="15"/>
      <c r="Q411" s="14"/>
      <c r="R411" s="14"/>
    </row>
    <row r="412">
      <c r="A412" s="9">
        <v>2.411000046E9</v>
      </c>
      <c r="B412" s="10" t="s">
        <v>21</v>
      </c>
      <c r="C412" s="9">
        <v>48.0</v>
      </c>
      <c r="D412" s="10" t="s">
        <v>163</v>
      </c>
      <c r="E412" s="9">
        <v>4.0</v>
      </c>
      <c r="F412" s="9">
        <v>27.0</v>
      </c>
      <c r="G412" s="9">
        <v>108.0</v>
      </c>
      <c r="H412" s="9">
        <v>0.0</v>
      </c>
      <c r="I412" s="9">
        <v>0.0</v>
      </c>
      <c r="J412" s="9">
        <v>27.0</v>
      </c>
      <c r="K412" s="9">
        <v>108.0</v>
      </c>
      <c r="L412" s="9">
        <v>3.0</v>
      </c>
      <c r="M412" s="9">
        <v>81.0</v>
      </c>
      <c r="N412" s="9">
        <v>27.0</v>
      </c>
      <c r="O412" s="12">
        <v>45870.0</v>
      </c>
      <c r="P412" s="15"/>
      <c r="Q412" s="14"/>
      <c r="R412" s="14"/>
    </row>
    <row r="413">
      <c r="A413" s="9">
        <v>2.411000046E9</v>
      </c>
      <c r="B413" s="10" t="s">
        <v>21</v>
      </c>
      <c r="C413" s="9">
        <v>51.0</v>
      </c>
      <c r="D413" s="10" t="s">
        <v>164</v>
      </c>
      <c r="E413" s="9">
        <v>2.0</v>
      </c>
      <c r="F413" s="9">
        <v>4.0</v>
      </c>
      <c r="G413" s="9">
        <v>8.0</v>
      </c>
      <c r="H413" s="9">
        <v>0.0</v>
      </c>
      <c r="I413" s="9">
        <v>0.0</v>
      </c>
      <c r="J413" s="9">
        <v>4.0</v>
      </c>
      <c r="K413" s="9">
        <v>8.0</v>
      </c>
      <c r="L413" s="9">
        <v>1.0</v>
      </c>
      <c r="M413" s="9">
        <v>4.0</v>
      </c>
      <c r="N413" s="9">
        <v>4.0</v>
      </c>
      <c r="O413" s="12">
        <v>45870.0</v>
      </c>
      <c r="P413" s="15"/>
      <c r="Q413" s="14"/>
      <c r="R413" s="14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9">
        <v>0.0</v>
      </c>
      <c r="K414" s="9">
        <v>0.0</v>
      </c>
      <c r="L414" s="9">
        <v>0.0</v>
      </c>
      <c r="M414" s="9">
        <v>0.0</v>
      </c>
      <c r="N414" s="9">
        <v>0.0</v>
      </c>
      <c r="O414" s="12">
        <v>45870.0</v>
      </c>
      <c r="P414" s="15"/>
      <c r="Q414" s="14"/>
      <c r="R414" s="14"/>
    </row>
    <row r="415">
      <c r="A415" s="9">
        <v>2.503000216E9</v>
      </c>
      <c r="B415" s="18" t="s">
        <v>23</v>
      </c>
      <c r="C415" s="9">
        <v>1.0</v>
      </c>
      <c r="D415" s="2" t="s">
        <v>115</v>
      </c>
      <c r="E415" s="9">
        <v>5.0</v>
      </c>
      <c r="F415" s="9">
        <v>181.0</v>
      </c>
      <c r="G415" s="9">
        <v>905.0</v>
      </c>
      <c r="H415" s="9">
        <v>0.0</v>
      </c>
      <c r="I415" s="9">
        <v>0.0</v>
      </c>
      <c r="J415" s="9">
        <v>181.0</v>
      </c>
      <c r="K415" s="9">
        <v>905.0</v>
      </c>
      <c r="L415" s="9">
        <v>2.8</v>
      </c>
      <c r="M415" s="9">
        <v>506.8</v>
      </c>
      <c r="N415" s="9">
        <v>398.2</v>
      </c>
      <c r="O415" s="12">
        <v>45870.0</v>
      </c>
      <c r="P415" s="15"/>
      <c r="Q415" s="14"/>
      <c r="R415" s="14"/>
    </row>
    <row r="416">
      <c r="A416" s="9">
        <v>2.503000216E9</v>
      </c>
      <c r="B416" s="18" t="s">
        <v>23</v>
      </c>
      <c r="C416" s="9">
        <v>2.0</v>
      </c>
      <c r="D416" s="10" t="s">
        <v>74</v>
      </c>
      <c r="E416" s="9">
        <v>1.0</v>
      </c>
      <c r="F416" s="9">
        <v>1545.0</v>
      </c>
      <c r="G416" s="9">
        <v>1545.0</v>
      </c>
      <c r="H416" s="9">
        <v>0.0</v>
      </c>
      <c r="I416" s="9">
        <v>0.0</v>
      </c>
      <c r="J416" s="9">
        <v>1545.0</v>
      </c>
      <c r="K416" s="9">
        <v>1545.0</v>
      </c>
      <c r="L416" s="9">
        <v>0.3</v>
      </c>
      <c r="M416" s="9">
        <v>463.5</v>
      </c>
      <c r="N416" s="9">
        <v>1081.5</v>
      </c>
      <c r="O416" s="12">
        <v>45870.0</v>
      </c>
      <c r="P416" s="15"/>
      <c r="Q416" s="14"/>
      <c r="R416" s="14"/>
    </row>
    <row r="417">
      <c r="A417" s="9">
        <v>2.503000216E9</v>
      </c>
      <c r="B417" s="18" t="s">
        <v>23</v>
      </c>
      <c r="C417" s="9">
        <v>3.0</v>
      </c>
      <c r="D417" s="10" t="s">
        <v>125</v>
      </c>
      <c r="E417" s="9">
        <v>7.0</v>
      </c>
      <c r="F417" s="9">
        <v>51.0</v>
      </c>
      <c r="G417" s="9">
        <v>266.0</v>
      </c>
      <c r="H417" s="9">
        <v>0.0</v>
      </c>
      <c r="I417" s="9">
        <v>0.0</v>
      </c>
      <c r="J417" s="9">
        <v>51.0</v>
      </c>
      <c r="K417" s="9">
        <v>266.0</v>
      </c>
      <c r="L417" s="9">
        <v>6.2</v>
      </c>
      <c r="M417" s="9">
        <v>316.2</v>
      </c>
      <c r="N417" s="9">
        <v>-50.2</v>
      </c>
      <c r="O417" s="12">
        <v>45870.0</v>
      </c>
      <c r="P417" s="15"/>
      <c r="Q417" s="14"/>
      <c r="R417" s="14"/>
    </row>
    <row r="418">
      <c r="A418" s="9">
        <v>2.503000216E9</v>
      </c>
      <c r="B418" s="18" t="s">
        <v>23</v>
      </c>
      <c r="C418" s="9">
        <v>5.0</v>
      </c>
      <c r="D418" s="10" t="s">
        <v>131</v>
      </c>
      <c r="E418" s="9">
        <v>3.0</v>
      </c>
      <c r="F418" s="9">
        <v>39.0</v>
      </c>
      <c r="G418" s="9">
        <v>117.0</v>
      </c>
      <c r="H418" s="9">
        <v>0.0</v>
      </c>
      <c r="I418" s="9">
        <v>0.0</v>
      </c>
      <c r="J418" s="9">
        <v>39.0</v>
      </c>
      <c r="K418" s="9">
        <v>117.0</v>
      </c>
      <c r="L418" s="9">
        <v>2.0</v>
      </c>
      <c r="M418" s="9">
        <v>78.0</v>
      </c>
      <c r="N418" s="9">
        <v>39.0</v>
      </c>
      <c r="O418" s="12">
        <v>45870.0</v>
      </c>
      <c r="P418" s="15"/>
      <c r="Q418" s="14"/>
      <c r="R418" s="14"/>
    </row>
    <row r="419">
      <c r="A419" s="9">
        <v>2.503000216E9</v>
      </c>
      <c r="B419" s="18" t="s">
        <v>23</v>
      </c>
      <c r="C419" s="9">
        <v>6.0</v>
      </c>
      <c r="D419" s="10" t="s">
        <v>109</v>
      </c>
      <c r="E419" s="9">
        <v>5.0</v>
      </c>
      <c r="F419" s="9">
        <v>226.0</v>
      </c>
      <c r="G419" s="9">
        <v>1130.0</v>
      </c>
      <c r="H419" s="9">
        <v>0.0</v>
      </c>
      <c r="I419" s="9">
        <v>0.0</v>
      </c>
      <c r="J419" s="9">
        <v>226.0</v>
      </c>
      <c r="K419" s="9">
        <v>1130.0</v>
      </c>
      <c r="L419" s="9">
        <v>3.08</v>
      </c>
      <c r="M419" s="9">
        <v>696.08</v>
      </c>
      <c r="N419" s="9">
        <v>433.92</v>
      </c>
      <c r="O419" s="12">
        <v>45870.0</v>
      </c>
      <c r="P419" s="15"/>
      <c r="Q419" s="14"/>
      <c r="R419" s="14"/>
    </row>
    <row r="420">
      <c r="A420" s="9">
        <v>2.503000216E9</v>
      </c>
      <c r="B420" s="18" t="s">
        <v>23</v>
      </c>
      <c r="C420" s="9">
        <v>8.0</v>
      </c>
      <c r="D420" s="10" t="s">
        <v>133</v>
      </c>
      <c r="E420" s="9">
        <v>5.0</v>
      </c>
      <c r="F420" s="9">
        <v>16.0</v>
      </c>
      <c r="G420" s="9">
        <v>80.0</v>
      </c>
      <c r="H420" s="9">
        <v>0.0</v>
      </c>
      <c r="I420" s="9">
        <v>0.0</v>
      </c>
      <c r="J420" s="9">
        <v>16.0</v>
      </c>
      <c r="K420" s="9">
        <v>80.0</v>
      </c>
      <c r="L420" s="9">
        <v>3.45</v>
      </c>
      <c r="M420" s="9">
        <v>55.2</v>
      </c>
      <c r="N420" s="9">
        <v>24.8</v>
      </c>
      <c r="O420" s="12">
        <v>45870.0</v>
      </c>
      <c r="P420" s="15"/>
      <c r="Q420" s="14"/>
      <c r="R420" s="14"/>
    </row>
    <row r="421">
      <c r="A421" s="9">
        <v>2.503000216E9</v>
      </c>
      <c r="B421" s="18" t="s">
        <v>23</v>
      </c>
      <c r="C421" s="9">
        <v>10.0</v>
      </c>
      <c r="D421" s="10" t="s">
        <v>135</v>
      </c>
      <c r="E421" s="9">
        <v>8.0</v>
      </c>
      <c r="F421" s="9">
        <v>23.0</v>
      </c>
      <c r="G421" s="9">
        <v>161.0</v>
      </c>
      <c r="H421" s="9">
        <v>0.0</v>
      </c>
      <c r="I421" s="9">
        <v>0.0</v>
      </c>
      <c r="J421" s="9">
        <v>23.0</v>
      </c>
      <c r="K421" s="9">
        <v>161.0</v>
      </c>
      <c r="L421" s="9">
        <v>5.83</v>
      </c>
      <c r="M421" s="9">
        <v>134.09</v>
      </c>
      <c r="N421" s="9">
        <v>26.91</v>
      </c>
      <c r="O421" s="12">
        <v>45870.0</v>
      </c>
      <c r="P421" s="15"/>
      <c r="Q421" s="14"/>
      <c r="R421" s="14"/>
    </row>
    <row r="422">
      <c r="A422" s="9">
        <v>2.503000216E9</v>
      </c>
      <c r="B422" s="18" t="s">
        <v>23</v>
      </c>
      <c r="C422" s="9">
        <v>11.0</v>
      </c>
      <c r="D422" s="10" t="s">
        <v>86</v>
      </c>
      <c r="E422" s="9">
        <v>5.0</v>
      </c>
      <c r="F422" s="9">
        <v>110.0</v>
      </c>
      <c r="G422" s="9">
        <v>487.0</v>
      </c>
      <c r="H422" s="9">
        <v>0.0</v>
      </c>
      <c r="I422" s="9">
        <v>0.0</v>
      </c>
      <c r="J422" s="9">
        <v>110.0</v>
      </c>
      <c r="K422" s="9">
        <v>487.0</v>
      </c>
      <c r="L422" s="9">
        <v>3.5</v>
      </c>
      <c r="M422" s="9">
        <v>385.0</v>
      </c>
      <c r="N422" s="9">
        <v>102.0</v>
      </c>
      <c r="O422" s="12">
        <v>45870.0</v>
      </c>
      <c r="P422" s="15"/>
      <c r="Q422" s="14"/>
      <c r="R422" s="14"/>
    </row>
    <row r="423">
      <c r="A423" s="9">
        <v>2.503000216E9</v>
      </c>
      <c r="B423" s="18" t="s">
        <v>23</v>
      </c>
      <c r="C423" s="9">
        <v>12.0</v>
      </c>
      <c r="D423" s="10" t="s">
        <v>136</v>
      </c>
      <c r="E423" s="9">
        <v>1.0</v>
      </c>
      <c r="F423" s="9">
        <v>433.0</v>
      </c>
      <c r="G423" s="9">
        <v>437.0</v>
      </c>
      <c r="H423" s="9">
        <v>0.0</v>
      </c>
      <c r="I423" s="9">
        <v>0.0</v>
      </c>
      <c r="J423" s="9">
        <v>433.0</v>
      </c>
      <c r="K423" s="9">
        <v>437.0</v>
      </c>
      <c r="L423" s="9">
        <v>0.6</v>
      </c>
      <c r="M423" s="9">
        <v>259.8</v>
      </c>
      <c r="N423" s="9">
        <v>177.2</v>
      </c>
      <c r="O423" s="12">
        <v>45870.0</v>
      </c>
      <c r="P423" s="15"/>
      <c r="Q423" s="14"/>
      <c r="R423" s="14"/>
    </row>
    <row r="424">
      <c r="A424" s="9">
        <v>2.503000216E9</v>
      </c>
      <c r="B424" s="18" t="s">
        <v>23</v>
      </c>
      <c r="C424" s="9">
        <v>13.0</v>
      </c>
      <c r="D424" s="10" t="s">
        <v>137</v>
      </c>
      <c r="E424" s="9">
        <v>1.0</v>
      </c>
      <c r="F424" s="9">
        <v>193.0</v>
      </c>
      <c r="G424" s="9">
        <v>193.0</v>
      </c>
      <c r="H424" s="9">
        <v>0.0</v>
      </c>
      <c r="I424" s="9">
        <v>0.0</v>
      </c>
      <c r="J424" s="9">
        <v>193.0</v>
      </c>
      <c r="K424" s="9">
        <v>193.0</v>
      </c>
      <c r="L424" s="9">
        <v>0.7</v>
      </c>
      <c r="M424" s="9">
        <v>135.1</v>
      </c>
      <c r="N424" s="9">
        <v>57.9</v>
      </c>
      <c r="O424" s="12">
        <v>45870.0</v>
      </c>
      <c r="P424" s="15"/>
      <c r="Q424" s="14"/>
      <c r="R424" s="14"/>
    </row>
    <row r="425">
      <c r="A425" s="9">
        <v>2.503000216E9</v>
      </c>
      <c r="B425" s="18" t="s">
        <v>23</v>
      </c>
      <c r="C425" s="9">
        <v>14.0</v>
      </c>
      <c r="D425" s="10" t="s">
        <v>138</v>
      </c>
      <c r="E425" s="9">
        <v>7.0</v>
      </c>
      <c r="F425" s="9">
        <v>18.0</v>
      </c>
      <c r="G425" s="9">
        <v>108.0</v>
      </c>
      <c r="H425" s="9">
        <v>0.0</v>
      </c>
      <c r="I425" s="9">
        <v>0.0</v>
      </c>
      <c r="J425" s="9">
        <v>18.0</v>
      </c>
      <c r="K425" s="9">
        <v>108.0</v>
      </c>
      <c r="L425" s="9">
        <v>5.8</v>
      </c>
      <c r="M425" s="9">
        <v>104.4</v>
      </c>
      <c r="N425" s="9">
        <v>3.6</v>
      </c>
      <c r="O425" s="12">
        <v>45870.0</v>
      </c>
      <c r="P425" s="15"/>
      <c r="Q425" s="14"/>
      <c r="R425" s="14"/>
    </row>
    <row r="426">
      <c r="A426" s="9">
        <v>2.503000216E9</v>
      </c>
      <c r="B426" s="18" t="s">
        <v>23</v>
      </c>
      <c r="C426" s="9">
        <v>15.0</v>
      </c>
      <c r="D426" s="10" t="s">
        <v>55</v>
      </c>
      <c r="E426" s="9">
        <v>2.0</v>
      </c>
      <c r="F426" s="9">
        <v>193.0</v>
      </c>
      <c r="G426" s="9">
        <v>386.0</v>
      </c>
      <c r="H426" s="9">
        <v>0.0</v>
      </c>
      <c r="I426" s="9">
        <v>0.0</v>
      </c>
      <c r="J426" s="9">
        <v>193.0</v>
      </c>
      <c r="K426" s="9">
        <v>386.0</v>
      </c>
      <c r="L426" s="9">
        <v>1.54</v>
      </c>
      <c r="M426" s="9">
        <v>297.22</v>
      </c>
      <c r="N426" s="9">
        <v>88.78</v>
      </c>
      <c r="O426" s="12">
        <v>45870.0</v>
      </c>
      <c r="P426" s="15"/>
      <c r="Q426" s="14"/>
      <c r="R426" s="14"/>
    </row>
    <row r="427">
      <c r="A427" s="9">
        <v>2.503000216E9</v>
      </c>
      <c r="B427" s="18" t="s">
        <v>23</v>
      </c>
      <c r="C427" s="9">
        <v>16.0</v>
      </c>
      <c r="D427" s="10" t="s">
        <v>139</v>
      </c>
      <c r="E427" s="9">
        <v>2.0</v>
      </c>
      <c r="F427" s="9">
        <v>23.0</v>
      </c>
      <c r="G427" s="9">
        <v>46.0</v>
      </c>
      <c r="H427" s="9">
        <v>0.0</v>
      </c>
      <c r="I427" s="9">
        <v>0.0</v>
      </c>
      <c r="J427" s="9">
        <v>23.0</v>
      </c>
      <c r="K427" s="9">
        <v>46.0</v>
      </c>
      <c r="L427" s="9">
        <v>0.92</v>
      </c>
      <c r="M427" s="9">
        <v>21.16</v>
      </c>
      <c r="N427" s="9">
        <v>24.84</v>
      </c>
      <c r="O427" s="12">
        <v>45870.0</v>
      </c>
      <c r="P427" s="15"/>
      <c r="Q427" s="14"/>
      <c r="R427" s="14"/>
    </row>
    <row r="428">
      <c r="A428" s="9">
        <v>2.503000216E9</v>
      </c>
      <c r="B428" s="18" t="s">
        <v>23</v>
      </c>
      <c r="C428" s="9">
        <v>17.0</v>
      </c>
      <c r="D428" s="10" t="s">
        <v>127</v>
      </c>
      <c r="E428" s="9">
        <v>12.0</v>
      </c>
      <c r="F428" s="9">
        <v>23.0</v>
      </c>
      <c r="G428" s="9">
        <v>276.0</v>
      </c>
      <c r="H428" s="9">
        <v>0.0</v>
      </c>
      <c r="I428" s="9">
        <v>0.0</v>
      </c>
      <c r="J428" s="9">
        <v>23.0</v>
      </c>
      <c r="K428" s="9">
        <v>276.0</v>
      </c>
      <c r="L428" s="9">
        <v>7.0</v>
      </c>
      <c r="M428" s="9">
        <v>161.0</v>
      </c>
      <c r="N428" s="9">
        <v>115.0</v>
      </c>
      <c r="O428" s="12">
        <v>45870.0</v>
      </c>
      <c r="P428" s="15"/>
      <c r="Q428" s="14"/>
      <c r="R428" s="14"/>
    </row>
    <row r="429">
      <c r="A429" s="9">
        <v>2.503000216E9</v>
      </c>
      <c r="B429" s="18" t="s">
        <v>23</v>
      </c>
      <c r="C429" s="9">
        <v>18.0</v>
      </c>
      <c r="D429" s="10" t="s">
        <v>140</v>
      </c>
      <c r="E429" s="9">
        <v>20.0</v>
      </c>
      <c r="F429" s="9">
        <v>4.0</v>
      </c>
      <c r="G429" s="9">
        <v>20.0</v>
      </c>
      <c r="H429" s="9">
        <v>0.0</v>
      </c>
      <c r="I429" s="9">
        <v>0.0</v>
      </c>
      <c r="J429" s="9">
        <v>4.0</v>
      </c>
      <c r="K429" s="9">
        <v>20.0</v>
      </c>
      <c r="L429" s="9">
        <v>12.0</v>
      </c>
      <c r="M429" s="9">
        <v>48.0</v>
      </c>
      <c r="N429" s="9">
        <v>-28.0</v>
      </c>
      <c r="O429" s="12">
        <v>45870.0</v>
      </c>
      <c r="P429" s="15"/>
      <c r="Q429" s="14"/>
      <c r="R429" s="14"/>
    </row>
    <row r="430">
      <c r="A430" s="9">
        <v>2.503000216E9</v>
      </c>
      <c r="B430" s="18" t="s">
        <v>23</v>
      </c>
      <c r="C430" s="9">
        <v>19.0</v>
      </c>
      <c r="D430" s="10" t="s">
        <v>72</v>
      </c>
      <c r="E430" s="9">
        <v>2.0</v>
      </c>
      <c r="F430" s="9">
        <v>127.0</v>
      </c>
      <c r="G430" s="9">
        <v>254.0</v>
      </c>
      <c r="H430" s="9">
        <v>0.0</v>
      </c>
      <c r="I430" s="9">
        <v>0.0</v>
      </c>
      <c r="J430" s="9">
        <v>127.0</v>
      </c>
      <c r="K430" s="9">
        <v>254.0</v>
      </c>
      <c r="L430" s="9">
        <v>1.33</v>
      </c>
      <c r="M430" s="9">
        <v>168.91</v>
      </c>
      <c r="N430" s="9">
        <v>85.09</v>
      </c>
      <c r="O430" s="12">
        <v>45870.0</v>
      </c>
      <c r="P430" s="15"/>
      <c r="Q430" s="14"/>
      <c r="R430" s="14"/>
    </row>
    <row r="431">
      <c r="A431" s="9">
        <v>2.503000216E9</v>
      </c>
      <c r="B431" s="18" t="s">
        <v>23</v>
      </c>
      <c r="C431" s="9">
        <v>21.0</v>
      </c>
      <c r="D431" s="10" t="s">
        <v>79</v>
      </c>
      <c r="E431" s="9">
        <v>3.0</v>
      </c>
      <c r="F431" s="9">
        <v>44.0</v>
      </c>
      <c r="G431" s="9">
        <v>134.0</v>
      </c>
      <c r="H431" s="9">
        <v>0.0</v>
      </c>
      <c r="I431" s="9">
        <v>0.0</v>
      </c>
      <c r="J431" s="9">
        <v>44.0</v>
      </c>
      <c r="K431" s="9">
        <v>134.0</v>
      </c>
      <c r="L431" s="9">
        <v>2.2</v>
      </c>
      <c r="M431" s="9">
        <v>96.8</v>
      </c>
      <c r="N431" s="9">
        <v>37.2</v>
      </c>
      <c r="O431" s="12">
        <v>45870.0</v>
      </c>
      <c r="P431" s="15"/>
      <c r="Q431" s="14"/>
      <c r="R431" s="14"/>
    </row>
    <row r="432">
      <c r="A432" s="9">
        <v>2.503000216E9</v>
      </c>
      <c r="B432" s="18" t="s">
        <v>23</v>
      </c>
      <c r="C432" s="9">
        <v>22.0</v>
      </c>
      <c r="D432" s="10" t="s">
        <v>142</v>
      </c>
      <c r="E432" s="9">
        <v>5.0</v>
      </c>
      <c r="F432" s="9">
        <v>226.0</v>
      </c>
      <c r="G432" s="9">
        <v>916.0</v>
      </c>
      <c r="H432" s="9">
        <v>0.0</v>
      </c>
      <c r="I432" s="9">
        <v>0.0</v>
      </c>
      <c r="J432" s="9">
        <v>226.0</v>
      </c>
      <c r="K432" s="9">
        <v>916.0</v>
      </c>
      <c r="L432" s="9">
        <v>2.92</v>
      </c>
      <c r="M432" s="9">
        <v>659.92</v>
      </c>
      <c r="N432" s="9">
        <v>256.08</v>
      </c>
      <c r="O432" s="12">
        <v>45870.0</v>
      </c>
      <c r="P432" s="15"/>
      <c r="Q432" s="14"/>
      <c r="R432" s="14"/>
    </row>
    <row r="433">
      <c r="A433" s="9">
        <v>2.503000216E9</v>
      </c>
      <c r="B433" s="18" t="s">
        <v>23</v>
      </c>
      <c r="C433" s="9">
        <v>23.0</v>
      </c>
      <c r="D433" s="10" t="s">
        <v>143</v>
      </c>
      <c r="E433" s="9">
        <v>5.0</v>
      </c>
      <c r="F433" s="9">
        <v>31.0</v>
      </c>
      <c r="G433" s="9">
        <v>131.0</v>
      </c>
      <c r="H433" s="9">
        <v>0.0</v>
      </c>
      <c r="I433" s="9">
        <v>0.0</v>
      </c>
      <c r="J433" s="9">
        <v>31.0</v>
      </c>
      <c r="K433" s="9">
        <v>131.0</v>
      </c>
      <c r="L433" s="9">
        <v>3.41</v>
      </c>
      <c r="M433" s="9">
        <v>105.71</v>
      </c>
      <c r="N433" s="9">
        <v>25.29</v>
      </c>
      <c r="O433" s="12">
        <v>45870.0</v>
      </c>
      <c r="P433" s="15"/>
      <c r="Q433" s="14"/>
      <c r="R433" s="14"/>
    </row>
    <row r="434">
      <c r="A434" s="9">
        <v>2.503000216E9</v>
      </c>
      <c r="B434" s="18" t="s">
        <v>23</v>
      </c>
      <c r="C434" s="9">
        <v>25.0</v>
      </c>
      <c r="D434" s="10" t="s">
        <v>144</v>
      </c>
      <c r="E434" s="9">
        <v>5.0</v>
      </c>
      <c r="F434" s="9">
        <v>19.0</v>
      </c>
      <c r="G434" s="9">
        <v>95.0</v>
      </c>
      <c r="H434" s="9">
        <v>0.0</v>
      </c>
      <c r="I434" s="9">
        <v>0.0</v>
      </c>
      <c r="J434" s="9">
        <v>19.0</v>
      </c>
      <c r="K434" s="9">
        <v>95.0</v>
      </c>
      <c r="L434" s="9">
        <v>3.5</v>
      </c>
      <c r="M434" s="9">
        <v>66.5</v>
      </c>
      <c r="N434" s="9">
        <v>28.5</v>
      </c>
      <c r="O434" s="12">
        <v>45870.0</v>
      </c>
      <c r="P434" s="15"/>
      <c r="Q434" s="14"/>
      <c r="R434" s="14"/>
    </row>
    <row r="435">
      <c r="A435" s="9">
        <v>2.503000216E9</v>
      </c>
      <c r="B435" s="18" t="s">
        <v>23</v>
      </c>
      <c r="C435" s="9">
        <v>26.0</v>
      </c>
      <c r="D435" s="10" t="s">
        <v>145</v>
      </c>
      <c r="E435" s="9">
        <v>5.0</v>
      </c>
      <c r="F435" s="9">
        <v>8.0</v>
      </c>
      <c r="G435" s="9">
        <v>38.0</v>
      </c>
      <c r="H435" s="9">
        <v>0.0</v>
      </c>
      <c r="I435" s="9">
        <v>0.0</v>
      </c>
      <c r="J435" s="9">
        <v>8.0</v>
      </c>
      <c r="K435" s="9">
        <v>38.0</v>
      </c>
      <c r="L435" s="9">
        <v>3.75</v>
      </c>
      <c r="M435" s="9">
        <v>30.0</v>
      </c>
      <c r="N435" s="9">
        <v>8.0</v>
      </c>
      <c r="O435" s="12">
        <v>45870.0</v>
      </c>
      <c r="P435" s="15"/>
      <c r="Q435" s="14"/>
      <c r="R435" s="14"/>
    </row>
    <row r="436">
      <c r="A436" s="9">
        <v>2.503000216E9</v>
      </c>
      <c r="B436" s="18" t="s">
        <v>23</v>
      </c>
      <c r="C436" s="9">
        <v>27.0</v>
      </c>
      <c r="D436" s="10" t="s">
        <v>73</v>
      </c>
      <c r="E436" s="9">
        <v>4.0</v>
      </c>
      <c r="F436" s="9">
        <v>7.0</v>
      </c>
      <c r="G436" s="9">
        <v>22.0</v>
      </c>
      <c r="H436" s="9">
        <v>0.0</v>
      </c>
      <c r="I436" s="9">
        <v>0.0</v>
      </c>
      <c r="J436" s="9">
        <v>7.0</v>
      </c>
      <c r="K436" s="9">
        <v>22.0</v>
      </c>
      <c r="L436" s="9">
        <v>3.28</v>
      </c>
      <c r="M436" s="9">
        <v>22.96</v>
      </c>
      <c r="N436" s="9">
        <v>-0.96</v>
      </c>
      <c r="O436" s="12">
        <v>45870.0</v>
      </c>
      <c r="P436" s="15"/>
      <c r="Q436" s="14"/>
      <c r="R436" s="14"/>
    </row>
    <row r="437">
      <c r="A437" s="9">
        <v>2.503000216E9</v>
      </c>
      <c r="B437" s="18" t="s">
        <v>23</v>
      </c>
      <c r="C437" s="9">
        <v>28.0</v>
      </c>
      <c r="D437" s="10" t="s">
        <v>146</v>
      </c>
      <c r="E437" s="9">
        <v>5.0</v>
      </c>
      <c r="F437" s="9">
        <v>23.0</v>
      </c>
      <c r="G437" s="9">
        <v>108.0</v>
      </c>
      <c r="H437" s="9">
        <v>0.0</v>
      </c>
      <c r="I437" s="9">
        <v>0.0</v>
      </c>
      <c r="J437" s="9">
        <v>23.0</v>
      </c>
      <c r="K437" s="9">
        <v>108.0</v>
      </c>
      <c r="L437" s="9">
        <v>4.5</v>
      </c>
      <c r="M437" s="9">
        <v>103.5</v>
      </c>
      <c r="N437" s="9">
        <v>4.5</v>
      </c>
      <c r="O437" s="12">
        <v>45870.0</v>
      </c>
      <c r="P437" s="15"/>
      <c r="Q437" s="14"/>
      <c r="R437" s="14"/>
    </row>
    <row r="438">
      <c r="A438" s="9">
        <v>2.503000216E9</v>
      </c>
      <c r="B438" s="18" t="s">
        <v>23</v>
      </c>
      <c r="C438" s="9">
        <v>29.0</v>
      </c>
      <c r="D438" s="10" t="s">
        <v>147</v>
      </c>
      <c r="E438" s="9">
        <v>3.0</v>
      </c>
      <c r="F438" s="9">
        <v>97.0</v>
      </c>
      <c r="G438" s="9">
        <v>291.0</v>
      </c>
      <c r="H438" s="9">
        <v>0.0</v>
      </c>
      <c r="I438" s="9">
        <v>0.0</v>
      </c>
      <c r="J438" s="9">
        <v>97.0</v>
      </c>
      <c r="K438" s="9">
        <v>291.0</v>
      </c>
      <c r="L438" s="9">
        <v>2.25</v>
      </c>
      <c r="M438" s="9">
        <v>218.25</v>
      </c>
      <c r="N438" s="9">
        <v>72.75</v>
      </c>
      <c r="O438" s="12">
        <v>45870.0</v>
      </c>
      <c r="P438" s="15"/>
      <c r="Q438" s="14"/>
      <c r="R438" s="14"/>
    </row>
    <row r="439">
      <c r="A439" s="9">
        <v>2.503000216E9</v>
      </c>
      <c r="B439" s="18" t="s">
        <v>23</v>
      </c>
      <c r="C439" s="9">
        <v>35.0</v>
      </c>
      <c r="D439" s="10" t="s">
        <v>152</v>
      </c>
      <c r="E439" s="9">
        <v>4.0</v>
      </c>
      <c r="F439" s="9">
        <v>13.0</v>
      </c>
      <c r="G439" s="9">
        <v>52.0</v>
      </c>
      <c r="H439" s="9">
        <v>0.0</v>
      </c>
      <c r="I439" s="9">
        <v>0.0</v>
      </c>
      <c r="J439" s="9">
        <v>13.0</v>
      </c>
      <c r="K439" s="9">
        <v>52.0</v>
      </c>
      <c r="L439" s="9">
        <v>3.0</v>
      </c>
      <c r="M439" s="9">
        <v>39.0</v>
      </c>
      <c r="N439" s="9">
        <v>13.0</v>
      </c>
      <c r="O439" s="12">
        <v>45870.0</v>
      </c>
      <c r="P439" s="15"/>
      <c r="Q439" s="14"/>
      <c r="R439" s="14"/>
    </row>
    <row r="440">
      <c r="A440" s="9">
        <v>2.503000216E9</v>
      </c>
      <c r="B440" s="18" t="s">
        <v>23</v>
      </c>
      <c r="C440" s="9">
        <v>42.0</v>
      </c>
      <c r="D440" s="10" t="s">
        <v>70</v>
      </c>
      <c r="E440" s="9">
        <v>4.0</v>
      </c>
      <c r="F440" s="9">
        <v>4.0</v>
      </c>
      <c r="G440" s="9">
        <v>16.0</v>
      </c>
      <c r="H440" s="9">
        <v>0.0</v>
      </c>
      <c r="I440" s="9">
        <v>0.0</v>
      </c>
      <c r="J440" s="9">
        <v>4.0</v>
      </c>
      <c r="K440" s="9">
        <v>16.0</v>
      </c>
      <c r="L440" s="9">
        <v>2.96</v>
      </c>
      <c r="M440" s="9">
        <v>11.84</v>
      </c>
      <c r="N440" s="9">
        <v>4.16</v>
      </c>
      <c r="O440" s="12">
        <v>45870.0</v>
      </c>
      <c r="P440" s="15"/>
      <c r="Q440" s="14"/>
      <c r="R440" s="14"/>
    </row>
    <row r="441">
      <c r="A441" s="9">
        <v>2.503000216E9</v>
      </c>
      <c r="B441" s="18" t="s">
        <v>23</v>
      </c>
      <c r="C441" s="9">
        <v>48.0</v>
      </c>
      <c r="D441" s="10" t="s">
        <v>163</v>
      </c>
      <c r="E441" s="9">
        <v>4.0</v>
      </c>
      <c r="F441" s="9">
        <v>10.0</v>
      </c>
      <c r="G441" s="9">
        <v>40.0</v>
      </c>
      <c r="H441" s="9">
        <v>0.0</v>
      </c>
      <c r="I441" s="9">
        <v>0.0</v>
      </c>
      <c r="J441" s="9">
        <v>10.0</v>
      </c>
      <c r="K441" s="9">
        <v>40.0</v>
      </c>
      <c r="L441" s="9">
        <v>3.0</v>
      </c>
      <c r="M441" s="9">
        <v>30.0</v>
      </c>
      <c r="N441" s="9">
        <v>10.0</v>
      </c>
      <c r="O441" s="12">
        <v>45870.0</v>
      </c>
      <c r="P441" s="15"/>
      <c r="Q441" s="14"/>
      <c r="R441" s="14"/>
    </row>
    <row r="442">
      <c r="A442" s="9">
        <v>2.503000216E9</v>
      </c>
      <c r="B442" s="18" t="s">
        <v>23</v>
      </c>
      <c r="C442" s="9">
        <v>49.0</v>
      </c>
      <c r="D442" s="10" t="s">
        <v>165</v>
      </c>
      <c r="E442" s="9">
        <v>3.0</v>
      </c>
      <c r="F442" s="9">
        <v>34.0</v>
      </c>
      <c r="G442" s="9">
        <v>102.0</v>
      </c>
      <c r="H442" s="9">
        <v>0.0</v>
      </c>
      <c r="I442" s="9">
        <v>0.0</v>
      </c>
      <c r="J442" s="9">
        <v>34.0</v>
      </c>
      <c r="K442" s="9">
        <v>102.0</v>
      </c>
      <c r="L442" s="9">
        <v>1.75</v>
      </c>
      <c r="M442" s="9">
        <v>59.5</v>
      </c>
      <c r="N442" s="9">
        <v>42.5</v>
      </c>
      <c r="O442" s="12">
        <v>45870.0</v>
      </c>
      <c r="P442" s="15"/>
      <c r="Q442" s="14"/>
      <c r="R442" s="14"/>
    </row>
    <row r="443">
      <c r="A443" s="9">
        <v>2.404120076E9</v>
      </c>
      <c r="B443" s="10" t="s">
        <v>19</v>
      </c>
      <c r="C443" s="11"/>
      <c r="D443" s="10" t="s">
        <v>89</v>
      </c>
      <c r="E443" s="11"/>
      <c r="F443" s="9">
        <v>9.0</v>
      </c>
      <c r="G443" s="9">
        <v>45.0</v>
      </c>
      <c r="H443" s="11"/>
      <c r="I443" s="11"/>
      <c r="J443" s="9">
        <v>9.0</v>
      </c>
      <c r="K443" s="9">
        <v>45.0</v>
      </c>
      <c r="L443" s="9">
        <v>0.0</v>
      </c>
      <c r="M443" s="9">
        <v>0.0</v>
      </c>
      <c r="N443" s="9">
        <v>45.0</v>
      </c>
      <c r="O443" s="12">
        <v>45870.0</v>
      </c>
      <c r="P443" s="15"/>
      <c r="Q443" s="14"/>
      <c r="R443" s="14"/>
    </row>
    <row r="444">
      <c r="A444" s="9">
        <v>2.404120076E9</v>
      </c>
      <c r="B444" s="10" t="s">
        <v>19</v>
      </c>
      <c r="C444" s="11"/>
      <c r="D444" s="10" t="s">
        <v>55</v>
      </c>
      <c r="E444" s="11"/>
      <c r="F444" s="9">
        <v>90.0</v>
      </c>
      <c r="G444" s="9">
        <v>223.0</v>
      </c>
      <c r="H444" s="11"/>
      <c r="I444" s="11"/>
      <c r="J444" s="9">
        <v>90.0</v>
      </c>
      <c r="K444" s="9">
        <v>223.0</v>
      </c>
      <c r="L444" s="9">
        <v>0.0</v>
      </c>
      <c r="M444" s="9">
        <v>0.0</v>
      </c>
      <c r="N444" s="9">
        <v>223.0</v>
      </c>
      <c r="O444" s="12">
        <v>45870.0</v>
      </c>
      <c r="P444" s="15"/>
      <c r="Q444" s="14"/>
      <c r="R444" s="14"/>
    </row>
    <row r="445">
      <c r="A445" s="9">
        <v>2.404120076E9</v>
      </c>
      <c r="B445" s="10" t="s">
        <v>19</v>
      </c>
      <c r="C445" s="11"/>
      <c r="D445" s="10" t="s">
        <v>92</v>
      </c>
      <c r="E445" s="11"/>
      <c r="F445" s="9">
        <v>9.0</v>
      </c>
      <c r="G445" s="9">
        <v>120.0</v>
      </c>
      <c r="H445" s="11"/>
      <c r="I445" s="11"/>
      <c r="J445" s="9">
        <v>9.0</v>
      </c>
      <c r="K445" s="9">
        <v>120.0</v>
      </c>
      <c r="L445" s="9">
        <v>0.0</v>
      </c>
      <c r="M445" s="9">
        <v>0.0</v>
      </c>
      <c r="N445" s="9">
        <v>120.0</v>
      </c>
      <c r="O445" s="12">
        <v>45870.0</v>
      </c>
      <c r="P445" s="15"/>
      <c r="Q445" s="14"/>
      <c r="R445" s="14"/>
    </row>
    <row r="446">
      <c r="A446" s="9">
        <v>2.404120076E9</v>
      </c>
      <c r="B446" s="10" t="s">
        <v>19</v>
      </c>
      <c r="C446" s="11"/>
      <c r="D446" s="10" t="s">
        <v>109</v>
      </c>
      <c r="E446" s="11"/>
      <c r="F446" s="9">
        <v>166.0</v>
      </c>
      <c r="G446" s="9">
        <v>830.0</v>
      </c>
      <c r="H446" s="11"/>
      <c r="I446" s="11"/>
      <c r="J446" s="9">
        <v>166.0</v>
      </c>
      <c r="K446" s="9">
        <v>830.0</v>
      </c>
      <c r="L446" s="9">
        <v>0.0</v>
      </c>
      <c r="M446" s="9">
        <v>0.0</v>
      </c>
      <c r="N446" s="9">
        <v>830.0</v>
      </c>
      <c r="O446" s="12">
        <v>45870.0</v>
      </c>
      <c r="P446" s="15"/>
      <c r="Q446" s="14"/>
      <c r="R446" s="14"/>
    </row>
    <row r="447">
      <c r="A447" s="9">
        <v>2.404120076E9</v>
      </c>
      <c r="B447" s="10" t="s">
        <v>19</v>
      </c>
      <c r="C447" s="11"/>
      <c r="D447" s="10" t="s">
        <v>60</v>
      </c>
      <c r="E447" s="11"/>
      <c r="F447" s="9">
        <v>210.0</v>
      </c>
      <c r="G447" s="9">
        <v>222.0</v>
      </c>
      <c r="H447" s="11"/>
      <c r="I447" s="11"/>
      <c r="J447" s="9">
        <v>210.0</v>
      </c>
      <c r="K447" s="9">
        <v>222.0</v>
      </c>
      <c r="L447" s="9">
        <v>0.0</v>
      </c>
      <c r="M447" s="9">
        <v>0.0</v>
      </c>
      <c r="N447" s="9">
        <v>222.0</v>
      </c>
      <c r="O447" s="12">
        <v>45870.0</v>
      </c>
      <c r="P447" s="15"/>
      <c r="Q447" s="14"/>
      <c r="R447" s="14"/>
    </row>
    <row r="448">
      <c r="A448" s="9">
        <v>2.404120076E9</v>
      </c>
      <c r="B448" s="10" t="s">
        <v>19</v>
      </c>
      <c r="C448" s="11"/>
      <c r="D448" s="10" t="s">
        <v>68</v>
      </c>
      <c r="E448" s="11"/>
      <c r="F448" s="9">
        <v>25.0</v>
      </c>
      <c r="G448" s="9">
        <v>125.0</v>
      </c>
      <c r="H448" s="11"/>
      <c r="I448" s="11"/>
      <c r="J448" s="9">
        <v>25.0</v>
      </c>
      <c r="K448" s="9">
        <v>125.0</v>
      </c>
      <c r="L448" s="9">
        <v>0.0</v>
      </c>
      <c r="M448" s="9">
        <v>0.0</v>
      </c>
      <c r="N448" s="9">
        <v>125.0</v>
      </c>
      <c r="O448" s="12">
        <v>45870.0</v>
      </c>
      <c r="P448" s="15"/>
      <c r="Q448" s="14"/>
      <c r="R448" s="14"/>
    </row>
    <row r="449">
      <c r="A449" s="9">
        <v>2.404120076E9</v>
      </c>
      <c r="B449" s="10" t="s">
        <v>19</v>
      </c>
      <c r="C449" s="11"/>
      <c r="D449" s="10" t="s">
        <v>120</v>
      </c>
      <c r="E449" s="11"/>
      <c r="F449" s="9">
        <v>54.0</v>
      </c>
      <c r="G449" s="9">
        <v>136.0</v>
      </c>
      <c r="H449" s="11"/>
      <c r="I449" s="11"/>
      <c r="J449" s="9">
        <v>54.0</v>
      </c>
      <c r="K449" s="9">
        <v>136.0</v>
      </c>
      <c r="L449" s="9">
        <v>0.0</v>
      </c>
      <c r="M449" s="9">
        <v>0.0</v>
      </c>
      <c r="N449" s="9">
        <v>136.0</v>
      </c>
      <c r="O449" s="12">
        <v>45870.0</v>
      </c>
      <c r="P449" s="15"/>
      <c r="Q449" s="14"/>
      <c r="R449" s="14"/>
    </row>
    <row r="450">
      <c r="A450" s="9">
        <v>2.404120076E9</v>
      </c>
      <c r="B450" s="10" t="s">
        <v>19</v>
      </c>
      <c r="C450" s="11"/>
      <c r="D450" s="10" t="s">
        <v>70</v>
      </c>
      <c r="E450" s="11"/>
      <c r="F450" s="9">
        <v>29.0</v>
      </c>
      <c r="G450" s="9">
        <v>87.0</v>
      </c>
      <c r="H450" s="11"/>
      <c r="I450" s="11"/>
      <c r="J450" s="9">
        <v>29.0</v>
      </c>
      <c r="K450" s="9">
        <v>87.0</v>
      </c>
      <c r="L450" s="9">
        <v>0.0</v>
      </c>
      <c r="M450" s="9">
        <v>0.0</v>
      </c>
      <c r="N450" s="9">
        <v>87.0</v>
      </c>
      <c r="O450" s="12">
        <v>45870.0</v>
      </c>
      <c r="P450" s="15"/>
      <c r="Q450" s="14"/>
      <c r="R450" s="14"/>
    </row>
    <row r="451">
      <c r="A451" s="9">
        <v>2.404120076E9</v>
      </c>
      <c r="B451" s="10" t="s">
        <v>19</v>
      </c>
      <c r="C451" s="11"/>
      <c r="D451" s="10" t="s">
        <v>96</v>
      </c>
      <c r="E451" s="11"/>
      <c r="F451" s="9">
        <v>42.0</v>
      </c>
      <c r="G451" s="9">
        <v>208.0</v>
      </c>
      <c r="H451" s="11"/>
      <c r="I451" s="11"/>
      <c r="J451" s="9">
        <v>42.0</v>
      </c>
      <c r="K451" s="9">
        <v>208.0</v>
      </c>
      <c r="L451" s="9">
        <v>0.0</v>
      </c>
      <c r="M451" s="9">
        <v>0.0</v>
      </c>
      <c r="N451" s="9">
        <v>208.0</v>
      </c>
      <c r="O451" s="12">
        <v>45870.0</v>
      </c>
      <c r="P451" s="15"/>
      <c r="Q451" s="14"/>
      <c r="R451" s="14"/>
    </row>
    <row r="452">
      <c r="A452" s="9">
        <v>2.404120076E9</v>
      </c>
      <c r="B452" s="10" t="s">
        <v>19</v>
      </c>
      <c r="C452" s="11"/>
      <c r="D452" s="10" t="s">
        <v>136</v>
      </c>
      <c r="E452" s="11"/>
      <c r="F452" s="9">
        <v>279.0</v>
      </c>
      <c r="G452" s="9">
        <v>337.0</v>
      </c>
      <c r="H452" s="11"/>
      <c r="I452" s="11"/>
      <c r="J452" s="9">
        <v>279.0</v>
      </c>
      <c r="K452" s="9">
        <v>337.0</v>
      </c>
      <c r="L452" s="9">
        <v>0.0</v>
      </c>
      <c r="M452" s="9">
        <v>0.0</v>
      </c>
      <c r="N452" s="9">
        <v>337.0</v>
      </c>
      <c r="O452" s="12">
        <v>45870.0</v>
      </c>
      <c r="P452" s="15"/>
      <c r="Q452" s="14"/>
      <c r="R452" s="14"/>
    </row>
    <row r="453">
      <c r="A453" s="9">
        <v>2.404120076E9</v>
      </c>
      <c r="B453" s="10" t="s">
        <v>19</v>
      </c>
      <c r="C453" s="11"/>
      <c r="D453" s="10" t="s">
        <v>72</v>
      </c>
      <c r="E453" s="11"/>
      <c r="F453" s="9">
        <v>26.0</v>
      </c>
      <c r="G453" s="9">
        <v>80.0</v>
      </c>
      <c r="H453" s="11"/>
      <c r="I453" s="11"/>
      <c r="J453" s="9">
        <v>26.0</v>
      </c>
      <c r="K453" s="9">
        <v>80.0</v>
      </c>
      <c r="L453" s="9">
        <v>0.0</v>
      </c>
      <c r="M453" s="9">
        <v>0.0</v>
      </c>
      <c r="N453" s="9">
        <v>80.0</v>
      </c>
      <c r="O453" s="12">
        <v>45870.0</v>
      </c>
      <c r="P453" s="15"/>
      <c r="Q453" s="14"/>
      <c r="R453" s="14"/>
    </row>
    <row r="454">
      <c r="A454" s="9">
        <v>2.404120076E9</v>
      </c>
      <c r="B454" s="10" t="s">
        <v>19</v>
      </c>
      <c r="C454" s="11"/>
      <c r="D454" s="10" t="s">
        <v>97</v>
      </c>
      <c r="E454" s="11"/>
      <c r="F454" s="9">
        <v>15.0</v>
      </c>
      <c r="G454" s="9">
        <v>90.0</v>
      </c>
      <c r="H454" s="11"/>
      <c r="I454" s="11"/>
      <c r="J454" s="9">
        <v>15.0</v>
      </c>
      <c r="K454" s="9">
        <v>90.0</v>
      </c>
      <c r="L454" s="9">
        <v>0.0</v>
      </c>
      <c r="M454" s="9">
        <v>0.0</v>
      </c>
      <c r="N454" s="9">
        <v>90.0</v>
      </c>
      <c r="O454" s="12">
        <v>45870.0</v>
      </c>
      <c r="P454" s="15"/>
      <c r="Q454" s="14"/>
      <c r="R454" s="14"/>
    </row>
    <row r="455">
      <c r="A455" s="9">
        <v>2.404120076E9</v>
      </c>
      <c r="B455" s="10" t="s">
        <v>19</v>
      </c>
      <c r="C455" s="11"/>
      <c r="D455" s="10" t="s">
        <v>123</v>
      </c>
      <c r="E455" s="11"/>
      <c r="F455" s="9">
        <v>26.0</v>
      </c>
      <c r="G455" s="9">
        <v>84.0</v>
      </c>
      <c r="H455" s="11"/>
      <c r="I455" s="11"/>
      <c r="J455" s="9">
        <v>26.0</v>
      </c>
      <c r="K455" s="9">
        <v>84.0</v>
      </c>
      <c r="L455" s="9">
        <v>0.0</v>
      </c>
      <c r="M455" s="9">
        <v>0.0</v>
      </c>
      <c r="N455" s="9">
        <v>84.0</v>
      </c>
      <c r="O455" s="12">
        <v>45870.0</v>
      </c>
      <c r="P455" s="15"/>
      <c r="Q455" s="14"/>
      <c r="R455" s="14"/>
    </row>
    <row r="456">
      <c r="A456" s="9">
        <v>2.404120076E9</v>
      </c>
      <c r="B456" s="10" t="s">
        <v>19</v>
      </c>
      <c r="C456" s="11"/>
      <c r="D456" s="10" t="s">
        <v>73</v>
      </c>
      <c r="E456" s="11"/>
      <c r="F456" s="9">
        <v>15.0</v>
      </c>
      <c r="G456" s="9">
        <v>91.0</v>
      </c>
      <c r="H456" s="11"/>
      <c r="I456" s="11"/>
      <c r="J456" s="9">
        <v>15.0</v>
      </c>
      <c r="K456" s="9">
        <v>91.0</v>
      </c>
      <c r="L456" s="9">
        <v>0.0</v>
      </c>
      <c r="M456" s="9">
        <v>0.0</v>
      </c>
      <c r="N456" s="9">
        <v>91.0</v>
      </c>
      <c r="O456" s="12">
        <v>45870.0</v>
      </c>
      <c r="P456" s="15"/>
      <c r="Q456" s="14"/>
      <c r="R456" s="14"/>
    </row>
    <row r="457">
      <c r="A457" s="9">
        <v>2.404120076E9</v>
      </c>
      <c r="B457" s="10" t="s">
        <v>19</v>
      </c>
      <c r="C457" s="11"/>
      <c r="D457" s="10" t="s">
        <v>74</v>
      </c>
      <c r="E457" s="11"/>
      <c r="F457" s="9">
        <v>850.0</v>
      </c>
      <c r="G457" s="9">
        <v>850.0</v>
      </c>
      <c r="H457" s="11"/>
      <c r="I457" s="11"/>
      <c r="J457" s="9">
        <v>850.0</v>
      </c>
      <c r="K457" s="9">
        <v>850.0</v>
      </c>
      <c r="L457" s="9">
        <v>0.0</v>
      </c>
      <c r="M457" s="9">
        <v>0.0</v>
      </c>
      <c r="N457" s="9">
        <v>850.0</v>
      </c>
      <c r="O457" s="12">
        <v>45870.0</v>
      </c>
      <c r="P457" s="15"/>
      <c r="Q457" s="14"/>
      <c r="R457" s="14"/>
    </row>
    <row r="458">
      <c r="A458" s="9">
        <v>2.404120076E9</v>
      </c>
      <c r="B458" s="10" t="s">
        <v>19</v>
      </c>
      <c r="C458" s="11"/>
      <c r="D458" s="10" t="s">
        <v>100</v>
      </c>
      <c r="E458" s="11"/>
      <c r="F458" s="9">
        <v>34.0</v>
      </c>
      <c r="G458" s="9">
        <v>68.0</v>
      </c>
      <c r="H458" s="11"/>
      <c r="I458" s="11"/>
      <c r="J458" s="9">
        <v>34.0</v>
      </c>
      <c r="K458" s="9">
        <v>68.0</v>
      </c>
      <c r="L458" s="9">
        <v>0.0</v>
      </c>
      <c r="M458" s="9">
        <v>0.0</v>
      </c>
      <c r="N458" s="9">
        <v>68.0</v>
      </c>
      <c r="O458" s="12">
        <v>45870.0</v>
      </c>
      <c r="P458" s="15"/>
      <c r="Q458" s="14"/>
      <c r="R458" s="14"/>
    </row>
    <row r="459">
      <c r="A459" s="9">
        <v>2.404120076E9</v>
      </c>
      <c r="B459" s="10" t="s">
        <v>19</v>
      </c>
      <c r="C459" s="11"/>
      <c r="D459" s="10" t="s">
        <v>79</v>
      </c>
      <c r="E459" s="11"/>
      <c r="F459" s="9">
        <v>35.0</v>
      </c>
      <c r="G459" s="9">
        <v>105.0</v>
      </c>
      <c r="H459" s="11"/>
      <c r="I459" s="11"/>
      <c r="J459" s="9">
        <v>35.0</v>
      </c>
      <c r="K459" s="9">
        <v>105.0</v>
      </c>
      <c r="L459" s="9">
        <v>0.0</v>
      </c>
      <c r="M459" s="9">
        <v>0.0</v>
      </c>
      <c r="N459" s="9">
        <v>105.0</v>
      </c>
      <c r="O459" s="12">
        <v>45870.0</v>
      </c>
      <c r="P459" s="15"/>
      <c r="Q459" s="14"/>
      <c r="R459" s="14"/>
    </row>
    <row r="460">
      <c r="A460" s="9">
        <v>2.404120076E9</v>
      </c>
      <c r="B460" s="10" t="s">
        <v>19</v>
      </c>
      <c r="C460" s="11"/>
      <c r="D460" s="10" t="s">
        <v>102</v>
      </c>
      <c r="E460" s="11"/>
      <c r="F460" s="9">
        <v>1.0</v>
      </c>
      <c r="G460" s="9">
        <v>3.0</v>
      </c>
      <c r="H460" s="11"/>
      <c r="I460" s="11"/>
      <c r="J460" s="9">
        <v>1.0</v>
      </c>
      <c r="K460" s="9">
        <v>3.0</v>
      </c>
      <c r="L460" s="9">
        <v>0.0</v>
      </c>
      <c r="M460" s="9">
        <v>0.0</v>
      </c>
      <c r="N460" s="9">
        <v>3.0</v>
      </c>
      <c r="O460" s="12">
        <v>45870.0</v>
      </c>
      <c r="P460" s="15"/>
      <c r="Q460" s="14"/>
      <c r="R460" s="14"/>
    </row>
    <row r="461">
      <c r="A461" s="9">
        <v>2.404120076E9</v>
      </c>
      <c r="B461" s="10" t="s">
        <v>19</v>
      </c>
      <c r="C461" s="11"/>
      <c r="D461" s="10" t="s">
        <v>114</v>
      </c>
      <c r="E461" s="11"/>
      <c r="F461" s="9">
        <v>12.0</v>
      </c>
      <c r="G461" s="9">
        <v>60.0</v>
      </c>
      <c r="H461" s="11"/>
      <c r="I461" s="11"/>
      <c r="J461" s="9">
        <v>12.0</v>
      </c>
      <c r="K461" s="9">
        <v>60.0</v>
      </c>
      <c r="L461" s="9">
        <v>0.0</v>
      </c>
      <c r="M461" s="9">
        <v>0.0</v>
      </c>
      <c r="N461" s="9">
        <v>60.0</v>
      </c>
      <c r="O461" s="12">
        <v>45870.0</v>
      </c>
      <c r="P461" s="15"/>
      <c r="Q461" s="14"/>
      <c r="R461" s="14"/>
    </row>
    <row r="462">
      <c r="A462" s="9">
        <v>2.404120076E9</v>
      </c>
      <c r="B462" s="10" t="s">
        <v>19</v>
      </c>
      <c r="C462" s="11"/>
      <c r="D462" s="2" t="s">
        <v>129</v>
      </c>
      <c r="E462" s="11"/>
      <c r="F462" s="9">
        <v>166.0</v>
      </c>
      <c r="G462" s="9">
        <v>823.0</v>
      </c>
      <c r="H462" s="11"/>
      <c r="I462" s="11"/>
      <c r="J462" s="9">
        <v>166.0</v>
      </c>
      <c r="K462" s="9">
        <v>823.0</v>
      </c>
      <c r="L462" s="9">
        <v>0.0</v>
      </c>
      <c r="M462" s="9">
        <v>0.0</v>
      </c>
      <c r="N462" s="9">
        <v>823.0</v>
      </c>
      <c r="O462" s="12">
        <v>45870.0</v>
      </c>
      <c r="P462" s="15"/>
      <c r="Q462" s="14"/>
      <c r="R462" s="14"/>
    </row>
    <row r="463">
      <c r="A463" s="9">
        <v>2.404120076E9</v>
      </c>
      <c r="B463" s="10" t="s">
        <v>19</v>
      </c>
      <c r="C463" s="11"/>
      <c r="D463" s="10" t="s">
        <v>105</v>
      </c>
      <c r="E463" s="11"/>
      <c r="F463" s="9">
        <v>29.0</v>
      </c>
      <c r="G463" s="9">
        <v>104.0</v>
      </c>
      <c r="H463" s="11"/>
      <c r="I463" s="11"/>
      <c r="J463" s="9">
        <v>29.0</v>
      </c>
      <c r="K463" s="9">
        <v>104.0</v>
      </c>
      <c r="L463" s="9">
        <v>0.0</v>
      </c>
      <c r="M463" s="9">
        <v>0.0</v>
      </c>
      <c r="N463" s="9">
        <v>104.0</v>
      </c>
      <c r="O463" s="12">
        <v>45870.0</v>
      </c>
      <c r="P463" s="15"/>
      <c r="Q463" s="14"/>
      <c r="R463" s="14"/>
    </row>
    <row r="464">
      <c r="A464" s="9">
        <v>2.404120076E9</v>
      </c>
      <c r="B464" s="10" t="s">
        <v>19</v>
      </c>
      <c r="C464" s="11"/>
      <c r="D464" s="10" t="s">
        <v>81</v>
      </c>
      <c r="E464" s="11"/>
      <c r="F464" s="9">
        <v>19.0</v>
      </c>
      <c r="G464" s="9">
        <v>95.0</v>
      </c>
      <c r="H464" s="11"/>
      <c r="I464" s="11"/>
      <c r="J464" s="9">
        <v>19.0</v>
      </c>
      <c r="K464" s="9">
        <v>95.0</v>
      </c>
      <c r="L464" s="9">
        <v>0.0</v>
      </c>
      <c r="M464" s="9">
        <v>0.0</v>
      </c>
      <c r="N464" s="9">
        <v>95.0</v>
      </c>
      <c r="O464" s="12">
        <v>45870.0</v>
      </c>
      <c r="P464" s="15"/>
      <c r="Q464" s="14"/>
      <c r="R464" s="14"/>
    </row>
    <row r="465">
      <c r="A465" s="9">
        <v>2.404120076E9</v>
      </c>
      <c r="B465" s="10" t="s">
        <v>19</v>
      </c>
      <c r="C465" s="11"/>
      <c r="D465" s="10" t="s">
        <v>125</v>
      </c>
      <c r="E465" s="11"/>
      <c r="F465" s="9">
        <v>31.0</v>
      </c>
      <c r="G465" s="9">
        <v>165.0</v>
      </c>
      <c r="H465" s="11"/>
      <c r="I465" s="11"/>
      <c r="J465" s="9">
        <v>31.0</v>
      </c>
      <c r="K465" s="9">
        <v>165.0</v>
      </c>
      <c r="L465" s="9">
        <v>0.0</v>
      </c>
      <c r="M465" s="9">
        <v>0.0</v>
      </c>
      <c r="N465" s="9">
        <v>165.0</v>
      </c>
      <c r="O465" s="12">
        <v>45870.0</v>
      </c>
      <c r="P465" s="15"/>
      <c r="Q465" s="14"/>
      <c r="R465" s="14"/>
    </row>
    <row r="466">
      <c r="A466" s="9">
        <v>2.404120076E9</v>
      </c>
      <c r="B466" s="10" t="s">
        <v>19</v>
      </c>
      <c r="C466" s="11"/>
      <c r="D466" s="10" t="s">
        <v>127</v>
      </c>
      <c r="E466" s="11"/>
      <c r="F466" s="9">
        <v>12.0</v>
      </c>
      <c r="G466" s="9">
        <v>144.0</v>
      </c>
      <c r="H466" s="11"/>
      <c r="I466" s="11"/>
      <c r="J466" s="9">
        <v>12.0</v>
      </c>
      <c r="K466" s="9">
        <v>144.0</v>
      </c>
      <c r="L466" s="9">
        <v>0.0</v>
      </c>
      <c r="M466" s="9">
        <v>0.0</v>
      </c>
      <c r="N466" s="9">
        <v>144.0</v>
      </c>
      <c r="O466" s="12">
        <v>45870.0</v>
      </c>
      <c r="P466" s="15"/>
      <c r="Q466" s="14"/>
      <c r="R466" s="14"/>
    </row>
    <row r="467">
      <c r="A467" s="9">
        <v>2.404120076E9</v>
      </c>
      <c r="B467" s="10" t="s">
        <v>19</v>
      </c>
      <c r="C467" s="11"/>
      <c r="D467" s="10" t="s">
        <v>86</v>
      </c>
      <c r="E467" s="11"/>
      <c r="F467" s="9">
        <v>131.0</v>
      </c>
      <c r="G467" s="9">
        <v>635.0</v>
      </c>
      <c r="H467" s="11"/>
      <c r="I467" s="11"/>
      <c r="J467" s="9">
        <v>131.0</v>
      </c>
      <c r="K467" s="9">
        <v>635.0</v>
      </c>
      <c r="L467" s="9">
        <v>0.0</v>
      </c>
      <c r="M467" s="9">
        <v>0.0</v>
      </c>
      <c r="N467" s="9">
        <v>635.0</v>
      </c>
      <c r="O467" s="12">
        <v>45870.0</v>
      </c>
      <c r="P467" s="15"/>
      <c r="Q467" s="14"/>
      <c r="R467" s="14"/>
    </row>
    <row r="468">
      <c r="A468" s="9">
        <v>2.404120076E9</v>
      </c>
      <c r="B468" s="10" t="s">
        <v>19</v>
      </c>
      <c r="C468" s="11"/>
      <c r="D468" s="10" t="s">
        <v>128</v>
      </c>
      <c r="E468" s="11"/>
      <c r="F468" s="9">
        <v>31.0</v>
      </c>
      <c r="G468" s="9">
        <v>93.0</v>
      </c>
      <c r="H468" s="11"/>
      <c r="I468" s="11"/>
      <c r="J468" s="9">
        <v>31.0</v>
      </c>
      <c r="K468" s="9">
        <v>93.0</v>
      </c>
      <c r="L468" s="9">
        <v>0.0</v>
      </c>
      <c r="M468" s="9">
        <v>0.0</v>
      </c>
      <c r="N468" s="9">
        <v>93.0</v>
      </c>
      <c r="O468" s="12">
        <v>45870.0</v>
      </c>
      <c r="P468" s="15"/>
      <c r="Q468" s="14"/>
      <c r="R468" s="14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9">
        <v>0.0</v>
      </c>
      <c r="K469" s="9">
        <v>0.0</v>
      </c>
      <c r="L469" s="9">
        <v>0.0</v>
      </c>
      <c r="M469" s="9">
        <v>0.0</v>
      </c>
      <c r="N469" s="9">
        <v>0.0</v>
      </c>
      <c r="O469" s="17"/>
      <c r="P469" s="15"/>
      <c r="Q469" s="14"/>
      <c r="R469" s="14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9">
        <v>0.0</v>
      </c>
      <c r="K470" s="9">
        <v>0.0</v>
      </c>
      <c r="L470" s="9">
        <v>0.0</v>
      </c>
      <c r="M470" s="9">
        <v>0.0</v>
      </c>
      <c r="N470" s="9">
        <v>0.0</v>
      </c>
      <c r="O470" s="17"/>
      <c r="P470" s="15"/>
      <c r="Q470" s="14"/>
      <c r="R470" s="14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9">
        <v>0.0</v>
      </c>
      <c r="K471" s="9">
        <v>0.0</v>
      </c>
      <c r="L471" s="9">
        <v>0.0</v>
      </c>
      <c r="M471" s="9">
        <v>0.0</v>
      </c>
      <c r="N471" s="9">
        <v>0.0</v>
      </c>
      <c r="O471" s="17"/>
      <c r="P471" s="15"/>
      <c r="Q471" s="14"/>
      <c r="R471" s="14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9">
        <v>0.0</v>
      </c>
      <c r="K472" s="9">
        <v>0.0</v>
      </c>
      <c r="L472" s="9">
        <v>0.0</v>
      </c>
      <c r="M472" s="9">
        <v>0.0</v>
      </c>
      <c r="N472" s="9">
        <v>0.0</v>
      </c>
      <c r="O472" s="17"/>
      <c r="P472" s="15"/>
      <c r="Q472" s="14"/>
      <c r="R472" s="14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9">
        <v>0.0</v>
      </c>
      <c r="K473" s="9">
        <v>0.0</v>
      </c>
      <c r="L473" s="9">
        <v>0.0</v>
      </c>
      <c r="M473" s="9">
        <v>0.0</v>
      </c>
      <c r="N473" s="9">
        <v>0.0</v>
      </c>
      <c r="O473" s="17"/>
      <c r="P473" s="15"/>
      <c r="Q473" s="14"/>
      <c r="R473" s="14"/>
    </row>
    <row r="474">
      <c r="A474" s="9">
        <v>2.411000046E9</v>
      </c>
      <c r="B474" s="10" t="s">
        <v>21</v>
      </c>
      <c r="C474" s="9">
        <v>1.0</v>
      </c>
      <c r="D474" s="2" t="s">
        <v>129</v>
      </c>
      <c r="E474" s="9">
        <v>5.0</v>
      </c>
      <c r="F474" s="9">
        <v>34.0</v>
      </c>
      <c r="G474" s="9">
        <v>171.0</v>
      </c>
      <c r="H474" s="9">
        <v>0.0</v>
      </c>
      <c r="I474" s="9">
        <v>0.0</v>
      </c>
      <c r="J474" s="9">
        <v>34.0</v>
      </c>
      <c r="K474" s="9">
        <v>171.0</v>
      </c>
      <c r="L474" s="9">
        <v>2.8</v>
      </c>
      <c r="M474" s="9">
        <v>95.2</v>
      </c>
      <c r="N474" s="9">
        <v>75.8</v>
      </c>
      <c r="O474" s="12">
        <v>45901.0</v>
      </c>
      <c r="P474" s="13">
        <v>45901.0</v>
      </c>
      <c r="Q474" s="14"/>
      <c r="R474" s="14"/>
    </row>
    <row r="475">
      <c r="A475" s="9">
        <v>2.411000046E9</v>
      </c>
      <c r="B475" s="10" t="s">
        <v>21</v>
      </c>
      <c r="C475" s="9">
        <v>2.0</v>
      </c>
      <c r="D475" s="10" t="s">
        <v>74</v>
      </c>
      <c r="E475" s="9">
        <v>1.0</v>
      </c>
      <c r="F475" s="9">
        <v>342.0</v>
      </c>
      <c r="G475" s="9">
        <v>342.0</v>
      </c>
      <c r="H475" s="9">
        <v>0.0</v>
      </c>
      <c r="I475" s="9">
        <v>0.0</v>
      </c>
      <c r="J475" s="9">
        <v>342.0</v>
      </c>
      <c r="K475" s="9">
        <v>342.0</v>
      </c>
      <c r="L475" s="9">
        <v>0.3</v>
      </c>
      <c r="M475" s="9">
        <v>102.6</v>
      </c>
      <c r="N475" s="9">
        <v>239.4</v>
      </c>
      <c r="O475" s="12">
        <v>45901.0</v>
      </c>
      <c r="P475" s="15"/>
      <c r="Q475" s="14"/>
      <c r="R475" s="14"/>
    </row>
    <row r="476">
      <c r="A476" s="9">
        <v>2.411000046E9</v>
      </c>
      <c r="B476" s="10" t="s">
        <v>21</v>
      </c>
      <c r="C476" s="9">
        <v>3.0</v>
      </c>
      <c r="D476" s="10" t="s">
        <v>125</v>
      </c>
      <c r="E476" s="9">
        <v>7.0</v>
      </c>
      <c r="F476" s="9">
        <v>18.0</v>
      </c>
      <c r="G476" s="9">
        <v>108.0</v>
      </c>
      <c r="H476" s="9">
        <v>0.0</v>
      </c>
      <c r="I476" s="9">
        <v>0.0</v>
      </c>
      <c r="J476" s="9">
        <v>18.0</v>
      </c>
      <c r="K476" s="9">
        <v>108.0</v>
      </c>
      <c r="L476" s="9">
        <v>6.2</v>
      </c>
      <c r="M476" s="9">
        <v>111.6</v>
      </c>
      <c r="N476" s="9">
        <v>-3.6</v>
      </c>
      <c r="O476" s="12">
        <v>45901.0</v>
      </c>
      <c r="P476" s="15"/>
      <c r="Q476" s="14"/>
      <c r="R476" s="14"/>
    </row>
    <row r="477">
      <c r="A477" s="9">
        <v>2.411000046E9</v>
      </c>
      <c r="B477" s="10" t="s">
        <v>21</v>
      </c>
      <c r="C477" s="9">
        <v>5.0</v>
      </c>
      <c r="D477" s="10" t="s">
        <v>131</v>
      </c>
      <c r="E477" s="9">
        <v>3.0</v>
      </c>
      <c r="F477" s="9">
        <v>9.0</v>
      </c>
      <c r="G477" s="9">
        <v>29.0</v>
      </c>
      <c r="H477" s="9">
        <v>0.0</v>
      </c>
      <c r="I477" s="9">
        <v>0.0</v>
      </c>
      <c r="J477" s="9">
        <v>9.0</v>
      </c>
      <c r="K477" s="9">
        <v>29.0</v>
      </c>
      <c r="L477" s="9">
        <v>2.0</v>
      </c>
      <c r="M477" s="9">
        <v>18.0</v>
      </c>
      <c r="N477" s="9">
        <v>11.0</v>
      </c>
      <c r="O477" s="12">
        <v>45901.0</v>
      </c>
      <c r="P477" s="15"/>
      <c r="Q477" s="14"/>
      <c r="R477" s="14"/>
    </row>
    <row r="478">
      <c r="A478" s="9">
        <v>2.411000046E9</v>
      </c>
      <c r="B478" s="10" t="s">
        <v>21</v>
      </c>
      <c r="C478" s="9">
        <v>6.0</v>
      </c>
      <c r="D478" s="10" t="s">
        <v>109</v>
      </c>
      <c r="E478" s="9">
        <v>5.0</v>
      </c>
      <c r="F478" s="9">
        <v>95.0</v>
      </c>
      <c r="G478" s="9">
        <v>475.0</v>
      </c>
      <c r="H478" s="9">
        <v>0.0</v>
      </c>
      <c r="I478" s="9">
        <v>0.0</v>
      </c>
      <c r="J478" s="9">
        <v>95.0</v>
      </c>
      <c r="K478" s="9">
        <v>475.0</v>
      </c>
      <c r="L478" s="9">
        <v>3.08</v>
      </c>
      <c r="M478" s="9">
        <v>292.6</v>
      </c>
      <c r="N478" s="9">
        <v>182.4</v>
      </c>
      <c r="O478" s="12">
        <v>45901.0</v>
      </c>
      <c r="P478" s="15"/>
      <c r="Q478" s="14"/>
      <c r="R478" s="14"/>
    </row>
    <row r="479">
      <c r="A479" s="9">
        <v>2.411000046E9</v>
      </c>
      <c r="B479" s="10" t="s">
        <v>21</v>
      </c>
      <c r="C479" s="9">
        <v>11.0</v>
      </c>
      <c r="D479" s="10" t="s">
        <v>86</v>
      </c>
      <c r="E479" s="9">
        <v>5.0</v>
      </c>
      <c r="F479" s="9">
        <v>66.0</v>
      </c>
      <c r="G479" s="9">
        <v>330.0</v>
      </c>
      <c r="H479" s="9">
        <v>0.0</v>
      </c>
      <c r="I479" s="9">
        <v>0.0</v>
      </c>
      <c r="J479" s="9">
        <v>66.0</v>
      </c>
      <c r="K479" s="9">
        <v>330.0</v>
      </c>
      <c r="L479" s="9">
        <v>3.5</v>
      </c>
      <c r="M479" s="9">
        <v>231.0</v>
      </c>
      <c r="N479" s="9">
        <v>99.0</v>
      </c>
      <c r="O479" s="12">
        <v>45901.0</v>
      </c>
      <c r="P479" s="15"/>
      <c r="Q479" s="14"/>
      <c r="R479" s="14"/>
    </row>
    <row r="480">
      <c r="A480" s="9">
        <v>2.411000046E9</v>
      </c>
      <c r="B480" s="10" t="s">
        <v>21</v>
      </c>
      <c r="C480" s="9">
        <v>12.0</v>
      </c>
      <c r="D480" s="10" t="s">
        <v>136</v>
      </c>
      <c r="E480" s="9">
        <v>1.0</v>
      </c>
      <c r="F480" s="9">
        <v>75.0</v>
      </c>
      <c r="G480" s="9">
        <v>75.0</v>
      </c>
      <c r="H480" s="9">
        <v>0.0</v>
      </c>
      <c r="I480" s="9">
        <v>0.0</v>
      </c>
      <c r="J480" s="9">
        <v>75.0</v>
      </c>
      <c r="K480" s="9">
        <v>75.0</v>
      </c>
      <c r="L480" s="9">
        <v>0.6</v>
      </c>
      <c r="M480" s="9">
        <v>45.0</v>
      </c>
      <c r="N480" s="9">
        <v>30.0</v>
      </c>
      <c r="O480" s="12">
        <v>45901.0</v>
      </c>
      <c r="P480" s="15"/>
      <c r="Q480" s="14"/>
      <c r="R480" s="14"/>
    </row>
    <row r="481">
      <c r="A481" s="9">
        <v>2.411000046E9</v>
      </c>
      <c r="B481" s="10" t="s">
        <v>21</v>
      </c>
      <c r="C481" s="9">
        <v>14.0</v>
      </c>
      <c r="D481" s="10" t="s">
        <v>138</v>
      </c>
      <c r="E481" s="9">
        <v>7.0</v>
      </c>
      <c r="F481" s="9">
        <v>51.0</v>
      </c>
      <c r="G481" s="9">
        <v>306.0</v>
      </c>
      <c r="H481" s="9">
        <v>0.0</v>
      </c>
      <c r="I481" s="9">
        <v>0.0</v>
      </c>
      <c r="J481" s="9">
        <v>51.0</v>
      </c>
      <c r="K481" s="9">
        <v>306.0</v>
      </c>
      <c r="L481" s="9">
        <v>5.8</v>
      </c>
      <c r="M481" s="9">
        <v>295.8</v>
      </c>
      <c r="N481" s="9">
        <v>10.2</v>
      </c>
      <c r="O481" s="12">
        <v>45901.0</v>
      </c>
      <c r="P481" s="15"/>
      <c r="Q481" s="14"/>
      <c r="R481" s="14"/>
    </row>
    <row r="482">
      <c r="A482" s="9">
        <v>2.411000046E9</v>
      </c>
      <c r="B482" s="10" t="s">
        <v>21</v>
      </c>
      <c r="C482" s="9">
        <v>19.0</v>
      </c>
      <c r="D482" s="10" t="s">
        <v>72</v>
      </c>
      <c r="E482" s="9">
        <v>2.0</v>
      </c>
      <c r="F482" s="9">
        <v>77.0</v>
      </c>
      <c r="G482" s="9">
        <v>154.0</v>
      </c>
      <c r="H482" s="9">
        <v>0.0</v>
      </c>
      <c r="I482" s="9">
        <v>0.0</v>
      </c>
      <c r="J482" s="9">
        <v>77.0</v>
      </c>
      <c r="K482" s="9">
        <v>154.0</v>
      </c>
      <c r="L482" s="9">
        <v>1.33</v>
      </c>
      <c r="M482" s="9">
        <v>102.41</v>
      </c>
      <c r="N482" s="9">
        <v>51.59</v>
      </c>
      <c r="O482" s="12">
        <v>45901.0</v>
      </c>
      <c r="P482" s="15"/>
      <c r="Q482" s="14"/>
      <c r="R482" s="14"/>
    </row>
    <row r="483">
      <c r="A483" s="9">
        <v>2.411000046E9</v>
      </c>
      <c r="B483" s="10" t="s">
        <v>21</v>
      </c>
      <c r="C483" s="9">
        <v>21.0</v>
      </c>
      <c r="D483" s="10" t="s">
        <v>79</v>
      </c>
      <c r="E483" s="9">
        <v>3.0</v>
      </c>
      <c r="F483" s="9">
        <v>25.0</v>
      </c>
      <c r="G483" s="9">
        <v>75.0</v>
      </c>
      <c r="H483" s="9">
        <v>0.0</v>
      </c>
      <c r="I483" s="9">
        <v>0.0</v>
      </c>
      <c r="J483" s="9">
        <v>25.0</v>
      </c>
      <c r="K483" s="9">
        <v>75.0</v>
      </c>
      <c r="L483" s="9">
        <v>2.2</v>
      </c>
      <c r="M483" s="9">
        <v>55.0</v>
      </c>
      <c r="N483" s="9">
        <v>20.0</v>
      </c>
      <c r="O483" s="12">
        <v>45901.0</v>
      </c>
      <c r="P483" s="15"/>
      <c r="Q483" s="14"/>
      <c r="R483" s="14"/>
    </row>
    <row r="484">
      <c r="A484" s="9">
        <v>2.411000046E9</v>
      </c>
      <c r="B484" s="10" t="s">
        <v>21</v>
      </c>
      <c r="C484" s="9">
        <v>23.0</v>
      </c>
      <c r="D484" s="10" t="s">
        <v>143</v>
      </c>
      <c r="E484" s="9">
        <v>5.0</v>
      </c>
      <c r="F484" s="9">
        <v>19.0</v>
      </c>
      <c r="G484" s="9">
        <v>95.0</v>
      </c>
      <c r="H484" s="9">
        <v>0.0</v>
      </c>
      <c r="I484" s="9">
        <v>0.0</v>
      </c>
      <c r="J484" s="9">
        <v>19.0</v>
      </c>
      <c r="K484" s="9">
        <v>95.0</v>
      </c>
      <c r="L484" s="9">
        <v>3.41</v>
      </c>
      <c r="M484" s="9">
        <v>64.79</v>
      </c>
      <c r="N484" s="9">
        <v>30.21</v>
      </c>
      <c r="O484" s="12">
        <v>45901.0</v>
      </c>
      <c r="P484" s="15"/>
      <c r="Q484" s="14"/>
      <c r="R484" s="14"/>
    </row>
    <row r="485">
      <c r="A485" s="9">
        <v>2.411000046E9</v>
      </c>
      <c r="B485" s="10" t="s">
        <v>21</v>
      </c>
      <c r="C485" s="9">
        <v>25.0</v>
      </c>
      <c r="D485" s="10" t="s">
        <v>144</v>
      </c>
      <c r="E485" s="9">
        <v>5.0</v>
      </c>
      <c r="F485" s="9">
        <v>48.0</v>
      </c>
      <c r="G485" s="9">
        <v>240.0</v>
      </c>
      <c r="H485" s="9">
        <v>0.0</v>
      </c>
      <c r="I485" s="9">
        <v>0.0</v>
      </c>
      <c r="J485" s="9">
        <v>48.0</v>
      </c>
      <c r="K485" s="9">
        <v>240.0</v>
      </c>
      <c r="L485" s="9">
        <v>3.5</v>
      </c>
      <c r="M485" s="9">
        <v>168.0</v>
      </c>
      <c r="N485" s="9">
        <v>72.0</v>
      </c>
      <c r="O485" s="12">
        <v>45901.0</v>
      </c>
      <c r="P485" s="15"/>
      <c r="Q485" s="14"/>
      <c r="R485" s="14"/>
    </row>
    <row r="486">
      <c r="A486" s="9">
        <v>2.411000046E9</v>
      </c>
      <c r="B486" s="10" t="s">
        <v>21</v>
      </c>
      <c r="C486" s="9">
        <v>28.0</v>
      </c>
      <c r="D486" s="10" t="s">
        <v>146</v>
      </c>
      <c r="E486" s="9">
        <v>5.0</v>
      </c>
      <c r="F486" s="9">
        <v>45.0</v>
      </c>
      <c r="G486" s="9">
        <v>225.0</v>
      </c>
      <c r="H486" s="9">
        <v>0.0</v>
      </c>
      <c r="I486" s="9">
        <v>0.0</v>
      </c>
      <c r="J486" s="9">
        <v>45.0</v>
      </c>
      <c r="K486" s="9">
        <v>225.0</v>
      </c>
      <c r="L486" s="9">
        <v>4.5</v>
      </c>
      <c r="M486" s="9">
        <v>202.5</v>
      </c>
      <c r="N486" s="9">
        <v>22.5</v>
      </c>
      <c r="O486" s="12">
        <v>45901.0</v>
      </c>
      <c r="P486" s="15"/>
      <c r="Q486" s="14"/>
      <c r="R486" s="14"/>
    </row>
    <row r="487">
      <c r="A487" s="9">
        <v>2.411000046E9</v>
      </c>
      <c r="B487" s="10" t="s">
        <v>21</v>
      </c>
      <c r="C487" s="9">
        <v>29.0</v>
      </c>
      <c r="D487" s="10" t="s">
        <v>147</v>
      </c>
      <c r="E487" s="9">
        <v>3.0</v>
      </c>
      <c r="F487" s="9">
        <v>64.0</v>
      </c>
      <c r="G487" s="9">
        <v>192.0</v>
      </c>
      <c r="H487" s="9">
        <v>0.0</v>
      </c>
      <c r="I487" s="9">
        <v>0.0</v>
      </c>
      <c r="J487" s="9">
        <v>64.0</v>
      </c>
      <c r="K487" s="9">
        <v>192.0</v>
      </c>
      <c r="L487" s="9">
        <v>2.25</v>
      </c>
      <c r="M487" s="9">
        <v>144.0</v>
      </c>
      <c r="N487" s="9">
        <v>48.0</v>
      </c>
      <c r="O487" s="12">
        <v>45901.0</v>
      </c>
      <c r="P487" s="15"/>
      <c r="Q487" s="14"/>
      <c r="R487" s="14"/>
    </row>
    <row r="488">
      <c r="A488" s="9">
        <v>2.411000046E9</v>
      </c>
      <c r="B488" s="10" t="s">
        <v>21</v>
      </c>
      <c r="C488" s="9">
        <v>30.0</v>
      </c>
      <c r="D488" s="10" t="s">
        <v>148</v>
      </c>
      <c r="E488" s="9">
        <v>5.0</v>
      </c>
      <c r="F488" s="9">
        <v>21.0</v>
      </c>
      <c r="G488" s="9">
        <v>105.0</v>
      </c>
      <c r="H488" s="9">
        <v>0.0</v>
      </c>
      <c r="I488" s="9">
        <v>0.0</v>
      </c>
      <c r="J488" s="9">
        <v>21.0</v>
      </c>
      <c r="K488" s="9">
        <v>105.0</v>
      </c>
      <c r="L488" s="9">
        <v>3.6</v>
      </c>
      <c r="M488" s="9">
        <v>75.6</v>
      </c>
      <c r="N488" s="9">
        <v>29.4</v>
      </c>
      <c r="O488" s="12">
        <v>45901.0</v>
      </c>
      <c r="P488" s="15"/>
      <c r="Q488" s="14"/>
      <c r="R488" s="14"/>
    </row>
    <row r="489">
      <c r="A489" s="9">
        <v>2.411000046E9</v>
      </c>
      <c r="B489" s="10" t="s">
        <v>21</v>
      </c>
      <c r="C489" s="9">
        <v>32.0</v>
      </c>
      <c r="D489" s="10" t="s">
        <v>150</v>
      </c>
      <c r="E489" s="9">
        <v>3.0</v>
      </c>
      <c r="F489" s="9">
        <v>49.0</v>
      </c>
      <c r="G489" s="9">
        <v>147.0</v>
      </c>
      <c r="H489" s="9">
        <v>0.0</v>
      </c>
      <c r="I489" s="9">
        <v>0.0</v>
      </c>
      <c r="J489" s="9">
        <v>49.0</v>
      </c>
      <c r="K489" s="9">
        <v>147.0</v>
      </c>
      <c r="L489" s="9">
        <v>2.0</v>
      </c>
      <c r="M489" s="9">
        <v>98.0</v>
      </c>
      <c r="N489" s="9">
        <v>49.0</v>
      </c>
      <c r="O489" s="12">
        <v>45901.0</v>
      </c>
      <c r="P489" s="15"/>
      <c r="Q489" s="14"/>
      <c r="R489" s="14"/>
    </row>
    <row r="490">
      <c r="A490" s="9">
        <v>2.411000046E9</v>
      </c>
      <c r="B490" s="10" t="s">
        <v>21</v>
      </c>
      <c r="C490" s="9">
        <v>32.0</v>
      </c>
      <c r="D490" s="10" t="s">
        <v>150</v>
      </c>
      <c r="E490" s="9">
        <v>3.0</v>
      </c>
      <c r="F490" s="9">
        <v>2.0</v>
      </c>
      <c r="G490" s="9">
        <v>6.0</v>
      </c>
      <c r="H490" s="9">
        <v>0.0</v>
      </c>
      <c r="I490" s="9">
        <v>0.0</v>
      </c>
      <c r="J490" s="9">
        <v>2.0</v>
      </c>
      <c r="K490" s="9">
        <v>6.0</v>
      </c>
      <c r="L490" s="9">
        <v>2.0</v>
      </c>
      <c r="M490" s="9">
        <v>4.0</v>
      </c>
      <c r="N490" s="9">
        <v>2.0</v>
      </c>
      <c r="O490" s="12">
        <v>45901.0</v>
      </c>
      <c r="P490" s="15"/>
      <c r="Q490" s="14"/>
      <c r="R490" s="14"/>
    </row>
    <row r="491">
      <c r="A491" s="9">
        <v>2.411000046E9</v>
      </c>
      <c r="B491" s="10" t="s">
        <v>21</v>
      </c>
      <c r="C491" s="9">
        <v>33.0</v>
      </c>
      <c r="D491" s="10" t="s">
        <v>151</v>
      </c>
      <c r="E491" s="9">
        <v>3.0</v>
      </c>
      <c r="F491" s="9">
        <v>11.0</v>
      </c>
      <c r="G491" s="9">
        <v>33.0</v>
      </c>
      <c r="H491" s="9">
        <v>0.0</v>
      </c>
      <c r="I491" s="9">
        <v>0.0</v>
      </c>
      <c r="J491" s="9">
        <v>11.0</v>
      </c>
      <c r="K491" s="9">
        <v>33.0</v>
      </c>
      <c r="L491" s="9">
        <v>1.33</v>
      </c>
      <c r="M491" s="9">
        <v>14.63</v>
      </c>
      <c r="N491" s="9">
        <v>18.37</v>
      </c>
      <c r="O491" s="12">
        <v>45901.0</v>
      </c>
      <c r="P491" s="15"/>
      <c r="Q491" s="14"/>
      <c r="R491" s="14"/>
    </row>
    <row r="492">
      <c r="A492" s="9">
        <v>2.411000046E9</v>
      </c>
      <c r="B492" s="10" t="s">
        <v>21</v>
      </c>
      <c r="C492" s="9">
        <v>36.0</v>
      </c>
      <c r="D492" s="10" t="s">
        <v>153</v>
      </c>
      <c r="E492" s="9">
        <v>3.0</v>
      </c>
      <c r="F492" s="9">
        <v>13.0</v>
      </c>
      <c r="G492" s="9">
        <v>39.0</v>
      </c>
      <c r="H492" s="9">
        <v>0.0</v>
      </c>
      <c r="I492" s="9">
        <v>0.0</v>
      </c>
      <c r="J492" s="9">
        <v>13.0</v>
      </c>
      <c r="K492" s="9">
        <v>39.0</v>
      </c>
      <c r="L492" s="9">
        <v>2.0</v>
      </c>
      <c r="M492" s="9">
        <v>26.0</v>
      </c>
      <c r="N492" s="9">
        <v>13.0</v>
      </c>
      <c r="O492" s="12">
        <v>45901.0</v>
      </c>
      <c r="P492" s="15"/>
      <c r="Q492" s="14"/>
      <c r="R492" s="14"/>
    </row>
    <row r="493">
      <c r="A493" s="9">
        <v>2.411000046E9</v>
      </c>
      <c r="B493" s="10" t="s">
        <v>21</v>
      </c>
      <c r="C493" s="9">
        <v>37.0</v>
      </c>
      <c r="D493" s="10" t="s">
        <v>154</v>
      </c>
      <c r="E493" s="9">
        <v>1.0</v>
      </c>
      <c r="F493" s="9">
        <v>70.0</v>
      </c>
      <c r="G493" s="9">
        <v>70.0</v>
      </c>
      <c r="H493" s="9">
        <v>0.0</v>
      </c>
      <c r="I493" s="9">
        <v>0.0</v>
      </c>
      <c r="J493" s="9">
        <v>70.0</v>
      </c>
      <c r="K493" s="9">
        <v>70.0</v>
      </c>
      <c r="L493" s="9">
        <v>0.63</v>
      </c>
      <c r="M493" s="9">
        <v>44.1</v>
      </c>
      <c r="N493" s="9">
        <v>25.9</v>
      </c>
      <c r="O493" s="12">
        <v>45901.0</v>
      </c>
      <c r="P493" s="15"/>
      <c r="Q493" s="14"/>
      <c r="R493" s="14"/>
    </row>
    <row r="494">
      <c r="A494" s="9">
        <v>2.411000046E9</v>
      </c>
      <c r="B494" s="10" t="s">
        <v>21</v>
      </c>
      <c r="C494" s="9">
        <v>38.0</v>
      </c>
      <c r="D494" s="10" t="s">
        <v>155</v>
      </c>
      <c r="E494" s="9">
        <v>7.0</v>
      </c>
      <c r="F494" s="9">
        <v>26.0</v>
      </c>
      <c r="G494" s="9">
        <v>182.0</v>
      </c>
      <c r="H494" s="9">
        <v>0.0</v>
      </c>
      <c r="I494" s="9">
        <v>0.0</v>
      </c>
      <c r="J494" s="9">
        <v>26.0</v>
      </c>
      <c r="K494" s="9">
        <v>182.0</v>
      </c>
      <c r="L494" s="9">
        <v>5.18</v>
      </c>
      <c r="M494" s="9">
        <v>134.68</v>
      </c>
      <c r="N494" s="9">
        <v>47.32</v>
      </c>
      <c r="O494" s="12">
        <v>45901.0</v>
      </c>
      <c r="P494" s="15"/>
      <c r="Q494" s="14"/>
      <c r="R494" s="14"/>
    </row>
    <row r="495">
      <c r="A495" s="9">
        <v>2.411000046E9</v>
      </c>
      <c r="B495" s="10" t="s">
        <v>21</v>
      </c>
      <c r="C495" s="9">
        <v>40.0</v>
      </c>
      <c r="D495" s="10" t="s">
        <v>156</v>
      </c>
      <c r="E495" s="9">
        <v>5.0</v>
      </c>
      <c r="F495" s="9">
        <v>23.0</v>
      </c>
      <c r="G495" s="9">
        <v>110.0</v>
      </c>
      <c r="H495" s="9">
        <v>0.0</v>
      </c>
      <c r="I495" s="9">
        <v>0.0</v>
      </c>
      <c r="J495" s="9">
        <v>23.0</v>
      </c>
      <c r="K495" s="9">
        <v>110.0</v>
      </c>
      <c r="L495" s="9">
        <v>3.63</v>
      </c>
      <c r="M495" s="9">
        <v>83.49</v>
      </c>
      <c r="N495" s="9">
        <v>26.51</v>
      </c>
      <c r="O495" s="12">
        <v>45901.0</v>
      </c>
      <c r="P495" s="15"/>
      <c r="Q495" s="14"/>
      <c r="R495" s="14"/>
    </row>
    <row r="496">
      <c r="A496" s="9">
        <v>2.411000046E9</v>
      </c>
      <c r="B496" s="10" t="s">
        <v>21</v>
      </c>
      <c r="C496" s="9">
        <v>41.0</v>
      </c>
      <c r="D496" s="10" t="s">
        <v>157</v>
      </c>
      <c r="E496" s="9">
        <v>5.0</v>
      </c>
      <c r="F496" s="9">
        <v>31.0</v>
      </c>
      <c r="G496" s="9">
        <v>155.0</v>
      </c>
      <c r="H496" s="9">
        <v>0.0</v>
      </c>
      <c r="I496" s="9">
        <v>0.0</v>
      </c>
      <c r="J496" s="9">
        <v>31.0</v>
      </c>
      <c r="K496" s="9">
        <v>155.0</v>
      </c>
      <c r="L496" s="9">
        <v>3.25</v>
      </c>
      <c r="M496" s="9">
        <v>100.75</v>
      </c>
      <c r="N496" s="9">
        <v>54.25</v>
      </c>
      <c r="O496" s="12">
        <v>45901.0</v>
      </c>
      <c r="P496" s="15"/>
      <c r="Q496" s="14"/>
      <c r="R496" s="14"/>
    </row>
    <row r="497">
      <c r="A497" s="9">
        <v>2.411000046E9</v>
      </c>
      <c r="B497" s="10" t="s">
        <v>21</v>
      </c>
      <c r="C497" s="9">
        <v>42.0</v>
      </c>
      <c r="D497" s="10" t="s">
        <v>70</v>
      </c>
      <c r="E497" s="9">
        <v>4.0</v>
      </c>
      <c r="F497" s="9">
        <v>2.0</v>
      </c>
      <c r="G497" s="9">
        <v>8.0</v>
      </c>
      <c r="H497" s="9">
        <v>0.0</v>
      </c>
      <c r="I497" s="9">
        <v>0.0</v>
      </c>
      <c r="J497" s="9">
        <v>2.0</v>
      </c>
      <c r="K497" s="9">
        <v>8.0</v>
      </c>
      <c r="L497" s="9">
        <v>2.96</v>
      </c>
      <c r="M497" s="9">
        <v>5.92</v>
      </c>
      <c r="N497" s="9">
        <v>2.08</v>
      </c>
      <c r="O497" s="12">
        <v>45901.0</v>
      </c>
      <c r="P497" s="15"/>
      <c r="Q497" s="14"/>
      <c r="R497" s="14"/>
    </row>
    <row r="498">
      <c r="A498" s="9">
        <v>2.411000046E9</v>
      </c>
      <c r="B498" s="10" t="s">
        <v>21</v>
      </c>
      <c r="C498" s="9">
        <v>43.0</v>
      </c>
      <c r="D498" s="10" t="s">
        <v>159</v>
      </c>
      <c r="E498" s="9">
        <v>5.0</v>
      </c>
      <c r="F498" s="9">
        <v>46.0</v>
      </c>
      <c r="G498" s="9">
        <v>230.0</v>
      </c>
      <c r="H498" s="9">
        <v>0.0</v>
      </c>
      <c r="I498" s="9">
        <v>0.0</v>
      </c>
      <c r="J498" s="9">
        <v>46.0</v>
      </c>
      <c r="K498" s="9">
        <v>230.0</v>
      </c>
      <c r="L498" s="9">
        <v>2.33</v>
      </c>
      <c r="M498" s="9">
        <v>107.18</v>
      </c>
      <c r="N498" s="9">
        <v>122.82</v>
      </c>
      <c r="O498" s="12">
        <v>45901.0</v>
      </c>
      <c r="P498" s="15"/>
      <c r="Q498" s="14"/>
      <c r="R498" s="14"/>
    </row>
    <row r="499">
      <c r="A499" s="9">
        <v>2.411000046E9</v>
      </c>
      <c r="B499" s="10" t="s">
        <v>21</v>
      </c>
      <c r="C499" s="9">
        <v>44.0</v>
      </c>
      <c r="D499" s="10" t="s">
        <v>160</v>
      </c>
      <c r="E499" s="9">
        <v>5.0</v>
      </c>
      <c r="F499" s="9">
        <v>34.0</v>
      </c>
      <c r="G499" s="9">
        <v>170.0</v>
      </c>
      <c r="H499" s="9">
        <v>0.0</v>
      </c>
      <c r="I499" s="9">
        <v>0.0</v>
      </c>
      <c r="J499" s="9">
        <v>34.0</v>
      </c>
      <c r="K499" s="9">
        <v>170.0</v>
      </c>
      <c r="L499" s="9">
        <v>4.13</v>
      </c>
      <c r="M499" s="9">
        <v>140.42</v>
      </c>
      <c r="N499" s="9">
        <v>29.58</v>
      </c>
      <c r="O499" s="12">
        <v>45901.0</v>
      </c>
      <c r="P499" s="15"/>
      <c r="Q499" s="14"/>
      <c r="R499" s="14"/>
    </row>
    <row r="500">
      <c r="A500" s="9">
        <v>2.411000046E9</v>
      </c>
      <c r="B500" s="10" t="s">
        <v>21</v>
      </c>
      <c r="C500" s="9">
        <v>48.0</v>
      </c>
      <c r="D500" s="10" t="s">
        <v>163</v>
      </c>
      <c r="E500" s="9">
        <v>4.0</v>
      </c>
      <c r="F500" s="9">
        <v>23.0</v>
      </c>
      <c r="G500" s="9">
        <v>92.0</v>
      </c>
      <c r="H500" s="9">
        <v>0.0</v>
      </c>
      <c r="I500" s="9">
        <v>0.0</v>
      </c>
      <c r="J500" s="9">
        <v>23.0</v>
      </c>
      <c r="K500" s="9">
        <v>92.0</v>
      </c>
      <c r="L500" s="9">
        <v>3.0</v>
      </c>
      <c r="M500" s="9">
        <v>69.0</v>
      </c>
      <c r="N500" s="9">
        <v>23.0</v>
      </c>
      <c r="O500" s="12">
        <v>45901.0</v>
      </c>
      <c r="P500" s="15"/>
      <c r="Q500" s="14"/>
      <c r="R500" s="14"/>
    </row>
    <row r="501">
      <c r="A501" s="9">
        <v>2.411000046E9</v>
      </c>
      <c r="B501" s="10" t="s">
        <v>21</v>
      </c>
      <c r="C501" s="9">
        <v>50.0</v>
      </c>
      <c r="D501" s="10" t="s">
        <v>166</v>
      </c>
      <c r="E501" s="9">
        <v>4.0</v>
      </c>
      <c r="F501" s="9">
        <v>2.0</v>
      </c>
      <c r="G501" s="9">
        <v>8.0</v>
      </c>
      <c r="H501" s="9">
        <v>0.0</v>
      </c>
      <c r="I501" s="9">
        <v>0.0</v>
      </c>
      <c r="J501" s="9">
        <v>2.0</v>
      </c>
      <c r="K501" s="9">
        <v>8.0</v>
      </c>
      <c r="L501" s="9">
        <v>2.62</v>
      </c>
      <c r="M501" s="9">
        <v>5.24</v>
      </c>
      <c r="N501" s="9">
        <v>2.76</v>
      </c>
      <c r="O501" s="12">
        <v>45901.0</v>
      </c>
      <c r="P501" s="15"/>
      <c r="Q501" s="14"/>
      <c r="R501" s="14"/>
    </row>
    <row r="502">
      <c r="A502" s="9">
        <v>2.411000046E9</v>
      </c>
      <c r="B502" s="10" t="s">
        <v>21</v>
      </c>
      <c r="C502" s="9">
        <v>51.0</v>
      </c>
      <c r="D502" s="10" t="s">
        <v>164</v>
      </c>
      <c r="E502" s="9">
        <v>2.0</v>
      </c>
      <c r="F502" s="9">
        <v>4.0</v>
      </c>
      <c r="G502" s="9">
        <v>8.0</v>
      </c>
      <c r="H502" s="9">
        <v>0.0</v>
      </c>
      <c r="I502" s="9">
        <v>0.0</v>
      </c>
      <c r="J502" s="9">
        <v>4.0</v>
      </c>
      <c r="K502" s="9">
        <v>8.0</v>
      </c>
      <c r="L502" s="9">
        <v>1.0</v>
      </c>
      <c r="M502" s="9">
        <v>4.0</v>
      </c>
      <c r="N502" s="9">
        <v>4.0</v>
      </c>
      <c r="O502" s="12">
        <v>45901.0</v>
      </c>
      <c r="P502" s="15"/>
      <c r="Q502" s="14"/>
      <c r="R502" s="14"/>
    </row>
    <row r="503">
      <c r="A503" s="9">
        <v>2.411000046E9</v>
      </c>
      <c r="B503" s="10" t="s">
        <v>21</v>
      </c>
      <c r="C503" s="9">
        <v>53.0</v>
      </c>
      <c r="D503" s="10" t="s">
        <v>167</v>
      </c>
      <c r="E503" s="9">
        <v>3.0</v>
      </c>
      <c r="F503" s="9">
        <v>10.0</v>
      </c>
      <c r="G503" s="9">
        <v>30.0</v>
      </c>
      <c r="H503" s="9">
        <v>0.0</v>
      </c>
      <c r="I503" s="9">
        <v>0.0</v>
      </c>
      <c r="J503" s="9">
        <v>10.0</v>
      </c>
      <c r="K503" s="9">
        <v>30.0</v>
      </c>
      <c r="L503" s="9">
        <v>2.25</v>
      </c>
      <c r="M503" s="9">
        <v>22.5</v>
      </c>
      <c r="N503" s="9">
        <v>7.5</v>
      </c>
      <c r="O503" s="12">
        <v>45901.0</v>
      </c>
      <c r="P503" s="15"/>
      <c r="Q503" s="14"/>
      <c r="R503" s="14"/>
    </row>
    <row r="504">
      <c r="A504" s="9">
        <v>2.411000046E9</v>
      </c>
      <c r="B504" s="10" t="s">
        <v>21</v>
      </c>
      <c r="C504" s="9">
        <v>54.0</v>
      </c>
      <c r="D504" s="10" t="s">
        <v>168</v>
      </c>
      <c r="E504" s="9">
        <v>3.0</v>
      </c>
      <c r="F504" s="9">
        <v>14.0</v>
      </c>
      <c r="G504" s="9">
        <v>42.0</v>
      </c>
      <c r="H504" s="9">
        <v>0.0</v>
      </c>
      <c r="I504" s="9">
        <v>0.0</v>
      </c>
      <c r="J504" s="9">
        <v>14.0</v>
      </c>
      <c r="K504" s="9">
        <v>42.0</v>
      </c>
      <c r="L504" s="9">
        <v>2.25</v>
      </c>
      <c r="M504" s="9">
        <v>31.5</v>
      </c>
      <c r="N504" s="9">
        <v>10.5</v>
      </c>
      <c r="O504" s="12">
        <v>45901.0</v>
      </c>
      <c r="P504" s="15"/>
      <c r="R504" s="14"/>
    </row>
    <row r="505">
      <c r="A505" s="9">
        <v>2.411000046E9</v>
      </c>
      <c r="B505" s="10" t="s">
        <v>21</v>
      </c>
      <c r="C505" s="9">
        <v>55.0</v>
      </c>
      <c r="D505" s="10" t="s">
        <v>169</v>
      </c>
      <c r="E505" s="9">
        <v>5.0</v>
      </c>
      <c r="F505" s="9">
        <v>6.0</v>
      </c>
      <c r="G505" s="9">
        <v>30.0</v>
      </c>
      <c r="H505" s="9">
        <v>0.0</v>
      </c>
      <c r="I505" s="9">
        <v>0.0</v>
      </c>
      <c r="J505" s="9">
        <v>6.0</v>
      </c>
      <c r="K505" s="9">
        <v>30.0</v>
      </c>
      <c r="L505" s="9">
        <v>3.25</v>
      </c>
      <c r="M505" s="9">
        <v>19.5</v>
      </c>
      <c r="N505" s="9">
        <v>10.5</v>
      </c>
      <c r="O505" s="12">
        <v>45901.0</v>
      </c>
      <c r="P505" s="15"/>
      <c r="Q505" s="14"/>
      <c r="R505" s="14"/>
    </row>
    <row r="506">
      <c r="A506" s="9">
        <v>2.411000046E9</v>
      </c>
      <c r="B506" s="10" t="s">
        <v>21</v>
      </c>
      <c r="C506" s="9">
        <v>56.0</v>
      </c>
      <c r="D506" s="10" t="s">
        <v>170</v>
      </c>
      <c r="E506" s="9">
        <v>7.0</v>
      </c>
      <c r="F506" s="9">
        <v>6.0</v>
      </c>
      <c r="G506" s="9">
        <v>37.0</v>
      </c>
      <c r="H506" s="9">
        <v>0.0</v>
      </c>
      <c r="I506" s="9">
        <v>0.0</v>
      </c>
      <c r="J506" s="9">
        <v>6.0</v>
      </c>
      <c r="K506" s="9">
        <v>37.0</v>
      </c>
      <c r="L506" s="9">
        <v>4.7</v>
      </c>
      <c r="M506" s="9">
        <v>28.2</v>
      </c>
      <c r="N506" s="9">
        <v>8.8</v>
      </c>
      <c r="O506" s="12">
        <v>45901.0</v>
      </c>
      <c r="P506" s="15"/>
      <c r="Q506" s="14"/>
      <c r="R506" s="14"/>
    </row>
    <row r="507">
      <c r="A507" s="9">
        <v>2.503000216E9</v>
      </c>
      <c r="B507" s="18" t="s">
        <v>23</v>
      </c>
      <c r="C507" s="9">
        <v>1.0</v>
      </c>
      <c r="D507" s="2" t="s">
        <v>129</v>
      </c>
      <c r="E507" s="9">
        <v>5.0</v>
      </c>
      <c r="F507" s="9">
        <v>120.0</v>
      </c>
      <c r="G507" s="9">
        <v>600.0</v>
      </c>
      <c r="H507" s="9">
        <v>0.0</v>
      </c>
      <c r="I507" s="9">
        <v>0.0</v>
      </c>
      <c r="J507" s="9">
        <v>120.0</v>
      </c>
      <c r="K507" s="9">
        <v>600.0</v>
      </c>
      <c r="L507" s="9">
        <v>2.8</v>
      </c>
      <c r="M507" s="9">
        <v>336.0</v>
      </c>
      <c r="N507" s="9">
        <v>264.0</v>
      </c>
      <c r="O507" s="12">
        <v>45901.0</v>
      </c>
      <c r="P507" s="15"/>
      <c r="Q507" s="14"/>
      <c r="R507" s="14"/>
    </row>
    <row r="508">
      <c r="A508" s="9">
        <v>2.503000216E9</v>
      </c>
      <c r="B508" s="18" t="s">
        <v>23</v>
      </c>
      <c r="C508" s="9">
        <v>2.0</v>
      </c>
      <c r="D508" s="10" t="s">
        <v>74</v>
      </c>
      <c r="E508" s="9">
        <v>1.0</v>
      </c>
      <c r="F508" s="9">
        <v>1049.0</v>
      </c>
      <c r="G508" s="9">
        <v>1061.0</v>
      </c>
      <c r="H508" s="9">
        <v>0.0</v>
      </c>
      <c r="I508" s="9">
        <v>0.0</v>
      </c>
      <c r="J508" s="9">
        <v>1049.0</v>
      </c>
      <c r="K508" s="9">
        <v>1061.0</v>
      </c>
      <c r="L508" s="9">
        <v>0.3</v>
      </c>
      <c r="M508" s="9">
        <v>314.7</v>
      </c>
      <c r="N508" s="9">
        <v>746.3</v>
      </c>
      <c r="O508" s="12">
        <v>45901.0</v>
      </c>
      <c r="P508" s="15"/>
      <c r="Q508" s="14"/>
      <c r="R508" s="14"/>
    </row>
    <row r="509">
      <c r="A509" s="9">
        <v>2.503000216E9</v>
      </c>
      <c r="B509" s="18" t="s">
        <v>23</v>
      </c>
      <c r="C509" s="9">
        <v>3.0</v>
      </c>
      <c r="D509" s="10" t="s">
        <v>125</v>
      </c>
      <c r="E509" s="9">
        <v>7.0</v>
      </c>
      <c r="F509" s="9">
        <v>31.0</v>
      </c>
      <c r="G509" s="9">
        <v>186.0</v>
      </c>
      <c r="H509" s="9">
        <v>0.0</v>
      </c>
      <c r="I509" s="9">
        <v>0.0</v>
      </c>
      <c r="J509" s="9">
        <v>31.0</v>
      </c>
      <c r="K509" s="9">
        <v>186.0</v>
      </c>
      <c r="L509" s="9">
        <v>6.2</v>
      </c>
      <c r="M509" s="9">
        <v>192.2</v>
      </c>
      <c r="N509" s="9">
        <v>-6.2</v>
      </c>
      <c r="O509" s="12">
        <v>45901.0</v>
      </c>
      <c r="P509" s="15"/>
      <c r="Q509" s="14"/>
      <c r="R509" s="14"/>
    </row>
    <row r="510">
      <c r="A510" s="9">
        <v>2.503000216E9</v>
      </c>
      <c r="B510" s="18" t="s">
        <v>23</v>
      </c>
      <c r="C510" s="9">
        <v>5.0</v>
      </c>
      <c r="D510" s="10" t="s">
        <v>131</v>
      </c>
      <c r="E510" s="9">
        <v>3.0</v>
      </c>
      <c r="F510" s="9">
        <v>1.0</v>
      </c>
      <c r="G510" s="9">
        <v>2.0</v>
      </c>
      <c r="H510" s="9">
        <v>0.0</v>
      </c>
      <c r="I510" s="9">
        <v>0.0</v>
      </c>
      <c r="J510" s="9">
        <v>1.0</v>
      </c>
      <c r="K510" s="9">
        <v>2.0</v>
      </c>
      <c r="L510" s="9">
        <v>2.0</v>
      </c>
      <c r="M510" s="9">
        <v>2.0</v>
      </c>
      <c r="N510" s="9">
        <v>0.0</v>
      </c>
      <c r="O510" s="12">
        <v>45901.0</v>
      </c>
      <c r="P510" s="15"/>
      <c r="Q510" s="14"/>
      <c r="R510" s="14"/>
    </row>
    <row r="511">
      <c r="A511" s="9">
        <v>2.503000216E9</v>
      </c>
      <c r="B511" s="18" t="s">
        <v>23</v>
      </c>
      <c r="C511" s="9">
        <v>6.0</v>
      </c>
      <c r="D511" s="10" t="s">
        <v>109</v>
      </c>
      <c r="E511" s="9">
        <v>5.0</v>
      </c>
      <c r="F511" s="9">
        <v>174.0</v>
      </c>
      <c r="G511" s="9">
        <v>870.0</v>
      </c>
      <c r="H511" s="9">
        <v>0.0</v>
      </c>
      <c r="I511" s="9">
        <v>0.0</v>
      </c>
      <c r="J511" s="9">
        <v>174.0</v>
      </c>
      <c r="K511" s="9">
        <v>870.0</v>
      </c>
      <c r="L511" s="9">
        <v>3.08</v>
      </c>
      <c r="M511" s="9">
        <v>535.92</v>
      </c>
      <c r="N511" s="9">
        <v>334.08</v>
      </c>
      <c r="O511" s="12">
        <v>45901.0</v>
      </c>
      <c r="P511" s="15"/>
      <c r="Q511" s="14"/>
      <c r="R511" s="14"/>
    </row>
    <row r="512">
      <c r="A512" s="9">
        <v>2.503000216E9</v>
      </c>
      <c r="B512" s="18" t="s">
        <v>23</v>
      </c>
      <c r="C512" s="9">
        <v>9.0</v>
      </c>
      <c r="D512" s="10" t="s">
        <v>134</v>
      </c>
      <c r="E512" s="9">
        <v>3.0</v>
      </c>
      <c r="F512" s="9">
        <v>13.0</v>
      </c>
      <c r="G512" s="9">
        <v>39.0</v>
      </c>
      <c r="H512" s="9">
        <v>0.0</v>
      </c>
      <c r="I512" s="9">
        <v>0.0</v>
      </c>
      <c r="J512" s="9">
        <v>13.0</v>
      </c>
      <c r="K512" s="9">
        <v>39.0</v>
      </c>
      <c r="L512" s="9">
        <v>1.83</v>
      </c>
      <c r="M512" s="9">
        <v>23.79</v>
      </c>
      <c r="N512" s="9">
        <v>15.21</v>
      </c>
      <c r="O512" s="12">
        <v>45901.0</v>
      </c>
      <c r="P512" s="15"/>
      <c r="Q512" s="14"/>
      <c r="R512" s="14"/>
    </row>
    <row r="513">
      <c r="A513" s="9">
        <v>2.503000216E9</v>
      </c>
      <c r="B513" s="18" t="s">
        <v>23</v>
      </c>
      <c r="C513" s="9">
        <v>10.0</v>
      </c>
      <c r="D513" s="10" t="s">
        <v>135</v>
      </c>
      <c r="E513" s="9">
        <v>8.0</v>
      </c>
      <c r="F513" s="9">
        <v>18.0</v>
      </c>
      <c r="G513" s="9">
        <v>126.0</v>
      </c>
      <c r="H513" s="9">
        <v>0.0</v>
      </c>
      <c r="I513" s="9">
        <v>0.0</v>
      </c>
      <c r="J513" s="9">
        <v>18.0</v>
      </c>
      <c r="K513" s="9">
        <v>126.0</v>
      </c>
      <c r="L513" s="9">
        <v>5.83</v>
      </c>
      <c r="M513" s="9">
        <v>104.94</v>
      </c>
      <c r="N513" s="9">
        <v>21.06</v>
      </c>
      <c r="O513" s="12">
        <v>45901.0</v>
      </c>
      <c r="P513" s="15"/>
      <c r="Q513" s="14"/>
      <c r="R513" s="14"/>
    </row>
    <row r="514">
      <c r="A514" s="9">
        <v>2.503000216E9</v>
      </c>
      <c r="B514" s="18" t="s">
        <v>23</v>
      </c>
      <c r="C514" s="9">
        <v>11.0</v>
      </c>
      <c r="D514" s="10" t="s">
        <v>86</v>
      </c>
      <c r="E514" s="9">
        <v>5.0</v>
      </c>
      <c r="F514" s="9">
        <v>55.0</v>
      </c>
      <c r="G514" s="9">
        <v>275.0</v>
      </c>
      <c r="H514" s="9">
        <v>0.0</v>
      </c>
      <c r="I514" s="9">
        <v>0.0</v>
      </c>
      <c r="J514" s="9">
        <v>55.0</v>
      </c>
      <c r="K514" s="9">
        <v>275.0</v>
      </c>
      <c r="L514" s="9">
        <v>3.5</v>
      </c>
      <c r="M514" s="9">
        <v>192.5</v>
      </c>
      <c r="N514" s="9">
        <v>82.5</v>
      </c>
      <c r="O514" s="12">
        <v>45901.0</v>
      </c>
      <c r="P514" s="15"/>
      <c r="Q514" s="14"/>
      <c r="R514" s="14"/>
    </row>
    <row r="515">
      <c r="A515" s="9">
        <v>2.503000216E9</v>
      </c>
      <c r="B515" s="18" t="s">
        <v>23</v>
      </c>
      <c r="C515" s="9">
        <v>12.0</v>
      </c>
      <c r="D515" s="10" t="s">
        <v>136</v>
      </c>
      <c r="E515" s="9">
        <v>1.0</v>
      </c>
      <c r="F515" s="9">
        <v>333.0</v>
      </c>
      <c r="G515" s="9">
        <v>333.0</v>
      </c>
      <c r="H515" s="9">
        <v>0.0</v>
      </c>
      <c r="I515" s="9">
        <v>0.0</v>
      </c>
      <c r="J515" s="9">
        <v>333.0</v>
      </c>
      <c r="K515" s="9">
        <v>333.0</v>
      </c>
      <c r="L515" s="9">
        <v>0.6</v>
      </c>
      <c r="M515" s="9">
        <v>199.8</v>
      </c>
      <c r="N515" s="9">
        <v>133.2</v>
      </c>
      <c r="O515" s="12">
        <v>45901.0</v>
      </c>
      <c r="P515" s="15"/>
      <c r="Q515" s="14"/>
      <c r="R515" s="14"/>
    </row>
    <row r="516">
      <c r="A516" s="9">
        <v>2.503000216E9</v>
      </c>
      <c r="B516" s="18" t="s">
        <v>23</v>
      </c>
      <c r="C516" s="9">
        <v>14.0</v>
      </c>
      <c r="D516" s="10" t="s">
        <v>138</v>
      </c>
      <c r="E516" s="9">
        <v>7.0</v>
      </c>
      <c r="F516" s="9">
        <v>18.0</v>
      </c>
      <c r="G516" s="9">
        <v>108.0</v>
      </c>
      <c r="H516" s="9">
        <v>0.0</v>
      </c>
      <c r="I516" s="9">
        <v>0.0</v>
      </c>
      <c r="J516" s="9">
        <v>18.0</v>
      </c>
      <c r="K516" s="9">
        <v>108.0</v>
      </c>
      <c r="L516" s="9">
        <v>5.8</v>
      </c>
      <c r="M516" s="9">
        <v>104.4</v>
      </c>
      <c r="N516" s="9">
        <v>3.6</v>
      </c>
      <c r="O516" s="12">
        <v>45901.0</v>
      </c>
      <c r="P516" s="15"/>
      <c r="Q516" s="14"/>
      <c r="R516" s="14"/>
    </row>
    <row r="517">
      <c r="A517" s="9">
        <v>2.503000216E9</v>
      </c>
      <c r="B517" s="18" t="s">
        <v>23</v>
      </c>
      <c r="C517" s="9">
        <v>15.0</v>
      </c>
      <c r="D517" s="10" t="s">
        <v>55</v>
      </c>
      <c r="E517" s="9">
        <v>2.0</v>
      </c>
      <c r="F517" s="9">
        <v>239.0</v>
      </c>
      <c r="G517" s="9">
        <v>478.0</v>
      </c>
      <c r="H517" s="9">
        <v>0.0</v>
      </c>
      <c r="I517" s="9">
        <v>0.0</v>
      </c>
      <c r="J517" s="9">
        <v>239.0</v>
      </c>
      <c r="K517" s="9">
        <v>478.0</v>
      </c>
      <c r="L517" s="9">
        <v>1.54</v>
      </c>
      <c r="M517" s="9">
        <v>368.06</v>
      </c>
      <c r="N517" s="9">
        <v>109.94</v>
      </c>
      <c r="O517" s="12">
        <v>45901.0</v>
      </c>
      <c r="P517" s="15"/>
      <c r="Q517" s="14"/>
      <c r="R517" s="14"/>
    </row>
    <row r="518">
      <c r="A518" s="9">
        <v>2.503000216E9</v>
      </c>
      <c r="B518" s="18" t="s">
        <v>23</v>
      </c>
      <c r="C518" s="9">
        <v>17.0</v>
      </c>
      <c r="D518" s="10" t="s">
        <v>127</v>
      </c>
      <c r="E518" s="9">
        <v>12.0</v>
      </c>
      <c r="F518" s="9">
        <v>2.0</v>
      </c>
      <c r="G518" s="9">
        <v>10.0</v>
      </c>
      <c r="H518" s="9">
        <v>0.0</v>
      </c>
      <c r="I518" s="9">
        <v>0.0</v>
      </c>
      <c r="J518" s="9">
        <v>2.0</v>
      </c>
      <c r="K518" s="9">
        <v>10.0</v>
      </c>
      <c r="L518" s="9">
        <v>7.0</v>
      </c>
      <c r="M518" s="9">
        <v>14.0</v>
      </c>
      <c r="N518" s="9">
        <v>-4.0</v>
      </c>
      <c r="O518" s="12">
        <v>45901.0</v>
      </c>
      <c r="P518" s="15"/>
      <c r="Q518" s="14"/>
      <c r="R518" s="14"/>
    </row>
    <row r="519">
      <c r="A519" s="9">
        <v>2.503000216E9</v>
      </c>
      <c r="B519" s="18" t="s">
        <v>23</v>
      </c>
      <c r="C519" s="9">
        <v>19.0</v>
      </c>
      <c r="D519" s="10" t="s">
        <v>72</v>
      </c>
      <c r="E519" s="9">
        <v>2.0</v>
      </c>
      <c r="F519" s="9">
        <v>108.0</v>
      </c>
      <c r="G519" s="9">
        <v>216.0</v>
      </c>
      <c r="H519" s="9">
        <v>0.0</v>
      </c>
      <c r="I519" s="9">
        <v>0.0</v>
      </c>
      <c r="J519" s="9">
        <v>108.0</v>
      </c>
      <c r="K519" s="9">
        <v>216.0</v>
      </c>
      <c r="L519" s="9">
        <v>1.33</v>
      </c>
      <c r="M519" s="9">
        <v>143.64</v>
      </c>
      <c r="N519" s="9">
        <v>72.36</v>
      </c>
      <c r="O519" s="12">
        <v>45901.0</v>
      </c>
      <c r="P519" s="15"/>
      <c r="Q519" s="14"/>
      <c r="R519" s="14"/>
    </row>
    <row r="520">
      <c r="A520" s="9">
        <v>2.503000216E9</v>
      </c>
      <c r="B520" s="18" t="s">
        <v>23</v>
      </c>
      <c r="C520" s="9">
        <v>21.0</v>
      </c>
      <c r="D520" s="10" t="s">
        <v>79</v>
      </c>
      <c r="E520" s="9">
        <v>3.0</v>
      </c>
      <c r="F520" s="9">
        <v>39.0</v>
      </c>
      <c r="G520" s="9">
        <v>117.0</v>
      </c>
      <c r="H520" s="9">
        <v>0.0</v>
      </c>
      <c r="I520" s="9">
        <v>0.0</v>
      </c>
      <c r="J520" s="9">
        <v>39.0</v>
      </c>
      <c r="K520" s="9">
        <v>117.0</v>
      </c>
      <c r="L520" s="9">
        <v>2.2</v>
      </c>
      <c r="M520" s="9">
        <v>85.8</v>
      </c>
      <c r="N520" s="9">
        <v>31.2</v>
      </c>
      <c r="O520" s="12">
        <v>45901.0</v>
      </c>
      <c r="P520" s="15"/>
      <c r="Q520" s="14"/>
      <c r="R520" s="14"/>
    </row>
    <row r="521">
      <c r="A521" s="9">
        <v>2.503000216E9</v>
      </c>
      <c r="B521" s="18" t="s">
        <v>23</v>
      </c>
      <c r="C521" s="9">
        <v>22.0</v>
      </c>
      <c r="D521" s="10" t="s">
        <v>142</v>
      </c>
      <c r="E521" s="9">
        <v>5.0</v>
      </c>
      <c r="F521" s="9">
        <v>228.0</v>
      </c>
      <c r="G521" s="9">
        <v>671.0</v>
      </c>
      <c r="H521" s="9">
        <v>0.0</v>
      </c>
      <c r="I521" s="9">
        <v>0.0</v>
      </c>
      <c r="J521" s="9">
        <v>228.0</v>
      </c>
      <c r="K521" s="9">
        <v>671.0</v>
      </c>
      <c r="L521" s="9">
        <v>2.92</v>
      </c>
      <c r="M521" s="9">
        <v>665.76</v>
      </c>
      <c r="N521" s="9">
        <v>5.24</v>
      </c>
      <c r="O521" s="12">
        <v>45901.0</v>
      </c>
      <c r="P521" s="15"/>
      <c r="Q521" s="14"/>
      <c r="R521" s="14"/>
    </row>
    <row r="522">
      <c r="A522" s="9">
        <v>2.503000216E9</v>
      </c>
      <c r="B522" s="18" t="s">
        <v>23</v>
      </c>
      <c r="C522" s="9">
        <v>23.0</v>
      </c>
      <c r="D522" s="10" t="s">
        <v>143</v>
      </c>
      <c r="E522" s="9">
        <v>5.0</v>
      </c>
      <c r="F522" s="9">
        <v>15.0</v>
      </c>
      <c r="G522" s="9">
        <v>73.0</v>
      </c>
      <c r="H522" s="9">
        <v>0.0</v>
      </c>
      <c r="I522" s="9">
        <v>0.0</v>
      </c>
      <c r="J522" s="9">
        <v>15.0</v>
      </c>
      <c r="K522" s="9">
        <v>73.0</v>
      </c>
      <c r="L522" s="9">
        <v>3.41</v>
      </c>
      <c r="M522" s="9">
        <v>51.15</v>
      </c>
      <c r="N522" s="9">
        <v>21.85</v>
      </c>
      <c r="O522" s="12">
        <v>45901.0</v>
      </c>
      <c r="P522" s="15"/>
      <c r="Q522" s="14"/>
      <c r="R522" s="14"/>
    </row>
    <row r="523">
      <c r="A523" s="9">
        <v>2.503000216E9</v>
      </c>
      <c r="B523" s="18" t="s">
        <v>23</v>
      </c>
      <c r="C523" s="9">
        <v>25.0</v>
      </c>
      <c r="D523" s="10" t="s">
        <v>144</v>
      </c>
      <c r="E523" s="9">
        <v>5.0</v>
      </c>
      <c r="F523" s="9">
        <v>13.0</v>
      </c>
      <c r="G523" s="9">
        <v>65.0</v>
      </c>
      <c r="H523" s="9">
        <v>0.0</v>
      </c>
      <c r="I523" s="9">
        <v>0.0</v>
      </c>
      <c r="J523" s="9">
        <v>13.0</v>
      </c>
      <c r="K523" s="9">
        <v>65.0</v>
      </c>
      <c r="L523" s="9">
        <v>3.5</v>
      </c>
      <c r="M523" s="9">
        <v>45.5</v>
      </c>
      <c r="N523" s="9">
        <v>19.5</v>
      </c>
      <c r="O523" s="12">
        <v>45901.0</v>
      </c>
      <c r="P523" s="15"/>
      <c r="Q523" s="14"/>
      <c r="R523" s="14"/>
    </row>
    <row r="524">
      <c r="A524" s="9">
        <v>2.503000216E9</v>
      </c>
      <c r="B524" s="18" t="s">
        <v>23</v>
      </c>
      <c r="C524" s="9">
        <v>26.0</v>
      </c>
      <c r="D524" s="10" t="s">
        <v>145</v>
      </c>
      <c r="E524" s="9">
        <v>5.0</v>
      </c>
      <c r="F524" s="9">
        <v>10.0</v>
      </c>
      <c r="G524" s="9">
        <v>50.0</v>
      </c>
      <c r="H524" s="9">
        <v>0.0</v>
      </c>
      <c r="I524" s="9">
        <v>0.0</v>
      </c>
      <c r="J524" s="9">
        <v>10.0</v>
      </c>
      <c r="K524" s="9">
        <v>50.0</v>
      </c>
      <c r="L524" s="9">
        <v>3.75</v>
      </c>
      <c r="M524" s="9">
        <v>37.5</v>
      </c>
      <c r="N524" s="9">
        <v>12.5</v>
      </c>
      <c r="O524" s="12">
        <v>45901.0</v>
      </c>
      <c r="P524" s="15"/>
      <c r="Q524" s="14"/>
      <c r="R524" s="14"/>
    </row>
    <row r="525">
      <c r="A525" s="9">
        <v>2.503000216E9</v>
      </c>
      <c r="B525" s="18" t="s">
        <v>23</v>
      </c>
      <c r="C525" s="9">
        <v>28.0</v>
      </c>
      <c r="D525" s="10" t="s">
        <v>146</v>
      </c>
      <c r="E525" s="9">
        <v>5.0</v>
      </c>
      <c r="F525" s="9">
        <v>13.0</v>
      </c>
      <c r="G525" s="9">
        <v>65.0</v>
      </c>
      <c r="H525" s="9">
        <v>0.0</v>
      </c>
      <c r="I525" s="9">
        <v>0.0</v>
      </c>
      <c r="J525" s="9">
        <v>13.0</v>
      </c>
      <c r="K525" s="9">
        <v>65.0</v>
      </c>
      <c r="L525" s="9">
        <v>4.5</v>
      </c>
      <c r="M525" s="9">
        <v>58.5</v>
      </c>
      <c r="N525" s="9">
        <v>6.5</v>
      </c>
      <c r="O525" s="12">
        <v>45901.0</v>
      </c>
      <c r="P525" s="15"/>
    </row>
    <row r="526">
      <c r="A526" s="9">
        <v>2.503000216E9</v>
      </c>
      <c r="B526" s="18" t="s">
        <v>23</v>
      </c>
      <c r="C526" s="9">
        <v>29.0</v>
      </c>
      <c r="D526" s="10" t="s">
        <v>147</v>
      </c>
      <c r="E526" s="9">
        <v>3.0</v>
      </c>
      <c r="F526" s="9">
        <v>84.0</v>
      </c>
      <c r="G526" s="9">
        <v>252.0</v>
      </c>
      <c r="H526" s="9">
        <v>0.0</v>
      </c>
      <c r="I526" s="9">
        <v>0.0</v>
      </c>
      <c r="J526" s="9">
        <v>84.0</v>
      </c>
      <c r="K526" s="9">
        <v>252.0</v>
      </c>
      <c r="L526" s="9">
        <v>2.25</v>
      </c>
      <c r="M526" s="9">
        <v>189.0</v>
      </c>
      <c r="N526" s="9">
        <v>63.0</v>
      </c>
      <c r="O526" s="12">
        <v>45901.0</v>
      </c>
      <c r="P526" s="15"/>
    </row>
    <row r="527">
      <c r="A527" s="9">
        <v>2.503000216E9</v>
      </c>
      <c r="B527" s="18" t="s">
        <v>23</v>
      </c>
      <c r="C527" s="9">
        <v>30.0</v>
      </c>
      <c r="D527" s="10" t="s">
        <v>148</v>
      </c>
      <c r="E527" s="9">
        <v>5.0</v>
      </c>
      <c r="F527" s="9">
        <v>8.0</v>
      </c>
      <c r="G527" s="9">
        <v>40.0</v>
      </c>
      <c r="H527" s="9">
        <v>0.0</v>
      </c>
      <c r="I527" s="9">
        <v>0.0</v>
      </c>
      <c r="J527" s="9">
        <v>8.0</v>
      </c>
      <c r="K527" s="9">
        <v>40.0</v>
      </c>
      <c r="L527" s="9">
        <v>3.6</v>
      </c>
      <c r="M527" s="9">
        <v>28.8</v>
      </c>
      <c r="N527" s="9">
        <v>11.2</v>
      </c>
      <c r="O527" s="12">
        <v>45901.0</v>
      </c>
      <c r="P527" s="15"/>
    </row>
    <row r="528">
      <c r="A528" s="9">
        <v>2.503000216E9</v>
      </c>
      <c r="B528" s="18" t="s">
        <v>23</v>
      </c>
      <c r="C528" s="9">
        <v>40.0</v>
      </c>
      <c r="D528" s="10" t="s">
        <v>156</v>
      </c>
      <c r="E528" s="9">
        <v>5.0</v>
      </c>
      <c r="F528" s="9">
        <v>7.0</v>
      </c>
      <c r="G528" s="9">
        <v>33.0</v>
      </c>
      <c r="H528" s="9">
        <v>0.0</v>
      </c>
      <c r="I528" s="9">
        <v>0.0</v>
      </c>
      <c r="J528" s="9">
        <v>7.0</v>
      </c>
      <c r="K528" s="9">
        <v>33.0</v>
      </c>
      <c r="L528" s="9">
        <v>3.63</v>
      </c>
      <c r="M528" s="9">
        <v>25.41</v>
      </c>
      <c r="N528" s="9">
        <v>7.59</v>
      </c>
      <c r="O528" s="12">
        <v>45901.0</v>
      </c>
      <c r="P528" s="15"/>
    </row>
    <row r="529">
      <c r="A529" s="9">
        <v>2.503000216E9</v>
      </c>
      <c r="B529" s="18" t="s">
        <v>23</v>
      </c>
      <c r="C529" s="9">
        <v>43.0</v>
      </c>
      <c r="D529" s="10" t="s">
        <v>159</v>
      </c>
      <c r="E529" s="9">
        <v>5.0</v>
      </c>
      <c r="F529" s="9">
        <v>29.0</v>
      </c>
      <c r="G529" s="9">
        <v>145.0</v>
      </c>
      <c r="H529" s="9">
        <v>0.0</v>
      </c>
      <c r="I529" s="9">
        <v>0.0</v>
      </c>
      <c r="J529" s="9">
        <v>29.0</v>
      </c>
      <c r="K529" s="9">
        <v>145.0</v>
      </c>
      <c r="L529" s="9">
        <v>2.33</v>
      </c>
      <c r="M529" s="9">
        <v>67.57</v>
      </c>
      <c r="N529" s="9">
        <v>77.43</v>
      </c>
      <c r="O529" s="12">
        <v>45901.0</v>
      </c>
      <c r="P529" s="15"/>
    </row>
    <row r="530">
      <c r="A530" s="9">
        <v>2.503000216E9</v>
      </c>
      <c r="B530" s="18" t="s">
        <v>23</v>
      </c>
      <c r="C530" s="9">
        <v>48.0</v>
      </c>
      <c r="D530" s="10" t="s">
        <v>163</v>
      </c>
      <c r="E530" s="9">
        <v>4.0</v>
      </c>
      <c r="F530" s="9">
        <v>20.0</v>
      </c>
      <c r="G530" s="9">
        <v>80.0</v>
      </c>
      <c r="H530" s="9">
        <v>0.0</v>
      </c>
      <c r="I530" s="9">
        <v>0.0</v>
      </c>
      <c r="J530" s="9">
        <v>20.0</v>
      </c>
      <c r="K530" s="9">
        <v>80.0</v>
      </c>
      <c r="L530" s="9">
        <v>3.0</v>
      </c>
      <c r="M530" s="9">
        <v>60.0</v>
      </c>
      <c r="N530" s="9">
        <v>20.0</v>
      </c>
      <c r="O530" s="12">
        <v>45901.0</v>
      </c>
      <c r="P530" s="15"/>
    </row>
    <row r="531">
      <c r="A531" s="9">
        <v>2.503000216E9</v>
      </c>
      <c r="B531" s="18" t="s">
        <v>23</v>
      </c>
      <c r="C531" s="9">
        <v>49.0</v>
      </c>
      <c r="D531" s="10" t="s">
        <v>165</v>
      </c>
      <c r="E531" s="9">
        <v>3.0</v>
      </c>
      <c r="F531" s="9">
        <v>53.0</v>
      </c>
      <c r="G531" s="9">
        <v>159.0</v>
      </c>
      <c r="H531" s="9">
        <v>0.0</v>
      </c>
      <c r="I531" s="9">
        <v>0.0</v>
      </c>
      <c r="J531" s="9">
        <v>53.0</v>
      </c>
      <c r="K531" s="9">
        <v>159.0</v>
      </c>
      <c r="L531" s="9">
        <v>1.75</v>
      </c>
      <c r="M531" s="9">
        <v>92.75</v>
      </c>
      <c r="N531" s="9">
        <v>66.25</v>
      </c>
      <c r="O531" s="12">
        <v>45901.0</v>
      </c>
      <c r="P531" s="15"/>
    </row>
    <row r="532">
      <c r="A532" s="9">
        <v>2.503000216E9</v>
      </c>
      <c r="B532" s="18" t="s">
        <v>23</v>
      </c>
      <c r="C532" s="9">
        <v>53.0</v>
      </c>
      <c r="D532" s="10" t="s">
        <v>167</v>
      </c>
      <c r="E532" s="9">
        <v>3.0</v>
      </c>
      <c r="F532" s="9">
        <v>27.0</v>
      </c>
      <c r="G532" s="9">
        <v>81.0</v>
      </c>
      <c r="H532" s="9">
        <v>0.0</v>
      </c>
      <c r="I532" s="9">
        <v>0.0</v>
      </c>
      <c r="J532" s="9">
        <v>27.0</v>
      </c>
      <c r="K532" s="9">
        <v>81.0</v>
      </c>
      <c r="L532" s="9">
        <v>2.25</v>
      </c>
      <c r="M532" s="9">
        <v>60.75</v>
      </c>
      <c r="N532" s="9">
        <v>20.25</v>
      </c>
      <c r="O532" s="12">
        <v>45901.0</v>
      </c>
      <c r="P532" s="15"/>
    </row>
    <row r="533">
      <c r="A533" s="9">
        <v>2.503000216E9</v>
      </c>
      <c r="B533" s="18" t="s">
        <v>23</v>
      </c>
      <c r="C533" s="9">
        <v>54.0</v>
      </c>
      <c r="D533" s="10" t="s">
        <v>168</v>
      </c>
      <c r="E533" s="9">
        <v>3.0</v>
      </c>
      <c r="F533" s="9">
        <v>27.0</v>
      </c>
      <c r="G533" s="9">
        <v>81.0</v>
      </c>
      <c r="H533" s="9">
        <v>0.0</v>
      </c>
      <c r="I533" s="9">
        <v>0.0</v>
      </c>
      <c r="J533" s="9">
        <v>27.0</v>
      </c>
      <c r="K533" s="9">
        <v>81.0</v>
      </c>
      <c r="L533" s="9">
        <v>2.25</v>
      </c>
      <c r="M533" s="9">
        <v>60.75</v>
      </c>
      <c r="N533" s="9">
        <v>20.25</v>
      </c>
      <c r="O533" s="12">
        <v>45901.0</v>
      </c>
      <c r="P533" s="15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9">
        <v>0.0</v>
      </c>
      <c r="K534" s="9">
        <v>0.0</v>
      </c>
      <c r="L534" s="9">
        <v>0.0</v>
      </c>
      <c r="M534" s="9">
        <v>0.0</v>
      </c>
      <c r="N534" s="9">
        <v>0.0</v>
      </c>
      <c r="O534" s="12">
        <v>45901.0</v>
      </c>
      <c r="P534" s="15"/>
    </row>
    <row r="535">
      <c r="A535" s="9">
        <v>2.503000217E9</v>
      </c>
      <c r="B535" s="10" t="s">
        <v>27</v>
      </c>
      <c r="C535" s="9">
        <v>2.0</v>
      </c>
      <c r="D535" s="10" t="s">
        <v>74</v>
      </c>
      <c r="E535" s="9">
        <v>1.0</v>
      </c>
      <c r="F535" s="9">
        <v>23.0</v>
      </c>
      <c r="G535" s="9">
        <v>23.0</v>
      </c>
      <c r="H535" s="9">
        <v>0.0</v>
      </c>
      <c r="I535" s="9">
        <v>0.0</v>
      </c>
      <c r="J535" s="9">
        <v>23.0</v>
      </c>
      <c r="K535" s="9">
        <v>23.0</v>
      </c>
      <c r="L535" s="9">
        <v>0.3</v>
      </c>
      <c r="M535" s="9">
        <v>6.9</v>
      </c>
      <c r="N535" s="9">
        <v>16.1</v>
      </c>
      <c r="O535" s="12">
        <v>45901.0</v>
      </c>
      <c r="P535" s="15"/>
    </row>
    <row r="536">
      <c r="A536" s="9">
        <v>2.503000217E9</v>
      </c>
      <c r="B536" s="10" t="s">
        <v>27</v>
      </c>
      <c r="C536" s="9">
        <v>4.0</v>
      </c>
      <c r="D536" s="10" t="s">
        <v>130</v>
      </c>
      <c r="E536" s="9">
        <v>8.0</v>
      </c>
      <c r="F536" s="9">
        <v>5.0</v>
      </c>
      <c r="G536" s="9">
        <v>15.0</v>
      </c>
      <c r="H536" s="9">
        <v>0.0</v>
      </c>
      <c r="I536" s="9">
        <v>0.0</v>
      </c>
      <c r="J536" s="9">
        <v>5.0</v>
      </c>
      <c r="K536" s="9">
        <v>15.0</v>
      </c>
      <c r="L536" s="9">
        <v>4.75</v>
      </c>
      <c r="M536" s="9">
        <v>23.75</v>
      </c>
      <c r="N536" s="9">
        <v>-8.75</v>
      </c>
      <c r="O536" s="12">
        <v>45901.0</v>
      </c>
      <c r="P536" s="15"/>
    </row>
    <row r="537">
      <c r="A537" s="9">
        <v>2.503000217E9</v>
      </c>
      <c r="B537" s="10" t="s">
        <v>27</v>
      </c>
      <c r="C537" s="9">
        <v>5.0</v>
      </c>
      <c r="D537" s="10" t="s">
        <v>131</v>
      </c>
      <c r="E537" s="9">
        <v>3.0</v>
      </c>
      <c r="F537" s="9">
        <v>5.0</v>
      </c>
      <c r="G537" s="9">
        <v>15.0</v>
      </c>
      <c r="H537" s="9">
        <v>0.0</v>
      </c>
      <c r="I537" s="9">
        <v>0.0</v>
      </c>
      <c r="J537" s="9">
        <v>5.0</v>
      </c>
      <c r="K537" s="9">
        <v>15.0</v>
      </c>
      <c r="L537" s="9">
        <v>2.0</v>
      </c>
      <c r="M537" s="9">
        <v>10.0</v>
      </c>
      <c r="N537" s="9">
        <v>5.0</v>
      </c>
      <c r="O537" s="12">
        <v>45901.0</v>
      </c>
      <c r="P537" s="15"/>
    </row>
    <row r="538">
      <c r="A538" s="9">
        <v>2.503000217E9</v>
      </c>
      <c r="B538" s="10" t="s">
        <v>27</v>
      </c>
      <c r="C538" s="9">
        <v>6.0</v>
      </c>
      <c r="D538" s="10" t="s">
        <v>109</v>
      </c>
      <c r="E538" s="9">
        <v>5.0</v>
      </c>
      <c r="F538" s="9">
        <v>8.0</v>
      </c>
      <c r="G538" s="9">
        <v>56.0</v>
      </c>
      <c r="H538" s="9">
        <v>0.0</v>
      </c>
      <c r="I538" s="9">
        <v>0.0</v>
      </c>
      <c r="J538" s="9">
        <v>8.0</v>
      </c>
      <c r="K538" s="9">
        <v>56.0</v>
      </c>
      <c r="L538" s="9">
        <v>3.08</v>
      </c>
      <c r="M538" s="9">
        <v>24.64</v>
      </c>
      <c r="N538" s="9">
        <v>31.36</v>
      </c>
      <c r="O538" s="12">
        <v>45901.0</v>
      </c>
      <c r="P538" s="15"/>
    </row>
    <row r="539">
      <c r="A539" s="9">
        <v>2.503000217E9</v>
      </c>
      <c r="B539" s="10" t="s">
        <v>27</v>
      </c>
      <c r="C539" s="9">
        <v>9.0</v>
      </c>
      <c r="D539" s="10" t="s">
        <v>134</v>
      </c>
      <c r="E539" s="9">
        <v>3.0</v>
      </c>
      <c r="F539" s="9">
        <v>1.0</v>
      </c>
      <c r="G539" s="9">
        <v>6.0</v>
      </c>
      <c r="H539" s="9">
        <v>0.0</v>
      </c>
      <c r="I539" s="9">
        <v>0.0</v>
      </c>
      <c r="J539" s="9">
        <v>1.0</v>
      </c>
      <c r="K539" s="9">
        <v>6.0</v>
      </c>
      <c r="L539" s="9">
        <v>1.83</v>
      </c>
      <c r="M539" s="9">
        <v>1.83</v>
      </c>
      <c r="N539" s="9">
        <v>4.17</v>
      </c>
      <c r="O539" s="12">
        <v>45901.0</v>
      </c>
      <c r="P539" s="15"/>
    </row>
    <row r="540">
      <c r="A540" s="9">
        <v>2.503000217E9</v>
      </c>
      <c r="B540" s="10" t="s">
        <v>27</v>
      </c>
      <c r="C540" s="9">
        <v>12.0</v>
      </c>
      <c r="D540" s="10" t="s">
        <v>136</v>
      </c>
      <c r="E540" s="9">
        <v>1.0</v>
      </c>
      <c r="F540" s="9">
        <v>8.0</v>
      </c>
      <c r="G540" s="9">
        <v>15.0</v>
      </c>
      <c r="H540" s="9">
        <v>0.0</v>
      </c>
      <c r="I540" s="9">
        <v>0.0</v>
      </c>
      <c r="J540" s="9">
        <v>8.0</v>
      </c>
      <c r="K540" s="9">
        <v>15.0</v>
      </c>
      <c r="L540" s="9">
        <v>0.6</v>
      </c>
      <c r="M540" s="9">
        <v>4.8</v>
      </c>
      <c r="N540" s="9">
        <v>10.2</v>
      </c>
      <c r="O540" s="12">
        <v>45901.0</v>
      </c>
      <c r="P540" s="15"/>
    </row>
    <row r="541">
      <c r="A541" s="9">
        <v>2.503000217E9</v>
      </c>
      <c r="B541" s="10" t="s">
        <v>27</v>
      </c>
      <c r="C541" s="9">
        <v>13.0</v>
      </c>
      <c r="D541" s="10" t="s">
        <v>137</v>
      </c>
      <c r="E541" s="9">
        <v>1.0</v>
      </c>
      <c r="F541" s="9">
        <v>4.0</v>
      </c>
      <c r="G541" s="9">
        <v>12.0</v>
      </c>
      <c r="H541" s="9">
        <v>0.0</v>
      </c>
      <c r="I541" s="9">
        <v>0.0</v>
      </c>
      <c r="J541" s="9">
        <v>4.0</v>
      </c>
      <c r="K541" s="9">
        <v>12.0</v>
      </c>
      <c r="L541" s="9">
        <v>0.7</v>
      </c>
      <c r="M541" s="9">
        <v>2.8</v>
      </c>
      <c r="N541" s="9">
        <v>9.2</v>
      </c>
      <c r="O541" s="12">
        <v>45901.0</v>
      </c>
      <c r="P541" s="15"/>
    </row>
    <row r="542">
      <c r="A542" s="9">
        <v>2.503000217E9</v>
      </c>
      <c r="B542" s="10" t="s">
        <v>27</v>
      </c>
      <c r="C542" s="9">
        <v>15.0</v>
      </c>
      <c r="D542" s="10" t="s">
        <v>55</v>
      </c>
      <c r="E542" s="9">
        <v>2.0</v>
      </c>
      <c r="F542" s="9">
        <v>3.0</v>
      </c>
      <c r="G542" s="9">
        <v>12.0</v>
      </c>
      <c r="H542" s="9">
        <v>0.0</v>
      </c>
      <c r="I542" s="9">
        <v>0.0</v>
      </c>
      <c r="J542" s="9">
        <v>3.0</v>
      </c>
      <c r="K542" s="9">
        <v>12.0</v>
      </c>
      <c r="L542" s="9">
        <v>1.54</v>
      </c>
      <c r="M542" s="9">
        <v>4.62</v>
      </c>
      <c r="N542" s="9">
        <v>7.38</v>
      </c>
      <c r="O542" s="12">
        <v>45901.0</v>
      </c>
      <c r="P542" s="15"/>
    </row>
    <row r="543">
      <c r="A543" s="9">
        <v>2.503000217E9</v>
      </c>
      <c r="B543" s="10" t="s">
        <v>27</v>
      </c>
      <c r="C543" s="9">
        <v>17.0</v>
      </c>
      <c r="D543" s="10" t="s">
        <v>127</v>
      </c>
      <c r="E543" s="9">
        <v>12.0</v>
      </c>
      <c r="F543" s="9">
        <v>1.0</v>
      </c>
      <c r="G543" s="9">
        <v>6.0</v>
      </c>
      <c r="H543" s="9">
        <v>0.0</v>
      </c>
      <c r="I543" s="9">
        <v>0.0</v>
      </c>
      <c r="J543" s="9">
        <v>1.0</v>
      </c>
      <c r="K543" s="9">
        <v>6.0</v>
      </c>
      <c r="L543" s="9">
        <v>7.0</v>
      </c>
      <c r="M543" s="9">
        <v>7.0</v>
      </c>
      <c r="N543" s="9">
        <v>-1.0</v>
      </c>
      <c r="O543" s="12">
        <v>45901.0</v>
      </c>
      <c r="P543" s="15"/>
    </row>
    <row r="544">
      <c r="A544" s="9">
        <v>2.503000217E9</v>
      </c>
      <c r="B544" s="10" t="s">
        <v>27</v>
      </c>
      <c r="C544" s="9">
        <v>19.0</v>
      </c>
      <c r="D544" s="10" t="s">
        <v>72</v>
      </c>
      <c r="E544" s="9">
        <v>2.0</v>
      </c>
      <c r="F544" s="9">
        <v>1.0</v>
      </c>
      <c r="G544" s="9">
        <v>2.0</v>
      </c>
      <c r="H544" s="9">
        <v>0.0</v>
      </c>
      <c r="I544" s="9">
        <v>0.0</v>
      </c>
      <c r="J544" s="9">
        <v>1.0</v>
      </c>
      <c r="K544" s="9">
        <v>2.0</v>
      </c>
      <c r="L544" s="9">
        <v>1.33</v>
      </c>
      <c r="M544" s="9">
        <v>1.33</v>
      </c>
      <c r="N544" s="9">
        <v>0.67</v>
      </c>
      <c r="O544" s="12">
        <v>45901.0</v>
      </c>
      <c r="P544" s="15"/>
    </row>
    <row r="545">
      <c r="A545" s="9">
        <v>2.503000217E9</v>
      </c>
      <c r="B545" s="10" t="s">
        <v>27</v>
      </c>
      <c r="C545" s="9">
        <v>20.0</v>
      </c>
      <c r="D545" s="10" t="s">
        <v>141</v>
      </c>
      <c r="E545" s="9">
        <v>5.0</v>
      </c>
      <c r="F545" s="9">
        <v>1.0</v>
      </c>
      <c r="G545" s="9">
        <v>12.0</v>
      </c>
      <c r="H545" s="9">
        <v>0.0</v>
      </c>
      <c r="I545" s="9">
        <v>0.0</v>
      </c>
      <c r="J545" s="9">
        <v>1.0</v>
      </c>
      <c r="K545" s="9">
        <v>12.0</v>
      </c>
      <c r="L545" s="9">
        <v>3.79</v>
      </c>
      <c r="M545" s="9">
        <v>3.79</v>
      </c>
      <c r="N545" s="9">
        <v>8.21</v>
      </c>
      <c r="O545" s="12">
        <v>45901.0</v>
      </c>
      <c r="P545" s="15"/>
    </row>
    <row r="546">
      <c r="A546" s="9">
        <v>2.503000217E9</v>
      </c>
      <c r="B546" s="10" t="s">
        <v>27</v>
      </c>
      <c r="C546" s="9">
        <v>22.0</v>
      </c>
      <c r="D546" s="10" t="s">
        <v>142</v>
      </c>
      <c r="E546" s="9">
        <v>5.0</v>
      </c>
      <c r="F546" s="9">
        <v>2.0</v>
      </c>
      <c r="G546" s="9">
        <v>6.0</v>
      </c>
      <c r="H546" s="9">
        <v>0.0</v>
      </c>
      <c r="I546" s="9">
        <v>0.0</v>
      </c>
      <c r="J546" s="9">
        <v>2.0</v>
      </c>
      <c r="K546" s="9">
        <v>6.0</v>
      </c>
      <c r="L546" s="9">
        <v>2.92</v>
      </c>
      <c r="M546" s="9">
        <v>5.84</v>
      </c>
      <c r="N546" s="9">
        <v>0.16</v>
      </c>
      <c r="O546" s="12">
        <v>45901.0</v>
      </c>
      <c r="P546" s="15"/>
    </row>
    <row r="547">
      <c r="A547" s="9">
        <v>2.503000217E9</v>
      </c>
      <c r="B547" s="10" t="s">
        <v>27</v>
      </c>
      <c r="C547" s="9">
        <v>59.0</v>
      </c>
      <c r="D547" s="10" t="s">
        <v>171</v>
      </c>
      <c r="E547" s="9">
        <v>2.0</v>
      </c>
      <c r="F547" s="9">
        <v>1.0</v>
      </c>
      <c r="G547" s="9">
        <v>2.0</v>
      </c>
      <c r="H547" s="9">
        <v>0.0</v>
      </c>
      <c r="I547" s="9">
        <v>0.0</v>
      </c>
      <c r="J547" s="9">
        <v>1.0</v>
      </c>
      <c r="K547" s="9">
        <v>2.0</v>
      </c>
      <c r="L547" s="9">
        <v>0.91</v>
      </c>
      <c r="M547" s="9">
        <v>0.91</v>
      </c>
      <c r="N547" s="9">
        <v>1.09</v>
      </c>
      <c r="O547" s="12">
        <v>45901.0</v>
      </c>
      <c r="P547" s="15"/>
    </row>
    <row r="548">
      <c r="A548" s="9">
        <v>2.503000217E9</v>
      </c>
      <c r="B548" s="10" t="s">
        <v>27</v>
      </c>
      <c r="C548" s="9">
        <v>60.0</v>
      </c>
      <c r="D548" s="10" t="s">
        <v>172</v>
      </c>
      <c r="E548" s="9">
        <v>6.0</v>
      </c>
      <c r="F548" s="9">
        <v>2.0</v>
      </c>
      <c r="G548" s="9">
        <v>12.0</v>
      </c>
      <c r="H548" s="9">
        <v>0.0</v>
      </c>
      <c r="I548" s="9">
        <v>0.0</v>
      </c>
      <c r="J548" s="9">
        <v>2.0</v>
      </c>
      <c r="K548" s="9">
        <v>12.0</v>
      </c>
      <c r="L548" s="9">
        <v>3.5</v>
      </c>
      <c r="M548" s="9">
        <v>7.0</v>
      </c>
      <c r="N548" s="9">
        <v>5.0</v>
      </c>
      <c r="O548" s="12">
        <v>45901.0</v>
      </c>
      <c r="P548" s="15"/>
    </row>
    <row r="549">
      <c r="A549" s="9">
        <v>2.503000217E9</v>
      </c>
      <c r="B549" s="10" t="s">
        <v>27</v>
      </c>
      <c r="C549" s="9">
        <v>64.0</v>
      </c>
      <c r="D549" s="10" t="s">
        <v>173</v>
      </c>
      <c r="E549" s="9">
        <v>3.0</v>
      </c>
      <c r="F549" s="9">
        <v>2.0</v>
      </c>
      <c r="G549" s="9">
        <v>6.0</v>
      </c>
      <c r="H549" s="9">
        <v>0.0</v>
      </c>
      <c r="I549" s="9">
        <v>0.0</v>
      </c>
      <c r="J549" s="9">
        <v>2.0</v>
      </c>
      <c r="K549" s="9">
        <v>6.0</v>
      </c>
      <c r="L549" s="9">
        <v>2.08</v>
      </c>
      <c r="M549" s="9">
        <v>4.16</v>
      </c>
      <c r="N549" s="9">
        <v>1.84</v>
      </c>
      <c r="O549" s="12">
        <v>45901.0</v>
      </c>
      <c r="P549" s="15"/>
    </row>
    <row r="550">
      <c r="A550" s="9">
        <v>2.404120076E9</v>
      </c>
      <c r="B550" s="10" t="s">
        <v>19</v>
      </c>
      <c r="C550" s="11"/>
      <c r="D550" s="10" t="s">
        <v>89</v>
      </c>
      <c r="E550" s="11"/>
      <c r="F550" s="9">
        <v>3.0</v>
      </c>
      <c r="G550" s="9">
        <v>15.0</v>
      </c>
      <c r="H550" s="11"/>
      <c r="I550" s="11"/>
      <c r="J550" s="9">
        <v>3.0</v>
      </c>
      <c r="K550" s="9">
        <v>15.0</v>
      </c>
      <c r="L550" s="9">
        <v>0.0</v>
      </c>
      <c r="M550" s="9">
        <v>0.0</v>
      </c>
      <c r="N550" s="9">
        <v>15.0</v>
      </c>
      <c r="O550" s="12">
        <v>45901.0</v>
      </c>
      <c r="P550" s="15"/>
    </row>
    <row r="551">
      <c r="A551" s="9">
        <v>2.404120076E9</v>
      </c>
      <c r="B551" s="10" t="s">
        <v>19</v>
      </c>
      <c r="C551" s="11"/>
      <c r="D551" s="10" t="s">
        <v>55</v>
      </c>
      <c r="E551" s="11"/>
      <c r="F551" s="9">
        <v>83.0</v>
      </c>
      <c r="G551" s="9">
        <v>188.0</v>
      </c>
      <c r="H551" s="11"/>
      <c r="I551" s="11"/>
      <c r="J551" s="9">
        <v>83.0</v>
      </c>
      <c r="K551" s="9">
        <v>188.0</v>
      </c>
      <c r="L551" s="9">
        <v>0.0</v>
      </c>
      <c r="M551" s="9">
        <v>0.0</v>
      </c>
      <c r="N551" s="9">
        <v>188.0</v>
      </c>
      <c r="O551" s="12">
        <v>45901.0</v>
      </c>
      <c r="P551" s="15"/>
    </row>
    <row r="552">
      <c r="A552" s="9">
        <v>2.404120076E9</v>
      </c>
      <c r="B552" s="10" t="s">
        <v>19</v>
      </c>
      <c r="C552" s="11"/>
      <c r="D552" s="10" t="s">
        <v>92</v>
      </c>
      <c r="E552" s="11"/>
      <c r="F552" s="9">
        <v>19.0</v>
      </c>
      <c r="G552" s="9">
        <v>57.0</v>
      </c>
      <c r="H552" s="11"/>
      <c r="I552" s="11"/>
      <c r="J552" s="9">
        <v>19.0</v>
      </c>
      <c r="K552" s="9">
        <v>57.0</v>
      </c>
      <c r="L552" s="9">
        <v>0.0</v>
      </c>
      <c r="M552" s="9">
        <v>0.0</v>
      </c>
      <c r="N552" s="9">
        <v>57.0</v>
      </c>
      <c r="O552" s="12">
        <v>45901.0</v>
      </c>
      <c r="P552" s="15"/>
    </row>
    <row r="553">
      <c r="A553" s="9">
        <v>2.404120076E9</v>
      </c>
      <c r="B553" s="10" t="s">
        <v>19</v>
      </c>
      <c r="C553" s="11"/>
      <c r="D553" s="10" t="s">
        <v>109</v>
      </c>
      <c r="E553" s="11"/>
      <c r="F553" s="9">
        <v>88.0</v>
      </c>
      <c r="G553" s="9">
        <v>440.0</v>
      </c>
      <c r="H553" s="11"/>
      <c r="I553" s="11"/>
      <c r="J553" s="9">
        <v>88.0</v>
      </c>
      <c r="K553" s="9">
        <v>440.0</v>
      </c>
      <c r="L553" s="9">
        <v>0.0</v>
      </c>
      <c r="M553" s="9">
        <v>0.0</v>
      </c>
      <c r="N553" s="9">
        <v>440.0</v>
      </c>
      <c r="O553" s="12">
        <v>45901.0</v>
      </c>
      <c r="P553" s="15"/>
    </row>
    <row r="554">
      <c r="A554" s="9">
        <v>2.404120076E9</v>
      </c>
      <c r="B554" s="10" t="s">
        <v>19</v>
      </c>
      <c r="C554" s="11"/>
      <c r="D554" s="10" t="s">
        <v>60</v>
      </c>
      <c r="E554" s="11"/>
      <c r="F554" s="9">
        <v>14.0</v>
      </c>
      <c r="G554" s="9">
        <v>34.0</v>
      </c>
      <c r="H554" s="11"/>
      <c r="I554" s="11"/>
      <c r="J554" s="9">
        <v>14.0</v>
      </c>
      <c r="K554" s="9">
        <v>34.0</v>
      </c>
      <c r="L554" s="9">
        <v>0.0</v>
      </c>
      <c r="M554" s="9">
        <v>0.0</v>
      </c>
      <c r="N554" s="9">
        <v>34.0</v>
      </c>
      <c r="O554" s="12">
        <v>45901.0</v>
      </c>
      <c r="P554" s="15"/>
    </row>
    <row r="555">
      <c r="A555" s="9">
        <v>2.404120076E9</v>
      </c>
      <c r="B555" s="10" t="s">
        <v>19</v>
      </c>
      <c r="C555" s="11"/>
      <c r="D555" s="10" t="s">
        <v>68</v>
      </c>
      <c r="E555" s="11"/>
      <c r="F555" s="9">
        <v>12.0</v>
      </c>
      <c r="G555" s="9">
        <v>60.0</v>
      </c>
      <c r="H555" s="11"/>
      <c r="I555" s="11"/>
      <c r="J555" s="9">
        <v>12.0</v>
      </c>
      <c r="K555" s="9">
        <v>60.0</v>
      </c>
      <c r="L555" s="9">
        <v>0.0</v>
      </c>
      <c r="M555" s="9">
        <v>0.0</v>
      </c>
      <c r="N555" s="9">
        <v>60.0</v>
      </c>
      <c r="O555" s="12">
        <v>45901.0</v>
      </c>
      <c r="P555" s="15"/>
    </row>
    <row r="556">
      <c r="A556" s="9">
        <v>2.404120076E9</v>
      </c>
      <c r="B556" s="10" t="s">
        <v>19</v>
      </c>
      <c r="C556" s="11"/>
      <c r="D556" s="10" t="s">
        <v>120</v>
      </c>
      <c r="E556" s="11"/>
      <c r="F556" s="9">
        <v>31.0</v>
      </c>
      <c r="G556" s="9">
        <v>62.0</v>
      </c>
      <c r="H556" s="11"/>
      <c r="I556" s="11"/>
      <c r="J556" s="9">
        <v>31.0</v>
      </c>
      <c r="K556" s="9">
        <v>62.0</v>
      </c>
      <c r="L556" s="9">
        <v>0.0</v>
      </c>
      <c r="M556" s="9">
        <v>0.0</v>
      </c>
      <c r="N556" s="9">
        <v>62.0</v>
      </c>
      <c r="O556" s="12">
        <v>45901.0</v>
      </c>
      <c r="P556" s="15"/>
    </row>
    <row r="557">
      <c r="A557" s="9">
        <v>2.404120076E9</v>
      </c>
      <c r="B557" s="10" t="s">
        <v>19</v>
      </c>
      <c r="C557" s="11"/>
      <c r="D557" s="10" t="s">
        <v>70</v>
      </c>
      <c r="E557" s="11"/>
      <c r="F557" s="9">
        <v>19.0</v>
      </c>
      <c r="G557" s="9">
        <v>57.0</v>
      </c>
      <c r="H557" s="11"/>
      <c r="I557" s="11"/>
      <c r="J557" s="9">
        <v>19.0</v>
      </c>
      <c r="K557" s="9">
        <v>57.0</v>
      </c>
      <c r="L557" s="9">
        <v>0.0</v>
      </c>
      <c r="M557" s="9">
        <v>0.0</v>
      </c>
      <c r="N557" s="9">
        <v>57.0</v>
      </c>
      <c r="O557" s="12">
        <v>45901.0</v>
      </c>
      <c r="P557" s="15"/>
    </row>
    <row r="558">
      <c r="A558" s="9">
        <v>2.404120076E9</v>
      </c>
      <c r="B558" s="10" t="s">
        <v>19</v>
      </c>
      <c r="C558" s="11"/>
      <c r="D558" s="10" t="s">
        <v>96</v>
      </c>
      <c r="E558" s="11"/>
      <c r="F558" s="9">
        <v>27.0</v>
      </c>
      <c r="G558" s="9">
        <v>135.0</v>
      </c>
      <c r="H558" s="11"/>
      <c r="I558" s="11"/>
      <c r="J558" s="9">
        <v>27.0</v>
      </c>
      <c r="K558" s="9">
        <v>135.0</v>
      </c>
      <c r="L558" s="9">
        <v>0.0</v>
      </c>
      <c r="M558" s="9">
        <v>0.0</v>
      </c>
      <c r="N558" s="9">
        <v>135.0</v>
      </c>
      <c r="O558" s="12">
        <v>45901.0</v>
      </c>
      <c r="P558" s="15"/>
    </row>
    <row r="559">
      <c r="A559" s="9">
        <v>2.404120076E9</v>
      </c>
      <c r="B559" s="10" t="s">
        <v>19</v>
      </c>
      <c r="C559" s="11"/>
      <c r="D559" s="10" t="s">
        <v>136</v>
      </c>
      <c r="E559" s="11"/>
      <c r="F559" s="9">
        <v>226.0</v>
      </c>
      <c r="G559" s="9">
        <v>243.0</v>
      </c>
      <c r="H559" s="11"/>
      <c r="I559" s="11"/>
      <c r="J559" s="9">
        <v>226.0</v>
      </c>
      <c r="K559" s="9">
        <v>243.0</v>
      </c>
      <c r="L559" s="9">
        <v>0.0</v>
      </c>
      <c r="M559" s="9">
        <v>0.0</v>
      </c>
      <c r="N559" s="9">
        <v>243.0</v>
      </c>
      <c r="O559" s="12">
        <v>45901.0</v>
      </c>
      <c r="P559" s="15"/>
    </row>
    <row r="560">
      <c r="A560" s="9">
        <v>2.404120076E9</v>
      </c>
      <c r="B560" s="10" t="s">
        <v>19</v>
      </c>
      <c r="C560" s="11"/>
      <c r="D560" s="10" t="s">
        <v>72</v>
      </c>
      <c r="E560" s="11"/>
      <c r="F560" s="9">
        <v>27.0</v>
      </c>
      <c r="G560" s="9">
        <v>62.0</v>
      </c>
      <c r="H560" s="11"/>
      <c r="I560" s="11"/>
      <c r="J560" s="9">
        <v>27.0</v>
      </c>
      <c r="K560" s="9">
        <v>62.0</v>
      </c>
      <c r="L560" s="9">
        <v>0.0</v>
      </c>
      <c r="M560" s="9">
        <v>0.0</v>
      </c>
      <c r="N560" s="9">
        <v>62.0</v>
      </c>
      <c r="O560" s="12">
        <v>45901.0</v>
      </c>
      <c r="P560" s="15"/>
    </row>
    <row r="561">
      <c r="A561" s="9">
        <v>2.404120076E9</v>
      </c>
      <c r="B561" s="10" t="s">
        <v>19</v>
      </c>
      <c r="C561" s="11"/>
      <c r="D561" s="10" t="s">
        <v>97</v>
      </c>
      <c r="E561" s="11"/>
      <c r="F561" s="9">
        <v>13.0</v>
      </c>
      <c r="G561" s="9">
        <v>78.0</v>
      </c>
      <c r="H561" s="11"/>
      <c r="I561" s="11"/>
      <c r="J561" s="9">
        <v>13.0</v>
      </c>
      <c r="K561" s="9">
        <v>78.0</v>
      </c>
      <c r="L561" s="9">
        <v>0.0</v>
      </c>
      <c r="M561" s="9">
        <v>0.0</v>
      </c>
      <c r="N561" s="9">
        <v>78.0</v>
      </c>
      <c r="O561" s="12">
        <v>45901.0</v>
      </c>
      <c r="P561" s="15"/>
    </row>
    <row r="562">
      <c r="A562" s="9">
        <v>2.404120076E9</v>
      </c>
      <c r="B562" s="10" t="s">
        <v>19</v>
      </c>
      <c r="C562" s="11"/>
      <c r="D562" s="10" t="s">
        <v>123</v>
      </c>
      <c r="E562" s="11"/>
      <c r="F562" s="9">
        <v>12.0</v>
      </c>
      <c r="G562" s="9">
        <v>48.0</v>
      </c>
      <c r="H562" s="11"/>
      <c r="I562" s="11"/>
      <c r="J562" s="9">
        <v>12.0</v>
      </c>
      <c r="K562" s="9">
        <v>48.0</v>
      </c>
      <c r="L562" s="9">
        <v>0.0</v>
      </c>
      <c r="M562" s="9">
        <v>0.0</v>
      </c>
      <c r="N562" s="9">
        <v>48.0</v>
      </c>
      <c r="O562" s="12">
        <v>45901.0</v>
      </c>
      <c r="P562" s="15"/>
    </row>
    <row r="563">
      <c r="A563" s="9">
        <v>2.404120076E9</v>
      </c>
      <c r="B563" s="10" t="s">
        <v>19</v>
      </c>
      <c r="C563" s="11"/>
      <c r="D563" s="10" t="s">
        <v>73</v>
      </c>
      <c r="E563" s="11"/>
      <c r="F563" s="9">
        <v>7.0</v>
      </c>
      <c r="G563" s="9">
        <v>35.0</v>
      </c>
      <c r="H563" s="11"/>
      <c r="I563" s="11"/>
      <c r="J563" s="9">
        <v>7.0</v>
      </c>
      <c r="K563" s="9">
        <v>35.0</v>
      </c>
      <c r="L563" s="9">
        <v>0.0</v>
      </c>
      <c r="M563" s="9">
        <v>0.0</v>
      </c>
      <c r="N563" s="9">
        <v>35.0</v>
      </c>
      <c r="O563" s="12">
        <v>45901.0</v>
      </c>
      <c r="P563" s="15"/>
    </row>
    <row r="564">
      <c r="A564" s="9">
        <v>2.404120076E9</v>
      </c>
      <c r="B564" s="10" t="s">
        <v>19</v>
      </c>
      <c r="C564" s="11"/>
      <c r="D564" s="10" t="s">
        <v>74</v>
      </c>
      <c r="E564" s="11"/>
      <c r="F564" s="9">
        <v>536.0</v>
      </c>
      <c r="G564" s="9">
        <v>554.0</v>
      </c>
      <c r="H564" s="11"/>
      <c r="I564" s="11"/>
      <c r="J564" s="9">
        <v>536.0</v>
      </c>
      <c r="K564" s="9">
        <v>554.0</v>
      </c>
      <c r="L564" s="9">
        <v>0.0</v>
      </c>
      <c r="M564" s="9">
        <v>0.0</v>
      </c>
      <c r="N564" s="9">
        <v>554.0</v>
      </c>
      <c r="O564" s="12">
        <v>45901.0</v>
      </c>
      <c r="P564" s="15"/>
    </row>
    <row r="565">
      <c r="A565" s="9">
        <v>2.404120076E9</v>
      </c>
      <c r="B565" s="10" t="s">
        <v>19</v>
      </c>
      <c r="C565" s="11"/>
      <c r="D565" s="10" t="s">
        <v>100</v>
      </c>
      <c r="E565" s="11"/>
      <c r="F565" s="9">
        <v>4.0</v>
      </c>
      <c r="G565" s="9">
        <v>8.0</v>
      </c>
      <c r="H565" s="11"/>
      <c r="I565" s="11"/>
      <c r="J565" s="9">
        <v>4.0</v>
      </c>
      <c r="K565" s="9">
        <v>8.0</v>
      </c>
      <c r="L565" s="9">
        <v>0.0</v>
      </c>
      <c r="M565" s="9">
        <v>0.0</v>
      </c>
      <c r="N565" s="9">
        <v>8.0</v>
      </c>
      <c r="O565" s="12">
        <v>45901.0</v>
      </c>
      <c r="P565" s="15"/>
    </row>
    <row r="566">
      <c r="A566" s="9">
        <v>2.404120076E9</v>
      </c>
      <c r="B566" s="10" t="s">
        <v>19</v>
      </c>
      <c r="C566" s="11"/>
      <c r="D566" s="10" t="s">
        <v>79</v>
      </c>
      <c r="E566" s="11"/>
      <c r="F566" s="9">
        <v>31.0</v>
      </c>
      <c r="G566" s="9">
        <v>93.0</v>
      </c>
      <c r="H566" s="11"/>
      <c r="I566" s="11"/>
      <c r="J566" s="9">
        <v>31.0</v>
      </c>
      <c r="K566" s="9">
        <v>93.0</v>
      </c>
      <c r="L566" s="9">
        <v>0.0</v>
      </c>
      <c r="M566" s="9">
        <v>0.0</v>
      </c>
      <c r="N566" s="9">
        <v>93.0</v>
      </c>
      <c r="O566" s="12">
        <v>45901.0</v>
      </c>
      <c r="P566" s="15"/>
    </row>
    <row r="567">
      <c r="A567" s="9">
        <v>2.404120076E9</v>
      </c>
      <c r="B567" s="10" t="s">
        <v>19</v>
      </c>
      <c r="C567" s="11"/>
      <c r="D567" s="10" t="s">
        <v>102</v>
      </c>
      <c r="E567" s="11"/>
      <c r="F567" s="9">
        <v>16.0</v>
      </c>
      <c r="G567" s="9">
        <v>48.0</v>
      </c>
      <c r="H567" s="11"/>
      <c r="I567" s="11"/>
      <c r="J567" s="9">
        <v>16.0</v>
      </c>
      <c r="K567" s="9">
        <v>48.0</v>
      </c>
      <c r="L567" s="9">
        <v>0.0</v>
      </c>
      <c r="M567" s="9">
        <v>0.0</v>
      </c>
      <c r="N567" s="9">
        <v>48.0</v>
      </c>
      <c r="O567" s="12">
        <v>45901.0</v>
      </c>
      <c r="P567" s="15"/>
    </row>
    <row r="568">
      <c r="A568" s="9">
        <v>2.404120076E9</v>
      </c>
      <c r="B568" s="10" t="s">
        <v>19</v>
      </c>
      <c r="C568" s="11"/>
      <c r="D568" s="10" t="s">
        <v>114</v>
      </c>
      <c r="E568" s="11"/>
      <c r="F568" s="9">
        <v>6.0</v>
      </c>
      <c r="G568" s="9">
        <v>42.0</v>
      </c>
      <c r="H568" s="11"/>
      <c r="I568" s="11"/>
      <c r="J568" s="9">
        <v>6.0</v>
      </c>
      <c r="K568" s="9">
        <v>42.0</v>
      </c>
      <c r="L568" s="9">
        <v>0.0</v>
      </c>
      <c r="M568" s="9">
        <v>0.0</v>
      </c>
      <c r="N568" s="9">
        <v>42.0</v>
      </c>
      <c r="O568" s="12">
        <v>45901.0</v>
      </c>
      <c r="P568" s="15"/>
    </row>
    <row r="569">
      <c r="A569" s="9">
        <v>2.404120076E9</v>
      </c>
      <c r="B569" s="10" t="s">
        <v>19</v>
      </c>
      <c r="C569" s="11"/>
      <c r="D569" s="2" t="s">
        <v>115</v>
      </c>
      <c r="E569" s="11"/>
      <c r="F569" s="9">
        <v>107.0</v>
      </c>
      <c r="G569" s="9">
        <v>535.0</v>
      </c>
      <c r="H569" s="11"/>
      <c r="I569" s="11"/>
      <c r="J569" s="9">
        <v>107.0</v>
      </c>
      <c r="K569" s="9">
        <v>535.0</v>
      </c>
      <c r="L569" s="9">
        <v>0.0</v>
      </c>
      <c r="M569" s="9">
        <v>0.0</v>
      </c>
      <c r="N569" s="9">
        <v>535.0</v>
      </c>
      <c r="O569" s="12">
        <v>45901.0</v>
      </c>
      <c r="P569" s="15"/>
    </row>
    <row r="570">
      <c r="A570" s="9">
        <v>2.404120076E9</v>
      </c>
      <c r="B570" s="10" t="s">
        <v>19</v>
      </c>
      <c r="C570" s="11"/>
      <c r="D570" s="10" t="s">
        <v>105</v>
      </c>
      <c r="E570" s="11"/>
      <c r="F570" s="9">
        <v>38.0</v>
      </c>
      <c r="G570" s="9">
        <v>114.0</v>
      </c>
      <c r="H570" s="11"/>
      <c r="I570" s="11"/>
      <c r="J570" s="9">
        <v>38.0</v>
      </c>
      <c r="K570" s="9">
        <v>114.0</v>
      </c>
      <c r="L570" s="9">
        <v>0.0</v>
      </c>
      <c r="M570" s="9">
        <v>0.0</v>
      </c>
      <c r="N570" s="9">
        <v>114.0</v>
      </c>
      <c r="O570" s="12">
        <v>45901.0</v>
      </c>
      <c r="P570" s="15"/>
    </row>
    <row r="571">
      <c r="A571" s="9">
        <v>2.404120076E9</v>
      </c>
      <c r="B571" s="10" t="s">
        <v>19</v>
      </c>
      <c r="C571" s="11"/>
      <c r="D571" s="10" t="s">
        <v>81</v>
      </c>
      <c r="E571" s="11"/>
      <c r="F571" s="9">
        <v>13.0</v>
      </c>
      <c r="G571" s="9">
        <v>65.0</v>
      </c>
      <c r="H571" s="11"/>
      <c r="I571" s="11"/>
      <c r="J571" s="9">
        <v>13.0</v>
      </c>
      <c r="K571" s="9">
        <v>65.0</v>
      </c>
      <c r="L571" s="9">
        <v>0.0</v>
      </c>
      <c r="M571" s="9">
        <v>0.0</v>
      </c>
      <c r="N571" s="9">
        <v>65.0</v>
      </c>
      <c r="O571" s="12">
        <v>45901.0</v>
      </c>
      <c r="P571" s="15"/>
    </row>
    <row r="572">
      <c r="A572" s="9">
        <v>2.404120076E9</v>
      </c>
      <c r="B572" s="10" t="s">
        <v>19</v>
      </c>
      <c r="C572" s="11"/>
      <c r="D572" s="10" t="s">
        <v>125</v>
      </c>
      <c r="E572" s="11"/>
      <c r="F572" s="9">
        <v>20.0</v>
      </c>
      <c r="G572" s="9">
        <v>120.0</v>
      </c>
      <c r="H572" s="11"/>
      <c r="I572" s="11"/>
      <c r="J572" s="9">
        <v>20.0</v>
      </c>
      <c r="K572" s="9">
        <v>120.0</v>
      </c>
      <c r="L572" s="9">
        <v>0.0</v>
      </c>
      <c r="M572" s="9">
        <v>0.0</v>
      </c>
      <c r="N572" s="9">
        <v>120.0</v>
      </c>
      <c r="O572" s="12">
        <v>45901.0</v>
      </c>
      <c r="P572" s="15"/>
    </row>
    <row r="573">
      <c r="A573" s="9">
        <v>2.404120076E9</v>
      </c>
      <c r="B573" s="10" t="s">
        <v>19</v>
      </c>
      <c r="C573" s="11"/>
      <c r="D573" s="10" t="s">
        <v>127</v>
      </c>
      <c r="E573" s="11"/>
      <c r="F573" s="9">
        <v>9.0</v>
      </c>
      <c r="G573" s="9">
        <v>87.0</v>
      </c>
      <c r="H573" s="11"/>
      <c r="I573" s="11"/>
      <c r="J573" s="9">
        <v>9.0</v>
      </c>
      <c r="K573" s="9">
        <v>87.0</v>
      </c>
      <c r="L573" s="9">
        <v>0.0</v>
      </c>
      <c r="M573" s="9">
        <v>0.0</v>
      </c>
      <c r="N573" s="9">
        <v>87.0</v>
      </c>
      <c r="O573" s="12">
        <v>45901.0</v>
      </c>
      <c r="P573" s="15"/>
    </row>
    <row r="574">
      <c r="A574" s="9">
        <v>2.404120076E9</v>
      </c>
      <c r="B574" s="10" t="s">
        <v>19</v>
      </c>
      <c r="C574" s="11"/>
      <c r="D574" s="10" t="s">
        <v>86</v>
      </c>
      <c r="E574" s="11"/>
      <c r="F574" s="9">
        <v>94.0</v>
      </c>
      <c r="G574" s="9">
        <v>470.0</v>
      </c>
      <c r="H574" s="11"/>
      <c r="I574" s="11"/>
      <c r="J574" s="9">
        <v>94.0</v>
      </c>
      <c r="K574" s="9">
        <v>470.0</v>
      </c>
      <c r="L574" s="9">
        <v>0.0</v>
      </c>
      <c r="M574" s="9">
        <v>0.0</v>
      </c>
      <c r="N574" s="9">
        <v>470.0</v>
      </c>
      <c r="O574" s="12">
        <v>45901.0</v>
      </c>
      <c r="P574" s="15"/>
    </row>
    <row r="575">
      <c r="A575" s="9">
        <v>2.404120076E9</v>
      </c>
      <c r="B575" s="10" t="s">
        <v>19</v>
      </c>
      <c r="C575" s="11"/>
      <c r="D575" s="10" t="s">
        <v>128</v>
      </c>
      <c r="E575" s="11"/>
      <c r="F575" s="9">
        <v>19.0</v>
      </c>
      <c r="G575" s="9">
        <v>57.0</v>
      </c>
      <c r="H575" s="11"/>
      <c r="I575" s="11"/>
      <c r="J575" s="9">
        <v>19.0</v>
      </c>
      <c r="K575" s="9">
        <v>57.0</v>
      </c>
      <c r="L575" s="9">
        <v>0.0</v>
      </c>
      <c r="M575" s="9">
        <v>0.0</v>
      </c>
      <c r="N575" s="9">
        <v>57.0</v>
      </c>
      <c r="O575" s="12">
        <v>45901.0</v>
      </c>
      <c r="P575" s="15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9">
        <v>0.0</v>
      </c>
      <c r="K576" s="9">
        <v>0.0</v>
      </c>
      <c r="L576" s="9">
        <v>0.0</v>
      </c>
      <c r="M576" s="9">
        <v>0.0</v>
      </c>
      <c r="N576" s="9">
        <v>0.0</v>
      </c>
      <c r="O576" s="17"/>
      <c r="P576" s="15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9">
        <v>0.0</v>
      </c>
      <c r="K577" s="9">
        <v>0.0</v>
      </c>
      <c r="L577" s="9">
        <v>0.0</v>
      </c>
      <c r="M577" s="9">
        <v>0.0</v>
      </c>
      <c r="N577" s="9">
        <v>0.0</v>
      </c>
      <c r="O577" s="17"/>
      <c r="P577" s="15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9">
        <v>0.0</v>
      </c>
      <c r="K578" s="9">
        <v>0.0</v>
      </c>
      <c r="L578" s="9">
        <v>0.0</v>
      </c>
      <c r="M578" s="9">
        <v>0.0</v>
      </c>
      <c r="N578" s="9">
        <v>0.0</v>
      </c>
      <c r="O578" s="17"/>
      <c r="P578" s="15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9">
        <v>0.0</v>
      </c>
      <c r="K579" s="9">
        <v>0.0</v>
      </c>
      <c r="L579" s="9">
        <v>0.0</v>
      </c>
      <c r="M579" s="9">
        <v>0.0</v>
      </c>
      <c r="N579" s="9">
        <v>0.0</v>
      </c>
      <c r="O579" s="17"/>
      <c r="P579" s="15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9">
        <v>0.0</v>
      </c>
      <c r="K580" s="9">
        <v>0.0</v>
      </c>
      <c r="L580" s="9">
        <v>0.0</v>
      </c>
      <c r="M580" s="9">
        <v>0.0</v>
      </c>
      <c r="N580" s="9">
        <v>0.0</v>
      </c>
      <c r="O580" s="17"/>
      <c r="P580" s="15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9">
        <v>0.0</v>
      </c>
      <c r="K581" s="9">
        <v>0.0</v>
      </c>
      <c r="L581" s="9">
        <v>0.0</v>
      </c>
      <c r="M581" s="9">
        <v>0.0</v>
      </c>
      <c r="N581" s="9">
        <v>0.0</v>
      </c>
      <c r="O581" s="17"/>
      <c r="P581" s="15"/>
    </row>
    <row r="582">
      <c r="A582" s="9">
        <v>2.411000046E9</v>
      </c>
      <c r="B582" s="10" t="s">
        <v>21</v>
      </c>
      <c r="C582" s="9">
        <v>1.0</v>
      </c>
      <c r="D582" s="2" t="s">
        <v>129</v>
      </c>
      <c r="E582" s="9">
        <v>5.0</v>
      </c>
      <c r="F582" s="9">
        <v>27.0</v>
      </c>
      <c r="G582" s="9">
        <v>144.0</v>
      </c>
      <c r="H582" s="9">
        <v>0.0</v>
      </c>
      <c r="I582" s="9">
        <v>0.0</v>
      </c>
      <c r="J582" s="9">
        <v>27.0</v>
      </c>
      <c r="K582" s="9">
        <v>144.0</v>
      </c>
      <c r="L582" s="9">
        <v>2.8</v>
      </c>
      <c r="M582" s="9">
        <v>75.6</v>
      </c>
      <c r="N582" s="9">
        <v>68.4</v>
      </c>
      <c r="O582" s="12">
        <v>45931.0</v>
      </c>
      <c r="P582" s="13">
        <v>45931.0</v>
      </c>
    </row>
    <row r="583">
      <c r="A583" s="9">
        <v>2.411000046E9</v>
      </c>
      <c r="B583" s="10" t="s">
        <v>21</v>
      </c>
      <c r="C583" s="9">
        <v>2.0</v>
      </c>
      <c r="D583" s="10" t="s">
        <v>74</v>
      </c>
      <c r="E583" s="9">
        <v>1.0</v>
      </c>
      <c r="F583" s="9">
        <v>297.0</v>
      </c>
      <c r="G583" s="9">
        <v>297.0</v>
      </c>
      <c r="H583" s="9">
        <v>0.0</v>
      </c>
      <c r="I583" s="9">
        <v>0.0</v>
      </c>
      <c r="J583" s="9">
        <v>297.0</v>
      </c>
      <c r="K583" s="9">
        <v>297.0</v>
      </c>
      <c r="L583" s="9">
        <v>0.3</v>
      </c>
      <c r="M583" s="9">
        <v>89.1</v>
      </c>
      <c r="N583" s="9">
        <v>207.9</v>
      </c>
      <c r="O583" s="12">
        <v>45931.0</v>
      </c>
      <c r="P583" s="15"/>
    </row>
    <row r="584">
      <c r="A584" s="9">
        <v>2.411000046E9</v>
      </c>
      <c r="B584" s="10" t="s">
        <v>21</v>
      </c>
      <c r="C584" s="9">
        <v>3.0</v>
      </c>
      <c r="D584" s="10" t="s">
        <v>125</v>
      </c>
      <c r="E584" s="9">
        <v>7.0</v>
      </c>
      <c r="F584" s="9">
        <v>30.0</v>
      </c>
      <c r="G584" s="9">
        <v>174.0</v>
      </c>
      <c r="H584" s="9">
        <v>0.0</v>
      </c>
      <c r="I584" s="9">
        <v>0.0</v>
      </c>
      <c r="J584" s="9">
        <v>30.0</v>
      </c>
      <c r="K584" s="9">
        <v>174.0</v>
      </c>
      <c r="L584" s="9">
        <v>6.2</v>
      </c>
      <c r="M584" s="9">
        <v>186.0</v>
      </c>
      <c r="N584" s="9">
        <v>-12.0</v>
      </c>
      <c r="O584" s="12">
        <v>45931.0</v>
      </c>
      <c r="P584" s="15"/>
    </row>
    <row r="585">
      <c r="A585" s="9">
        <v>2.411000046E9</v>
      </c>
      <c r="B585" s="10" t="s">
        <v>21</v>
      </c>
      <c r="C585" s="9">
        <v>5.0</v>
      </c>
      <c r="D585" s="10" t="s">
        <v>131</v>
      </c>
      <c r="E585" s="9">
        <v>3.0</v>
      </c>
      <c r="F585" s="9">
        <v>6.0</v>
      </c>
      <c r="G585" s="9">
        <v>28.0</v>
      </c>
      <c r="H585" s="9">
        <v>0.0</v>
      </c>
      <c r="I585" s="9">
        <v>0.0</v>
      </c>
      <c r="J585" s="9">
        <v>6.0</v>
      </c>
      <c r="K585" s="9">
        <v>28.0</v>
      </c>
      <c r="L585" s="9">
        <v>2.0</v>
      </c>
      <c r="M585" s="9">
        <v>12.0</v>
      </c>
      <c r="N585" s="9">
        <v>16.0</v>
      </c>
      <c r="O585" s="12">
        <v>45931.0</v>
      </c>
      <c r="P585" s="15"/>
    </row>
    <row r="586">
      <c r="A586" s="9">
        <v>2.411000046E9</v>
      </c>
      <c r="B586" s="10" t="s">
        <v>21</v>
      </c>
      <c r="C586" s="9">
        <v>6.0</v>
      </c>
      <c r="D586" s="10" t="s">
        <v>109</v>
      </c>
      <c r="E586" s="9">
        <v>5.0</v>
      </c>
      <c r="F586" s="9">
        <v>127.0</v>
      </c>
      <c r="G586" s="9">
        <v>635.0</v>
      </c>
      <c r="H586" s="9">
        <v>0.0</v>
      </c>
      <c r="I586" s="9">
        <v>0.0</v>
      </c>
      <c r="J586" s="9">
        <v>127.0</v>
      </c>
      <c r="K586" s="9">
        <v>635.0</v>
      </c>
      <c r="L586" s="9">
        <v>3.08</v>
      </c>
      <c r="M586" s="9">
        <v>391.16</v>
      </c>
      <c r="N586" s="9">
        <v>243.84</v>
      </c>
      <c r="O586" s="12">
        <v>45931.0</v>
      </c>
      <c r="P586" s="15"/>
    </row>
    <row r="587">
      <c r="A587" s="9">
        <v>2.411000046E9</v>
      </c>
      <c r="B587" s="10" t="s">
        <v>21</v>
      </c>
      <c r="C587" s="9">
        <v>11.0</v>
      </c>
      <c r="D587" s="10" t="s">
        <v>86</v>
      </c>
      <c r="E587" s="9">
        <v>5.0</v>
      </c>
      <c r="F587" s="9">
        <v>55.0</v>
      </c>
      <c r="G587" s="9">
        <v>275.0</v>
      </c>
      <c r="H587" s="9">
        <v>0.0</v>
      </c>
      <c r="I587" s="9">
        <v>0.0</v>
      </c>
      <c r="J587" s="9">
        <v>55.0</v>
      </c>
      <c r="K587" s="9">
        <v>275.0</v>
      </c>
      <c r="L587" s="9">
        <v>3.5</v>
      </c>
      <c r="M587" s="9">
        <v>192.5</v>
      </c>
      <c r="N587" s="9">
        <v>82.5</v>
      </c>
      <c r="O587" s="12">
        <v>45931.0</v>
      </c>
      <c r="P587" s="16"/>
    </row>
    <row r="588">
      <c r="A588" s="9">
        <v>2.411000046E9</v>
      </c>
      <c r="B588" s="10" t="s">
        <v>21</v>
      </c>
      <c r="C588" s="9">
        <v>12.0</v>
      </c>
      <c r="D588" s="10" t="s">
        <v>136</v>
      </c>
      <c r="E588" s="9">
        <v>1.0</v>
      </c>
      <c r="F588" s="9">
        <v>68.0</v>
      </c>
      <c r="G588" s="9">
        <v>72.0</v>
      </c>
      <c r="H588" s="9">
        <v>0.0</v>
      </c>
      <c r="I588" s="9">
        <v>0.0</v>
      </c>
      <c r="J588" s="9">
        <v>68.0</v>
      </c>
      <c r="K588" s="9">
        <v>72.0</v>
      </c>
      <c r="L588" s="9">
        <v>0.6</v>
      </c>
      <c r="M588" s="9">
        <v>40.8</v>
      </c>
      <c r="N588" s="9">
        <v>31.2</v>
      </c>
      <c r="O588" s="12">
        <v>45931.0</v>
      </c>
      <c r="P588" s="16"/>
    </row>
    <row r="589">
      <c r="A589" s="9">
        <v>2.411000046E9</v>
      </c>
      <c r="B589" s="10" t="s">
        <v>21</v>
      </c>
      <c r="C589" s="9">
        <v>14.0</v>
      </c>
      <c r="D589" s="10" t="s">
        <v>138</v>
      </c>
      <c r="E589" s="9">
        <v>7.0</v>
      </c>
      <c r="F589" s="9">
        <v>80.0</v>
      </c>
      <c r="G589" s="9">
        <v>450.0</v>
      </c>
      <c r="H589" s="9">
        <v>0.0</v>
      </c>
      <c r="I589" s="9">
        <v>0.0</v>
      </c>
      <c r="J589" s="9">
        <v>80.0</v>
      </c>
      <c r="K589" s="9">
        <v>450.0</v>
      </c>
      <c r="L589" s="9">
        <v>5.8</v>
      </c>
      <c r="M589" s="9">
        <v>464.0</v>
      </c>
      <c r="N589" s="9">
        <v>-14.0</v>
      </c>
      <c r="O589" s="12">
        <v>45931.0</v>
      </c>
      <c r="P589" s="16"/>
    </row>
    <row r="590">
      <c r="A590" s="9">
        <v>2.411000046E9</v>
      </c>
      <c r="B590" s="10" t="s">
        <v>21</v>
      </c>
      <c r="C590" s="9">
        <v>15.0</v>
      </c>
      <c r="D590" s="10" t="s">
        <v>55</v>
      </c>
      <c r="E590" s="9">
        <v>2.0</v>
      </c>
      <c r="F590" s="9">
        <v>2.0</v>
      </c>
      <c r="G590" s="9">
        <v>4.0</v>
      </c>
      <c r="H590" s="9">
        <v>0.0</v>
      </c>
      <c r="I590" s="9">
        <v>0.0</v>
      </c>
      <c r="J590" s="9">
        <v>2.0</v>
      </c>
      <c r="K590" s="9">
        <v>4.0</v>
      </c>
      <c r="L590" s="9">
        <v>1.54</v>
      </c>
      <c r="M590" s="9">
        <v>3.08</v>
      </c>
      <c r="N590" s="9">
        <v>0.92</v>
      </c>
      <c r="O590" s="12">
        <v>45931.0</v>
      </c>
      <c r="P590" s="16"/>
    </row>
    <row r="591">
      <c r="A591" s="9">
        <v>2.411000046E9</v>
      </c>
      <c r="B591" s="10" t="s">
        <v>21</v>
      </c>
      <c r="C591" s="9">
        <v>16.0</v>
      </c>
      <c r="D591" s="10" t="s">
        <v>139</v>
      </c>
      <c r="E591" s="9">
        <v>2.0</v>
      </c>
      <c r="F591" s="9">
        <v>23.0</v>
      </c>
      <c r="G591" s="9">
        <v>42.0</v>
      </c>
      <c r="H591" s="9">
        <v>0.0</v>
      </c>
      <c r="I591" s="9">
        <v>0.0</v>
      </c>
      <c r="J591" s="9">
        <v>23.0</v>
      </c>
      <c r="K591" s="9">
        <v>42.0</v>
      </c>
      <c r="L591" s="9">
        <v>0.92</v>
      </c>
      <c r="M591" s="9">
        <v>21.16</v>
      </c>
      <c r="N591" s="9">
        <v>20.84</v>
      </c>
      <c r="O591" s="12">
        <v>45931.0</v>
      </c>
      <c r="P591" s="16"/>
    </row>
    <row r="592">
      <c r="A592" s="9">
        <v>2.411000046E9</v>
      </c>
      <c r="B592" s="10" t="s">
        <v>21</v>
      </c>
      <c r="C592" s="9">
        <v>19.0</v>
      </c>
      <c r="D592" s="10" t="s">
        <v>72</v>
      </c>
      <c r="E592" s="9">
        <v>2.0</v>
      </c>
      <c r="F592" s="9">
        <v>88.0</v>
      </c>
      <c r="G592" s="9">
        <v>204.0</v>
      </c>
      <c r="H592" s="9">
        <v>0.0</v>
      </c>
      <c r="I592" s="9">
        <v>0.0</v>
      </c>
      <c r="J592" s="9">
        <v>88.0</v>
      </c>
      <c r="K592" s="9">
        <v>204.0</v>
      </c>
      <c r="L592" s="9">
        <v>1.33</v>
      </c>
      <c r="M592" s="9">
        <v>117.04</v>
      </c>
      <c r="N592" s="9">
        <v>86.96</v>
      </c>
      <c r="O592" s="12">
        <v>45931.0</v>
      </c>
      <c r="P592" s="16"/>
    </row>
    <row r="593">
      <c r="A593" s="9">
        <v>2.411000046E9</v>
      </c>
      <c r="B593" s="10" t="s">
        <v>21</v>
      </c>
      <c r="C593" s="9">
        <v>21.0</v>
      </c>
      <c r="D593" s="10" t="s">
        <v>79</v>
      </c>
      <c r="E593" s="9">
        <v>3.0</v>
      </c>
      <c r="F593" s="9">
        <v>100.0</v>
      </c>
      <c r="G593" s="9">
        <v>249.0</v>
      </c>
      <c r="H593" s="9">
        <v>0.0</v>
      </c>
      <c r="I593" s="9">
        <v>0.0</v>
      </c>
      <c r="J593" s="9">
        <v>100.0</v>
      </c>
      <c r="K593" s="9">
        <v>249.0</v>
      </c>
      <c r="L593" s="9">
        <v>2.2</v>
      </c>
      <c r="M593" s="9">
        <v>220.0</v>
      </c>
      <c r="N593" s="9">
        <v>29.0</v>
      </c>
      <c r="O593" s="12">
        <v>45931.0</v>
      </c>
      <c r="P593" s="16"/>
    </row>
    <row r="594">
      <c r="A594" s="9">
        <v>2.411000046E9</v>
      </c>
      <c r="B594" s="10" t="s">
        <v>21</v>
      </c>
      <c r="C594" s="9">
        <v>23.0</v>
      </c>
      <c r="D594" s="10" t="s">
        <v>143</v>
      </c>
      <c r="E594" s="9">
        <v>5.0</v>
      </c>
      <c r="F594" s="9">
        <v>10.0</v>
      </c>
      <c r="G594" s="9">
        <v>44.0</v>
      </c>
      <c r="H594" s="9">
        <v>0.0</v>
      </c>
      <c r="I594" s="9">
        <v>0.0</v>
      </c>
      <c r="J594" s="9">
        <v>10.0</v>
      </c>
      <c r="K594" s="9">
        <v>44.0</v>
      </c>
      <c r="L594" s="9">
        <v>3.41</v>
      </c>
      <c r="M594" s="9">
        <v>34.1</v>
      </c>
      <c r="N594" s="9">
        <v>9.9</v>
      </c>
      <c r="O594" s="12">
        <v>45931.0</v>
      </c>
      <c r="P594" s="16"/>
    </row>
    <row r="595">
      <c r="A595" s="9">
        <v>2.411000046E9</v>
      </c>
      <c r="B595" s="10" t="s">
        <v>21</v>
      </c>
      <c r="C595" s="9">
        <v>25.0</v>
      </c>
      <c r="D595" s="10" t="s">
        <v>144</v>
      </c>
      <c r="E595" s="9">
        <v>5.0</v>
      </c>
      <c r="F595" s="9">
        <v>28.0</v>
      </c>
      <c r="G595" s="9">
        <v>125.0</v>
      </c>
      <c r="H595" s="9">
        <v>0.0</v>
      </c>
      <c r="I595" s="9">
        <v>0.0</v>
      </c>
      <c r="J595" s="9">
        <v>28.0</v>
      </c>
      <c r="K595" s="9">
        <v>125.0</v>
      </c>
      <c r="L595" s="9">
        <v>3.5</v>
      </c>
      <c r="M595" s="9">
        <v>98.0</v>
      </c>
      <c r="N595" s="9">
        <v>27.0</v>
      </c>
      <c r="O595" s="12">
        <v>45931.0</v>
      </c>
      <c r="P595" s="16"/>
    </row>
    <row r="596">
      <c r="A596" s="9">
        <v>2.411000046E9</v>
      </c>
      <c r="B596" s="10" t="s">
        <v>21</v>
      </c>
      <c r="C596" s="9">
        <v>28.0</v>
      </c>
      <c r="D596" s="10" t="s">
        <v>146</v>
      </c>
      <c r="E596" s="9">
        <v>5.0</v>
      </c>
      <c r="F596" s="9">
        <v>43.0</v>
      </c>
      <c r="G596" s="9">
        <v>205.0</v>
      </c>
      <c r="H596" s="9">
        <v>0.0</v>
      </c>
      <c r="I596" s="9">
        <v>0.0</v>
      </c>
      <c r="J596" s="9">
        <v>43.0</v>
      </c>
      <c r="K596" s="9">
        <v>205.0</v>
      </c>
      <c r="L596" s="9">
        <v>4.5</v>
      </c>
      <c r="M596" s="9">
        <v>193.5</v>
      </c>
      <c r="N596" s="9">
        <v>11.5</v>
      </c>
      <c r="O596" s="12">
        <v>45931.0</v>
      </c>
      <c r="P596" s="16"/>
    </row>
    <row r="597">
      <c r="A597" s="9">
        <v>2.411000046E9</v>
      </c>
      <c r="B597" s="10" t="s">
        <v>21</v>
      </c>
      <c r="C597" s="9">
        <v>29.0</v>
      </c>
      <c r="D597" s="10" t="s">
        <v>147</v>
      </c>
      <c r="E597" s="9">
        <v>3.0</v>
      </c>
      <c r="F597" s="9">
        <v>80.0</v>
      </c>
      <c r="G597" s="9">
        <v>240.0</v>
      </c>
      <c r="H597" s="9">
        <v>0.0</v>
      </c>
      <c r="I597" s="9">
        <v>0.0</v>
      </c>
      <c r="J597" s="9">
        <v>80.0</v>
      </c>
      <c r="K597" s="9">
        <v>240.0</v>
      </c>
      <c r="L597" s="9">
        <v>2.25</v>
      </c>
      <c r="M597" s="9">
        <v>180.0</v>
      </c>
      <c r="N597" s="9">
        <v>60.0</v>
      </c>
      <c r="O597" s="12">
        <v>45931.0</v>
      </c>
      <c r="P597" s="16"/>
    </row>
    <row r="598">
      <c r="A598" s="9">
        <v>2.411000046E9</v>
      </c>
      <c r="B598" s="10" t="s">
        <v>21</v>
      </c>
      <c r="C598" s="9">
        <v>30.0</v>
      </c>
      <c r="D598" s="10" t="s">
        <v>148</v>
      </c>
      <c r="E598" s="9">
        <v>5.0</v>
      </c>
      <c r="F598" s="9">
        <v>42.0</v>
      </c>
      <c r="G598" s="9">
        <v>130.0</v>
      </c>
      <c r="H598" s="9">
        <v>0.0</v>
      </c>
      <c r="I598" s="9">
        <v>0.0</v>
      </c>
      <c r="J598" s="9">
        <v>42.0</v>
      </c>
      <c r="K598" s="9">
        <v>130.0</v>
      </c>
      <c r="L598" s="9">
        <v>3.6</v>
      </c>
      <c r="M598" s="9">
        <v>151.2</v>
      </c>
      <c r="N598" s="9">
        <v>-21.2</v>
      </c>
      <c r="O598" s="12">
        <v>45931.0</v>
      </c>
      <c r="P598" s="16"/>
    </row>
    <row r="599">
      <c r="A599" s="9">
        <v>2.411000046E9</v>
      </c>
      <c r="B599" s="10" t="s">
        <v>21</v>
      </c>
      <c r="C599" s="9">
        <v>32.0</v>
      </c>
      <c r="D599" s="10" t="s">
        <v>150</v>
      </c>
      <c r="E599" s="9">
        <v>3.0</v>
      </c>
      <c r="F599" s="9">
        <v>57.0</v>
      </c>
      <c r="G599" s="9">
        <v>171.0</v>
      </c>
      <c r="H599" s="9">
        <v>0.0</v>
      </c>
      <c r="I599" s="9">
        <v>0.0</v>
      </c>
      <c r="J599" s="9">
        <v>57.0</v>
      </c>
      <c r="K599" s="9">
        <v>171.0</v>
      </c>
      <c r="L599" s="9">
        <v>2.0</v>
      </c>
      <c r="M599" s="9">
        <v>114.0</v>
      </c>
      <c r="N599" s="9">
        <v>57.0</v>
      </c>
      <c r="O599" s="12">
        <v>45931.0</v>
      </c>
      <c r="P599" s="16"/>
    </row>
    <row r="600">
      <c r="A600" s="9">
        <v>2.411000046E9</v>
      </c>
      <c r="B600" s="10" t="s">
        <v>21</v>
      </c>
      <c r="C600" s="9">
        <v>33.0</v>
      </c>
      <c r="D600" s="10" t="s">
        <v>151</v>
      </c>
      <c r="E600" s="9">
        <v>3.0</v>
      </c>
      <c r="F600" s="9">
        <v>6.0</v>
      </c>
      <c r="G600" s="9">
        <v>24.0</v>
      </c>
      <c r="H600" s="9">
        <v>0.0</v>
      </c>
      <c r="I600" s="9">
        <v>0.0</v>
      </c>
      <c r="J600" s="9">
        <v>6.0</v>
      </c>
      <c r="K600" s="9">
        <v>24.0</v>
      </c>
      <c r="L600" s="9">
        <v>1.33</v>
      </c>
      <c r="M600" s="9">
        <v>7.98</v>
      </c>
      <c r="N600" s="9">
        <v>16.02</v>
      </c>
      <c r="O600" s="12">
        <v>45931.0</v>
      </c>
      <c r="P600" s="16"/>
    </row>
    <row r="601">
      <c r="A601" s="9">
        <v>2.411000046E9</v>
      </c>
      <c r="B601" s="10" t="s">
        <v>21</v>
      </c>
      <c r="C601" s="9">
        <v>36.0</v>
      </c>
      <c r="D601" s="10" t="s">
        <v>153</v>
      </c>
      <c r="E601" s="9">
        <v>3.0</v>
      </c>
      <c r="F601" s="9">
        <v>10.0</v>
      </c>
      <c r="G601" s="9">
        <v>18.0</v>
      </c>
      <c r="H601" s="9">
        <v>0.0</v>
      </c>
      <c r="I601" s="9">
        <v>0.0</v>
      </c>
      <c r="J601" s="9">
        <v>10.0</v>
      </c>
      <c r="K601" s="9">
        <v>18.0</v>
      </c>
      <c r="L601" s="9">
        <v>2.0</v>
      </c>
      <c r="M601" s="9">
        <v>20.0</v>
      </c>
      <c r="N601" s="9">
        <v>-2.0</v>
      </c>
      <c r="O601" s="12">
        <v>45931.0</v>
      </c>
      <c r="P601" s="16"/>
    </row>
    <row r="602">
      <c r="A602" s="9">
        <v>2.411000046E9</v>
      </c>
      <c r="B602" s="10" t="s">
        <v>21</v>
      </c>
      <c r="C602" s="9">
        <v>37.0</v>
      </c>
      <c r="D602" s="10" t="s">
        <v>154</v>
      </c>
      <c r="E602" s="9">
        <v>1.0</v>
      </c>
      <c r="F602" s="9">
        <v>109.0</v>
      </c>
      <c r="G602" s="9">
        <v>107.0</v>
      </c>
      <c r="H602" s="9">
        <v>0.0</v>
      </c>
      <c r="I602" s="9">
        <v>0.0</v>
      </c>
      <c r="J602" s="9">
        <v>109.0</v>
      </c>
      <c r="K602" s="9">
        <v>107.0</v>
      </c>
      <c r="L602" s="9">
        <v>0.63</v>
      </c>
      <c r="M602" s="9">
        <v>68.67</v>
      </c>
      <c r="N602" s="9">
        <v>38.33</v>
      </c>
      <c r="O602" s="12">
        <v>45931.0</v>
      </c>
      <c r="P602" s="16"/>
    </row>
    <row r="603">
      <c r="A603" s="9">
        <v>2.411000046E9</v>
      </c>
      <c r="B603" s="10" t="s">
        <v>21</v>
      </c>
      <c r="C603" s="9">
        <v>38.0</v>
      </c>
      <c r="D603" s="10" t="s">
        <v>155</v>
      </c>
      <c r="E603" s="9">
        <v>7.0</v>
      </c>
      <c r="F603" s="9">
        <v>26.0</v>
      </c>
      <c r="G603" s="9">
        <v>185.0</v>
      </c>
      <c r="H603" s="9">
        <v>0.0</v>
      </c>
      <c r="I603" s="9">
        <v>0.0</v>
      </c>
      <c r="J603" s="9">
        <v>26.0</v>
      </c>
      <c r="K603" s="9">
        <v>185.0</v>
      </c>
      <c r="L603" s="9">
        <v>5.18</v>
      </c>
      <c r="M603" s="9">
        <v>134.68</v>
      </c>
      <c r="N603" s="9">
        <v>50.32</v>
      </c>
      <c r="O603" s="12">
        <v>45931.0</v>
      </c>
      <c r="P603" s="16"/>
    </row>
    <row r="604">
      <c r="A604" s="9">
        <v>2.411000046E9</v>
      </c>
      <c r="B604" s="10" t="s">
        <v>21</v>
      </c>
      <c r="C604" s="9">
        <v>40.0</v>
      </c>
      <c r="D604" s="10" t="s">
        <v>156</v>
      </c>
      <c r="E604" s="9">
        <v>5.0</v>
      </c>
      <c r="F604" s="9">
        <v>13.0</v>
      </c>
      <c r="G604" s="9">
        <v>25.0</v>
      </c>
      <c r="H604" s="9">
        <v>0.0</v>
      </c>
      <c r="I604" s="9">
        <v>0.0</v>
      </c>
      <c r="J604" s="9">
        <v>13.0</v>
      </c>
      <c r="K604" s="9">
        <v>25.0</v>
      </c>
      <c r="L604" s="9">
        <v>3.63</v>
      </c>
      <c r="M604" s="9">
        <v>47.19</v>
      </c>
      <c r="N604" s="9">
        <v>-22.19</v>
      </c>
      <c r="O604" s="12">
        <v>45931.0</v>
      </c>
      <c r="P604" s="16"/>
    </row>
    <row r="605">
      <c r="A605" s="9">
        <v>2.411000046E9</v>
      </c>
      <c r="B605" s="10" t="s">
        <v>21</v>
      </c>
      <c r="C605" s="9">
        <v>41.0</v>
      </c>
      <c r="D605" s="10" t="s">
        <v>157</v>
      </c>
      <c r="E605" s="9">
        <v>5.0</v>
      </c>
      <c r="F605" s="9">
        <v>28.0</v>
      </c>
      <c r="G605" s="9">
        <v>140.0</v>
      </c>
      <c r="H605" s="9">
        <v>0.0</v>
      </c>
      <c r="I605" s="9">
        <v>0.0</v>
      </c>
      <c r="J605" s="9">
        <v>28.0</v>
      </c>
      <c r="K605" s="9">
        <v>140.0</v>
      </c>
      <c r="L605" s="9">
        <v>3.25</v>
      </c>
      <c r="M605" s="9">
        <v>91.0</v>
      </c>
      <c r="N605" s="9">
        <v>49.0</v>
      </c>
      <c r="O605" s="12">
        <v>45931.0</v>
      </c>
      <c r="P605" s="16"/>
    </row>
    <row r="606">
      <c r="A606" s="9">
        <v>2.411000046E9</v>
      </c>
      <c r="B606" s="10" t="s">
        <v>21</v>
      </c>
      <c r="C606" s="9">
        <v>42.0</v>
      </c>
      <c r="D606" s="10" t="s">
        <v>70</v>
      </c>
      <c r="E606" s="9">
        <v>4.0</v>
      </c>
      <c r="F606" s="9">
        <v>2.0</v>
      </c>
      <c r="G606" s="9">
        <v>8.0</v>
      </c>
      <c r="H606" s="9">
        <v>0.0</v>
      </c>
      <c r="I606" s="9">
        <v>0.0</v>
      </c>
      <c r="J606" s="9">
        <v>2.0</v>
      </c>
      <c r="K606" s="9">
        <v>8.0</v>
      </c>
      <c r="L606" s="9">
        <v>2.96</v>
      </c>
      <c r="M606" s="9">
        <v>5.92</v>
      </c>
      <c r="N606" s="9">
        <v>2.08</v>
      </c>
      <c r="O606" s="12">
        <v>45931.0</v>
      </c>
      <c r="P606" s="16"/>
    </row>
    <row r="607">
      <c r="A607" s="9">
        <v>2.411000046E9</v>
      </c>
      <c r="B607" s="10" t="s">
        <v>21</v>
      </c>
      <c r="C607" s="9">
        <v>43.0</v>
      </c>
      <c r="D607" s="10" t="s">
        <v>159</v>
      </c>
      <c r="E607" s="9">
        <v>5.0</v>
      </c>
      <c r="F607" s="9">
        <v>33.0</v>
      </c>
      <c r="G607" s="9">
        <v>164.0</v>
      </c>
      <c r="H607" s="9">
        <v>0.0</v>
      </c>
      <c r="I607" s="9">
        <v>0.0</v>
      </c>
      <c r="J607" s="9">
        <v>33.0</v>
      </c>
      <c r="K607" s="9">
        <v>164.0</v>
      </c>
      <c r="L607" s="9">
        <v>2.33</v>
      </c>
      <c r="M607" s="9">
        <v>76.89</v>
      </c>
      <c r="N607" s="9">
        <v>87.11</v>
      </c>
      <c r="O607" s="12">
        <v>45931.0</v>
      </c>
      <c r="P607" s="16"/>
    </row>
    <row r="608">
      <c r="A608" s="9">
        <v>2.411000046E9</v>
      </c>
      <c r="B608" s="10" t="s">
        <v>21</v>
      </c>
      <c r="C608" s="9">
        <v>44.0</v>
      </c>
      <c r="D608" s="10" t="s">
        <v>160</v>
      </c>
      <c r="E608" s="9">
        <v>5.0</v>
      </c>
      <c r="F608" s="9">
        <v>52.0</v>
      </c>
      <c r="G608" s="9">
        <v>261.0</v>
      </c>
      <c r="H608" s="9">
        <v>0.0</v>
      </c>
      <c r="I608" s="9">
        <v>0.0</v>
      </c>
      <c r="J608" s="9">
        <v>52.0</v>
      </c>
      <c r="K608" s="9">
        <v>261.0</v>
      </c>
      <c r="L608" s="9">
        <v>4.13</v>
      </c>
      <c r="M608" s="9">
        <v>214.76</v>
      </c>
      <c r="N608" s="9">
        <v>46.24</v>
      </c>
      <c r="O608" s="12">
        <v>45931.0</v>
      </c>
      <c r="P608" s="16"/>
    </row>
    <row r="609">
      <c r="A609" s="9">
        <v>2.411000046E9</v>
      </c>
      <c r="B609" s="10" t="s">
        <v>21</v>
      </c>
      <c r="C609" s="9">
        <v>48.0</v>
      </c>
      <c r="D609" s="10" t="s">
        <v>163</v>
      </c>
      <c r="E609" s="9">
        <v>4.0</v>
      </c>
      <c r="F609" s="9">
        <v>42.0</v>
      </c>
      <c r="G609" s="9">
        <v>152.0</v>
      </c>
      <c r="H609" s="9">
        <v>0.0</v>
      </c>
      <c r="I609" s="9">
        <v>0.0</v>
      </c>
      <c r="J609" s="9">
        <v>42.0</v>
      </c>
      <c r="K609" s="9">
        <v>152.0</v>
      </c>
      <c r="L609" s="9">
        <v>3.0</v>
      </c>
      <c r="M609" s="9">
        <v>126.0</v>
      </c>
      <c r="N609" s="9">
        <v>26.0</v>
      </c>
      <c r="O609" s="12">
        <v>45931.0</v>
      </c>
      <c r="P609" s="16"/>
    </row>
    <row r="610">
      <c r="A610" s="9">
        <v>2.411000046E9</v>
      </c>
      <c r="B610" s="10" t="s">
        <v>21</v>
      </c>
      <c r="C610" s="9">
        <v>52.0</v>
      </c>
      <c r="D610" s="10" t="s">
        <v>174</v>
      </c>
      <c r="E610" s="9">
        <v>5.0</v>
      </c>
      <c r="F610" s="9">
        <v>15.0</v>
      </c>
      <c r="G610" s="9">
        <v>74.0</v>
      </c>
      <c r="H610" s="9">
        <v>0.0</v>
      </c>
      <c r="I610" s="9">
        <v>0.0</v>
      </c>
      <c r="J610" s="9">
        <v>15.0</v>
      </c>
      <c r="K610" s="9">
        <v>74.0</v>
      </c>
      <c r="L610" s="9">
        <v>2.44</v>
      </c>
      <c r="M610" s="9">
        <v>36.6</v>
      </c>
      <c r="N610" s="9">
        <v>37.4</v>
      </c>
      <c r="O610" s="12">
        <v>45931.0</v>
      </c>
      <c r="P610" s="16"/>
    </row>
    <row r="611">
      <c r="A611" s="9">
        <v>2.411000046E9</v>
      </c>
      <c r="B611" s="10" t="s">
        <v>21</v>
      </c>
      <c r="C611" s="9">
        <v>53.0</v>
      </c>
      <c r="D611" s="10" t="s">
        <v>167</v>
      </c>
      <c r="E611" s="9">
        <v>3.0</v>
      </c>
      <c r="F611" s="9">
        <v>3.0</v>
      </c>
      <c r="G611" s="9">
        <v>9.0</v>
      </c>
      <c r="H611" s="9">
        <v>0.0</v>
      </c>
      <c r="I611" s="9">
        <v>0.0</v>
      </c>
      <c r="J611" s="9">
        <v>3.0</v>
      </c>
      <c r="K611" s="9">
        <v>9.0</v>
      </c>
      <c r="L611" s="9">
        <v>2.25</v>
      </c>
      <c r="M611" s="9">
        <v>6.75</v>
      </c>
      <c r="N611" s="9">
        <v>2.25</v>
      </c>
      <c r="O611" s="12">
        <v>45931.0</v>
      </c>
      <c r="P611" s="16"/>
    </row>
    <row r="612">
      <c r="A612" s="9">
        <v>2.411000046E9</v>
      </c>
      <c r="B612" s="10" t="s">
        <v>21</v>
      </c>
      <c r="C612" s="9">
        <v>54.0</v>
      </c>
      <c r="D612" s="10" t="s">
        <v>168</v>
      </c>
      <c r="E612" s="9">
        <v>3.0</v>
      </c>
      <c r="F612" s="9">
        <v>16.0</v>
      </c>
      <c r="G612" s="9">
        <v>48.0</v>
      </c>
      <c r="H612" s="9">
        <v>0.0</v>
      </c>
      <c r="I612" s="9">
        <v>0.0</v>
      </c>
      <c r="J612" s="9">
        <v>16.0</v>
      </c>
      <c r="K612" s="9">
        <v>48.0</v>
      </c>
      <c r="L612" s="9">
        <v>2.25</v>
      </c>
      <c r="M612" s="9">
        <v>36.0</v>
      </c>
      <c r="N612" s="9">
        <v>12.0</v>
      </c>
      <c r="O612" s="12">
        <v>45931.0</v>
      </c>
      <c r="P612" s="16"/>
    </row>
    <row r="613">
      <c r="A613" s="9">
        <v>2.411000046E9</v>
      </c>
      <c r="B613" s="10" t="s">
        <v>21</v>
      </c>
      <c r="C613" s="9">
        <v>55.0</v>
      </c>
      <c r="D613" s="10" t="s">
        <v>169</v>
      </c>
      <c r="E613" s="9">
        <v>5.0</v>
      </c>
      <c r="F613" s="9">
        <v>1.0</v>
      </c>
      <c r="G613" s="9">
        <v>4.0</v>
      </c>
      <c r="H613" s="9">
        <v>0.0</v>
      </c>
      <c r="I613" s="9">
        <v>0.0</v>
      </c>
      <c r="J613" s="9">
        <v>1.0</v>
      </c>
      <c r="K613" s="9">
        <v>4.0</v>
      </c>
      <c r="L613" s="9">
        <v>3.25</v>
      </c>
      <c r="M613" s="9">
        <v>3.25</v>
      </c>
      <c r="N613" s="9">
        <v>0.75</v>
      </c>
      <c r="O613" s="12">
        <v>45931.0</v>
      </c>
      <c r="P613" s="16"/>
    </row>
    <row r="614">
      <c r="A614" s="9">
        <v>2.411000046E9</v>
      </c>
      <c r="B614" s="10" t="s">
        <v>21</v>
      </c>
      <c r="C614" s="9">
        <v>56.0</v>
      </c>
      <c r="D614" s="10" t="s">
        <v>170</v>
      </c>
      <c r="E614" s="9">
        <v>7.0</v>
      </c>
      <c r="F614" s="9">
        <v>4.0</v>
      </c>
      <c r="G614" s="9">
        <v>24.0</v>
      </c>
      <c r="H614" s="9">
        <v>0.0</v>
      </c>
      <c r="I614" s="9">
        <v>0.0</v>
      </c>
      <c r="J614" s="9">
        <v>4.0</v>
      </c>
      <c r="K614" s="9">
        <v>24.0</v>
      </c>
      <c r="L614" s="9">
        <v>4.7</v>
      </c>
      <c r="M614" s="9">
        <v>18.8</v>
      </c>
      <c r="N614" s="9">
        <v>5.2</v>
      </c>
      <c r="O614" s="12">
        <v>45931.0</v>
      </c>
      <c r="P614" s="16"/>
    </row>
    <row r="615">
      <c r="A615" s="9">
        <v>2.411000046E9</v>
      </c>
      <c r="B615" s="10" t="s">
        <v>21</v>
      </c>
      <c r="C615" s="9">
        <v>64.0</v>
      </c>
      <c r="D615" s="10" t="s">
        <v>173</v>
      </c>
      <c r="E615" s="9">
        <v>3.0</v>
      </c>
      <c r="F615" s="9">
        <v>35.0</v>
      </c>
      <c r="G615" s="9">
        <v>105.0</v>
      </c>
      <c r="H615" s="9">
        <v>0.0</v>
      </c>
      <c r="I615" s="9">
        <v>0.0</v>
      </c>
      <c r="J615" s="9">
        <v>35.0</v>
      </c>
      <c r="K615" s="9">
        <v>105.0</v>
      </c>
      <c r="L615" s="9">
        <v>2.08</v>
      </c>
      <c r="M615" s="9">
        <v>72.8</v>
      </c>
      <c r="N615" s="9">
        <v>32.2</v>
      </c>
      <c r="O615" s="12">
        <v>45931.0</v>
      </c>
      <c r="P615" s="16"/>
    </row>
    <row r="616">
      <c r="A616" s="9">
        <v>2.411000046E9</v>
      </c>
      <c r="B616" s="10" t="s">
        <v>21</v>
      </c>
      <c r="C616" s="9">
        <v>70.0</v>
      </c>
      <c r="D616" s="10" t="s">
        <v>175</v>
      </c>
      <c r="E616" s="9">
        <v>5.0</v>
      </c>
      <c r="F616" s="9">
        <v>10.0</v>
      </c>
      <c r="G616" s="9">
        <v>50.0</v>
      </c>
      <c r="H616" s="9">
        <v>0.0</v>
      </c>
      <c r="I616" s="9">
        <v>0.0</v>
      </c>
      <c r="J616" s="9">
        <v>10.0</v>
      </c>
      <c r="K616" s="9">
        <v>50.0</v>
      </c>
      <c r="L616" s="9">
        <v>2.83</v>
      </c>
      <c r="M616" s="9">
        <v>28.3</v>
      </c>
      <c r="N616" s="9">
        <v>21.7</v>
      </c>
      <c r="O616" s="12">
        <v>45931.0</v>
      </c>
      <c r="P616" s="16"/>
    </row>
    <row r="617">
      <c r="A617" s="9">
        <v>2.411000046E9</v>
      </c>
      <c r="B617" s="10" t="s">
        <v>21</v>
      </c>
      <c r="C617" s="9">
        <v>71.0</v>
      </c>
      <c r="D617" s="10" t="s">
        <v>176</v>
      </c>
      <c r="E617" s="9">
        <v>5.0</v>
      </c>
      <c r="F617" s="9">
        <v>21.0</v>
      </c>
      <c r="G617" s="9">
        <v>105.0</v>
      </c>
      <c r="H617" s="9">
        <v>0.0</v>
      </c>
      <c r="I617" s="9">
        <v>0.0</v>
      </c>
      <c r="J617" s="9">
        <v>21.0</v>
      </c>
      <c r="K617" s="9">
        <v>105.0</v>
      </c>
      <c r="L617" s="9">
        <v>1.6</v>
      </c>
      <c r="M617" s="9">
        <v>33.6</v>
      </c>
      <c r="N617" s="9">
        <v>71.4</v>
      </c>
      <c r="O617" s="12">
        <v>45931.0</v>
      </c>
      <c r="P617" s="16"/>
    </row>
    <row r="618">
      <c r="A618" s="9">
        <v>2.411000046E9</v>
      </c>
      <c r="B618" s="10" t="s">
        <v>21</v>
      </c>
      <c r="C618" s="9">
        <v>73.0</v>
      </c>
      <c r="D618" s="10" t="s">
        <v>177</v>
      </c>
      <c r="E618" s="9">
        <v>3.0</v>
      </c>
      <c r="F618" s="9">
        <v>9.0</v>
      </c>
      <c r="G618" s="9">
        <v>27.0</v>
      </c>
      <c r="H618" s="9">
        <v>0.0</v>
      </c>
      <c r="I618" s="9">
        <v>0.0</v>
      </c>
      <c r="J618" s="9">
        <v>9.0</v>
      </c>
      <c r="K618" s="9">
        <v>27.0</v>
      </c>
      <c r="L618" s="9">
        <v>2.17</v>
      </c>
      <c r="M618" s="9">
        <v>19.53</v>
      </c>
      <c r="N618" s="9">
        <v>7.47</v>
      </c>
      <c r="O618" s="12">
        <v>45931.0</v>
      </c>
      <c r="P618" s="16"/>
    </row>
    <row r="619">
      <c r="A619" s="9">
        <v>2.411000046E9</v>
      </c>
      <c r="B619" s="10" t="s">
        <v>21</v>
      </c>
      <c r="C619" s="9">
        <v>75.0</v>
      </c>
      <c r="D619" s="10" t="s">
        <v>178</v>
      </c>
      <c r="E619" s="9">
        <v>4.0</v>
      </c>
      <c r="F619" s="9">
        <v>26.0</v>
      </c>
      <c r="G619" s="9">
        <v>60.0</v>
      </c>
      <c r="H619" s="9">
        <v>0.0</v>
      </c>
      <c r="I619" s="9">
        <v>0.0</v>
      </c>
      <c r="J619" s="9">
        <v>26.0</v>
      </c>
      <c r="K619" s="9">
        <v>60.0</v>
      </c>
      <c r="L619" s="9">
        <v>1.75</v>
      </c>
      <c r="M619" s="9">
        <v>45.5</v>
      </c>
      <c r="N619" s="9">
        <v>14.5</v>
      </c>
      <c r="O619" s="12">
        <v>45931.0</v>
      </c>
      <c r="P619" s="16"/>
    </row>
    <row r="620">
      <c r="A620" s="9">
        <v>2.411000046E9</v>
      </c>
      <c r="B620" s="10" t="s">
        <v>21</v>
      </c>
      <c r="C620" s="9">
        <v>76.0</v>
      </c>
      <c r="D620" s="10" t="s">
        <v>179</v>
      </c>
      <c r="E620" s="9">
        <v>10.0</v>
      </c>
      <c r="F620" s="9">
        <v>4.0</v>
      </c>
      <c r="G620" s="9">
        <v>40.0</v>
      </c>
      <c r="H620" s="9">
        <v>0.0</v>
      </c>
      <c r="I620" s="9">
        <v>0.0</v>
      </c>
      <c r="J620" s="9">
        <v>4.0</v>
      </c>
      <c r="K620" s="9">
        <v>40.0</v>
      </c>
      <c r="L620" s="9">
        <v>8.5</v>
      </c>
      <c r="M620" s="9">
        <v>34.0</v>
      </c>
      <c r="N620" s="9">
        <v>6.0</v>
      </c>
      <c r="O620" s="12">
        <v>45931.0</v>
      </c>
      <c r="P620" s="16"/>
    </row>
    <row r="621">
      <c r="A621" s="9">
        <v>2.503000216E9</v>
      </c>
      <c r="B621" s="18" t="s">
        <v>23</v>
      </c>
      <c r="C621" s="9">
        <v>1.0</v>
      </c>
      <c r="D621" s="10" t="s">
        <v>129</v>
      </c>
      <c r="E621" s="9">
        <v>5.0</v>
      </c>
      <c r="F621" s="9">
        <v>118.0</v>
      </c>
      <c r="G621" s="9">
        <v>589.0</v>
      </c>
      <c r="H621" s="9">
        <v>0.0</v>
      </c>
      <c r="I621" s="9">
        <v>0.0</v>
      </c>
      <c r="J621" s="9">
        <v>118.0</v>
      </c>
      <c r="K621" s="9">
        <v>589.0</v>
      </c>
      <c r="L621" s="9">
        <v>2.8</v>
      </c>
      <c r="M621" s="9">
        <v>330.4</v>
      </c>
      <c r="N621" s="9">
        <v>258.6</v>
      </c>
      <c r="O621" s="12">
        <v>45931.0</v>
      </c>
      <c r="P621" s="16"/>
    </row>
    <row r="622">
      <c r="A622" s="9">
        <v>2.503000216E9</v>
      </c>
      <c r="B622" s="18" t="s">
        <v>23</v>
      </c>
      <c r="C622" s="9">
        <v>2.0</v>
      </c>
      <c r="D622" s="10" t="s">
        <v>74</v>
      </c>
      <c r="E622" s="9">
        <v>1.0</v>
      </c>
      <c r="F622" s="9">
        <v>867.0</v>
      </c>
      <c r="G622" s="9">
        <v>873.0</v>
      </c>
      <c r="H622" s="9">
        <v>0.0</v>
      </c>
      <c r="I622" s="9">
        <v>0.0</v>
      </c>
      <c r="J622" s="9">
        <v>867.0</v>
      </c>
      <c r="K622" s="9">
        <v>873.0</v>
      </c>
      <c r="L622" s="9">
        <v>0.3</v>
      </c>
      <c r="M622" s="9">
        <v>260.1</v>
      </c>
      <c r="N622" s="9">
        <v>612.9</v>
      </c>
      <c r="O622" s="12">
        <v>45931.0</v>
      </c>
      <c r="P622" s="16"/>
    </row>
    <row r="623">
      <c r="A623" s="9">
        <v>2.503000216E9</v>
      </c>
      <c r="B623" s="18" t="s">
        <v>23</v>
      </c>
      <c r="C623" s="9">
        <v>3.0</v>
      </c>
      <c r="D623" s="10" t="s">
        <v>125</v>
      </c>
      <c r="E623" s="9">
        <v>7.0</v>
      </c>
      <c r="F623" s="9">
        <v>31.0</v>
      </c>
      <c r="G623" s="9">
        <v>186.0</v>
      </c>
      <c r="H623" s="9">
        <v>0.0</v>
      </c>
      <c r="I623" s="9">
        <v>0.0</v>
      </c>
      <c r="J623" s="9">
        <v>31.0</v>
      </c>
      <c r="K623" s="9">
        <v>186.0</v>
      </c>
      <c r="L623" s="9">
        <v>6.2</v>
      </c>
      <c r="M623" s="9">
        <v>192.2</v>
      </c>
      <c r="N623" s="9">
        <v>-6.2</v>
      </c>
      <c r="O623" s="12">
        <v>45931.0</v>
      </c>
      <c r="P623" s="16"/>
    </row>
    <row r="624">
      <c r="A624" s="9">
        <v>2.503000216E9</v>
      </c>
      <c r="B624" s="18" t="s">
        <v>23</v>
      </c>
      <c r="C624" s="9">
        <v>5.0</v>
      </c>
      <c r="D624" s="10" t="s">
        <v>131</v>
      </c>
      <c r="E624" s="9">
        <v>3.0</v>
      </c>
      <c r="F624" s="9">
        <v>2.0</v>
      </c>
      <c r="G624" s="9">
        <v>6.0</v>
      </c>
      <c r="H624" s="9">
        <v>0.0</v>
      </c>
      <c r="I624" s="9">
        <v>0.0</v>
      </c>
      <c r="J624" s="9">
        <v>2.0</v>
      </c>
      <c r="K624" s="9">
        <v>6.0</v>
      </c>
      <c r="L624" s="9">
        <v>2.0</v>
      </c>
      <c r="M624" s="9">
        <v>4.0</v>
      </c>
      <c r="N624" s="9">
        <v>2.0</v>
      </c>
      <c r="O624" s="12">
        <v>45931.0</v>
      </c>
      <c r="P624" s="16"/>
    </row>
    <row r="625">
      <c r="A625" s="9">
        <v>2.503000216E9</v>
      </c>
      <c r="B625" s="18" t="s">
        <v>23</v>
      </c>
      <c r="C625" s="9">
        <v>6.0</v>
      </c>
      <c r="D625" s="10" t="s">
        <v>109</v>
      </c>
      <c r="E625" s="9">
        <v>5.0</v>
      </c>
      <c r="F625" s="9">
        <v>265.0</v>
      </c>
      <c r="G625" s="9">
        <v>1325.0</v>
      </c>
      <c r="H625" s="9">
        <v>0.0</v>
      </c>
      <c r="I625" s="9">
        <v>0.0</v>
      </c>
      <c r="J625" s="9">
        <v>265.0</v>
      </c>
      <c r="K625" s="9">
        <v>1325.0</v>
      </c>
      <c r="L625" s="9">
        <v>3.08</v>
      </c>
      <c r="M625" s="9">
        <v>816.2</v>
      </c>
      <c r="N625" s="9">
        <v>508.8</v>
      </c>
      <c r="O625" s="12">
        <v>45931.0</v>
      </c>
      <c r="P625" s="16"/>
    </row>
    <row r="626">
      <c r="A626" s="9">
        <v>2.503000216E9</v>
      </c>
      <c r="B626" s="18" t="s">
        <v>23</v>
      </c>
      <c r="C626" s="9">
        <v>9.0</v>
      </c>
      <c r="D626" s="10" t="s">
        <v>134</v>
      </c>
      <c r="E626" s="9">
        <v>3.0</v>
      </c>
      <c r="F626" s="9">
        <v>24.0</v>
      </c>
      <c r="G626" s="9">
        <v>72.0</v>
      </c>
      <c r="H626" s="9">
        <v>0.0</v>
      </c>
      <c r="I626" s="9">
        <v>0.0</v>
      </c>
      <c r="J626" s="9">
        <v>24.0</v>
      </c>
      <c r="K626" s="9">
        <v>72.0</v>
      </c>
      <c r="L626" s="9">
        <v>1.83</v>
      </c>
      <c r="M626" s="9">
        <v>43.92</v>
      </c>
      <c r="N626" s="9">
        <v>28.08</v>
      </c>
      <c r="O626" s="12">
        <v>45931.0</v>
      </c>
      <c r="P626" s="16"/>
    </row>
    <row r="627">
      <c r="A627" s="9">
        <v>2.503000216E9</v>
      </c>
      <c r="B627" s="18" t="s">
        <v>23</v>
      </c>
      <c r="C627" s="9">
        <v>10.0</v>
      </c>
      <c r="D627" s="10" t="s">
        <v>135</v>
      </c>
      <c r="E627" s="9">
        <v>8.0</v>
      </c>
      <c r="F627" s="9">
        <v>23.0</v>
      </c>
      <c r="G627" s="9">
        <v>161.0</v>
      </c>
      <c r="H627" s="9">
        <v>0.0</v>
      </c>
      <c r="I627" s="9">
        <v>0.0</v>
      </c>
      <c r="J627" s="9">
        <v>23.0</v>
      </c>
      <c r="K627" s="9">
        <v>161.0</v>
      </c>
      <c r="L627" s="9">
        <v>5.83</v>
      </c>
      <c r="M627" s="9">
        <v>134.09</v>
      </c>
      <c r="N627" s="9">
        <v>26.91</v>
      </c>
      <c r="O627" s="12">
        <v>45931.0</v>
      </c>
      <c r="P627" s="16"/>
    </row>
    <row r="628">
      <c r="A628" s="9">
        <v>2.503000216E9</v>
      </c>
      <c r="B628" s="18" t="s">
        <v>23</v>
      </c>
      <c r="C628" s="9">
        <v>11.0</v>
      </c>
      <c r="D628" s="10" t="s">
        <v>86</v>
      </c>
      <c r="E628" s="9">
        <v>5.0</v>
      </c>
      <c r="F628" s="9">
        <v>69.0</v>
      </c>
      <c r="G628" s="9">
        <v>345.0</v>
      </c>
      <c r="H628" s="9">
        <v>0.0</v>
      </c>
      <c r="I628" s="9">
        <v>0.0</v>
      </c>
      <c r="J628" s="9">
        <v>69.0</v>
      </c>
      <c r="K628" s="9">
        <v>345.0</v>
      </c>
      <c r="L628" s="9">
        <v>3.5</v>
      </c>
      <c r="M628" s="9">
        <v>241.5</v>
      </c>
      <c r="N628" s="9">
        <v>103.5</v>
      </c>
      <c r="O628" s="12">
        <v>45931.0</v>
      </c>
      <c r="P628" s="16"/>
    </row>
    <row r="629">
      <c r="A629" s="9">
        <v>2.503000216E9</v>
      </c>
      <c r="B629" s="18" t="s">
        <v>23</v>
      </c>
      <c r="C629" s="9">
        <v>12.0</v>
      </c>
      <c r="D629" s="10" t="s">
        <v>136</v>
      </c>
      <c r="E629" s="9">
        <v>1.0</v>
      </c>
      <c r="F629" s="9">
        <v>377.0</v>
      </c>
      <c r="G629" s="9">
        <v>423.0</v>
      </c>
      <c r="H629" s="9">
        <v>0.0</v>
      </c>
      <c r="I629" s="9">
        <v>0.0</v>
      </c>
      <c r="J629" s="9">
        <v>377.0</v>
      </c>
      <c r="K629" s="9">
        <v>423.0</v>
      </c>
      <c r="L629" s="9">
        <v>0.6</v>
      </c>
      <c r="M629" s="9">
        <v>226.2</v>
      </c>
      <c r="N629" s="9">
        <v>196.8</v>
      </c>
      <c r="O629" s="12">
        <v>45931.0</v>
      </c>
      <c r="P629" s="16"/>
    </row>
    <row r="630">
      <c r="A630" s="9">
        <v>2.503000216E9</v>
      </c>
      <c r="B630" s="18" t="s">
        <v>23</v>
      </c>
      <c r="C630" s="9">
        <v>14.0</v>
      </c>
      <c r="D630" s="10" t="s">
        <v>138</v>
      </c>
      <c r="E630" s="9">
        <v>7.0</v>
      </c>
      <c r="F630" s="9">
        <v>35.0</v>
      </c>
      <c r="G630" s="9">
        <v>210.0</v>
      </c>
      <c r="H630" s="9">
        <v>0.0</v>
      </c>
      <c r="I630" s="9">
        <v>0.0</v>
      </c>
      <c r="J630" s="9">
        <v>35.0</v>
      </c>
      <c r="K630" s="9">
        <v>210.0</v>
      </c>
      <c r="L630" s="9">
        <v>5.8</v>
      </c>
      <c r="M630" s="9">
        <v>203.0</v>
      </c>
      <c r="N630" s="9">
        <v>7.0</v>
      </c>
      <c r="O630" s="12">
        <v>45931.0</v>
      </c>
      <c r="P630" s="16"/>
    </row>
    <row r="631">
      <c r="A631" s="9">
        <v>2.503000216E9</v>
      </c>
      <c r="B631" s="18" t="s">
        <v>23</v>
      </c>
      <c r="C631" s="9">
        <v>15.0</v>
      </c>
      <c r="D631" s="10" t="s">
        <v>55</v>
      </c>
      <c r="E631" s="9">
        <v>2.0</v>
      </c>
      <c r="F631" s="9">
        <v>124.0</v>
      </c>
      <c r="G631" s="9">
        <v>272.0</v>
      </c>
      <c r="H631" s="9">
        <v>0.0</v>
      </c>
      <c r="I631" s="9">
        <v>0.0</v>
      </c>
      <c r="J631" s="9">
        <v>124.0</v>
      </c>
      <c r="K631" s="9">
        <v>272.0</v>
      </c>
      <c r="L631" s="9">
        <v>1.54</v>
      </c>
      <c r="M631" s="9">
        <v>190.96</v>
      </c>
      <c r="N631" s="9">
        <v>81.04</v>
      </c>
      <c r="O631" s="12">
        <v>45931.0</v>
      </c>
      <c r="P631" s="16"/>
    </row>
    <row r="632">
      <c r="A632" s="9">
        <v>2.503000216E9</v>
      </c>
      <c r="B632" s="18" t="s">
        <v>23</v>
      </c>
      <c r="C632" s="9">
        <v>19.0</v>
      </c>
      <c r="D632" s="10" t="s">
        <v>72</v>
      </c>
      <c r="E632" s="9">
        <v>2.0</v>
      </c>
      <c r="F632" s="9">
        <v>143.0</v>
      </c>
      <c r="G632" s="9">
        <v>286.0</v>
      </c>
      <c r="H632" s="9">
        <v>0.0</v>
      </c>
      <c r="I632" s="9">
        <v>0.0</v>
      </c>
      <c r="J632" s="9">
        <v>143.0</v>
      </c>
      <c r="K632" s="9">
        <v>286.0</v>
      </c>
      <c r="L632" s="9">
        <v>1.33</v>
      </c>
      <c r="M632" s="9">
        <v>190.19</v>
      </c>
      <c r="N632" s="9">
        <v>95.81</v>
      </c>
      <c r="O632" s="12">
        <v>45931.0</v>
      </c>
      <c r="P632" s="16"/>
    </row>
    <row r="633">
      <c r="A633" s="9">
        <v>2.503000216E9</v>
      </c>
      <c r="B633" s="18" t="s">
        <v>23</v>
      </c>
      <c r="C633" s="9">
        <v>21.0</v>
      </c>
      <c r="D633" s="10" t="s">
        <v>79</v>
      </c>
      <c r="E633" s="9">
        <v>3.0</v>
      </c>
      <c r="F633" s="9">
        <v>96.0</v>
      </c>
      <c r="G633" s="9">
        <v>288.0</v>
      </c>
      <c r="H633" s="9">
        <v>0.0</v>
      </c>
      <c r="I633" s="9">
        <v>0.0</v>
      </c>
      <c r="J633" s="9">
        <v>96.0</v>
      </c>
      <c r="K633" s="9">
        <v>288.0</v>
      </c>
      <c r="L633" s="9">
        <v>2.2</v>
      </c>
      <c r="M633" s="9">
        <v>211.2</v>
      </c>
      <c r="N633" s="9">
        <v>76.8</v>
      </c>
      <c r="O633" s="12">
        <v>45931.0</v>
      </c>
      <c r="P633" s="16"/>
    </row>
    <row r="634">
      <c r="A634" s="9">
        <v>2.503000216E9</v>
      </c>
      <c r="B634" s="18" t="s">
        <v>23</v>
      </c>
      <c r="C634" s="9">
        <v>22.0</v>
      </c>
      <c r="D634" s="10" t="s">
        <v>142</v>
      </c>
      <c r="E634" s="9">
        <v>5.0</v>
      </c>
      <c r="F634" s="9">
        <v>103.0</v>
      </c>
      <c r="G634" s="9">
        <v>427.0</v>
      </c>
      <c r="H634" s="9">
        <v>0.0</v>
      </c>
      <c r="I634" s="9">
        <v>0.0</v>
      </c>
      <c r="J634" s="9">
        <v>103.0</v>
      </c>
      <c r="K634" s="9">
        <v>427.0</v>
      </c>
      <c r="L634" s="9">
        <v>2.92</v>
      </c>
      <c r="M634" s="9">
        <v>300.76</v>
      </c>
      <c r="N634" s="9">
        <v>126.24</v>
      </c>
      <c r="O634" s="12">
        <v>45931.0</v>
      </c>
      <c r="P634" s="16"/>
    </row>
    <row r="635">
      <c r="A635" s="9">
        <v>2.503000216E9</v>
      </c>
      <c r="B635" s="18" t="s">
        <v>23</v>
      </c>
      <c r="C635" s="9">
        <v>23.0</v>
      </c>
      <c r="D635" s="10" t="s">
        <v>143</v>
      </c>
      <c r="E635" s="9">
        <v>5.0</v>
      </c>
      <c r="F635" s="9">
        <v>7.0</v>
      </c>
      <c r="G635" s="9">
        <v>31.0</v>
      </c>
      <c r="H635" s="9">
        <v>0.0</v>
      </c>
      <c r="I635" s="9">
        <v>0.0</v>
      </c>
      <c r="J635" s="9">
        <v>7.0</v>
      </c>
      <c r="K635" s="9">
        <v>31.0</v>
      </c>
      <c r="L635" s="9">
        <v>3.41</v>
      </c>
      <c r="M635" s="9">
        <v>23.87</v>
      </c>
      <c r="N635" s="9">
        <v>7.13</v>
      </c>
      <c r="O635" s="12">
        <v>45931.0</v>
      </c>
      <c r="P635" s="16"/>
    </row>
    <row r="636">
      <c r="A636" s="9">
        <v>2.503000216E9</v>
      </c>
      <c r="B636" s="18" t="s">
        <v>23</v>
      </c>
      <c r="C636" s="9">
        <v>25.0</v>
      </c>
      <c r="D636" s="10" t="s">
        <v>144</v>
      </c>
      <c r="E636" s="9">
        <v>5.0</v>
      </c>
      <c r="F636" s="9">
        <v>10.0</v>
      </c>
      <c r="G636" s="9">
        <v>50.0</v>
      </c>
      <c r="H636" s="9">
        <v>0.0</v>
      </c>
      <c r="I636" s="9">
        <v>0.0</v>
      </c>
      <c r="J636" s="9">
        <v>10.0</v>
      </c>
      <c r="K636" s="9">
        <v>50.0</v>
      </c>
      <c r="L636" s="9">
        <v>3.5</v>
      </c>
      <c r="M636" s="9">
        <v>35.0</v>
      </c>
      <c r="N636" s="9">
        <v>15.0</v>
      </c>
      <c r="O636" s="12">
        <v>45931.0</v>
      </c>
      <c r="P636" s="16"/>
    </row>
    <row r="637">
      <c r="A637" s="9">
        <v>2.503000216E9</v>
      </c>
      <c r="B637" s="18" t="s">
        <v>23</v>
      </c>
      <c r="C637" s="9">
        <v>26.0</v>
      </c>
      <c r="D637" s="10" t="s">
        <v>145</v>
      </c>
      <c r="E637" s="9">
        <v>5.0</v>
      </c>
      <c r="F637" s="9">
        <v>8.0</v>
      </c>
      <c r="G637" s="9">
        <v>40.0</v>
      </c>
      <c r="H637" s="9">
        <v>0.0</v>
      </c>
      <c r="I637" s="9">
        <v>0.0</v>
      </c>
      <c r="J637" s="9">
        <v>8.0</v>
      </c>
      <c r="K637" s="9">
        <v>40.0</v>
      </c>
      <c r="L637" s="9">
        <v>3.75</v>
      </c>
      <c r="M637" s="9">
        <v>30.0</v>
      </c>
      <c r="N637" s="9">
        <v>10.0</v>
      </c>
      <c r="O637" s="12">
        <v>45931.0</v>
      </c>
      <c r="P637" s="16"/>
    </row>
    <row r="638">
      <c r="A638" s="9">
        <v>2.503000216E9</v>
      </c>
      <c r="B638" s="18" t="s">
        <v>23</v>
      </c>
      <c r="C638" s="9">
        <v>28.0</v>
      </c>
      <c r="D638" s="10" t="s">
        <v>146</v>
      </c>
      <c r="E638" s="9">
        <v>5.0</v>
      </c>
      <c r="F638" s="9">
        <v>34.0</v>
      </c>
      <c r="G638" s="9">
        <v>154.0</v>
      </c>
      <c r="H638" s="9">
        <v>0.0</v>
      </c>
      <c r="I638" s="9">
        <v>0.0</v>
      </c>
      <c r="J638" s="9">
        <v>34.0</v>
      </c>
      <c r="K638" s="9">
        <v>154.0</v>
      </c>
      <c r="L638" s="9">
        <v>4.5</v>
      </c>
      <c r="M638" s="9">
        <v>153.0</v>
      </c>
      <c r="N638" s="9">
        <v>1.0</v>
      </c>
      <c r="O638" s="12">
        <v>45931.0</v>
      </c>
      <c r="P638" s="16"/>
    </row>
    <row r="639">
      <c r="A639" s="9">
        <v>2.503000216E9</v>
      </c>
      <c r="B639" s="18" t="s">
        <v>23</v>
      </c>
      <c r="C639" s="9">
        <v>29.0</v>
      </c>
      <c r="D639" s="10" t="s">
        <v>147</v>
      </c>
      <c r="E639" s="9">
        <v>3.0</v>
      </c>
      <c r="F639" s="9">
        <v>73.0</v>
      </c>
      <c r="G639" s="9">
        <v>219.0</v>
      </c>
      <c r="H639" s="9">
        <v>0.0</v>
      </c>
      <c r="I639" s="9">
        <v>0.0</v>
      </c>
      <c r="J639" s="9">
        <v>73.0</v>
      </c>
      <c r="K639" s="9">
        <v>219.0</v>
      </c>
      <c r="L639" s="9">
        <v>2.25</v>
      </c>
      <c r="M639" s="9">
        <v>164.25</v>
      </c>
      <c r="N639" s="9">
        <v>54.75</v>
      </c>
      <c r="O639" s="12">
        <v>45931.0</v>
      </c>
      <c r="P639" s="16"/>
    </row>
    <row r="640">
      <c r="A640" s="9">
        <v>2.503000216E9</v>
      </c>
      <c r="B640" s="18" t="s">
        <v>23</v>
      </c>
      <c r="C640" s="9">
        <v>30.0</v>
      </c>
      <c r="D640" s="10" t="s">
        <v>148</v>
      </c>
      <c r="E640" s="9">
        <v>5.0</v>
      </c>
      <c r="F640" s="9">
        <v>10.0</v>
      </c>
      <c r="G640" s="9">
        <v>50.0</v>
      </c>
      <c r="H640" s="9">
        <v>0.0</v>
      </c>
      <c r="I640" s="9">
        <v>0.0</v>
      </c>
      <c r="J640" s="9">
        <v>10.0</v>
      </c>
      <c r="K640" s="9">
        <v>50.0</v>
      </c>
      <c r="L640" s="9">
        <v>3.6</v>
      </c>
      <c r="M640" s="9">
        <v>36.0</v>
      </c>
      <c r="N640" s="9">
        <v>14.0</v>
      </c>
      <c r="O640" s="12">
        <v>45931.0</v>
      </c>
      <c r="P640" s="16"/>
    </row>
    <row r="641">
      <c r="A641" s="9">
        <v>2.503000216E9</v>
      </c>
      <c r="B641" s="18" t="s">
        <v>23</v>
      </c>
      <c r="C641" s="9">
        <v>32.0</v>
      </c>
      <c r="D641" s="10" t="s">
        <v>150</v>
      </c>
      <c r="E641" s="9">
        <v>3.0</v>
      </c>
      <c r="F641" s="9">
        <v>24.0</v>
      </c>
      <c r="G641" s="9">
        <v>72.0</v>
      </c>
      <c r="H641" s="9">
        <v>0.0</v>
      </c>
      <c r="I641" s="9">
        <v>0.0</v>
      </c>
      <c r="J641" s="9">
        <v>24.0</v>
      </c>
      <c r="K641" s="9">
        <v>72.0</v>
      </c>
      <c r="L641" s="9">
        <v>2.0</v>
      </c>
      <c r="M641" s="9">
        <v>48.0</v>
      </c>
      <c r="N641" s="9">
        <v>24.0</v>
      </c>
      <c r="O641" s="12">
        <v>45931.0</v>
      </c>
      <c r="P641" s="16"/>
    </row>
    <row r="642">
      <c r="A642" s="9">
        <v>2.503000216E9</v>
      </c>
      <c r="B642" s="18" t="s">
        <v>23</v>
      </c>
      <c r="C642" s="9">
        <v>42.0</v>
      </c>
      <c r="D642" s="10" t="s">
        <v>70</v>
      </c>
      <c r="E642" s="9">
        <v>4.0</v>
      </c>
      <c r="F642" s="9">
        <v>4.0</v>
      </c>
      <c r="G642" s="9">
        <v>16.0</v>
      </c>
      <c r="H642" s="9">
        <v>0.0</v>
      </c>
      <c r="I642" s="9">
        <v>0.0</v>
      </c>
      <c r="J642" s="9">
        <v>4.0</v>
      </c>
      <c r="K642" s="9">
        <v>16.0</v>
      </c>
      <c r="L642" s="9">
        <v>2.96</v>
      </c>
      <c r="M642" s="9">
        <v>11.84</v>
      </c>
      <c r="N642" s="9">
        <v>4.16</v>
      </c>
      <c r="O642" s="12">
        <v>45931.0</v>
      </c>
      <c r="P642" s="16"/>
    </row>
    <row r="643">
      <c r="A643" s="9">
        <v>2.503000216E9</v>
      </c>
      <c r="B643" s="18" t="s">
        <v>23</v>
      </c>
      <c r="C643" s="9">
        <v>43.0</v>
      </c>
      <c r="D643" s="10" t="s">
        <v>159</v>
      </c>
      <c r="E643" s="9">
        <v>5.0</v>
      </c>
      <c r="F643" s="9">
        <v>34.0</v>
      </c>
      <c r="G643" s="9">
        <v>170.0</v>
      </c>
      <c r="H643" s="9">
        <v>0.0</v>
      </c>
      <c r="I643" s="9">
        <v>0.0</v>
      </c>
      <c r="J643" s="9">
        <v>34.0</v>
      </c>
      <c r="K643" s="9">
        <v>170.0</v>
      </c>
      <c r="L643" s="9">
        <v>2.33</v>
      </c>
      <c r="M643" s="9">
        <v>79.22</v>
      </c>
      <c r="N643" s="9">
        <v>90.78</v>
      </c>
      <c r="O643" s="12">
        <v>45931.0</v>
      </c>
      <c r="P643" s="16"/>
    </row>
    <row r="644">
      <c r="A644" s="9">
        <v>2.503000216E9</v>
      </c>
      <c r="B644" s="18" t="s">
        <v>23</v>
      </c>
      <c r="C644" s="9">
        <v>47.0</v>
      </c>
      <c r="D644" s="10" t="s">
        <v>162</v>
      </c>
      <c r="E644" s="9">
        <v>5.0</v>
      </c>
      <c r="F644" s="9">
        <v>31.0</v>
      </c>
      <c r="G644" s="9">
        <v>155.0</v>
      </c>
      <c r="H644" s="9">
        <v>0.0</v>
      </c>
      <c r="I644" s="9">
        <v>0.0</v>
      </c>
      <c r="J644" s="9">
        <v>31.0</v>
      </c>
      <c r="K644" s="9">
        <v>155.0</v>
      </c>
      <c r="L644" s="9">
        <v>2.05</v>
      </c>
      <c r="M644" s="9">
        <v>63.55</v>
      </c>
      <c r="N644" s="9">
        <v>91.45</v>
      </c>
      <c r="O644" s="12">
        <v>45931.0</v>
      </c>
      <c r="P644" s="16"/>
    </row>
    <row r="645">
      <c r="A645" s="9">
        <v>2.503000216E9</v>
      </c>
      <c r="B645" s="18" t="s">
        <v>23</v>
      </c>
      <c r="C645" s="9">
        <v>48.0</v>
      </c>
      <c r="D645" s="10" t="s">
        <v>163</v>
      </c>
      <c r="E645" s="9">
        <v>4.0</v>
      </c>
      <c r="F645" s="9">
        <v>14.0</v>
      </c>
      <c r="G645" s="9">
        <v>56.0</v>
      </c>
      <c r="H645" s="9">
        <v>0.0</v>
      </c>
      <c r="I645" s="9">
        <v>0.0</v>
      </c>
      <c r="J645" s="9">
        <v>14.0</v>
      </c>
      <c r="K645" s="9">
        <v>56.0</v>
      </c>
      <c r="L645" s="9">
        <v>3.0</v>
      </c>
      <c r="M645" s="9">
        <v>42.0</v>
      </c>
      <c r="N645" s="9">
        <v>14.0</v>
      </c>
      <c r="O645" s="12">
        <v>45931.0</v>
      </c>
      <c r="P645" s="16"/>
    </row>
    <row r="646">
      <c r="A646" s="9">
        <v>2.503000216E9</v>
      </c>
      <c r="B646" s="18" t="s">
        <v>23</v>
      </c>
      <c r="C646" s="9">
        <v>49.0</v>
      </c>
      <c r="D646" s="10" t="s">
        <v>165</v>
      </c>
      <c r="E646" s="9">
        <v>3.0</v>
      </c>
      <c r="F646" s="9">
        <v>3.0</v>
      </c>
      <c r="G646" s="9">
        <v>9.0</v>
      </c>
      <c r="H646" s="9">
        <v>0.0</v>
      </c>
      <c r="I646" s="9">
        <v>0.0</v>
      </c>
      <c r="J646" s="9">
        <v>3.0</v>
      </c>
      <c r="K646" s="9">
        <v>9.0</v>
      </c>
      <c r="L646" s="9">
        <v>1.75</v>
      </c>
      <c r="M646" s="9">
        <v>5.25</v>
      </c>
      <c r="N646" s="9">
        <v>3.75</v>
      </c>
      <c r="O646" s="12">
        <v>45931.0</v>
      </c>
      <c r="P646" s="16"/>
    </row>
    <row r="647">
      <c r="A647" s="9">
        <v>2.503000216E9</v>
      </c>
      <c r="B647" s="18" t="s">
        <v>23</v>
      </c>
      <c r="C647" s="9">
        <v>53.0</v>
      </c>
      <c r="D647" s="10" t="s">
        <v>167</v>
      </c>
      <c r="E647" s="9">
        <v>3.0</v>
      </c>
      <c r="F647" s="9">
        <v>29.0</v>
      </c>
      <c r="G647" s="9">
        <v>87.0</v>
      </c>
      <c r="H647" s="9">
        <v>0.0</v>
      </c>
      <c r="I647" s="9">
        <v>0.0</v>
      </c>
      <c r="J647" s="9">
        <v>29.0</v>
      </c>
      <c r="K647" s="9">
        <v>87.0</v>
      </c>
      <c r="L647" s="9">
        <v>2.25</v>
      </c>
      <c r="M647" s="9">
        <v>65.25</v>
      </c>
      <c r="N647" s="9">
        <v>21.75</v>
      </c>
      <c r="O647" s="12">
        <v>45931.0</v>
      </c>
      <c r="P647" s="16"/>
    </row>
    <row r="648">
      <c r="A648" s="9">
        <v>2.503000216E9</v>
      </c>
      <c r="B648" s="18" t="s">
        <v>23</v>
      </c>
      <c r="C648" s="9">
        <v>54.0</v>
      </c>
      <c r="D648" s="10" t="s">
        <v>168</v>
      </c>
      <c r="E648" s="9">
        <v>3.0</v>
      </c>
      <c r="F648" s="9">
        <v>40.0</v>
      </c>
      <c r="G648" s="9">
        <v>120.0</v>
      </c>
      <c r="H648" s="9">
        <v>0.0</v>
      </c>
      <c r="I648" s="9">
        <v>0.0</v>
      </c>
      <c r="J648" s="9">
        <v>40.0</v>
      </c>
      <c r="K648" s="9">
        <v>120.0</v>
      </c>
      <c r="L648" s="9">
        <v>2.25</v>
      </c>
      <c r="M648" s="9">
        <v>90.0</v>
      </c>
      <c r="N648" s="9">
        <v>30.0</v>
      </c>
      <c r="O648" s="12">
        <v>45931.0</v>
      </c>
      <c r="P648" s="16"/>
    </row>
    <row r="649">
      <c r="A649" s="9">
        <v>2.503000216E9</v>
      </c>
      <c r="B649" s="18" t="s">
        <v>23</v>
      </c>
      <c r="C649" s="9">
        <v>64.0</v>
      </c>
      <c r="D649" s="10" t="s">
        <v>173</v>
      </c>
      <c r="E649" s="9">
        <v>3.0</v>
      </c>
      <c r="F649" s="9">
        <v>39.0</v>
      </c>
      <c r="G649" s="9">
        <v>117.0</v>
      </c>
      <c r="H649" s="9">
        <v>0.0</v>
      </c>
      <c r="I649" s="9">
        <v>0.0</v>
      </c>
      <c r="J649" s="9">
        <v>39.0</v>
      </c>
      <c r="K649" s="9">
        <v>117.0</v>
      </c>
      <c r="L649" s="9">
        <v>2.08</v>
      </c>
      <c r="M649" s="9">
        <v>81.12</v>
      </c>
      <c r="N649" s="9">
        <v>35.88</v>
      </c>
      <c r="O649" s="12">
        <v>45931.0</v>
      </c>
      <c r="P649" s="16"/>
    </row>
    <row r="650">
      <c r="A650" s="9">
        <v>2.503000216E9</v>
      </c>
      <c r="B650" s="18" t="s">
        <v>23</v>
      </c>
      <c r="C650" s="9">
        <v>73.0</v>
      </c>
      <c r="D650" s="10" t="s">
        <v>177</v>
      </c>
      <c r="E650" s="9">
        <v>3.0</v>
      </c>
      <c r="F650" s="9">
        <v>12.0</v>
      </c>
      <c r="G650" s="9">
        <v>36.0</v>
      </c>
      <c r="H650" s="9">
        <v>0.0</v>
      </c>
      <c r="I650" s="9">
        <v>0.0</v>
      </c>
      <c r="J650" s="9">
        <v>12.0</v>
      </c>
      <c r="K650" s="9">
        <v>36.0</v>
      </c>
      <c r="L650" s="9">
        <v>2.17</v>
      </c>
      <c r="M650" s="9">
        <v>26.04</v>
      </c>
      <c r="N650" s="9">
        <v>9.96</v>
      </c>
      <c r="O650" s="12">
        <v>45931.0</v>
      </c>
      <c r="P650" s="16"/>
    </row>
    <row r="651">
      <c r="A651" s="9">
        <v>2.503000216E9</v>
      </c>
      <c r="B651" s="18" t="s">
        <v>23</v>
      </c>
      <c r="C651" s="9">
        <v>75.0</v>
      </c>
      <c r="D651" s="10" t="s">
        <v>178</v>
      </c>
      <c r="E651" s="9">
        <v>4.0</v>
      </c>
      <c r="F651" s="9">
        <v>10.0</v>
      </c>
      <c r="G651" s="9">
        <v>40.0</v>
      </c>
      <c r="H651" s="9">
        <v>0.0</v>
      </c>
      <c r="I651" s="9">
        <v>0.0</v>
      </c>
      <c r="J651" s="9">
        <v>10.0</v>
      </c>
      <c r="K651" s="9">
        <v>40.0</v>
      </c>
      <c r="L651" s="9">
        <v>1.75</v>
      </c>
      <c r="M651" s="9">
        <v>17.5</v>
      </c>
      <c r="N651" s="9">
        <v>22.5</v>
      </c>
      <c r="O651" s="12">
        <v>45931.0</v>
      </c>
      <c r="P651" s="16"/>
    </row>
    <row r="652">
      <c r="A652" s="9">
        <v>2.503000216E9</v>
      </c>
      <c r="B652" s="18" t="s">
        <v>23</v>
      </c>
      <c r="C652" s="9">
        <v>83.0</v>
      </c>
      <c r="D652" s="10" t="s">
        <v>180</v>
      </c>
      <c r="E652" s="9">
        <v>7.0</v>
      </c>
      <c r="F652" s="9">
        <v>3.0</v>
      </c>
      <c r="G652" s="9">
        <v>21.0</v>
      </c>
      <c r="H652" s="9">
        <v>0.0</v>
      </c>
      <c r="I652" s="9">
        <v>0.0</v>
      </c>
      <c r="J652" s="9">
        <v>3.0</v>
      </c>
      <c r="K652" s="9">
        <v>21.0</v>
      </c>
      <c r="L652" s="9">
        <v>6.0</v>
      </c>
      <c r="M652" s="9">
        <v>18.0</v>
      </c>
      <c r="N652" s="9">
        <v>3.0</v>
      </c>
      <c r="O652" s="12">
        <v>45931.0</v>
      </c>
      <c r="P652" s="16"/>
    </row>
    <row r="653">
      <c r="A653" s="9">
        <v>2.503000216E9</v>
      </c>
      <c r="B653" s="18" t="s">
        <v>23</v>
      </c>
      <c r="C653" s="9">
        <v>84.0</v>
      </c>
      <c r="D653" s="10" t="s">
        <v>181</v>
      </c>
      <c r="E653" s="9">
        <v>4.0</v>
      </c>
      <c r="F653" s="9">
        <v>1.0</v>
      </c>
      <c r="G653" s="9">
        <v>4.0</v>
      </c>
      <c r="H653" s="9">
        <v>0.0</v>
      </c>
      <c r="I653" s="9">
        <v>0.0</v>
      </c>
      <c r="J653" s="9">
        <v>1.0</v>
      </c>
      <c r="K653" s="9">
        <v>4.0</v>
      </c>
      <c r="L653" s="9">
        <v>2.6</v>
      </c>
      <c r="M653" s="9">
        <v>2.6</v>
      </c>
      <c r="N653" s="9">
        <v>1.4</v>
      </c>
      <c r="O653" s="12">
        <v>45931.0</v>
      </c>
      <c r="P653" s="16"/>
    </row>
    <row r="654">
      <c r="A654" s="9">
        <v>2.503000217E9</v>
      </c>
      <c r="B654" s="10" t="s">
        <v>27</v>
      </c>
      <c r="C654" s="9">
        <v>2.0</v>
      </c>
      <c r="D654" s="10" t="s">
        <v>74</v>
      </c>
      <c r="E654" s="9">
        <v>1.0</v>
      </c>
      <c r="F654" s="9">
        <v>446.0</v>
      </c>
      <c r="G654" s="9">
        <v>446.0</v>
      </c>
      <c r="H654" s="9">
        <v>0.0</v>
      </c>
      <c r="I654" s="9">
        <v>0.0</v>
      </c>
      <c r="J654" s="9">
        <v>446.0</v>
      </c>
      <c r="K654" s="9">
        <v>446.0</v>
      </c>
      <c r="L654" s="9">
        <v>0.3</v>
      </c>
      <c r="M654" s="9">
        <v>133.8</v>
      </c>
      <c r="N654" s="9">
        <v>312.2</v>
      </c>
      <c r="O654" s="12">
        <v>45931.0</v>
      </c>
      <c r="P654" s="16"/>
    </row>
    <row r="655">
      <c r="A655" s="9">
        <v>2.503000217E9</v>
      </c>
      <c r="B655" s="10" t="s">
        <v>27</v>
      </c>
      <c r="C655" s="9">
        <v>6.0</v>
      </c>
      <c r="D655" s="10" t="s">
        <v>109</v>
      </c>
      <c r="E655" s="9">
        <v>5.0</v>
      </c>
      <c r="F655" s="9">
        <v>2.0</v>
      </c>
      <c r="G655" s="9">
        <v>16.0</v>
      </c>
      <c r="H655" s="9">
        <v>0.0</v>
      </c>
      <c r="I655" s="9">
        <v>0.0</v>
      </c>
      <c r="J655" s="9">
        <v>2.0</v>
      </c>
      <c r="K655" s="9">
        <v>16.0</v>
      </c>
      <c r="L655" s="9">
        <v>3.08</v>
      </c>
      <c r="M655" s="9">
        <v>6.16</v>
      </c>
      <c r="N655" s="9">
        <v>9.84</v>
      </c>
      <c r="O655" s="12">
        <v>45931.0</v>
      </c>
      <c r="P655" s="16"/>
    </row>
    <row r="656">
      <c r="A656" s="9">
        <v>2.503000217E9</v>
      </c>
      <c r="B656" s="10" t="s">
        <v>27</v>
      </c>
      <c r="C656" s="9">
        <v>12.0</v>
      </c>
      <c r="D656" s="10" t="s">
        <v>136</v>
      </c>
      <c r="E656" s="9">
        <v>1.0</v>
      </c>
      <c r="F656" s="9">
        <v>253.0</v>
      </c>
      <c r="G656" s="9">
        <v>273.0</v>
      </c>
      <c r="H656" s="9">
        <v>0.0</v>
      </c>
      <c r="I656" s="9">
        <v>0.0</v>
      </c>
      <c r="J656" s="9">
        <v>253.0</v>
      </c>
      <c r="K656" s="9">
        <v>273.0</v>
      </c>
      <c r="L656" s="9">
        <v>0.6</v>
      </c>
      <c r="M656" s="9">
        <v>151.8</v>
      </c>
      <c r="N656" s="9">
        <v>121.2</v>
      </c>
      <c r="O656" s="12">
        <v>45931.0</v>
      </c>
      <c r="P656" s="16"/>
    </row>
    <row r="657">
      <c r="A657" s="9">
        <v>2.503000217E9</v>
      </c>
      <c r="B657" s="10" t="s">
        <v>27</v>
      </c>
      <c r="C657" s="9">
        <v>15.0</v>
      </c>
      <c r="D657" s="10" t="s">
        <v>55</v>
      </c>
      <c r="E657" s="9">
        <v>2.0</v>
      </c>
      <c r="F657" s="9">
        <v>6.0</v>
      </c>
      <c r="G657" s="9">
        <v>18.0</v>
      </c>
      <c r="H657" s="9">
        <v>0.0</v>
      </c>
      <c r="I657" s="9">
        <v>0.0</v>
      </c>
      <c r="J657" s="9">
        <v>6.0</v>
      </c>
      <c r="K657" s="9">
        <v>18.0</v>
      </c>
      <c r="L657" s="9">
        <v>1.54</v>
      </c>
      <c r="M657" s="9">
        <v>9.24</v>
      </c>
      <c r="N657" s="9">
        <v>8.76</v>
      </c>
      <c r="O657" s="12">
        <v>45931.0</v>
      </c>
      <c r="P657" s="16"/>
    </row>
    <row r="658">
      <c r="A658" s="9">
        <v>2.503000217E9</v>
      </c>
      <c r="B658" s="10" t="s">
        <v>27</v>
      </c>
      <c r="C658" s="9">
        <v>32.0</v>
      </c>
      <c r="D658" s="10" t="s">
        <v>150</v>
      </c>
      <c r="E658" s="9">
        <v>3.0</v>
      </c>
      <c r="F658" s="9">
        <v>67.0</v>
      </c>
      <c r="G658" s="9">
        <v>201.0</v>
      </c>
      <c r="H658" s="9">
        <v>0.0</v>
      </c>
      <c r="I658" s="9">
        <v>0.0</v>
      </c>
      <c r="J658" s="9">
        <v>67.0</v>
      </c>
      <c r="K658" s="9">
        <v>201.0</v>
      </c>
      <c r="L658" s="9">
        <v>2.0</v>
      </c>
      <c r="M658" s="9">
        <v>134.0</v>
      </c>
      <c r="N658" s="9">
        <v>67.0</v>
      </c>
      <c r="O658" s="12">
        <v>45931.0</v>
      </c>
      <c r="P658" s="16"/>
    </row>
    <row r="659">
      <c r="A659" s="9">
        <v>2.503000217E9</v>
      </c>
      <c r="B659" s="10" t="s">
        <v>27</v>
      </c>
      <c r="C659" s="9">
        <v>38.0</v>
      </c>
      <c r="D659" s="10" t="s">
        <v>155</v>
      </c>
      <c r="E659" s="9">
        <v>7.0</v>
      </c>
      <c r="F659" s="9">
        <v>5.0</v>
      </c>
      <c r="G659" s="9">
        <v>40.0</v>
      </c>
      <c r="H659" s="9">
        <v>0.0</v>
      </c>
      <c r="I659" s="9">
        <v>0.0</v>
      </c>
      <c r="J659" s="9">
        <v>5.0</v>
      </c>
      <c r="K659" s="9">
        <v>40.0</v>
      </c>
      <c r="L659" s="9">
        <v>5.18</v>
      </c>
      <c r="M659" s="9">
        <v>25.9</v>
      </c>
      <c r="N659" s="9">
        <v>14.1</v>
      </c>
      <c r="O659" s="12">
        <v>45931.0</v>
      </c>
      <c r="P659" s="16"/>
    </row>
    <row r="660">
      <c r="A660" s="9">
        <v>2.503000217E9</v>
      </c>
      <c r="B660" s="10" t="s">
        <v>27</v>
      </c>
      <c r="C660" s="9">
        <v>41.0</v>
      </c>
      <c r="D660" s="10" t="s">
        <v>157</v>
      </c>
      <c r="E660" s="9">
        <v>5.0</v>
      </c>
      <c r="F660" s="9">
        <v>18.0</v>
      </c>
      <c r="G660" s="9">
        <v>112.0</v>
      </c>
      <c r="H660" s="9">
        <v>0.0</v>
      </c>
      <c r="I660" s="9">
        <v>0.0</v>
      </c>
      <c r="J660" s="9">
        <v>18.0</v>
      </c>
      <c r="K660" s="9">
        <v>112.0</v>
      </c>
      <c r="L660" s="9">
        <v>3.25</v>
      </c>
      <c r="M660" s="9">
        <v>58.5</v>
      </c>
      <c r="N660" s="9">
        <v>53.5</v>
      </c>
      <c r="O660" s="12">
        <v>45931.0</v>
      </c>
      <c r="P660" s="16"/>
    </row>
    <row r="661">
      <c r="A661" s="9">
        <v>2.503000217E9</v>
      </c>
      <c r="B661" s="10" t="s">
        <v>27</v>
      </c>
      <c r="C661" s="9">
        <v>44.0</v>
      </c>
      <c r="D661" s="10" t="s">
        <v>160</v>
      </c>
      <c r="E661" s="9">
        <v>5.0</v>
      </c>
      <c r="F661" s="9">
        <v>14.0</v>
      </c>
      <c r="G661" s="9">
        <v>66.0</v>
      </c>
      <c r="H661" s="9">
        <v>0.0</v>
      </c>
      <c r="I661" s="9">
        <v>0.0</v>
      </c>
      <c r="J661" s="9">
        <v>14.0</v>
      </c>
      <c r="K661" s="9">
        <v>66.0</v>
      </c>
      <c r="L661" s="9">
        <v>4.13</v>
      </c>
      <c r="M661" s="9">
        <v>57.82</v>
      </c>
      <c r="N661" s="9">
        <v>8.18</v>
      </c>
      <c r="O661" s="12">
        <v>45931.0</v>
      </c>
      <c r="P661" s="16"/>
    </row>
    <row r="662">
      <c r="A662" s="9">
        <v>2.503000217E9</v>
      </c>
      <c r="B662" s="10" t="s">
        <v>27</v>
      </c>
      <c r="C662" s="9">
        <v>57.0</v>
      </c>
      <c r="D662" s="10" t="s">
        <v>182</v>
      </c>
      <c r="E662" s="9">
        <v>4.0</v>
      </c>
      <c r="F662" s="9">
        <v>8.0</v>
      </c>
      <c r="G662" s="9">
        <v>32.0</v>
      </c>
      <c r="H662" s="9">
        <v>0.0</v>
      </c>
      <c r="I662" s="9">
        <v>0.0</v>
      </c>
      <c r="J662" s="9">
        <v>8.0</v>
      </c>
      <c r="K662" s="9">
        <v>32.0</v>
      </c>
      <c r="L662" s="9">
        <v>2.91</v>
      </c>
      <c r="M662" s="9">
        <v>23.28</v>
      </c>
      <c r="N662" s="9">
        <v>8.72</v>
      </c>
      <c r="O662" s="12">
        <v>45931.0</v>
      </c>
      <c r="P662" s="16"/>
    </row>
    <row r="663">
      <c r="A663" s="9">
        <v>2.503000217E9</v>
      </c>
      <c r="B663" s="10" t="s">
        <v>27</v>
      </c>
      <c r="C663" s="9">
        <v>58.0</v>
      </c>
      <c r="D663" s="10" t="s">
        <v>183</v>
      </c>
      <c r="E663" s="9">
        <v>12.0</v>
      </c>
      <c r="F663" s="9">
        <v>25.0</v>
      </c>
      <c r="G663" s="9">
        <v>179.0</v>
      </c>
      <c r="H663" s="9">
        <v>0.0</v>
      </c>
      <c r="I663" s="9">
        <v>0.0</v>
      </c>
      <c r="J663" s="9">
        <v>25.0</v>
      </c>
      <c r="K663" s="9">
        <v>179.0</v>
      </c>
      <c r="L663" s="9">
        <v>8.83</v>
      </c>
      <c r="M663" s="9">
        <v>220.75</v>
      </c>
      <c r="N663" s="9">
        <v>-41.75</v>
      </c>
      <c r="O663" s="12">
        <v>45931.0</v>
      </c>
      <c r="P663" s="16"/>
    </row>
    <row r="664">
      <c r="A664" s="9">
        <v>2.503000217E9</v>
      </c>
      <c r="B664" s="10" t="s">
        <v>27</v>
      </c>
      <c r="C664" s="9">
        <v>59.0</v>
      </c>
      <c r="D664" s="10" t="s">
        <v>171</v>
      </c>
      <c r="E664" s="9">
        <v>2.0</v>
      </c>
      <c r="F664" s="9">
        <v>189.0</v>
      </c>
      <c r="G664" s="9">
        <v>380.0</v>
      </c>
      <c r="H664" s="9">
        <v>0.0</v>
      </c>
      <c r="I664" s="9">
        <v>0.0</v>
      </c>
      <c r="J664" s="9">
        <v>189.0</v>
      </c>
      <c r="K664" s="9">
        <v>380.0</v>
      </c>
      <c r="L664" s="9">
        <v>0.91</v>
      </c>
      <c r="M664" s="9">
        <v>171.99</v>
      </c>
      <c r="N664" s="9">
        <v>208.01</v>
      </c>
      <c r="O664" s="12">
        <v>45931.0</v>
      </c>
      <c r="P664" s="16"/>
    </row>
    <row r="665">
      <c r="A665" s="9">
        <v>2.503000217E9</v>
      </c>
      <c r="B665" s="10" t="s">
        <v>27</v>
      </c>
      <c r="C665" s="9">
        <v>60.0</v>
      </c>
      <c r="D665" s="10" t="s">
        <v>172</v>
      </c>
      <c r="E665" s="9">
        <v>6.0</v>
      </c>
      <c r="F665" s="9">
        <v>14.0</v>
      </c>
      <c r="G665" s="9">
        <v>84.0</v>
      </c>
      <c r="H665" s="9">
        <v>0.0</v>
      </c>
      <c r="I665" s="9">
        <v>0.0</v>
      </c>
      <c r="J665" s="9">
        <v>14.0</v>
      </c>
      <c r="K665" s="9">
        <v>84.0</v>
      </c>
      <c r="L665" s="9">
        <v>3.5</v>
      </c>
      <c r="M665" s="9">
        <v>49.0</v>
      </c>
      <c r="N665" s="9">
        <v>35.0</v>
      </c>
      <c r="O665" s="12">
        <v>45931.0</v>
      </c>
      <c r="P665" s="16"/>
    </row>
    <row r="666">
      <c r="A666" s="9">
        <v>2.503000217E9</v>
      </c>
      <c r="B666" s="10" t="s">
        <v>27</v>
      </c>
      <c r="C666" s="9">
        <v>61.0</v>
      </c>
      <c r="D666" s="10" t="s">
        <v>184</v>
      </c>
      <c r="E666" s="9">
        <v>20.0</v>
      </c>
      <c r="F666" s="9">
        <v>21.0</v>
      </c>
      <c r="G666" s="9">
        <v>420.0</v>
      </c>
      <c r="H666" s="9">
        <v>0.0</v>
      </c>
      <c r="I666" s="9">
        <v>0.0</v>
      </c>
      <c r="J666" s="9">
        <v>21.0</v>
      </c>
      <c r="K666" s="9">
        <v>420.0</v>
      </c>
      <c r="L666" s="9">
        <v>14.16</v>
      </c>
      <c r="M666" s="9">
        <v>297.36</v>
      </c>
      <c r="N666" s="9">
        <v>122.64</v>
      </c>
      <c r="O666" s="12">
        <v>45931.0</v>
      </c>
      <c r="P666" s="16"/>
    </row>
    <row r="667">
      <c r="A667" s="9">
        <v>2.503000217E9</v>
      </c>
      <c r="B667" s="10" t="s">
        <v>27</v>
      </c>
      <c r="C667" s="9">
        <v>62.0</v>
      </c>
      <c r="D667" s="10" t="s">
        <v>185</v>
      </c>
      <c r="E667" s="9">
        <v>3.0</v>
      </c>
      <c r="F667" s="9">
        <v>27.0</v>
      </c>
      <c r="G667" s="9">
        <v>93.0</v>
      </c>
      <c r="H667" s="9">
        <v>0.0</v>
      </c>
      <c r="I667" s="9">
        <v>0.0</v>
      </c>
      <c r="J667" s="9">
        <v>27.0</v>
      </c>
      <c r="K667" s="9">
        <v>93.0</v>
      </c>
      <c r="L667" s="9">
        <v>2.25</v>
      </c>
      <c r="M667" s="9">
        <v>60.75</v>
      </c>
      <c r="N667" s="9">
        <v>32.25</v>
      </c>
      <c r="O667" s="12">
        <v>45931.0</v>
      </c>
      <c r="P667" s="16"/>
    </row>
    <row r="668">
      <c r="A668" s="9">
        <v>2.503000217E9</v>
      </c>
      <c r="B668" s="10" t="s">
        <v>27</v>
      </c>
      <c r="C668" s="9">
        <v>63.0</v>
      </c>
      <c r="D668" s="10" t="s">
        <v>186</v>
      </c>
      <c r="E668" s="9">
        <v>7.0</v>
      </c>
      <c r="F668" s="9">
        <v>40.0</v>
      </c>
      <c r="G668" s="9">
        <v>280.0</v>
      </c>
      <c r="H668" s="9">
        <v>0.0</v>
      </c>
      <c r="I668" s="9">
        <v>0.0</v>
      </c>
      <c r="J668" s="9">
        <v>40.0</v>
      </c>
      <c r="K668" s="9">
        <v>280.0</v>
      </c>
      <c r="L668" s="9">
        <v>5.0</v>
      </c>
      <c r="M668" s="9">
        <v>200.0</v>
      </c>
      <c r="N668" s="9">
        <v>80.0</v>
      </c>
      <c r="O668" s="12">
        <v>45931.0</v>
      </c>
      <c r="P668" s="16"/>
    </row>
    <row r="669">
      <c r="A669" s="9">
        <v>2.503000217E9</v>
      </c>
      <c r="B669" s="10" t="s">
        <v>27</v>
      </c>
      <c r="C669" s="9">
        <v>64.0</v>
      </c>
      <c r="D669" s="10" t="s">
        <v>173</v>
      </c>
      <c r="E669" s="9">
        <v>3.0</v>
      </c>
      <c r="F669" s="9">
        <v>30.0</v>
      </c>
      <c r="G669" s="9">
        <v>90.0</v>
      </c>
      <c r="H669" s="9">
        <v>0.0</v>
      </c>
      <c r="I669" s="9">
        <v>0.0</v>
      </c>
      <c r="J669" s="9">
        <v>30.0</v>
      </c>
      <c r="K669" s="9">
        <v>90.0</v>
      </c>
      <c r="L669" s="9">
        <v>2.08</v>
      </c>
      <c r="M669" s="9">
        <v>62.4</v>
      </c>
      <c r="N669" s="9">
        <v>27.6</v>
      </c>
      <c r="O669" s="12">
        <v>45931.0</v>
      </c>
      <c r="P669" s="16"/>
    </row>
    <row r="670">
      <c r="A670" s="9">
        <v>2.503000217E9</v>
      </c>
      <c r="B670" s="10" t="s">
        <v>27</v>
      </c>
      <c r="C670" s="9">
        <v>65.0</v>
      </c>
      <c r="D670" s="10" t="s">
        <v>187</v>
      </c>
      <c r="E670" s="9">
        <v>3.0</v>
      </c>
      <c r="F670" s="9">
        <v>172.0</v>
      </c>
      <c r="G670" s="9">
        <v>522.0</v>
      </c>
      <c r="H670" s="9">
        <v>0.0</v>
      </c>
      <c r="I670" s="9">
        <v>0.0</v>
      </c>
      <c r="J670" s="9">
        <v>172.0</v>
      </c>
      <c r="K670" s="9">
        <v>522.0</v>
      </c>
      <c r="L670" s="9">
        <v>0.91</v>
      </c>
      <c r="M670" s="9">
        <v>156.52</v>
      </c>
      <c r="N670" s="9">
        <v>365.48</v>
      </c>
      <c r="O670" s="12">
        <v>45931.0</v>
      </c>
      <c r="P670" s="16"/>
    </row>
    <row r="671">
      <c r="A671" s="9">
        <v>2.503000217E9</v>
      </c>
      <c r="B671" s="10" t="s">
        <v>27</v>
      </c>
      <c r="C671" s="9">
        <v>66.0</v>
      </c>
      <c r="D671" s="10" t="s">
        <v>188</v>
      </c>
      <c r="E671" s="9">
        <v>20.0</v>
      </c>
      <c r="F671" s="9">
        <v>8.0</v>
      </c>
      <c r="G671" s="9">
        <v>160.0</v>
      </c>
      <c r="H671" s="9">
        <v>0.0</v>
      </c>
      <c r="I671" s="9">
        <v>0.0</v>
      </c>
      <c r="J671" s="9">
        <v>8.0</v>
      </c>
      <c r="K671" s="9">
        <v>160.0</v>
      </c>
      <c r="L671" s="9">
        <v>9.0</v>
      </c>
      <c r="M671" s="9">
        <v>72.0</v>
      </c>
      <c r="N671" s="9">
        <v>88.0</v>
      </c>
      <c r="O671" s="12">
        <v>45931.0</v>
      </c>
      <c r="P671" s="16"/>
    </row>
    <row r="672">
      <c r="A672" s="9">
        <v>2.503000217E9</v>
      </c>
      <c r="B672" s="10" t="s">
        <v>27</v>
      </c>
      <c r="C672" s="9">
        <v>67.0</v>
      </c>
      <c r="D672" s="10" t="s">
        <v>189</v>
      </c>
      <c r="E672" s="9">
        <v>7.0</v>
      </c>
      <c r="F672" s="9">
        <v>4.0</v>
      </c>
      <c r="G672" s="9">
        <v>25.0</v>
      </c>
      <c r="H672" s="9">
        <v>0.0</v>
      </c>
      <c r="I672" s="9">
        <v>0.0</v>
      </c>
      <c r="J672" s="9">
        <v>4.0</v>
      </c>
      <c r="K672" s="9">
        <v>25.0</v>
      </c>
      <c r="L672" s="9">
        <v>4.58</v>
      </c>
      <c r="M672" s="9">
        <v>18.32</v>
      </c>
      <c r="N672" s="9">
        <v>6.68</v>
      </c>
      <c r="O672" s="12">
        <v>45931.0</v>
      </c>
      <c r="P672" s="16"/>
    </row>
    <row r="673">
      <c r="A673" s="9">
        <v>2.503000217E9</v>
      </c>
      <c r="B673" s="10" t="s">
        <v>27</v>
      </c>
      <c r="C673" s="9">
        <v>68.0</v>
      </c>
      <c r="D673" s="10" t="s">
        <v>190</v>
      </c>
      <c r="E673" s="9">
        <v>15.0</v>
      </c>
      <c r="F673" s="9">
        <v>3.0</v>
      </c>
      <c r="G673" s="9">
        <v>45.0</v>
      </c>
      <c r="H673" s="9">
        <v>0.0</v>
      </c>
      <c r="I673" s="9">
        <v>0.0</v>
      </c>
      <c r="J673" s="9">
        <v>3.0</v>
      </c>
      <c r="K673" s="9">
        <v>45.0</v>
      </c>
      <c r="L673" s="9">
        <v>9.58</v>
      </c>
      <c r="M673" s="9">
        <v>28.74</v>
      </c>
      <c r="N673" s="9">
        <v>16.26</v>
      </c>
      <c r="O673" s="12">
        <v>45931.0</v>
      </c>
      <c r="P673" s="16"/>
    </row>
    <row r="674">
      <c r="A674" s="9">
        <v>2.503000217E9</v>
      </c>
      <c r="B674" s="10" t="s">
        <v>27</v>
      </c>
      <c r="C674" s="9">
        <v>72.0</v>
      </c>
      <c r="D674" s="10" t="s">
        <v>191</v>
      </c>
      <c r="E674" s="9">
        <v>3.0</v>
      </c>
      <c r="F674" s="9">
        <v>20.0</v>
      </c>
      <c r="G674" s="9">
        <v>60.0</v>
      </c>
      <c r="H674" s="9">
        <v>0.0</v>
      </c>
      <c r="I674" s="9">
        <v>0.0</v>
      </c>
      <c r="J674" s="9">
        <v>20.0</v>
      </c>
      <c r="K674" s="9">
        <v>60.0</v>
      </c>
      <c r="L674" s="9">
        <v>1.36</v>
      </c>
      <c r="M674" s="9">
        <v>27.2</v>
      </c>
      <c r="N674" s="9">
        <v>32.8</v>
      </c>
      <c r="O674" s="12">
        <v>45931.0</v>
      </c>
      <c r="P674" s="16"/>
    </row>
    <row r="675">
      <c r="A675" s="9">
        <v>2.503000217E9</v>
      </c>
      <c r="B675" s="10" t="s">
        <v>27</v>
      </c>
      <c r="C675" s="9">
        <v>73.0</v>
      </c>
      <c r="D675" s="10" t="s">
        <v>177</v>
      </c>
      <c r="E675" s="9">
        <v>3.0</v>
      </c>
      <c r="F675" s="9">
        <v>12.0</v>
      </c>
      <c r="G675" s="9">
        <v>48.0</v>
      </c>
      <c r="H675" s="9">
        <v>0.0</v>
      </c>
      <c r="I675" s="9">
        <v>0.0</v>
      </c>
      <c r="J675" s="9">
        <v>12.0</v>
      </c>
      <c r="K675" s="9">
        <v>48.0</v>
      </c>
      <c r="L675" s="9">
        <v>2.17</v>
      </c>
      <c r="M675" s="9">
        <v>26.04</v>
      </c>
      <c r="N675" s="9">
        <v>21.96</v>
      </c>
      <c r="O675" s="12">
        <v>45931.0</v>
      </c>
      <c r="P675" s="16"/>
    </row>
    <row r="676">
      <c r="A676" s="9">
        <v>2.503000217E9</v>
      </c>
      <c r="B676" s="10" t="s">
        <v>27</v>
      </c>
      <c r="C676" s="9">
        <v>74.0</v>
      </c>
      <c r="D676" s="10" t="s">
        <v>192</v>
      </c>
      <c r="E676" s="9">
        <v>8.0</v>
      </c>
      <c r="F676" s="9">
        <v>8.0</v>
      </c>
      <c r="G676" s="9">
        <v>50.0</v>
      </c>
      <c r="H676" s="9">
        <v>0.0</v>
      </c>
      <c r="I676" s="9">
        <v>0.0</v>
      </c>
      <c r="J676" s="9">
        <v>8.0</v>
      </c>
      <c r="K676" s="9">
        <v>50.0</v>
      </c>
      <c r="L676" s="9">
        <v>5.83</v>
      </c>
      <c r="M676" s="9">
        <v>46.64</v>
      </c>
      <c r="N676" s="9">
        <v>3.36</v>
      </c>
      <c r="O676" s="12">
        <v>45931.0</v>
      </c>
      <c r="P676" s="16"/>
    </row>
    <row r="677">
      <c r="A677" s="9">
        <v>2.503000217E9</v>
      </c>
      <c r="B677" s="10" t="s">
        <v>27</v>
      </c>
      <c r="C677" s="9">
        <v>77.0</v>
      </c>
      <c r="D677" s="10" t="s">
        <v>193</v>
      </c>
      <c r="E677" s="9">
        <v>3.0</v>
      </c>
      <c r="F677" s="9">
        <v>28.0</v>
      </c>
      <c r="G677" s="9">
        <v>84.0</v>
      </c>
      <c r="H677" s="9">
        <v>0.0</v>
      </c>
      <c r="I677" s="9">
        <v>0.0</v>
      </c>
      <c r="J677" s="9">
        <v>28.0</v>
      </c>
      <c r="K677" s="9">
        <v>84.0</v>
      </c>
      <c r="L677" s="9">
        <v>1.0</v>
      </c>
      <c r="M677" s="9">
        <v>28.0</v>
      </c>
      <c r="N677" s="9">
        <v>56.0</v>
      </c>
      <c r="O677" s="12">
        <v>45931.0</v>
      </c>
      <c r="P677" s="16"/>
    </row>
    <row r="678">
      <c r="A678" s="9">
        <v>2.503000217E9</v>
      </c>
      <c r="B678" s="10" t="s">
        <v>27</v>
      </c>
      <c r="C678" s="9">
        <v>78.0</v>
      </c>
      <c r="D678" s="10" t="s">
        <v>194</v>
      </c>
      <c r="E678" s="9">
        <v>7.0</v>
      </c>
      <c r="F678" s="9">
        <v>14.0</v>
      </c>
      <c r="G678" s="9">
        <v>98.0</v>
      </c>
      <c r="H678" s="9">
        <v>0.0</v>
      </c>
      <c r="I678" s="9">
        <v>0.0</v>
      </c>
      <c r="J678" s="9">
        <v>14.0</v>
      </c>
      <c r="K678" s="9">
        <v>98.0</v>
      </c>
      <c r="L678" s="9">
        <v>4.79</v>
      </c>
      <c r="M678" s="9">
        <v>67.06</v>
      </c>
      <c r="N678" s="9">
        <v>30.94</v>
      </c>
      <c r="O678" s="12">
        <v>45931.0</v>
      </c>
      <c r="P678" s="16"/>
    </row>
    <row r="679">
      <c r="A679" s="9">
        <v>2.503000217E9</v>
      </c>
      <c r="B679" s="10" t="s">
        <v>27</v>
      </c>
      <c r="C679" s="9">
        <v>80.0</v>
      </c>
      <c r="D679" s="10" t="s">
        <v>195</v>
      </c>
      <c r="E679" s="9">
        <v>3.0</v>
      </c>
      <c r="F679" s="9">
        <v>1.0</v>
      </c>
      <c r="G679" s="9">
        <v>3.0</v>
      </c>
      <c r="H679" s="9">
        <v>0.0</v>
      </c>
      <c r="I679" s="9">
        <v>0.0</v>
      </c>
      <c r="J679" s="9">
        <v>1.0</v>
      </c>
      <c r="K679" s="9">
        <v>3.0</v>
      </c>
      <c r="L679" s="9">
        <v>1.8</v>
      </c>
      <c r="M679" s="9">
        <v>1.8</v>
      </c>
      <c r="N679" s="9">
        <v>1.2</v>
      </c>
      <c r="O679" s="12">
        <v>45931.0</v>
      </c>
      <c r="P679" s="16"/>
    </row>
    <row r="680">
      <c r="A680" s="9">
        <v>2.503000217E9</v>
      </c>
      <c r="B680" s="10" t="s">
        <v>27</v>
      </c>
      <c r="C680" s="9">
        <v>81.0</v>
      </c>
      <c r="D680" s="10" t="s">
        <v>196</v>
      </c>
      <c r="E680" s="9">
        <v>6.0</v>
      </c>
      <c r="F680" s="9">
        <v>3.0</v>
      </c>
      <c r="G680" s="9">
        <v>18.0</v>
      </c>
      <c r="H680" s="9">
        <v>0.0</v>
      </c>
      <c r="I680" s="9">
        <v>0.0</v>
      </c>
      <c r="J680" s="9">
        <v>3.0</v>
      </c>
      <c r="K680" s="9">
        <v>18.0</v>
      </c>
      <c r="L680" s="9">
        <v>4.4</v>
      </c>
      <c r="M680" s="9">
        <v>13.2</v>
      </c>
      <c r="N680" s="9">
        <v>4.8</v>
      </c>
      <c r="O680" s="12">
        <v>45931.0</v>
      </c>
      <c r="P680" s="16"/>
    </row>
    <row r="681">
      <c r="A681" s="9">
        <v>2.503000217E9</v>
      </c>
      <c r="B681" s="10" t="s">
        <v>27</v>
      </c>
      <c r="C681" s="9">
        <v>82.0</v>
      </c>
      <c r="D681" s="10" t="s">
        <v>197</v>
      </c>
      <c r="E681" s="9">
        <v>2.0</v>
      </c>
      <c r="F681" s="9">
        <v>9.0</v>
      </c>
      <c r="G681" s="9">
        <v>18.0</v>
      </c>
      <c r="H681" s="9">
        <v>0.0</v>
      </c>
      <c r="I681" s="9">
        <v>0.0</v>
      </c>
      <c r="J681" s="9">
        <v>9.0</v>
      </c>
      <c r="K681" s="9">
        <v>18.0</v>
      </c>
      <c r="L681" s="9">
        <v>0.95</v>
      </c>
      <c r="M681" s="9">
        <v>8.55</v>
      </c>
      <c r="N681" s="9">
        <v>9.45</v>
      </c>
      <c r="O681" s="12">
        <v>45931.0</v>
      </c>
      <c r="P681" s="16"/>
    </row>
    <row r="682">
      <c r="A682" s="9">
        <v>2.404120076E9</v>
      </c>
      <c r="B682" s="10" t="s">
        <v>19</v>
      </c>
      <c r="C682" s="16"/>
      <c r="D682" s="10" t="s">
        <v>89</v>
      </c>
      <c r="E682" s="16"/>
      <c r="F682" s="9">
        <v>22.0</v>
      </c>
      <c r="G682" s="9">
        <v>78.0</v>
      </c>
      <c r="H682" s="16"/>
      <c r="I682" s="16"/>
      <c r="J682" s="9">
        <v>22.0</v>
      </c>
      <c r="K682" s="9">
        <v>78.0</v>
      </c>
      <c r="L682" s="9">
        <v>0.0</v>
      </c>
      <c r="M682" s="9">
        <v>0.0</v>
      </c>
      <c r="N682" s="9">
        <v>78.0</v>
      </c>
      <c r="O682" s="12">
        <v>45931.0</v>
      </c>
      <c r="P682" s="16"/>
    </row>
    <row r="683">
      <c r="A683" s="9">
        <v>2.404120076E9</v>
      </c>
      <c r="B683" s="10" t="s">
        <v>19</v>
      </c>
      <c r="C683" s="16"/>
      <c r="D683" s="10" t="s">
        <v>55</v>
      </c>
      <c r="E683" s="16"/>
      <c r="F683" s="9">
        <v>54.0</v>
      </c>
      <c r="G683" s="9">
        <v>124.0</v>
      </c>
      <c r="H683" s="16"/>
      <c r="I683" s="16"/>
      <c r="J683" s="9">
        <v>54.0</v>
      </c>
      <c r="K683" s="9">
        <v>124.0</v>
      </c>
      <c r="L683" s="9">
        <v>0.0</v>
      </c>
      <c r="M683" s="9">
        <v>0.0</v>
      </c>
      <c r="N683" s="9">
        <v>124.0</v>
      </c>
      <c r="O683" s="12">
        <v>45931.0</v>
      </c>
      <c r="P683" s="16"/>
    </row>
    <row r="684">
      <c r="A684" s="9">
        <v>2.404120076E9</v>
      </c>
      <c r="B684" s="10" t="s">
        <v>19</v>
      </c>
      <c r="C684" s="16"/>
      <c r="D684" s="10" t="s">
        <v>92</v>
      </c>
      <c r="E684" s="16"/>
      <c r="F684" s="9">
        <v>26.0</v>
      </c>
      <c r="G684" s="9">
        <v>78.0</v>
      </c>
      <c r="H684" s="16"/>
      <c r="I684" s="16"/>
      <c r="J684" s="9">
        <v>26.0</v>
      </c>
      <c r="K684" s="9">
        <v>78.0</v>
      </c>
      <c r="L684" s="9">
        <v>0.0</v>
      </c>
      <c r="M684" s="9">
        <v>0.0</v>
      </c>
      <c r="N684" s="9">
        <v>78.0</v>
      </c>
      <c r="O684" s="12">
        <v>45931.0</v>
      </c>
      <c r="P684" s="16"/>
    </row>
    <row r="685">
      <c r="A685" s="9">
        <v>2.404120076E9</v>
      </c>
      <c r="B685" s="10" t="s">
        <v>19</v>
      </c>
      <c r="C685" s="16"/>
      <c r="D685" s="10" t="s">
        <v>109</v>
      </c>
      <c r="E685" s="16"/>
      <c r="F685" s="9">
        <v>143.0</v>
      </c>
      <c r="G685" s="9">
        <v>715.0</v>
      </c>
      <c r="H685" s="16"/>
      <c r="I685" s="16"/>
      <c r="J685" s="9">
        <v>143.0</v>
      </c>
      <c r="K685" s="9">
        <v>715.0</v>
      </c>
      <c r="L685" s="9">
        <v>0.0</v>
      </c>
      <c r="M685" s="9">
        <v>0.0</v>
      </c>
      <c r="N685" s="9">
        <v>715.0</v>
      </c>
      <c r="O685" s="12">
        <v>45931.0</v>
      </c>
      <c r="P685" s="16"/>
    </row>
    <row r="686">
      <c r="A686" s="9">
        <v>2.404120076E9</v>
      </c>
      <c r="B686" s="10" t="s">
        <v>19</v>
      </c>
      <c r="C686" s="16"/>
      <c r="D686" s="10" t="s">
        <v>60</v>
      </c>
      <c r="E686" s="16"/>
      <c r="F686" s="9">
        <v>42.0</v>
      </c>
      <c r="G686" s="9">
        <v>126.0</v>
      </c>
      <c r="H686" s="16"/>
      <c r="I686" s="16"/>
      <c r="J686" s="9">
        <v>42.0</v>
      </c>
      <c r="K686" s="9">
        <v>126.0</v>
      </c>
      <c r="L686" s="9">
        <v>0.0</v>
      </c>
      <c r="M686" s="9">
        <v>0.0</v>
      </c>
      <c r="N686" s="9">
        <v>126.0</v>
      </c>
      <c r="O686" s="12">
        <v>45931.0</v>
      </c>
      <c r="P686" s="16"/>
    </row>
    <row r="687">
      <c r="A687" s="9">
        <v>2.404120076E9</v>
      </c>
      <c r="B687" s="10" t="s">
        <v>19</v>
      </c>
      <c r="C687" s="16"/>
      <c r="D687" s="10" t="s">
        <v>68</v>
      </c>
      <c r="E687" s="16"/>
      <c r="F687" s="9">
        <v>14.0</v>
      </c>
      <c r="G687" s="9">
        <v>45.0</v>
      </c>
      <c r="H687" s="16"/>
      <c r="I687" s="16"/>
      <c r="J687" s="9">
        <v>14.0</v>
      </c>
      <c r="K687" s="9">
        <v>45.0</v>
      </c>
      <c r="L687" s="9">
        <v>0.0</v>
      </c>
      <c r="M687" s="9">
        <v>0.0</v>
      </c>
      <c r="N687" s="9">
        <v>45.0</v>
      </c>
      <c r="O687" s="12">
        <v>45931.0</v>
      </c>
      <c r="P687" s="16"/>
    </row>
    <row r="688">
      <c r="A688" s="9">
        <v>2.404120076E9</v>
      </c>
      <c r="B688" s="10" t="s">
        <v>19</v>
      </c>
      <c r="C688" s="16"/>
      <c r="D688" s="10" t="s">
        <v>120</v>
      </c>
      <c r="E688" s="16"/>
      <c r="F688" s="9">
        <v>6.0</v>
      </c>
      <c r="G688" s="9">
        <v>30.0</v>
      </c>
      <c r="H688" s="16"/>
      <c r="I688" s="16"/>
      <c r="J688" s="9">
        <v>6.0</v>
      </c>
      <c r="K688" s="9">
        <v>30.0</v>
      </c>
      <c r="L688" s="9">
        <v>0.0</v>
      </c>
      <c r="M688" s="9">
        <v>0.0</v>
      </c>
      <c r="N688" s="9">
        <v>30.0</v>
      </c>
      <c r="O688" s="12">
        <v>45931.0</v>
      </c>
      <c r="P688" s="16"/>
    </row>
    <row r="689">
      <c r="A689" s="9">
        <v>2.404120076E9</v>
      </c>
      <c r="B689" s="10" t="s">
        <v>19</v>
      </c>
      <c r="C689" s="16"/>
      <c r="D689" s="10" t="s">
        <v>70</v>
      </c>
      <c r="E689" s="16"/>
      <c r="F689" s="9">
        <v>24.0</v>
      </c>
      <c r="G689" s="9">
        <v>72.0</v>
      </c>
      <c r="H689" s="16"/>
      <c r="I689" s="16"/>
      <c r="J689" s="9">
        <v>24.0</v>
      </c>
      <c r="K689" s="9">
        <v>72.0</v>
      </c>
      <c r="L689" s="9">
        <v>0.0</v>
      </c>
      <c r="M689" s="9">
        <v>0.0</v>
      </c>
      <c r="N689" s="9">
        <v>72.0</v>
      </c>
      <c r="O689" s="12">
        <v>45931.0</v>
      </c>
      <c r="P689" s="16"/>
    </row>
    <row r="690">
      <c r="A690" s="9">
        <v>2.404120076E9</v>
      </c>
      <c r="B690" s="10" t="s">
        <v>19</v>
      </c>
      <c r="C690" s="16"/>
      <c r="D690" s="10" t="s">
        <v>96</v>
      </c>
      <c r="E690" s="16"/>
      <c r="F690" s="9">
        <v>20.0</v>
      </c>
      <c r="G690" s="9">
        <v>100.0</v>
      </c>
      <c r="H690" s="16"/>
      <c r="I690" s="16"/>
      <c r="J690" s="9">
        <v>20.0</v>
      </c>
      <c r="K690" s="9">
        <v>100.0</v>
      </c>
      <c r="L690" s="9">
        <v>0.0</v>
      </c>
      <c r="M690" s="9">
        <v>0.0</v>
      </c>
      <c r="N690" s="9">
        <v>100.0</v>
      </c>
      <c r="O690" s="12">
        <v>45931.0</v>
      </c>
      <c r="P690" s="16"/>
    </row>
    <row r="691">
      <c r="A691" s="9">
        <v>2.404120076E9</v>
      </c>
      <c r="B691" s="10" t="s">
        <v>19</v>
      </c>
      <c r="C691" s="16"/>
      <c r="D691" s="10" t="s">
        <v>136</v>
      </c>
      <c r="E691" s="16"/>
      <c r="F691" s="9">
        <v>93.0</v>
      </c>
      <c r="G691" s="9">
        <v>93.0</v>
      </c>
      <c r="H691" s="16"/>
      <c r="I691" s="16"/>
      <c r="J691" s="9">
        <v>93.0</v>
      </c>
      <c r="K691" s="9">
        <v>93.0</v>
      </c>
      <c r="L691" s="9">
        <v>0.0</v>
      </c>
      <c r="M691" s="9">
        <v>0.0</v>
      </c>
      <c r="N691" s="9">
        <v>93.0</v>
      </c>
      <c r="O691" s="12">
        <v>45931.0</v>
      </c>
      <c r="P691" s="16"/>
    </row>
    <row r="692">
      <c r="A692" s="9">
        <v>2.404120076E9</v>
      </c>
      <c r="B692" s="10" t="s">
        <v>19</v>
      </c>
      <c r="C692" s="16"/>
      <c r="D692" s="10" t="s">
        <v>72</v>
      </c>
      <c r="E692" s="16"/>
      <c r="F692" s="9">
        <v>63.0</v>
      </c>
      <c r="G692" s="9">
        <v>126.0</v>
      </c>
      <c r="H692" s="16"/>
      <c r="I692" s="16"/>
      <c r="J692" s="9">
        <v>63.0</v>
      </c>
      <c r="K692" s="9">
        <v>126.0</v>
      </c>
      <c r="L692" s="9">
        <v>0.0</v>
      </c>
      <c r="M692" s="9">
        <v>0.0</v>
      </c>
      <c r="N692" s="9">
        <v>126.0</v>
      </c>
      <c r="O692" s="12">
        <v>45931.0</v>
      </c>
      <c r="P692" s="16"/>
    </row>
    <row r="693">
      <c r="A693" s="9">
        <v>2.404120076E9</v>
      </c>
      <c r="B693" s="10" t="s">
        <v>19</v>
      </c>
      <c r="C693" s="16"/>
      <c r="D693" s="10" t="s">
        <v>97</v>
      </c>
      <c r="E693" s="16"/>
      <c r="F693" s="9">
        <v>16.0</v>
      </c>
      <c r="G693" s="9">
        <v>96.0</v>
      </c>
      <c r="H693" s="16"/>
      <c r="I693" s="16"/>
      <c r="J693" s="9">
        <v>16.0</v>
      </c>
      <c r="K693" s="9">
        <v>96.0</v>
      </c>
      <c r="L693" s="9">
        <v>0.0</v>
      </c>
      <c r="M693" s="9">
        <v>0.0</v>
      </c>
      <c r="N693" s="9">
        <v>96.0</v>
      </c>
      <c r="O693" s="12">
        <v>45931.0</v>
      </c>
      <c r="P693" s="16"/>
    </row>
    <row r="694">
      <c r="A694" s="9">
        <v>2.404120076E9</v>
      </c>
      <c r="B694" s="10" t="s">
        <v>19</v>
      </c>
      <c r="C694" s="16"/>
      <c r="D694" s="10" t="s">
        <v>123</v>
      </c>
      <c r="E694" s="16"/>
      <c r="F694" s="9">
        <v>22.0</v>
      </c>
      <c r="G694" s="9">
        <v>66.0</v>
      </c>
      <c r="H694" s="16"/>
      <c r="I694" s="16"/>
      <c r="J694" s="9">
        <v>22.0</v>
      </c>
      <c r="K694" s="9">
        <v>66.0</v>
      </c>
      <c r="L694" s="9">
        <v>0.0</v>
      </c>
      <c r="M694" s="9">
        <v>0.0</v>
      </c>
      <c r="N694" s="9">
        <v>66.0</v>
      </c>
      <c r="O694" s="12">
        <v>45931.0</v>
      </c>
      <c r="P694" s="16"/>
    </row>
    <row r="695">
      <c r="A695" s="9">
        <v>2.404120076E9</v>
      </c>
      <c r="B695" s="10" t="s">
        <v>19</v>
      </c>
      <c r="C695" s="16"/>
      <c r="D695" s="10" t="s">
        <v>73</v>
      </c>
      <c r="E695" s="16"/>
      <c r="F695" s="9">
        <v>15.0</v>
      </c>
      <c r="G695" s="9">
        <v>63.0</v>
      </c>
      <c r="H695" s="16"/>
      <c r="I695" s="16"/>
      <c r="J695" s="9">
        <v>15.0</v>
      </c>
      <c r="K695" s="9">
        <v>63.0</v>
      </c>
      <c r="L695" s="9">
        <v>0.0</v>
      </c>
      <c r="M695" s="9">
        <v>0.0</v>
      </c>
      <c r="N695" s="9">
        <v>63.0</v>
      </c>
      <c r="O695" s="12">
        <v>45931.0</v>
      </c>
      <c r="P695" s="16"/>
    </row>
    <row r="696">
      <c r="A696" s="9">
        <v>2.404120076E9</v>
      </c>
      <c r="B696" s="10" t="s">
        <v>19</v>
      </c>
      <c r="C696" s="16"/>
      <c r="D696" s="10" t="s">
        <v>74</v>
      </c>
      <c r="E696" s="16"/>
      <c r="F696" s="9">
        <v>505.0</v>
      </c>
      <c r="G696" s="9">
        <v>505.0</v>
      </c>
      <c r="H696" s="16"/>
      <c r="I696" s="16"/>
      <c r="J696" s="9">
        <v>505.0</v>
      </c>
      <c r="K696" s="9">
        <v>505.0</v>
      </c>
      <c r="L696" s="9">
        <v>0.0</v>
      </c>
      <c r="M696" s="9">
        <v>0.0</v>
      </c>
      <c r="N696" s="9">
        <v>505.0</v>
      </c>
      <c r="O696" s="12">
        <v>45931.0</v>
      </c>
      <c r="P696" s="16"/>
    </row>
    <row r="697">
      <c r="A697" s="9">
        <v>2.404120076E9</v>
      </c>
      <c r="B697" s="10" t="s">
        <v>19</v>
      </c>
      <c r="C697" s="16"/>
      <c r="D697" s="10" t="s">
        <v>79</v>
      </c>
      <c r="E697" s="16"/>
      <c r="F697" s="9">
        <v>34.0</v>
      </c>
      <c r="G697" s="9">
        <v>102.0</v>
      </c>
      <c r="H697" s="16"/>
      <c r="I697" s="16"/>
      <c r="J697" s="9">
        <v>34.0</v>
      </c>
      <c r="K697" s="9">
        <v>102.0</v>
      </c>
      <c r="L697" s="9">
        <v>0.0</v>
      </c>
      <c r="M697" s="9">
        <v>0.0</v>
      </c>
      <c r="N697" s="9">
        <v>102.0</v>
      </c>
      <c r="O697" s="12">
        <v>45931.0</v>
      </c>
      <c r="P697" s="16"/>
    </row>
    <row r="698">
      <c r="A698" s="9">
        <v>2.404120076E9</v>
      </c>
      <c r="B698" s="10" t="s">
        <v>19</v>
      </c>
      <c r="C698" s="16"/>
      <c r="D698" s="10" t="s">
        <v>102</v>
      </c>
      <c r="E698" s="16"/>
      <c r="F698" s="9">
        <v>18.0</v>
      </c>
      <c r="G698" s="9">
        <v>54.0</v>
      </c>
      <c r="H698" s="16"/>
      <c r="I698" s="16"/>
      <c r="J698" s="9">
        <v>18.0</v>
      </c>
      <c r="K698" s="9">
        <v>54.0</v>
      </c>
      <c r="L698" s="9">
        <v>0.0</v>
      </c>
      <c r="M698" s="9">
        <v>0.0</v>
      </c>
      <c r="N698" s="9">
        <v>54.0</v>
      </c>
      <c r="O698" s="12">
        <v>45931.0</v>
      </c>
      <c r="P698" s="16"/>
    </row>
    <row r="699">
      <c r="A699" s="9">
        <v>2.404120076E9</v>
      </c>
      <c r="B699" s="10" t="s">
        <v>19</v>
      </c>
      <c r="C699" s="16"/>
      <c r="D699" s="10" t="s">
        <v>114</v>
      </c>
      <c r="E699" s="16"/>
      <c r="F699" s="9">
        <v>10.0</v>
      </c>
      <c r="G699" s="9">
        <v>64.0</v>
      </c>
      <c r="H699" s="16"/>
      <c r="I699" s="16"/>
      <c r="J699" s="9">
        <v>10.0</v>
      </c>
      <c r="K699" s="9">
        <v>64.0</v>
      </c>
      <c r="L699" s="9">
        <v>0.0</v>
      </c>
      <c r="M699" s="9">
        <v>0.0</v>
      </c>
      <c r="N699" s="9">
        <v>64.0</v>
      </c>
      <c r="O699" s="12">
        <v>45931.0</v>
      </c>
      <c r="P699" s="16"/>
    </row>
    <row r="700">
      <c r="A700" s="9">
        <v>2.404120076E9</v>
      </c>
      <c r="B700" s="10" t="s">
        <v>19</v>
      </c>
      <c r="C700" s="16"/>
      <c r="D700" s="2" t="s">
        <v>115</v>
      </c>
      <c r="E700" s="16"/>
      <c r="F700" s="9">
        <v>153.0</v>
      </c>
      <c r="G700" s="9">
        <v>765.0</v>
      </c>
      <c r="H700" s="16"/>
      <c r="I700" s="16"/>
      <c r="J700" s="9">
        <v>153.0</v>
      </c>
      <c r="K700" s="9">
        <v>765.0</v>
      </c>
      <c r="L700" s="9">
        <v>0.0</v>
      </c>
      <c r="M700" s="9">
        <v>0.0</v>
      </c>
      <c r="N700" s="9">
        <v>765.0</v>
      </c>
      <c r="O700" s="12">
        <v>45931.0</v>
      </c>
      <c r="P700" s="16"/>
    </row>
    <row r="701">
      <c r="A701" s="9">
        <v>2.404120076E9</v>
      </c>
      <c r="B701" s="10" t="s">
        <v>19</v>
      </c>
      <c r="C701" s="16"/>
      <c r="D701" s="10" t="s">
        <v>105</v>
      </c>
      <c r="E701" s="16"/>
      <c r="F701" s="9">
        <v>12.0</v>
      </c>
      <c r="G701" s="9">
        <v>46.0</v>
      </c>
      <c r="H701" s="16"/>
      <c r="I701" s="16"/>
      <c r="J701" s="9">
        <v>12.0</v>
      </c>
      <c r="K701" s="9">
        <v>46.0</v>
      </c>
      <c r="L701" s="9">
        <v>0.0</v>
      </c>
      <c r="M701" s="9">
        <v>0.0</v>
      </c>
      <c r="N701" s="9">
        <v>46.0</v>
      </c>
      <c r="O701" s="12">
        <v>45931.0</v>
      </c>
      <c r="P701" s="16"/>
    </row>
    <row r="702">
      <c r="A702" s="9">
        <v>2.404120076E9</v>
      </c>
      <c r="B702" s="10" t="s">
        <v>19</v>
      </c>
      <c r="C702" s="16"/>
      <c r="D702" s="10" t="s">
        <v>81</v>
      </c>
      <c r="E702" s="16"/>
      <c r="F702" s="9">
        <v>17.0</v>
      </c>
      <c r="G702" s="9">
        <v>84.0</v>
      </c>
      <c r="H702" s="16"/>
      <c r="I702" s="16"/>
      <c r="J702" s="9">
        <v>17.0</v>
      </c>
      <c r="K702" s="9">
        <v>84.0</v>
      </c>
      <c r="L702" s="9">
        <v>0.0</v>
      </c>
      <c r="M702" s="9">
        <v>0.0</v>
      </c>
      <c r="N702" s="9">
        <v>84.0</v>
      </c>
      <c r="O702" s="12">
        <v>45931.0</v>
      </c>
      <c r="P702" s="16"/>
    </row>
    <row r="703">
      <c r="A703" s="9">
        <v>2.404120076E9</v>
      </c>
      <c r="B703" s="10" t="s">
        <v>19</v>
      </c>
      <c r="C703" s="16"/>
      <c r="D703" s="10" t="s">
        <v>125</v>
      </c>
      <c r="E703" s="16"/>
      <c r="F703" s="9">
        <v>24.0</v>
      </c>
      <c r="G703" s="9">
        <v>144.0</v>
      </c>
      <c r="H703" s="16"/>
      <c r="I703" s="16"/>
      <c r="J703" s="9">
        <v>24.0</v>
      </c>
      <c r="K703" s="9">
        <v>144.0</v>
      </c>
      <c r="L703" s="9">
        <v>0.0</v>
      </c>
      <c r="M703" s="9">
        <v>0.0</v>
      </c>
      <c r="N703" s="9">
        <v>144.0</v>
      </c>
      <c r="O703" s="12">
        <v>45931.0</v>
      </c>
      <c r="P703" s="16"/>
    </row>
    <row r="704">
      <c r="A704" s="9">
        <v>2.404120076E9</v>
      </c>
      <c r="B704" s="10" t="s">
        <v>19</v>
      </c>
      <c r="C704" s="16"/>
      <c r="D704" s="10" t="s">
        <v>86</v>
      </c>
      <c r="E704" s="16"/>
      <c r="F704" s="9">
        <v>132.0</v>
      </c>
      <c r="G704" s="9">
        <v>660.0</v>
      </c>
      <c r="H704" s="16"/>
      <c r="I704" s="16"/>
      <c r="J704" s="9">
        <v>132.0</v>
      </c>
      <c r="K704" s="9">
        <v>660.0</v>
      </c>
      <c r="L704" s="9">
        <v>0.0</v>
      </c>
      <c r="M704" s="9">
        <v>0.0</v>
      </c>
      <c r="N704" s="9">
        <v>660.0</v>
      </c>
      <c r="O704" s="12">
        <v>45931.0</v>
      </c>
      <c r="P704" s="16"/>
    </row>
    <row r="705">
      <c r="A705" s="9">
        <v>2.404120076E9</v>
      </c>
      <c r="B705" s="10" t="s">
        <v>19</v>
      </c>
      <c r="C705" s="16"/>
      <c r="D705" s="10" t="s">
        <v>128</v>
      </c>
      <c r="E705" s="16"/>
      <c r="F705" s="9">
        <v>27.0</v>
      </c>
      <c r="G705" s="9">
        <v>81.0</v>
      </c>
      <c r="H705" s="16"/>
      <c r="I705" s="16"/>
      <c r="J705" s="9">
        <v>27.0</v>
      </c>
      <c r="K705" s="9">
        <v>81.0</v>
      </c>
      <c r="L705" s="9">
        <v>0.0</v>
      </c>
      <c r="M705" s="9">
        <v>0.0</v>
      </c>
      <c r="N705" s="9">
        <v>81.0</v>
      </c>
      <c r="O705" s="12">
        <v>45931.0</v>
      </c>
      <c r="P705" s="16"/>
    </row>
    <row r="706">
      <c r="A706" s="16"/>
      <c r="B706" s="16"/>
      <c r="C706" s="16"/>
      <c r="D706" s="16"/>
      <c r="E706" s="11"/>
      <c r="F706" s="11"/>
      <c r="G706" s="11"/>
      <c r="H706" s="11"/>
      <c r="I706" s="11"/>
      <c r="J706" s="9">
        <v>0.0</v>
      </c>
      <c r="K706" s="9">
        <v>0.0</v>
      </c>
      <c r="L706" s="9">
        <v>0.0</v>
      </c>
      <c r="M706" s="9">
        <v>0.0</v>
      </c>
      <c r="N706" s="9">
        <v>0.0</v>
      </c>
      <c r="O706" s="17"/>
      <c r="P706" s="16"/>
    </row>
    <row r="707">
      <c r="A707" s="16"/>
      <c r="B707" s="16"/>
      <c r="C707" s="16"/>
      <c r="D707" s="16"/>
      <c r="E707" s="11"/>
      <c r="F707" s="11"/>
      <c r="G707" s="11"/>
      <c r="H707" s="11"/>
      <c r="I707" s="11"/>
      <c r="J707" s="9">
        <v>0.0</v>
      </c>
      <c r="K707" s="9">
        <v>0.0</v>
      </c>
      <c r="L707" s="9">
        <v>0.0</v>
      </c>
      <c r="M707" s="9">
        <v>0.0</v>
      </c>
      <c r="N707" s="9">
        <v>0.0</v>
      </c>
      <c r="O707" s="17"/>
      <c r="P707" s="16"/>
    </row>
    <row r="708">
      <c r="A708" s="16"/>
      <c r="B708" s="16"/>
      <c r="C708" s="16"/>
      <c r="D708" s="16"/>
      <c r="E708" s="11"/>
      <c r="F708" s="11"/>
      <c r="G708" s="11"/>
      <c r="H708" s="11"/>
      <c r="I708" s="11"/>
      <c r="J708" s="9">
        <v>0.0</v>
      </c>
      <c r="K708" s="9">
        <v>0.0</v>
      </c>
      <c r="L708" s="9">
        <v>0.0</v>
      </c>
      <c r="M708" s="9">
        <v>0.0</v>
      </c>
      <c r="N708" s="9">
        <v>0.0</v>
      </c>
      <c r="O708" s="17"/>
      <c r="P708" s="16"/>
    </row>
    <row r="709">
      <c r="A709" s="16"/>
      <c r="B709" s="16"/>
      <c r="C709" s="16"/>
      <c r="D709" s="16"/>
      <c r="E709" s="11"/>
      <c r="F709" s="11"/>
      <c r="G709" s="11"/>
      <c r="H709" s="11"/>
      <c r="I709" s="11"/>
      <c r="J709" s="9">
        <v>0.0</v>
      </c>
      <c r="K709" s="9">
        <v>0.0</v>
      </c>
      <c r="L709" s="9">
        <v>0.0</v>
      </c>
      <c r="M709" s="9">
        <v>0.0</v>
      </c>
      <c r="N709" s="9">
        <v>0.0</v>
      </c>
      <c r="O709" s="17"/>
      <c r="P709" s="16"/>
    </row>
    <row r="710">
      <c r="A710" s="16"/>
      <c r="B710" s="16"/>
      <c r="C710" s="16"/>
      <c r="D710" s="16"/>
      <c r="E710" s="11"/>
      <c r="F710" s="11"/>
      <c r="G710" s="11"/>
      <c r="H710" s="11"/>
      <c r="I710" s="11"/>
      <c r="J710" s="9">
        <v>0.0</v>
      </c>
      <c r="K710" s="9">
        <v>0.0</v>
      </c>
      <c r="L710" s="9">
        <v>0.0</v>
      </c>
      <c r="M710" s="9">
        <v>0.0</v>
      </c>
      <c r="N710" s="9">
        <v>0.0</v>
      </c>
      <c r="O710" s="17"/>
      <c r="P710" s="16"/>
    </row>
    <row r="711">
      <c r="A711" s="16"/>
      <c r="B711" s="16"/>
      <c r="C711" s="16"/>
      <c r="D711" s="16"/>
      <c r="E711" s="11"/>
      <c r="F711" s="11"/>
      <c r="G711" s="11"/>
      <c r="H711" s="11"/>
      <c r="I711" s="11"/>
      <c r="J711" s="9">
        <v>0.0</v>
      </c>
      <c r="K711" s="9">
        <v>0.0</v>
      </c>
      <c r="L711" s="9">
        <v>0.0</v>
      </c>
      <c r="M711" s="9">
        <v>0.0</v>
      </c>
      <c r="N711" s="9">
        <v>0.0</v>
      </c>
      <c r="O711" s="17"/>
      <c r="P711" s="16"/>
    </row>
    <row r="712">
      <c r="A712" s="16"/>
      <c r="B712" s="16"/>
      <c r="C712" s="16"/>
      <c r="D712" s="16"/>
      <c r="E712" s="11"/>
      <c r="F712" s="11"/>
      <c r="G712" s="11"/>
      <c r="H712" s="11"/>
      <c r="I712" s="11"/>
      <c r="J712" s="9">
        <v>0.0</v>
      </c>
      <c r="K712" s="9">
        <v>0.0</v>
      </c>
      <c r="L712" s="9">
        <v>0.0</v>
      </c>
      <c r="M712" s="9">
        <v>0.0</v>
      </c>
      <c r="N712" s="9">
        <v>0.0</v>
      </c>
      <c r="O712" s="17"/>
      <c r="P712" s="16"/>
    </row>
    <row r="713">
      <c r="A713" s="16"/>
      <c r="B713" s="16"/>
      <c r="C713" s="16"/>
      <c r="D713" s="16"/>
      <c r="E713" s="11"/>
      <c r="F713" s="11"/>
      <c r="G713" s="11"/>
      <c r="H713" s="11"/>
      <c r="I713" s="11"/>
      <c r="J713" s="9">
        <v>0.0</v>
      </c>
      <c r="K713" s="9">
        <v>0.0</v>
      </c>
      <c r="L713" s="9">
        <v>0.0</v>
      </c>
      <c r="M713" s="9">
        <v>0.0</v>
      </c>
      <c r="N713" s="9">
        <v>0.0</v>
      </c>
      <c r="O713" s="17"/>
      <c r="P713" s="16"/>
    </row>
    <row r="714">
      <c r="A714" s="16"/>
      <c r="B714" s="16"/>
      <c r="C714" s="16"/>
      <c r="D714" s="16"/>
      <c r="E714" s="11"/>
      <c r="F714" s="11"/>
      <c r="G714" s="11"/>
      <c r="H714" s="11"/>
      <c r="I714" s="11"/>
      <c r="J714" s="9">
        <v>0.0</v>
      </c>
      <c r="K714" s="9">
        <v>0.0</v>
      </c>
      <c r="L714" s="9">
        <v>0.0</v>
      </c>
      <c r="M714" s="9">
        <v>0.0</v>
      </c>
      <c r="N714" s="9">
        <v>0.0</v>
      </c>
      <c r="O714" s="17"/>
      <c r="P714" s="16"/>
    </row>
    <row r="715">
      <c r="A715" s="16"/>
      <c r="B715" s="16"/>
      <c r="C715" s="16"/>
      <c r="D715" s="16"/>
      <c r="E715" s="11"/>
      <c r="F715" s="11"/>
      <c r="G715" s="11"/>
      <c r="H715" s="11"/>
      <c r="I715" s="11"/>
      <c r="J715" s="9">
        <v>0.0</v>
      </c>
      <c r="K715" s="9">
        <v>0.0</v>
      </c>
      <c r="L715" s="9">
        <v>0.0</v>
      </c>
      <c r="M715" s="9">
        <v>0.0</v>
      </c>
      <c r="N715" s="9">
        <v>0.0</v>
      </c>
      <c r="O715" s="17"/>
      <c r="P715" s="16"/>
    </row>
    <row r="716">
      <c r="A716" s="16"/>
      <c r="B716" s="16"/>
      <c r="C716" s="16"/>
      <c r="D716" s="16"/>
      <c r="E716" s="11"/>
      <c r="F716" s="11"/>
      <c r="G716" s="11"/>
      <c r="H716" s="11"/>
      <c r="I716" s="11"/>
      <c r="J716" s="9">
        <v>0.0</v>
      </c>
      <c r="K716" s="9">
        <v>0.0</v>
      </c>
      <c r="L716" s="9">
        <v>0.0</v>
      </c>
      <c r="M716" s="9">
        <v>0.0</v>
      </c>
      <c r="N716" s="9">
        <v>0.0</v>
      </c>
      <c r="O716" s="17"/>
      <c r="P716" s="16"/>
    </row>
    <row r="717">
      <c r="A717" s="16"/>
      <c r="B717" s="16"/>
      <c r="C717" s="16"/>
      <c r="D717" s="16"/>
      <c r="E717" s="11"/>
      <c r="F717" s="11"/>
      <c r="G717" s="11"/>
      <c r="H717" s="11"/>
      <c r="I717" s="11"/>
      <c r="J717" s="9">
        <v>0.0</v>
      </c>
      <c r="K717" s="9">
        <v>0.0</v>
      </c>
      <c r="L717" s="9">
        <v>0.0</v>
      </c>
      <c r="M717" s="9">
        <v>0.0</v>
      </c>
      <c r="N717" s="9">
        <v>0.0</v>
      </c>
      <c r="O717" s="17"/>
      <c r="P717" s="16"/>
    </row>
    <row r="718">
      <c r="A718" s="16"/>
      <c r="B718" s="16"/>
      <c r="C718" s="16"/>
      <c r="D718" s="16"/>
      <c r="E718" s="11"/>
      <c r="F718" s="11"/>
      <c r="G718" s="11"/>
      <c r="H718" s="11"/>
      <c r="I718" s="11"/>
      <c r="J718" s="9">
        <v>0.0</v>
      </c>
      <c r="K718" s="9">
        <v>0.0</v>
      </c>
      <c r="L718" s="9">
        <v>0.0</v>
      </c>
      <c r="M718" s="9">
        <v>0.0</v>
      </c>
      <c r="N718" s="9">
        <v>0.0</v>
      </c>
      <c r="O718" s="17"/>
      <c r="P718" s="16"/>
    </row>
    <row r="719">
      <c r="A719" s="16"/>
      <c r="B719" s="16"/>
      <c r="C719" s="16"/>
      <c r="D719" s="16"/>
      <c r="E719" s="11"/>
      <c r="F719" s="11"/>
      <c r="G719" s="11"/>
      <c r="H719" s="11"/>
      <c r="I719" s="11"/>
      <c r="J719" s="9">
        <v>0.0</v>
      </c>
      <c r="K719" s="9">
        <v>0.0</v>
      </c>
      <c r="L719" s="9">
        <v>0.0</v>
      </c>
      <c r="M719" s="9">
        <v>0.0</v>
      </c>
      <c r="N719" s="9">
        <v>0.0</v>
      </c>
      <c r="O719" s="17"/>
      <c r="P719" s="16"/>
    </row>
    <row r="720">
      <c r="A720" s="16"/>
      <c r="B720" s="16"/>
      <c r="C720" s="16"/>
      <c r="D720" s="16"/>
      <c r="E720" s="11"/>
      <c r="F720" s="11"/>
      <c r="G720" s="11"/>
      <c r="H720" s="11"/>
      <c r="I720" s="11"/>
      <c r="J720" s="9">
        <v>0.0</v>
      </c>
      <c r="K720" s="9">
        <v>0.0</v>
      </c>
      <c r="L720" s="9">
        <v>0.0</v>
      </c>
      <c r="M720" s="9">
        <v>0.0</v>
      </c>
      <c r="N720" s="9">
        <v>0.0</v>
      </c>
      <c r="O720" s="17"/>
      <c r="P720" s="16"/>
    </row>
    <row r="721">
      <c r="A721" s="16"/>
      <c r="B721" s="16"/>
      <c r="C721" s="16"/>
      <c r="D721" s="16"/>
      <c r="E721" s="11"/>
      <c r="F721" s="11"/>
      <c r="G721" s="11"/>
      <c r="H721" s="11"/>
      <c r="I721" s="11"/>
      <c r="J721" s="9">
        <v>0.0</v>
      </c>
      <c r="K721" s="9">
        <v>0.0</v>
      </c>
      <c r="L721" s="9">
        <v>0.0</v>
      </c>
      <c r="M721" s="9">
        <v>0.0</v>
      </c>
      <c r="N721" s="9">
        <v>0.0</v>
      </c>
      <c r="O721" s="17"/>
      <c r="P721" s="16"/>
    </row>
    <row r="722">
      <c r="A722" s="16"/>
      <c r="B722" s="16"/>
      <c r="C722" s="16"/>
      <c r="D722" s="16"/>
      <c r="E722" s="11"/>
      <c r="F722" s="11"/>
      <c r="G722" s="11"/>
      <c r="H722" s="11"/>
      <c r="I722" s="11"/>
      <c r="J722" s="9">
        <v>0.0</v>
      </c>
      <c r="K722" s="9">
        <v>0.0</v>
      </c>
      <c r="L722" s="9">
        <v>0.0</v>
      </c>
      <c r="M722" s="9">
        <v>0.0</v>
      </c>
      <c r="N722" s="9">
        <v>0.0</v>
      </c>
      <c r="O722" s="17"/>
      <c r="P722" s="16"/>
    </row>
    <row r="723">
      <c r="A723" s="16"/>
      <c r="B723" s="16"/>
      <c r="C723" s="16"/>
      <c r="D723" s="16"/>
      <c r="E723" s="11"/>
      <c r="F723" s="11"/>
      <c r="G723" s="11"/>
      <c r="H723" s="11"/>
      <c r="I723" s="11"/>
      <c r="J723" s="9">
        <v>0.0</v>
      </c>
      <c r="K723" s="9">
        <v>0.0</v>
      </c>
      <c r="L723" s="9">
        <v>0.0</v>
      </c>
      <c r="M723" s="9">
        <v>0.0</v>
      </c>
      <c r="N723" s="9">
        <v>0.0</v>
      </c>
      <c r="O723" s="17"/>
      <c r="P723" s="16"/>
    </row>
    <row r="724">
      <c r="A724" s="16"/>
      <c r="B724" s="16"/>
      <c r="C724" s="16"/>
      <c r="D724" s="16"/>
      <c r="E724" s="11"/>
      <c r="F724" s="11"/>
      <c r="G724" s="11"/>
      <c r="H724" s="11"/>
      <c r="I724" s="11"/>
      <c r="J724" s="9">
        <v>0.0</v>
      </c>
      <c r="K724" s="9">
        <v>0.0</v>
      </c>
      <c r="L724" s="9">
        <v>0.0</v>
      </c>
      <c r="M724" s="9">
        <v>0.0</v>
      </c>
      <c r="N724" s="9">
        <v>0.0</v>
      </c>
      <c r="O724" s="17"/>
      <c r="P724" s="16"/>
    </row>
    <row r="725">
      <c r="A725" s="16"/>
      <c r="B725" s="16"/>
      <c r="C725" s="16"/>
      <c r="D725" s="16"/>
      <c r="E725" s="11"/>
      <c r="F725" s="11"/>
      <c r="G725" s="11"/>
      <c r="H725" s="11"/>
      <c r="I725" s="11"/>
      <c r="J725" s="9">
        <v>0.0</v>
      </c>
      <c r="K725" s="9">
        <v>0.0</v>
      </c>
      <c r="L725" s="9">
        <v>0.0</v>
      </c>
      <c r="M725" s="9">
        <v>0.0</v>
      </c>
      <c r="N725" s="9">
        <v>0.0</v>
      </c>
      <c r="O725" s="17"/>
      <c r="P725" s="16"/>
    </row>
    <row r="726">
      <c r="A726" s="16"/>
      <c r="B726" s="16"/>
      <c r="C726" s="16"/>
      <c r="D726" s="16"/>
      <c r="E726" s="11"/>
      <c r="F726" s="11"/>
      <c r="G726" s="11"/>
      <c r="H726" s="11"/>
      <c r="I726" s="11"/>
      <c r="J726" s="9">
        <v>0.0</v>
      </c>
      <c r="K726" s="9">
        <v>0.0</v>
      </c>
      <c r="L726" s="9">
        <v>0.0</v>
      </c>
      <c r="M726" s="9">
        <v>0.0</v>
      </c>
      <c r="N726" s="9">
        <v>0.0</v>
      </c>
      <c r="O726" s="17"/>
      <c r="P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9">
        <v>0.0</v>
      </c>
      <c r="K727" s="9">
        <v>0.0</v>
      </c>
      <c r="L727" s="9">
        <v>0.0</v>
      </c>
      <c r="M727" s="9">
        <v>0.0</v>
      </c>
      <c r="N727" s="9">
        <v>0.0</v>
      </c>
      <c r="O727" s="16"/>
      <c r="P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9">
        <v>0.0</v>
      </c>
      <c r="K728" s="9">
        <v>0.0</v>
      </c>
      <c r="L728" s="9">
        <v>0.0</v>
      </c>
      <c r="M728" s="9">
        <v>0.0</v>
      </c>
      <c r="N728" s="9">
        <v>0.0</v>
      </c>
      <c r="O728" s="16"/>
      <c r="P728" s="16"/>
    </row>
    <row r="729">
      <c r="A729" s="9">
        <v>2.411000046E9</v>
      </c>
      <c r="B729" s="10" t="s">
        <v>21</v>
      </c>
      <c r="C729" s="9">
        <v>2.0</v>
      </c>
      <c r="D729" s="10" t="s">
        <v>74</v>
      </c>
      <c r="E729" s="9">
        <v>1.0</v>
      </c>
      <c r="F729" s="9">
        <v>267.0</v>
      </c>
      <c r="G729" s="9">
        <v>267.0</v>
      </c>
      <c r="H729" s="9">
        <v>0.0</v>
      </c>
      <c r="I729" s="9">
        <v>0.0</v>
      </c>
      <c r="J729" s="9">
        <v>267.0</v>
      </c>
      <c r="K729" s="9">
        <v>267.0</v>
      </c>
      <c r="L729" s="9">
        <v>0.3</v>
      </c>
      <c r="M729" s="9">
        <v>80.1</v>
      </c>
      <c r="N729" s="9">
        <v>186.9</v>
      </c>
      <c r="O729" s="12">
        <v>45962.0</v>
      </c>
      <c r="P729" s="13">
        <v>45962.0</v>
      </c>
    </row>
    <row r="730">
      <c r="A730" s="9">
        <v>2.411000046E9</v>
      </c>
      <c r="B730" s="10" t="s">
        <v>21</v>
      </c>
      <c r="C730" s="9">
        <v>3.0</v>
      </c>
      <c r="D730" s="10" t="s">
        <v>125</v>
      </c>
      <c r="E730" s="9">
        <v>7.0</v>
      </c>
      <c r="F730" s="9">
        <v>19.0</v>
      </c>
      <c r="G730" s="9">
        <v>96.0</v>
      </c>
      <c r="H730" s="9">
        <v>0.0</v>
      </c>
      <c r="I730" s="9">
        <v>0.0</v>
      </c>
      <c r="J730" s="9">
        <v>19.0</v>
      </c>
      <c r="K730" s="9">
        <v>96.0</v>
      </c>
      <c r="L730" s="9">
        <v>6.2</v>
      </c>
      <c r="M730" s="9">
        <v>117.8</v>
      </c>
      <c r="N730" s="9">
        <v>-21.8</v>
      </c>
      <c r="O730" s="12">
        <v>45962.0</v>
      </c>
      <c r="P730" s="15"/>
    </row>
    <row r="731">
      <c r="A731" s="9">
        <v>2.411000046E9</v>
      </c>
      <c r="B731" s="10" t="s">
        <v>21</v>
      </c>
      <c r="C731" s="9">
        <v>5.0</v>
      </c>
      <c r="D731" s="10" t="s">
        <v>131</v>
      </c>
      <c r="E731" s="9">
        <v>3.0</v>
      </c>
      <c r="F731" s="9">
        <v>17.0</v>
      </c>
      <c r="G731" s="9">
        <v>51.0</v>
      </c>
      <c r="H731" s="9">
        <v>0.0</v>
      </c>
      <c r="I731" s="9">
        <v>0.0</v>
      </c>
      <c r="J731" s="9">
        <v>17.0</v>
      </c>
      <c r="K731" s="9">
        <v>51.0</v>
      </c>
      <c r="L731" s="9">
        <v>2.0</v>
      </c>
      <c r="M731" s="9">
        <v>34.0</v>
      </c>
      <c r="N731" s="9">
        <v>17.0</v>
      </c>
      <c r="O731" s="12">
        <v>45962.0</v>
      </c>
      <c r="P731" s="15"/>
    </row>
    <row r="732">
      <c r="A732" s="9">
        <v>2.411000046E9</v>
      </c>
      <c r="B732" s="10" t="s">
        <v>21</v>
      </c>
      <c r="C732" s="9">
        <v>6.0</v>
      </c>
      <c r="D732" s="10" t="s">
        <v>109</v>
      </c>
      <c r="E732" s="9">
        <v>5.0</v>
      </c>
      <c r="F732" s="9">
        <v>85.0</v>
      </c>
      <c r="G732" s="9">
        <v>420.0</v>
      </c>
      <c r="H732" s="9">
        <v>0.0</v>
      </c>
      <c r="I732" s="9">
        <v>0.0</v>
      </c>
      <c r="J732" s="9">
        <v>85.0</v>
      </c>
      <c r="K732" s="9">
        <v>420.0</v>
      </c>
      <c r="L732" s="9">
        <v>3.08</v>
      </c>
      <c r="M732" s="9">
        <v>261.8</v>
      </c>
      <c r="N732" s="9">
        <v>158.2</v>
      </c>
      <c r="O732" s="12">
        <v>45962.0</v>
      </c>
      <c r="P732" s="15"/>
    </row>
    <row r="733">
      <c r="A733" s="9">
        <v>2.411000046E9</v>
      </c>
      <c r="B733" s="10" t="s">
        <v>21</v>
      </c>
      <c r="C733" s="9">
        <v>11.0</v>
      </c>
      <c r="D733" s="10" t="s">
        <v>86</v>
      </c>
      <c r="E733" s="9">
        <v>5.0</v>
      </c>
      <c r="F733" s="9">
        <v>62.0</v>
      </c>
      <c r="G733" s="9">
        <v>310.0</v>
      </c>
      <c r="H733" s="9">
        <v>0.0</v>
      </c>
      <c r="I733" s="9">
        <v>0.0</v>
      </c>
      <c r="J733" s="9">
        <v>62.0</v>
      </c>
      <c r="K733" s="9">
        <v>310.0</v>
      </c>
      <c r="L733" s="9">
        <v>3.5</v>
      </c>
      <c r="M733" s="9">
        <v>217.0</v>
      </c>
      <c r="N733" s="9">
        <v>93.0</v>
      </c>
      <c r="O733" s="12">
        <v>45962.0</v>
      </c>
      <c r="P733" s="15"/>
    </row>
    <row r="734">
      <c r="A734" s="9">
        <v>2.411000046E9</v>
      </c>
      <c r="B734" s="10" t="s">
        <v>21</v>
      </c>
      <c r="C734" s="9">
        <v>12.0</v>
      </c>
      <c r="D734" s="10" t="s">
        <v>136</v>
      </c>
      <c r="E734" s="9">
        <v>1.0</v>
      </c>
      <c r="F734" s="9">
        <v>121.0</v>
      </c>
      <c r="G734" s="9">
        <v>121.0</v>
      </c>
      <c r="H734" s="9">
        <v>0.0</v>
      </c>
      <c r="I734" s="9">
        <v>0.0</v>
      </c>
      <c r="J734" s="9">
        <v>121.0</v>
      </c>
      <c r="K734" s="9">
        <v>121.0</v>
      </c>
      <c r="L734" s="9">
        <v>0.6</v>
      </c>
      <c r="M734" s="9">
        <v>72.6</v>
      </c>
      <c r="N734" s="9">
        <v>48.4</v>
      </c>
      <c r="O734" s="12">
        <v>45962.0</v>
      </c>
      <c r="P734" s="15"/>
    </row>
    <row r="735">
      <c r="A735" s="9">
        <v>2.411000046E9</v>
      </c>
      <c r="B735" s="10" t="s">
        <v>21</v>
      </c>
      <c r="C735" s="9">
        <v>14.0</v>
      </c>
      <c r="D735" s="10" t="s">
        <v>138</v>
      </c>
      <c r="E735" s="9">
        <v>7.0</v>
      </c>
      <c r="F735" s="9">
        <v>42.0</v>
      </c>
      <c r="G735" s="9">
        <v>234.0</v>
      </c>
      <c r="H735" s="9">
        <v>0.0</v>
      </c>
      <c r="I735" s="9">
        <v>0.0</v>
      </c>
      <c r="J735" s="9">
        <v>42.0</v>
      </c>
      <c r="K735" s="9">
        <v>234.0</v>
      </c>
      <c r="L735" s="9">
        <v>5.8</v>
      </c>
      <c r="M735" s="9">
        <v>243.6</v>
      </c>
      <c r="N735" s="9">
        <v>-9.6</v>
      </c>
      <c r="O735" s="12">
        <v>45962.0</v>
      </c>
      <c r="P735" s="15"/>
    </row>
    <row r="736">
      <c r="A736" s="9">
        <v>2.411000046E9</v>
      </c>
      <c r="B736" s="10" t="s">
        <v>21</v>
      </c>
      <c r="C736" s="9">
        <v>15.0</v>
      </c>
      <c r="D736" s="10" t="s">
        <v>55</v>
      </c>
      <c r="E736" s="9">
        <v>2.0</v>
      </c>
      <c r="F736" s="9">
        <v>1.0</v>
      </c>
      <c r="G736" s="9">
        <v>4.0</v>
      </c>
      <c r="H736" s="9">
        <v>0.0</v>
      </c>
      <c r="I736" s="9">
        <v>0.0</v>
      </c>
      <c r="J736" s="9">
        <v>1.0</v>
      </c>
      <c r="K736" s="9">
        <v>4.0</v>
      </c>
      <c r="L736" s="9">
        <v>1.54</v>
      </c>
      <c r="M736" s="9">
        <v>1.54</v>
      </c>
      <c r="N736" s="9">
        <v>2.46</v>
      </c>
      <c r="O736" s="12">
        <v>45962.0</v>
      </c>
      <c r="P736" s="15"/>
    </row>
    <row r="737">
      <c r="A737" s="9">
        <v>2.411000046E9</v>
      </c>
      <c r="B737" s="10" t="s">
        <v>21</v>
      </c>
      <c r="C737" s="9">
        <v>19.0</v>
      </c>
      <c r="D737" s="10" t="s">
        <v>72</v>
      </c>
      <c r="E737" s="9">
        <v>2.0</v>
      </c>
      <c r="F737" s="9">
        <v>116.0</v>
      </c>
      <c r="G737" s="9">
        <v>222.0</v>
      </c>
      <c r="H737" s="9">
        <v>0.0</v>
      </c>
      <c r="I737" s="9">
        <v>0.0</v>
      </c>
      <c r="J737" s="9">
        <v>116.0</v>
      </c>
      <c r="K737" s="9">
        <v>222.0</v>
      </c>
      <c r="L737" s="9">
        <v>1.33</v>
      </c>
      <c r="M737" s="9">
        <v>154.28</v>
      </c>
      <c r="N737" s="9">
        <v>67.72</v>
      </c>
      <c r="O737" s="12">
        <v>45962.0</v>
      </c>
      <c r="P737" s="15"/>
    </row>
    <row r="738">
      <c r="A738" s="9">
        <v>2.411000046E9</v>
      </c>
      <c r="B738" s="10" t="s">
        <v>21</v>
      </c>
      <c r="C738" s="9">
        <v>21.0</v>
      </c>
      <c r="D738" s="10" t="s">
        <v>79</v>
      </c>
      <c r="E738" s="9">
        <v>3.0</v>
      </c>
      <c r="F738" s="9">
        <v>58.0</v>
      </c>
      <c r="G738" s="9">
        <v>153.0</v>
      </c>
      <c r="H738" s="9">
        <v>0.0</v>
      </c>
      <c r="I738" s="9">
        <v>0.0</v>
      </c>
      <c r="J738" s="9">
        <v>58.0</v>
      </c>
      <c r="K738" s="9">
        <v>153.0</v>
      </c>
      <c r="L738" s="9">
        <v>2.2</v>
      </c>
      <c r="M738" s="9">
        <v>127.6</v>
      </c>
      <c r="N738" s="9">
        <v>25.4</v>
      </c>
      <c r="O738" s="12">
        <v>45962.0</v>
      </c>
      <c r="P738" s="15"/>
    </row>
    <row r="739">
      <c r="A739" s="9">
        <v>2.411000046E9</v>
      </c>
      <c r="B739" s="10" t="s">
        <v>21</v>
      </c>
      <c r="C739" s="9">
        <v>25.0</v>
      </c>
      <c r="D739" s="10" t="s">
        <v>144</v>
      </c>
      <c r="E739" s="9">
        <v>5.0</v>
      </c>
      <c r="F739" s="9">
        <v>28.0</v>
      </c>
      <c r="G739" s="9">
        <v>125.0</v>
      </c>
      <c r="H739" s="9">
        <v>0.0</v>
      </c>
      <c r="I739" s="9">
        <v>0.0</v>
      </c>
      <c r="J739" s="9">
        <v>28.0</v>
      </c>
      <c r="K739" s="9">
        <v>125.0</v>
      </c>
      <c r="L739" s="9">
        <v>3.5</v>
      </c>
      <c r="M739" s="9">
        <v>98.0</v>
      </c>
      <c r="N739" s="9">
        <v>27.0</v>
      </c>
      <c r="O739" s="12">
        <v>45962.0</v>
      </c>
      <c r="P739" s="15"/>
    </row>
    <row r="740">
      <c r="A740" s="9">
        <v>2.411000046E9</v>
      </c>
      <c r="B740" s="10" t="s">
        <v>21</v>
      </c>
      <c r="C740" s="9">
        <v>28.0</v>
      </c>
      <c r="D740" s="10" t="s">
        <v>146</v>
      </c>
      <c r="E740" s="9">
        <v>5.0</v>
      </c>
      <c r="F740" s="9">
        <v>43.0</v>
      </c>
      <c r="G740" s="9">
        <v>200.0</v>
      </c>
      <c r="H740" s="9">
        <v>0.0</v>
      </c>
      <c r="I740" s="9">
        <v>0.0</v>
      </c>
      <c r="J740" s="9">
        <v>43.0</v>
      </c>
      <c r="K740" s="9">
        <v>200.0</v>
      </c>
      <c r="L740" s="9">
        <v>4.5</v>
      </c>
      <c r="M740" s="9">
        <v>193.5</v>
      </c>
      <c r="N740" s="9">
        <v>6.5</v>
      </c>
      <c r="O740" s="12">
        <v>45962.0</v>
      </c>
      <c r="P740" s="15"/>
    </row>
    <row r="741">
      <c r="A741" s="9">
        <v>2.411000046E9</v>
      </c>
      <c r="B741" s="10" t="s">
        <v>21</v>
      </c>
      <c r="C741" s="9">
        <v>29.0</v>
      </c>
      <c r="D741" s="10" t="s">
        <v>147</v>
      </c>
      <c r="E741" s="9">
        <v>3.0</v>
      </c>
      <c r="F741" s="9">
        <v>57.0</v>
      </c>
      <c r="G741" s="9">
        <v>171.0</v>
      </c>
      <c r="H741" s="9">
        <v>0.0</v>
      </c>
      <c r="I741" s="9">
        <v>0.0</v>
      </c>
      <c r="J741" s="9">
        <v>57.0</v>
      </c>
      <c r="K741" s="9">
        <v>171.0</v>
      </c>
      <c r="L741" s="9">
        <v>2.25</v>
      </c>
      <c r="M741" s="9">
        <v>128.25</v>
      </c>
      <c r="N741" s="9">
        <v>42.75</v>
      </c>
      <c r="O741" s="12">
        <v>45962.0</v>
      </c>
      <c r="P741" s="15"/>
    </row>
    <row r="742">
      <c r="A742" s="9">
        <v>2.411000046E9</v>
      </c>
      <c r="B742" s="10" t="s">
        <v>21</v>
      </c>
      <c r="C742" s="9">
        <v>30.0</v>
      </c>
      <c r="D742" s="10" t="s">
        <v>148</v>
      </c>
      <c r="E742" s="9">
        <v>5.0</v>
      </c>
      <c r="F742" s="9">
        <v>6.0</v>
      </c>
      <c r="G742" s="9">
        <v>24.0</v>
      </c>
      <c r="H742" s="9">
        <v>0.0</v>
      </c>
      <c r="I742" s="9">
        <v>0.0</v>
      </c>
      <c r="J742" s="9">
        <v>6.0</v>
      </c>
      <c r="K742" s="9">
        <v>24.0</v>
      </c>
      <c r="L742" s="9">
        <v>3.6</v>
      </c>
      <c r="M742" s="9">
        <v>21.6</v>
      </c>
      <c r="N742" s="9">
        <v>2.4</v>
      </c>
      <c r="O742" s="12">
        <v>45962.0</v>
      </c>
      <c r="P742" s="15"/>
    </row>
    <row r="743">
      <c r="A743" s="9">
        <v>2.411000046E9</v>
      </c>
      <c r="B743" s="10" t="s">
        <v>21</v>
      </c>
      <c r="C743" s="9">
        <v>32.0</v>
      </c>
      <c r="D743" s="10" t="s">
        <v>150</v>
      </c>
      <c r="E743" s="9">
        <v>3.0</v>
      </c>
      <c r="F743" s="9">
        <v>52.0</v>
      </c>
      <c r="G743" s="9">
        <v>124.0</v>
      </c>
      <c r="H743" s="9">
        <v>0.0</v>
      </c>
      <c r="I743" s="9">
        <v>0.0</v>
      </c>
      <c r="J743" s="9">
        <v>52.0</v>
      </c>
      <c r="K743" s="9">
        <v>124.0</v>
      </c>
      <c r="L743" s="9">
        <v>2.0</v>
      </c>
      <c r="M743" s="9">
        <v>104.0</v>
      </c>
      <c r="N743" s="9">
        <v>20.0</v>
      </c>
      <c r="O743" s="12">
        <v>45962.0</v>
      </c>
      <c r="P743" s="15"/>
    </row>
    <row r="744">
      <c r="A744" s="9">
        <v>2.411000046E9</v>
      </c>
      <c r="B744" s="10" t="s">
        <v>21</v>
      </c>
      <c r="C744" s="9">
        <v>33.0</v>
      </c>
      <c r="D744" s="10" t="s">
        <v>151</v>
      </c>
      <c r="E744" s="9">
        <v>3.0</v>
      </c>
      <c r="F744" s="9">
        <v>15.0</v>
      </c>
      <c r="G744" s="9">
        <v>60.0</v>
      </c>
      <c r="H744" s="9">
        <v>0.0</v>
      </c>
      <c r="I744" s="9">
        <v>0.0</v>
      </c>
      <c r="J744" s="9">
        <v>15.0</v>
      </c>
      <c r="K744" s="9">
        <v>60.0</v>
      </c>
      <c r="L744" s="9">
        <v>1.33</v>
      </c>
      <c r="M744" s="9">
        <v>19.95</v>
      </c>
      <c r="N744" s="9">
        <v>40.05</v>
      </c>
      <c r="O744" s="12">
        <v>45962.0</v>
      </c>
      <c r="P744" s="15"/>
    </row>
    <row r="745">
      <c r="A745" s="9">
        <v>2.411000046E9</v>
      </c>
      <c r="B745" s="10" t="s">
        <v>21</v>
      </c>
      <c r="C745" s="9">
        <v>37.0</v>
      </c>
      <c r="D745" s="10" t="s">
        <v>154</v>
      </c>
      <c r="E745" s="9">
        <v>1.0</v>
      </c>
      <c r="F745" s="9">
        <v>140.0</v>
      </c>
      <c r="G745" s="9">
        <v>117.0</v>
      </c>
      <c r="H745" s="9">
        <v>0.0</v>
      </c>
      <c r="I745" s="9">
        <v>0.0</v>
      </c>
      <c r="J745" s="9">
        <v>140.0</v>
      </c>
      <c r="K745" s="9">
        <v>117.0</v>
      </c>
      <c r="L745" s="9">
        <v>0.63</v>
      </c>
      <c r="M745" s="9">
        <v>88.2</v>
      </c>
      <c r="N745" s="9">
        <v>28.8</v>
      </c>
      <c r="O745" s="12">
        <v>45962.0</v>
      </c>
      <c r="P745" s="15"/>
    </row>
    <row r="746">
      <c r="A746" s="9">
        <v>2.411000046E9</v>
      </c>
      <c r="B746" s="10" t="s">
        <v>21</v>
      </c>
      <c r="C746" s="9">
        <v>38.0</v>
      </c>
      <c r="D746" s="10" t="s">
        <v>155</v>
      </c>
      <c r="E746" s="9">
        <v>7.0</v>
      </c>
      <c r="F746" s="9">
        <v>15.0</v>
      </c>
      <c r="G746" s="9">
        <v>98.0</v>
      </c>
      <c r="H746" s="9">
        <v>0.0</v>
      </c>
      <c r="I746" s="9">
        <v>0.0</v>
      </c>
      <c r="J746" s="9">
        <v>15.0</v>
      </c>
      <c r="K746" s="9">
        <v>98.0</v>
      </c>
      <c r="L746" s="9">
        <v>5.18</v>
      </c>
      <c r="M746" s="9">
        <v>77.7</v>
      </c>
      <c r="N746" s="9">
        <v>20.3</v>
      </c>
      <c r="O746" s="12">
        <v>45962.0</v>
      </c>
      <c r="P746" s="15"/>
    </row>
    <row r="747">
      <c r="A747" s="9">
        <v>2.411000046E9</v>
      </c>
      <c r="B747" s="10" t="s">
        <v>21</v>
      </c>
      <c r="C747" s="9">
        <v>40.0</v>
      </c>
      <c r="D747" s="10" t="s">
        <v>156</v>
      </c>
      <c r="E747" s="9">
        <v>5.0</v>
      </c>
      <c r="F747" s="9">
        <v>7.0</v>
      </c>
      <c r="G747" s="9">
        <v>35.0</v>
      </c>
      <c r="H747" s="9">
        <v>0.0</v>
      </c>
      <c r="I747" s="9">
        <v>0.0</v>
      </c>
      <c r="J747" s="9">
        <v>7.0</v>
      </c>
      <c r="K747" s="9">
        <v>35.0</v>
      </c>
      <c r="L747" s="9">
        <v>3.63</v>
      </c>
      <c r="M747" s="9">
        <v>25.41</v>
      </c>
      <c r="N747" s="9">
        <v>9.59</v>
      </c>
      <c r="O747" s="12">
        <v>45962.0</v>
      </c>
      <c r="P747" s="15"/>
    </row>
    <row r="748">
      <c r="A748" s="9">
        <v>2.411000046E9</v>
      </c>
      <c r="B748" s="10" t="s">
        <v>21</v>
      </c>
      <c r="C748" s="9">
        <v>41.0</v>
      </c>
      <c r="D748" s="10" t="s">
        <v>157</v>
      </c>
      <c r="E748" s="9">
        <v>5.0</v>
      </c>
      <c r="F748" s="9">
        <v>15.0</v>
      </c>
      <c r="G748" s="9">
        <v>75.0</v>
      </c>
      <c r="H748" s="9">
        <v>0.0</v>
      </c>
      <c r="I748" s="9">
        <v>0.0</v>
      </c>
      <c r="J748" s="9">
        <v>15.0</v>
      </c>
      <c r="K748" s="9">
        <v>75.0</v>
      </c>
      <c r="L748" s="9">
        <v>3.25</v>
      </c>
      <c r="M748" s="9">
        <v>48.75</v>
      </c>
      <c r="N748" s="9">
        <v>26.25</v>
      </c>
      <c r="O748" s="12">
        <v>45962.0</v>
      </c>
      <c r="P748" s="15"/>
    </row>
    <row r="749">
      <c r="A749" s="9">
        <v>2.411000046E9</v>
      </c>
      <c r="B749" s="10" t="s">
        <v>21</v>
      </c>
      <c r="C749" s="9">
        <v>42.0</v>
      </c>
      <c r="D749" s="10" t="s">
        <v>70</v>
      </c>
      <c r="E749" s="9">
        <v>4.0</v>
      </c>
      <c r="F749" s="9">
        <v>14.0</v>
      </c>
      <c r="G749" s="9">
        <v>52.0</v>
      </c>
      <c r="H749" s="9">
        <v>0.0</v>
      </c>
      <c r="I749" s="9">
        <v>0.0</v>
      </c>
      <c r="J749" s="9">
        <v>14.0</v>
      </c>
      <c r="K749" s="9">
        <v>52.0</v>
      </c>
      <c r="L749" s="9">
        <v>2.96</v>
      </c>
      <c r="M749" s="9">
        <v>41.44</v>
      </c>
      <c r="N749" s="9">
        <v>10.56</v>
      </c>
      <c r="O749" s="12">
        <v>45962.0</v>
      </c>
      <c r="P749" s="15"/>
    </row>
    <row r="750">
      <c r="A750" s="9">
        <v>2.411000046E9</v>
      </c>
      <c r="B750" s="10" t="s">
        <v>21</v>
      </c>
      <c r="C750" s="9">
        <v>43.0</v>
      </c>
      <c r="D750" s="10" t="s">
        <v>159</v>
      </c>
      <c r="E750" s="9">
        <v>5.0</v>
      </c>
      <c r="F750" s="9">
        <v>11.0</v>
      </c>
      <c r="G750" s="9">
        <v>55.0</v>
      </c>
      <c r="H750" s="9">
        <v>0.0</v>
      </c>
      <c r="I750" s="9">
        <v>0.0</v>
      </c>
      <c r="J750" s="9">
        <v>11.0</v>
      </c>
      <c r="K750" s="9">
        <v>55.0</v>
      </c>
      <c r="L750" s="9">
        <v>2.33</v>
      </c>
      <c r="M750" s="9">
        <v>25.63</v>
      </c>
      <c r="N750" s="9">
        <v>29.37</v>
      </c>
      <c r="O750" s="12">
        <v>45962.0</v>
      </c>
      <c r="P750" s="15"/>
    </row>
    <row r="751">
      <c r="A751" s="9">
        <v>2.411000046E9</v>
      </c>
      <c r="B751" s="10" t="s">
        <v>21</v>
      </c>
      <c r="C751" s="9">
        <v>44.0</v>
      </c>
      <c r="D751" s="10" t="s">
        <v>160</v>
      </c>
      <c r="E751" s="9">
        <v>5.0</v>
      </c>
      <c r="F751" s="9">
        <v>39.0</v>
      </c>
      <c r="G751" s="9">
        <v>189.0</v>
      </c>
      <c r="H751" s="9">
        <v>0.0</v>
      </c>
      <c r="I751" s="9">
        <v>0.0</v>
      </c>
      <c r="J751" s="9">
        <v>39.0</v>
      </c>
      <c r="K751" s="9">
        <v>189.0</v>
      </c>
      <c r="L751" s="9">
        <v>4.13</v>
      </c>
      <c r="M751" s="9">
        <v>161.07</v>
      </c>
      <c r="N751" s="9">
        <v>27.93</v>
      </c>
      <c r="O751" s="12">
        <v>45962.0</v>
      </c>
      <c r="P751" s="15"/>
    </row>
    <row r="752">
      <c r="A752" s="9">
        <v>2.411000046E9</v>
      </c>
      <c r="B752" s="10" t="s">
        <v>21</v>
      </c>
      <c r="C752" s="9">
        <v>47.0</v>
      </c>
      <c r="D752" s="10" t="s">
        <v>162</v>
      </c>
      <c r="E752" s="9">
        <v>5.0</v>
      </c>
      <c r="F752" s="9">
        <v>13.0</v>
      </c>
      <c r="G752" s="9">
        <v>65.0</v>
      </c>
      <c r="H752" s="9">
        <v>0.0</v>
      </c>
      <c r="I752" s="9">
        <v>0.0</v>
      </c>
      <c r="J752" s="9">
        <v>13.0</v>
      </c>
      <c r="K752" s="9">
        <v>65.0</v>
      </c>
      <c r="L752" s="9">
        <v>2.05</v>
      </c>
      <c r="M752" s="9">
        <v>26.65</v>
      </c>
      <c r="N752" s="9">
        <v>38.35</v>
      </c>
      <c r="O752" s="12">
        <v>45962.0</v>
      </c>
      <c r="P752" s="15"/>
    </row>
    <row r="753">
      <c r="A753" s="9">
        <v>2.411000046E9</v>
      </c>
      <c r="B753" s="10" t="s">
        <v>21</v>
      </c>
      <c r="C753" s="9">
        <v>48.0</v>
      </c>
      <c r="D753" s="10" t="s">
        <v>163</v>
      </c>
      <c r="E753" s="9">
        <v>4.0</v>
      </c>
      <c r="F753" s="9">
        <v>41.0</v>
      </c>
      <c r="G753" s="9">
        <v>112.0</v>
      </c>
      <c r="H753" s="9">
        <v>0.0</v>
      </c>
      <c r="I753" s="9">
        <v>0.0</v>
      </c>
      <c r="J753" s="9">
        <v>41.0</v>
      </c>
      <c r="K753" s="9">
        <v>112.0</v>
      </c>
      <c r="L753" s="9">
        <v>3.0</v>
      </c>
      <c r="M753" s="9">
        <v>123.0</v>
      </c>
      <c r="N753" s="9">
        <v>-11.0</v>
      </c>
      <c r="O753" s="12">
        <v>45962.0</v>
      </c>
      <c r="P753" s="15"/>
    </row>
    <row r="754">
      <c r="A754" s="9">
        <v>2.411000046E9</v>
      </c>
      <c r="B754" s="10" t="s">
        <v>21</v>
      </c>
      <c r="C754" s="9">
        <v>54.0</v>
      </c>
      <c r="D754" s="10" t="s">
        <v>168</v>
      </c>
      <c r="E754" s="9">
        <v>3.0</v>
      </c>
      <c r="F754" s="9">
        <v>24.0</v>
      </c>
      <c r="G754" s="9">
        <v>72.0</v>
      </c>
      <c r="H754" s="9">
        <v>0.0</v>
      </c>
      <c r="I754" s="9">
        <v>0.0</v>
      </c>
      <c r="J754" s="9">
        <v>24.0</v>
      </c>
      <c r="K754" s="9">
        <v>72.0</v>
      </c>
      <c r="L754" s="9">
        <v>2.25</v>
      </c>
      <c r="M754" s="9">
        <v>54.0</v>
      </c>
      <c r="N754" s="9">
        <v>18.0</v>
      </c>
      <c r="O754" s="12">
        <v>45962.0</v>
      </c>
      <c r="P754" s="15"/>
    </row>
    <row r="755">
      <c r="A755" s="9">
        <v>2.411000046E9</v>
      </c>
      <c r="B755" s="10" t="s">
        <v>21</v>
      </c>
      <c r="C755" s="9">
        <v>64.0</v>
      </c>
      <c r="D755" s="10" t="s">
        <v>173</v>
      </c>
      <c r="E755" s="9">
        <v>3.0</v>
      </c>
      <c r="F755" s="9">
        <v>43.0</v>
      </c>
      <c r="G755" s="9">
        <v>129.0</v>
      </c>
      <c r="H755" s="9">
        <v>0.0</v>
      </c>
      <c r="I755" s="9">
        <v>0.0</v>
      </c>
      <c r="J755" s="9">
        <v>43.0</v>
      </c>
      <c r="K755" s="9">
        <v>129.0</v>
      </c>
      <c r="L755" s="9">
        <v>2.08</v>
      </c>
      <c r="M755" s="9">
        <v>89.44</v>
      </c>
      <c r="N755" s="9">
        <v>39.56</v>
      </c>
      <c r="O755" s="12">
        <v>45962.0</v>
      </c>
      <c r="P755" s="15"/>
    </row>
    <row r="756">
      <c r="A756" s="9">
        <v>2.411000046E9</v>
      </c>
      <c r="B756" s="10" t="s">
        <v>21</v>
      </c>
      <c r="C756" s="9">
        <v>70.0</v>
      </c>
      <c r="D756" s="10" t="s">
        <v>175</v>
      </c>
      <c r="E756" s="9">
        <v>5.0</v>
      </c>
      <c r="F756" s="9">
        <v>12.0</v>
      </c>
      <c r="G756" s="9">
        <v>60.0</v>
      </c>
      <c r="H756" s="9">
        <v>0.0</v>
      </c>
      <c r="I756" s="9">
        <v>0.0</v>
      </c>
      <c r="J756" s="9">
        <v>12.0</v>
      </c>
      <c r="K756" s="9">
        <v>60.0</v>
      </c>
      <c r="L756" s="9">
        <v>2.83</v>
      </c>
      <c r="M756" s="9">
        <v>33.96</v>
      </c>
      <c r="N756" s="9">
        <v>26.04</v>
      </c>
      <c r="O756" s="12">
        <v>45962.0</v>
      </c>
      <c r="P756" s="15"/>
    </row>
    <row r="757">
      <c r="A757" s="9">
        <v>2.411000046E9</v>
      </c>
      <c r="B757" s="10" t="s">
        <v>21</v>
      </c>
      <c r="C757" s="9">
        <v>71.0</v>
      </c>
      <c r="D757" s="10" t="s">
        <v>176</v>
      </c>
      <c r="E757" s="9">
        <v>5.0</v>
      </c>
      <c r="F757" s="9">
        <v>31.0</v>
      </c>
      <c r="G757" s="9">
        <v>155.0</v>
      </c>
      <c r="H757" s="9">
        <v>0.0</v>
      </c>
      <c r="I757" s="9">
        <v>0.0</v>
      </c>
      <c r="J757" s="9">
        <v>31.0</v>
      </c>
      <c r="K757" s="9">
        <v>155.0</v>
      </c>
      <c r="L757" s="9">
        <v>1.6</v>
      </c>
      <c r="M757" s="9">
        <v>49.6</v>
      </c>
      <c r="N757" s="9">
        <v>105.4</v>
      </c>
      <c r="O757" s="12">
        <v>45962.0</v>
      </c>
      <c r="P757" s="15"/>
    </row>
    <row r="758">
      <c r="A758" s="9">
        <v>2.411000046E9</v>
      </c>
      <c r="B758" s="10" t="s">
        <v>21</v>
      </c>
      <c r="C758" s="9">
        <v>73.0</v>
      </c>
      <c r="D758" s="10" t="s">
        <v>177</v>
      </c>
      <c r="E758" s="9">
        <v>3.0</v>
      </c>
      <c r="F758" s="9">
        <v>2.0</v>
      </c>
      <c r="G758" s="9">
        <v>7.0</v>
      </c>
      <c r="H758" s="9">
        <v>0.0</v>
      </c>
      <c r="I758" s="9">
        <v>0.0</v>
      </c>
      <c r="J758" s="9">
        <v>2.0</v>
      </c>
      <c r="K758" s="9">
        <v>7.0</v>
      </c>
      <c r="L758" s="9">
        <v>2.17</v>
      </c>
      <c r="M758" s="9">
        <v>4.34</v>
      </c>
      <c r="N758" s="9">
        <v>2.66</v>
      </c>
      <c r="O758" s="12">
        <v>45962.0</v>
      </c>
      <c r="P758" s="15"/>
    </row>
    <row r="759">
      <c r="A759" s="9">
        <v>2.411000046E9</v>
      </c>
      <c r="B759" s="10" t="s">
        <v>21</v>
      </c>
      <c r="C759" s="9">
        <v>74.0</v>
      </c>
      <c r="D759" s="10" t="s">
        <v>192</v>
      </c>
      <c r="E759" s="9">
        <v>8.0</v>
      </c>
      <c r="F759" s="9">
        <v>3.0</v>
      </c>
      <c r="G759" s="9">
        <v>12.0</v>
      </c>
      <c r="H759" s="9">
        <v>0.0</v>
      </c>
      <c r="I759" s="9">
        <v>0.0</v>
      </c>
      <c r="J759" s="9">
        <v>3.0</v>
      </c>
      <c r="K759" s="9">
        <v>12.0</v>
      </c>
      <c r="L759" s="9">
        <v>5.83</v>
      </c>
      <c r="M759" s="9">
        <v>17.49</v>
      </c>
      <c r="N759" s="9">
        <v>-5.49</v>
      </c>
      <c r="O759" s="12">
        <v>45962.0</v>
      </c>
      <c r="P759" s="15"/>
    </row>
    <row r="760">
      <c r="A760" s="9">
        <v>2.411000046E9</v>
      </c>
      <c r="B760" s="10" t="s">
        <v>21</v>
      </c>
      <c r="C760" s="9">
        <v>75.0</v>
      </c>
      <c r="D760" s="10" t="s">
        <v>178</v>
      </c>
      <c r="E760" s="9">
        <v>4.0</v>
      </c>
      <c r="F760" s="9">
        <v>14.0</v>
      </c>
      <c r="G760" s="9">
        <v>12.0</v>
      </c>
      <c r="H760" s="9">
        <v>0.0</v>
      </c>
      <c r="I760" s="9">
        <v>0.0</v>
      </c>
      <c r="J760" s="9">
        <v>14.0</v>
      </c>
      <c r="K760" s="9">
        <v>12.0</v>
      </c>
      <c r="L760" s="9">
        <v>1.75</v>
      </c>
      <c r="M760" s="9">
        <v>24.5</v>
      </c>
      <c r="N760" s="9">
        <v>-12.5</v>
      </c>
      <c r="O760" s="12">
        <v>45962.0</v>
      </c>
      <c r="P760" s="15"/>
    </row>
    <row r="761">
      <c r="A761" s="9">
        <v>2.411000046E9</v>
      </c>
      <c r="B761" s="10" t="s">
        <v>21</v>
      </c>
      <c r="C761" s="9">
        <v>76.0</v>
      </c>
      <c r="D761" s="10" t="s">
        <v>179</v>
      </c>
      <c r="E761" s="9">
        <v>10.0</v>
      </c>
      <c r="F761" s="9">
        <v>6.0</v>
      </c>
      <c r="G761" s="9">
        <v>60.0</v>
      </c>
      <c r="H761" s="9">
        <v>0.0</v>
      </c>
      <c r="I761" s="9">
        <v>0.0</v>
      </c>
      <c r="J761" s="9">
        <v>6.0</v>
      </c>
      <c r="K761" s="9">
        <v>60.0</v>
      </c>
      <c r="L761" s="9">
        <v>8.5</v>
      </c>
      <c r="M761" s="9">
        <v>51.0</v>
      </c>
      <c r="N761" s="9">
        <v>9.0</v>
      </c>
      <c r="O761" s="12">
        <v>45962.0</v>
      </c>
      <c r="P761" s="15"/>
    </row>
    <row r="762">
      <c r="A762" s="9">
        <v>2.411000046E9</v>
      </c>
      <c r="B762" s="10" t="s">
        <v>21</v>
      </c>
      <c r="C762" s="9">
        <v>83.0</v>
      </c>
      <c r="D762" s="10" t="s">
        <v>180</v>
      </c>
      <c r="E762" s="9">
        <v>7.0</v>
      </c>
      <c r="F762" s="9">
        <v>22.0</v>
      </c>
      <c r="G762" s="9">
        <v>154.0</v>
      </c>
      <c r="H762" s="9">
        <v>0.0</v>
      </c>
      <c r="I762" s="9">
        <v>0.0</v>
      </c>
      <c r="J762" s="9">
        <v>22.0</v>
      </c>
      <c r="K762" s="9">
        <v>154.0</v>
      </c>
      <c r="L762" s="9">
        <v>6.0</v>
      </c>
      <c r="M762" s="9">
        <v>132.0</v>
      </c>
      <c r="N762" s="9">
        <v>22.0</v>
      </c>
      <c r="O762" s="12">
        <v>45962.0</v>
      </c>
      <c r="P762" s="15"/>
    </row>
    <row r="763">
      <c r="A763" s="9">
        <v>2.411000046E9</v>
      </c>
      <c r="B763" s="10" t="s">
        <v>21</v>
      </c>
      <c r="C763" s="9">
        <v>84.0</v>
      </c>
      <c r="D763" s="10" t="s">
        <v>181</v>
      </c>
      <c r="E763" s="9">
        <v>4.0</v>
      </c>
      <c r="F763" s="9">
        <v>35.0</v>
      </c>
      <c r="G763" s="9">
        <v>140.0</v>
      </c>
      <c r="H763" s="9">
        <v>0.0</v>
      </c>
      <c r="I763" s="9">
        <v>0.0</v>
      </c>
      <c r="J763" s="9">
        <v>35.0</v>
      </c>
      <c r="K763" s="9">
        <v>140.0</v>
      </c>
      <c r="L763" s="9">
        <v>2.6</v>
      </c>
      <c r="M763" s="9">
        <v>91.0</v>
      </c>
      <c r="N763" s="9">
        <v>49.0</v>
      </c>
      <c r="O763" s="12">
        <v>45962.0</v>
      </c>
      <c r="P763" s="15"/>
    </row>
    <row r="764">
      <c r="A764" s="9">
        <v>2.503000216E9</v>
      </c>
      <c r="B764" s="18" t="s">
        <v>23</v>
      </c>
      <c r="C764" s="9">
        <v>1.0</v>
      </c>
      <c r="D764" s="2" t="s">
        <v>129</v>
      </c>
      <c r="E764" s="9">
        <v>5.0</v>
      </c>
      <c r="F764" s="9">
        <v>33.0</v>
      </c>
      <c r="G764" s="9">
        <v>163.0</v>
      </c>
      <c r="H764" s="9">
        <v>0.0</v>
      </c>
      <c r="I764" s="9">
        <v>0.0</v>
      </c>
      <c r="J764" s="9">
        <v>33.0</v>
      </c>
      <c r="K764" s="9">
        <v>163.0</v>
      </c>
      <c r="L764" s="9">
        <v>2.8</v>
      </c>
      <c r="M764" s="9">
        <v>92.4</v>
      </c>
      <c r="N764" s="9">
        <v>70.6</v>
      </c>
      <c r="O764" s="12">
        <v>45962.0</v>
      </c>
      <c r="P764" s="15"/>
    </row>
    <row r="765">
      <c r="A765" s="9">
        <v>2.503000216E9</v>
      </c>
      <c r="B765" s="18" t="s">
        <v>23</v>
      </c>
      <c r="C765" s="9">
        <v>2.0</v>
      </c>
      <c r="D765" s="10" t="s">
        <v>74</v>
      </c>
      <c r="E765" s="9">
        <v>1.0</v>
      </c>
      <c r="F765" s="9">
        <v>553.0</v>
      </c>
      <c r="G765" s="9">
        <v>553.0</v>
      </c>
      <c r="H765" s="9">
        <v>0.0</v>
      </c>
      <c r="I765" s="9">
        <v>0.0</v>
      </c>
      <c r="J765" s="9">
        <v>553.0</v>
      </c>
      <c r="K765" s="9">
        <v>553.0</v>
      </c>
      <c r="L765" s="9">
        <v>0.3</v>
      </c>
      <c r="M765" s="9">
        <v>165.9</v>
      </c>
      <c r="N765" s="9">
        <v>387.1</v>
      </c>
      <c r="O765" s="12">
        <v>45962.0</v>
      </c>
      <c r="P765" s="15"/>
    </row>
    <row r="766">
      <c r="A766" s="9">
        <v>2.503000216E9</v>
      </c>
      <c r="B766" s="18" t="s">
        <v>23</v>
      </c>
      <c r="C766" s="9">
        <v>3.0</v>
      </c>
      <c r="D766" s="10" t="s">
        <v>125</v>
      </c>
      <c r="E766" s="9">
        <v>7.0</v>
      </c>
      <c r="F766" s="9">
        <v>21.0</v>
      </c>
      <c r="G766" s="9">
        <v>126.0</v>
      </c>
      <c r="H766" s="9">
        <v>0.0</v>
      </c>
      <c r="I766" s="9">
        <v>0.0</v>
      </c>
      <c r="J766" s="9">
        <v>21.0</v>
      </c>
      <c r="K766" s="9">
        <v>126.0</v>
      </c>
      <c r="L766" s="9">
        <v>6.2</v>
      </c>
      <c r="M766" s="9">
        <v>130.2</v>
      </c>
      <c r="N766" s="9">
        <v>-4.2</v>
      </c>
      <c r="O766" s="12">
        <v>45962.0</v>
      </c>
      <c r="P766" s="15"/>
    </row>
    <row r="767">
      <c r="A767" s="9">
        <v>2.503000216E9</v>
      </c>
      <c r="B767" s="18" t="s">
        <v>23</v>
      </c>
      <c r="C767" s="9">
        <v>5.0</v>
      </c>
      <c r="D767" s="10" t="s">
        <v>131</v>
      </c>
      <c r="E767" s="9">
        <v>3.0</v>
      </c>
      <c r="F767" s="9">
        <v>20.0</v>
      </c>
      <c r="G767" s="9">
        <v>60.0</v>
      </c>
      <c r="H767" s="9">
        <v>0.0</v>
      </c>
      <c r="I767" s="9">
        <v>0.0</v>
      </c>
      <c r="J767" s="9">
        <v>20.0</v>
      </c>
      <c r="K767" s="9">
        <v>60.0</v>
      </c>
      <c r="L767" s="9">
        <v>2.0</v>
      </c>
      <c r="M767" s="9">
        <v>40.0</v>
      </c>
      <c r="N767" s="9">
        <v>20.0</v>
      </c>
      <c r="O767" s="12">
        <v>45962.0</v>
      </c>
      <c r="P767" s="15"/>
    </row>
    <row r="768">
      <c r="A768" s="9">
        <v>2.503000216E9</v>
      </c>
      <c r="B768" s="18" t="s">
        <v>23</v>
      </c>
      <c r="C768" s="9">
        <v>6.0</v>
      </c>
      <c r="D768" s="10" t="s">
        <v>109</v>
      </c>
      <c r="E768" s="9">
        <v>5.0</v>
      </c>
      <c r="F768" s="9">
        <v>177.0</v>
      </c>
      <c r="G768" s="9">
        <v>885.0</v>
      </c>
      <c r="H768" s="9">
        <v>0.0</v>
      </c>
      <c r="I768" s="9">
        <v>0.0</v>
      </c>
      <c r="J768" s="9">
        <v>177.0</v>
      </c>
      <c r="K768" s="9">
        <v>885.0</v>
      </c>
      <c r="L768" s="9">
        <v>3.08</v>
      </c>
      <c r="M768" s="9">
        <v>545.16</v>
      </c>
      <c r="N768" s="9">
        <v>339.84</v>
      </c>
      <c r="O768" s="12">
        <v>45962.0</v>
      </c>
      <c r="P768" s="15"/>
    </row>
    <row r="769">
      <c r="A769" s="9">
        <v>2.503000216E9</v>
      </c>
      <c r="B769" s="18" t="s">
        <v>23</v>
      </c>
      <c r="C769" s="9">
        <v>11.0</v>
      </c>
      <c r="D769" s="10" t="s">
        <v>86</v>
      </c>
      <c r="E769" s="9">
        <v>5.0</v>
      </c>
      <c r="F769" s="9">
        <v>80.0</v>
      </c>
      <c r="G769" s="9">
        <v>400.0</v>
      </c>
      <c r="H769" s="9">
        <v>0.0</v>
      </c>
      <c r="I769" s="9">
        <v>0.0</v>
      </c>
      <c r="J769" s="9">
        <v>80.0</v>
      </c>
      <c r="K769" s="9">
        <v>400.0</v>
      </c>
      <c r="L769" s="9">
        <v>3.5</v>
      </c>
      <c r="M769" s="9">
        <v>280.0</v>
      </c>
      <c r="N769" s="9">
        <v>120.0</v>
      </c>
      <c r="O769" s="12">
        <v>45962.0</v>
      </c>
      <c r="P769" s="15"/>
    </row>
    <row r="770">
      <c r="A770" s="9">
        <v>2.503000216E9</v>
      </c>
      <c r="B770" s="18" t="s">
        <v>23</v>
      </c>
      <c r="C770" s="9">
        <v>12.0</v>
      </c>
      <c r="D770" s="10" t="s">
        <v>136</v>
      </c>
      <c r="E770" s="9">
        <v>1.0</v>
      </c>
      <c r="F770" s="9">
        <v>330.0</v>
      </c>
      <c r="G770" s="9">
        <v>344.0</v>
      </c>
      <c r="H770" s="9">
        <v>0.0</v>
      </c>
      <c r="I770" s="9">
        <v>0.0</v>
      </c>
      <c r="J770" s="9">
        <v>330.0</v>
      </c>
      <c r="K770" s="9">
        <v>344.0</v>
      </c>
      <c r="L770" s="9">
        <v>0.6</v>
      </c>
      <c r="M770" s="9">
        <v>198.0</v>
      </c>
      <c r="N770" s="9">
        <v>146.0</v>
      </c>
      <c r="O770" s="12">
        <v>45962.0</v>
      </c>
      <c r="P770" s="15"/>
    </row>
    <row r="771">
      <c r="A771" s="9">
        <v>2.503000216E9</v>
      </c>
      <c r="B771" s="18" t="s">
        <v>23</v>
      </c>
      <c r="C771" s="9">
        <v>14.0</v>
      </c>
      <c r="D771" s="10" t="s">
        <v>138</v>
      </c>
      <c r="E771" s="9">
        <v>7.0</v>
      </c>
      <c r="F771" s="9">
        <v>35.0</v>
      </c>
      <c r="G771" s="9">
        <v>210.0</v>
      </c>
      <c r="H771" s="9">
        <v>0.0</v>
      </c>
      <c r="I771" s="9">
        <v>0.0</v>
      </c>
      <c r="J771" s="9">
        <v>35.0</v>
      </c>
      <c r="K771" s="9">
        <v>210.0</v>
      </c>
      <c r="L771" s="9">
        <v>5.8</v>
      </c>
      <c r="M771" s="9">
        <v>203.0</v>
      </c>
      <c r="N771" s="9">
        <v>7.0</v>
      </c>
      <c r="O771" s="12">
        <v>45962.0</v>
      </c>
      <c r="P771" s="15"/>
    </row>
    <row r="772">
      <c r="A772" s="9">
        <v>2.503000216E9</v>
      </c>
      <c r="B772" s="18" t="s">
        <v>23</v>
      </c>
      <c r="C772" s="9">
        <v>19.0</v>
      </c>
      <c r="D772" s="10" t="s">
        <v>72</v>
      </c>
      <c r="E772" s="9">
        <v>2.0</v>
      </c>
      <c r="F772" s="9">
        <v>111.0</v>
      </c>
      <c r="G772" s="9">
        <v>222.0</v>
      </c>
      <c r="H772" s="9">
        <v>0.0</v>
      </c>
      <c r="I772" s="9">
        <v>0.0</v>
      </c>
      <c r="J772" s="9">
        <v>111.0</v>
      </c>
      <c r="K772" s="9">
        <v>222.0</v>
      </c>
      <c r="L772" s="9">
        <v>1.33</v>
      </c>
      <c r="M772" s="9">
        <v>147.63</v>
      </c>
      <c r="N772" s="9">
        <v>74.37</v>
      </c>
      <c r="O772" s="12">
        <v>45962.0</v>
      </c>
      <c r="P772" s="15"/>
    </row>
    <row r="773">
      <c r="A773" s="9">
        <v>2.503000216E9</v>
      </c>
      <c r="B773" s="18" t="s">
        <v>23</v>
      </c>
      <c r="C773" s="9">
        <v>21.0</v>
      </c>
      <c r="D773" s="10" t="s">
        <v>79</v>
      </c>
      <c r="E773" s="9">
        <v>3.0</v>
      </c>
      <c r="F773" s="9">
        <v>52.0</v>
      </c>
      <c r="G773" s="9">
        <v>156.0</v>
      </c>
      <c r="H773" s="9">
        <v>0.0</v>
      </c>
      <c r="I773" s="9">
        <v>0.0</v>
      </c>
      <c r="J773" s="9">
        <v>52.0</v>
      </c>
      <c r="K773" s="9">
        <v>156.0</v>
      </c>
      <c r="L773" s="9">
        <v>2.2</v>
      </c>
      <c r="M773" s="9">
        <v>114.4</v>
      </c>
      <c r="N773" s="9">
        <v>41.6</v>
      </c>
      <c r="O773" s="12">
        <v>45962.0</v>
      </c>
      <c r="P773" s="15"/>
    </row>
    <row r="774">
      <c r="A774" s="9">
        <v>2.503000216E9</v>
      </c>
      <c r="B774" s="18" t="s">
        <v>23</v>
      </c>
      <c r="C774" s="9">
        <v>22.0</v>
      </c>
      <c r="D774" s="10" t="s">
        <v>142</v>
      </c>
      <c r="E774" s="9">
        <v>5.0</v>
      </c>
      <c r="F774" s="9">
        <v>19.0</v>
      </c>
      <c r="G774" s="9">
        <v>68.0</v>
      </c>
      <c r="H774" s="9">
        <v>0.0</v>
      </c>
      <c r="I774" s="9">
        <v>0.0</v>
      </c>
      <c r="J774" s="9">
        <v>19.0</v>
      </c>
      <c r="K774" s="9">
        <v>68.0</v>
      </c>
      <c r="L774" s="9">
        <v>2.92</v>
      </c>
      <c r="M774" s="9">
        <v>55.48</v>
      </c>
      <c r="N774" s="9">
        <v>12.52</v>
      </c>
      <c r="O774" s="12">
        <v>45962.0</v>
      </c>
      <c r="P774" s="15"/>
    </row>
    <row r="775">
      <c r="A775" s="9">
        <v>2.503000216E9</v>
      </c>
      <c r="B775" s="18" t="s">
        <v>23</v>
      </c>
      <c r="C775" s="9">
        <v>25.0</v>
      </c>
      <c r="D775" s="10" t="s">
        <v>144</v>
      </c>
      <c r="E775" s="9">
        <v>5.0</v>
      </c>
      <c r="F775" s="9">
        <v>26.0</v>
      </c>
      <c r="G775" s="9">
        <v>107.0</v>
      </c>
      <c r="H775" s="9">
        <v>0.0</v>
      </c>
      <c r="I775" s="9">
        <v>0.0</v>
      </c>
      <c r="J775" s="9">
        <v>26.0</v>
      </c>
      <c r="K775" s="9">
        <v>107.0</v>
      </c>
      <c r="L775" s="9">
        <v>3.5</v>
      </c>
      <c r="M775" s="9">
        <v>91.0</v>
      </c>
      <c r="N775" s="9">
        <v>16.0</v>
      </c>
      <c r="O775" s="12">
        <v>45962.0</v>
      </c>
      <c r="P775" s="15"/>
    </row>
    <row r="776">
      <c r="A776" s="9">
        <v>2.503000216E9</v>
      </c>
      <c r="B776" s="18" t="s">
        <v>23</v>
      </c>
      <c r="C776" s="9">
        <v>26.0</v>
      </c>
      <c r="D776" s="10" t="s">
        <v>145</v>
      </c>
      <c r="E776" s="9">
        <v>5.0</v>
      </c>
      <c r="F776" s="9">
        <v>10.0</v>
      </c>
      <c r="G776" s="9">
        <v>50.0</v>
      </c>
      <c r="H776" s="9">
        <v>0.0</v>
      </c>
      <c r="I776" s="9">
        <v>0.0</v>
      </c>
      <c r="J776" s="9">
        <v>10.0</v>
      </c>
      <c r="K776" s="9">
        <v>50.0</v>
      </c>
      <c r="L776" s="9">
        <v>3.75</v>
      </c>
      <c r="M776" s="9">
        <v>37.5</v>
      </c>
      <c r="N776" s="9">
        <v>12.5</v>
      </c>
      <c r="O776" s="12">
        <v>45962.0</v>
      </c>
      <c r="P776" s="15"/>
    </row>
    <row r="777">
      <c r="A777" s="9">
        <v>2.503000216E9</v>
      </c>
      <c r="B777" s="18" t="s">
        <v>23</v>
      </c>
      <c r="C777" s="9">
        <v>28.0</v>
      </c>
      <c r="D777" s="10" t="s">
        <v>146</v>
      </c>
      <c r="E777" s="9">
        <v>5.0</v>
      </c>
      <c r="F777" s="9">
        <v>25.0</v>
      </c>
      <c r="G777" s="9">
        <v>125.0</v>
      </c>
      <c r="H777" s="9">
        <v>0.0</v>
      </c>
      <c r="I777" s="9">
        <v>0.0</v>
      </c>
      <c r="J777" s="9">
        <v>25.0</v>
      </c>
      <c r="K777" s="9">
        <v>125.0</v>
      </c>
      <c r="L777" s="9">
        <v>4.5</v>
      </c>
      <c r="M777" s="9">
        <v>112.5</v>
      </c>
      <c r="N777" s="9">
        <v>12.5</v>
      </c>
      <c r="O777" s="12">
        <v>45962.0</v>
      </c>
      <c r="P777" s="15"/>
    </row>
    <row r="778">
      <c r="A778" s="9">
        <v>2.503000216E9</v>
      </c>
      <c r="B778" s="18" t="s">
        <v>23</v>
      </c>
      <c r="C778" s="9">
        <v>29.0</v>
      </c>
      <c r="D778" s="10" t="s">
        <v>147</v>
      </c>
      <c r="E778" s="9">
        <v>3.0</v>
      </c>
      <c r="F778" s="9">
        <v>61.0</v>
      </c>
      <c r="G778" s="9">
        <v>183.0</v>
      </c>
      <c r="H778" s="9">
        <v>0.0</v>
      </c>
      <c r="I778" s="9">
        <v>0.0</v>
      </c>
      <c r="J778" s="9">
        <v>61.0</v>
      </c>
      <c r="K778" s="9">
        <v>183.0</v>
      </c>
      <c r="L778" s="9">
        <v>2.25</v>
      </c>
      <c r="M778" s="9">
        <v>137.25</v>
      </c>
      <c r="N778" s="9">
        <v>45.75</v>
      </c>
      <c r="O778" s="12">
        <v>45962.0</v>
      </c>
      <c r="P778" s="15"/>
    </row>
    <row r="779">
      <c r="A779" s="9">
        <v>2.503000216E9</v>
      </c>
      <c r="B779" s="18" t="s">
        <v>23</v>
      </c>
      <c r="C779" s="9">
        <v>32.0</v>
      </c>
      <c r="D779" s="10" t="s">
        <v>150</v>
      </c>
      <c r="E779" s="9">
        <v>3.0</v>
      </c>
      <c r="F779" s="9">
        <v>56.0</v>
      </c>
      <c r="G779" s="9">
        <v>122.0</v>
      </c>
      <c r="H779" s="9">
        <v>0.0</v>
      </c>
      <c r="I779" s="9">
        <v>0.0</v>
      </c>
      <c r="J779" s="9">
        <v>56.0</v>
      </c>
      <c r="K779" s="9">
        <v>122.0</v>
      </c>
      <c r="L779" s="9">
        <v>2.0</v>
      </c>
      <c r="M779" s="9">
        <v>112.0</v>
      </c>
      <c r="N779" s="9">
        <v>10.0</v>
      </c>
      <c r="O779" s="12">
        <v>45962.0</v>
      </c>
      <c r="P779" s="15"/>
    </row>
    <row r="780">
      <c r="A780" s="9">
        <v>2.503000216E9</v>
      </c>
      <c r="B780" s="18" t="s">
        <v>23</v>
      </c>
      <c r="C780" s="9">
        <v>42.0</v>
      </c>
      <c r="D780" s="10" t="s">
        <v>70</v>
      </c>
      <c r="E780" s="9">
        <v>4.0</v>
      </c>
      <c r="F780" s="9">
        <v>8.0</v>
      </c>
      <c r="G780" s="9">
        <v>32.0</v>
      </c>
      <c r="H780" s="9">
        <v>0.0</v>
      </c>
      <c r="I780" s="9">
        <v>0.0</v>
      </c>
      <c r="J780" s="9">
        <v>8.0</v>
      </c>
      <c r="K780" s="9">
        <v>32.0</v>
      </c>
      <c r="L780" s="9">
        <v>2.96</v>
      </c>
      <c r="M780" s="9">
        <v>23.68</v>
      </c>
      <c r="N780" s="9">
        <v>8.32</v>
      </c>
      <c r="O780" s="12">
        <v>45962.0</v>
      </c>
      <c r="P780" s="15"/>
    </row>
    <row r="781">
      <c r="A781" s="9">
        <v>2.503000216E9</v>
      </c>
      <c r="B781" s="18" t="s">
        <v>23</v>
      </c>
      <c r="C781" s="9">
        <v>43.0</v>
      </c>
      <c r="D781" s="10" t="s">
        <v>159</v>
      </c>
      <c r="E781" s="9">
        <v>5.0</v>
      </c>
      <c r="F781" s="9">
        <v>11.0</v>
      </c>
      <c r="G781" s="9">
        <v>55.0</v>
      </c>
      <c r="H781" s="9">
        <v>0.0</v>
      </c>
      <c r="I781" s="9">
        <v>0.0</v>
      </c>
      <c r="J781" s="9">
        <v>11.0</v>
      </c>
      <c r="K781" s="9">
        <v>55.0</v>
      </c>
      <c r="L781" s="9">
        <v>2.33</v>
      </c>
      <c r="M781" s="9">
        <v>25.63</v>
      </c>
      <c r="N781" s="9">
        <v>29.37</v>
      </c>
      <c r="O781" s="12">
        <v>45962.0</v>
      </c>
      <c r="P781" s="15"/>
    </row>
    <row r="782">
      <c r="A782" s="9">
        <v>2.503000216E9</v>
      </c>
      <c r="B782" s="18" t="s">
        <v>23</v>
      </c>
      <c r="C782" s="9">
        <v>47.0</v>
      </c>
      <c r="D782" s="10" t="s">
        <v>162</v>
      </c>
      <c r="E782" s="9">
        <v>5.0</v>
      </c>
      <c r="F782" s="9">
        <v>24.0</v>
      </c>
      <c r="G782" s="9">
        <v>120.0</v>
      </c>
      <c r="H782" s="9">
        <v>0.0</v>
      </c>
      <c r="I782" s="9">
        <v>0.0</v>
      </c>
      <c r="J782" s="9">
        <v>24.0</v>
      </c>
      <c r="K782" s="9">
        <v>120.0</v>
      </c>
      <c r="L782" s="9">
        <v>2.05</v>
      </c>
      <c r="M782" s="9">
        <v>49.2</v>
      </c>
      <c r="N782" s="9">
        <v>70.8</v>
      </c>
      <c r="O782" s="12">
        <v>45962.0</v>
      </c>
      <c r="P782" s="15"/>
    </row>
    <row r="783">
      <c r="A783" s="9">
        <v>2.503000216E9</v>
      </c>
      <c r="B783" s="18" t="s">
        <v>23</v>
      </c>
      <c r="C783" s="9">
        <v>48.0</v>
      </c>
      <c r="D783" s="10" t="s">
        <v>163</v>
      </c>
      <c r="E783" s="9">
        <v>4.0</v>
      </c>
      <c r="F783" s="9">
        <v>18.0</v>
      </c>
      <c r="G783" s="9">
        <v>72.0</v>
      </c>
      <c r="H783" s="9">
        <v>0.0</v>
      </c>
      <c r="I783" s="9">
        <v>0.0</v>
      </c>
      <c r="J783" s="9">
        <v>18.0</v>
      </c>
      <c r="K783" s="9">
        <v>72.0</v>
      </c>
      <c r="L783" s="9">
        <v>3.0</v>
      </c>
      <c r="M783" s="9">
        <v>54.0</v>
      </c>
      <c r="N783" s="9">
        <v>18.0</v>
      </c>
      <c r="O783" s="12">
        <v>45962.0</v>
      </c>
      <c r="P783" s="15"/>
    </row>
    <row r="784">
      <c r="A784" s="9">
        <v>2.503000216E9</v>
      </c>
      <c r="B784" s="18" t="s">
        <v>23</v>
      </c>
      <c r="C784" s="9">
        <v>49.0</v>
      </c>
      <c r="D784" s="10" t="s">
        <v>165</v>
      </c>
      <c r="E784" s="9">
        <v>3.0</v>
      </c>
      <c r="F784" s="9">
        <v>52.0</v>
      </c>
      <c r="G784" s="9">
        <v>156.0</v>
      </c>
      <c r="H784" s="9">
        <v>0.0</v>
      </c>
      <c r="I784" s="9">
        <v>0.0</v>
      </c>
      <c r="J784" s="9">
        <v>52.0</v>
      </c>
      <c r="K784" s="9">
        <v>156.0</v>
      </c>
      <c r="L784" s="9">
        <v>1.75</v>
      </c>
      <c r="M784" s="9">
        <v>91.0</v>
      </c>
      <c r="N784" s="9">
        <v>65.0</v>
      </c>
      <c r="O784" s="12">
        <v>45962.0</v>
      </c>
      <c r="P784" s="15"/>
    </row>
    <row r="785">
      <c r="A785" s="9">
        <v>2.503000216E9</v>
      </c>
      <c r="B785" s="18" t="s">
        <v>23</v>
      </c>
      <c r="C785" s="9">
        <v>53.0</v>
      </c>
      <c r="D785" s="10" t="s">
        <v>167</v>
      </c>
      <c r="E785" s="9">
        <v>3.0</v>
      </c>
      <c r="F785" s="9">
        <v>13.0</v>
      </c>
      <c r="G785" s="9">
        <v>39.0</v>
      </c>
      <c r="H785" s="9">
        <v>0.0</v>
      </c>
      <c r="I785" s="9">
        <v>0.0</v>
      </c>
      <c r="J785" s="9">
        <v>13.0</v>
      </c>
      <c r="K785" s="9">
        <v>39.0</v>
      </c>
      <c r="L785" s="9">
        <v>2.25</v>
      </c>
      <c r="M785" s="9">
        <v>29.25</v>
      </c>
      <c r="N785" s="9">
        <v>9.75</v>
      </c>
      <c r="O785" s="12">
        <v>45962.0</v>
      </c>
      <c r="P785" s="15"/>
    </row>
    <row r="786">
      <c r="A786" s="9">
        <v>2.503000216E9</v>
      </c>
      <c r="B786" s="18" t="s">
        <v>23</v>
      </c>
      <c r="C786" s="9">
        <v>54.0</v>
      </c>
      <c r="D786" s="10" t="s">
        <v>168</v>
      </c>
      <c r="E786" s="9">
        <v>3.0</v>
      </c>
      <c r="F786" s="9">
        <v>41.0</v>
      </c>
      <c r="G786" s="9">
        <v>123.0</v>
      </c>
      <c r="H786" s="9">
        <v>0.0</v>
      </c>
      <c r="I786" s="9">
        <v>0.0</v>
      </c>
      <c r="J786" s="9">
        <v>41.0</v>
      </c>
      <c r="K786" s="9">
        <v>123.0</v>
      </c>
      <c r="L786" s="9">
        <v>2.25</v>
      </c>
      <c r="M786" s="9">
        <v>92.25</v>
      </c>
      <c r="N786" s="9">
        <v>30.75</v>
      </c>
      <c r="O786" s="12">
        <v>45962.0</v>
      </c>
      <c r="P786" s="15"/>
    </row>
    <row r="787">
      <c r="A787" s="9">
        <v>2.503000216E9</v>
      </c>
      <c r="B787" s="18" t="s">
        <v>23</v>
      </c>
      <c r="C787" s="9">
        <v>64.0</v>
      </c>
      <c r="D787" s="10" t="s">
        <v>173</v>
      </c>
      <c r="E787" s="9">
        <v>3.0</v>
      </c>
      <c r="F787" s="9">
        <v>39.0</v>
      </c>
      <c r="G787" s="9">
        <v>117.0</v>
      </c>
      <c r="H787" s="9">
        <v>0.0</v>
      </c>
      <c r="I787" s="9">
        <v>0.0</v>
      </c>
      <c r="J787" s="9">
        <v>39.0</v>
      </c>
      <c r="K787" s="9">
        <v>117.0</v>
      </c>
      <c r="L787" s="9">
        <v>2.08</v>
      </c>
      <c r="M787" s="9">
        <v>81.12</v>
      </c>
      <c r="N787" s="9">
        <v>35.88</v>
      </c>
      <c r="O787" s="12">
        <v>45962.0</v>
      </c>
      <c r="P787" s="15"/>
    </row>
    <row r="788">
      <c r="A788" s="9">
        <v>2.503000216E9</v>
      </c>
      <c r="B788" s="18" t="s">
        <v>23</v>
      </c>
      <c r="C788" s="9">
        <v>71.0</v>
      </c>
      <c r="D788" s="10" t="s">
        <v>176</v>
      </c>
      <c r="E788" s="9">
        <v>5.0</v>
      </c>
      <c r="F788" s="9">
        <v>11.0</v>
      </c>
      <c r="G788" s="9">
        <v>55.0</v>
      </c>
      <c r="H788" s="9">
        <v>0.0</v>
      </c>
      <c r="I788" s="9">
        <v>0.0</v>
      </c>
      <c r="J788" s="9">
        <v>11.0</v>
      </c>
      <c r="K788" s="9">
        <v>55.0</v>
      </c>
      <c r="L788" s="9">
        <v>1.6</v>
      </c>
      <c r="M788" s="9">
        <v>17.6</v>
      </c>
      <c r="N788" s="9">
        <v>37.4</v>
      </c>
      <c r="O788" s="12">
        <v>45962.0</v>
      </c>
      <c r="P788" s="15"/>
    </row>
    <row r="789">
      <c r="A789" s="9">
        <v>2.503000216E9</v>
      </c>
      <c r="B789" s="18" t="s">
        <v>23</v>
      </c>
      <c r="C789" s="9">
        <v>73.0</v>
      </c>
      <c r="D789" s="10" t="s">
        <v>177</v>
      </c>
      <c r="E789" s="9">
        <v>3.0</v>
      </c>
      <c r="F789" s="9">
        <v>16.0</v>
      </c>
      <c r="G789" s="9">
        <v>48.0</v>
      </c>
      <c r="H789" s="9">
        <v>0.0</v>
      </c>
      <c r="I789" s="9">
        <v>0.0</v>
      </c>
      <c r="J789" s="9">
        <v>16.0</v>
      </c>
      <c r="K789" s="9">
        <v>48.0</v>
      </c>
      <c r="L789" s="9">
        <v>2.17</v>
      </c>
      <c r="M789" s="9">
        <v>34.72</v>
      </c>
      <c r="N789" s="9">
        <v>13.28</v>
      </c>
      <c r="O789" s="12">
        <v>45962.0</v>
      </c>
      <c r="P789" s="15"/>
    </row>
    <row r="790">
      <c r="A790" s="9">
        <v>2.503000216E9</v>
      </c>
      <c r="B790" s="18" t="s">
        <v>23</v>
      </c>
      <c r="C790" s="9">
        <v>74.0</v>
      </c>
      <c r="D790" s="10" t="s">
        <v>192</v>
      </c>
      <c r="E790" s="9">
        <v>8.0</v>
      </c>
      <c r="F790" s="9">
        <v>1.0</v>
      </c>
      <c r="G790" s="9">
        <v>4.0</v>
      </c>
      <c r="H790" s="9">
        <v>0.0</v>
      </c>
      <c r="I790" s="9">
        <v>0.0</v>
      </c>
      <c r="J790" s="9">
        <v>1.0</v>
      </c>
      <c r="K790" s="9">
        <v>4.0</v>
      </c>
      <c r="L790" s="9">
        <v>5.83</v>
      </c>
      <c r="M790" s="9">
        <v>5.83</v>
      </c>
      <c r="N790" s="9">
        <v>-1.83</v>
      </c>
      <c r="O790" s="12">
        <v>45962.0</v>
      </c>
      <c r="P790" s="15"/>
    </row>
    <row r="791">
      <c r="A791" s="9">
        <v>2.503000216E9</v>
      </c>
      <c r="B791" s="18" t="s">
        <v>23</v>
      </c>
      <c r="C791" s="9">
        <v>75.0</v>
      </c>
      <c r="D791" s="10" t="s">
        <v>178</v>
      </c>
      <c r="E791" s="9">
        <v>4.0</v>
      </c>
      <c r="F791" s="9">
        <v>12.0</v>
      </c>
      <c r="G791" s="9">
        <v>46.0</v>
      </c>
      <c r="H791" s="9">
        <v>0.0</v>
      </c>
      <c r="I791" s="9">
        <v>0.0</v>
      </c>
      <c r="J791" s="9">
        <v>12.0</v>
      </c>
      <c r="K791" s="9">
        <v>46.0</v>
      </c>
      <c r="L791" s="9">
        <v>1.75</v>
      </c>
      <c r="M791" s="9">
        <v>21.0</v>
      </c>
      <c r="N791" s="9">
        <v>25.0</v>
      </c>
      <c r="O791" s="12">
        <v>45962.0</v>
      </c>
      <c r="P791" s="15"/>
    </row>
    <row r="792">
      <c r="A792" s="9">
        <v>2.503000216E9</v>
      </c>
      <c r="B792" s="18" t="s">
        <v>23</v>
      </c>
      <c r="C792" s="9">
        <v>83.0</v>
      </c>
      <c r="D792" s="10" t="s">
        <v>180</v>
      </c>
      <c r="E792" s="9">
        <v>7.0</v>
      </c>
      <c r="F792" s="9">
        <v>41.0</v>
      </c>
      <c r="G792" s="9">
        <v>285.0</v>
      </c>
      <c r="H792" s="9">
        <v>0.0</v>
      </c>
      <c r="I792" s="9">
        <v>0.0</v>
      </c>
      <c r="J792" s="9">
        <v>41.0</v>
      </c>
      <c r="K792" s="9">
        <v>285.0</v>
      </c>
      <c r="L792" s="9">
        <v>6.0</v>
      </c>
      <c r="M792" s="9">
        <v>246.0</v>
      </c>
      <c r="N792" s="9">
        <v>39.0</v>
      </c>
      <c r="O792" s="12">
        <v>45962.0</v>
      </c>
      <c r="P792" s="15"/>
    </row>
    <row r="793">
      <c r="A793" s="9">
        <v>2.503000216E9</v>
      </c>
      <c r="B793" s="18" t="s">
        <v>23</v>
      </c>
      <c r="C793" s="9">
        <v>84.0</v>
      </c>
      <c r="D793" s="10" t="s">
        <v>181</v>
      </c>
      <c r="E793" s="9">
        <v>4.0</v>
      </c>
      <c r="F793" s="9">
        <v>43.0</v>
      </c>
      <c r="G793" s="9">
        <v>166.0</v>
      </c>
      <c r="H793" s="9">
        <v>0.0</v>
      </c>
      <c r="I793" s="9">
        <v>0.0</v>
      </c>
      <c r="J793" s="9">
        <v>43.0</v>
      </c>
      <c r="K793" s="9">
        <v>166.0</v>
      </c>
      <c r="L793" s="9">
        <v>2.6</v>
      </c>
      <c r="M793" s="9">
        <v>111.8</v>
      </c>
      <c r="N793" s="9">
        <v>54.2</v>
      </c>
      <c r="O793" s="12">
        <v>45962.0</v>
      </c>
      <c r="P793" s="15"/>
    </row>
    <row r="794">
      <c r="A794" s="9">
        <v>2.503000217E9</v>
      </c>
      <c r="B794" s="10" t="s">
        <v>27</v>
      </c>
      <c r="C794" s="9">
        <v>2.0</v>
      </c>
      <c r="D794" s="10" t="s">
        <v>74</v>
      </c>
      <c r="E794" s="9">
        <v>1.0</v>
      </c>
      <c r="F794" s="9">
        <v>383.0</v>
      </c>
      <c r="G794" s="9">
        <v>398.0</v>
      </c>
      <c r="H794" s="9">
        <v>0.0</v>
      </c>
      <c r="I794" s="9">
        <v>0.0</v>
      </c>
      <c r="J794" s="9">
        <v>383.0</v>
      </c>
      <c r="K794" s="9">
        <v>398.0</v>
      </c>
      <c r="L794" s="9">
        <v>0.3</v>
      </c>
      <c r="M794" s="9">
        <v>114.9</v>
      </c>
      <c r="N794" s="9">
        <v>283.1</v>
      </c>
      <c r="O794" s="12">
        <v>45962.0</v>
      </c>
      <c r="P794" s="15"/>
    </row>
    <row r="795">
      <c r="A795" s="9">
        <v>2.503000217E9</v>
      </c>
      <c r="B795" s="10" t="s">
        <v>27</v>
      </c>
      <c r="C795" s="9">
        <v>12.0</v>
      </c>
      <c r="D795" s="10" t="s">
        <v>136</v>
      </c>
      <c r="E795" s="9">
        <v>1.0</v>
      </c>
      <c r="F795" s="9">
        <v>247.0</v>
      </c>
      <c r="G795" s="9">
        <v>254.0</v>
      </c>
      <c r="H795" s="9">
        <v>0.0</v>
      </c>
      <c r="I795" s="9">
        <v>0.0</v>
      </c>
      <c r="J795" s="9">
        <v>247.0</v>
      </c>
      <c r="K795" s="9">
        <v>254.0</v>
      </c>
      <c r="L795" s="9">
        <v>0.6</v>
      </c>
      <c r="M795" s="9">
        <v>148.2</v>
      </c>
      <c r="N795" s="9">
        <v>105.8</v>
      </c>
      <c r="O795" s="12">
        <v>45962.0</v>
      </c>
      <c r="P795" s="15"/>
    </row>
    <row r="796">
      <c r="A796" s="9">
        <v>2.503000217E9</v>
      </c>
      <c r="B796" s="10" t="s">
        <v>27</v>
      </c>
      <c r="C796" s="9">
        <v>32.0</v>
      </c>
      <c r="D796" s="10" t="s">
        <v>150</v>
      </c>
      <c r="E796" s="9">
        <v>3.0</v>
      </c>
      <c r="F796" s="9">
        <v>39.0</v>
      </c>
      <c r="G796" s="9">
        <v>117.0</v>
      </c>
      <c r="H796" s="9">
        <v>0.0</v>
      </c>
      <c r="I796" s="9">
        <v>0.0</v>
      </c>
      <c r="J796" s="9">
        <v>39.0</v>
      </c>
      <c r="K796" s="9">
        <v>117.0</v>
      </c>
      <c r="L796" s="9">
        <v>2.0</v>
      </c>
      <c r="M796" s="9">
        <v>78.0</v>
      </c>
      <c r="N796" s="9">
        <v>39.0</v>
      </c>
      <c r="O796" s="12">
        <v>45962.0</v>
      </c>
      <c r="P796" s="15"/>
    </row>
    <row r="797">
      <c r="A797" s="9">
        <v>2.503000217E9</v>
      </c>
      <c r="B797" s="10" t="s">
        <v>27</v>
      </c>
      <c r="C797" s="9">
        <v>38.0</v>
      </c>
      <c r="D797" s="10" t="s">
        <v>155</v>
      </c>
      <c r="E797" s="9">
        <v>7.0</v>
      </c>
      <c r="F797" s="9">
        <v>1.0</v>
      </c>
      <c r="G797" s="9">
        <v>8.0</v>
      </c>
      <c r="H797" s="9">
        <v>0.0</v>
      </c>
      <c r="I797" s="9">
        <v>0.0</v>
      </c>
      <c r="J797" s="9">
        <v>1.0</v>
      </c>
      <c r="K797" s="9">
        <v>8.0</v>
      </c>
      <c r="L797" s="9">
        <v>5.18</v>
      </c>
      <c r="M797" s="9">
        <v>5.18</v>
      </c>
      <c r="N797" s="9">
        <v>2.82</v>
      </c>
      <c r="O797" s="12">
        <v>45962.0</v>
      </c>
      <c r="P797" s="15"/>
    </row>
    <row r="798">
      <c r="A798" s="9">
        <v>2.503000217E9</v>
      </c>
      <c r="B798" s="10" t="s">
        <v>27</v>
      </c>
      <c r="C798" s="9">
        <v>41.0</v>
      </c>
      <c r="D798" s="10" t="s">
        <v>157</v>
      </c>
      <c r="E798" s="9">
        <v>5.0</v>
      </c>
      <c r="F798" s="9">
        <v>23.0</v>
      </c>
      <c r="G798" s="9">
        <v>138.0</v>
      </c>
      <c r="H798" s="9">
        <v>0.0</v>
      </c>
      <c r="I798" s="9">
        <v>0.0</v>
      </c>
      <c r="J798" s="9">
        <v>23.0</v>
      </c>
      <c r="K798" s="9">
        <v>138.0</v>
      </c>
      <c r="L798" s="9">
        <v>3.25</v>
      </c>
      <c r="M798" s="9">
        <v>74.75</v>
      </c>
      <c r="N798" s="9">
        <v>63.25</v>
      </c>
      <c r="O798" s="12">
        <v>45962.0</v>
      </c>
      <c r="P798" s="15"/>
    </row>
    <row r="799">
      <c r="A799" s="9">
        <v>2.503000217E9</v>
      </c>
      <c r="B799" s="10" t="s">
        <v>27</v>
      </c>
      <c r="C799" s="9">
        <v>44.0</v>
      </c>
      <c r="D799" s="10" t="s">
        <v>160</v>
      </c>
      <c r="E799" s="9">
        <v>5.0</v>
      </c>
      <c r="F799" s="9">
        <v>10.0</v>
      </c>
      <c r="G799" s="9">
        <v>46.0</v>
      </c>
      <c r="H799" s="9">
        <v>0.0</v>
      </c>
      <c r="I799" s="9">
        <v>0.0</v>
      </c>
      <c r="J799" s="9">
        <v>10.0</v>
      </c>
      <c r="K799" s="9">
        <v>46.0</v>
      </c>
      <c r="L799" s="9">
        <v>4.13</v>
      </c>
      <c r="M799" s="9">
        <v>41.3</v>
      </c>
      <c r="N799" s="9">
        <v>4.7</v>
      </c>
      <c r="O799" s="12">
        <v>45962.0</v>
      </c>
      <c r="P799" s="15"/>
    </row>
    <row r="800">
      <c r="A800" s="9">
        <v>2.503000217E9</v>
      </c>
      <c r="B800" s="10" t="s">
        <v>27</v>
      </c>
      <c r="C800" s="9">
        <v>57.0</v>
      </c>
      <c r="D800" s="10" t="s">
        <v>182</v>
      </c>
      <c r="E800" s="9">
        <v>4.0</v>
      </c>
      <c r="F800" s="9">
        <v>11.0</v>
      </c>
      <c r="G800" s="9">
        <v>54.0</v>
      </c>
      <c r="H800" s="9">
        <v>0.0</v>
      </c>
      <c r="I800" s="9">
        <v>0.0</v>
      </c>
      <c r="J800" s="9">
        <v>11.0</v>
      </c>
      <c r="K800" s="9">
        <v>54.0</v>
      </c>
      <c r="L800" s="9">
        <v>2.91</v>
      </c>
      <c r="M800" s="9">
        <v>32.01</v>
      </c>
      <c r="N800" s="9">
        <v>21.99</v>
      </c>
      <c r="O800" s="12">
        <v>45962.0</v>
      </c>
      <c r="P800" s="15"/>
    </row>
    <row r="801">
      <c r="A801" s="9">
        <v>2.503000217E9</v>
      </c>
      <c r="B801" s="10" t="s">
        <v>27</v>
      </c>
      <c r="C801" s="9">
        <v>58.0</v>
      </c>
      <c r="D801" s="10" t="s">
        <v>183</v>
      </c>
      <c r="E801" s="9">
        <v>12.0</v>
      </c>
      <c r="F801" s="9">
        <v>4.0</v>
      </c>
      <c r="G801" s="9">
        <v>48.0</v>
      </c>
      <c r="H801" s="9">
        <v>0.0</v>
      </c>
      <c r="I801" s="9">
        <v>0.0</v>
      </c>
      <c r="J801" s="9">
        <v>4.0</v>
      </c>
      <c r="K801" s="9">
        <v>48.0</v>
      </c>
      <c r="L801" s="9">
        <v>8.83</v>
      </c>
      <c r="M801" s="9">
        <v>35.32</v>
      </c>
      <c r="N801" s="9">
        <v>12.68</v>
      </c>
      <c r="O801" s="12">
        <v>45962.0</v>
      </c>
      <c r="P801" s="15"/>
    </row>
    <row r="802">
      <c r="A802" s="9">
        <v>2.503000217E9</v>
      </c>
      <c r="B802" s="10" t="s">
        <v>27</v>
      </c>
      <c r="C802" s="9">
        <v>59.0</v>
      </c>
      <c r="D802" s="10" t="s">
        <v>171</v>
      </c>
      <c r="E802" s="9">
        <v>2.0</v>
      </c>
      <c r="F802" s="9">
        <v>155.0</v>
      </c>
      <c r="G802" s="9">
        <v>310.0</v>
      </c>
      <c r="H802" s="9">
        <v>0.0</v>
      </c>
      <c r="I802" s="9">
        <v>0.0</v>
      </c>
      <c r="J802" s="9">
        <v>155.0</v>
      </c>
      <c r="K802" s="9">
        <v>310.0</v>
      </c>
      <c r="L802" s="9">
        <v>0.91</v>
      </c>
      <c r="M802" s="9">
        <v>141.05</v>
      </c>
      <c r="N802" s="9">
        <v>168.95</v>
      </c>
      <c r="O802" s="12">
        <v>45962.0</v>
      </c>
      <c r="P802" s="15"/>
    </row>
    <row r="803">
      <c r="A803" s="9">
        <v>2.503000217E9</v>
      </c>
      <c r="B803" s="10" t="s">
        <v>27</v>
      </c>
      <c r="C803" s="9">
        <v>60.0</v>
      </c>
      <c r="D803" s="10" t="s">
        <v>172</v>
      </c>
      <c r="E803" s="9">
        <v>6.0</v>
      </c>
      <c r="F803" s="9">
        <v>17.0</v>
      </c>
      <c r="G803" s="9">
        <v>95.0</v>
      </c>
      <c r="H803" s="9">
        <v>0.0</v>
      </c>
      <c r="I803" s="9">
        <v>0.0</v>
      </c>
      <c r="J803" s="9">
        <v>17.0</v>
      </c>
      <c r="K803" s="9">
        <v>95.0</v>
      </c>
      <c r="L803" s="9">
        <v>3.5</v>
      </c>
      <c r="M803" s="9">
        <v>59.5</v>
      </c>
      <c r="N803" s="9">
        <v>35.5</v>
      </c>
      <c r="O803" s="12">
        <v>45962.0</v>
      </c>
      <c r="P803" s="15"/>
    </row>
    <row r="804">
      <c r="A804" s="9">
        <v>2.503000217E9</v>
      </c>
      <c r="B804" s="10" t="s">
        <v>27</v>
      </c>
      <c r="C804" s="9">
        <v>61.0</v>
      </c>
      <c r="D804" s="10" t="s">
        <v>184</v>
      </c>
      <c r="E804" s="9">
        <v>20.0</v>
      </c>
      <c r="F804" s="9">
        <v>5.0</v>
      </c>
      <c r="G804" s="9">
        <v>100.0</v>
      </c>
      <c r="H804" s="9">
        <v>0.0</v>
      </c>
      <c r="I804" s="9">
        <v>0.0</v>
      </c>
      <c r="J804" s="9">
        <v>5.0</v>
      </c>
      <c r="K804" s="9">
        <v>100.0</v>
      </c>
      <c r="L804" s="9">
        <v>14.16</v>
      </c>
      <c r="M804" s="9">
        <v>70.8</v>
      </c>
      <c r="N804" s="9">
        <v>29.2</v>
      </c>
      <c r="O804" s="12">
        <v>45962.0</v>
      </c>
      <c r="P804" s="15"/>
    </row>
    <row r="805">
      <c r="A805" s="9">
        <v>2.503000217E9</v>
      </c>
      <c r="B805" s="10" t="s">
        <v>27</v>
      </c>
      <c r="C805" s="9">
        <v>62.0</v>
      </c>
      <c r="D805" s="10" t="s">
        <v>185</v>
      </c>
      <c r="E805" s="9">
        <v>3.0</v>
      </c>
      <c r="F805" s="9">
        <v>40.0</v>
      </c>
      <c r="G805" s="9">
        <v>141.0</v>
      </c>
      <c r="H805" s="9">
        <v>0.0</v>
      </c>
      <c r="I805" s="9">
        <v>0.0</v>
      </c>
      <c r="J805" s="9">
        <v>40.0</v>
      </c>
      <c r="K805" s="9">
        <v>141.0</v>
      </c>
      <c r="L805" s="9">
        <v>2.25</v>
      </c>
      <c r="M805" s="9">
        <v>90.0</v>
      </c>
      <c r="N805" s="9">
        <v>51.0</v>
      </c>
      <c r="O805" s="12">
        <v>45962.0</v>
      </c>
      <c r="P805" s="15"/>
    </row>
    <row r="806">
      <c r="A806" s="9">
        <v>2.503000217E9</v>
      </c>
      <c r="B806" s="10" t="s">
        <v>27</v>
      </c>
      <c r="C806" s="9">
        <v>63.0</v>
      </c>
      <c r="D806" s="10" t="s">
        <v>186</v>
      </c>
      <c r="E806" s="9">
        <v>7.0</v>
      </c>
      <c r="F806" s="9">
        <v>5.0</v>
      </c>
      <c r="G806" s="9">
        <v>35.0</v>
      </c>
      <c r="H806" s="9">
        <v>0.0</v>
      </c>
      <c r="I806" s="9">
        <v>0.0</v>
      </c>
      <c r="J806" s="9">
        <v>5.0</v>
      </c>
      <c r="K806" s="9">
        <v>35.0</v>
      </c>
      <c r="L806" s="9">
        <v>5.0</v>
      </c>
      <c r="M806" s="9">
        <v>25.0</v>
      </c>
      <c r="N806" s="9">
        <v>10.0</v>
      </c>
      <c r="O806" s="12">
        <v>45962.0</v>
      </c>
      <c r="P806" s="15"/>
    </row>
    <row r="807">
      <c r="A807" s="9">
        <v>2.503000217E9</v>
      </c>
      <c r="B807" s="10" t="s">
        <v>27</v>
      </c>
      <c r="C807" s="9">
        <v>64.0</v>
      </c>
      <c r="D807" s="10" t="s">
        <v>173</v>
      </c>
      <c r="E807" s="9">
        <v>3.0</v>
      </c>
      <c r="F807" s="9">
        <v>24.0</v>
      </c>
      <c r="G807" s="9">
        <v>72.0</v>
      </c>
      <c r="H807" s="9">
        <v>0.0</v>
      </c>
      <c r="I807" s="9">
        <v>0.0</v>
      </c>
      <c r="J807" s="9">
        <v>24.0</v>
      </c>
      <c r="K807" s="9">
        <v>72.0</v>
      </c>
      <c r="L807" s="9">
        <v>2.08</v>
      </c>
      <c r="M807" s="9">
        <v>49.92</v>
      </c>
      <c r="N807" s="9">
        <v>22.08</v>
      </c>
      <c r="O807" s="12">
        <v>45962.0</v>
      </c>
      <c r="P807" s="15"/>
    </row>
    <row r="808">
      <c r="A808" s="9">
        <v>2.503000217E9</v>
      </c>
      <c r="B808" s="10" t="s">
        <v>27</v>
      </c>
      <c r="C808" s="9">
        <v>65.0</v>
      </c>
      <c r="D808" s="10" t="s">
        <v>187</v>
      </c>
      <c r="E808" s="9">
        <v>3.0</v>
      </c>
      <c r="F808" s="9">
        <v>150.0</v>
      </c>
      <c r="G808" s="9">
        <v>460.0</v>
      </c>
      <c r="H808" s="9">
        <v>0.0</v>
      </c>
      <c r="I808" s="9">
        <v>0.0</v>
      </c>
      <c r="J808" s="9">
        <v>150.0</v>
      </c>
      <c r="K808" s="9">
        <v>460.0</v>
      </c>
      <c r="L808" s="9">
        <v>0.91</v>
      </c>
      <c r="M808" s="9">
        <v>136.5</v>
      </c>
      <c r="N808" s="9">
        <v>323.5</v>
      </c>
      <c r="O808" s="12">
        <v>45962.0</v>
      </c>
      <c r="P808" s="15"/>
    </row>
    <row r="809">
      <c r="A809" s="9">
        <v>2.503000217E9</v>
      </c>
      <c r="B809" s="10" t="s">
        <v>27</v>
      </c>
      <c r="C809" s="9">
        <v>66.0</v>
      </c>
      <c r="D809" s="10" t="s">
        <v>188</v>
      </c>
      <c r="E809" s="9">
        <v>20.0</v>
      </c>
      <c r="F809" s="9">
        <v>5.0</v>
      </c>
      <c r="G809" s="9">
        <v>100.0</v>
      </c>
      <c r="H809" s="9">
        <v>0.0</v>
      </c>
      <c r="I809" s="9">
        <v>0.0</v>
      </c>
      <c r="J809" s="9">
        <v>5.0</v>
      </c>
      <c r="K809" s="9">
        <v>100.0</v>
      </c>
      <c r="L809" s="9">
        <v>9.0</v>
      </c>
      <c r="M809" s="9">
        <v>45.0</v>
      </c>
      <c r="N809" s="9">
        <v>55.0</v>
      </c>
      <c r="O809" s="12">
        <v>45962.0</v>
      </c>
      <c r="P809" s="15"/>
    </row>
    <row r="810">
      <c r="A810" s="9">
        <v>2.503000217E9</v>
      </c>
      <c r="B810" s="10" t="s">
        <v>27</v>
      </c>
      <c r="C810" s="9">
        <v>67.0</v>
      </c>
      <c r="D810" s="10" t="s">
        <v>189</v>
      </c>
      <c r="E810" s="9">
        <v>7.0</v>
      </c>
      <c r="F810" s="9">
        <v>20.0</v>
      </c>
      <c r="G810" s="9">
        <v>120.0</v>
      </c>
      <c r="H810" s="9">
        <v>0.0</v>
      </c>
      <c r="I810" s="9">
        <v>0.0</v>
      </c>
      <c r="J810" s="9">
        <v>20.0</v>
      </c>
      <c r="K810" s="9">
        <v>120.0</v>
      </c>
      <c r="L810" s="9">
        <v>4.58</v>
      </c>
      <c r="M810" s="9">
        <v>91.6</v>
      </c>
      <c r="N810" s="9">
        <v>28.4</v>
      </c>
      <c r="O810" s="12">
        <v>45962.0</v>
      </c>
      <c r="P810" s="15"/>
    </row>
    <row r="811">
      <c r="A811" s="9">
        <v>2.503000217E9</v>
      </c>
      <c r="B811" s="10" t="s">
        <v>27</v>
      </c>
      <c r="C811" s="9">
        <v>68.0</v>
      </c>
      <c r="D811" s="10" t="s">
        <v>190</v>
      </c>
      <c r="E811" s="9">
        <v>15.0</v>
      </c>
      <c r="F811" s="9">
        <v>2.0</v>
      </c>
      <c r="G811" s="9">
        <v>30.0</v>
      </c>
      <c r="H811" s="9">
        <v>0.0</v>
      </c>
      <c r="I811" s="9">
        <v>0.0</v>
      </c>
      <c r="J811" s="9">
        <v>2.0</v>
      </c>
      <c r="K811" s="9">
        <v>30.0</v>
      </c>
      <c r="L811" s="9">
        <v>9.58</v>
      </c>
      <c r="M811" s="9">
        <v>19.16</v>
      </c>
      <c r="N811" s="9">
        <v>10.84</v>
      </c>
      <c r="O811" s="12">
        <v>45962.0</v>
      </c>
      <c r="P811" s="15"/>
    </row>
    <row r="812">
      <c r="A812" s="9">
        <v>2.503000217E9</v>
      </c>
      <c r="B812" s="10" t="s">
        <v>27</v>
      </c>
      <c r="C812" s="9">
        <v>72.0</v>
      </c>
      <c r="D812" s="10" t="s">
        <v>191</v>
      </c>
      <c r="E812" s="9">
        <v>3.0</v>
      </c>
      <c r="F812" s="9">
        <v>8.0</v>
      </c>
      <c r="G812" s="9">
        <v>24.0</v>
      </c>
      <c r="H812" s="9">
        <v>0.0</v>
      </c>
      <c r="I812" s="9">
        <v>0.0</v>
      </c>
      <c r="J812" s="9">
        <v>8.0</v>
      </c>
      <c r="K812" s="9">
        <v>24.0</v>
      </c>
      <c r="L812" s="9">
        <v>1.36</v>
      </c>
      <c r="M812" s="9">
        <v>10.88</v>
      </c>
      <c r="N812" s="9">
        <v>13.12</v>
      </c>
      <c r="O812" s="12">
        <v>45962.0</v>
      </c>
      <c r="P812" s="15"/>
    </row>
    <row r="813">
      <c r="A813" s="9">
        <v>2.503000217E9</v>
      </c>
      <c r="B813" s="10" t="s">
        <v>27</v>
      </c>
      <c r="C813" s="9">
        <v>73.0</v>
      </c>
      <c r="D813" s="10" t="s">
        <v>177</v>
      </c>
      <c r="E813" s="9">
        <v>3.0</v>
      </c>
      <c r="F813" s="9">
        <v>8.0</v>
      </c>
      <c r="G813" s="9">
        <v>24.0</v>
      </c>
      <c r="H813" s="9">
        <v>0.0</v>
      </c>
      <c r="I813" s="9">
        <v>0.0</v>
      </c>
      <c r="J813" s="9">
        <v>8.0</v>
      </c>
      <c r="K813" s="9">
        <v>24.0</v>
      </c>
      <c r="L813" s="9">
        <v>2.17</v>
      </c>
      <c r="M813" s="9">
        <v>17.36</v>
      </c>
      <c r="N813" s="9">
        <v>6.64</v>
      </c>
      <c r="O813" s="12">
        <v>45962.0</v>
      </c>
      <c r="P813" s="15"/>
    </row>
    <row r="814">
      <c r="A814" s="9">
        <v>2.503000217E9</v>
      </c>
      <c r="B814" s="10" t="s">
        <v>27</v>
      </c>
      <c r="C814" s="9">
        <v>74.0</v>
      </c>
      <c r="D814" s="10" t="s">
        <v>192</v>
      </c>
      <c r="E814" s="9">
        <v>8.0</v>
      </c>
      <c r="F814" s="9">
        <v>14.0</v>
      </c>
      <c r="G814" s="9">
        <v>60.0</v>
      </c>
      <c r="H814" s="9">
        <v>0.0</v>
      </c>
      <c r="I814" s="9">
        <v>0.0</v>
      </c>
      <c r="J814" s="9">
        <v>14.0</v>
      </c>
      <c r="K814" s="9">
        <v>60.0</v>
      </c>
      <c r="L814" s="9">
        <v>5.83</v>
      </c>
      <c r="M814" s="9">
        <v>81.62</v>
      </c>
      <c r="N814" s="9">
        <v>-21.62</v>
      </c>
      <c r="O814" s="12">
        <v>45962.0</v>
      </c>
      <c r="P814" s="15"/>
    </row>
    <row r="815">
      <c r="A815" s="9">
        <v>2.503000217E9</v>
      </c>
      <c r="B815" s="10" t="s">
        <v>27</v>
      </c>
      <c r="C815" s="9">
        <v>77.0</v>
      </c>
      <c r="D815" s="10" t="s">
        <v>193</v>
      </c>
      <c r="E815" s="9">
        <v>3.0</v>
      </c>
      <c r="F815" s="9">
        <v>56.0</v>
      </c>
      <c r="G815" s="9">
        <v>162.0</v>
      </c>
      <c r="H815" s="9">
        <v>0.0</v>
      </c>
      <c r="I815" s="9">
        <v>0.0</v>
      </c>
      <c r="J815" s="9">
        <v>56.0</v>
      </c>
      <c r="K815" s="9">
        <v>162.0</v>
      </c>
      <c r="L815" s="9">
        <v>1.0</v>
      </c>
      <c r="M815" s="9">
        <v>56.0</v>
      </c>
      <c r="N815" s="9">
        <v>106.0</v>
      </c>
      <c r="O815" s="12">
        <v>45962.0</v>
      </c>
      <c r="P815" s="15"/>
    </row>
    <row r="816">
      <c r="A816" s="9">
        <v>2.503000217E9</v>
      </c>
      <c r="B816" s="10" t="s">
        <v>27</v>
      </c>
      <c r="C816" s="9">
        <v>78.0</v>
      </c>
      <c r="D816" s="10" t="s">
        <v>194</v>
      </c>
      <c r="E816" s="9">
        <v>7.0</v>
      </c>
      <c r="F816" s="9">
        <v>52.0</v>
      </c>
      <c r="G816" s="9">
        <v>364.0</v>
      </c>
      <c r="H816" s="9">
        <v>0.0</v>
      </c>
      <c r="I816" s="9">
        <v>0.0</v>
      </c>
      <c r="J816" s="9">
        <v>52.0</v>
      </c>
      <c r="K816" s="9">
        <v>364.0</v>
      </c>
      <c r="L816" s="9">
        <v>4.79</v>
      </c>
      <c r="M816" s="9">
        <v>249.08</v>
      </c>
      <c r="N816" s="9">
        <v>114.92</v>
      </c>
      <c r="O816" s="12">
        <v>45962.0</v>
      </c>
      <c r="P816" s="15"/>
    </row>
    <row r="817">
      <c r="A817" s="9">
        <v>2.503000217E9</v>
      </c>
      <c r="B817" s="10" t="s">
        <v>27</v>
      </c>
      <c r="C817" s="9">
        <v>79.0</v>
      </c>
      <c r="D817" s="10" t="s">
        <v>198</v>
      </c>
      <c r="E817" s="9">
        <v>5.0</v>
      </c>
      <c r="F817" s="9">
        <v>3.0</v>
      </c>
      <c r="G817" s="9">
        <v>15.0</v>
      </c>
      <c r="H817" s="9">
        <v>0.0</v>
      </c>
      <c r="I817" s="9">
        <v>0.0</v>
      </c>
      <c r="J817" s="9">
        <v>3.0</v>
      </c>
      <c r="K817" s="9">
        <v>15.0</v>
      </c>
      <c r="L817" s="9">
        <v>3.6</v>
      </c>
      <c r="M817" s="9">
        <v>10.8</v>
      </c>
      <c r="N817" s="9">
        <v>4.2</v>
      </c>
      <c r="O817" s="12">
        <v>45962.0</v>
      </c>
      <c r="P817" s="15"/>
    </row>
    <row r="818">
      <c r="A818" s="9">
        <v>2.503000217E9</v>
      </c>
      <c r="B818" s="10" t="s">
        <v>27</v>
      </c>
      <c r="C818" s="9">
        <v>80.0</v>
      </c>
      <c r="D818" s="10" t="s">
        <v>195</v>
      </c>
      <c r="E818" s="9">
        <v>3.0</v>
      </c>
      <c r="F818" s="9">
        <v>7.0</v>
      </c>
      <c r="G818" s="9">
        <v>21.0</v>
      </c>
      <c r="H818" s="9">
        <v>0.0</v>
      </c>
      <c r="I818" s="9">
        <v>0.0</v>
      </c>
      <c r="J818" s="9">
        <v>7.0</v>
      </c>
      <c r="K818" s="9">
        <v>21.0</v>
      </c>
      <c r="L818" s="9">
        <v>1.8</v>
      </c>
      <c r="M818" s="9">
        <v>12.6</v>
      </c>
      <c r="N818" s="9">
        <v>8.4</v>
      </c>
      <c r="O818" s="12">
        <v>45962.0</v>
      </c>
      <c r="P818" s="15"/>
    </row>
    <row r="819">
      <c r="A819" s="9">
        <v>2.503000217E9</v>
      </c>
      <c r="B819" s="10" t="s">
        <v>27</v>
      </c>
      <c r="C819" s="9">
        <v>81.0</v>
      </c>
      <c r="D819" s="10" t="s">
        <v>196</v>
      </c>
      <c r="E819" s="9">
        <v>6.0</v>
      </c>
      <c r="F819" s="9">
        <v>5.0</v>
      </c>
      <c r="G819" s="9">
        <v>30.0</v>
      </c>
      <c r="H819" s="9">
        <v>0.0</v>
      </c>
      <c r="I819" s="9">
        <v>0.0</v>
      </c>
      <c r="J819" s="9">
        <v>5.0</v>
      </c>
      <c r="K819" s="9">
        <v>30.0</v>
      </c>
      <c r="L819" s="9">
        <v>4.4</v>
      </c>
      <c r="M819" s="9">
        <v>22.0</v>
      </c>
      <c r="N819" s="9">
        <v>8.0</v>
      </c>
      <c r="O819" s="12">
        <v>45962.0</v>
      </c>
      <c r="P819" s="15"/>
    </row>
    <row r="820">
      <c r="A820" s="9">
        <v>2.503000217E9</v>
      </c>
      <c r="B820" s="10" t="s">
        <v>27</v>
      </c>
      <c r="C820" s="9">
        <v>82.0</v>
      </c>
      <c r="D820" s="10" t="s">
        <v>197</v>
      </c>
      <c r="E820" s="9">
        <v>2.0</v>
      </c>
      <c r="F820" s="9">
        <v>61.0</v>
      </c>
      <c r="G820" s="9">
        <v>121.0</v>
      </c>
      <c r="H820" s="9">
        <v>0.0</v>
      </c>
      <c r="I820" s="9">
        <v>0.0</v>
      </c>
      <c r="J820" s="9">
        <v>61.0</v>
      </c>
      <c r="K820" s="9">
        <v>121.0</v>
      </c>
      <c r="L820" s="9">
        <v>0.95</v>
      </c>
      <c r="M820" s="9">
        <v>57.95</v>
      </c>
      <c r="N820" s="9">
        <v>63.05</v>
      </c>
      <c r="O820" s="12">
        <v>45962.0</v>
      </c>
      <c r="P820" s="15"/>
    </row>
    <row r="821">
      <c r="A821" s="9">
        <v>2.404120076E9</v>
      </c>
      <c r="B821" s="10" t="s">
        <v>19</v>
      </c>
      <c r="C821" s="16"/>
      <c r="D821" s="10" t="s">
        <v>89</v>
      </c>
      <c r="E821" s="16"/>
      <c r="F821" s="9">
        <v>45.0</v>
      </c>
      <c r="G821" s="9">
        <v>135.0</v>
      </c>
      <c r="H821" s="16"/>
      <c r="I821" s="16"/>
      <c r="J821" s="9">
        <v>45.0</v>
      </c>
      <c r="K821" s="9">
        <v>135.0</v>
      </c>
      <c r="L821" s="9">
        <v>0.0</v>
      </c>
      <c r="M821" s="9">
        <v>0.0</v>
      </c>
      <c r="N821" s="9">
        <v>135.0</v>
      </c>
      <c r="O821" s="12">
        <v>45962.0</v>
      </c>
      <c r="P821" s="15"/>
    </row>
    <row r="822">
      <c r="A822" s="9">
        <v>2.404120076E9</v>
      </c>
      <c r="B822" s="10" t="s">
        <v>19</v>
      </c>
      <c r="C822" s="16"/>
      <c r="D822" s="10" t="s">
        <v>55</v>
      </c>
      <c r="E822" s="16"/>
      <c r="F822" s="9">
        <v>40.0</v>
      </c>
      <c r="G822" s="9">
        <v>120.0</v>
      </c>
      <c r="H822" s="16"/>
      <c r="I822" s="16"/>
      <c r="J822" s="9">
        <v>40.0</v>
      </c>
      <c r="K822" s="9">
        <v>120.0</v>
      </c>
      <c r="L822" s="9">
        <v>0.0</v>
      </c>
      <c r="M822" s="9">
        <v>0.0</v>
      </c>
      <c r="N822" s="9">
        <v>120.0</v>
      </c>
      <c r="O822" s="12">
        <v>45962.0</v>
      </c>
      <c r="P822" s="15"/>
    </row>
    <row r="823">
      <c r="A823" s="9">
        <v>2.404120076E9</v>
      </c>
      <c r="B823" s="10" t="s">
        <v>19</v>
      </c>
      <c r="C823" s="16"/>
      <c r="D823" s="10" t="s">
        <v>92</v>
      </c>
      <c r="E823" s="16"/>
      <c r="F823" s="9">
        <v>3.0</v>
      </c>
      <c r="G823" s="9">
        <v>9.0</v>
      </c>
      <c r="H823" s="16"/>
      <c r="I823" s="16"/>
      <c r="J823" s="9">
        <v>3.0</v>
      </c>
      <c r="K823" s="9">
        <v>9.0</v>
      </c>
      <c r="L823" s="9">
        <v>0.0</v>
      </c>
      <c r="M823" s="9">
        <v>0.0</v>
      </c>
      <c r="N823" s="9">
        <v>9.0</v>
      </c>
      <c r="O823" s="12">
        <v>45962.0</v>
      </c>
      <c r="P823" s="15"/>
    </row>
    <row r="824">
      <c r="A824" s="9">
        <v>2.404120076E9</v>
      </c>
      <c r="B824" s="10" t="s">
        <v>19</v>
      </c>
      <c r="C824" s="16"/>
      <c r="D824" s="10" t="s">
        <v>109</v>
      </c>
      <c r="E824" s="16"/>
      <c r="F824" s="9">
        <v>97.0</v>
      </c>
      <c r="G824" s="9">
        <v>493.0</v>
      </c>
      <c r="H824" s="16"/>
      <c r="I824" s="16"/>
      <c r="J824" s="9">
        <v>97.0</v>
      </c>
      <c r="K824" s="9">
        <v>493.0</v>
      </c>
      <c r="L824" s="9">
        <v>0.0</v>
      </c>
      <c r="M824" s="9">
        <v>0.0</v>
      </c>
      <c r="N824" s="9">
        <v>493.0</v>
      </c>
      <c r="O824" s="12">
        <v>45962.0</v>
      </c>
      <c r="P824" s="15"/>
    </row>
    <row r="825">
      <c r="A825" s="9">
        <v>2.404120076E9</v>
      </c>
      <c r="B825" s="10" t="s">
        <v>19</v>
      </c>
      <c r="C825" s="16"/>
      <c r="D825" s="10" t="s">
        <v>58</v>
      </c>
      <c r="E825" s="16"/>
      <c r="F825" s="9">
        <v>40.0</v>
      </c>
      <c r="G825" s="9">
        <v>186.0</v>
      </c>
      <c r="H825" s="16"/>
      <c r="I825" s="16"/>
      <c r="J825" s="9">
        <v>40.0</v>
      </c>
      <c r="K825" s="9">
        <v>186.0</v>
      </c>
      <c r="L825" s="9">
        <v>0.0</v>
      </c>
      <c r="M825" s="9">
        <v>0.0</v>
      </c>
      <c r="N825" s="9">
        <v>186.0</v>
      </c>
      <c r="O825" s="12">
        <v>45962.0</v>
      </c>
      <c r="P825" s="15"/>
    </row>
    <row r="826">
      <c r="A826" s="9">
        <v>2.404120076E9</v>
      </c>
      <c r="B826" s="10" t="s">
        <v>19</v>
      </c>
      <c r="C826" s="16"/>
      <c r="D826" s="10" t="s">
        <v>60</v>
      </c>
      <c r="E826" s="16"/>
      <c r="F826" s="9">
        <v>4.0</v>
      </c>
      <c r="G826" s="9">
        <v>14.0</v>
      </c>
      <c r="H826" s="16"/>
      <c r="I826" s="16"/>
      <c r="J826" s="9">
        <v>4.0</v>
      </c>
      <c r="K826" s="9">
        <v>14.0</v>
      </c>
      <c r="L826" s="9">
        <v>0.0</v>
      </c>
      <c r="M826" s="9">
        <v>0.0</v>
      </c>
      <c r="N826" s="9">
        <v>14.0</v>
      </c>
      <c r="O826" s="12">
        <v>45962.0</v>
      </c>
      <c r="P826" s="15"/>
    </row>
    <row r="827">
      <c r="A827" s="9">
        <v>2.404120076E9</v>
      </c>
      <c r="B827" s="10" t="s">
        <v>19</v>
      </c>
      <c r="C827" s="16"/>
      <c r="D827" s="10" t="s">
        <v>62</v>
      </c>
      <c r="E827" s="16"/>
      <c r="F827" s="9">
        <v>10.0</v>
      </c>
      <c r="G827" s="9">
        <v>45.0</v>
      </c>
      <c r="H827" s="16"/>
      <c r="I827" s="16"/>
      <c r="J827" s="9">
        <v>10.0</v>
      </c>
      <c r="K827" s="9">
        <v>45.0</v>
      </c>
      <c r="L827" s="9">
        <v>0.0</v>
      </c>
      <c r="M827" s="9">
        <v>0.0</v>
      </c>
      <c r="N827" s="9">
        <v>45.0</v>
      </c>
      <c r="O827" s="12">
        <v>45962.0</v>
      </c>
      <c r="P827" s="15"/>
    </row>
    <row r="828">
      <c r="A828" s="9">
        <v>2.404120076E9</v>
      </c>
      <c r="B828" s="10" t="s">
        <v>19</v>
      </c>
      <c r="C828" s="16"/>
      <c r="D828" s="10" t="s">
        <v>68</v>
      </c>
      <c r="E828" s="16"/>
      <c r="F828" s="9">
        <v>3.0</v>
      </c>
      <c r="G828" s="9">
        <v>9.0</v>
      </c>
      <c r="H828" s="16"/>
      <c r="I828" s="16"/>
      <c r="J828" s="9">
        <v>3.0</v>
      </c>
      <c r="K828" s="9">
        <v>9.0</v>
      </c>
      <c r="L828" s="9">
        <v>0.0</v>
      </c>
      <c r="M828" s="9">
        <v>0.0</v>
      </c>
      <c r="N828" s="9">
        <v>9.0</v>
      </c>
      <c r="O828" s="12">
        <v>45962.0</v>
      </c>
      <c r="P828" s="15"/>
    </row>
    <row r="829">
      <c r="A829" s="9">
        <v>2.404120076E9</v>
      </c>
      <c r="B829" s="10" t="s">
        <v>19</v>
      </c>
      <c r="C829" s="16"/>
      <c r="D829" s="10" t="s">
        <v>199</v>
      </c>
      <c r="E829" s="16"/>
      <c r="F829" s="9">
        <v>30.0</v>
      </c>
      <c r="G829" s="9">
        <v>128.0</v>
      </c>
      <c r="H829" s="16"/>
      <c r="I829" s="16"/>
      <c r="J829" s="9">
        <v>30.0</v>
      </c>
      <c r="K829" s="9">
        <v>128.0</v>
      </c>
      <c r="L829" s="9">
        <v>0.0</v>
      </c>
      <c r="M829" s="9">
        <v>0.0</v>
      </c>
      <c r="N829" s="9">
        <v>128.0</v>
      </c>
      <c r="O829" s="12">
        <v>45962.0</v>
      </c>
      <c r="P829" s="15"/>
    </row>
    <row r="830">
      <c r="A830" s="9">
        <v>2.404120076E9</v>
      </c>
      <c r="B830" s="10" t="s">
        <v>19</v>
      </c>
      <c r="C830" s="16"/>
      <c r="D830" s="10" t="s">
        <v>120</v>
      </c>
      <c r="E830" s="16"/>
      <c r="F830" s="9">
        <v>17.0</v>
      </c>
      <c r="G830" s="9">
        <v>85.0</v>
      </c>
      <c r="H830" s="16"/>
      <c r="I830" s="16"/>
      <c r="J830" s="9">
        <v>17.0</v>
      </c>
      <c r="K830" s="9">
        <v>85.0</v>
      </c>
      <c r="L830" s="9">
        <v>0.0</v>
      </c>
      <c r="M830" s="9">
        <v>0.0</v>
      </c>
      <c r="N830" s="9">
        <v>85.0</v>
      </c>
      <c r="O830" s="12">
        <v>45962.0</v>
      </c>
      <c r="P830" s="15"/>
    </row>
    <row r="831">
      <c r="A831" s="9">
        <v>2.404120076E9</v>
      </c>
      <c r="B831" s="10" t="s">
        <v>19</v>
      </c>
      <c r="C831" s="16"/>
      <c r="D831" s="10" t="s">
        <v>70</v>
      </c>
      <c r="E831" s="16"/>
      <c r="F831" s="9">
        <v>20.0</v>
      </c>
      <c r="G831" s="9">
        <v>69.0</v>
      </c>
      <c r="H831" s="16"/>
      <c r="I831" s="16"/>
      <c r="J831" s="9">
        <v>20.0</v>
      </c>
      <c r="K831" s="9">
        <v>69.0</v>
      </c>
      <c r="L831" s="9">
        <v>0.0</v>
      </c>
      <c r="M831" s="9">
        <v>0.0</v>
      </c>
      <c r="N831" s="9">
        <v>69.0</v>
      </c>
      <c r="O831" s="12">
        <v>45962.0</v>
      </c>
      <c r="P831" s="15"/>
    </row>
    <row r="832">
      <c r="A832" s="9">
        <v>2.404120076E9</v>
      </c>
      <c r="B832" s="10" t="s">
        <v>19</v>
      </c>
      <c r="C832" s="16"/>
      <c r="D832" s="10" t="s">
        <v>96</v>
      </c>
      <c r="E832" s="16"/>
      <c r="F832" s="9">
        <v>13.0</v>
      </c>
      <c r="G832" s="9">
        <v>55.0</v>
      </c>
      <c r="H832" s="16"/>
      <c r="I832" s="16"/>
      <c r="J832" s="9">
        <v>13.0</v>
      </c>
      <c r="K832" s="9">
        <v>55.0</v>
      </c>
      <c r="L832" s="9">
        <v>0.0</v>
      </c>
      <c r="M832" s="9">
        <v>0.0</v>
      </c>
      <c r="N832" s="9">
        <v>55.0</v>
      </c>
      <c r="O832" s="12">
        <v>45962.0</v>
      </c>
      <c r="P832" s="15"/>
    </row>
    <row r="833">
      <c r="A833" s="9">
        <v>2.404120076E9</v>
      </c>
      <c r="B833" s="10" t="s">
        <v>19</v>
      </c>
      <c r="C833" s="16"/>
      <c r="D833" s="10" t="s">
        <v>136</v>
      </c>
      <c r="E833" s="16"/>
      <c r="F833" s="9">
        <v>194.0</v>
      </c>
      <c r="G833" s="9">
        <v>194.0</v>
      </c>
      <c r="H833" s="16"/>
      <c r="I833" s="16"/>
      <c r="J833" s="9">
        <v>194.0</v>
      </c>
      <c r="K833" s="9">
        <v>194.0</v>
      </c>
      <c r="L833" s="9">
        <v>0.0</v>
      </c>
      <c r="M833" s="9">
        <v>0.0</v>
      </c>
      <c r="N833" s="9">
        <v>194.0</v>
      </c>
      <c r="O833" s="12">
        <v>45962.0</v>
      </c>
      <c r="P833" s="15"/>
    </row>
    <row r="834">
      <c r="A834" s="9">
        <v>2.404120076E9</v>
      </c>
      <c r="B834" s="10" t="s">
        <v>19</v>
      </c>
      <c r="C834" s="16"/>
      <c r="D834" s="10" t="s">
        <v>72</v>
      </c>
      <c r="E834" s="16"/>
      <c r="F834" s="9">
        <v>85.0</v>
      </c>
      <c r="G834" s="9">
        <v>173.0</v>
      </c>
      <c r="H834" s="16"/>
      <c r="I834" s="16"/>
      <c r="J834" s="9">
        <v>85.0</v>
      </c>
      <c r="K834" s="9">
        <v>173.0</v>
      </c>
      <c r="L834" s="9">
        <v>0.0</v>
      </c>
      <c r="M834" s="9">
        <v>0.0</v>
      </c>
      <c r="N834" s="9">
        <v>173.0</v>
      </c>
      <c r="O834" s="12">
        <v>45962.0</v>
      </c>
      <c r="P834" s="15"/>
    </row>
    <row r="835">
      <c r="A835" s="9">
        <v>2.404120076E9</v>
      </c>
      <c r="B835" s="10" t="s">
        <v>19</v>
      </c>
      <c r="C835" s="16"/>
      <c r="D835" s="10" t="s">
        <v>97</v>
      </c>
      <c r="E835" s="16"/>
      <c r="F835" s="9">
        <v>11.0</v>
      </c>
      <c r="G835" s="9">
        <v>66.0</v>
      </c>
      <c r="H835" s="16"/>
      <c r="I835" s="16"/>
      <c r="J835" s="9">
        <v>11.0</v>
      </c>
      <c r="K835" s="9">
        <v>66.0</v>
      </c>
      <c r="L835" s="9">
        <v>0.0</v>
      </c>
      <c r="M835" s="9">
        <v>0.0</v>
      </c>
      <c r="N835" s="9">
        <v>66.0</v>
      </c>
      <c r="O835" s="12">
        <v>45962.0</v>
      </c>
      <c r="P835" s="15"/>
    </row>
    <row r="836">
      <c r="A836" s="9">
        <v>2.404120076E9</v>
      </c>
      <c r="B836" s="10" t="s">
        <v>19</v>
      </c>
      <c r="C836" s="16"/>
      <c r="D836" s="10" t="s">
        <v>123</v>
      </c>
      <c r="E836" s="16"/>
      <c r="F836" s="9">
        <v>5.0</v>
      </c>
      <c r="G836" s="9">
        <v>15.0</v>
      </c>
      <c r="H836" s="16"/>
      <c r="I836" s="16"/>
      <c r="J836" s="9">
        <v>5.0</v>
      </c>
      <c r="K836" s="9">
        <v>15.0</v>
      </c>
      <c r="L836" s="9">
        <v>0.0</v>
      </c>
      <c r="M836" s="9">
        <v>0.0</v>
      </c>
      <c r="N836" s="9">
        <v>15.0</v>
      </c>
      <c r="O836" s="12">
        <v>45962.0</v>
      </c>
      <c r="P836" s="15"/>
    </row>
    <row r="837">
      <c r="A837" s="9">
        <v>2.404120076E9</v>
      </c>
      <c r="B837" s="10" t="s">
        <v>19</v>
      </c>
      <c r="C837" s="16"/>
      <c r="D837" s="10" t="s">
        <v>73</v>
      </c>
      <c r="E837" s="16"/>
      <c r="F837" s="9">
        <v>20.0</v>
      </c>
      <c r="G837" s="9">
        <v>58.0</v>
      </c>
      <c r="H837" s="16"/>
      <c r="I837" s="16"/>
      <c r="J837" s="9">
        <v>20.0</v>
      </c>
      <c r="K837" s="9">
        <v>58.0</v>
      </c>
      <c r="L837" s="9">
        <v>0.0</v>
      </c>
      <c r="M837" s="9">
        <v>0.0</v>
      </c>
      <c r="N837" s="9">
        <v>58.0</v>
      </c>
      <c r="O837" s="12">
        <v>45962.0</v>
      </c>
      <c r="P837" s="15"/>
    </row>
    <row r="838">
      <c r="A838" s="9">
        <v>2.404120076E9</v>
      </c>
      <c r="B838" s="10" t="s">
        <v>19</v>
      </c>
      <c r="C838" s="16"/>
      <c r="D838" s="10" t="s">
        <v>180</v>
      </c>
      <c r="E838" s="16"/>
      <c r="F838" s="9">
        <v>19.0</v>
      </c>
      <c r="G838" s="9">
        <v>133.0</v>
      </c>
      <c r="H838" s="16"/>
      <c r="I838" s="16"/>
      <c r="J838" s="9">
        <v>19.0</v>
      </c>
      <c r="K838" s="9">
        <v>133.0</v>
      </c>
      <c r="L838" s="9">
        <v>0.0</v>
      </c>
      <c r="M838" s="9">
        <v>0.0</v>
      </c>
      <c r="N838" s="9">
        <v>133.0</v>
      </c>
      <c r="O838" s="12">
        <v>45962.0</v>
      </c>
      <c r="P838" s="15"/>
    </row>
    <row r="839">
      <c r="A839" s="9">
        <v>2.404120076E9</v>
      </c>
      <c r="B839" s="10" t="s">
        <v>19</v>
      </c>
      <c r="C839" s="16"/>
      <c r="D839" s="10" t="s">
        <v>74</v>
      </c>
      <c r="E839" s="16"/>
      <c r="F839" s="9">
        <v>402.0</v>
      </c>
      <c r="G839" s="9">
        <v>402.0</v>
      </c>
      <c r="H839" s="16"/>
      <c r="I839" s="16"/>
      <c r="J839" s="9">
        <v>402.0</v>
      </c>
      <c r="K839" s="9">
        <v>402.0</v>
      </c>
      <c r="L839" s="9">
        <v>0.0</v>
      </c>
      <c r="M839" s="9">
        <v>0.0</v>
      </c>
      <c r="N839" s="9">
        <v>402.0</v>
      </c>
      <c r="O839" s="12">
        <v>45962.0</v>
      </c>
      <c r="P839" s="15"/>
    </row>
    <row r="840">
      <c r="A840" s="9">
        <v>2.404120076E9</v>
      </c>
      <c r="B840" s="10" t="s">
        <v>19</v>
      </c>
      <c r="C840" s="16"/>
      <c r="D840" s="10" t="s">
        <v>79</v>
      </c>
      <c r="E840" s="16"/>
      <c r="F840" s="9">
        <v>27.0</v>
      </c>
      <c r="G840" s="9">
        <v>81.0</v>
      </c>
      <c r="H840" s="16"/>
      <c r="I840" s="16"/>
      <c r="J840" s="9">
        <v>27.0</v>
      </c>
      <c r="K840" s="9">
        <v>81.0</v>
      </c>
      <c r="L840" s="9">
        <v>0.0</v>
      </c>
      <c r="M840" s="9">
        <v>0.0</v>
      </c>
      <c r="N840" s="9">
        <v>81.0</v>
      </c>
      <c r="O840" s="12">
        <v>45962.0</v>
      </c>
      <c r="P840" s="15"/>
    </row>
    <row r="841">
      <c r="A841" s="9">
        <v>2.404120076E9</v>
      </c>
      <c r="B841" s="10" t="s">
        <v>19</v>
      </c>
      <c r="C841" s="16"/>
      <c r="D841" s="10" t="s">
        <v>114</v>
      </c>
      <c r="E841" s="16"/>
      <c r="F841" s="9">
        <v>3.0</v>
      </c>
      <c r="G841" s="9">
        <v>12.0</v>
      </c>
      <c r="H841" s="16"/>
      <c r="I841" s="16"/>
      <c r="J841" s="9">
        <v>3.0</v>
      </c>
      <c r="K841" s="9">
        <v>12.0</v>
      </c>
      <c r="L841" s="9">
        <v>0.0</v>
      </c>
      <c r="M841" s="9">
        <v>0.0</v>
      </c>
      <c r="N841" s="9">
        <v>12.0</v>
      </c>
      <c r="O841" s="12">
        <v>45962.0</v>
      </c>
      <c r="P841" s="15"/>
    </row>
    <row r="842">
      <c r="A842" s="9">
        <v>2.404120076E9</v>
      </c>
      <c r="B842" s="10" t="s">
        <v>19</v>
      </c>
      <c r="C842" s="16"/>
      <c r="D842" s="2" t="s">
        <v>115</v>
      </c>
      <c r="E842" s="16"/>
      <c r="F842" s="9">
        <v>38.0</v>
      </c>
      <c r="G842" s="9">
        <v>190.0</v>
      </c>
      <c r="H842" s="16"/>
      <c r="I842" s="16"/>
      <c r="J842" s="9">
        <v>38.0</v>
      </c>
      <c r="K842" s="9">
        <v>190.0</v>
      </c>
      <c r="L842" s="9">
        <v>0.0</v>
      </c>
      <c r="M842" s="9">
        <v>0.0</v>
      </c>
      <c r="N842" s="9">
        <v>190.0</v>
      </c>
      <c r="O842" s="12">
        <v>45962.0</v>
      </c>
      <c r="P842" s="15"/>
    </row>
    <row r="843">
      <c r="A843" s="9">
        <v>2.404120076E9</v>
      </c>
      <c r="B843" s="10" t="s">
        <v>19</v>
      </c>
      <c r="C843" s="16"/>
      <c r="D843" s="10" t="s">
        <v>105</v>
      </c>
      <c r="E843" s="16"/>
      <c r="F843" s="9">
        <v>13.0</v>
      </c>
      <c r="G843" s="9">
        <v>39.0</v>
      </c>
      <c r="H843" s="16"/>
      <c r="I843" s="16"/>
      <c r="J843" s="9">
        <v>13.0</v>
      </c>
      <c r="K843" s="9">
        <v>39.0</v>
      </c>
      <c r="L843" s="9">
        <v>0.0</v>
      </c>
      <c r="M843" s="9">
        <v>0.0</v>
      </c>
      <c r="N843" s="9">
        <v>39.0</v>
      </c>
      <c r="O843" s="12">
        <v>45962.0</v>
      </c>
      <c r="P843" s="15"/>
    </row>
    <row r="844">
      <c r="A844" s="9">
        <v>2.404120076E9</v>
      </c>
      <c r="B844" s="10" t="s">
        <v>19</v>
      </c>
      <c r="C844" s="16"/>
      <c r="D844" s="10" t="s">
        <v>81</v>
      </c>
      <c r="E844" s="16"/>
      <c r="F844" s="9">
        <v>32.0</v>
      </c>
      <c r="G844" s="9">
        <v>131.0</v>
      </c>
      <c r="H844" s="16"/>
      <c r="I844" s="16"/>
      <c r="J844" s="9">
        <v>32.0</v>
      </c>
      <c r="K844" s="9">
        <v>131.0</v>
      </c>
      <c r="L844" s="9">
        <v>0.0</v>
      </c>
      <c r="M844" s="9">
        <v>0.0</v>
      </c>
      <c r="N844" s="9">
        <v>131.0</v>
      </c>
      <c r="O844" s="12">
        <v>45962.0</v>
      </c>
      <c r="P844" s="15"/>
    </row>
    <row r="845">
      <c r="A845" s="9">
        <v>2.404120076E9</v>
      </c>
      <c r="B845" s="10" t="s">
        <v>19</v>
      </c>
      <c r="C845" s="16"/>
      <c r="D845" s="10" t="s">
        <v>147</v>
      </c>
      <c r="E845" s="16"/>
      <c r="F845" s="9">
        <v>43.0</v>
      </c>
      <c r="G845" s="9">
        <v>129.0</v>
      </c>
      <c r="H845" s="16"/>
      <c r="I845" s="16"/>
      <c r="J845" s="9">
        <v>43.0</v>
      </c>
      <c r="K845" s="9">
        <v>129.0</v>
      </c>
      <c r="L845" s="9">
        <v>0.0</v>
      </c>
      <c r="M845" s="9">
        <v>0.0</v>
      </c>
      <c r="N845" s="9">
        <v>129.0</v>
      </c>
      <c r="O845" s="12">
        <v>45962.0</v>
      </c>
      <c r="P845" s="16"/>
    </row>
    <row r="846">
      <c r="A846" s="9">
        <v>2.404120076E9</v>
      </c>
      <c r="B846" s="10" t="s">
        <v>19</v>
      </c>
      <c r="C846" s="16"/>
      <c r="D846" s="10" t="s">
        <v>125</v>
      </c>
      <c r="E846" s="16"/>
      <c r="F846" s="9">
        <v>19.0</v>
      </c>
      <c r="G846" s="9">
        <v>105.0</v>
      </c>
      <c r="H846" s="16"/>
      <c r="I846" s="16"/>
      <c r="J846" s="9">
        <v>19.0</v>
      </c>
      <c r="K846" s="9">
        <v>105.0</v>
      </c>
      <c r="L846" s="9">
        <v>0.0</v>
      </c>
      <c r="M846" s="9">
        <v>0.0</v>
      </c>
      <c r="N846" s="9">
        <v>105.0</v>
      </c>
      <c r="O846" s="12">
        <v>45962.0</v>
      </c>
      <c r="P846" s="16"/>
    </row>
    <row r="847">
      <c r="A847" s="9">
        <v>2.404120076E9</v>
      </c>
      <c r="B847" s="10" t="s">
        <v>19</v>
      </c>
      <c r="C847" s="16"/>
      <c r="D847" s="10" t="s">
        <v>167</v>
      </c>
      <c r="E847" s="16"/>
      <c r="F847" s="9">
        <v>12.0</v>
      </c>
      <c r="G847" s="9">
        <v>36.0</v>
      </c>
      <c r="H847" s="16"/>
      <c r="I847" s="16"/>
      <c r="J847" s="9">
        <v>12.0</v>
      </c>
      <c r="K847" s="9">
        <v>36.0</v>
      </c>
      <c r="L847" s="9">
        <v>0.0</v>
      </c>
      <c r="M847" s="9">
        <v>0.0</v>
      </c>
      <c r="N847" s="9">
        <v>36.0</v>
      </c>
      <c r="O847" s="12">
        <v>45962.0</v>
      </c>
      <c r="P847" s="16"/>
    </row>
    <row r="848">
      <c r="A848" s="9">
        <v>2.404120076E9</v>
      </c>
      <c r="B848" s="10" t="s">
        <v>19</v>
      </c>
      <c r="C848" s="16"/>
      <c r="D848" s="10" t="s">
        <v>86</v>
      </c>
      <c r="E848" s="16"/>
      <c r="F848" s="9">
        <v>114.0</v>
      </c>
      <c r="G848" s="9">
        <v>570.0</v>
      </c>
      <c r="H848" s="16"/>
      <c r="I848" s="16"/>
      <c r="J848" s="9">
        <v>114.0</v>
      </c>
      <c r="K848" s="9">
        <v>570.0</v>
      </c>
      <c r="L848" s="9">
        <v>0.0</v>
      </c>
      <c r="M848" s="9">
        <v>0.0</v>
      </c>
      <c r="N848" s="9">
        <v>570.0</v>
      </c>
      <c r="O848" s="12">
        <v>45962.0</v>
      </c>
      <c r="P848" s="16"/>
    </row>
    <row r="849">
      <c r="A849" s="9">
        <v>2.404120076E9</v>
      </c>
      <c r="B849" s="10" t="s">
        <v>19</v>
      </c>
      <c r="C849" s="16"/>
      <c r="D849" s="10" t="s">
        <v>200</v>
      </c>
      <c r="E849" s="16"/>
      <c r="F849" s="9">
        <v>6.0</v>
      </c>
      <c r="G849" s="9">
        <v>24.0</v>
      </c>
      <c r="H849" s="16"/>
      <c r="I849" s="16"/>
      <c r="J849" s="9">
        <v>6.0</v>
      </c>
      <c r="K849" s="9">
        <v>24.0</v>
      </c>
      <c r="L849" s="9">
        <v>0.0</v>
      </c>
      <c r="M849" s="9">
        <v>0.0</v>
      </c>
      <c r="N849" s="9">
        <v>24.0</v>
      </c>
      <c r="O849" s="12">
        <v>45962.0</v>
      </c>
      <c r="P849" s="16"/>
    </row>
    <row r="850">
      <c r="A850" s="9">
        <v>2.404120076E9</v>
      </c>
      <c r="B850" s="10" t="s">
        <v>19</v>
      </c>
      <c r="C850" s="16"/>
      <c r="D850" s="10" t="s">
        <v>168</v>
      </c>
      <c r="E850" s="16"/>
      <c r="F850" s="9">
        <v>5.0</v>
      </c>
      <c r="G850" s="9">
        <v>15.0</v>
      </c>
      <c r="H850" s="16"/>
      <c r="I850" s="16"/>
      <c r="J850" s="9">
        <v>5.0</v>
      </c>
      <c r="K850" s="9">
        <v>15.0</v>
      </c>
      <c r="L850" s="9">
        <v>0.0</v>
      </c>
      <c r="M850" s="9">
        <v>0.0</v>
      </c>
      <c r="N850" s="9">
        <v>15.0</v>
      </c>
      <c r="O850" s="12">
        <v>45962.0</v>
      </c>
      <c r="P850" s="16"/>
    </row>
    <row r="851">
      <c r="A851" s="9">
        <v>2.404120076E9</v>
      </c>
      <c r="B851" s="10" t="s">
        <v>19</v>
      </c>
      <c r="C851" s="16"/>
      <c r="D851" s="10" t="s">
        <v>128</v>
      </c>
      <c r="E851" s="16"/>
      <c r="F851" s="9">
        <v>13.0</v>
      </c>
      <c r="G851" s="9">
        <v>39.0</v>
      </c>
      <c r="H851" s="16"/>
      <c r="I851" s="16"/>
      <c r="J851" s="9">
        <v>13.0</v>
      </c>
      <c r="K851" s="9">
        <v>39.0</v>
      </c>
      <c r="L851" s="9">
        <v>0.0</v>
      </c>
      <c r="M851" s="9">
        <v>0.0</v>
      </c>
      <c r="N851" s="9">
        <v>39.0</v>
      </c>
      <c r="O851" s="12">
        <v>45962.0</v>
      </c>
      <c r="P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9">
        <v>0.0</v>
      </c>
      <c r="K852" s="9">
        <v>0.0</v>
      </c>
      <c r="L852" s="9">
        <v>0.0</v>
      </c>
      <c r="M852" s="9">
        <v>0.0</v>
      </c>
      <c r="N852" s="9">
        <v>0.0</v>
      </c>
      <c r="O852" s="16"/>
      <c r="P852" s="16"/>
    </row>
    <row r="853">
      <c r="A853" s="9">
        <v>2.411000046E9</v>
      </c>
      <c r="B853" s="10" t="s">
        <v>21</v>
      </c>
      <c r="C853" s="9">
        <v>1.0</v>
      </c>
      <c r="D853" s="10" t="s">
        <v>129</v>
      </c>
      <c r="E853" s="9">
        <v>5.0</v>
      </c>
      <c r="F853" s="9">
        <v>74.0</v>
      </c>
      <c r="G853" s="9">
        <v>370.0</v>
      </c>
      <c r="H853" s="9">
        <v>0.0</v>
      </c>
      <c r="I853" s="9">
        <v>0.0</v>
      </c>
      <c r="J853" s="9">
        <v>74.0</v>
      </c>
      <c r="K853" s="9">
        <v>370.0</v>
      </c>
      <c r="L853" s="9">
        <v>2.8</v>
      </c>
      <c r="M853" s="9">
        <v>207.2</v>
      </c>
      <c r="N853" s="9">
        <v>162.8</v>
      </c>
      <c r="O853" s="12">
        <v>45992.0</v>
      </c>
      <c r="P853" s="13">
        <v>45992.0</v>
      </c>
    </row>
    <row r="854">
      <c r="A854" s="9">
        <v>2.411000046E9</v>
      </c>
      <c r="B854" s="10" t="s">
        <v>21</v>
      </c>
      <c r="C854" s="9">
        <v>2.0</v>
      </c>
      <c r="D854" s="10" t="s">
        <v>74</v>
      </c>
      <c r="E854" s="9">
        <v>1.0</v>
      </c>
      <c r="F854" s="9">
        <v>403.0</v>
      </c>
      <c r="G854" s="9">
        <v>403.0</v>
      </c>
      <c r="H854" s="9">
        <v>0.0</v>
      </c>
      <c r="I854" s="9">
        <v>0.0</v>
      </c>
      <c r="J854" s="9">
        <v>403.0</v>
      </c>
      <c r="K854" s="9">
        <v>403.0</v>
      </c>
      <c r="L854" s="9">
        <v>0.3</v>
      </c>
      <c r="M854" s="9">
        <v>120.9</v>
      </c>
      <c r="N854" s="9">
        <v>282.1</v>
      </c>
      <c r="O854" s="12">
        <v>45992.0</v>
      </c>
      <c r="P854" s="16"/>
    </row>
    <row r="855">
      <c r="A855" s="9">
        <v>2.411000046E9</v>
      </c>
      <c r="B855" s="10" t="s">
        <v>21</v>
      </c>
      <c r="C855" s="9">
        <v>3.0</v>
      </c>
      <c r="D855" s="10" t="s">
        <v>125</v>
      </c>
      <c r="E855" s="9">
        <v>6.777777778</v>
      </c>
      <c r="F855" s="9">
        <v>9.0</v>
      </c>
      <c r="G855" s="9">
        <v>61.0</v>
      </c>
      <c r="H855" s="9">
        <v>0.0</v>
      </c>
      <c r="I855" s="9">
        <v>0.0</v>
      </c>
      <c r="J855" s="9">
        <v>9.0</v>
      </c>
      <c r="K855" s="9">
        <v>61.0</v>
      </c>
      <c r="L855" s="9">
        <v>6.2</v>
      </c>
      <c r="M855" s="9">
        <v>55.8</v>
      </c>
      <c r="N855" s="9">
        <v>5.2</v>
      </c>
      <c r="O855" s="12">
        <v>45992.0</v>
      </c>
      <c r="P855" s="16"/>
    </row>
    <row r="856">
      <c r="A856" s="9">
        <v>2.411000046E9</v>
      </c>
      <c r="B856" s="10" t="s">
        <v>21</v>
      </c>
      <c r="C856" s="9">
        <v>5.0</v>
      </c>
      <c r="D856" s="10" t="s">
        <v>131</v>
      </c>
      <c r="E856" s="9">
        <v>3.0</v>
      </c>
      <c r="F856" s="9">
        <v>30.0</v>
      </c>
      <c r="G856" s="9">
        <v>90.0</v>
      </c>
      <c r="H856" s="9">
        <v>0.0</v>
      </c>
      <c r="I856" s="9">
        <v>0.0</v>
      </c>
      <c r="J856" s="9">
        <v>30.0</v>
      </c>
      <c r="K856" s="9">
        <v>90.0</v>
      </c>
      <c r="L856" s="9">
        <v>2.0</v>
      </c>
      <c r="M856" s="9">
        <v>60.0</v>
      </c>
      <c r="N856" s="9">
        <v>30.0</v>
      </c>
      <c r="O856" s="12">
        <v>45992.0</v>
      </c>
      <c r="P856" s="16"/>
    </row>
    <row r="857">
      <c r="A857" s="9">
        <v>2.411000046E9</v>
      </c>
      <c r="B857" s="10" t="s">
        <v>21</v>
      </c>
      <c r="C857" s="9">
        <v>6.0</v>
      </c>
      <c r="D857" s="10" t="s">
        <v>109</v>
      </c>
      <c r="E857" s="9">
        <v>5.0</v>
      </c>
      <c r="F857" s="9">
        <v>123.0</v>
      </c>
      <c r="G857" s="9">
        <v>615.0</v>
      </c>
      <c r="H857" s="9">
        <v>0.0</v>
      </c>
      <c r="I857" s="9">
        <v>0.0</v>
      </c>
      <c r="J857" s="9">
        <v>123.0</v>
      </c>
      <c r="K857" s="9">
        <v>615.0</v>
      </c>
      <c r="L857" s="9">
        <v>3.08</v>
      </c>
      <c r="M857" s="9">
        <v>378.84</v>
      </c>
      <c r="N857" s="9">
        <v>236.16</v>
      </c>
      <c r="O857" s="12">
        <v>45992.0</v>
      </c>
      <c r="P857" s="16"/>
    </row>
    <row r="858">
      <c r="A858" s="9">
        <v>2.411000046E9</v>
      </c>
      <c r="B858" s="10" t="s">
        <v>21</v>
      </c>
      <c r="C858" s="9">
        <v>11.0</v>
      </c>
      <c r="D858" s="10" t="s">
        <v>86</v>
      </c>
      <c r="E858" s="9">
        <v>5.0</v>
      </c>
      <c r="F858" s="9">
        <v>86.0</v>
      </c>
      <c r="G858" s="9">
        <v>430.0</v>
      </c>
      <c r="H858" s="9">
        <v>0.0</v>
      </c>
      <c r="I858" s="9">
        <v>0.0</v>
      </c>
      <c r="J858" s="9">
        <v>86.0</v>
      </c>
      <c r="K858" s="9">
        <v>430.0</v>
      </c>
      <c r="L858" s="9">
        <v>3.5</v>
      </c>
      <c r="M858" s="9">
        <v>301.0</v>
      </c>
      <c r="N858" s="9">
        <v>129.0</v>
      </c>
      <c r="O858" s="12">
        <v>45992.0</v>
      </c>
      <c r="P858" s="16"/>
    </row>
    <row r="859">
      <c r="A859" s="9">
        <v>2.411000046E9</v>
      </c>
      <c r="B859" s="10" t="s">
        <v>21</v>
      </c>
      <c r="C859" s="9">
        <v>12.0</v>
      </c>
      <c r="D859" s="10" t="s">
        <v>136</v>
      </c>
      <c r="E859" s="9">
        <v>1.0</v>
      </c>
      <c r="F859" s="9">
        <v>150.0</v>
      </c>
      <c r="G859" s="9">
        <v>150.0</v>
      </c>
      <c r="H859" s="9">
        <v>0.0</v>
      </c>
      <c r="I859" s="9">
        <v>0.0</v>
      </c>
      <c r="J859" s="9">
        <v>150.0</v>
      </c>
      <c r="K859" s="9">
        <v>150.0</v>
      </c>
      <c r="L859" s="9">
        <v>0.6</v>
      </c>
      <c r="M859" s="9">
        <v>90.0</v>
      </c>
      <c r="N859" s="9">
        <v>60.0</v>
      </c>
      <c r="O859" s="12">
        <v>45992.0</v>
      </c>
      <c r="P859" s="16"/>
    </row>
    <row r="860">
      <c r="A860" s="9">
        <v>2.411000046E9</v>
      </c>
      <c r="B860" s="10" t="s">
        <v>21</v>
      </c>
      <c r="C860" s="9">
        <v>14.0</v>
      </c>
      <c r="D860" s="10" t="s">
        <v>138</v>
      </c>
      <c r="E860" s="9">
        <v>6.785714286</v>
      </c>
      <c r="F860" s="9">
        <v>70.0</v>
      </c>
      <c r="G860" s="9">
        <v>475.0</v>
      </c>
      <c r="H860" s="9">
        <v>0.0</v>
      </c>
      <c r="I860" s="9">
        <v>0.0</v>
      </c>
      <c r="J860" s="9">
        <v>70.0</v>
      </c>
      <c r="K860" s="9">
        <v>475.0</v>
      </c>
      <c r="L860" s="9">
        <v>5.8</v>
      </c>
      <c r="M860" s="9">
        <v>406.0</v>
      </c>
      <c r="N860" s="9">
        <v>69.0</v>
      </c>
      <c r="O860" s="12">
        <v>45992.0</v>
      </c>
      <c r="P860" s="16"/>
    </row>
    <row r="861">
      <c r="A861" s="9">
        <v>2.411000046E9</v>
      </c>
      <c r="B861" s="10" t="s">
        <v>21</v>
      </c>
      <c r="C861" s="9">
        <v>19.0</v>
      </c>
      <c r="D861" s="10" t="s">
        <v>72</v>
      </c>
      <c r="E861" s="9">
        <v>2.0</v>
      </c>
      <c r="F861" s="9">
        <v>199.0</v>
      </c>
      <c r="G861" s="9">
        <v>398.0</v>
      </c>
      <c r="H861" s="9">
        <v>0.0</v>
      </c>
      <c r="I861" s="9">
        <v>0.0</v>
      </c>
      <c r="J861" s="9">
        <v>199.0</v>
      </c>
      <c r="K861" s="9">
        <v>398.0</v>
      </c>
      <c r="L861" s="9">
        <v>1.33</v>
      </c>
      <c r="M861" s="9">
        <v>264.67</v>
      </c>
      <c r="N861" s="9">
        <v>133.33</v>
      </c>
      <c r="O861" s="12">
        <v>45992.0</v>
      </c>
      <c r="P861" s="16"/>
    </row>
    <row r="862">
      <c r="A862" s="9">
        <v>2.411000046E9</v>
      </c>
      <c r="B862" s="10" t="s">
        <v>21</v>
      </c>
      <c r="C862" s="9">
        <v>21.0</v>
      </c>
      <c r="D862" s="10" t="s">
        <v>79</v>
      </c>
      <c r="E862" s="9">
        <v>3.0</v>
      </c>
      <c r="F862" s="9">
        <v>79.0</v>
      </c>
      <c r="G862" s="9">
        <v>237.0</v>
      </c>
      <c r="H862" s="9">
        <v>0.0</v>
      </c>
      <c r="I862" s="9">
        <v>0.0</v>
      </c>
      <c r="J862" s="9">
        <v>79.0</v>
      </c>
      <c r="K862" s="9">
        <v>237.0</v>
      </c>
      <c r="L862" s="9">
        <v>2.2</v>
      </c>
      <c r="M862" s="9">
        <v>173.8</v>
      </c>
      <c r="N862" s="9">
        <v>63.2</v>
      </c>
      <c r="O862" s="12">
        <v>45992.0</v>
      </c>
      <c r="P862" s="16"/>
    </row>
    <row r="863">
      <c r="A863" s="9">
        <v>2.411000046E9</v>
      </c>
      <c r="B863" s="10" t="s">
        <v>21</v>
      </c>
      <c r="C863" s="9">
        <v>25.0</v>
      </c>
      <c r="D863" s="10" t="s">
        <v>144</v>
      </c>
      <c r="E863" s="9">
        <v>6.0</v>
      </c>
      <c r="F863" s="9">
        <v>11.0</v>
      </c>
      <c r="G863" s="9">
        <v>66.0</v>
      </c>
      <c r="H863" s="9">
        <v>0.0</v>
      </c>
      <c r="I863" s="9">
        <v>0.0</v>
      </c>
      <c r="J863" s="9">
        <v>11.0</v>
      </c>
      <c r="K863" s="9">
        <v>66.0</v>
      </c>
      <c r="L863" s="9">
        <v>3.5</v>
      </c>
      <c r="M863" s="9">
        <v>38.5</v>
      </c>
      <c r="N863" s="9">
        <v>27.5</v>
      </c>
      <c r="O863" s="12">
        <v>45992.0</v>
      </c>
      <c r="P863" s="16"/>
    </row>
    <row r="864">
      <c r="A864" s="9">
        <v>2.411000046E9</v>
      </c>
      <c r="B864" s="10" t="s">
        <v>21</v>
      </c>
      <c r="C864" s="9">
        <v>28.0</v>
      </c>
      <c r="D864" s="10" t="s">
        <v>146</v>
      </c>
      <c r="E864" s="9">
        <v>5.157894737</v>
      </c>
      <c r="F864" s="9">
        <v>38.0</v>
      </c>
      <c r="G864" s="9">
        <v>196.0</v>
      </c>
      <c r="H864" s="9">
        <v>0.0</v>
      </c>
      <c r="I864" s="9">
        <v>0.0</v>
      </c>
      <c r="J864" s="9">
        <v>38.0</v>
      </c>
      <c r="K864" s="9">
        <v>196.0</v>
      </c>
      <c r="L864" s="9">
        <v>4.5</v>
      </c>
      <c r="M864" s="9">
        <v>171.0</v>
      </c>
      <c r="N864" s="9">
        <v>25.0</v>
      </c>
      <c r="O864" s="12">
        <v>45992.0</v>
      </c>
      <c r="P864" s="16"/>
    </row>
    <row r="865">
      <c r="A865" s="9">
        <v>2.411000046E9</v>
      </c>
      <c r="B865" s="10" t="s">
        <v>21</v>
      </c>
      <c r="C865" s="9">
        <v>29.0</v>
      </c>
      <c r="D865" s="10" t="s">
        <v>147</v>
      </c>
      <c r="E865" s="9">
        <v>3.0</v>
      </c>
      <c r="F865" s="9">
        <v>64.0</v>
      </c>
      <c r="G865" s="9">
        <v>192.0</v>
      </c>
      <c r="H865" s="9">
        <v>0.0</v>
      </c>
      <c r="I865" s="9">
        <v>0.0</v>
      </c>
      <c r="J865" s="9">
        <v>64.0</v>
      </c>
      <c r="K865" s="9">
        <v>192.0</v>
      </c>
      <c r="L865" s="9">
        <v>2.25</v>
      </c>
      <c r="M865" s="9">
        <v>144.0</v>
      </c>
      <c r="N865" s="9">
        <v>48.0</v>
      </c>
      <c r="O865" s="12">
        <v>45992.0</v>
      </c>
      <c r="P865" s="16"/>
    </row>
    <row r="866">
      <c r="A866" s="9">
        <v>2.411000046E9</v>
      </c>
      <c r="B866" s="10" t="s">
        <v>21</v>
      </c>
      <c r="C866" s="9">
        <v>30.0</v>
      </c>
      <c r="D866" s="10" t="s">
        <v>148</v>
      </c>
      <c r="E866" s="9">
        <v>6.0</v>
      </c>
      <c r="F866" s="9">
        <v>1.0</v>
      </c>
      <c r="G866" s="9">
        <v>6.0</v>
      </c>
      <c r="H866" s="9">
        <v>0.0</v>
      </c>
      <c r="I866" s="9">
        <v>0.0</v>
      </c>
      <c r="J866" s="9">
        <v>1.0</v>
      </c>
      <c r="K866" s="9">
        <v>6.0</v>
      </c>
      <c r="L866" s="9">
        <v>3.6</v>
      </c>
      <c r="M866" s="9">
        <v>3.6</v>
      </c>
      <c r="N866" s="9">
        <v>2.4</v>
      </c>
      <c r="O866" s="12">
        <v>45992.0</v>
      </c>
      <c r="P866" s="16"/>
    </row>
    <row r="867">
      <c r="A867" s="9">
        <v>2.411000046E9</v>
      </c>
      <c r="B867" s="10" t="s">
        <v>21</v>
      </c>
      <c r="C867" s="9">
        <v>32.0</v>
      </c>
      <c r="D867" s="10" t="s">
        <v>150</v>
      </c>
      <c r="E867" s="9">
        <v>3.0</v>
      </c>
      <c r="F867" s="9">
        <v>17.0</v>
      </c>
      <c r="G867" s="9">
        <v>51.0</v>
      </c>
      <c r="H867" s="9">
        <v>0.0</v>
      </c>
      <c r="I867" s="9">
        <v>0.0</v>
      </c>
      <c r="J867" s="9">
        <v>17.0</v>
      </c>
      <c r="K867" s="9">
        <v>51.0</v>
      </c>
      <c r="L867" s="9">
        <v>2.0</v>
      </c>
      <c r="M867" s="9">
        <v>34.0</v>
      </c>
      <c r="N867" s="9">
        <v>17.0</v>
      </c>
      <c r="O867" s="12">
        <v>45992.0</v>
      </c>
      <c r="P867" s="16"/>
    </row>
    <row r="868">
      <c r="A868" s="9">
        <v>2.411000046E9</v>
      </c>
      <c r="B868" s="10" t="s">
        <v>21</v>
      </c>
      <c r="C868" s="9">
        <v>33.0</v>
      </c>
      <c r="D868" s="10" t="s">
        <v>151</v>
      </c>
      <c r="E868" s="9">
        <v>3.965517241</v>
      </c>
      <c r="F868" s="9">
        <v>29.0</v>
      </c>
      <c r="G868" s="9">
        <v>115.0</v>
      </c>
      <c r="H868" s="9">
        <v>0.0</v>
      </c>
      <c r="I868" s="9">
        <v>0.0</v>
      </c>
      <c r="J868" s="9">
        <v>29.0</v>
      </c>
      <c r="K868" s="9">
        <v>115.0</v>
      </c>
      <c r="L868" s="9">
        <v>1.33</v>
      </c>
      <c r="M868" s="9">
        <v>38.57</v>
      </c>
      <c r="N868" s="9">
        <v>76.43</v>
      </c>
      <c r="O868" s="12">
        <v>45992.0</v>
      </c>
      <c r="P868" s="16"/>
    </row>
    <row r="869">
      <c r="A869" s="9">
        <v>2.411000046E9</v>
      </c>
      <c r="B869" s="10" t="s">
        <v>21</v>
      </c>
      <c r="C869" s="9">
        <v>36.0</v>
      </c>
      <c r="D869" s="10" t="s">
        <v>153</v>
      </c>
      <c r="E869" s="9">
        <v>4.0</v>
      </c>
      <c r="F869" s="9">
        <v>11.0</v>
      </c>
      <c r="G869" s="9">
        <v>44.0</v>
      </c>
      <c r="H869" s="9">
        <v>0.0</v>
      </c>
      <c r="I869" s="9">
        <v>0.0</v>
      </c>
      <c r="J869" s="9">
        <v>11.0</v>
      </c>
      <c r="K869" s="9">
        <v>44.0</v>
      </c>
      <c r="L869" s="9">
        <v>2.0</v>
      </c>
      <c r="M869" s="9">
        <v>22.0</v>
      </c>
      <c r="N869" s="9">
        <v>22.0</v>
      </c>
      <c r="O869" s="12">
        <v>45992.0</v>
      </c>
      <c r="P869" s="16"/>
    </row>
    <row r="870">
      <c r="A870" s="9">
        <v>2.411000046E9</v>
      </c>
      <c r="B870" s="10" t="s">
        <v>21</v>
      </c>
      <c r="C870" s="9">
        <v>37.0</v>
      </c>
      <c r="D870" s="10" t="s">
        <v>154</v>
      </c>
      <c r="E870" s="9">
        <v>1.0</v>
      </c>
      <c r="F870" s="9">
        <v>103.0</v>
      </c>
      <c r="G870" s="9">
        <v>103.0</v>
      </c>
      <c r="H870" s="9">
        <v>0.0</v>
      </c>
      <c r="I870" s="9">
        <v>0.0</v>
      </c>
      <c r="J870" s="9">
        <v>103.0</v>
      </c>
      <c r="K870" s="9">
        <v>103.0</v>
      </c>
      <c r="L870" s="9">
        <v>0.63</v>
      </c>
      <c r="M870" s="9">
        <v>64.89</v>
      </c>
      <c r="N870" s="9">
        <v>38.11</v>
      </c>
      <c r="O870" s="12">
        <v>45992.0</v>
      </c>
      <c r="P870" s="16"/>
    </row>
    <row r="871">
      <c r="A871" s="9">
        <v>2.411000046E9</v>
      </c>
      <c r="B871" s="10" t="s">
        <v>21</v>
      </c>
      <c r="C871" s="9">
        <v>38.0</v>
      </c>
      <c r="D871" s="10" t="s">
        <v>155</v>
      </c>
      <c r="E871" s="9">
        <v>5.0</v>
      </c>
      <c r="F871" s="9">
        <v>3.0</v>
      </c>
      <c r="G871" s="9">
        <v>15.0</v>
      </c>
      <c r="H871" s="9">
        <v>0.0</v>
      </c>
      <c r="I871" s="9">
        <v>0.0</v>
      </c>
      <c r="J871" s="9">
        <v>3.0</v>
      </c>
      <c r="K871" s="9">
        <v>15.0</v>
      </c>
      <c r="L871" s="9">
        <v>5.18</v>
      </c>
      <c r="M871" s="9">
        <v>15.54</v>
      </c>
      <c r="N871" s="9">
        <v>-0.54</v>
      </c>
      <c r="O871" s="12">
        <v>45992.0</v>
      </c>
      <c r="P871" s="16"/>
    </row>
    <row r="872">
      <c r="A872" s="9">
        <v>2.411000046E9</v>
      </c>
      <c r="B872" s="10" t="s">
        <v>21</v>
      </c>
      <c r="C872" s="9">
        <v>41.0</v>
      </c>
      <c r="D872" s="10" t="s">
        <v>157</v>
      </c>
      <c r="E872" s="9">
        <v>5.0</v>
      </c>
      <c r="F872" s="9">
        <v>30.0</v>
      </c>
      <c r="G872" s="9">
        <v>150.0</v>
      </c>
      <c r="H872" s="9">
        <v>0.0</v>
      </c>
      <c r="I872" s="9">
        <v>0.0</v>
      </c>
      <c r="J872" s="9">
        <v>30.0</v>
      </c>
      <c r="K872" s="9">
        <v>150.0</v>
      </c>
      <c r="L872" s="9">
        <v>3.25</v>
      </c>
      <c r="M872" s="9">
        <v>97.5</v>
      </c>
      <c r="N872" s="9">
        <v>52.5</v>
      </c>
      <c r="O872" s="12">
        <v>45992.0</v>
      </c>
      <c r="P872" s="16"/>
    </row>
    <row r="873">
      <c r="A873" s="9">
        <v>2.411000046E9</v>
      </c>
      <c r="B873" s="10" t="s">
        <v>21</v>
      </c>
      <c r="C873" s="9">
        <v>43.0</v>
      </c>
      <c r="D873" s="10" t="s">
        <v>159</v>
      </c>
      <c r="E873" s="9">
        <v>5.0</v>
      </c>
      <c r="F873" s="9">
        <v>10.0</v>
      </c>
      <c r="G873" s="9">
        <v>50.0</v>
      </c>
      <c r="H873" s="9">
        <v>0.0</v>
      </c>
      <c r="I873" s="9">
        <v>0.0</v>
      </c>
      <c r="J873" s="9">
        <v>10.0</v>
      </c>
      <c r="K873" s="9">
        <v>50.0</v>
      </c>
      <c r="L873" s="9">
        <v>2.33</v>
      </c>
      <c r="M873" s="9">
        <v>23.3</v>
      </c>
      <c r="N873" s="9">
        <v>26.7</v>
      </c>
      <c r="O873" s="12">
        <v>45992.0</v>
      </c>
      <c r="P873" s="16"/>
    </row>
    <row r="874">
      <c r="A874" s="9">
        <v>2.411000046E9</v>
      </c>
      <c r="B874" s="10" t="s">
        <v>21</v>
      </c>
      <c r="C874" s="9">
        <v>44.0</v>
      </c>
      <c r="D874" s="10" t="s">
        <v>160</v>
      </c>
      <c r="E874" s="9">
        <v>4.466666667</v>
      </c>
      <c r="F874" s="9">
        <v>15.0</v>
      </c>
      <c r="G874" s="9">
        <v>67.0</v>
      </c>
      <c r="H874" s="9">
        <v>0.0</v>
      </c>
      <c r="I874" s="9">
        <v>0.0</v>
      </c>
      <c r="J874" s="9">
        <v>15.0</v>
      </c>
      <c r="K874" s="9">
        <v>67.0</v>
      </c>
      <c r="L874" s="9">
        <v>4.13</v>
      </c>
      <c r="M874" s="9">
        <v>61.95</v>
      </c>
      <c r="N874" s="9">
        <v>5.05</v>
      </c>
      <c r="O874" s="12">
        <v>45992.0</v>
      </c>
      <c r="P874" s="16"/>
    </row>
    <row r="875">
      <c r="A875" s="9">
        <v>2.411000046E9</v>
      </c>
      <c r="B875" s="10" t="s">
        <v>21</v>
      </c>
      <c r="C875" s="9">
        <v>47.0</v>
      </c>
      <c r="D875" s="10" t="s">
        <v>162</v>
      </c>
      <c r="E875" s="9">
        <v>5.0</v>
      </c>
      <c r="F875" s="9">
        <v>6.0</v>
      </c>
      <c r="G875" s="9">
        <v>30.0</v>
      </c>
      <c r="H875" s="9">
        <v>0.0</v>
      </c>
      <c r="I875" s="9">
        <v>0.0</v>
      </c>
      <c r="J875" s="9">
        <v>6.0</v>
      </c>
      <c r="K875" s="9">
        <v>30.0</v>
      </c>
      <c r="L875" s="9">
        <v>2.05</v>
      </c>
      <c r="M875" s="9">
        <v>12.3</v>
      </c>
      <c r="N875" s="9">
        <v>17.7</v>
      </c>
      <c r="O875" s="12">
        <v>45992.0</v>
      </c>
      <c r="P875" s="16"/>
    </row>
    <row r="876">
      <c r="A876" s="9">
        <v>2.411000046E9</v>
      </c>
      <c r="B876" s="10" t="s">
        <v>21</v>
      </c>
      <c r="C876" s="9">
        <v>48.0</v>
      </c>
      <c r="D876" s="10" t="s">
        <v>163</v>
      </c>
      <c r="E876" s="9">
        <v>3.5</v>
      </c>
      <c r="F876" s="9">
        <v>40.0</v>
      </c>
      <c r="G876" s="9">
        <v>140.0</v>
      </c>
      <c r="H876" s="9">
        <v>0.0</v>
      </c>
      <c r="I876" s="9">
        <v>0.0</v>
      </c>
      <c r="J876" s="9">
        <v>40.0</v>
      </c>
      <c r="K876" s="9">
        <v>140.0</v>
      </c>
      <c r="L876" s="9">
        <v>3.0</v>
      </c>
      <c r="M876" s="9">
        <v>120.0</v>
      </c>
      <c r="N876" s="9">
        <v>20.0</v>
      </c>
      <c r="O876" s="12">
        <v>45992.0</v>
      </c>
      <c r="P876" s="16"/>
    </row>
    <row r="877">
      <c r="A877" s="9">
        <v>2.411000046E9</v>
      </c>
      <c r="B877" s="10" t="s">
        <v>21</v>
      </c>
      <c r="C877" s="9">
        <v>54.0</v>
      </c>
      <c r="D877" s="10" t="s">
        <v>168</v>
      </c>
      <c r="E877" s="9">
        <v>3.0</v>
      </c>
      <c r="F877" s="9">
        <v>26.0</v>
      </c>
      <c r="G877" s="9">
        <v>78.0</v>
      </c>
      <c r="H877" s="9">
        <v>0.0</v>
      </c>
      <c r="I877" s="9">
        <v>0.0</v>
      </c>
      <c r="J877" s="9">
        <v>26.0</v>
      </c>
      <c r="K877" s="9">
        <v>78.0</v>
      </c>
      <c r="L877" s="9">
        <v>2.25</v>
      </c>
      <c r="M877" s="9">
        <v>58.5</v>
      </c>
      <c r="N877" s="9">
        <v>19.5</v>
      </c>
      <c r="O877" s="12">
        <v>45992.0</v>
      </c>
      <c r="P877" s="16"/>
    </row>
    <row r="878">
      <c r="A878" s="9">
        <v>2.411000046E9</v>
      </c>
      <c r="B878" s="10" t="s">
        <v>21</v>
      </c>
      <c r="C878" s="9">
        <v>64.0</v>
      </c>
      <c r="D878" s="10" t="s">
        <v>173</v>
      </c>
      <c r="E878" s="9">
        <v>3.0</v>
      </c>
      <c r="F878" s="9">
        <v>60.0</v>
      </c>
      <c r="G878" s="9">
        <v>180.0</v>
      </c>
      <c r="H878" s="9">
        <v>0.0</v>
      </c>
      <c r="I878" s="9">
        <v>0.0</v>
      </c>
      <c r="J878" s="9">
        <v>60.0</v>
      </c>
      <c r="K878" s="9">
        <v>180.0</v>
      </c>
      <c r="L878" s="9">
        <v>2.08</v>
      </c>
      <c r="M878" s="9">
        <v>124.8</v>
      </c>
      <c r="N878" s="9">
        <v>55.2</v>
      </c>
      <c r="O878" s="12">
        <v>45992.0</v>
      </c>
      <c r="P878" s="16"/>
    </row>
    <row r="879">
      <c r="A879" s="9">
        <v>2.411000046E9</v>
      </c>
      <c r="B879" s="10" t="s">
        <v>21</v>
      </c>
      <c r="C879" s="9">
        <v>70.0</v>
      </c>
      <c r="D879" s="10" t="s">
        <v>175</v>
      </c>
      <c r="E879" s="9">
        <v>5.0</v>
      </c>
      <c r="F879" s="9">
        <v>20.0</v>
      </c>
      <c r="G879" s="9">
        <v>100.0</v>
      </c>
      <c r="H879" s="9">
        <v>0.0</v>
      </c>
      <c r="I879" s="9">
        <v>0.0</v>
      </c>
      <c r="J879" s="9">
        <v>20.0</v>
      </c>
      <c r="K879" s="9">
        <v>100.0</v>
      </c>
      <c r="L879" s="9">
        <v>2.83</v>
      </c>
      <c r="M879" s="9">
        <v>56.6</v>
      </c>
      <c r="N879" s="9">
        <v>43.4</v>
      </c>
      <c r="O879" s="12">
        <v>45992.0</v>
      </c>
      <c r="P879" s="16"/>
    </row>
    <row r="880">
      <c r="A880" s="9">
        <v>2.411000046E9</v>
      </c>
      <c r="B880" s="10" t="s">
        <v>21</v>
      </c>
      <c r="C880" s="9">
        <v>71.0</v>
      </c>
      <c r="D880" s="10" t="s">
        <v>176</v>
      </c>
      <c r="E880" s="9">
        <v>5.0</v>
      </c>
      <c r="F880" s="9">
        <v>14.0</v>
      </c>
      <c r="G880" s="9">
        <v>70.0</v>
      </c>
      <c r="H880" s="9">
        <v>0.0</v>
      </c>
      <c r="I880" s="9">
        <v>0.0</v>
      </c>
      <c r="J880" s="9">
        <v>14.0</v>
      </c>
      <c r="K880" s="9">
        <v>70.0</v>
      </c>
      <c r="L880" s="9">
        <v>1.6</v>
      </c>
      <c r="M880" s="9">
        <v>22.4</v>
      </c>
      <c r="N880" s="9">
        <v>47.6</v>
      </c>
      <c r="O880" s="12">
        <v>45992.0</v>
      </c>
      <c r="P880" s="16"/>
    </row>
    <row r="881">
      <c r="A881" s="9">
        <v>2.411000046E9</v>
      </c>
      <c r="B881" s="10" t="s">
        <v>21</v>
      </c>
      <c r="C881" s="9">
        <v>73.0</v>
      </c>
      <c r="D881" s="10" t="s">
        <v>177</v>
      </c>
      <c r="E881" s="9">
        <v>3.0</v>
      </c>
      <c r="F881" s="9">
        <v>20.0</v>
      </c>
      <c r="G881" s="9">
        <v>60.0</v>
      </c>
      <c r="H881" s="9">
        <v>0.0</v>
      </c>
      <c r="I881" s="9">
        <v>0.0</v>
      </c>
      <c r="J881" s="9">
        <v>20.0</v>
      </c>
      <c r="K881" s="9">
        <v>60.0</v>
      </c>
      <c r="L881" s="9">
        <v>2.17</v>
      </c>
      <c r="M881" s="9">
        <v>43.4</v>
      </c>
      <c r="N881" s="9">
        <v>16.6</v>
      </c>
      <c r="O881" s="12">
        <v>45992.0</v>
      </c>
      <c r="P881" s="16"/>
    </row>
    <row r="882">
      <c r="A882" s="9">
        <v>2.411000046E9</v>
      </c>
      <c r="B882" s="10" t="s">
        <v>21</v>
      </c>
      <c r="C882" s="9">
        <v>76.0</v>
      </c>
      <c r="D882" s="10" t="s">
        <v>179</v>
      </c>
      <c r="E882" s="9">
        <v>10.0</v>
      </c>
      <c r="F882" s="9">
        <v>9.0</v>
      </c>
      <c r="G882" s="9">
        <v>90.0</v>
      </c>
      <c r="H882" s="9">
        <v>0.0</v>
      </c>
      <c r="I882" s="9">
        <v>0.0</v>
      </c>
      <c r="J882" s="9">
        <v>9.0</v>
      </c>
      <c r="K882" s="9">
        <v>90.0</v>
      </c>
      <c r="L882" s="9">
        <v>8.5</v>
      </c>
      <c r="M882" s="9">
        <v>76.5</v>
      </c>
      <c r="N882" s="9">
        <v>13.5</v>
      </c>
      <c r="O882" s="12">
        <v>45992.0</v>
      </c>
      <c r="P882" s="16"/>
    </row>
    <row r="883">
      <c r="A883" s="9">
        <v>2.411000046E9</v>
      </c>
      <c r="B883" s="10" t="s">
        <v>21</v>
      </c>
      <c r="C883" s="9">
        <v>83.0</v>
      </c>
      <c r="D883" s="10" t="s">
        <v>180</v>
      </c>
      <c r="E883" s="9">
        <v>6.307692308</v>
      </c>
      <c r="F883" s="9">
        <v>13.0</v>
      </c>
      <c r="G883" s="9">
        <v>82.0</v>
      </c>
      <c r="H883" s="9">
        <v>0.0</v>
      </c>
      <c r="I883" s="9">
        <v>0.0</v>
      </c>
      <c r="J883" s="9">
        <v>13.0</v>
      </c>
      <c r="K883" s="9">
        <v>82.0</v>
      </c>
      <c r="L883" s="9">
        <v>6.0</v>
      </c>
      <c r="M883" s="9">
        <v>78.0</v>
      </c>
      <c r="N883" s="9">
        <v>4.0</v>
      </c>
      <c r="O883" s="12">
        <v>45992.0</v>
      </c>
      <c r="P883" s="16"/>
    </row>
    <row r="884">
      <c r="A884" s="9">
        <v>2.411000046E9</v>
      </c>
      <c r="B884" s="10" t="s">
        <v>21</v>
      </c>
      <c r="C884" s="9">
        <v>84.0</v>
      </c>
      <c r="D884" s="10" t="s">
        <v>181</v>
      </c>
      <c r="E884" s="9">
        <v>4.0</v>
      </c>
      <c r="F884" s="9">
        <v>27.0</v>
      </c>
      <c r="G884" s="9">
        <v>108.0</v>
      </c>
      <c r="H884" s="9">
        <v>0.0</v>
      </c>
      <c r="I884" s="9">
        <v>0.0</v>
      </c>
      <c r="J884" s="9">
        <v>27.0</v>
      </c>
      <c r="K884" s="9">
        <v>108.0</v>
      </c>
      <c r="L884" s="9">
        <v>2.6</v>
      </c>
      <c r="M884" s="9">
        <v>70.2</v>
      </c>
      <c r="N884" s="9">
        <v>37.8</v>
      </c>
      <c r="O884" s="12">
        <v>45992.0</v>
      </c>
      <c r="P884" s="16"/>
    </row>
    <row r="885">
      <c r="A885" s="9">
        <v>2.503000216E9</v>
      </c>
      <c r="B885" s="18" t="s">
        <v>23</v>
      </c>
      <c r="C885" s="9">
        <v>1.0</v>
      </c>
      <c r="D885" s="10" t="s">
        <v>129</v>
      </c>
      <c r="E885" s="9">
        <v>5.009950249</v>
      </c>
      <c r="F885" s="9">
        <v>201.0</v>
      </c>
      <c r="G885" s="9">
        <v>1007.0</v>
      </c>
      <c r="H885" s="9">
        <v>0.0</v>
      </c>
      <c r="I885" s="9">
        <v>0.0</v>
      </c>
      <c r="J885" s="9">
        <v>201.0</v>
      </c>
      <c r="K885" s="9">
        <v>1007.0</v>
      </c>
      <c r="L885" s="9">
        <v>2.8</v>
      </c>
      <c r="M885" s="9">
        <v>562.8</v>
      </c>
      <c r="N885" s="9">
        <v>444.2</v>
      </c>
      <c r="O885" s="12">
        <v>45992.0</v>
      </c>
      <c r="P885" s="16"/>
    </row>
    <row r="886">
      <c r="A886" s="9">
        <v>2.503000216E9</v>
      </c>
      <c r="B886" s="18" t="s">
        <v>23</v>
      </c>
      <c r="C886" s="9">
        <v>2.0</v>
      </c>
      <c r="D886" s="10" t="s">
        <v>74</v>
      </c>
      <c r="E886" s="9">
        <v>1.0</v>
      </c>
      <c r="F886" s="9">
        <v>849.0</v>
      </c>
      <c r="G886" s="9">
        <v>849.0</v>
      </c>
      <c r="H886" s="9">
        <v>0.0</v>
      </c>
      <c r="I886" s="9">
        <v>0.0</v>
      </c>
      <c r="J886" s="9">
        <v>849.0</v>
      </c>
      <c r="K886" s="9">
        <v>849.0</v>
      </c>
      <c r="L886" s="9">
        <v>0.3</v>
      </c>
      <c r="M886" s="9">
        <v>254.7</v>
      </c>
      <c r="N886" s="9">
        <v>594.3</v>
      </c>
      <c r="O886" s="12">
        <v>45992.0</v>
      </c>
      <c r="P886" s="16"/>
    </row>
    <row r="887">
      <c r="A887" s="9">
        <v>2.503000216E9</v>
      </c>
      <c r="B887" s="18" t="s">
        <v>23</v>
      </c>
      <c r="C887" s="9">
        <v>3.0</v>
      </c>
      <c r="D887" s="10" t="s">
        <v>125</v>
      </c>
      <c r="E887" s="9">
        <v>7.0</v>
      </c>
      <c r="F887" s="9">
        <v>16.0</v>
      </c>
      <c r="G887" s="9">
        <v>112.0</v>
      </c>
      <c r="H887" s="9">
        <v>0.0</v>
      </c>
      <c r="I887" s="9">
        <v>0.0</v>
      </c>
      <c r="J887" s="9">
        <v>16.0</v>
      </c>
      <c r="K887" s="9">
        <v>112.0</v>
      </c>
      <c r="L887" s="9">
        <v>6.2</v>
      </c>
      <c r="M887" s="9">
        <v>99.2</v>
      </c>
      <c r="N887" s="9">
        <v>12.8</v>
      </c>
      <c r="O887" s="12">
        <v>45992.0</v>
      </c>
      <c r="P887" s="16"/>
    </row>
    <row r="888">
      <c r="A888" s="9">
        <v>2.503000216E9</v>
      </c>
      <c r="B888" s="18" t="s">
        <v>23</v>
      </c>
      <c r="C888" s="9">
        <v>5.0</v>
      </c>
      <c r="D888" s="10" t="s">
        <v>131</v>
      </c>
      <c r="E888" s="9">
        <v>3.111111111</v>
      </c>
      <c r="F888" s="9">
        <v>18.0</v>
      </c>
      <c r="G888" s="9">
        <v>56.0</v>
      </c>
      <c r="H888" s="9">
        <v>0.0</v>
      </c>
      <c r="I888" s="9">
        <v>0.0</v>
      </c>
      <c r="J888" s="9">
        <v>18.0</v>
      </c>
      <c r="K888" s="9">
        <v>56.0</v>
      </c>
      <c r="L888" s="9">
        <v>2.0</v>
      </c>
      <c r="M888" s="9">
        <v>36.0</v>
      </c>
      <c r="N888" s="9">
        <v>20.0</v>
      </c>
      <c r="O888" s="12">
        <v>45992.0</v>
      </c>
      <c r="P888" s="16"/>
    </row>
    <row r="889">
      <c r="A889" s="9">
        <v>2.503000216E9</v>
      </c>
      <c r="B889" s="18" t="s">
        <v>23</v>
      </c>
      <c r="C889" s="9">
        <v>6.0</v>
      </c>
      <c r="D889" s="10" t="s">
        <v>109</v>
      </c>
      <c r="E889" s="9">
        <v>5.0</v>
      </c>
      <c r="F889" s="9">
        <v>259.0</v>
      </c>
      <c r="G889" s="9">
        <v>1295.0</v>
      </c>
      <c r="H889" s="9">
        <v>0.0</v>
      </c>
      <c r="I889" s="9">
        <v>0.0</v>
      </c>
      <c r="J889" s="9">
        <v>259.0</v>
      </c>
      <c r="K889" s="9">
        <v>1295.0</v>
      </c>
      <c r="L889" s="9">
        <v>3.08</v>
      </c>
      <c r="M889" s="9">
        <v>797.72</v>
      </c>
      <c r="N889" s="9">
        <v>497.28</v>
      </c>
      <c r="O889" s="12">
        <v>45992.0</v>
      </c>
      <c r="P889" s="16"/>
    </row>
    <row r="890">
      <c r="A890" s="9">
        <v>2.503000216E9</v>
      </c>
      <c r="B890" s="18" t="s">
        <v>23</v>
      </c>
      <c r="C890" s="9">
        <v>10.0</v>
      </c>
      <c r="D890" s="10" t="s">
        <v>135</v>
      </c>
      <c r="E890" s="9">
        <v>8.0</v>
      </c>
      <c r="F890" s="9">
        <v>18.0</v>
      </c>
      <c r="G890" s="9">
        <v>144.0</v>
      </c>
      <c r="H890" s="9">
        <v>0.0</v>
      </c>
      <c r="I890" s="9">
        <v>0.0</v>
      </c>
      <c r="J890" s="9">
        <v>18.0</v>
      </c>
      <c r="K890" s="9">
        <v>144.0</v>
      </c>
      <c r="L890" s="9">
        <v>5.83</v>
      </c>
      <c r="M890" s="9">
        <v>104.94</v>
      </c>
      <c r="N890" s="9">
        <v>39.06</v>
      </c>
      <c r="O890" s="12">
        <v>45992.0</v>
      </c>
      <c r="P890" s="16"/>
    </row>
    <row r="891">
      <c r="A891" s="9">
        <v>2.503000216E9</v>
      </c>
      <c r="B891" s="18" t="s">
        <v>23</v>
      </c>
      <c r="C891" s="9">
        <v>11.0</v>
      </c>
      <c r="D891" s="10" t="s">
        <v>86</v>
      </c>
      <c r="E891" s="9">
        <v>5.0</v>
      </c>
      <c r="F891" s="9">
        <v>87.0</v>
      </c>
      <c r="G891" s="9">
        <v>435.0</v>
      </c>
      <c r="H891" s="9">
        <v>0.0</v>
      </c>
      <c r="I891" s="9">
        <v>0.0</v>
      </c>
      <c r="J891" s="9">
        <v>87.0</v>
      </c>
      <c r="K891" s="9">
        <v>435.0</v>
      </c>
      <c r="L891" s="9">
        <v>3.5</v>
      </c>
      <c r="M891" s="9">
        <v>304.5</v>
      </c>
      <c r="N891" s="9">
        <v>130.5</v>
      </c>
      <c r="O891" s="12">
        <v>45992.0</v>
      </c>
      <c r="P891" s="16"/>
    </row>
    <row r="892">
      <c r="A892" s="9">
        <v>2.503000216E9</v>
      </c>
      <c r="B892" s="18" t="s">
        <v>23</v>
      </c>
      <c r="C892" s="9">
        <v>12.0</v>
      </c>
      <c r="D892" s="10" t="s">
        <v>136</v>
      </c>
      <c r="E892" s="9">
        <v>1.0</v>
      </c>
      <c r="F892" s="9">
        <v>512.0</v>
      </c>
      <c r="G892" s="9">
        <v>512.0</v>
      </c>
      <c r="H892" s="9">
        <v>0.0</v>
      </c>
      <c r="I892" s="9">
        <v>0.0</v>
      </c>
      <c r="J892" s="9">
        <v>512.0</v>
      </c>
      <c r="K892" s="9">
        <v>512.0</v>
      </c>
      <c r="L892" s="9">
        <v>0.6</v>
      </c>
      <c r="M892" s="9">
        <v>307.2</v>
      </c>
      <c r="N892" s="9">
        <v>204.8</v>
      </c>
      <c r="O892" s="12">
        <v>45992.0</v>
      </c>
      <c r="P892" s="16"/>
    </row>
    <row r="893">
      <c r="A893" s="9">
        <v>2.503000216E9</v>
      </c>
      <c r="B893" s="18" t="s">
        <v>23</v>
      </c>
      <c r="C893" s="9">
        <v>14.0</v>
      </c>
      <c r="D893" s="10" t="s">
        <v>138</v>
      </c>
      <c r="E893" s="9">
        <v>6.861111111</v>
      </c>
      <c r="F893" s="9">
        <v>36.0</v>
      </c>
      <c r="G893" s="9">
        <v>247.0</v>
      </c>
      <c r="H893" s="9">
        <v>0.0</v>
      </c>
      <c r="I893" s="9">
        <v>0.0</v>
      </c>
      <c r="J893" s="9">
        <v>36.0</v>
      </c>
      <c r="K893" s="9">
        <v>247.0</v>
      </c>
      <c r="L893" s="9">
        <v>5.8</v>
      </c>
      <c r="M893" s="9">
        <v>208.8</v>
      </c>
      <c r="N893" s="9">
        <v>38.2</v>
      </c>
      <c r="O893" s="12">
        <v>45992.0</v>
      </c>
      <c r="P893" s="16"/>
    </row>
    <row r="894">
      <c r="A894" s="9">
        <v>2.503000216E9</v>
      </c>
      <c r="B894" s="18" t="s">
        <v>23</v>
      </c>
      <c r="C894" s="9">
        <v>19.0</v>
      </c>
      <c r="D894" s="10" t="s">
        <v>72</v>
      </c>
      <c r="E894" s="9">
        <v>2.0</v>
      </c>
      <c r="F894" s="9">
        <v>193.0</v>
      </c>
      <c r="G894" s="9">
        <v>386.0</v>
      </c>
      <c r="H894" s="9">
        <v>0.0</v>
      </c>
      <c r="I894" s="9">
        <v>0.0</v>
      </c>
      <c r="J894" s="9">
        <v>193.0</v>
      </c>
      <c r="K894" s="9">
        <v>386.0</v>
      </c>
      <c r="L894" s="9">
        <v>1.33</v>
      </c>
      <c r="M894" s="9">
        <v>256.69</v>
      </c>
      <c r="N894" s="9">
        <v>129.31</v>
      </c>
      <c r="O894" s="12">
        <v>45992.0</v>
      </c>
      <c r="P894" s="16"/>
    </row>
    <row r="895">
      <c r="A895" s="9">
        <v>2.503000216E9</v>
      </c>
      <c r="B895" s="18" t="s">
        <v>23</v>
      </c>
      <c r="C895" s="9">
        <v>21.0</v>
      </c>
      <c r="D895" s="10" t="s">
        <v>79</v>
      </c>
      <c r="E895" s="9">
        <v>3.0</v>
      </c>
      <c r="F895" s="9">
        <v>91.0</v>
      </c>
      <c r="G895" s="9">
        <v>273.0</v>
      </c>
      <c r="H895" s="9">
        <v>0.0</v>
      </c>
      <c r="I895" s="9">
        <v>0.0</v>
      </c>
      <c r="J895" s="9">
        <v>91.0</v>
      </c>
      <c r="K895" s="9">
        <v>273.0</v>
      </c>
      <c r="L895" s="9">
        <v>2.2</v>
      </c>
      <c r="M895" s="9">
        <v>200.2</v>
      </c>
      <c r="N895" s="9">
        <v>72.8</v>
      </c>
      <c r="O895" s="12">
        <v>45992.0</v>
      </c>
      <c r="P895" s="16"/>
    </row>
    <row r="896">
      <c r="A896" s="9">
        <v>2.503000216E9</v>
      </c>
      <c r="B896" s="18" t="s">
        <v>23</v>
      </c>
      <c r="C896" s="9">
        <v>25.0</v>
      </c>
      <c r="D896" s="10" t="s">
        <v>144</v>
      </c>
      <c r="E896" s="9">
        <v>6.0</v>
      </c>
      <c r="F896" s="9">
        <v>2.0</v>
      </c>
      <c r="G896" s="9">
        <v>12.0</v>
      </c>
      <c r="H896" s="9">
        <v>0.0</v>
      </c>
      <c r="I896" s="9">
        <v>0.0</v>
      </c>
      <c r="J896" s="9">
        <v>2.0</v>
      </c>
      <c r="K896" s="9">
        <v>12.0</v>
      </c>
      <c r="L896" s="9">
        <v>3.5</v>
      </c>
      <c r="M896" s="9">
        <v>7.0</v>
      </c>
      <c r="N896" s="9">
        <v>5.0</v>
      </c>
      <c r="O896" s="12">
        <v>45992.0</v>
      </c>
      <c r="P896" s="16"/>
    </row>
    <row r="897">
      <c r="A897" s="9">
        <v>2.503000216E9</v>
      </c>
      <c r="B897" s="18" t="s">
        <v>23</v>
      </c>
      <c r="C897" s="9">
        <v>26.0</v>
      </c>
      <c r="D897" s="10" t="s">
        <v>145</v>
      </c>
      <c r="E897" s="9">
        <v>5.0</v>
      </c>
      <c r="F897" s="9">
        <v>24.0</v>
      </c>
      <c r="G897" s="9">
        <v>120.0</v>
      </c>
      <c r="H897" s="9">
        <v>0.0</v>
      </c>
      <c r="I897" s="9">
        <v>0.0</v>
      </c>
      <c r="J897" s="9">
        <v>24.0</v>
      </c>
      <c r="K897" s="9">
        <v>120.0</v>
      </c>
      <c r="L897" s="9">
        <v>3.75</v>
      </c>
      <c r="M897" s="9">
        <v>90.0</v>
      </c>
      <c r="N897" s="9">
        <v>30.0</v>
      </c>
      <c r="O897" s="12">
        <v>45992.0</v>
      </c>
      <c r="P897" s="16"/>
    </row>
    <row r="898">
      <c r="A898" s="9">
        <v>2.503000216E9</v>
      </c>
      <c r="B898" s="18" t="s">
        <v>23</v>
      </c>
      <c r="C898" s="9">
        <v>28.0</v>
      </c>
      <c r="D898" s="10" t="s">
        <v>146</v>
      </c>
      <c r="E898" s="9">
        <v>5.2</v>
      </c>
      <c r="F898" s="9">
        <v>25.0</v>
      </c>
      <c r="G898" s="9">
        <v>130.0</v>
      </c>
      <c r="H898" s="9">
        <v>0.0</v>
      </c>
      <c r="I898" s="9">
        <v>0.0</v>
      </c>
      <c r="J898" s="9">
        <v>25.0</v>
      </c>
      <c r="K898" s="9">
        <v>130.0</v>
      </c>
      <c r="L898" s="9">
        <v>4.5</v>
      </c>
      <c r="M898" s="9">
        <v>112.5</v>
      </c>
      <c r="N898" s="9">
        <v>17.5</v>
      </c>
      <c r="O898" s="12">
        <v>45992.0</v>
      </c>
      <c r="P898" s="16"/>
    </row>
    <row r="899">
      <c r="A899" s="9">
        <v>2.503000216E9</v>
      </c>
      <c r="B899" s="18" t="s">
        <v>23</v>
      </c>
      <c r="C899" s="9">
        <v>29.0</v>
      </c>
      <c r="D899" s="10" t="s">
        <v>147</v>
      </c>
      <c r="E899" s="9">
        <v>3.0</v>
      </c>
      <c r="F899" s="9">
        <v>100.0</v>
      </c>
      <c r="G899" s="9">
        <v>300.0</v>
      </c>
      <c r="H899" s="9">
        <v>0.0</v>
      </c>
      <c r="I899" s="9">
        <v>0.0</v>
      </c>
      <c r="J899" s="9">
        <v>100.0</v>
      </c>
      <c r="K899" s="9">
        <v>300.0</v>
      </c>
      <c r="L899" s="9">
        <v>2.25</v>
      </c>
      <c r="M899" s="9">
        <v>225.0</v>
      </c>
      <c r="N899" s="9">
        <v>75.0</v>
      </c>
      <c r="O899" s="12">
        <v>45992.0</v>
      </c>
      <c r="P899" s="16"/>
    </row>
    <row r="900">
      <c r="A900" s="9">
        <v>2.503000216E9</v>
      </c>
      <c r="B900" s="18" t="s">
        <v>23</v>
      </c>
      <c r="C900" s="9">
        <v>32.0</v>
      </c>
      <c r="D900" s="10" t="s">
        <v>150</v>
      </c>
      <c r="E900" s="9">
        <v>3.0</v>
      </c>
      <c r="F900" s="9">
        <v>50.0</v>
      </c>
      <c r="G900" s="9">
        <v>150.0</v>
      </c>
      <c r="H900" s="9">
        <v>0.0</v>
      </c>
      <c r="I900" s="9">
        <v>0.0</v>
      </c>
      <c r="J900" s="9">
        <v>50.0</v>
      </c>
      <c r="K900" s="9">
        <v>150.0</v>
      </c>
      <c r="L900" s="9">
        <v>2.0</v>
      </c>
      <c r="M900" s="9">
        <v>100.0</v>
      </c>
      <c r="N900" s="9">
        <v>50.0</v>
      </c>
      <c r="O900" s="12">
        <v>45992.0</v>
      </c>
      <c r="P900" s="16"/>
    </row>
    <row r="901">
      <c r="A901" s="9">
        <v>2.503000216E9</v>
      </c>
      <c r="B901" s="18" t="s">
        <v>23</v>
      </c>
      <c r="C901" s="9">
        <v>42.0</v>
      </c>
      <c r="D901" s="10" t="s">
        <v>70</v>
      </c>
      <c r="E901" s="9">
        <v>4.0</v>
      </c>
      <c r="F901" s="9">
        <v>6.0</v>
      </c>
      <c r="G901" s="9">
        <v>24.0</v>
      </c>
      <c r="H901" s="9">
        <v>0.0</v>
      </c>
      <c r="I901" s="9">
        <v>0.0</v>
      </c>
      <c r="J901" s="9">
        <v>6.0</v>
      </c>
      <c r="K901" s="9">
        <v>24.0</v>
      </c>
      <c r="L901" s="9">
        <v>2.96</v>
      </c>
      <c r="M901" s="9">
        <v>17.76</v>
      </c>
      <c r="N901" s="9">
        <v>6.24</v>
      </c>
      <c r="O901" s="12">
        <v>45992.0</v>
      </c>
      <c r="P901" s="16"/>
    </row>
    <row r="902">
      <c r="A902" s="9">
        <v>2.503000216E9</v>
      </c>
      <c r="B902" s="18" t="s">
        <v>23</v>
      </c>
      <c r="C902" s="9">
        <v>47.0</v>
      </c>
      <c r="D902" s="10" t="s">
        <v>162</v>
      </c>
      <c r="E902" s="9">
        <v>5.0</v>
      </c>
      <c r="F902" s="9">
        <v>34.0</v>
      </c>
      <c r="G902" s="9">
        <v>170.0</v>
      </c>
      <c r="H902" s="9">
        <v>0.0</v>
      </c>
      <c r="I902" s="9">
        <v>0.0</v>
      </c>
      <c r="J902" s="9">
        <v>34.0</v>
      </c>
      <c r="K902" s="9">
        <v>170.0</v>
      </c>
      <c r="L902" s="9">
        <v>2.05</v>
      </c>
      <c r="M902" s="9">
        <v>69.7</v>
      </c>
      <c r="N902" s="9">
        <v>100.3</v>
      </c>
      <c r="O902" s="12">
        <v>45992.0</v>
      </c>
      <c r="P902" s="16"/>
    </row>
    <row r="903">
      <c r="A903" s="9">
        <v>2.503000216E9</v>
      </c>
      <c r="B903" s="18" t="s">
        <v>23</v>
      </c>
      <c r="C903" s="9">
        <v>48.0</v>
      </c>
      <c r="D903" s="10" t="s">
        <v>163</v>
      </c>
      <c r="E903" s="9">
        <v>4.066666667</v>
      </c>
      <c r="F903" s="9">
        <v>30.0</v>
      </c>
      <c r="G903" s="9">
        <v>122.0</v>
      </c>
      <c r="H903" s="9">
        <v>0.0</v>
      </c>
      <c r="I903" s="9">
        <v>0.0</v>
      </c>
      <c r="J903" s="9">
        <v>30.0</v>
      </c>
      <c r="K903" s="9">
        <v>122.0</v>
      </c>
      <c r="L903" s="9">
        <v>3.0</v>
      </c>
      <c r="M903" s="9">
        <v>90.0</v>
      </c>
      <c r="N903" s="9">
        <v>32.0</v>
      </c>
      <c r="O903" s="12">
        <v>45992.0</v>
      </c>
      <c r="P903" s="16"/>
    </row>
    <row r="904">
      <c r="A904" s="9">
        <v>2.503000216E9</v>
      </c>
      <c r="B904" s="18" t="s">
        <v>23</v>
      </c>
      <c r="C904" s="9">
        <v>49.0</v>
      </c>
      <c r="D904" s="10" t="s">
        <v>165</v>
      </c>
      <c r="E904" s="9">
        <v>3.0</v>
      </c>
      <c r="F904" s="9">
        <v>90.0</v>
      </c>
      <c r="G904" s="9">
        <v>270.0</v>
      </c>
      <c r="H904" s="9">
        <v>0.0</v>
      </c>
      <c r="I904" s="9">
        <v>0.0</v>
      </c>
      <c r="J904" s="9">
        <v>90.0</v>
      </c>
      <c r="K904" s="9">
        <v>270.0</v>
      </c>
      <c r="L904" s="9">
        <v>1.75</v>
      </c>
      <c r="M904" s="9">
        <v>157.5</v>
      </c>
      <c r="N904" s="9">
        <v>112.5</v>
      </c>
      <c r="O904" s="12">
        <v>45992.0</v>
      </c>
      <c r="P904" s="16"/>
    </row>
    <row r="905">
      <c r="A905" s="9">
        <v>2.503000216E9</v>
      </c>
      <c r="B905" s="18" t="s">
        <v>23</v>
      </c>
      <c r="C905" s="9">
        <v>53.0</v>
      </c>
      <c r="D905" s="10" t="s">
        <v>167</v>
      </c>
      <c r="E905" s="9">
        <v>3.0</v>
      </c>
      <c r="F905" s="9">
        <v>44.0</v>
      </c>
      <c r="G905" s="9">
        <v>132.0</v>
      </c>
      <c r="H905" s="9">
        <v>0.0</v>
      </c>
      <c r="I905" s="9">
        <v>0.0</v>
      </c>
      <c r="J905" s="9">
        <v>44.0</v>
      </c>
      <c r="K905" s="9">
        <v>132.0</v>
      </c>
      <c r="L905" s="9">
        <v>2.25</v>
      </c>
      <c r="M905" s="9">
        <v>99.0</v>
      </c>
      <c r="N905" s="9">
        <v>33.0</v>
      </c>
      <c r="O905" s="12">
        <v>45992.0</v>
      </c>
      <c r="P905" s="16"/>
    </row>
    <row r="906">
      <c r="A906" s="9">
        <v>2.503000216E9</v>
      </c>
      <c r="B906" s="18" t="s">
        <v>23</v>
      </c>
      <c r="C906" s="9">
        <v>54.0</v>
      </c>
      <c r="D906" s="10" t="s">
        <v>168</v>
      </c>
      <c r="E906" s="9">
        <v>3.0</v>
      </c>
      <c r="F906" s="9">
        <v>49.0</v>
      </c>
      <c r="G906" s="9">
        <v>147.0</v>
      </c>
      <c r="H906" s="9">
        <v>0.0</v>
      </c>
      <c r="I906" s="9">
        <v>0.0</v>
      </c>
      <c r="J906" s="9">
        <v>49.0</v>
      </c>
      <c r="K906" s="9">
        <v>147.0</v>
      </c>
      <c r="L906" s="9">
        <v>2.25</v>
      </c>
      <c r="M906" s="9">
        <v>110.25</v>
      </c>
      <c r="N906" s="9">
        <v>36.75</v>
      </c>
      <c r="O906" s="12">
        <v>45992.0</v>
      </c>
      <c r="P906" s="16"/>
    </row>
    <row r="907">
      <c r="A907" s="9">
        <v>2.503000216E9</v>
      </c>
      <c r="B907" s="18" t="s">
        <v>23</v>
      </c>
      <c r="C907" s="9">
        <v>64.0</v>
      </c>
      <c r="D907" s="10" t="s">
        <v>173</v>
      </c>
      <c r="E907" s="9">
        <v>3.0</v>
      </c>
      <c r="F907" s="9">
        <v>35.0</v>
      </c>
      <c r="G907" s="9">
        <v>105.0</v>
      </c>
      <c r="H907" s="9">
        <v>0.0</v>
      </c>
      <c r="I907" s="9">
        <v>0.0</v>
      </c>
      <c r="J907" s="9">
        <v>35.0</v>
      </c>
      <c r="K907" s="9">
        <v>105.0</v>
      </c>
      <c r="L907" s="9">
        <v>2.08</v>
      </c>
      <c r="M907" s="9">
        <v>72.8</v>
      </c>
      <c r="N907" s="9">
        <v>32.2</v>
      </c>
      <c r="O907" s="12">
        <v>45992.0</v>
      </c>
      <c r="P907" s="16"/>
    </row>
    <row r="908">
      <c r="A908" s="9">
        <v>2.503000216E9</v>
      </c>
      <c r="B908" s="18" t="s">
        <v>23</v>
      </c>
      <c r="C908" s="9">
        <v>71.0</v>
      </c>
      <c r="D908" s="10" t="s">
        <v>176</v>
      </c>
      <c r="E908" s="9">
        <v>5.0</v>
      </c>
      <c r="F908" s="9">
        <v>31.0</v>
      </c>
      <c r="G908" s="9">
        <v>155.0</v>
      </c>
      <c r="H908" s="9">
        <v>0.0</v>
      </c>
      <c r="I908" s="9">
        <v>0.0</v>
      </c>
      <c r="J908" s="9">
        <v>31.0</v>
      </c>
      <c r="K908" s="9">
        <v>155.0</v>
      </c>
      <c r="L908" s="9">
        <v>1.6</v>
      </c>
      <c r="M908" s="9">
        <v>49.6</v>
      </c>
      <c r="N908" s="9">
        <v>105.4</v>
      </c>
      <c r="O908" s="12">
        <v>45992.0</v>
      </c>
      <c r="P908" s="16"/>
    </row>
    <row r="909">
      <c r="A909" s="9">
        <v>2.503000216E9</v>
      </c>
      <c r="B909" s="18" t="s">
        <v>23</v>
      </c>
      <c r="C909" s="9">
        <v>73.0</v>
      </c>
      <c r="D909" s="10" t="s">
        <v>177</v>
      </c>
      <c r="E909" s="9">
        <v>3.0</v>
      </c>
      <c r="F909" s="9">
        <v>16.0</v>
      </c>
      <c r="G909" s="9">
        <v>48.0</v>
      </c>
      <c r="H909" s="9">
        <v>0.0</v>
      </c>
      <c r="I909" s="9">
        <v>0.0</v>
      </c>
      <c r="J909" s="9">
        <v>16.0</v>
      </c>
      <c r="K909" s="9">
        <v>48.0</v>
      </c>
      <c r="L909" s="9">
        <v>2.17</v>
      </c>
      <c r="M909" s="9">
        <v>34.72</v>
      </c>
      <c r="N909" s="9">
        <v>13.28</v>
      </c>
      <c r="O909" s="12">
        <v>45992.0</v>
      </c>
      <c r="P909" s="16"/>
    </row>
    <row r="910">
      <c r="A910" s="9">
        <v>2.503000216E9</v>
      </c>
      <c r="B910" s="18" t="s">
        <v>23</v>
      </c>
      <c r="C910" s="9">
        <v>83.0</v>
      </c>
      <c r="D910" s="10" t="s">
        <v>180</v>
      </c>
      <c r="E910" s="9">
        <v>6.363636364</v>
      </c>
      <c r="F910" s="9">
        <v>22.0</v>
      </c>
      <c r="G910" s="9">
        <v>140.0</v>
      </c>
      <c r="H910" s="9">
        <v>0.0</v>
      </c>
      <c r="I910" s="9">
        <v>0.0</v>
      </c>
      <c r="J910" s="9">
        <v>22.0</v>
      </c>
      <c r="K910" s="9">
        <v>140.0</v>
      </c>
      <c r="L910" s="9">
        <v>6.0</v>
      </c>
      <c r="M910" s="9">
        <v>132.0</v>
      </c>
      <c r="N910" s="9">
        <v>8.0</v>
      </c>
      <c r="O910" s="12">
        <v>45992.0</v>
      </c>
      <c r="P910" s="16"/>
    </row>
    <row r="911">
      <c r="A911" s="9">
        <v>2.503000216E9</v>
      </c>
      <c r="B911" s="18" t="s">
        <v>23</v>
      </c>
      <c r="C911" s="9">
        <v>84.0</v>
      </c>
      <c r="D911" s="10" t="s">
        <v>181</v>
      </c>
      <c r="E911" s="9">
        <v>3.347826087</v>
      </c>
      <c r="F911" s="9">
        <v>23.0</v>
      </c>
      <c r="G911" s="9">
        <v>77.0</v>
      </c>
      <c r="H911" s="9">
        <v>0.0</v>
      </c>
      <c r="I911" s="9">
        <v>0.0</v>
      </c>
      <c r="J911" s="9">
        <v>23.0</v>
      </c>
      <c r="K911" s="9">
        <v>77.0</v>
      </c>
      <c r="L911" s="9">
        <v>2.6</v>
      </c>
      <c r="M911" s="9">
        <v>59.8</v>
      </c>
      <c r="N911" s="9">
        <v>17.2</v>
      </c>
      <c r="O911" s="12">
        <v>45992.0</v>
      </c>
      <c r="P911" s="16"/>
    </row>
    <row r="912">
      <c r="A912" s="9">
        <v>2.503000216E9</v>
      </c>
      <c r="B912" s="18" t="s">
        <v>23</v>
      </c>
      <c r="C912" s="9">
        <v>86.0</v>
      </c>
      <c r="D912" s="10" t="s">
        <v>201</v>
      </c>
      <c r="E912" s="9">
        <v>9.726027397</v>
      </c>
      <c r="F912" s="9">
        <v>73.0</v>
      </c>
      <c r="G912" s="9">
        <v>710.0</v>
      </c>
      <c r="H912" s="9">
        <v>0.0</v>
      </c>
      <c r="I912" s="9">
        <v>0.0</v>
      </c>
      <c r="J912" s="9">
        <v>73.0</v>
      </c>
      <c r="K912" s="9">
        <v>710.0</v>
      </c>
      <c r="L912" s="9">
        <v>4.7</v>
      </c>
      <c r="M912" s="9">
        <v>343.1</v>
      </c>
      <c r="N912" s="9">
        <v>366.9</v>
      </c>
      <c r="O912" s="12">
        <v>45992.0</v>
      </c>
      <c r="P912" s="16"/>
    </row>
    <row r="913">
      <c r="A913" s="9">
        <v>2.503000217E9</v>
      </c>
      <c r="B913" s="10" t="s">
        <v>27</v>
      </c>
      <c r="C913" s="9">
        <v>2.0</v>
      </c>
      <c r="D913" s="10" t="s">
        <v>74</v>
      </c>
      <c r="E913" s="9">
        <v>1.0</v>
      </c>
      <c r="F913" s="9">
        <v>277.0</v>
      </c>
      <c r="G913" s="9">
        <v>277.0</v>
      </c>
      <c r="H913" s="9">
        <v>0.0</v>
      </c>
      <c r="I913" s="9">
        <v>0.0</v>
      </c>
      <c r="J913" s="9">
        <v>277.0</v>
      </c>
      <c r="K913" s="9">
        <v>277.0</v>
      </c>
      <c r="L913" s="9">
        <v>0.3</v>
      </c>
      <c r="M913" s="9">
        <v>83.1</v>
      </c>
      <c r="N913" s="9">
        <v>193.9</v>
      </c>
      <c r="O913" s="12">
        <v>45992.0</v>
      </c>
      <c r="P913" s="16"/>
    </row>
    <row r="914">
      <c r="A914" s="9">
        <v>2.503000217E9</v>
      </c>
      <c r="B914" s="10" t="s">
        <v>27</v>
      </c>
      <c r="C914" s="9">
        <v>10.0</v>
      </c>
      <c r="D914" s="10" t="s">
        <v>135</v>
      </c>
      <c r="E914" s="9">
        <v>7.947368421</v>
      </c>
      <c r="F914" s="9">
        <v>38.0</v>
      </c>
      <c r="G914" s="9">
        <v>302.0</v>
      </c>
      <c r="H914" s="9">
        <v>0.0</v>
      </c>
      <c r="I914" s="9">
        <v>0.0</v>
      </c>
      <c r="J914" s="9">
        <v>38.0</v>
      </c>
      <c r="K914" s="9">
        <v>302.0</v>
      </c>
      <c r="L914" s="9">
        <v>5.83</v>
      </c>
      <c r="M914" s="9">
        <v>221.54</v>
      </c>
      <c r="N914" s="9">
        <v>80.46</v>
      </c>
      <c r="O914" s="12">
        <v>45992.0</v>
      </c>
      <c r="P914" s="16"/>
    </row>
    <row r="915">
      <c r="A915" s="9">
        <v>2.503000217E9</v>
      </c>
      <c r="B915" s="10" t="s">
        <v>27</v>
      </c>
      <c r="C915" s="9">
        <v>12.0</v>
      </c>
      <c r="D915" s="10" t="s">
        <v>136</v>
      </c>
      <c r="E915" s="9">
        <v>1.0</v>
      </c>
      <c r="F915" s="9">
        <v>191.0</v>
      </c>
      <c r="G915" s="9">
        <v>191.0</v>
      </c>
      <c r="H915" s="9">
        <v>0.0</v>
      </c>
      <c r="I915" s="9">
        <v>0.0</v>
      </c>
      <c r="J915" s="9">
        <v>191.0</v>
      </c>
      <c r="K915" s="9">
        <v>191.0</v>
      </c>
      <c r="L915" s="9">
        <v>0.6</v>
      </c>
      <c r="M915" s="9">
        <v>114.6</v>
      </c>
      <c r="N915" s="9">
        <v>76.4</v>
      </c>
      <c r="O915" s="12">
        <v>45992.0</v>
      </c>
      <c r="P915" s="16"/>
    </row>
    <row r="916">
      <c r="A916" s="9">
        <v>2.503000217E9</v>
      </c>
      <c r="B916" s="10" t="s">
        <v>27</v>
      </c>
      <c r="C916" s="9">
        <v>19.0</v>
      </c>
      <c r="D916" s="10" t="s">
        <v>72</v>
      </c>
      <c r="E916" s="9">
        <v>3.0</v>
      </c>
      <c r="F916" s="9">
        <v>15.0</v>
      </c>
      <c r="G916" s="9">
        <v>45.0</v>
      </c>
      <c r="H916" s="9">
        <v>0.0</v>
      </c>
      <c r="I916" s="9">
        <v>0.0</v>
      </c>
      <c r="J916" s="9">
        <v>15.0</v>
      </c>
      <c r="K916" s="9">
        <v>45.0</v>
      </c>
      <c r="L916" s="9">
        <v>1.33</v>
      </c>
      <c r="M916" s="9">
        <v>19.95</v>
      </c>
      <c r="N916" s="9">
        <v>25.05</v>
      </c>
      <c r="O916" s="12">
        <v>45992.0</v>
      </c>
      <c r="P916" s="16"/>
    </row>
    <row r="917">
      <c r="A917" s="9">
        <v>2.503000217E9</v>
      </c>
      <c r="B917" s="10" t="s">
        <v>27</v>
      </c>
      <c r="C917" s="9">
        <v>32.0</v>
      </c>
      <c r="D917" s="10" t="s">
        <v>150</v>
      </c>
      <c r="E917" s="9">
        <v>3.0</v>
      </c>
      <c r="F917" s="9">
        <v>34.0</v>
      </c>
      <c r="G917" s="9">
        <v>102.0</v>
      </c>
      <c r="H917" s="9">
        <v>0.0</v>
      </c>
      <c r="I917" s="9">
        <v>0.0</v>
      </c>
      <c r="J917" s="9">
        <v>34.0</v>
      </c>
      <c r="K917" s="9">
        <v>102.0</v>
      </c>
      <c r="L917" s="9">
        <v>2.0</v>
      </c>
      <c r="M917" s="9">
        <v>68.0</v>
      </c>
      <c r="N917" s="9">
        <v>34.0</v>
      </c>
      <c r="O917" s="12">
        <v>45992.0</v>
      </c>
      <c r="P917" s="16"/>
    </row>
    <row r="918">
      <c r="A918" s="9">
        <v>2.503000217E9</v>
      </c>
      <c r="B918" s="10" t="s">
        <v>27</v>
      </c>
      <c r="C918" s="9">
        <v>33.0</v>
      </c>
      <c r="D918" s="10" t="s">
        <v>151</v>
      </c>
      <c r="E918" s="9">
        <v>5.0</v>
      </c>
      <c r="F918" s="9">
        <v>18.0</v>
      </c>
      <c r="G918" s="9">
        <v>90.0</v>
      </c>
      <c r="H918" s="9">
        <v>0.0</v>
      </c>
      <c r="I918" s="9">
        <v>0.0</v>
      </c>
      <c r="J918" s="9">
        <v>18.0</v>
      </c>
      <c r="K918" s="9">
        <v>90.0</v>
      </c>
      <c r="L918" s="9">
        <v>1.33</v>
      </c>
      <c r="M918" s="9">
        <v>23.94</v>
      </c>
      <c r="N918" s="9">
        <v>66.06</v>
      </c>
      <c r="O918" s="12">
        <v>45992.0</v>
      </c>
      <c r="P918" s="16"/>
    </row>
    <row r="919">
      <c r="A919" s="9">
        <v>2.503000217E9</v>
      </c>
      <c r="B919" s="10" t="s">
        <v>27</v>
      </c>
      <c r="C919" s="9">
        <v>36.0</v>
      </c>
      <c r="D919" s="10" t="s">
        <v>153</v>
      </c>
      <c r="E919" s="9">
        <v>4.0</v>
      </c>
      <c r="F919" s="9">
        <v>3.0</v>
      </c>
      <c r="G919" s="9">
        <v>12.0</v>
      </c>
      <c r="H919" s="9">
        <v>0.0</v>
      </c>
      <c r="I919" s="9">
        <v>0.0</v>
      </c>
      <c r="J919" s="9">
        <v>3.0</v>
      </c>
      <c r="K919" s="9">
        <v>12.0</v>
      </c>
      <c r="L919" s="9">
        <v>2.0</v>
      </c>
      <c r="M919" s="9">
        <v>6.0</v>
      </c>
      <c r="N919" s="9">
        <v>6.0</v>
      </c>
      <c r="O919" s="12">
        <v>45992.0</v>
      </c>
      <c r="P919" s="16"/>
    </row>
    <row r="920">
      <c r="A920" s="9">
        <v>2.503000217E9</v>
      </c>
      <c r="B920" s="10" t="s">
        <v>27</v>
      </c>
      <c r="C920" s="9">
        <v>38.0</v>
      </c>
      <c r="D920" s="10" t="s">
        <v>155</v>
      </c>
      <c r="E920" s="9">
        <v>8.0</v>
      </c>
      <c r="F920" s="9">
        <v>15.0</v>
      </c>
      <c r="G920" s="9">
        <v>120.0</v>
      </c>
      <c r="H920" s="9">
        <v>0.0</v>
      </c>
      <c r="I920" s="9">
        <v>0.0</v>
      </c>
      <c r="J920" s="9">
        <v>15.0</v>
      </c>
      <c r="K920" s="9">
        <v>120.0</v>
      </c>
      <c r="L920" s="9">
        <v>5.18</v>
      </c>
      <c r="M920" s="9">
        <v>77.7</v>
      </c>
      <c r="N920" s="9">
        <v>42.3</v>
      </c>
      <c r="O920" s="12">
        <v>45992.0</v>
      </c>
      <c r="P920" s="16"/>
    </row>
    <row r="921">
      <c r="A921" s="9">
        <v>2.503000217E9</v>
      </c>
      <c r="B921" s="10" t="s">
        <v>27</v>
      </c>
      <c r="C921" s="9">
        <v>41.0</v>
      </c>
      <c r="D921" s="10" t="s">
        <v>157</v>
      </c>
      <c r="E921" s="9">
        <v>6.0</v>
      </c>
      <c r="F921" s="9">
        <v>17.0</v>
      </c>
      <c r="G921" s="9">
        <v>102.0</v>
      </c>
      <c r="H921" s="9">
        <v>0.0</v>
      </c>
      <c r="I921" s="9">
        <v>0.0</v>
      </c>
      <c r="J921" s="9">
        <v>17.0</v>
      </c>
      <c r="K921" s="9">
        <v>102.0</v>
      </c>
      <c r="L921" s="9">
        <v>3.25</v>
      </c>
      <c r="M921" s="9">
        <v>55.25</v>
      </c>
      <c r="N921" s="9">
        <v>46.75</v>
      </c>
      <c r="O921" s="12">
        <v>45992.0</v>
      </c>
      <c r="P921" s="16"/>
    </row>
    <row r="922">
      <c r="A922" s="9">
        <v>2.503000217E9</v>
      </c>
      <c r="B922" s="10" t="s">
        <v>27</v>
      </c>
      <c r="C922" s="9">
        <v>44.0</v>
      </c>
      <c r="D922" s="10" t="s">
        <v>160</v>
      </c>
      <c r="E922" s="9">
        <v>4.333333333</v>
      </c>
      <c r="F922" s="9">
        <v>6.0</v>
      </c>
      <c r="G922" s="9">
        <v>26.0</v>
      </c>
      <c r="H922" s="9">
        <v>0.0</v>
      </c>
      <c r="I922" s="9">
        <v>0.0</v>
      </c>
      <c r="J922" s="9">
        <v>6.0</v>
      </c>
      <c r="K922" s="9">
        <v>26.0</v>
      </c>
      <c r="L922" s="9">
        <v>4.13</v>
      </c>
      <c r="M922" s="9">
        <v>24.78</v>
      </c>
      <c r="N922" s="9">
        <v>1.22</v>
      </c>
      <c r="O922" s="12">
        <v>45992.0</v>
      </c>
      <c r="P922" s="16"/>
    </row>
    <row r="923">
      <c r="A923" s="9">
        <v>2.503000217E9</v>
      </c>
      <c r="B923" s="10" t="s">
        <v>27</v>
      </c>
      <c r="C923" s="9">
        <v>49.0</v>
      </c>
      <c r="D923" s="10" t="s">
        <v>165</v>
      </c>
      <c r="E923" s="9">
        <v>5.0</v>
      </c>
      <c r="F923" s="9">
        <v>27.0</v>
      </c>
      <c r="G923" s="9">
        <v>135.0</v>
      </c>
      <c r="H923" s="9">
        <v>0.0</v>
      </c>
      <c r="I923" s="9">
        <v>0.0</v>
      </c>
      <c r="J923" s="9">
        <v>27.0</v>
      </c>
      <c r="K923" s="9">
        <v>135.0</v>
      </c>
      <c r="L923" s="9">
        <v>1.75</v>
      </c>
      <c r="M923" s="9">
        <v>47.25</v>
      </c>
      <c r="N923" s="9">
        <v>87.75</v>
      </c>
      <c r="O923" s="12">
        <v>45992.0</v>
      </c>
      <c r="P923" s="16"/>
    </row>
    <row r="924">
      <c r="A924" s="9">
        <v>2.503000217E9</v>
      </c>
      <c r="B924" s="10" t="s">
        <v>27</v>
      </c>
      <c r="C924" s="9">
        <v>57.0</v>
      </c>
      <c r="D924" s="10" t="s">
        <v>182</v>
      </c>
      <c r="E924" s="9">
        <v>4.8</v>
      </c>
      <c r="F924" s="9">
        <v>10.0</v>
      </c>
      <c r="G924" s="9">
        <v>48.0</v>
      </c>
      <c r="H924" s="9">
        <v>0.0</v>
      </c>
      <c r="I924" s="9">
        <v>0.0</v>
      </c>
      <c r="J924" s="9">
        <v>10.0</v>
      </c>
      <c r="K924" s="9">
        <v>48.0</v>
      </c>
      <c r="L924" s="9">
        <v>2.91</v>
      </c>
      <c r="M924" s="9">
        <v>29.1</v>
      </c>
      <c r="N924" s="9">
        <v>18.9</v>
      </c>
      <c r="O924" s="12">
        <v>45992.0</v>
      </c>
      <c r="P924" s="16"/>
    </row>
    <row r="925">
      <c r="A925" s="9">
        <v>2.503000217E9</v>
      </c>
      <c r="B925" s="10" t="s">
        <v>27</v>
      </c>
      <c r="C925" s="9">
        <v>58.0</v>
      </c>
      <c r="D925" s="10" t="s">
        <v>183</v>
      </c>
      <c r="E925" s="9">
        <v>12.0</v>
      </c>
      <c r="F925" s="9">
        <v>1.0</v>
      </c>
      <c r="G925" s="9">
        <v>12.0</v>
      </c>
      <c r="H925" s="9">
        <v>0.0</v>
      </c>
      <c r="I925" s="9">
        <v>0.0</v>
      </c>
      <c r="J925" s="9">
        <v>1.0</v>
      </c>
      <c r="K925" s="9">
        <v>12.0</v>
      </c>
      <c r="L925" s="9">
        <v>8.83</v>
      </c>
      <c r="M925" s="9">
        <v>8.83</v>
      </c>
      <c r="N925" s="9">
        <v>3.17</v>
      </c>
      <c r="O925" s="12">
        <v>45992.0</v>
      </c>
      <c r="P925" s="16"/>
    </row>
    <row r="926">
      <c r="A926" s="9">
        <v>2.503000217E9</v>
      </c>
      <c r="B926" s="10" t="s">
        <v>27</v>
      </c>
      <c r="C926" s="9">
        <v>59.0</v>
      </c>
      <c r="D926" s="10" t="s">
        <v>171</v>
      </c>
      <c r="E926" s="9">
        <v>2.242424242</v>
      </c>
      <c r="F926" s="9">
        <v>33.0</v>
      </c>
      <c r="G926" s="9">
        <v>74.0</v>
      </c>
      <c r="H926" s="9">
        <v>0.0</v>
      </c>
      <c r="I926" s="9">
        <v>0.0</v>
      </c>
      <c r="J926" s="9">
        <v>33.0</v>
      </c>
      <c r="K926" s="9">
        <v>74.0</v>
      </c>
      <c r="L926" s="9">
        <v>0.91</v>
      </c>
      <c r="M926" s="9">
        <v>30.03</v>
      </c>
      <c r="N926" s="9">
        <v>43.97</v>
      </c>
      <c r="O926" s="12">
        <v>45992.0</v>
      </c>
      <c r="P926" s="16"/>
    </row>
    <row r="927">
      <c r="A927" s="9">
        <v>2.503000217E9</v>
      </c>
      <c r="B927" s="10" t="s">
        <v>27</v>
      </c>
      <c r="C927" s="9">
        <v>60.0</v>
      </c>
      <c r="D927" s="10" t="s">
        <v>172</v>
      </c>
      <c r="E927" s="9">
        <v>5.0</v>
      </c>
      <c r="F927" s="9">
        <v>8.0</v>
      </c>
      <c r="G927" s="9">
        <v>40.0</v>
      </c>
      <c r="H927" s="9">
        <v>0.0</v>
      </c>
      <c r="I927" s="9">
        <v>0.0</v>
      </c>
      <c r="J927" s="9">
        <v>8.0</v>
      </c>
      <c r="K927" s="9">
        <v>40.0</v>
      </c>
      <c r="L927" s="9">
        <v>3.5</v>
      </c>
      <c r="M927" s="9">
        <v>28.0</v>
      </c>
      <c r="N927" s="9">
        <v>12.0</v>
      </c>
      <c r="O927" s="12">
        <v>45992.0</v>
      </c>
      <c r="P927" s="16"/>
    </row>
    <row r="928">
      <c r="A928" s="9">
        <v>2.503000217E9</v>
      </c>
      <c r="B928" s="10" t="s">
        <v>27</v>
      </c>
      <c r="C928" s="9">
        <v>61.0</v>
      </c>
      <c r="D928" s="10" t="s">
        <v>184</v>
      </c>
      <c r="E928" s="9">
        <v>20.0</v>
      </c>
      <c r="F928" s="9">
        <v>2.0</v>
      </c>
      <c r="G928" s="9">
        <v>40.0</v>
      </c>
      <c r="H928" s="9">
        <v>0.0</v>
      </c>
      <c r="I928" s="9">
        <v>0.0</v>
      </c>
      <c r="J928" s="9">
        <v>2.0</v>
      </c>
      <c r="K928" s="9">
        <v>40.0</v>
      </c>
      <c r="L928" s="9">
        <v>14.16</v>
      </c>
      <c r="M928" s="9">
        <v>28.32</v>
      </c>
      <c r="N928" s="9">
        <v>11.68</v>
      </c>
      <c r="O928" s="12">
        <v>45992.0</v>
      </c>
      <c r="P928" s="16"/>
    </row>
    <row r="929">
      <c r="A929" s="9">
        <v>2.503000217E9</v>
      </c>
      <c r="B929" s="10" t="s">
        <v>27</v>
      </c>
      <c r="C929" s="9">
        <v>62.0</v>
      </c>
      <c r="D929" s="10" t="s">
        <v>185</v>
      </c>
      <c r="E929" s="9">
        <v>3.476190476</v>
      </c>
      <c r="F929" s="9">
        <v>21.0</v>
      </c>
      <c r="G929" s="9">
        <v>73.0</v>
      </c>
      <c r="H929" s="9">
        <v>0.0</v>
      </c>
      <c r="I929" s="9">
        <v>0.0</v>
      </c>
      <c r="J929" s="9">
        <v>21.0</v>
      </c>
      <c r="K929" s="9">
        <v>73.0</v>
      </c>
      <c r="L929" s="9">
        <v>2.25</v>
      </c>
      <c r="M929" s="9">
        <v>47.25</v>
      </c>
      <c r="N929" s="9">
        <v>25.75</v>
      </c>
      <c r="O929" s="12">
        <v>45992.0</v>
      </c>
      <c r="P929" s="16"/>
    </row>
    <row r="930">
      <c r="A930" s="9">
        <v>2.503000217E9</v>
      </c>
      <c r="B930" s="10" t="s">
        <v>27</v>
      </c>
      <c r="C930" s="9">
        <v>64.0</v>
      </c>
      <c r="D930" s="10" t="s">
        <v>173</v>
      </c>
      <c r="E930" s="9">
        <v>3.0</v>
      </c>
      <c r="F930" s="9">
        <v>39.0</v>
      </c>
      <c r="G930" s="9">
        <v>117.0</v>
      </c>
      <c r="H930" s="9">
        <v>0.0</v>
      </c>
      <c r="I930" s="9">
        <v>0.0</v>
      </c>
      <c r="J930" s="9">
        <v>39.0</v>
      </c>
      <c r="K930" s="9">
        <v>117.0</v>
      </c>
      <c r="L930" s="9">
        <v>2.08</v>
      </c>
      <c r="M930" s="9">
        <v>81.12</v>
      </c>
      <c r="N930" s="9">
        <v>35.88</v>
      </c>
      <c r="O930" s="12">
        <v>45992.0</v>
      </c>
      <c r="P930" s="16"/>
    </row>
    <row r="931">
      <c r="A931" s="9">
        <v>2.503000217E9</v>
      </c>
      <c r="B931" s="10" t="s">
        <v>27</v>
      </c>
      <c r="C931" s="9">
        <v>65.0</v>
      </c>
      <c r="D931" s="10" t="s">
        <v>187</v>
      </c>
      <c r="E931" s="9">
        <v>3.0</v>
      </c>
      <c r="F931" s="9">
        <v>99.0</v>
      </c>
      <c r="G931" s="9">
        <v>297.0</v>
      </c>
      <c r="H931" s="9">
        <v>0.0</v>
      </c>
      <c r="I931" s="9">
        <v>0.0</v>
      </c>
      <c r="J931" s="9">
        <v>99.0</v>
      </c>
      <c r="K931" s="9">
        <v>297.0</v>
      </c>
      <c r="L931" s="9">
        <v>0.91</v>
      </c>
      <c r="M931" s="9">
        <v>90.09</v>
      </c>
      <c r="N931" s="9">
        <v>206.91</v>
      </c>
      <c r="O931" s="12">
        <v>45992.0</v>
      </c>
      <c r="P931" s="16"/>
    </row>
    <row r="932">
      <c r="A932" s="9">
        <v>2.503000217E9</v>
      </c>
      <c r="B932" s="10" t="s">
        <v>27</v>
      </c>
      <c r="C932" s="9">
        <v>66.0</v>
      </c>
      <c r="D932" s="10" t="s">
        <v>188</v>
      </c>
      <c r="E932" s="9">
        <v>20.0</v>
      </c>
      <c r="F932" s="9">
        <v>2.0</v>
      </c>
      <c r="G932" s="9">
        <v>40.0</v>
      </c>
      <c r="H932" s="9">
        <v>0.0</v>
      </c>
      <c r="I932" s="9">
        <v>0.0</v>
      </c>
      <c r="J932" s="9">
        <v>2.0</v>
      </c>
      <c r="K932" s="9">
        <v>40.0</v>
      </c>
      <c r="L932" s="9">
        <v>9.0</v>
      </c>
      <c r="M932" s="9">
        <v>18.0</v>
      </c>
      <c r="N932" s="9">
        <v>22.0</v>
      </c>
      <c r="O932" s="12">
        <v>45992.0</v>
      </c>
      <c r="P932" s="16"/>
    </row>
    <row r="933">
      <c r="A933" s="9">
        <v>2.503000217E9</v>
      </c>
      <c r="B933" s="10" t="s">
        <v>27</v>
      </c>
      <c r="C933" s="9">
        <v>67.0</v>
      </c>
      <c r="D933" s="10" t="s">
        <v>189</v>
      </c>
      <c r="E933" s="9">
        <v>6.0</v>
      </c>
      <c r="F933" s="9">
        <v>1.0</v>
      </c>
      <c r="G933" s="9">
        <v>6.0</v>
      </c>
      <c r="H933" s="9">
        <v>0.0</v>
      </c>
      <c r="I933" s="9">
        <v>0.0</v>
      </c>
      <c r="J933" s="9">
        <v>1.0</v>
      </c>
      <c r="K933" s="9">
        <v>6.0</v>
      </c>
      <c r="L933" s="9">
        <v>4.58</v>
      </c>
      <c r="M933" s="9">
        <v>4.58</v>
      </c>
      <c r="N933" s="9">
        <v>1.42</v>
      </c>
      <c r="O933" s="12">
        <v>45992.0</v>
      </c>
      <c r="P933" s="16"/>
    </row>
    <row r="934">
      <c r="A934" s="9">
        <v>2.503000217E9</v>
      </c>
      <c r="B934" s="10" t="s">
        <v>27</v>
      </c>
      <c r="C934" s="9">
        <v>68.0</v>
      </c>
      <c r="D934" s="10" t="s">
        <v>190</v>
      </c>
      <c r="E934" s="9">
        <v>15.0</v>
      </c>
      <c r="F934" s="9">
        <v>1.0</v>
      </c>
      <c r="G934" s="9">
        <v>15.0</v>
      </c>
      <c r="H934" s="9">
        <v>0.0</v>
      </c>
      <c r="I934" s="9">
        <v>0.0</v>
      </c>
      <c r="J934" s="9">
        <v>1.0</v>
      </c>
      <c r="K934" s="9">
        <v>15.0</v>
      </c>
      <c r="L934" s="9">
        <v>9.58</v>
      </c>
      <c r="M934" s="9">
        <v>9.58</v>
      </c>
      <c r="N934" s="9">
        <v>5.42</v>
      </c>
      <c r="O934" s="12">
        <v>45992.0</v>
      </c>
      <c r="P934" s="16"/>
    </row>
    <row r="935">
      <c r="A935" s="9">
        <v>2.503000217E9</v>
      </c>
      <c r="B935" s="10" t="s">
        <v>27</v>
      </c>
      <c r="C935" s="9">
        <v>72.0</v>
      </c>
      <c r="D935" s="10" t="s">
        <v>191</v>
      </c>
      <c r="E935" s="9">
        <v>3.0</v>
      </c>
      <c r="F935" s="9">
        <v>7.0</v>
      </c>
      <c r="G935" s="9">
        <v>21.0</v>
      </c>
      <c r="H935" s="9">
        <v>0.0</v>
      </c>
      <c r="I935" s="9">
        <v>0.0</v>
      </c>
      <c r="J935" s="9">
        <v>7.0</v>
      </c>
      <c r="K935" s="9">
        <v>21.0</v>
      </c>
      <c r="L935" s="9">
        <v>1.36</v>
      </c>
      <c r="M935" s="9">
        <v>9.52</v>
      </c>
      <c r="N935" s="9">
        <v>11.48</v>
      </c>
      <c r="O935" s="12">
        <v>45992.0</v>
      </c>
      <c r="P935" s="16"/>
    </row>
    <row r="936">
      <c r="A936" s="9">
        <v>2.503000217E9</v>
      </c>
      <c r="B936" s="10" t="s">
        <v>27</v>
      </c>
      <c r="C936" s="9">
        <v>74.0</v>
      </c>
      <c r="D936" s="10" t="s">
        <v>192</v>
      </c>
      <c r="E936" s="9">
        <v>3.0</v>
      </c>
      <c r="F936" s="9">
        <v>4.0</v>
      </c>
      <c r="G936" s="9">
        <v>12.0</v>
      </c>
      <c r="H936" s="9">
        <v>0.0</v>
      </c>
      <c r="I936" s="9">
        <v>0.0</v>
      </c>
      <c r="J936" s="9">
        <v>4.0</v>
      </c>
      <c r="K936" s="9">
        <v>12.0</v>
      </c>
      <c r="L936" s="9">
        <v>5.83</v>
      </c>
      <c r="M936" s="9">
        <v>23.32</v>
      </c>
      <c r="N936" s="9">
        <v>-11.32</v>
      </c>
      <c r="O936" s="12">
        <v>45992.0</v>
      </c>
      <c r="P936" s="16"/>
    </row>
    <row r="937">
      <c r="A937" s="9">
        <v>2.503000217E9</v>
      </c>
      <c r="B937" s="10" t="s">
        <v>27</v>
      </c>
      <c r="C937" s="9">
        <v>78.0</v>
      </c>
      <c r="D937" s="10" t="s">
        <v>194</v>
      </c>
      <c r="E937" s="9">
        <v>7.0</v>
      </c>
      <c r="F937" s="9">
        <v>22.0</v>
      </c>
      <c r="G937" s="9">
        <v>154.0</v>
      </c>
      <c r="H937" s="9">
        <v>0.0</v>
      </c>
      <c r="I937" s="9">
        <v>0.0</v>
      </c>
      <c r="J937" s="9">
        <v>22.0</v>
      </c>
      <c r="K937" s="9">
        <v>154.0</v>
      </c>
      <c r="L937" s="9">
        <v>4.79</v>
      </c>
      <c r="M937" s="9">
        <v>105.38</v>
      </c>
      <c r="N937" s="9">
        <v>48.62</v>
      </c>
      <c r="O937" s="12">
        <v>45992.0</v>
      </c>
      <c r="P937" s="16"/>
    </row>
    <row r="938">
      <c r="A938" s="9">
        <v>2.503000217E9</v>
      </c>
      <c r="B938" s="10" t="s">
        <v>27</v>
      </c>
      <c r="C938" s="9">
        <v>79.0</v>
      </c>
      <c r="D938" s="10" t="s">
        <v>198</v>
      </c>
      <c r="E938" s="9">
        <v>5.0</v>
      </c>
      <c r="F938" s="9">
        <v>3.0</v>
      </c>
      <c r="G938" s="9">
        <v>15.0</v>
      </c>
      <c r="H938" s="9">
        <v>0.0</v>
      </c>
      <c r="I938" s="9">
        <v>0.0</v>
      </c>
      <c r="J938" s="9">
        <v>3.0</v>
      </c>
      <c r="K938" s="9">
        <v>15.0</v>
      </c>
      <c r="L938" s="9">
        <v>3.6</v>
      </c>
      <c r="M938" s="9">
        <v>10.8</v>
      </c>
      <c r="N938" s="9">
        <v>4.2</v>
      </c>
      <c r="O938" s="12">
        <v>45992.0</v>
      </c>
      <c r="P938" s="16"/>
    </row>
    <row r="939">
      <c r="A939" s="9">
        <v>2.503000217E9</v>
      </c>
      <c r="B939" s="10" t="s">
        <v>27</v>
      </c>
      <c r="C939" s="9">
        <v>80.0</v>
      </c>
      <c r="D939" s="10" t="s">
        <v>195</v>
      </c>
      <c r="E939" s="9">
        <v>3.0</v>
      </c>
      <c r="F939" s="9">
        <v>3.0</v>
      </c>
      <c r="G939" s="9">
        <v>9.0</v>
      </c>
      <c r="H939" s="9">
        <v>0.0</v>
      </c>
      <c r="I939" s="9">
        <v>0.0</v>
      </c>
      <c r="J939" s="9">
        <v>3.0</v>
      </c>
      <c r="K939" s="9">
        <v>9.0</v>
      </c>
      <c r="L939" s="9">
        <v>1.8</v>
      </c>
      <c r="M939" s="9">
        <v>5.4</v>
      </c>
      <c r="N939" s="9">
        <v>3.6</v>
      </c>
      <c r="O939" s="12">
        <v>45992.0</v>
      </c>
      <c r="P939" s="16"/>
    </row>
    <row r="940">
      <c r="A940" s="9">
        <v>2.503000217E9</v>
      </c>
      <c r="B940" s="10" t="s">
        <v>27</v>
      </c>
      <c r="C940" s="9">
        <v>82.0</v>
      </c>
      <c r="D940" s="10" t="s">
        <v>197</v>
      </c>
      <c r="E940" s="9">
        <v>2.0</v>
      </c>
      <c r="F940" s="9">
        <v>27.0</v>
      </c>
      <c r="G940" s="9">
        <v>54.0</v>
      </c>
      <c r="H940" s="9">
        <v>0.0</v>
      </c>
      <c r="I940" s="9">
        <v>0.0</v>
      </c>
      <c r="J940" s="9">
        <v>27.0</v>
      </c>
      <c r="K940" s="9">
        <v>54.0</v>
      </c>
      <c r="L940" s="9">
        <v>0.95</v>
      </c>
      <c r="M940" s="9">
        <v>25.65</v>
      </c>
      <c r="N940" s="9">
        <v>28.35</v>
      </c>
      <c r="O940" s="12">
        <v>45992.0</v>
      </c>
      <c r="P940" s="16"/>
    </row>
    <row r="941">
      <c r="A941" s="9">
        <v>2.503000217E9</v>
      </c>
      <c r="B941" s="10" t="s">
        <v>27</v>
      </c>
      <c r="C941" s="9">
        <v>86.0</v>
      </c>
      <c r="D941" s="10" t="s">
        <v>201</v>
      </c>
      <c r="E941" s="9">
        <v>10.0</v>
      </c>
      <c r="F941" s="9">
        <v>101.0</v>
      </c>
      <c r="G941" s="9">
        <v>1010.0</v>
      </c>
      <c r="H941" s="9">
        <v>0.0</v>
      </c>
      <c r="I941" s="9">
        <v>0.0</v>
      </c>
      <c r="J941" s="9">
        <v>101.0</v>
      </c>
      <c r="K941" s="9">
        <v>1010.0</v>
      </c>
      <c r="L941" s="9">
        <v>4.7</v>
      </c>
      <c r="M941" s="9">
        <v>474.7</v>
      </c>
      <c r="N941" s="9">
        <v>535.3</v>
      </c>
      <c r="O941" s="12">
        <v>45992.0</v>
      </c>
      <c r="P941" s="16"/>
    </row>
    <row r="942">
      <c r="A942" s="9">
        <v>2.503000217E9</v>
      </c>
      <c r="B942" s="10" t="s">
        <v>27</v>
      </c>
      <c r="C942" s="9">
        <v>87.0</v>
      </c>
      <c r="D942" s="10" t="s">
        <v>202</v>
      </c>
      <c r="E942" s="9">
        <v>4.0</v>
      </c>
      <c r="F942" s="9">
        <v>8.0</v>
      </c>
      <c r="G942" s="9">
        <v>32.0</v>
      </c>
      <c r="H942" s="9">
        <v>0.0</v>
      </c>
      <c r="I942" s="9">
        <v>0.0</v>
      </c>
      <c r="J942" s="9">
        <v>8.0</v>
      </c>
      <c r="K942" s="9">
        <v>32.0</v>
      </c>
      <c r="L942" s="9">
        <v>1.87</v>
      </c>
      <c r="M942" s="9">
        <v>14.96</v>
      </c>
      <c r="N942" s="9">
        <v>17.04</v>
      </c>
      <c r="O942" s="12">
        <v>45992.0</v>
      </c>
      <c r="P942" s="16"/>
    </row>
    <row r="943">
      <c r="A943" s="9">
        <v>2.503000217E9</v>
      </c>
      <c r="B943" s="10" t="s">
        <v>27</v>
      </c>
      <c r="C943" s="9">
        <v>88.0</v>
      </c>
      <c r="D943" s="10" t="s">
        <v>203</v>
      </c>
      <c r="E943" s="9">
        <v>3.0</v>
      </c>
      <c r="F943" s="9">
        <v>35.0</v>
      </c>
      <c r="G943" s="9">
        <v>105.0</v>
      </c>
      <c r="H943" s="9">
        <v>0.0</v>
      </c>
      <c r="I943" s="9">
        <v>0.0</v>
      </c>
      <c r="J943" s="9">
        <v>35.0</v>
      </c>
      <c r="K943" s="9">
        <v>105.0</v>
      </c>
      <c r="L943" s="9">
        <v>1.3</v>
      </c>
      <c r="M943" s="9">
        <v>45.5</v>
      </c>
      <c r="N943" s="9">
        <v>59.5</v>
      </c>
      <c r="O943" s="12">
        <v>45992.0</v>
      </c>
      <c r="P943" s="16"/>
    </row>
    <row r="944">
      <c r="A944" s="9">
        <v>2.503000217E9</v>
      </c>
      <c r="B944" s="10" t="s">
        <v>27</v>
      </c>
      <c r="C944" s="9">
        <v>89.0</v>
      </c>
      <c r="D944" s="10" t="s">
        <v>204</v>
      </c>
      <c r="E944" s="9">
        <v>5.0</v>
      </c>
      <c r="F944" s="9">
        <v>3.0</v>
      </c>
      <c r="G944" s="9">
        <v>15.0</v>
      </c>
      <c r="H944" s="9">
        <v>0.0</v>
      </c>
      <c r="I944" s="9">
        <v>0.0</v>
      </c>
      <c r="J944" s="9">
        <v>3.0</v>
      </c>
      <c r="K944" s="9">
        <v>15.0</v>
      </c>
      <c r="L944" s="9">
        <v>2.17</v>
      </c>
      <c r="M944" s="9">
        <v>6.51</v>
      </c>
      <c r="N944" s="9">
        <v>8.49</v>
      </c>
      <c r="O944" s="12">
        <v>45992.0</v>
      </c>
      <c r="P944" s="16"/>
    </row>
    <row r="945">
      <c r="A945" s="9">
        <v>2.404120076E9</v>
      </c>
      <c r="B945" s="10" t="s">
        <v>19</v>
      </c>
      <c r="C945" s="16"/>
      <c r="D945" s="10" t="s">
        <v>89</v>
      </c>
      <c r="E945" s="16"/>
      <c r="F945" s="9">
        <v>52.0</v>
      </c>
      <c r="G945" s="9">
        <v>156.0</v>
      </c>
      <c r="H945" s="16"/>
      <c r="I945" s="16"/>
      <c r="J945" s="9">
        <v>52.0</v>
      </c>
      <c r="K945" s="9">
        <v>156.0</v>
      </c>
      <c r="L945" s="9">
        <v>0.0</v>
      </c>
      <c r="M945" s="9">
        <v>0.0</v>
      </c>
      <c r="N945" s="9">
        <v>156.0</v>
      </c>
      <c r="O945" s="12">
        <v>45992.0</v>
      </c>
      <c r="P945" s="16"/>
    </row>
    <row r="946">
      <c r="A946" s="9">
        <v>2.404120076E9</v>
      </c>
      <c r="B946" s="10" t="s">
        <v>19</v>
      </c>
      <c r="C946" s="16"/>
      <c r="D946" s="10" t="s">
        <v>55</v>
      </c>
      <c r="E946" s="16"/>
      <c r="F946" s="9">
        <v>50.0</v>
      </c>
      <c r="G946" s="9">
        <v>150.0</v>
      </c>
      <c r="H946" s="16"/>
      <c r="I946" s="16"/>
      <c r="J946" s="9">
        <v>50.0</v>
      </c>
      <c r="K946" s="9">
        <v>150.0</v>
      </c>
      <c r="L946" s="9">
        <v>0.0</v>
      </c>
      <c r="M946" s="9">
        <v>0.0</v>
      </c>
      <c r="N946" s="9">
        <v>150.0</v>
      </c>
      <c r="O946" s="12">
        <v>45992.0</v>
      </c>
      <c r="P946" s="16"/>
    </row>
    <row r="947">
      <c r="A947" s="9">
        <v>2.404120076E9</v>
      </c>
      <c r="B947" s="10" t="s">
        <v>19</v>
      </c>
      <c r="C947" s="16"/>
      <c r="D947" s="10" t="s">
        <v>57</v>
      </c>
      <c r="E947" s="16"/>
      <c r="F947" s="9">
        <v>86.0</v>
      </c>
      <c r="G947" s="9">
        <v>430.0</v>
      </c>
      <c r="H947" s="16"/>
      <c r="I947" s="16"/>
      <c r="J947" s="9">
        <v>86.0</v>
      </c>
      <c r="K947" s="9">
        <v>430.0</v>
      </c>
      <c r="L947" s="9">
        <v>0.0</v>
      </c>
      <c r="M947" s="9">
        <v>0.0</v>
      </c>
      <c r="N947" s="9">
        <v>430.0</v>
      </c>
      <c r="O947" s="12">
        <v>45992.0</v>
      </c>
      <c r="P947" s="16"/>
    </row>
    <row r="948">
      <c r="A948" s="9">
        <v>2.404120076E9</v>
      </c>
      <c r="B948" s="10" t="s">
        <v>19</v>
      </c>
      <c r="C948" s="16"/>
      <c r="D948" s="10" t="s">
        <v>58</v>
      </c>
      <c r="E948" s="16"/>
      <c r="F948" s="9">
        <v>76.0</v>
      </c>
      <c r="G948" s="9">
        <v>366.0</v>
      </c>
      <c r="H948" s="16"/>
      <c r="I948" s="16"/>
      <c r="J948" s="9">
        <v>76.0</v>
      </c>
      <c r="K948" s="9">
        <v>366.0</v>
      </c>
      <c r="L948" s="9">
        <v>0.0</v>
      </c>
      <c r="M948" s="9">
        <v>0.0</v>
      </c>
      <c r="N948" s="9">
        <v>366.0</v>
      </c>
      <c r="O948" s="12">
        <v>45992.0</v>
      </c>
      <c r="P948" s="16"/>
    </row>
    <row r="949">
      <c r="A949" s="9">
        <v>2.404120076E9</v>
      </c>
      <c r="B949" s="10" t="s">
        <v>19</v>
      </c>
      <c r="C949" s="16"/>
      <c r="D949" s="10" t="s">
        <v>62</v>
      </c>
      <c r="E949" s="16"/>
      <c r="F949" s="9">
        <v>11.0</v>
      </c>
      <c r="G949" s="9">
        <v>55.0</v>
      </c>
      <c r="H949" s="16"/>
      <c r="I949" s="16"/>
      <c r="J949" s="9">
        <v>11.0</v>
      </c>
      <c r="K949" s="9">
        <v>55.0</v>
      </c>
      <c r="L949" s="9">
        <v>0.0</v>
      </c>
      <c r="M949" s="9">
        <v>0.0</v>
      </c>
      <c r="N949" s="9">
        <v>55.0</v>
      </c>
      <c r="O949" s="12">
        <v>45992.0</v>
      </c>
      <c r="P949" s="16"/>
    </row>
    <row r="950">
      <c r="A950" s="9">
        <v>2.404120076E9</v>
      </c>
      <c r="B950" s="10" t="s">
        <v>19</v>
      </c>
      <c r="C950" s="16"/>
      <c r="D950" s="10" t="s">
        <v>199</v>
      </c>
      <c r="E950" s="16"/>
      <c r="F950" s="9">
        <v>61.0</v>
      </c>
      <c r="G950" s="9">
        <v>305.0</v>
      </c>
      <c r="H950" s="16"/>
      <c r="I950" s="16"/>
      <c r="J950" s="9">
        <v>61.0</v>
      </c>
      <c r="K950" s="9">
        <v>305.0</v>
      </c>
      <c r="L950" s="9">
        <v>0.0</v>
      </c>
      <c r="M950" s="9">
        <v>0.0</v>
      </c>
      <c r="N950" s="9">
        <v>305.0</v>
      </c>
      <c r="O950" s="12">
        <v>45992.0</v>
      </c>
      <c r="P950" s="16"/>
    </row>
    <row r="951">
      <c r="A951" s="9">
        <v>2.404120076E9</v>
      </c>
      <c r="B951" s="10" t="s">
        <v>19</v>
      </c>
      <c r="C951" s="16"/>
      <c r="D951" s="10" t="s">
        <v>120</v>
      </c>
      <c r="E951" s="16"/>
      <c r="F951" s="9">
        <v>13.0</v>
      </c>
      <c r="G951" s="9">
        <v>66.0</v>
      </c>
      <c r="H951" s="16"/>
      <c r="I951" s="16"/>
      <c r="J951" s="9">
        <v>13.0</v>
      </c>
      <c r="K951" s="9">
        <v>66.0</v>
      </c>
      <c r="L951" s="9">
        <v>0.0</v>
      </c>
      <c r="M951" s="9">
        <v>0.0</v>
      </c>
      <c r="N951" s="9">
        <v>66.0</v>
      </c>
      <c r="O951" s="12">
        <v>45992.0</v>
      </c>
      <c r="P951" s="16"/>
    </row>
    <row r="952">
      <c r="A952" s="9">
        <v>2.404120076E9</v>
      </c>
      <c r="B952" s="10" t="s">
        <v>19</v>
      </c>
      <c r="C952" s="16"/>
      <c r="D952" s="10" t="s">
        <v>96</v>
      </c>
      <c r="E952" s="16"/>
      <c r="F952" s="9">
        <v>19.0</v>
      </c>
      <c r="G952" s="9">
        <v>63.0</v>
      </c>
      <c r="H952" s="16"/>
      <c r="I952" s="16"/>
      <c r="J952" s="9">
        <v>19.0</v>
      </c>
      <c r="K952" s="9">
        <v>63.0</v>
      </c>
      <c r="L952" s="9">
        <v>0.0</v>
      </c>
      <c r="M952" s="9">
        <v>0.0</v>
      </c>
      <c r="N952" s="9">
        <v>63.0</v>
      </c>
      <c r="O952" s="12">
        <v>45992.0</v>
      </c>
      <c r="P952" s="16"/>
    </row>
    <row r="953">
      <c r="A953" s="9">
        <v>2.404120076E9</v>
      </c>
      <c r="B953" s="10" t="s">
        <v>19</v>
      </c>
      <c r="C953" s="16"/>
      <c r="D953" s="10" t="s">
        <v>71</v>
      </c>
      <c r="E953" s="16"/>
      <c r="F953" s="9">
        <v>216.0</v>
      </c>
      <c r="G953" s="9">
        <v>216.0</v>
      </c>
      <c r="H953" s="16"/>
      <c r="I953" s="16"/>
      <c r="J953" s="9">
        <v>216.0</v>
      </c>
      <c r="K953" s="9">
        <v>216.0</v>
      </c>
      <c r="L953" s="9">
        <v>0.0</v>
      </c>
      <c r="M953" s="9">
        <v>0.0</v>
      </c>
      <c r="N953" s="9">
        <v>216.0</v>
      </c>
      <c r="O953" s="12">
        <v>45992.0</v>
      </c>
      <c r="P953" s="16"/>
    </row>
    <row r="954">
      <c r="A954" s="9">
        <v>2.404120076E9</v>
      </c>
      <c r="B954" s="10" t="s">
        <v>19</v>
      </c>
      <c r="C954" s="16"/>
      <c r="D954" s="10" t="s">
        <v>72</v>
      </c>
      <c r="E954" s="16"/>
      <c r="F954" s="9">
        <v>125.0</v>
      </c>
      <c r="G954" s="9">
        <v>250.0</v>
      </c>
      <c r="H954" s="16"/>
      <c r="I954" s="16"/>
      <c r="J954" s="9">
        <v>125.0</v>
      </c>
      <c r="K954" s="9">
        <v>250.0</v>
      </c>
      <c r="L954" s="9">
        <v>0.0</v>
      </c>
      <c r="M954" s="9">
        <v>0.0</v>
      </c>
      <c r="N954" s="9">
        <v>250.0</v>
      </c>
      <c r="O954" s="12">
        <v>45992.0</v>
      </c>
      <c r="P954" s="16"/>
    </row>
    <row r="955">
      <c r="A955" s="9">
        <v>2.404120076E9</v>
      </c>
      <c r="B955" s="10" t="s">
        <v>19</v>
      </c>
      <c r="C955" s="16"/>
      <c r="D955" s="10" t="s">
        <v>97</v>
      </c>
      <c r="E955" s="16"/>
      <c r="F955" s="9">
        <v>10.0</v>
      </c>
      <c r="G955" s="9">
        <v>66.0</v>
      </c>
      <c r="H955" s="16"/>
      <c r="I955" s="16"/>
      <c r="J955" s="9">
        <v>10.0</v>
      </c>
      <c r="K955" s="9">
        <v>66.0</v>
      </c>
      <c r="L955" s="9">
        <v>0.0</v>
      </c>
      <c r="M955" s="9">
        <v>0.0</v>
      </c>
      <c r="N955" s="9">
        <v>66.0</v>
      </c>
      <c r="O955" s="12">
        <v>45992.0</v>
      </c>
      <c r="P955" s="16"/>
    </row>
    <row r="956">
      <c r="A956" s="9">
        <v>2.404120076E9</v>
      </c>
      <c r="B956" s="10" t="s">
        <v>19</v>
      </c>
      <c r="C956" s="16"/>
      <c r="D956" s="10" t="s">
        <v>73</v>
      </c>
      <c r="E956" s="16"/>
      <c r="F956" s="9">
        <v>11.0</v>
      </c>
      <c r="G956" s="9">
        <v>55.0</v>
      </c>
      <c r="H956" s="16"/>
      <c r="I956" s="16"/>
      <c r="J956" s="9">
        <v>11.0</v>
      </c>
      <c r="K956" s="9">
        <v>55.0</v>
      </c>
      <c r="L956" s="9">
        <v>0.0</v>
      </c>
      <c r="M956" s="9">
        <v>0.0</v>
      </c>
      <c r="N956" s="9">
        <v>55.0</v>
      </c>
      <c r="O956" s="12">
        <v>45992.0</v>
      </c>
      <c r="P956" s="16"/>
    </row>
    <row r="957">
      <c r="A957" s="9">
        <v>2.404120076E9</v>
      </c>
      <c r="B957" s="10" t="s">
        <v>19</v>
      </c>
      <c r="C957" s="16"/>
      <c r="D957" s="10" t="s">
        <v>124</v>
      </c>
      <c r="E957" s="16"/>
      <c r="F957" s="9">
        <v>53.0</v>
      </c>
      <c r="G957" s="9">
        <v>277.0</v>
      </c>
      <c r="H957" s="16"/>
      <c r="I957" s="16"/>
      <c r="J957" s="9">
        <v>53.0</v>
      </c>
      <c r="K957" s="9">
        <v>277.0</v>
      </c>
      <c r="L957" s="9">
        <v>0.0</v>
      </c>
      <c r="M957" s="9">
        <v>0.0</v>
      </c>
      <c r="N957" s="9">
        <v>277.0</v>
      </c>
      <c r="O957" s="12">
        <v>45992.0</v>
      </c>
      <c r="P957" s="16"/>
    </row>
    <row r="958">
      <c r="A958" s="9">
        <v>2.404120076E9</v>
      </c>
      <c r="B958" s="10" t="s">
        <v>19</v>
      </c>
      <c r="C958" s="16"/>
      <c r="D958" s="10" t="s">
        <v>74</v>
      </c>
      <c r="E958" s="16"/>
      <c r="F958" s="9">
        <v>527.0</v>
      </c>
      <c r="G958" s="9">
        <v>527.0</v>
      </c>
      <c r="H958" s="16"/>
      <c r="I958" s="16"/>
      <c r="J958" s="9">
        <v>527.0</v>
      </c>
      <c r="K958" s="9">
        <v>527.0</v>
      </c>
      <c r="L958" s="9">
        <v>0.0</v>
      </c>
      <c r="M958" s="9">
        <v>0.0</v>
      </c>
      <c r="N958" s="9">
        <v>527.0</v>
      </c>
      <c r="O958" s="12">
        <v>45992.0</v>
      </c>
      <c r="P958" s="16"/>
    </row>
    <row r="959">
      <c r="A959" s="9">
        <v>2.404120076E9</v>
      </c>
      <c r="B959" s="10" t="s">
        <v>19</v>
      </c>
      <c r="C959" s="16"/>
      <c r="D959" s="10" t="s">
        <v>100</v>
      </c>
      <c r="E959" s="16"/>
      <c r="F959" s="9">
        <v>2.0</v>
      </c>
      <c r="G959" s="9">
        <v>6.0</v>
      </c>
      <c r="H959" s="16"/>
      <c r="I959" s="16"/>
      <c r="J959" s="9">
        <v>2.0</v>
      </c>
      <c r="K959" s="9">
        <v>6.0</v>
      </c>
      <c r="L959" s="9">
        <v>0.0</v>
      </c>
      <c r="M959" s="9">
        <v>0.0</v>
      </c>
      <c r="N959" s="9">
        <v>6.0</v>
      </c>
      <c r="O959" s="12">
        <v>45992.0</v>
      </c>
      <c r="P959" s="16"/>
    </row>
    <row r="960">
      <c r="A960" s="9">
        <v>2.404120076E9</v>
      </c>
      <c r="B960" s="10" t="s">
        <v>19</v>
      </c>
      <c r="C960" s="16"/>
      <c r="D960" s="10" t="s">
        <v>79</v>
      </c>
      <c r="E960" s="16"/>
      <c r="F960" s="9">
        <v>58.0</v>
      </c>
      <c r="G960" s="9">
        <v>174.0</v>
      </c>
      <c r="H960" s="16"/>
      <c r="I960" s="16"/>
      <c r="J960" s="9">
        <v>58.0</v>
      </c>
      <c r="K960" s="9">
        <v>174.0</v>
      </c>
      <c r="L960" s="9">
        <v>0.0</v>
      </c>
      <c r="M960" s="9">
        <v>0.0</v>
      </c>
      <c r="N960" s="9">
        <v>174.0</v>
      </c>
      <c r="O960" s="12">
        <v>45992.0</v>
      </c>
      <c r="P960" s="16"/>
    </row>
    <row r="961">
      <c r="A961" s="9">
        <v>2.404120076E9</v>
      </c>
      <c r="B961" s="10" t="s">
        <v>19</v>
      </c>
      <c r="C961" s="16"/>
      <c r="D961" s="2" t="s">
        <v>129</v>
      </c>
      <c r="E961" s="16"/>
      <c r="F961" s="9">
        <v>22.0</v>
      </c>
      <c r="G961" s="9">
        <v>110.0</v>
      </c>
      <c r="H961" s="16"/>
      <c r="I961" s="16"/>
      <c r="J961" s="9">
        <v>22.0</v>
      </c>
      <c r="K961" s="9">
        <v>110.0</v>
      </c>
      <c r="L961" s="9">
        <v>0.0</v>
      </c>
      <c r="M961" s="9">
        <v>0.0</v>
      </c>
      <c r="N961" s="9">
        <v>110.0</v>
      </c>
      <c r="O961" s="12">
        <v>45992.0</v>
      </c>
      <c r="P961" s="16"/>
    </row>
    <row r="962">
      <c r="A962" s="9">
        <v>2.404120076E9</v>
      </c>
      <c r="B962" s="10" t="s">
        <v>19</v>
      </c>
      <c r="C962" s="16"/>
      <c r="D962" s="10" t="s">
        <v>105</v>
      </c>
      <c r="E962" s="16"/>
      <c r="F962" s="9">
        <v>27.0</v>
      </c>
      <c r="G962" s="9">
        <v>81.0</v>
      </c>
      <c r="H962" s="16"/>
      <c r="I962" s="16"/>
      <c r="J962" s="9">
        <v>27.0</v>
      </c>
      <c r="K962" s="9">
        <v>81.0</v>
      </c>
      <c r="L962" s="9">
        <v>0.0</v>
      </c>
      <c r="M962" s="9">
        <v>0.0</v>
      </c>
      <c r="N962" s="9">
        <v>81.0</v>
      </c>
      <c r="O962" s="12">
        <v>45992.0</v>
      </c>
      <c r="P962" s="16"/>
    </row>
    <row r="963">
      <c r="A963" s="9">
        <v>2.404120076E9</v>
      </c>
      <c r="B963" s="10" t="s">
        <v>19</v>
      </c>
      <c r="C963" s="16"/>
      <c r="D963" s="10" t="s">
        <v>81</v>
      </c>
      <c r="E963" s="16"/>
      <c r="F963" s="9">
        <v>17.0</v>
      </c>
      <c r="G963" s="9">
        <v>61.0</v>
      </c>
      <c r="H963" s="16"/>
      <c r="I963" s="16"/>
      <c r="J963" s="9">
        <v>17.0</v>
      </c>
      <c r="K963" s="9">
        <v>61.0</v>
      </c>
      <c r="L963" s="9">
        <v>0.0</v>
      </c>
      <c r="M963" s="9">
        <v>0.0</v>
      </c>
      <c r="N963" s="9">
        <v>61.0</v>
      </c>
      <c r="O963" s="12">
        <v>45992.0</v>
      </c>
      <c r="P963" s="16"/>
    </row>
    <row r="964">
      <c r="A964" s="9">
        <v>2.404120076E9</v>
      </c>
      <c r="B964" s="10" t="s">
        <v>19</v>
      </c>
      <c r="C964" s="16"/>
      <c r="D964" s="10" t="s">
        <v>147</v>
      </c>
      <c r="E964" s="16"/>
      <c r="F964" s="9">
        <v>38.0</v>
      </c>
      <c r="G964" s="9">
        <v>114.0</v>
      </c>
      <c r="H964" s="16"/>
      <c r="I964" s="16"/>
      <c r="J964" s="9">
        <v>38.0</v>
      </c>
      <c r="K964" s="9">
        <v>114.0</v>
      </c>
      <c r="L964" s="9">
        <v>0.0</v>
      </c>
      <c r="M964" s="9">
        <v>0.0</v>
      </c>
      <c r="N964" s="9">
        <v>114.0</v>
      </c>
      <c r="O964" s="12">
        <v>45992.0</v>
      </c>
      <c r="P964" s="16"/>
    </row>
    <row r="965">
      <c r="A965" s="9">
        <v>2.404120076E9</v>
      </c>
      <c r="B965" s="10" t="s">
        <v>19</v>
      </c>
      <c r="C965" s="16"/>
      <c r="D965" s="10" t="s">
        <v>125</v>
      </c>
      <c r="E965" s="16"/>
      <c r="F965" s="9">
        <v>12.0</v>
      </c>
      <c r="G965" s="9">
        <v>82.0</v>
      </c>
      <c r="H965" s="16"/>
      <c r="I965" s="16"/>
      <c r="J965" s="9">
        <v>12.0</v>
      </c>
      <c r="K965" s="9">
        <v>82.0</v>
      </c>
      <c r="L965" s="9">
        <v>0.0</v>
      </c>
      <c r="M965" s="9">
        <v>0.0</v>
      </c>
      <c r="N965" s="9">
        <v>82.0</v>
      </c>
      <c r="O965" s="12">
        <v>45992.0</v>
      </c>
      <c r="P965" s="16"/>
    </row>
    <row r="966">
      <c r="A966" s="9">
        <v>2.404120076E9</v>
      </c>
      <c r="B966" s="10" t="s">
        <v>19</v>
      </c>
      <c r="C966" s="16"/>
      <c r="D966" s="10" t="s">
        <v>205</v>
      </c>
      <c r="E966" s="16"/>
      <c r="F966" s="9">
        <v>3.0</v>
      </c>
      <c r="G966" s="9">
        <v>12.0</v>
      </c>
      <c r="H966" s="16"/>
      <c r="I966" s="16"/>
      <c r="J966" s="9">
        <v>3.0</v>
      </c>
      <c r="K966" s="9">
        <v>12.0</v>
      </c>
      <c r="L966" s="9">
        <v>0.0</v>
      </c>
      <c r="M966" s="9">
        <v>0.0</v>
      </c>
      <c r="N966" s="9">
        <v>12.0</v>
      </c>
      <c r="O966" s="12">
        <v>45992.0</v>
      </c>
      <c r="P966" s="16"/>
    </row>
    <row r="967">
      <c r="A967" s="9">
        <v>2.404120076E9</v>
      </c>
      <c r="B967" s="10" t="s">
        <v>19</v>
      </c>
      <c r="C967" s="16"/>
      <c r="D967" s="10" t="s">
        <v>167</v>
      </c>
      <c r="E967" s="16"/>
      <c r="F967" s="9">
        <v>13.0</v>
      </c>
      <c r="G967" s="9">
        <v>39.0</v>
      </c>
      <c r="H967" s="16"/>
      <c r="I967" s="16"/>
      <c r="J967" s="9">
        <v>13.0</v>
      </c>
      <c r="K967" s="9">
        <v>39.0</v>
      </c>
      <c r="L967" s="9">
        <v>0.0</v>
      </c>
      <c r="M967" s="9">
        <v>0.0</v>
      </c>
      <c r="N967" s="9">
        <v>39.0</v>
      </c>
      <c r="O967" s="12">
        <v>45992.0</v>
      </c>
      <c r="P967" s="16"/>
    </row>
    <row r="968">
      <c r="A968" s="9">
        <v>2.404120076E9</v>
      </c>
      <c r="B968" s="10" t="s">
        <v>19</v>
      </c>
      <c r="C968" s="16"/>
      <c r="D968" s="10" t="s">
        <v>86</v>
      </c>
      <c r="E968" s="16"/>
      <c r="F968" s="9">
        <v>98.0</v>
      </c>
      <c r="G968" s="9">
        <v>490.0</v>
      </c>
      <c r="H968" s="16"/>
      <c r="I968" s="16"/>
      <c r="J968" s="9">
        <v>98.0</v>
      </c>
      <c r="K968" s="9">
        <v>490.0</v>
      </c>
      <c r="L968" s="9">
        <v>0.0</v>
      </c>
      <c r="M968" s="9">
        <v>0.0</v>
      </c>
      <c r="N968" s="9">
        <v>490.0</v>
      </c>
      <c r="O968" s="12">
        <v>45992.0</v>
      </c>
      <c r="P968" s="16"/>
    </row>
    <row r="969">
      <c r="A969" s="9">
        <v>2.404120076E9</v>
      </c>
      <c r="B969" s="10" t="s">
        <v>19</v>
      </c>
      <c r="C969" s="16"/>
      <c r="D969" s="10" t="s">
        <v>200</v>
      </c>
      <c r="E969" s="16"/>
      <c r="F969" s="9">
        <v>10.0</v>
      </c>
      <c r="G969" s="9">
        <v>46.0</v>
      </c>
      <c r="H969" s="16"/>
      <c r="I969" s="16"/>
      <c r="J969" s="9">
        <v>10.0</v>
      </c>
      <c r="K969" s="9">
        <v>46.0</v>
      </c>
      <c r="L969" s="9">
        <v>0.0</v>
      </c>
      <c r="M969" s="9">
        <v>0.0</v>
      </c>
      <c r="N969" s="9">
        <v>46.0</v>
      </c>
      <c r="O969" s="12">
        <v>45992.0</v>
      </c>
      <c r="P969" s="16"/>
    </row>
    <row r="970">
      <c r="A970" s="9">
        <v>2.404120076E9</v>
      </c>
      <c r="B970" s="10" t="s">
        <v>19</v>
      </c>
      <c r="C970" s="16"/>
      <c r="D970" s="10" t="s">
        <v>168</v>
      </c>
      <c r="E970" s="16"/>
      <c r="F970" s="9">
        <v>7.0</v>
      </c>
      <c r="G970" s="9">
        <v>21.0</v>
      </c>
      <c r="H970" s="16"/>
      <c r="I970" s="16"/>
      <c r="J970" s="9">
        <v>7.0</v>
      </c>
      <c r="K970" s="9">
        <v>21.0</v>
      </c>
      <c r="L970" s="9">
        <v>0.0</v>
      </c>
      <c r="M970" s="9">
        <v>0.0</v>
      </c>
      <c r="N970" s="9">
        <v>21.0</v>
      </c>
      <c r="O970" s="12">
        <v>45992.0</v>
      </c>
      <c r="P970" s="16"/>
    </row>
    <row r="971">
      <c r="A971" s="9">
        <v>2.404120076E9</v>
      </c>
      <c r="B971" s="10" t="s">
        <v>19</v>
      </c>
      <c r="C971" s="16"/>
      <c r="D971" s="10" t="s">
        <v>128</v>
      </c>
      <c r="E971" s="16"/>
      <c r="F971" s="9">
        <v>52.0</v>
      </c>
      <c r="G971" s="9">
        <v>52.0</v>
      </c>
      <c r="H971" s="16"/>
      <c r="I971" s="16"/>
      <c r="J971" s="9">
        <v>52.0</v>
      </c>
      <c r="K971" s="9">
        <v>52.0</v>
      </c>
      <c r="L971" s="9">
        <v>0.0</v>
      </c>
      <c r="M971" s="9">
        <v>0.0</v>
      </c>
      <c r="N971" s="9">
        <v>52.0</v>
      </c>
      <c r="O971" s="12">
        <v>45992.0</v>
      </c>
      <c r="P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9">
        <v>0.0</v>
      </c>
      <c r="K972" s="9">
        <v>0.0</v>
      </c>
      <c r="L972" s="9">
        <v>0.0</v>
      </c>
      <c r="M972" s="9">
        <v>0.0</v>
      </c>
      <c r="N972" s="9">
        <v>0.0</v>
      </c>
      <c r="O972" s="16"/>
      <c r="P972" s="11"/>
    </row>
    <row r="973">
      <c r="A973" s="9">
        <v>2.411000046E9</v>
      </c>
      <c r="B973" s="10" t="s">
        <v>21</v>
      </c>
      <c r="C973" s="9">
        <v>1.0</v>
      </c>
      <c r="D973" s="10" t="s">
        <v>129</v>
      </c>
      <c r="E973" s="9">
        <v>5.0</v>
      </c>
      <c r="F973" s="9">
        <v>18.0</v>
      </c>
      <c r="G973" s="9">
        <v>90.0</v>
      </c>
      <c r="H973" s="9">
        <v>0.0</v>
      </c>
      <c r="I973" s="9">
        <v>0.0</v>
      </c>
      <c r="J973" s="9">
        <v>18.0</v>
      </c>
      <c r="K973" s="9">
        <v>90.0</v>
      </c>
      <c r="L973" s="9">
        <v>2.66</v>
      </c>
      <c r="M973" s="9">
        <v>47.88</v>
      </c>
      <c r="N973" s="9">
        <v>42.12</v>
      </c>
      <c r="O973" s="12">
        <v>46023.0</v>
      </c>
      <c r="P973" s="20">
        <v>46023.0</v>
      </c>
      <c r="Q973" s="21"/>
    </row>
    <row r="974">
      <c r="A974" s="9">
        <v>2.411000046E9</v>
      </c>
      <c r="B974" s="10" t="s">
        <v>21</v>
      </c>
      <c r="C974" s="9">
        <v>1.0</v>
      </c>
      <c r="D974" s="10" t="s">
        <v>129</v>
      </c>
      <c r="E974" s="9">
        <v>5.0</v>
      </c>
      <c r="F974" s="9">
        <v>8.0</v>
      </c>
      <c r="G974" s="9">
        <v>40.0</v>
      </c>
      <c r="H974" s="9">
        <v>0.0</v>
      </c>
      <c r="I974" s="9">
        <v>0.0</v>
      </c>
      <c r="J974" s="9">
        <v>8.0</v>
      </c>
      <c r="K974" s="9">
        <v>40.0</v>
      </c>
      <c r="L974" s="9">
        <v>2.66</v>
      </c>
      <c r="M974" s="9">
        <v>21.28</v>
      </c>
      <c r="N974" s="9">
        <v>18.72</v>
      </c>
      <c r="O974" s="12">
        <v>46023.0</v>
      </c>
      <c r="P974" s="11"/>
      <c r="Q974" s="21"/>
    </row>
    <row r="975">
      <c r="A975" s="9">
        <v>2.411000046E9</v>
      </c>
      <c r="B975" s="10" t="s">
        <v>21</v>
      </c>
      <c r="C975" s="9">
        <v>2.0</v>
      </c>
      <c r="D975" s="10" t="s">
        <v>74</v>
      </c>
      <c r="E975" s="9">
        <v>1.0</v>
      </c>
      <c r="F975" s="9">
        <v>334.0</v>
      </c>
      <c r="G975" s="9">
        <v>334.0</v>
      </c>
      <c r="H975" s="9">
        <v>0.0</v>
      </c>
      <c r="I975" s="9">
        <v>0.0</v>
      </c>
      <c r="J975" s="9">
        <v>334.0</v>
      </c>
      <c r="K975" s="9">
        <v>334.0</v>
      </c>
      <c r="L975" s="9">
        <v>0.3</v>
      </c>
      <c r="M975" s="9">
        <v>100.2</v>
      </c>
      <c r="N975" s="9">
        <v>233.8</v>
      </c>
      <c r="O975" s="12">
        <v>46023.0</v>
      </c>
      <c r="P975" s="11"/>
      <c r="Q975" s="21"/>
    </row>
    <row r="976">
      <c r="A976" s="9">
        <v>2.411000046E9</v>
      </c>
      <c r="B976" s="10" t="s">
        <v>21</v>
      </c>
      <c r="C976" s="9">
        <v>3.0</v>
      </c>
      <c r="D976" s="10" t="s">
        <v>125</v>
      </c>
      <c r="E976" s="9">
        <v>7.615384615</v>
      </c>
      <c r="F976" s="9">
        <v>13.0</v>
      </c>
      <c r="G976" s="9">
        <v>99.0</v>
      </c>
      <c r="H976" s="9">
        <v>0.0</v>
      </c>
      <c r="I976" s="9">
        <v>0.0</v>
      </c>
      <c r="J976" s="9">
        <v>13.0</v>
      </c>
      <c r="K976" s="9">
        <v>99.0</v>
      </c>
      <c r="L976" s="9">
        <v>6.2</v>
      </c>
      <c r="M976" s="9">
        <v>80.6</v>
      </c>
      <c r="N976" s="9">
        <v>18.4</v>
      </c>
      <c r="O976" s="12">
        <v>46023.0</v>
      </c>
      <c r="P976" s="11"/>
      <c r="Q976" s="22"/>
    </row>
    <row r="977">
      <c r="A977" s="9">
        <v>2.411000046E9</v>
      </c>
      <c r="B977" s="10" t="s">
        <v>21</v>
      </c>
      <c r="C977" s="9">
        <v>5.0</v>
      </c>
      <c r="D977" s="10" t="s">
        <v>131</v>
      </c>
      <c r="E977" s="9">
        <v>3.266666667</v>
      </c>
      <c r="F977" s="9">
        <v>30.0</v>
      </c>
      <c r="G977" s="9">
        <v>98.0</v>
      </c>
      <c r="H977" s="9">
        <v>0.0</v>
      </c>
      <c r="I977" s="9">
        <v>0.0</v>
      </c>
      <c r="J977" s="9">
        <v>30.0</v>
      </c>
      <c r="K977" s="9">
        <v>98.0</v>
      </c>
      <c r="L977" s="9">
        <v>2.0</v>
      </c>
      <c r="M977" s="9">
        <v>60.0</v>
      </c>
      <c r="N977" s="9">
        <v>38.0</v>
      </c>
      <c r="O977" s="12">
        <v>46023.0</v>
      </c>
      <c r="P977" s="11"/>
      <c r="Q977" s="23"/>
    </row>
    <row r="978">
      <c r="A978" s="9">
        <v>2.411000046E9</v>
      </c>
      <c r="B978" s="10" t="s">
        <v>21</v>
      </c>
      <c r="C978" s="9">
        <v>6.0</v>
      </c>
      <c r="D978" s="10" t="s">
        <v>109</v>
      </c>
      <c r="E978" s="9">
        <v>5.0</v>
      </c>
      <c r="F978" s="9">
        <v>10.0</v>
      </c>
      <c r="G978" s="9">
        <v>50.0</v>
      </c>
      <c r="H978" s="9">
        <v>0.0</v>
      </c>
      <c r="I978" s="9">
        <v>0.0</v>
      </c>
      <c r="J978" s="9">
        <v>10.0</v>
      </c>
      <c r="K978" s="9">
        <v>50.0</v>
      </c>
      <c r="L978" s="9">
        <v>3.5</v>
      </c>
      <c r="M978" s="9">
        <v>35.0</v>
      </c>
      <c r="N978" s="9">
        <v>15.0</v>
      </c>
      <c r="O978" s="12">
        <v>46023.0</v>
      </c>
      <c r="P978" s="11"/>
      <c r="Q978" s="21"/>
    </row>
    <row r="979">
      <c r="A979" s="9">
        <v>2.411000046E9</v>
      </c>
      <c r="B979" s="10" t="s">
        <v>21</v>
      </c>
      <c r="C979" s="9">
        <v>6.0</v>
      </c>
      <c r="D979" s="10" t="s">
        <v>206</v>
      </c>
      <c r="E979" s="9">
        <v>5.0</v>
      </c>
      <c r="F979" s="9">
        <v>8.0</v>
      </c>
      <c r="G979" s="9">
        <v>40.0</v>
      </c>
      <c r="H979" s="9">
        <v>0.0</v>
      </c>
      <c r="I979" s="9">
        <v>0.0</v>
      </c>
      <c r="J979" s="9">
        <v>8.0</v>
      </c>
      <c r="K979" s="9">
        <v>40.0</v>
      </c>
      <c r="L979" s="9">
        <v>3.5</v>
      </c>
      <c r="M979" s="9">
        <v>28.0</v>
      </c>
      <c r="N979" s="9">
        <v>12.0</v>
      </c>
      <c r="O979" s="12">
        <v>46023.0</v>
      </c>
      <c r="P979" s="11"/>
      <c r="Q979" s="21"/>
    </row>
    <row r="980">
      <c r="A980" s="9">
        <v>2.411000046E9</v>
      </c>
      <c r="B980" s="10" t="s">
        <v>21</v>
      </c>
      <c r="C980" s="9">
        <v>11.0</v>
      </c>
      <c r="D980" s="10" t="s">
        <v>86</v>
      </c>
      <c r="E980" s="9">
        <v>5.0</v>
      </c>
      <c r="F980" s="9">
        <v>73.0</v>
      </c>
      <c r="G980" s="9">
        <v>365.0</v>
      </c>
      <c r="H980" s="9">
        <v>0.0</v>
      </c>
      <c r="I980" s="9">
        <v>0.0</v>
      </c>
      <c r="J980" s="9">
        <v>73.0</v>
      </c>
      <c r="K980" s="9">
        <v>365.0</v>
      </c>
      <c r="L980" s="9">
        <v>3.75</v>
      </c>
      <c r="M980" s="9">
        <v>273.75</v>
      </c>
      <c r="N980" s="9">
        <v>91.25</v>
      </c>
      <c r="O980" s="12">
        <v>46023.0</v>
      </c>
      <c r="P980" s="11"/>
      <c r="Q980" s="21"/>
    </row>
    <row r="981">
      <c r="A981" s="9">
        <v>2.411000046E9</v>
      </c>
      <c r="B981" s="10" t="s">
        <v>21</v>
      </c>
      <c r="C981" s="9">
        <v>12.0</v>
      </c>
      <c r="D981" s="10" t="s">
        <v>136</v>
      </c>
      <c r="E981" s="9">
        <v>1.0</v>
      </c>
      <c r="F981" s="9">
        <v>127.0</v>
      </c>
      <c r="G981" s="9">
        <v>127.0</v>
      </c>
      <c r="H981" s="9">
        <v>0.0</v>
      </c>
      <c r="I981" s="9">
        <v>0.0</v>
      </c>
      <c r="J981" s="9">
        <v>127.0</v>
      </c>
      <c r="K981" s="9">
        <v>127.0</v>
      </c>
      <c r="L981" s="9">
        <v>0.6</v>
      </c>
      <c r="M981" s="9">
        <v>76.2</v>
      </c>
      <c r="N981" s="9">
        <v>50.8</v>
      </c>
      <c r="O981" s="12">
        <v>46023.0</v>
      </c>
      <c r="P981" s="11"/>
      <c r="Q981" s="21"/>
    </row>
    <row r="982">
      <c r="A982" s="9">
        <v>2.411000046E9</v>
      </c>
      <c r="B982" s="10" t="s">
        <v>21</v>
      </c>
      <c r="C982" s="9">
        <v>14.0</v>
      </c>
      <c r="D982" s="10" t="s">
        <v>138</v>
      </c>
      <c r="E982" s="9">
        <v>7.340909091</v>
      </c>
      <c r="F982" s="9">
        <v>44.0</v>
      </c>
      <c r="G982" s="9">
        <v>323.0</v>
      </c>
      <c r="H982" s="9">
        <v>0.0</v>
      </c>
      <c r="I982" s="9">
        <v>0.0</v>
      </c>
      <c r="J982" s="9">
        <v>44.0</v>
      </c>
      <c r="K982" s="9">
        <v>323.0</v>
      </c>
      <c r="L982" s="9">
        <v>5.8</v>
      </c>
      <c r="M982" s="9">
        <v>255.2</v>
      </c>
      <c r="N982" s="9">
        <v>67.8</v>
      </c>
      <c r="O982" s="12">
        <v>46023.0</v>
      </c>
      <c r="P982" s="11"/>
      <c r="Q982" s="23"/>
    </row>
    <row r="983">
      <c r="A983" s="9">
        <v>2.411000046E9</v>
      </c>
      <c r="B983" s="10" t="s">
        <v>21</v>
      </c>
      <c r="C983" s="9">
        <v>19.0</v>
      </c>
      <c r="D983" s="10" t="s">
        <v>72</v>
      </c>
      <c r="E983" s="9">
        <v>1.983870968</v>
      </c>
      <c r="F983" s="9">
        <v>124.0</v>
      </c>
      <c r="G983" s="9">
        <v>246.0</v>
      </c>
      <c r="H983" s="9">
        <v>0.0</v>
      </c>
      <c r="I983" s="9">
        <v>0.0</v>
      </c>
      <c r="J983" s="9">
        <v>124.0</v>
      </c>
      <c r="K983" s="9">
        <v>246.0</v>
      </c>
      <c r="L983" s="9">
        <v>1.33</v>
      </c>
      <c r="M983" s="9">
        <v>164.92</v>
      </c>
      <c r="N983" s="9">
        <v>81.08</v>
      </c>
      <c r="O983" s="12">
        <v>46023.0</v>
      </c>
      <c r="P983" s="11"/>
      <c r="Q983" s="23"/>
    </row>
    <row r="984">
      <c r="A984" s="9">
        <v>2.411000046E9</v>
      </c>
      <c r="B984" s="10" t="s">
        <v>21</v>
      </c>
      <c r="C984" s="9">
        <v>21.0</v>
      </c>
      <c r="D984" s="10" t="s">
        <v>79</v>
      </c>
      <c r="E984" s="9">
        <v>2.922413793</v>
      </c>
      <c r="F984" s="9">
        <v>116.0</v>
      </c>
      <c r="G984" s="9">
        <v>339.0</v>
      </c>
      <c r="H984" s="9">
        <v>0.0</v>
      </c>
      <c r="I984" s="9">
        <v>0.0</v>
      </c>
      <c r="J984" s="9">
        <v>116.0</v>
      </c>
      <c r="K984" s="9">
        <v>339.0</v>
      </c>
      <c r="L984" s="9">
        <v>2.25</v>
      </c>
      <c r="M984" s="9">
        <v>261.0</v>
      </c>
      <c r="N984" s="9">
        <v>78.0</v>
      </c>
      <c r="O984" s="12">
        <v>46023.0</v>
      </c>
      <c r="P984" s="11"/>
      <c r="Q984" s="23"/>
    </row>
    <row r="985">
      <c r="A985" s="9">
        <v>2.411000046E9</v>
      </c>
      <c r="B985" s="10" t="s">
        <v>21</v>
      </c>
      <c r="C985" s="9">
        <v>25.0</v>
      </c>
      <c r="D985" s="10" t="s">
        <v>144</v>
      </c>
      <c r="E985" s="9">
        <v>4.65</v>
      </c>
      <c r="F985" s="9">
        <v>40.0</v>
      </c>
      <c r="G985" s="9">
        <v>186.0</v>
      </c>
      <c r="H985" s="9">
        <v>0.0</v>
      </c>
      <c r="I985" s="9">
        <v>0.0</v>
      </c>
      <c r="J985" s="9">
        <v>40.0</v>
      </c>
      <c r="K985" s="9">
        <v>186.0</v>
      </c>
      <c r="L985" s="9">
        <v>5.0</v>
      </c>
      <c r="M985" s="9">
        <v>200.0</v>
      </c>
      <c r="N985" s="9">
        <v>-14.0</v>
      </c>
      <c r="O985" s="12">
        <v>46023.0</v>
      </c>
      <c r="P985" s="11"/>
      <c r="Q985" s="21"/>
    </row>
    <row r="986">
      <c r="A986" s="9">
        <v>2.411000046E9</v>
      </c>
      <c r="B986" s="10" t="s">
        <v>21</v>
      </c>
      <c r="C986" s="9">
        <v>27.0</v>
      </c>
      <c r="D986" s="10" t="s">
        <v>73</v>
      </c>
      <c r="E986" s="9">
        <v>3.9</v>
      </c>
      <c r="F986" s="9">
        <v>20.0</v>
      </c>
      <c r="G986" s="9">
        <v>78.0</v>
      </c>
      <c r="H986" s="9">
        <v>0.0</v>
      </c>
      <c r="I986" s="9">
        <v>0.0</v>
      </c>
      <c r="J986" s="9">
        <v>20.0</v>
      </c>
      <c r="K986" s="9">
        <v>78.0</v>
      </c>
      <c r="L986" s="9">
        <v>3.8</v>
      </c>
      <c r="M986" s="9">
        <v>76.0</v>
      </c>
      <c r="N986" s="9">
        <v>2.0</v>
      </c>
      <c r="O986" s="12">
        <v>46023.0</v>
      </c>
      <c r="P986" s="11"/>
      <c r="Q986" s="21"/>
    </row>
    <row r="987">
      <c r="A987" s="9">
        <v>2.411000046E9</v>
      </c>
      <c r="B987" s="10" t="s">
        <v>21</v>
      </c>
      <c r="C987" s="9">
        <v>28.0</v>
      </c>
      <c r="D987" s="10" t="s">
        <v>146</v>
      </c>
      <c r="E987" s="9">
        <v>5.727272727</v>
      </c>
      <c r="F987" s="9">
        <v>22.0</v>
      </c>
      <c r="G987" s="9">
        <v>126.0</v>
      </c>
      <c r="H987" s="9">
        <v>0.0</v>
      </c>
      <c r="I987" s="9">
        <v>0.0</v>
      </c>
      <c r="J987" s="9">
        <v>22.0</v>
      </c>
      <c r="K987" s="9">
        <v>126.0</v>
      </c>
      <c r="L987" s="9">
        <v>5.2</v>
      </c>
      <c r="M987" s="9">
        <v>114.4</v>
      </c>
      <c r="N987" s="9">
        <v>11.6</v>
      </c>
      <c r="O987" s="12">
        <v>46023.0</v>
      </c>
      <c r="P987" s="11"/>
      <c r="Q987" s="23"/>
    </row>
    <row r="988">
      <c r="A988" s="9">
        <v>2.411000046E9</v>
      </c>
      <c r="B988" s="10" t="s">
        <v>21</v>
      </c>
      <c r="C988" s="9">
        <v>29.0</v>
      </c>
      <c r="D988" s="10" t="s">
        <v>147</v>
      </c>
      <c r="E988" s="9">
        <v>3.0</v>
      </c>
      <c r="F988" s="9">
        <v>53.0</v>
      </c>
      <c r="G988" s="9">
        <v>159.0</v>
      </c>
      <c r="H988" s="9">
        <v>0.0</v>
      </c>
      <c r="I988" s="9">
        <v>0.0</v>
      </c>
      <c r="J988" s="9">
        <v>53.0</v>
      </c>
      <c r="K988" s="9">
        <v>159.0</v>
      </c>
      <c r="L988" s="9">
        <v>2.25</v>
      </c>
      <c r="M988" s="9">
        <v>119.25</v>
      </c>
      <c r="N988" s="9">
        <v>39.75</v>
      </c>
      <c r="O988" s="12">
        <v>46023.0</v>
      </c>
      <c r="P988" s="11"/>
      <c r="Q988" s="21"/>
    </row>
    <row r="989">
      <c r="A989" s="9">
        <v>2.411000046E9</v>
      </c>
      <c r="B989" s="10" t="s">
        <v>21</v>
      </c>
      <c r="C989" s="9">
        <v>30.0</v>
      </c>
      <c r="D989" s="10" t="s">
        <v>148</v>
      </c>
      <c r="E989" s="9">
        <v>6.0</v>
      </c>
      <c r="F989" s="9">
        <v>26.0</v>
      </c>
      <c r="G989" s="9">
        <v>156.0</v>
      </c>
      <c r="H989" s="9">
        <v>0.0</v>
      </c>
      <c r="I989" s="9">
        <v>0.0</v>
      </c>
      <c r="J989" s="9">
        <v>26.0</v>
      </c>
      <c r="K989" s="9">
        <v>156.0</v>
      </c>
      <c r="L989" s="9">
        <v>5.2</v>
      </c>
      <c r="M989" s="9">
        <v>135.2</v>
      </c>
      <c r="N989" s="9">
        <v>20.8</v>
      </c>
      <c r="O989" s="12">
        <v>46023.0</v>
      </c>
      <c r="P989" s="11"/>
      <c r="Q989" s="21"/>
    </row>
    <row r="990">
      <c r="A990" s="9">
        <v>2.411000046E9</v>
      </c>
      <c r="B990" s="10" t="s">
        <v>21</v>
      </c>
      <c r="C990" s="9">
        <v>32.0</v>
      </c>
      <c r="D990" s="10" t="s">
        <v>150</v>
      </c>
      <c r="E990" s="9">
        <v>3.0</v>
      </c>
      <c r="F990" s="9">
        <v>37.0</v>
      </c>
      <c r="G990" s="9">
        <v>111.0</v>
      </c>
      <c r="H990" s="9">
        <v>0.0</v>
      </c>
      <c r="I990" s="9">
        <v>0.0</v>
      </c>
      <c r="J990" s="9">
        <v>37.0</v>
      </c>
      <c r="K990" s="9">
        <v>111.0</v>
      </c>
      <c r="L990" s="9">
        <v>2.0</v>
      </c>
      <c r="M990" s="9">
        <v>74.0</v>
      </c>
      <c r="N990" s="9">
        <v>37.0</v>
      </c>
      <c r="O990" s="12">
        <v>46023.0</v>
      </c>
      <c r="P990" s="11"/>
      <c r="Q990" s="21"/>
    </row>
    <row r="991">
      <c r="A991" s="9">
        <v>2.411000046E9</v>
      </c>
      <c r="B991" s="10" t="s">
        <v>21</v>
      </c>
      <c r="C991" s="9">
        <v>33.0</v>
      </c>
      <c r="D991" s="10" t="s">
        <v>151</v>
      </c>
      <c r="E991" s="9">
        <v>4.0</v>
      </c>
      <c r="F991" s="9">
        <v>15.0</v>
      </c>
      <c r="G991" s="9">
        <v>60.0</v>
      </c>
      <c r="H991" s="9">
        <v>0.0</v>
      </c>
      <c r="I991" s="9">
        <v>0.0</v>
      </c>
      <c r="J991" s="9">
        <v>15.0</v>
      </c>
      <c r="K991" s="9">
        <v>60.0</v>
      </c>
      <c r="L991" s="9">
        <v>3.13</v>
      </c>
      <c r="M991" s="9">
        <v>46.95</v>
      </c>
      <c r="N991" s="9">
        <v>13.05</v>
      </c>
      <c r="O991" s="12">
        <v>46023.0</v>
      </c>
      <c r="P991" s="11"/>
      <c r="Q991" s="21"/>
    </row>
    <row r="992">
      <c r="A992" s="9">
        <v>2.411000046E9</v>
      </c>
      <c r="B992" s="10" t="s">
        <v>21</v>
      </c>
      <c r="C992" s="9">
        <v>36.0</v>
      </c>
      <c r="D992" s="10" t="s">
        <v>153</v>
      </c>
      <c r="E992" s="9">
        <v>4.0</v>
      </c>
      <c r="F992" s="9">
        <v>12.0</v>
      </c>
      <c r="G992" s="9">
        <v>48.0</v>
      </c>
      <c r="H992" s="9">
        <v>0.0</v>
      </c>
      <c r="I992" s="9">
        <v>0.0</v>
      </c>
      <c r="J992" s="9">
        <v>12.0</v>
      </c>
      <c r="K992" s="9">
        <v>48.0</v>
      </c>
      <c r="L992" s="9">
        <v>2.0</v>
      </c>
      <c r="M992" s="9">
        <v>24.0</v>
      </c>
      <c r="N992" s="9">
        <v>24.0</v>
      </c>
      <c r="O992" s="12">
        <v>46023.0</v>
      </c>
      <c r="P992" s="11"/>
      <c r="Q992" s="21"/>
    </row>
    <row r="993">
      <c r="A993" s="9">
        <v>2.411000046E9</v>
      </c>
      <c r="B993" s="10" t="s">
        <v>21</v>
      </c>
      <c r="C993" s="9">
        <v>37.0</v>
      </c>
      <c r="D993" s="10" t="s">
        <v>154</v>
      </c>
      <c r="E993" s="9">
        <v>1.0</v>
      </c>
      <c r="F993" s="9">
        <v>23.0</v>
      </c>
      <c r="G993" s="9">
        <v>23.0</v>
      </c>
      <c r="H993" s="9">
        <v>0.0</v>
      </c>
      <c r="I993" s="9">
        <v>0.0</v>
      </c>
      <c r="J993" s="9">
        <v>23.0</v>
      </c>
      <c r="K993" s="9">
        <v>23.0</v>
      </c>
      <c r="L993" s="9">
        <v>0.63</v>
      </c>
      <c r="M993" s="9">
        <v>14.49</v>
      </c>
      <c r="N993" s="9">
        <v>8.51</v>
      </c>
      <c r="O993" s="12">
        <v>46023.0</v>
      </c>
      <c r="P993" s="11"/>
      <c r="Q993" s="21"/>
    </row>
    <row r="994">
      <c r="A994" s="9">
        <v>2.411000046E9</v>
      </c>
      <c r="B994" s="10" t="s">
        <v>21</v>
      </c>
      <c r="C994" s="9">
        <v>38.0</v>
      </c>
      <c r="D994" s="10" t="s">
        <v>155</v>
      </c>
      <c r="E994" s="9">
        <v>8.125</v>
      </c>
      <c r="F994" s="9">
        <v>16.0</v>
      </c>
      <c r="G994" s="9">
        <v>130.0</v>
      </c>
      <c r="H994" s="9">
        <v>0.0</v>
      </c>
      <c r="I994" s="9">
        <v>0.0</v>
      </c>
      <c r="J994" s="9">
        <v>16.0</v>
      </c>
      <c r="K994" s="9">
        <v>130.0</v>
      </c>
      <c r="L994" s="9">
        <v>5.18</v>
      </c>
      <c r="M994" s="9">
        <v>82.88</v>
      </c>
      <c r="N994" s="9">
        <v>47.12</v>
      </c>
      <c r="O994" s="12">
        <v>46023.0</v>
      </c>
      <c r="P994" s="11"/>
      <c r="Q994" s="21"/>
    </row>
    <row r="995">
      <c r="A995" s="9">
        <v>2.411000046E9</v>
      </c>
      <c r="B995" s="10" t="s">
        <v>21</v>
      </c>
      <c r="C995" s="9">
        <v>41.0</v>
      </c>
      <c r="D995" s="10" t="s">
        <v>157</v>
      </c>
      <c r="E995" s="9">
        <v>5.0</v>
      </c>
      <c r="F995" s="9">
        <v>12.0</v>
      </c>
      <c r="G995" s="9">
        <v>60.0</v>
      </c>
      <c r="H995" s="9">
        <v>0.0</v>
      </c>
      <c r="I995" s="9">
        <v>0.0</v>
      </c>
      <c r="J995" s="9">
        <v>12.0</v>
      </c>
      <c r="K995" s="9">
        <v>60.0</v>
      </c>
      <c r="L995" s="9">
        <v>3.25</v>
      </c>
      <c r="M995" s="9">
        <v>39.0</v>
      </c>
      <c r="N995" s="9">
        <v>21.0</v>
      </c>
      <c r="O995" s="12">
        <v>46023.0</v>
      </c>
      <c r="P995" s="11"/>
      <c r="Q995" s="21"/>
    </row>
    <row r="996">
      <c r="A996" s="9">
        <v>2.411000046E9</v>
      </c>
      <c r="B996" s="10" t="s">
        <v>21</v>
      </c>
      <c r="C996" s="9">
        <v>44.0</v>
      </c>
      <c r="D996" s="10" t="s">
        <v>160</v>
      </c>
      <c r="E996" s="9">
        <v>5.0</v>
      </c>
      <c r="F996" s="9">
        <v>17.0</v>
      </c>
      <c r="G996" s="9">
        <v>85.0</v>
      </c>
      <c r="H996" s="9">
        <v>0.0</v>
      </c>
      <c r="I996" s="9">
        <v>0.0</v>
      </c>
      <c r="J996" s="9">
        <v>17.0</v>
      </c>
      <c r="K996" s="9">
        <v>85.0</v>
      </c>
      <c r="L996" s="9">
        <v>4.13</v>
      </c>
      <c r="M996" s="9">
        <v>70.21</v>
      </c>
      <c r="N996" s="9">
        <v>14.79</v>
      </c>
      <c r="O996" s="12">
        <v>46023.0</v>
      </c>
      <c r="P996" s="11"/>
      <c r="Q996" s="21"/>
    </row>
    <row r="997">
      <c r="A997" s="9">
        <v>2.411000046E9</v>
      </c>
      <c r="B997" s="10" t="s">
        <v>21</v>
      </c>
      <c r="C997" s="9">
        <v>48.0</v>
      </c>
      <c r="D997" s="10" t="s">
        <v>163</v>
      </c>
      <c r="E997" s="9">
        <v>3.0</v>
      </c>
      <c r="F997" s="9">
        <v>1.0</v>
      </c>
      <c r="G997" s="9">
        <v>3.0</v>
      </c>
      <c r="H997" s="9">
        <v>0.0</v>
      </c>
      <c r="I997" s="9">
        <v>0.0</v>
      </c>
      <c r="J997" s="9">
        <v>1.0</v>
      </c>
      <c r="K997" s="9">
        <v>3.0</v>
      </c>
      <c r="L997" s="9">
        <v>3.0</v>
      </c>
      <c r="M997" s="9">
        <v>3.0</v>
      </c>
      <c r="N997" s="9">
        <v>0.0</v>
      </c>
      <c r="O997" s="12">
        <v>46023.0</v>
      </c>
      <c r="P997" s="11"/>
      <c r="Q997" s="21"/>
    </row>
    <row r="998">
      <c r="A998" s="9">
        <v>2.411000046E9</v>
      </c>
      <c r="B998" s="10" t="s">
        <v>21</v>
      </c>
      <c r="C998" s="9">
        <v>52.0</v>
      </c>
      <c r="D998" s="10" t="s">
        <v>174</v>
      </c>
      <c r="E998" s="9">
        <v>5.0</v>
      </c>
      <c r="F998" s="9">
        <v>56.0</v>
      </c>
      <c r="G998" s="9">
        <v>280.0</v>
      </c>
      <c r="H998" s="9">
        <v>0.0</v>
      </c>
      <c r="I998" s="9">
        <v>0.0</v>
      </c>
      <c r="J998" s="9">
        <v>56.0</v>
      </c>
      <c r="K998" s="9">
        <v>280.0</v>
      </c>
      <c r="L998" s="9">
        <v>2.77</v>
      </c>
      <c r="M998" s="9">
        <v>155.12</v>
      </c>
      <c r="N998" s="9">
        <v>124.88</v>
      </c>
      <c r="O998" s="12">
        <v>46023.0</v>
      </c>
      <c r="P998" s="11"/>
      <c r="Q998" s="21"/>
    </row>
    <row r="999">
      <c r="A999" s="9">
        <v>2.411000046E9</v>
      </c>
      <c r="B999" s="10" t="s">
        <v>21</v>
      </c>
      <c r="C999" s="9">
        <v>54.0</v>
      </c>
      <c r="D999" s="10" t="s">
        <v>168</v>
      </c>
      <c r="E999" s="9">
        <v>3.0</v>
      </c>
      <c r="F999" s="9">
        <v>24.0</v>
      </c>
      <c r="G999" s="9">
        <v>72.0</v>
      </c>
      <c r="H999" s="9">
        <v>0.0</v>
      </c>
      <c r="I999" s="9">
        <v>0.0</v>
      </c>
      <c r="J999" s="9">
        <v>24.0</v>
      </c>
      <c r="K999" s="9">
        <v>72.0</v>
      </c>
      <c r="L999" s="9">
        <v>2.25</v>
      </c>
      <c r="M999" s="9">
        <v>54.0</v>
      </c>
      <c r="N999" s="9">
        <v>18.0</v>
      </c>
      <c r="O999" s="12">
        <v>46023.0</v>
      </c>
      <c r="P999" s="11"/>
      <c r="Q999" s="21"/>
    </row>
    <row r="1000">
      <c r="A1000" s="9">
        <v>2.411000046E9</v>
      </c>
      <c r="B1000" s="10" t="s">
        <v>21</v>
      </c>
      <c r="C1000" s="9">
        <v>64.0</v>
      </c>
      <c r="D1000" s="10" t="s">
        <v>173</v>
      </c>
      <c r="E1000" s="9">
        <v>3.0</v>
      </c>
      <c r="F1000" s="9">
        <v>36.0</v>
      </c>
      <c r="G1000" s="9">
        <v>108.0</v>
      </c>
      <c r="H1000" s="9">
        <v>0.0</v>
      </c>
      <c r="I1000" s="9">
        <v>0.0</v>
      </c>
      <c r="J1000" s="9">
        <v>36.0</v>
      </c>
      <c r="K1000" s="9">
        <v>108.0</v>
      </c>
      <c r="L1000" s="9">
        <v>2.08</v>
      </c>
      <c r="M1000" s="9">
        <v>74.88</v>
      </c>
      <c r="N1000" s="9">
        <v>33.12</v>
      </c>
      <c r="O1000" s="12">
        <v>46023.0</v>
      </c>
      <c r="P1000" s="11"/>
      <c r="Q1000" s="21"/>
    </row>
    <row r="1001">
      <c r="A1001" s="9">
        <v>2.411000046E9</v>
      </c>
      <c r="B1001" s="10" t="s">
        <v>21</v>
      </c>
      <c r="C1001" s="9">
        <v>70.0</v>
      </c>
      <c r="D1001" s="10" t="s">
        <v>175</v>
      </c>
      <c r="E1001" s="9">
        <v>5.0</v>
      </c>
      <c r="F1001" s="9">
        <v>12.0</v>
      </c>
      <c r="G1001" s="9">
        <v>60.0</v>
      </c>
      <c r="H1001" s="9">
        <v>0.0</v>
      </c>
      <c r="I1001" s="9">
        <v>0.0</v>
      </c>
      <c r="J1001" s="9">
        <v>12.0</v>
      </c>
      <c r="K1001" s="9">
        <v>60.0</v>
      </c>
      <c r="L1001" s="9">
        <v>2.83</v>
      </c>
      <c r="M1001" s="9">
        <v>33.96</v>
      </c>
      <c r="N1001" s="9">
        <v>26.04</v>
      </c>
      <c r="O1001" s="12">
        <v>46023.0</v>
      </c>
      <c r="P1001" s="11"/>
      <c r="Q1001" s="21"/>
    </row>
    <row r="1002">
      <c r="A1002" s="9">
        <v>2.411000046E9</v>
      </c>
      <c r="B1002" s="10" t="s">
        <v>21</v>
      </c>
      <c r="C1002" s="9">
        <v>71.0</v>
      </c>
      <c r="D1002" s="10" t="s">
        <v>176</v>
      </c>
      <c r="E1002" s="9">
        <v>5.0</v>
      </c>
      <c r="F1002" s="9">
        <v>1.0</v>
      </c>
      <c r="G1002" s="9">
        <v>5.0</v>
      </c>
      <c r="H1002" s="9">
        <v>0.0</v>
      </c>
      <c r="I1002" s="9">
        <v>0.0</v>
      </c>
      <c r="J1002" s="9">
        <v>1.0</v>
      </c>
      <c r="K1002" s="9">
        <v>5.0</v>
      </c>
      <c r="L1002" s="9">
        <v>1.6</v>
      </c>
      <c r="M1002" s="9">
        <v>1.6</v>
      </c>
      <c r="N1002" s="9">
        <v>3.4</v>
      </c>
      <c r="O1002" s="12">
        <v>46023.0</v>
      </c>
      <c r="P1002" s="11"/>
      <c r="Q1002" s="21"/>
    </row>
    <row r="1003">
      <c r="A1003" s="9">
        <v>2.411000046E9</v>
      </c>
      <c r="B1003" s="10" t="s">
        <v>21</v>
      </c>
      <c r="C1003" s="9">
        <v>73.0</v>
      </c>
      <c r="D1003" s="10" t="s">
        <v>177</v>
      </c>
      <c r="E1003" s="9">
        <v>3.0</v>
      </c>
      <c r="F1003" s="9">
        <v>2.0</v>
      </c>
      <c r="G1003" s="9">
        <v>6.0</v>
      </c>
      <c r="H1003" s="9">
        <v>0.0</v>
      </c>
      <c r="I1003" s="9">
        <v>0.0</v>
      </c>
      <c r="J1003" s="9">
        <v>2.0</v>
      </c>
      <c r="K1003" s="9">
        <v>6.0</v>
      </c>
      <c r="L1003" s="9">
        <v>2.17</v>
      </c>
      <c r="M1003" s="9">
        <v>4.34</v>
      </c>
      <c r="N1003" s="9">
        <v>1.66</v>
      </c>
      <c r="O1003" s="12">
        <v>46023.0</v>
      </c>
      <c r="P1003" s="11"/>
      <c r="Q1003" s="21"/>
    </row>
    <row r="1004">
      <c r="A1004" s="9">
        <v>2.411000046E9</v>
      </c>
      <c r="B1004" s="10" t="s">
        <v>21</v>
      </c>
      <c r="C1004" s="9">
        <v>87.0</v>
      </c>
      <c r="D1004" s="10" t="s">
        <v>202</v>
      </c>
      <c r="E1004" s="9">
        <v>3.131578947</v>
      </c>
      <c r="F1004" s="9">
        <v>38.0</v>
      </c>
      <c r="G1004" s="9">
        <v>119.0</v>
      </c>
      <c r="H1004" s="9">
        <v>0.0</v>
      </c>
      <c r="I1004" s="9">
        <v>0.0</v>
      </c>
      <c r="J1004" s="9">
        <v>38.0</v>
      </c>
      <c r="K1004" s="9">
        <v>119.0</v>
      </c>
      <c r="L1004" s="9">
        <v>1.87</v>
      </c>
      <c r="M1004" s="9">
        <v>71.06</v>
      </c>
      <c r="N1004" s="9">
        <v>47.94</v>
      </c>
      <c r="O1004" s="12">
        <v>46023.0</v>
      </c>
      <c r="P1004" s="11"/>
      <c r="Q1004" s="23"/>
    </row>
    <row r="1005">
      <c r="A1005" s="9">
        <v>2.411000046E9</v>
      </c>
      <c r="B1005" s="10" t="s">
        <v>21</v>
      </c>
      <c r="C1005" s="9">
        <v>90.0</v>
      </c>
      <c r="D1005" s="10" t="s">
        <v>207</v>
      </c>
      <c r="E1005" s="9">
        <v>1.0</v>
      </c>
      <c r="F1005" s="9">
        <v>1.0</v>
      </c>
      <c r="G1005" s="9">
        <v>1.0</v>
      </c>
      <c r="H1005" s="9">
        <v>0.0</v>
      </c>
      <c r="I1005" s="9">
        <v>0.0</v>
      </c>
      <c r="J1005" s="9">
        <v>1.0</v>
      </c>
      <c r="K1005" s="9">
        <v>1.0</v>
      </c>
      <c r="L1005" s="9">
        <v>0.47</v>
      </c>
      <c r="M1005" s="9">
        <v>0.47</v>
      </c>
      <c r="N1005" s="9">
        <v>0.53</v>
      </c>
      <c r="O1005" s="12">
        <v>46023.0</v>
      </c>
      <c r="P1005" s="11"/>
      <c r="Q1005" s="21"/>
    </row>
    <row r="1006">
      <c r="A1006" s="9">
        <v>2.411000046E9</v>
      </c>
      <c r="B1006" s="10" t="s">
        <v>21</v>
      </c>
      <c r="C1006" s="9">
        <v>91.0</v>
      </c>
      <c r="D1006" s="10" t="s">
        <v>208</v>
      </c>
      <c r="E1006" s="9">
        <v>5.0</v>
      </c>
      <c r="F1006" s="9">
        <v>37.0</v>
      </c>
      <c r="G1006" s="9">
        <v>185.0</v>
      </c>
      <c r="H1006" s="9">
        <v>0.0</v>
      </c>
      <c r="I1006" s="9">
        <v>0.0</v>
      </c>
      <c r="J1006" s="9">
        <v>37.0</v>
      </c>
      <c r="K1006" s="9">
        <v>185.0</v>
      </c>
      <c r="L1006" s="9">
        <v>3.5</v>
      </c>
      <c r="M1006" s="9">
        <v>129.5</v>
      </c>
      <c r="N1006" s="9">
        <v>55.5</v>
      </c>
      <c r="O1006" s="12">
        <v>46023.0</v>
      </c>
      <c r="P1006" s="11"/>
      <c r="Q1006" s="21"/>
    </row>
    <row r="1007">
      <c r="A1007" s="9">
        <v>2.411000046E9</v>
      </c>
      <c r="B1007" s="10" t="s">
        <v>21</v>
      </c>
      <c r="C1007" s="9">
        <v>92.0</v>
      </c>
      <c r="D1007" s="10" t="s">
        <v>209</v>
      </c>
      <c r="E1007" s="9">
        <v>5.0</v>
      </c>
      <c r="F1007" s="9">
        <v>20.0</v>
      </c>
      <c r="G1007" s="9">
        <v>100.0</v>
      </c>
      <c r="H1007" s="9">
        <v>0.0</v>
      </c>
      <c r="I1007" s="9">
        <v>0.0</v>
      </c>
      <c r="J1007" s="9">
        <v>20.0</v>
      </c>
      <c r="K1007" s="9">
        <v>100.0</v>
      </c>
      <c r="L1007" s="9">
        <v>3.5</v>
      </c>
      <c r="M1007" s="9">
        <v>70.0</v>
      </c>
      <c r="N1007" s="9">
        <v>30.0</v>
      </c>
      <c r="O1007" s="12">
        <v>46023.0</v>
      </c>
      <c r="P1007" s="11"/>
      <c r="Q1007" s="21"/>
    </row>
    <row r="1008">
      <c r="A1008" s="9">
        <v>2.411000046E9</v>
      </c>
      <c r="B1008" s="10" t="s">
        <v>21</v>
      </c>
      <c r="C1008" s="9">
        <v>93.0</v>
      </c>
      <c r="D1008" s="10" t="s">
        <v>210</v>
      </c>
      <c r="E1008" s="9">
        <v>5.0</v>
      </c>
      <c r="F1008" s="9">
        <v>11.0</v>
      </c>
      <c r="G1008" s="9">
        <v>55.0</v>
      </c>
      <c r="H1008" s="9">
        <v>0.0</v>
      </c>
      <c r="I1008" s="9">
        <v>0.0</v>
      </c>
      <c r="J1008" s="9">
        <v>11.0</v>
      </c>
      <c r="K1008" s="9">
        <v>55.0</v>
      </c>
      <c r="L1008" s="9">
        <v>3.5</v>
      </c>
      <c r="M1008" s="9">
        <v>38.5</v>
      </c>
      <c r="N1008" s="9">
        <v>16.5</v>
      </c>
      <c r="O1008" s="12">
        <v>46023.0</v>
      </c>
      <c r="P1008" s="11"/>
      <c r="Q1008" s="21"/>
    </row>
    <row r="1009">
      <c r="A1009" s="9">
        <v>2.411000046E9</v>
      </c>
      <c r="B1009" s="10" t="s">
        <v>21</v>
      </c>
      <c r="C1009" s="9">
        <v>94.0</v>
      </c>
      <c r="D1009" s="10" t="s">
        <v>211</v>
      </c>
      <c r="E1009" s="9">
        <v>5.0</v>
      </c>
      <c r="F1009" s="9">
        <v>10.0</v>
      </c>
      <c r="G1009" s="9">
        <v>50.0</v>
      </c>
      <c r="H1009" s="9">
        <v>0.0</v>
      </c>
      <c r="I1009" s="9">
        <v>0.0</v>
      </c>
      <c r="J1009" s="9">
        <v>10.0</v>
      </c>
      <c r="K1009" s="9">
        <v>50.0</v>
      </c>
      <c r="L1009" s="9">
        <v>3.5</v>
      </c>
      <c r="M1009" s="9">
        <v>35.0</v>
      </c>
      <c r="N1009" s="9">
        <v>15.0</v>
      </c>
      <c r="O1009" s="12">
        <v>46023.0</v>
      </c>
      <c r="P1009" s="11"/>
      <c r="Q1009" s="21"/>
    </row>
    <row r="1010">
      <c r="A1010" s="9">
        <v>2.411000046E9</v>
      </c>
      <c r="B1010" s="10" t="s">
        <v>21</v>
      </c>
      <c r="C1010" s="9">
        <v>96.0</v>
      </c>
      <c r="D1010" s="10" t="s">
        <v>212</v>
      </c>
      <c r="E1010" s="9">
        <v>5.0</v>
      </c>
      <c r="F1010" s="9">
        <v>24.0</v>
      </c>
      <c r="G1010" s="9">
        <v>120.0</v>
      </c>
      <c r="H1010" s="9">
        <v>0.0</v>
      </c>
      <c r="I1010" s="9">
        <v>0.0</v>
      </c>
      <c r="J1010" s="9">
        <v>24.0</v>
      </c>
      <c r="K1010" s="9">
        <v>120.0</v>
      </c>
      <c r="L1010" s="9">
        <v>2.66</v>
      </c>
      <c r="M1010" s="9">
        <v>63.84</v>
      </c>
      <c r="N1010" s="9">
        <v>56.16</v>
      </c>
      <c r="O1010" s="12">
        <v>46023.0</v>
      </c>
      <c r="P1010" s="11"/>
      <c r="Q1010" s="21"/>
    </row>
    <row r="1011">
      <c r="A1011" s="9">
        <v>2.411000046E9</v>
      </c>
      <c r="B1011" s="10" t="s">
        <v>21</v>
      </c>
      <c r="C1011" s="9">
        <v>97.0</v>
      </c>
      <c r="D1011" s="10" t="s">
        <v>115</v>
      </c>
      <c r="E1011" s="9">
        <v>5.0</v>
      </c>
      <c r="F1011" s="9">
        <v>3.0</v>
      </c>
      <c r="G1011" s="9">
        <v>15.0</v>
      </c>
      <c r="H1011" s="9">
        <v>0.0</v>
      </c>
      <c r="I1011" s="9">
        <v>0.0</v>
      </c>
      <c r="J1011" s="9">
        <v>3.0</v>
      </c>
      <c r="K1011" s="9">
        <v>15.0</v>
      </c>
      <c r="L1011" s="9">
        <v>3.5</v>
      </c>
      <c r="M1011" s="9">
        <v>10.5</v>
      </c>
      <c r="N1011" s="9">
        <v>4.5</v>
      </c>
      <c r="O1011" s="12">
        <v>46023.0</v>
      </c>
      <c r="P1011" s="11"/>
      <c r="Q1011" s="21"/>
    </row>
    <row r="1012">
      <c r="A1012" s="9">
        <v>2.411000046E9</v>
      </c>
      <c r="B1012" s="10" t="s">
        <v>21</v>
      </c>
      <c r="C1012" s="9">
        <v>98.0</v>
      </c>
      <c r="D1012" s="10" t="s">
        <v>118</v>
      </c>
      <c r="E1012" s="9">
        <v>5.0</v>
      </c>
      <c r="F1012" s="9">
        <v>13.0</v>
      </c>
      <c r="G1012" s="9">
        <v>65.0</v>
      </c>
      <c r="H1012" s="9">
        <v>0.0</v>
      </c>
      <c r="I1012" s="9">
        <v>0.0</v>
      </c>
      <c r="J1012" s="9">
        <v>13.0</v>
      </c>
      <c r="K1012" s="9">
        <v>65.0</v>
      </c>
      <c r="L1012" s="9">
        <v>3.17</v>
      </c>
      <c r="M1012" s="9">
        <v>41.21</v>
      </c>
      <c r="N1012" s="9">
        <v>23.79</v>
      </c>
      <c r="O1012" s="12">
        <v>46023.0</v>
      </c>
      <c r="P1012" s="11"/>
      <c r="Q1012" s="21"/>
    </row>
    <row r="1013">
      <c r="A1013" s="9">
        <v>2.411000046E9</v>
      </c>
      <c r="B1013" s="10" t="s">
        <v>21</v>
      </c>
      <c r="C1013" s="9">
        <v>99.0</v>
      </c>
      <c r="D1013" s="10" t="s">
        <v>213</v>
      </c>
      <c r="E1013" s="9">
        <v>3.0</v>
      </c>
      <c r="F1013" s="9">
        <v>19.0</v>
      </c>
      <c r="G1013" s="9">
        <v>57.0</v>
      </c>
      <c r="H1013" s="9">
        <v>0.0</v>
      </c>
      <c r="I1013" s="9">
        <v>0.0</v>
      </c>
      <c r="J1013" s="9">
        <v>19.0</v>
      </c>
      <c r="K1013" s="9">
        <v>57.0</v>
      </c>
      <c r="L1013" s="9">
        <v>2.25</v>
      </c>
      <c r="M1013" s="9">
        <v>42.75</v>
      </c>
      <c r="N1013" s="9">
        <v>14.25</v>
      </c>
      <c r="O1013" s="12">
        <v>46023.0</v>
      </c>
      <c r="P1013" s="11"/>
      <c r="Q1013" s="21"/>
    </row>
    <row r="1014">
      <c r="A1014" s="9">
        <v>2.411000046E9</v>
      </c>
      <c r="B1014" s="10" t="s">
        <v>21</v>
      </c>
      <c r="C1014" s="9">
        <v>106.0</v>
      </c>
      <c r="D1014" s="10" t="s">
        <v>214</v>
      </c>
      <c r="E1014" s="9">
        <v>7.0</v>
      </c>
      <c r="F1014" s="9">
        <v>12.0</v>
      </c>
      <c r="G1014" s="9">
        <v>84.0</v>
      </c>
      <c r="H1014" s="9">
        <v>0.0</v>
      </c>
      <c r="I1014" s="9">
        <v>0.0</v>
      </c>
      <c r="J1014" s="9">
        <v>12.0</v>
      </c>
      <c r="K1014" s="9">
        <v>84.0</v>
      </c>
      <c r="L1014" s="9">
        <v>4.79</v>
      </c>
      <c r="M1014" s="9">
        <v>57.48</v>
      </c>
      <c r="N1014" s="9">
        <v>26.52</v>
      </c>
      <c r="O1014" s="12">
        <v>46023.0</v>
      </c>
      <c r="P1014" s="11"/>
      <c r="Q1014" s="21"/>
    </row>
    <row r="1015">
      <c r="A1015" s="9">
        <v>2.411000046E9</v>
      </c>
      <c r="B1015" s="10" t="s">
        <v>21</v>
      </c>
      <c r="C1015" s="9">
        <v>111.0</v>
      </c>
      <c r="D1015" s="10" t="s">
        <v>215</v>
      </c>
      <c r="E1015" s="9">
        <v>1.0</v>
      </c>
      <c r="F1015" s="9">
        <v>21.0</v>
      </c>
      <c r="G1015" s="9">
        <v>21.0</v>
      </c>
      <c r="H1015" s="9">
        <v>0.0</v>
      </c>
      <c r="I1015" s="9">
        <v>0.0</v>
      </c>
      <c r="J1015" s="9">
        <v>21.0</v>
      </c>
      <c r="K1015" s="9">
        <v>21.0</v>
      </c>
      <c r="L1015" s="9">
        <v>0.68</v>
      </c>
      <c r="M1015" s="9">
        <v>14.28</v>
      </c>
      <c r="N1015" s="9">
        <v>6.72</v>
      </c>
      <c r="O1015" s="12">
        <v>46023.0</v>
      </c>
      <c r="P1015" s="11"/>
      <c r="Q1015" s="21"/>
    </row>
    <row r="1016">
      <c r="A1016" s="9">
        <v>2.411000046E9</v>
      </c>
      <c r="B1016" s="10" t="s">
        <v>21</v>
      </c>
      <c r="C1016" s="9">
        <v>112.0</v>
      </c>
      <c r="D1016" s="10" t="s">
        <v>216</v>
      </c>
      <c r="E1016" s="9">
        <v>5.0</v>
      </c>
      <c r="F1016" s="9">
        <v>6.0</v>
      </c>
      <c r="G1016" s="9">
        <v>30.0</v>
      </c>
      <c r="H1016" s="9">
        <v>0.0</v>
      </c>
      <c r="I1016" s="9">
        <v>0.0</v>
      </c>
      <c r="J1016" s="9">
        <v>6.0</v>
      </c>
      <c r="K1016" s="9">
        <v>30.0</v>
      </c>
      <c r="L1016" s="9">
        <v>2.18</v>
      </c>
      <c r="M1016" s="9">
        <v>13.08</v>
      </c>
      <c r="N1016" s="9">
        <v>16.92</v>
      </c>
      <c r="O1016" s="12">
        <v>46023.0</v>
      </c>
      <c r="P1016" s="11"/>
      <c r="Q1016" s="21"/>
    </row>
    <row r="1017">
      <c r="A1017" s="9">
        <v>2.411000046E9</v>
      </c>
      <c r="B1017" s="10" t="s">
        <v>21</v>
      </c>
      <c r="C1017" s="9">
        <v>113.0</v>
      </c>
      <c r="D1017" s="10" t="s">
        <v>217</v>
      </c>
      <c r="E1017" s="9">
        <v>4.0</v>
      </c>
      <c r="F1017" s="9">
        <v>7.0</v>
      </c>
      <c r="G1017" s="9">
        <v>28.0</v>
      </c>
      <c r="H1017" s="9">
        <v>0.0</v>
      </c>
      <c r="I1017" s="9">
        <v>0.0</v>
      </c>
      <c r="J1017" s="9">
        <v>7.0</v>
      </c>
      <c r="K1017" s="9">
        <v>28.0</v>
      </c>
      <c r="L1017" s="9">
        <v>2.18</v>
      </c>
      <c r="M1017" s="9">
        <v>15.26</v>
      </c>
      <c r="N1017" s="9">
        <v>12.74</v>
      </c>
      <c r="O1017" s="12">
        <v>46023.0</v>
      </c>
      <c r="P1017" s="11"/>
      <c r="Q1017" s="21"/>
    </row>
    <row r="1018">
      <c r="A1018" s="9">
        <v>2.411000046E9</v>
      </c>
      <c r="B1018" s="10" t="s">
        <v>21</v>
      </c>
      <c r="C1018" s="9">
        <v>114.0</v>
      </c>
      <c r="D1018" s="10" t="s">
        <v>218</v>
      </c>
      <c r="E1018" s="9">
        <v>5.0</v>
      </c>
      <c r="F1018" s="9">
        <v>14.0</v>
      </c>
      <c r="G1018" s="9">
        <v>70.0</v>
      </c>
      <c r="H1018" s="9">
        <v>0.0</v>
      </c>
      <c r="I1018" s="9">
        <v>0.0</v>
      </c>
      <c r="J1018" s="9">
        <v>14.0</v>
      </c>
      <c r="K1018" s="9">
        <v>70.0</v>
      </c>
      <c r="L1018" s="9">
        <v>2.25</v>
      </c>
      <c r="M1018" s="9">
        <v>31.5</v>
      </c>
      <c r="N1018" s="9">
        <v>38.5</v>
      </c>
      <c r="O1018" s="12">
        <v>46023.0</v>
      </c>
      <c r="P1018" s="11"/>
      <c r="Q1018" s="21"/>
    </row>
    <row r="1019">
      <c r="A1019" s="9">
        <v>2.411000046E9</v>
      </c>
      <c r="B1019" s="10" t="s">
        <v>21</v>
      </c>
      <c r="C1019" s="9">
        <v>122.0</v>
      </c>
      <c r="D1019" s="10" t="s">
        <v>219</v>
      </c>
      <c r="E1019" s="9">
        <v>5.0</v>
      </c>
      <c r="F1019" s="9">
        <v>8.0</v>
      </c>
      <c r="G1019" s="9">
        <v>40.0</v>
      </c>
      <c r="H1019" s="9">
        <v>0.0</v>
      </c>
      <c r="I1019" s="9">
        <v>0.0</v>
      </c>
      <c r="J1019" s="9">
        <v>8.0</v>
      </c>
      <c r="K1019" s="9">
        <v>40.0</v>
      </c>
      <c r="L1019" s="9">
        <v>3.6</v>
      </c>
      <c r="M1019" s="9">
        <v>28.8</v>
      </c>
      <c r="N1019" s="9">
        <v>11.2</v>
      </c>
      <c r="O1019" s="12">
        <v>46023.0</v>
      </c>
      <c r="P1019" s="11"/>
      <c r="Q1019" s="21"/>
    </row>
    <row r="1020">
      <c r="A1020" s="9">
        <v>2.411000046E9</v>
      </c>
      <c r="B1020" s="10" t="s">
        <v>21</v>
      </c>
      <c r="C1020" s="9">
        <v>123.0</v>
      </c>
      <c r="D1020" s="10" t="s">
        <v>220</v>
      </c>
      <c r="E1020" s="9">
        <v>5.0</v>
      </c>
      <c r="F1020" s="9">
        <v>9.0</v>
      </c>
      <c r="G1020" s="9">
        <v>45.0</v>
      </c>
      <c r="H1020" s="9">
        <v>0.0</v>
      </c>
      <c r="I1020" s="9">
        <v>0.0</v>
      </c>
      <c r="J1020" s="9">
        <v>9.0</v>
      </c>
      <c r="K1020" s="9">
        <v>45.0</v>
      </c>
      <c r="L1020" s="9">
        <v>3.8</v>
      </c>
      <c r="M1020" s="9">
        <v>34.2</v>
      </c>
      <c r="N1020" s="9">
        <v>10.8</v>
      </c>
      <c r="O1020" s="12">
        <v>46023.0</v>
      </c>
      <c r="P1020" s="11"/>
      <c r="Q1020" s="21"/>
    </row>
    <row r="1021">
      <c r="A1021" s="9">
        <v>2.503000216E9</v>
      </c>
      <c r="B1021" s="10" t="s">
        <v>23</v>
      </c>
      <c r="C1021" s="9">
        <v>1.0</v>
      </c>
      <c r="D1021" s="10" t="s">
        <v>129</v>
      </c>
      <c r="E1021" s="9">
        <v>5.0</v>
      </c>
      <c r="F1021" s="9">
        <v>35.0</v>
      </c>
      <c r="G1021" s="9">
        <v>175.0</v>
      </c>
      <c r="H1021" s="9">
        <v>0.0</v>
      </c>
      <c r="I1021" s="9">
        <v>0.0</v>
      </c>
      <c r="J1021" s="9">
        <v>35.0</v>
      </c>
      <c r="K1021" s="9">
        <v>175.0</v>
      </c>
      <c r="L1021" s="9">
        <v>2.66</v>
      </c>
      <c r="M1021" s="9">
        <v>93.1</v>
      </c>
      <c r="N1021" s="9">
        <v>81.9</v>
      </c>
      <c r="O1021" s="12">
        <v>46023.0</v>
      </c>
      <c r="P1021" s="11"/>
      <c r="Q1021" s="21"/>
    </row>
    <row r="1022">
      <c r="A1022" s="9">
        <v>2.503000216E9</v>
      </c>
      <c r="B1022" s="10" t="s">
        <v>23</v>
      </c>
      <c r="C1022" s="9">
        <v>1.0</v>
      </c>
      <c r="D1022" s="10" t="s">
        <v>129</v>
      </c>
      <c r="E1022" s="9">
        <v>5.147058824</v>
      </c>
      <c r="F1022" s="9">
        <v>68.0</v>
      </c>
      <c r="G1022" s="9">
        <v>350.0</v>
      </c>
      <c r="H1022" s="9">
        <v>0.0</v>
      </c>
      <c r="I1022" s="9">
        <v>0.0</v>
      </c>
      <c r="J1022" s="9">
        <v>68.0</v>
      </c>
      <c r="K1022" s="9">
        <v>350.0</v>
      </c>
      <c r="L1022" s="9">
        <v>2.66</v>
      </c>
      <c r="M1022" s="9">
        <v>180.88</v>
      </c>
      <c r="N1022" s="9">
        <v>169.12</v>
      </c>
      <c r="O1022" s="12">
        <v>46023.0</v>
      </c>
      <c r="P1022" s="11"/>
      <c r="Q1022" s="23"/>
    </row>
    <row r="1023">
      <c r="A1023" s="9">
        <v>2.503000216E9</v>
      </c>
      <c r="B1023" s="10" t="s">
        <v>23</v>
      </c>
      <c r="C1023" s="9">
        <v>2.0</v>
      </c>
      <c r="D1023" s="10" t="s">
        <v>74</v>
      </c>
      <c r="E1023" s="9">
        <v>1.0</v>
      </c>
      <c r="F1023" s="9">
        <v>1082.0</v>
      </c>
      <c r="G1023" s="9">
        <v>1082.0</v>
      </c>
      <c r="H1023" s="9">
        <v>0.0</v>
      </c>
      <c r="I1023" s="9">
        <v>0.0</v>
      </c>
      <c r="J1023" s="9">
        <v>1082.0</v>
      </c>
      <c r="K1023" s="9">
        <v>1082.0</v>
      </c>
      <c r="L1023" s="9">
        <v>0.3</v>
      </c>
      <c r="M1023" s="9">
        <v>324.6</v>
      </c>
      <c r="N1023" s="9">
        <v>757.4</v>
      </c>
      <c r="O1023" s="12">
        <v>46023.0</v>
      </c>
      <c r="P1023" s="11"/>
      <c r="Q1023" s="21"/>
    </row>
    <row r="1024">
      <c r="A1024" s="9">
        <v>2.503000216E9</v>
      </c>
      <c r="B1024" s="10" t="s">
        <v>23</v>
      </c>
      <c r="C1024" s="9">
        <v>3.0</v>
      </c>
      <c r="D1024" s="10" t="s">
        <v>125</v>
      </c>
      <c r="E1024" s="9">
        <v>7.0</v>
      </c>
      <c r="F1024" s="9">
        <v>9.0</v>
      </c>
      <c r="G1024" s="9">
        <v>63.0</v>
      </c>
      <c r="H1024" s="9">
        <v>0.0</v>
      </c>
      <c r="I1024" s="9">
        <v>0.0</v>
      </c>
      <c r="J1024" s="9">
        <v>9.0</v>
      </c>
      <c r="K1024" s="9">
        <v>63.0</v>
      </c>
      <c r="L1024" s="9">
        <v>6.2</v>
      </c>
      <c r="M1024" s="9">
        <v>55.8</v>
      </c>
      <c r="N1024" s="9">
        <v>7.2</v>
      </c>
      <c r="O1024" s="12">
        <v>46023.0</v>
      </c>
      <c r="P1024" s="11"/>
      <c r="Q1024" s="21"/>
    </row>
    <row r="1025">
      <c r="A1025" s="9">
        <v>2.503000216E9</v>
      </c>
      <c r="B1025" s="10" t="s">
        <v>23</v>
      </c>
      <c r="C1025" s="9">
        <v>5.0</v>
      </c>
      <c r="D1025" s="10" t="s">
        <v>131</v>
      </c>
      <c r="E1025" s="9">
        <v>3.0</v>
      </c>
      <c r="F1025" s="9">
        <v>40.0</v>
      </c>
      <c r="G1025" s="9">
        <v>120.0</v>
      </c>
      <c r="H1025" s="9">
        <v>0.0</v>
      </c>
      <c r="I1025" s="9">
        <v>0.0</v>
      </c>
      <c r="J1025" s="9">
        <v>40.0</v>
      </c>
      <c r="K1025" s="9">
        <v>120.0</v>
      </c>
      <c r="L1025" s="9">
        <v>2.0</v>
      </c>
      <c r="M1025" s="9">
        <v>80.0</v>
      </c>
      <c r="N1025" s="9">
        <v>40.0</v>
      </c>
      <c r="O1025" s="12">
        <v>46023.0</v>
      </c>
      <c r="P1025" s="11"/>
      <c r="Q1025" s="21"/>
    </row>
    <row r="1026">
      <c r="A1026" s="9">
        <v>2.503000216E9</v>
      </c>
      <c r="B1026" s="10" t="s">
        <v>23</v>
      </c>
      <c r="C1026" s="9">
        <v>6.0</v>
      </c>
      <c r="D1026" s="10" t="s">
        <v>206</v>
      </c>
      <c r="E1026" s="9">
        <v>5.086956522</v>
      </c>
      <c r="F1026" s="9">
        <v>23.0</v>
      </c>
      <c r="G1026" s="9">
        <v>117.0</v>
      </c>
      <c r="H1026" s="9">
        <v>0.0</v>
      </c>
      <c r="I1026" s="9">
        <v>0.0</v>
      </c>
      <c r="J1026" s="9">
        <v>23.0</v>
      </c>
      <c r="K1026" s="9">
        <v>117.0</v>
      </c>
      <c r="L1026" s="9">
        <v>3.5</v>
      </c>
      <c r="M1026" s="9">
        <v>80.5</v>
      </c>
      <c r="N1026" s="9">
        <v>36.5</v>
      </c>
      <c r="O1026" s="12">
        <v>46023.0</v>
      </c>
      <c r="P1026" s="11"/>
      <c r="Q1026" s="23"/>
    </row>
    <row r="1027">
      <c r="A1027" s="9">
        <v>2.503000216E9</v>
      </c>
      <c r="B1027" s="10" t="s">
        <v>23</v>
      </c>
      <c r="C1027" s="9">
        <v>6.0</v>
      </c>
      <c r="D1027" s="10" t="s">
        <v>109</v>
      </c>
      <c r="E1027" s="9">
        <v>5.0</v>
      </c>
      <c r="F1027" s="9">
        <v>47.0</v>
      </c>
      <c r="G1027" s="9">
        <v>235.0</v>
      </c>
      <c r="H1027" s="9">
        <v>0.0</v>
      </c>
      <c r="I1027" s="9">
        <v>0.0</v>
      </c>
      <c r="J1027" s="9">
        <v>47.0</v>
      </c>
      <c r="K1027" s="9">
        <v>235.0</v>
      </c>
      <c r="L1027" s="9">
        <v>3.5</v>
      </c>
      <c r="M1027" s="9">
        <v>164.5</v>
      </c>
      <c r="N1027" s="9">
        <v>70.5</v>
      </c>
      <c r="O1027" s="12">
        <v>46023.0</v>
      </c>
      <c r="P1027" s="11"/>
      <c r="Q1027" s="21"/>
    </row>
    <row r="1028">
      <c r="A1028" s="9">
        <v>2.503000216E9</v>
      </c>
      <c r="B1028" s="10" t="s">
        <v>23</v>
      </c>
      <c r="C1028" s="9">
        <v>10.0</v>
      </c>
      <c r="D1028" s="10" t="s">
        <v>135</v>
      </c>
      <c r="E1028" s="9">
        <v>8.0</v>
      </c>
      <c r="F1028" s="9">
        <v>32.0</v>
      </c>
      <c r="G1028" s="9">
        <v>256.0</v>
      </c>
      <c r="H1028" s="9">
        <v>0.0</v>
      </c>
      <c r="I1028" s="9">
        <v>0.0</v>
      </c>
      <c r="J1028" s="9">
        <v>32.0</v>
      </c>
      <c r="K1028" s="9">
        <v>256.0</v>
      </c>
      <c r="L1028" s="9">
        <v>5.83</v>
      </c>
      <c r="M1028" s="9">
        <v>186.56</v>
      </c>
      <c r="N1028" s="9">
        <v>69.44</v>
      </c>
      <c r="O1028" s="12">
        <v>46023.0</v>
      </c>
      <c r="P1028" s="11"/>
      <c r="Q1028" s="21"/>
    </row>
    <row r="1029">
      <c r="A1029" s="9">
        <v>2.503000216E9</v>
      </c>
      <c r="B1029" s="10" t="s">
        <v>23</v>
      </c>
      <c r="C1029" s="9">
        <v>11.0</v>
      </c>
      <c r="D1029" s="10" t="s">
        <v>86</v>
      </c>
      <c r="E1029" s="9">
        <v>5.0</v>
      </c>
      <c r="F1029" s="9">
        <v>115.0</v>
      </c>
      <c r="G1029" s="9">
        <v>575.0</v>
      </c>
      <c r="H1029" s="9">
        <v>0.0</v>
      </c>
      <c r="I1029" s="9">
        <v>0.0</v>
      </c>
      <c r="J1029" s="9">
        <v>115.0</v>
      </c>
      <c r="K1029" s="9">
        <v>575.0</v>
      </c>
      <c r="L1029" s="9">
        <v>3.75</v>
      </c>
      <c r="M1029" s="9">
        <v>431.25</v>
      </c>
      <c r="N1029" s="9">
        <v>143.75</v>
      </c>
      <c r="O1029" s="12">
        <v>46023.0</v>
      </c>
      <c r="P1029" s="11"/>
      <c r="Q1029" s="21"/>
    </row>
    <row r="1030">
      <c r="A1030" s="9">
        <v>2.503000216E9</v>
      </c>
      <c r="B1030" s="10" t="s">
        <v>23</v>
      </c>
      <c r="C1030" s="9">
        <v>12.0</v>
      </c>
      <c r="D1030" s="10" t="s">
        <v>136</v>
      </c>
      <c r="E1030" s="9">
        <v>1.033755274</v>
      </c>
      <c r="F1030" s="9">
        <v>237.0</v>
      </c>
      <c r="G1030" s="9">
        <v>245.0</v>
      </c>
      <c r="H1030" s="9">
        <v>0.0</v>
      </c>
      <c r="I1030" s="9">
        <v>0.0</v>
      </c>
      <c r="J1030" s="9">
        <v>237.0</v>
      </c>
      <c r="K1030" s="9">
        <v>245.0</v>
      </c>
      <c r="L1030" s="9">
        <v>0.6</v>
      </c>
      <c r="M1030" s="9">
        <v>142.2</v>
      </c>
      <c r="N1030" s="9">
        <v>102.8</v>
      </c>
      <c r="O1030" s="12">
        <v>46023.0</v>
      </c>
      <c r="P1030" s="11"/>
      <c r="Q1030" s="23"/>
    </row>
    <row r="1031">
      <c r="A1031" s="9">
        <v>2.503000216E9</v>
      </c>
      <c r="B1031" s="10" t="s">
        <v>23</v>
      </c>
      <c r="C1031" s="9">
        <v>13.0</v>
      </c>
      <c r="D1031" s="10" t="s">
        <v>137</v>
      </c>
      <c r="E1031" s="9">
        <v>2.0</v>
      </c>
      <c r="F1031" s="9">
        <v>21.0</v>
      </c>
      <c r="G1031" s="9">
        <v>42.0</v>
      </c>
      <c r="H1031" s="9">
        <v>0.0</v>
      </c>
      <c r="I1031" s="9">
        <v>0.0</v>
      </c>
      <c r="J1031" s="9">
        <v>21.0</v>
      </c>
      <c r="K1031" s="9">
        <v>42.0</v>
      </c>
      <c r="L1031" s="9">
        <v>0.7</v>
      </c>
      <c r="M1031" s="9">
        <v>14.7</v>
      </c>
      <c r="N1031" s="9">
        <v>27.3</v>
      </c>
      <c r="O1031" s="12">
        <v>46023.0</v>
      </c>
      <c r="P1031" s="11"/>
      <c r="Q1031" s="21"/>
    </row>
    <row r="1032">
      <c r="A1032" s="9">
        <v>2.503000216E9</v>
      </c>
      <c r="B1032" s="10" t="s">
        <v>23</v>
      </c>
      <c r="C1032" s="9">
        <v>14.0</v>
      </c>
      <c r="D1032" s="10" t="s">
        <v>138</v>
      </c>
      <c r="E1032" s="9">
        <v>7.391304348</v>
      </c>
      <c r="F1032" s="9">
        <v>23.0</v>
      </c>
      <c r="G1032" s="9">
        <v>170.0</v>
      </c>
      <c r="H1032" s="9">
        <v>0.0</v>
      </c>
      <c r="I1032" s="9">
        <v>0.0</v>
      </c>
      <c r="J1032" s="9">
        <v>23.0</v>
      </c>
      <c r="K1032" s="9">
        <v>170.0</v>
      </c>
      <c r="L1032" s="9">
        <v>5.8</v>
      </c>
      <c r="M1032" s="9">
        <v>133.4</v>
      </c>
      <c r="N1032" s="9">
        <v>36.6</v>
      </c>
      <c r="O1032" s="12">
        <v>46023.0</v>
      </c>
      <c r="P1032" s="11"/>
      <c r="Q1032" s="23"/>
    </row>
    <row r="1033">
      <c r="A1033" s="9">
        <v>2.503000216E9</v>
      </c>
      <c r="B1033" s="10" t="s">
        <v>23</v>
      </c>
      <c r="C1033" s="9">
        <v>15.0</v>
      </c>
      <c r="D1033" s="10" t="s">
        <v>55</v>
      </c>
      <c r="E1033" s="9">
        <v>2.0</v>
      </c>
      <c r="F1033" s="9">
        <v>73.0</v>
      </c>
      <c r="G1033" s="9">
        <v>146.0</v>
      </c>
      <c r="H1033" s="9">
        <v>0.0</v>
      </c>
      <c r="I1033" s="9">
        <v>0.0</v>
      </c>
      <c r="J1033" s="9">
        <v>73.0</v>
      </c>
      <c r="K1033" s="9">
        <v>146.0</v>
      </c>
      <c r="L1033" s="9">
        <v>1.54</v>
      </c>
      <c r="M1033" s="9">
        <v>112.42</v>
      </c>
      <c r="N1033" s="9">
        <v>33.58</v>
      </c>
      <c r="O1033" s="12">
        <v>46023.0</v>
      </c>
      <c r="P1033" s="11"/>
      <c r="Q1033" s="21"/>
    </row>
    <row r="1034">
      <c r="A1034" s="9">
        <v>2.503000216E9</v>
      </c>
      <c r="B1034" s="10" t="s">
        <v>23</v>
      </c>
      <c r="C1034" s="9">
        <v>18.0</v>
      </c>
      <c r="D1034" s="10" t="s">
        <v>53</v>
      </c>
      <c r="E1034" s="9">
        <v>28.07692308</v>
      </c>
      <c r="F1034" s="9">
        <v>13.0</v>
      </c>
      <c r="G1034" s="9">
        <v>365.0</v>
      </c>
      <c r="H1034" s="9">
        <v>0.0</v>
      </c>
      <c r="I1034" s="9">
        <v>0.0</v>
      </c>
      <c r="J1034" s="9">
        <v>13.0</v>
      </c>
      <c r="K1034" s="9">
        <v>365.0</v>
      </c>
      <c r="L1034" s="9">
        <v>24.17</v>
      </c>
      <c r="M1034" s="9">
        <v>314.21</v>
      </c>
      <c r="N1034" s="9">
        <v>50.79</v>
      </c>
      <c r="O1034" s="12">
        <v>46023.0</v>
      </c>
      <c r="P1034" s="11"/>
      <c r="Q1034" s="23"/>
    </row>
    <row r="1035">
      <c r="A1035" s="9">
        <v>2.503000216E9</v>
      </c>
      <c r="B1035" s="10" t="s">
        <v>23</v>
      </c>
      <c r="C1035" s="9">
        <v>19.0</v>
      </c>
      <c r="D1035" s="10" t="s">
        <v>72</v>
      </c>
      <c r="E1035" s="9">
        <v>2.0</v>
      </c>
      <c r="F1035" s="9">
        <v>238.0</v>
      </c>
      <c r="G1035" s="9">
        <v>476.0</v>
      </c>
      <c r="H1035" s="9">
        <v>0.0</v>
      </c>
      <c r="I1035" s="9">
        <v>0.0</v>
      </c>
      <c r="J1035" s="9">
        <v>238.0</v>
      </c>
      <c r="K1035" s="9">
        <v>476.0</v>
      </c>
      <c r="L1035" s="9">
        <v>1.33</v>
      </c>
      <c r="M1035" s="9">
        <v>316.54</v>
      </c>
      <c r="N1035" s="9">
        <v>159.46</v>
      </c>
      <c r="O1035" s="12">
        <v>46023.0</v>
      </c>
      <c r="P1035" s="11"/>
      <c r="Q1035" s="21"/>
    </row>
    <row r="1036">
      <c r="A1036" s="9">
        <v>2.503000216E9</v>
      </c>
      <c r="B1036" s="10" t="s">
        <v>23</v>
      </c>
      <c r="C1036" s="9">
        <v>21.0</v>
      </c>
      <c r="D1036" s="10" t="s">
        <v>79</v>
      </c>
      <c r="E1036" s="9">
        <v>3.0</v>
      </c>
      <c r="F1036" s="9">
        <v>133.0</v>
      </c>
      <c r="G1036" s="9">
        <v>399.0</v>
      </c>
      <c r="H1036" s="9">
        <v>0.0</v>
      </c>
      <c r="I1036" s="9">
        <v>0.0</v>
      </c>
      <c r="J1036" s="9">
        <v>133.0</v>
      </c>
      <c r="K1036" s="9">
        <v>399.0</v>
      </c>
      <c r="L1036" s="9">
        <v>2.25</v>
      </c>
      <c r="M1036" s="9">
        <v>299.25</v>
      </c>
      <c r="N1036" s="9">
        <v>99.75</v>
      </c>
      <c r="O1036" s="12">
        <v>46023.0</v>
      </c>
      <c r="P1036" s="11"/>
      <c r="Q1036" s="21"/>
    </row>
    <row r="1037">
      <c r="A1037" s="9">
        <v>2.503000216E9</v>
      </c>
      <c r="B1037" s="10" t="s">
        <v>23</v>
      </c>
      <c r="C1037" s="9">
        <v>25.0</v>
      </c>
      <c r="D1037" s="10" t="s">
        <v>144</v>
      </c>
      <c r="E1037" s="9">
        <v>6.0</v>
      </c>
      <c r="F1037" s="9">
        <v>7.0</v>
      </c>
      <c r="G1037" s="9">
        <v>42.0</v>
      </c>
      <c r="H1037" s="9">
        <v>0.0</v>
      </c>
      <c r="I1037" s="9">
        <v>0.0</v>
      </c>
      <c r="J1037" s="9">
        <v>7.0</v>
      </c>
      <c r="K1037" s="9">
        <v>42.0</v>
      </c>
      <c r="L1037" s="9">
        <v>5.0</v>
      </c>
      <c r="M1037" s="9">
        <v>35.0</v>
      </c>
      <c r="N1037" s="9">
        <v>7.0</v>
      </c>
      <c r="O1037" s="12">
        <v>46023.0</v>
      </c>
      <c r="P1037" s="11"/>
      <c r="Q1037" s="21"/>
    </row>
    <row r="1038">
      <c r="A1038" s="9">
        <v>2.503000216E9</v>
      </c>
      <c r="B1038" s="10" t="s">
        <v>23</v>
      </c>
      <c r="C1038" s="9">
        <v>28.0</v>
      </c>
      <c r="D1038" s="10" t="s">
        <v>146</v>
      </c>
      <c r="E1038" s="9">
        <v>6.0</v>
      </c>
      <c r="F1038" s="9">
        <v>12.0</v>
      </c>
      <c r="G1038" s="9">
        <v>72.0</v>
      </c>
      <c r="H1038" s="9">
        <v>0.0</v>
      </c>
      <c r="I1038" s="9">
        <v>0.0</v>
      </c>
      <c r="J1038" s="9">
        <v>12.0</v>
      </c>
      <c r="K1038" s="9">
        <v>72.0</v>
      </c>
      <c r="L1038" s="9">
        <v>5.2</v>
      </c>
      <c r="M1038" s="9">
        <v>62.4</v>
      </c>
      <c r="N1038" s="9">
        <v>9.6</v>
      </c>
      <c r="O1038" s="12">
        <v>46023.0</v>
      </c>
      <c r="P1038" s="11"/>
      <c r="Q1038" s="21"/>
    </row>
    <row r="1039">
      <c r="A1039" s="9">
        <v>2.503000216E9</v>
      </c>
      <c r="B1039" s="10" t="s">
        <v>23</v>
      </c>
      <c r="C1039" s="9">
        <v>29.0</v>
      </c>
      <c r="D1039" s="10" t="s">
        <v>147</v>
      </c>
      <c r="E1039" s="9">
        <v>3.0</v>
      </c>
      <c r="F1039" s="9">
        <v>102.0</v>
      </c>
      <c r="G1039" s="9">
        <v>306.0</v>
      </c>
      <c r="H1039" s="9">
        <v>0.0</v>
      </c>
      <c r="I1039" s="9">
        <v>0.0</v>
      </c>
      <c r="J1039" s="9">
        <v>102.0</v>
      </c>
      <c r="K1039" s="9">
        <v>306.0</v>
      </c>
      <c r="L1039" s="9">
        <v>2.25</v>
      </c>
      <c r="M1039" s="9">
        <v>229.5</v>
      </c>
      <c r="N1039" s="9">
        <v>76.5</v>
      </c>
      <c r="O1039" s="12">
        <v>46023.0</v>
      </c>
      <c r="P1039" s="11"/>
      <c r="Q1039" s="21"/>
    </row>
    <row r="1040">
      <c r="A1040" s="9">
        <v>2.503000216E9</v>
      </c>
      <c r="B1040" s="10" t="s">
        <v>23</v>
      </c>
      <c r="C1040" s="9">
        <v>30.0</v>
      </c>
      <c r="D1040" s="10" t="s">
        <v>148</v>
      </c>
      <c r="E1040" s="9">
        <v>6.0</v>
      </c>
      <c r="F1040" s="9">
        <v>2.0</v>
      </c>
      <c r="G1040" s="9">
        <v>12.0</v>
      </c>
      <c r="H1040" s="9">
        <v>0.0</v>
      </c>
      <c r="I1040" s="9">
        <v>0.0</v>
      </c>
      <c r="J1040" s="9">
        <v>2.0</v>
      </c>
      <c r="K1040" s="9">
        <v>12.0</v>
      </c>
      <c r="L1040" s="9">
        <v>5.2</v>
      </c>
      <c r="M1040" s="9">
        <v>10.4</v>
      </c>
      <c r="N1040" s="9">
        <v>1.6</v>
      </c>
      <c r="O1040" s="12">
        <v>46023.0</v>
      </c>
      <c r="P1040" s="11"/>
      <c r="Q1040" s="21"/>
    </row>
    <row r="1041">
      <c r="A1041" s="9">
        <v>2.503000216E9</v>
      </c>
      <c r="B1041" s="10" t="s">
        <v>23</v>
      </c>
      <c r="C1041" s="9">
        <v>32.0</v>
      </c>
      <c r="D1041" s="10" t="s">
        <v>150</v>
      </c>
      <c r="E1041" s="9">
        <v>3.0</v>
      </c>
      <c r="F1041" s="9">
        <v>80.0</v>
      </c>
      <c r="G1041" s="9">
        <v>240.0</v>
      </c>
      <c r="H1041" s="9">
        <v>0.0</v>
      </c>
      <c r="I1041" s="9">
        <v>0.0</v>
      </c>
      <c r="J1041" s="9">
        <v>80.0</v>
      </c>
      <c r="K1041" s="9">
        <v>240.0</v>
      </c>
      <c r="L1041" s="9">
        <v>2.0</v>
      </c>
      <c r="M1041" s="9">
        <v>160.0</v>
      </c>
      <c r="N1041" s="9">
        <v>80.0</v>
      </c>
      <c r="O1041" s="12">
        <v>46023.0</v>
      </c>
      <c r="P1041" s="11"/>
      <c r="Q1041" s="21"/>
    </row>
    <row r="1042">
      <c r="A1042" s="9">
        <v>2.503000216E9</v>
      </c>
      <c r="B1042" s="10" t="s">
        <v>23</v>
      </c>
      <c r="C1042" s="9">
        <v>42.0</v>
      </c>
      <c r="D1042" s="10" t="s">
        <v>70</v>
      </c>
      <c r="E1042" s="9">
        <v>2.666666667</v>
      </c>
      <c r="F1042" s="9">
        <v>6.0</v>
      </c>
      <c r="G1042" s="9">
        <v>16.0</v>
      </c>
      <c r="H1042" s="9">
        <v>0.0</v>
      </c>
      <c r="I1042" s="9">
        <v>0.0</v>
      </c>
      <c r="J1042" s="9">
        <v>6.0</v>
      </c>
      <c r="K1042" s="9">
        <v>16.0</v>
      </c>
      <c r="L1042" s="9">
        <v>2.96</v>
      </c>
      <c r="M1042" s="9">
        <v>17.76</v>
      </c>
      <c r="N1042" s="9">
        <v>-1.76</v>
      </c>
      <c r="O1042" s="12">
        <v>46023.0</v>
      </c>
      <c r="P1042" s="11"/>
      <c r="Q1042" s="23"/>
    </row>
    <row r="1043">
      <c r="A1043" s="9">
        <v>2.503000216E9</v>
      </c>
      <c r="B1043" s="10" t="s">
        <v>23</v>
      </c>
      <c r="C1043" s="9">
        <v>43.0</v>
      </c>
      <c r="D1043" s="10" t="s">
        <v>159</v>
      </c>
      <c r="E1043" s="9">
        <v>5.0</v>
      </c>
      <c r="F1043" s="9">
        <v>13.0</v>
      </c>
      <c r="G1043" s="9">
        <v>65.0</v>
      </c>
      <c r="H1043" s="9">
        <v>0.0</v>
      </c>
      <c r="I1043" s="9">
        <v>0.0</v>
      </c>
      <c r="J1043" s="9">
        <v>13.0</v>
      </c>
      <c r="K1043" s="9">
        <v>65.0</v>
      </c>
      <c r="L1043" s="9">
        <v>2.33</v>
      </c>
      <c r="M1043" s="9">
        <v>30.29</v>
      </c>
      <c r="N1043" s="9">
        <v>34.71</v>
      </c>
      <c r="O1043" s="12">
        <v>46023.0</v>
      </c>
      <c r="P1043" s="11"/>
      <c r="Q1043" s="21"/>
    </row>
    <row r="1044">
      <c r="A1044" s="9">
        <v>2.503000216E9</v>
      </c>
      <c r="B1044" s="10" t="s">
        <v>23</v>
      </c>
      <c r="C1044" s="9">
        <v>47.0</v>
      </c>
      <c r="D1044" s="10" t="s">
        <v>162</v>
      </c>
      <c r="E1044" s="9">
        <v>5.0</v>
      </c>
      <c r="F1044" s="9">
        <v>6.0</v>
      </c>
      <c r="G1044" s="9">
        <v>30.0</v>
      </c>
      <c r="H1044" s="9">
        <v>0.0</v>
      </c>
      <c r="I1044" s="9">
        <v>0.0</v>
      </c>
      <c r="J1044" s="9">
        <v>6.0</v>
      </c>
      <c r="K1044" s="9">
        <v>30.0</v>
      </c>
      <c r="L1044" s="9">
        <v>2.05</v>
      </c>
      <c r="M1044" s="9">
        <v>12.3</v>
      </c>
      <c r="N1044" s="9">
        <v>17.7</v>
      </c>
      <c r="O1044" s="12">
        <v>46023.0</v>
      </c>
      <c r="P1044" s="11"/>
      <c r="Q1044" s="21"/>
    </row>
    <row r="1045">
      <c r="A1045" s="9">
        <v>2.503000216E9</v>
      </c>
      <c r="B1045" s="10" t="s">
        <v>23</v>
      </c>
      <c r="C1045" s="9">
        <v>48.0</v>
      </c>
      <c r="D1045" s="10" t="s">
        <v>163</v>
      </c>
      <c r="E1045" s="9">
        <v>3.428571429</v>
      </c>
      <c r="F1045" s="9">
        <v>7.0</v>
      </c>
      <c r="G1045" s="9">
        <v>24.0</v>
      </c>
      <c r="H1045" s="9">
        <v>0.0</v>
      </c>
      <c r="I1045" s="9">
        <v>0.0</v>
      </c>
      <c r="J1045" s="9">
        <v>7.0</v>
      </c>
      <c r="K1045" s="9">
        <v>24.0</v>
      </c>
      <c r="L1045" s="9">
        <v>3.0</v>
      </c>
      <c r="M1045" s="9">
        <v>21.0</v>
      </c>
      <c r="N1045" s="9">
        <v>3.0</v>
      </c>
      <c r="O1045" s="12">
        <v>46023.0</v>
      </c>
      <c r="P1045" s="11"/>
      <c r="Q1045" s="23"/>
    </row>
    <row r="1046">
      <c r="A1046" s="9">
        <v>2.503000216E9</v>
      </c>
      <c r="B1046" s="10" t="s">
        <v>23</v>
      </c>
      <c r="C1046" s="9">
        <v>49.0</v>
      </c>
      <c r="D1046" s="10" t="s">
        <v>165</v>
      </c>
      <c r="E1046" s="9">
        <v>3.0</v>
      </c>
      <c r="F1046" s="9">
        <v>177.0</v>
      </c>
      <c r="G1046" s="9">
        <v>531.0</v>
      </c>
      <c r="H1046" s="9">
        <v>0.0</v>
      </c>
      <c r="I1046" s="9">
        <v>0.0</v>
      </c>
      <c r="J1046" s="9">
        <v>177.0</v>
      </c>
      <c r="K1046" s="9">
        <v>531.0</v>
      </c>
      <c r="L1046" s="9">
        <v>1.75</v>
      </c>
      <c r="M1046" s="9">
        <v>309.75</v>
      </c>
      <c r="N1046" s="9">
        <v>221.25</v>
      </c>
      <c r="O1046" s="12">
        <v>46023.0</v>
      </c>
      <c r="P1046" s="11"/>
      <c r="Q1046" s="21"/>
    </row>
    <row r="1047">
      <c r="A1047" s="9">
        <v>2.503000216E9</v>
      </c>
      <c r="B1047" s="10" t="s">
        <v>23</v>
      </c>
      <c r="C1047" s="9">
        <v>52.0</v>
      </c>
      <c r="D1047" s="10" t="s">
        <v>174</v>
      </c>
      <c r="E1047" s="9">
        <v>5.0</v>
      </c>
      <c r="F1047" s="9">
        <v>70.0</v>
      </c>
      <c r="G1047" s="9">
        <v>350.0</v>
      </c>
      <c r="H1047" s="9">
        <v>0.0</v>
      </c>
      <c r="I1047" s="9">
        <v>0.0</v>
      </c>
      <c r="J1047" s="9">
        <v>70.0</v>
      </c>
      <c r="K1047" s="9">
        <v>350.0</v>
      </c>
      <c r="L1047" s="9">
        <v>2.77</v>
      </c>
      <c r="M1047" s="9">
        <v>193.9</v>
      </c>
      <c r="N1047" s="9">
        <v>156.1</v>
      </c>
      <c r="O1047" s="12">
        <v>46023.0</v>
      </c>
      <c r="P1047" s="11"/>
      <c r="Q1047" s="21"/>
    </row>
    <row r="1048">
      <c r="A1048" s="9">
        <v>2.503000216E9</v>
      </c>
      <c r="B1048" s="10" t="s">
        <v>23</v>
      </c>
      <c r="C1048" s="9">
        <v>53.0</v>
      </c>
      <c r="D1048" s="10" t="s">
        <v>167</v>
      </c>
      <c r="E1048" s="9">
        <v>3.0</v>
      </c>
      <c r="F1048" s="9">
        <v>23.0</v>
      </c>
      <c r="G1048" s="9">
        <v>69.0</v>
      </c>
      <c r="H1048" s="9">
        <v>0.0</v>
      </c>
      <c r="I1048" s="9">
        <v>0.0</v>
      </c>
      <c r="J1048" s="9">
        <v>23.0</v>
      </c>
      <c r="K1048" s="9">
        <v>69.0</v>
      </c>
      <c r="L1048" s="9">
        <v>2.25</v>
      </c>
      <c r="M1048" s="9">
        <v>51.75</v>
      </c>
      <c r="N1048" s="9">
        <v>17.25</v>
      </c>
      <c r="O1048" s="12">
        <v>46023.0</v>
      </c>
      <c r="P1048" s="11"/>
      <c r="Q1048" s="21"/>
    </row>
    <row r="1049">
      <c r="A1049" s="9">
        <v>2.503000216E9</v>
      </c>
      <c r="B1049" s="10" t="s">
        <v>23</v>
      </c>
      <c r="C1049" s="9">
        <v>54.0</v>
      </c>
      <c r="D1049" s="10" t="s">
        <v>168</v>
      </c>
      <c r="E1049" s="9">
        <v>3.0</v>
      </c>
      <c r="F1049" s="9">
        <v>71.0</v>
      </c>
      <c r="G1049" s="9">
        <v>213.0</v>
      </c>
      <c r="H1049" s="9">
        <v>0.0</v>
      </c>
      <c r="I1049" s="9">
        <v>0.0</v>
      </c>
      <c r="J1049" s="9">
        <v>71.0</v>
      </c>
      <c r="K1049" s="9">
        <v>213.0</v>
      </c>
      <c r="L1049" s="9">
        <v>2.25</v>
      </c>
      <c r="M1049" s="9">
        <v>159.75</v>
      </c>
      <c r="N1049" s="9">
        <v>53.25</v>
      </c>
      <c r="O1049" s="12">
        <v>46023.0</v>
      </c>
      <c r="P1049" s="11"/>
      <c r="Q1049" s="21"/>
    </row>
    <row r="1050">
      <c r="A1050" s="9">
        <v>2.503000216E9</v>
      </c>
      <c r="B1050" s="10" t="s">
        <v>23</v>
      </c>
      <c r="C1050" s="9">
        <v>64.0</v>
      </c>
      <c r="D1050" s="10" t="s">
        <v>173</v>
      </c>
      <c r="E1050" s="9">
        <v>3.0</v>
      </c>
      <c r="F1050" s="9">
        <v>66.0</v>
      </c>
      <c r="G1050" s="9">
        <v>198.0</v>
      </c>
      <c r="H1050" s="9">
        <v>0.0</v>
      </c>
      <c r="I1050" s="9">
        <v>0.0</v>
      </c>
      <c r="J1050" s="9">
        <v>66.0</v>
      </c>
      <c r="K1050" s="9">
        <v>198.0</v>
      </c>
      <c r="L1050" s="9">
        <v>2.08</v>
      </c>
      <c r="M1050" s="9">
        <v>137.28</v>
      </c>
      <c r="N1050" s="9">
        <v>60.72</v>
      </c>
      <c r="O1050" s="12">
        <v>46023.0</v>
      </c>
      <c r="P1050" s="11"/>
      <c r="Q1050" s="21"/>
    </row>
    <row r="1051">
      <c r="A1051" s="9">
        <v>2.503000216E9</v>
      </c>
      <c r="B1051" s="10" t="s">
        <v>23</v>
      </c>
      <c r="C1051" s="9">
        <v>71.0</v>
      </c>
      <c r="D1051" s="10" t="s">
        <v>176</v>
      </c>
      <c r="E1051" s="9">
        <v>5.0</v>
      </c>
      <c r="F1051" s="9">
        <v>6.0</v>
      </c>
      <c r="G1051" s="9">
        <v>30.0</v>
      </c>
      <c r="H1051" s="9">
        <v>0.0</v>
      </c>
      <c r="I1051" s="9">
        <v>0.0</v>
      </c>
      <c r="J1051" s="9">
        <v>6.0</v>
      </c>
      <c r="K1051" s="9">
        <v>30.0</v>
      </c>
      <c r="L1051" s="9">
        <v>1.6</v>
      </c>
      <c r="M1051" s="9">
        <v>9.6</v>
      </c>
      <c r="N1051" s="9">
        <v>20.4</v>
      </c>
      <c r="O1051" s="12">
        <v>46023.0</v>
      </c>
      <c r="P1051" s="11"/>
      <c r="Q1051" s="21"/>
    </row>
    <row r="1052">
      <c r="A1052" s="9">
        <v>2.503000216E9</v>
      </c>
      <c r="B1052" s="10" t="s">
        <v>23</v>
      </c>
      <c r="C1052" s="9">
        <v>75.0</v>
      </c>
      <c r="D1052" s="10" t="s">
        <v>178</v>
      </c>
      <c r="E1052" s="9">
        <v>4.0</v>
      </c>
      <c r="F1052" s="9">
        <v>2.0</v>
      </c>
      <c r="G1052" s="9">
        <v>8.0</v>
      </c>
      <c r="H1052" s="9">
        <v>0.0</v>
      </c>
      <c r="I1052" s="9">
        <v>0.0</v>
      </c>
      <c r="J1052" s="9">
        <v>2.0</v>
      </c>
      <c r="K1052" s="9">
        <v>8.0</v>
      </c>
      <c r="L1052" s="9">
        <v>1.75</v>
      </c>
      <c r="M1052" s="9">
        <v>3.5</v>
      </c>
      <c r="N1052" s="9">
        <v>4.5</v>
      </c>
      <c r="O1052" s="12">
        <v>46023.0</v>
      </c>
      <c r="P1052" s="11"/>
      <c r="Q1052" s="21"/>
    </row>
    <row r="1053">
      <c r="A1053" s="9">
        <v>2.503000216E9</v>
      </c>
      <c r="B1053" s="10" t="s">
        <v>23</v>
      </c>
      <c r="C1053" s="9">
        <v>82.0</v>
      </c>
      <c r="D1053" s="10" t="s">
        <v>197</v>
      </c>
      <c r="E1053" s="9">
        <v>2.575757576</v>
      </c>
      <c r="F1053" s="9">
        <v>33.0</v>
      </c>
      <c r="G1053" s="9">
        <v>85.0</v>
      </c>
      <c r="H1053" s="9">
        <v>0.0</v>
      </c>
      <c r="I1053" s="9">
        <v>0.0</v>
      </c>
      <c r="J1053" s="9">
        <v>33.0</v>
      </c>
      <c r="K1053" s="9">
        <v>85.0</v>
      </c>
      <c r="L1053" s="9">
        <v>0.95</v>
      </c>
      <c r="M1053" s="9">
        <v>31.35</v>
      </c>
      <c r="N1053" s="9">
        <v>53.65</v>
      </c>
      <c r="O1053" s="12">
        <v>46023.0</v>
      </c>
      <c r="P1053" s="11"/>
      <c r="Q1053" s="23"/>
    </row>
    <row r="1054">
      <c r="A1054" s="9">
        <v>2.503000216E9</v>
      </c>
      <c r="B1054" s="10" t="s">
        <v>23</v>
      </c>
      <c r="C1054" s="9">
        <v>86.0</v>
      </c>
      <c r="D1054" s="10" t="s">
        <v>201</v>
      </c>
      <c r="E1054" s="9">
        <v>10.0</v>
      </c>
      <c r="F1054" s="9">
        <v>62.0</v>
      </c>
      <c r="G1054" s="9">
        <v>620.0</v>
      </c>
      <c r="H1054" s="9">
        <v>0.0</v>
      </c>
      <c r="I1054" s="9">
        <v>0.0</v>
      </c>
      <c r="J1054" s="9">
        <v>62.0</v>
      </c>
      <c r="K1054" s="9">
        <v>620.0</v>
      </c>
      <c r="L1054" s="9">
        <v>4.7</v>
      </c>
      <c r="M1054" s="9">
        <v>291.4</v>
      </c>
      <c r="N1054" s="9">
        <v>328.6</v>
      </c>
      <c r="O1054" s="12">
        <v>46023.0</v>
      </c>
      <c r="P1054" s="11"/>
      <c r="Q1054" s="21"/>
    </row>
    <row r="1055">
      <c r="A1055" s="9">
        <v>2.503000216E9</v>
      </c>
      <c r="B1055" s="10" t="s">
        <v>23</v>
      </c>
      <c r="C1055" s="9">
        <v>91.0</v>
      </c>
      <c r="D1055" s="10" t="s">
        <v>208</v>
      </c>
      <c r="E1055" s="9">
        <v>5.357142857</v>
      </c>
      <c r="F1055" s="9">
        <v>42.0</v>
      </c>
      <c r="G1055" s="9">
        <v>225.0</v>
      </c>
      <c r="H1055" s="9">
        <v>0.0</v>
      </c>
      <c r="I1055" s="9">
        <v>0.0</v>
      </c>
      <c r="J1055" s="9">
        <v>42.0</v>
      </c>
      <c r="K1055" s="9">
        <v>225.0</v>
      </c>
      <c r="L1055" s="9">
        <v>3.5</v>
      </c>
      <c r="M1055" s="9">
        <v>147.0</v>
      </c>
      <c r="N1055" s="9">
        <v>78.0</v>
      </c>
      <c r="O1055" s="12">
        <v>46023.0</v>
      </c>
      <c r="P1055" s="11"/>
      <c r="Q1055" s="23"/>
    </row>
    <row r="1056">
      <c r="A1056" s="9">
        <v>2.503000216E9</v>
      </c>
      <c r="B1056" s="10" t="s">
        <v>23</v>
      </c>
      <c r="C1056" s="9">
        <v>92.0</v>
      </c>
      <c r="D1056" s="10" t="s">
        <v>209</v>
      </c>
      <c r="E1056" s="9">
        <v>5.692307692</v>
      </c>
      <c r="F1056" s="9">
        <v>13.0</v>
      </c>
      <c r="G1056" s="9">
        <v>74.0</v>
      </c>
      <c r="H1056" s="9">
        <v>0.0</v>
      </c>
      <c r="I1056" s="9">
        <v>0.0</v>
      </c>
      <c r="J1056" s="9">
        <v>13.0</v>
      </c>
      <c r="K1056" s="9">
        <v>74.0</v>
      </c>
      <c r="L1056" s="9">
        <v>3.5</v>
      </c>
      <c r="M1056" s="9">
        <v>45.5</v>
      </c>
      <c r="N1056" s="9">
        <v>28.5</v>
      </c>
      <c r="O1056" s="12">
        <v>46023.0</v>
      </c>
      <c r="P1056" s="11"/>
      <c r="Q1056" s="23"/>
    </row>
    <row r="1057">
      <c r="A1057" s="9">
        <v>2.503000216E9</v>
      </c>
      <c r="B1057" s="10" t="s">
        <v>23</v>
      </c>
      <c r="C1057" s="9">
        <v>93.0</v>
      </c>
      <c r="D1057" s="10" t="s">
        <v>210</v>
      </c>
      <c r="E1057" s="9">
        <v>5.0</v>
      </c>
      <c r="F1057" s="9">
        <v>15.0</v>
      </c>
      <c r="G1057" s="9">
        <v>75.0</v>
      </c>
      <c r="H1057" s="9">
        <v>0.0</v>
      </c>
      <c r="I1057" s="9">
        <v>0.0</v>
      </c>
      <c r="J1057" s="9">
        <v>15.0</v>
      </c>
      <c r="K1057" s="9">
        <v>75.0</v>
      </c>
      <c r="L1057" s="9">
        <v>3.5</v>
      </c>
      <c r="M1057" s="9">
        <v>52.5</v>
      </c>
      <c r="N1057" s="9">
        <v>22.5</v>
      </c>
      <c r="O1057" s="12">
        <v>46023.0</v>
      </c>
      <c r="P1057" s="11"/>
      <c r="Q1057" s="21"/>
    </row>
    <row r="1058">
      <c r="A1058" s="9">
        <v>2.503000216E9</v>
      </c>
      <c r="B1058" s="10" t="s">
        <v>23</v>
      </c>
      <c r="C1058" s="9">
        <v>94.0</v>
      </c>
      <c r="D1058" s="10" t="s">
        <v>211</v>
      </c>
      <c r="E1058" s="9">
        <v>5.285714286</v>
      </c>
      <c r="F1058" s="9">
        <v>21.0</v>
      </c>
      <c r="G1058" s="9">
        <v>111.0</v>
      </c>
      <c r="H1058" s="9">
        <v>0.0</v>
      </c>
      <c r="I1058" s="9">
        <v>0.0</v>
      </c>
      <c r="J1058" s="9">
        <v>21.0</v>
      </c>
      <c r="K1058" s="9">
        <v>111.0</v>
      </c>
      <c r="L1058" s="9">
        <v>3.5</v>
      </c>
      <c r="M1058" s="9">
        <v>73.5</v>
      </c>
      <c r="N1058" s="9">
        <v>37.5</v>
      </c>
      <c r="O1058" s="12">
        <v>46023.0</v>
      </c>
      <c r="P1058" s="11"/>
      <c r="Q1058" s="23"/>
    </row>
    <row r="1059">
      <c r="A1059" s="9">
        <v>2.503000216E9</v>
      </c>
      <c r="B1059" s="10" t="s">
        <v>23</v>
      </c>
      <c r="C1059" s="9">
        <v>95.0</v>
      </c>
      <c r="D1059" s="10" t="s">
        <v>221</v>
      </c>
      <c r="E1059" s="9">
        <v>5.4</v>
      </c>
      <c r="F1059" s="9">
        <v>5.0</v>
      </c>
      <c r="G1059" s="9">
        <v>27.0</v>
      </c>
      <c r="H1059" s="9">
        <v>0.0</v>
      </c>
      <c r="I1059" s="9">
        <v>0.0</v>
      </c>
      <c r="J1059" s="9">
        <v>5.0</v>
      </c>
      <c r="K1059" s="9">
        <v>27.0</v>
      </c>
      <c r="L1059" s="9">
        <v>3.5</v>
      </c>
      <c r="M1059" s="9">
        <v>17.5</v>
      </c>
      <c r="N1059" s="9">
        <v>9.5</v>
      </c>
      <c r="O1059" s="12">
        <v>46023.0</v>
      </c>
      <c r="P1059" s="11"/>
      <c r="Q1059" s="21"/>
    </row>
    <row r="1060">
      <c r="A1060" s="9">
        <v>2.503000216E9</v>
      </c>
      <c r="B1060" s="10" t="s">
        <v>23</v>
      </c>
      <c r="C1060" s="9">
        <v>96.0</v>
      </c>
      <c r="D1060" s="10" t="s">
        <v>212</v>
      </c>
      <c r="E1060" s="9">
        <v>5.0</v>
      </c>
      <c r="F1060" s="9">
        <v>166.0</v>
      </c>
      <c r="G1060" s="9">
        <v>830.0</v>
      </c>
      <c r="H1060" s="9">
        <v>0.0</v>
      </c>
      <c r="I1060" s="9">
        <v>0.0</v>
      </c>
      <c r="J1060" s="9">
        <v>166.0</v>
      </c>
      <c r="K1060" s="9">
        <v>830.0</v>
      </c>
      <c r="L1060" s="9">
        <v>2.66</v>
      </c>
      <c r="M1060" s="9">
        <v>441.56</v>
      </c>
      <c r="N1060" s="9">
        <v>388.44</v>
      </c>
      <c r="O1060" s="12">
        <v>46023.0</v>
      </c>
      <c r="P1060" s="11"/>
      <c r="Q1060" s="21"/>
    </row>
    <row r="1061">
      <c r="A1061" s="9">
        <v>2.503000216E9</v>
      </c>
      <c r="B1061" s="10" t="s">
        <v>23</v>
      </c>
      <c r="C1061" s="9">
        <v>97.0</v>
      </c>
      <c r="D1061" s="10" t="s">
        <v>115</v>
      </c>
      <c r="E1061" s="9">
        <v>5.0</v>
      </c>
      <c r="F1061" s="9">
        <v>33.0</v>
      </c>
      <c r="G1061" s="9">
        <v>165.0</v>
      </c>
      <c r="H1061" s="9">
        <v>0.0</v>
      </c>
      <c r="I1061" s="9">
        <v>0.0</v>
      </c>
      <c r="J1061" s="9">
        <v>33.0</v>
      </c>
      <c r="K1061" s="9">
        <v>165.0</v>
      </c>
      <c r="L1061" s="9">
        <v>3.5</v>
      </c>
      <c r="M1061" s="9">
        <v>115.5</v>
      </c>
      <c r="N1061" s="9">
        <v>49.5</v>
      </c>
      <c r="O1061" s="12">
        <v>46023.0</v>
      </c>
      <c r="P1061" s="11"/>
      <c r="Q1061" s="21"/>
    </row>
    <row r="1062">
      <c r="A1062" s="9">
        <v>2.503000216E9</v>
      </c>
      <c r="B1062" s="10" t="s">
        <v>23</v>
      </c>
      <c r="C1062" s="9">
        <v>98.0</v>
      </c>
      <c r="D1062" s="10" t="s">
        <v>118</v>
      </c>
      <c r="E1062" s="9">
        <v>5.0</v>
      </c>
      <c r="F1062" s="9">
        <v>7.0</v>
      </c>
      <c r="G1062" s="9">
        <v>35.0</v>
      </c>
      <c r="H1062" s="9">
        <v>0.0</v>
      </c>
      <c r="I1062" s="9">
        <v>0.0</v>
      </c>
      <c r="J1062" s="9">
        <v>7.0</v>
      </c>
      <c r="K1062" s="9">
        <v>35.0</v>
      </c>
      <c r="L1062" s="9">
        <v>3.17</v>
      </c>
      <c r="M1062" s="9">
        <v>22.19</v>
      </c>
      <c r="N1062" s="9">
        <v>12.81</v>
      </c>
      <c r="O1062" s="12">
        <v>46023.0</v>
      </c>
      <c r="P1062" s="11"/>
      <c r="Q1062" s="21"/>
    </row>
    <row r="1063">
      <c r="A1063" s="9">
        <v>2.503000216E9</v>
      </c>
      <c r="B1063" s="10" t="s">
        <v>23</v>
      </c>
      <c r="C1063" s="9">
        <v>99.0</v>
      </c>
      <c r="D1063" s="10" t="s">
        <v>213</v>
      </c>
      <c r="E1063" s="9">
        <v>3.0</v>
      </c>
      <c r="F1063" s="9">
        <v>33.0</v>
      </c>
      <c r="G1063" s="9">
        <v>99.0</v>
      </c>
      <c r="H1063" s="9">
        <v>0.0</v>
      </c>
      <c r="I1063" s="9">
        <v>0.0</v>
      </c>
      <c r="J1063" s="9">
        <v>33.0</v>
      </c>
      <c r="K1063" s="9">
        <v>99.0</v>
      </c>
      <c r="L1063" s="9">
        <v>2.25</v>
      </c>
      <c r="M1063" s="9">
        <v>74.25</v>
      </c>
      <c r="N1063" s="9">
        <v>24.75</v>
      </c>
      <c r="O1063" s="12">
        <v>46023.0</v>
      </c>
      <c r="P1063" s="11"/>
      <c r="Q1063" s="21"/>
    </row>
    <row r="1064">
      <c r="A1064" s="9">
        <v>2.503000216E9</v>
      </c>
      <c r="B1064" s="10" t="s">
        <v>23</v>
      </c>
      <c r="C1064" s="9">
        <v>102.0</v>
      </c>
      <c r="D1064" s="10" t="s">
        <v>222</v>
      </c>
      <c r="E1064" s="9">
        <v>15.0</v>
      </c>
      <c r="F1064" s="9">
        <v>11.0</v>
      </c>
      <c r="G1064" s="9">
        <v>165.0</v>
      </c>
      <c r="H1064" s="9">
        <v>0.0</v>
      </c>
      <c r="I1064" s="9">
        <v>0.0</v>
      </c>
      <c r="J1064" s="9">
        <v>11.0</v>
      </c>
      <c r="K1064" s="9">
        <v>165.0</v>
      </c>
      <c r="L1064" s="9">
        <v>8.0</v>
      </c>
      <c r="M1064" s="9">
        <v>88.0</v>
      </c>
      <c r="N1064" s="9">
        <v>77.0</v>
      </c>
      <c r="O1064" s="12">
        <v>46023.0</v>
      </c>
      <c r="P1064" s="11"/>
      <c r="Q1064" s="21"/>
    </row>
    <row r="1065">
      <c r="A1065" s="9">
        <v>2.503000216E9</v>
      </c>
      <c r="B1065" s="10" t="s">
        <v>23</v>
      </c>
      <c r="C1065" s="9">
        <v>111.0</v>
      </c>
      <c r="D1065" s="10" t="s">
        <v>215</v>
      </c>
      <c r="E1065" s="9">
        <v>1.0</v>
      </c>
      <c r="F1065" s="9">
        <v>12.0</v>
      </c>
      <c r="G1065" s="9">
        <v>12.0</v>
      </c>
      <c r="H1065" s="9">
        <v>0.0</v>
      </c>
      <c r="I1065" s="9">
        <v>0.0</v>
      </c>
      <c r="J1065" s="9">
        <v>12.0</v>
      </c>
      <c r="K1065" s="9">
        <v>12.0</v>
      </c>
      <c r="L1065" s="9">
        <v>0.68</v>
      </c>
      <c r="M1065" s="9">
        <v>8.16</v>
      </c>
      <c r="N1065" s="9">
        <v>3.84</v>
      </c>
      <c r="O1065" s="12">
        <v>46023.0</v>
      </c>
      <c r="P1065" s="11"/>
      <c r="Q1065" s="21"/>
    </row>
    <row r="1066">
      <c r="A1066" s="9">
        <v>2.503000216E9</v>
      </c>
      <c r="B1066" s="10" t="s">
        <v>23</v>
      </c>
      <c r="C1066" s="9">
        <v>112.0</v>
      </c>
      <c r="D1066" s="10" t="s">
        <v>216</v>
      </c>
      <c r="E1066" s="9">
        <v>5.0</v>
      </c>
      <c r="F1066" s="9">
        <v>28.0</v>
      </c>
      <c r="G1066" s="9">
        <v>140.0</v>
      </c>
      <c r="H1066" s="9">
        <v>0.0</v>
      </c>
      <c r="I1066" s="9">
        <v>0.0</v>
      </c>
      <c r="J1066" s="9">
        <v>28.0</v>
      </c>
      <c r="K1066" s="9">
        <v>140.0</v>
      </c>
      <c r="L1066" s="9">
        <v>2.18</v>
      </c>
      <c r="M1066" s="9">
        <v>61.04</v>
      </c>
      <c r="N1066" s="9">
        <v>78.96</v>
      </c>
      <c r="O1066" s="12">
        <v>46023.0</v>
      </c>
      <c r="P1066" s="11"/>
      <c r="Q1066" s="21"/>
    </row>
    <row r="1067">
      <c r="A1067" s="9">
        <v>2.503000216E9</v>
      </c>
      <c r="B1067" s="10" t="s">
        <v>23</v>
      </c>
      <c r="C1067" s="9">
        <v>113.0</v>
      </c>
      <c r="D1067" s="10" t="s">
        <v>217</v>
      </c>
      <c r="E1067" s="9">
        <v>5.0</v>
      </c>
      <c r="F1067" s="9">
        <v>10.0</v>
      </c>
      <c r="G1067" s="9">
        <v>50.0</v>
      </c>
      <c r="H1067" s="9">
        <v>0.0</v>
      </c>
      <c r="I1067" s="9">
        <v>0.0</v>
      </c>
      <c r="J1067" s="9">
        <v>10.0</v>
      </c>
      <c r="K1067" s="9">
        <v>50.0</v>
      </c>
      <c r="L1067" s="9">
        <v>2.18</v>
      </c>
      <c r="M1067" s="9">
        <v>21.8</v>
      </c>
      <c r="N1067" s="9">
        <v>28.2</v>
      </c>
      <c r="O1067" s="12">
        <v>46023.0</v>
      </c>
      <c r="P1067" s="11"/>
      <c r="Q1067" s="21"/>
    </row>
    <row r="1068">
      <c r="A1068" s="9">
        <v>2.503000216E9</v>
      </c>
      <c r="B1068" s="10" t="s">
        <v>23</v>
      </c>
      <c r="C1068" s="9">
        <v>114.0</v>
      </c>
      <c r="D1068" s="10" t="s">
        <v>218</v>
      </c>
      <c r="E1068" s="9">
        <v>5.0</v>
      </c>
      <c r="F1068" s="9">
        <v>33.0</v>
      </c>
      <c r="G1068" s="9">
        <v>165.0</v>
      </c>
      <c r="H1068" s="9">
        <v>0.0</v>
      </c>
      <c r="I1068" s="9">
        <v>0.0</v>
      </c>
      <c r="J1068" s="9">
        <v>33.0</v>
      </c>
      <c r="K1068" s="9">
        <v>165.0</v>
      </c>
      <c r="L1068" s="9">
        <v>2.25</v>
      </c>
      <c r="M1068" s="9">
        <v>74.25</v>
      </c>
      <c r="N1068" s="9">
        <v>90.75</v>
      </c>
      <c r="O1068" s="12">
        <v>46023.0</v>
      </c>
      <c r="P1068" s="11"/>
      <c r="Q1068" s="21"/>
    </row>
    <row r="1069">
      <c r="A1069" s="9">
        <v>2.503000216E9</v>
      </c>
      <c r="B1069" s="10" t="s">
        <v>23</v>
      </c>
      <c r="C1069" s="9">
        <v>118.0</v>
      </c>
      <c r="D1069" s="10" t="s">
        <v>223</v>
      </c>
      <c r="E1069" s="9">
        <v>3.0</v>
      </c>
      <c r="F1069" s="9">
        <v>22.0</v>
      </c>
      <c r="G1069" s="9">
        <v>66.0</v>
      </c>
      <c r="H1069" s="9">
        <v>0.0</v>
      </c>
      <c r="I1069" s="9">
        <v>0.0</v>
      </c>
      <c r="J1069" s="9">
        <v>22.0</v>
      </c>
      <c r="K1069" s="9">
        <v>66.0</v>
      </c>
      <c r="L1069" s="9">
        <v>1.37</v>
      </c>
      <c r="M1069" s="9">
        <v>30.14</v>
      </c>
      <c r="N1069" s="9">
        <v>35.86</v>
      </c>
      <c r="O1069" s="12">
        <v>46023.0</v>
      </c>
      <c r="P1069" s="11"/>
      <c r="Q1069" s="21"/>
    </row>
    <row r="1070">
      <c r="A1070" s="9">
        <v>2.503000216E9</v>
      </c>
      <c r="B1070" s="10" t="s">
        <v>23</v>
      </c>
      <c r="C1070" s="9">
        <v>119.0</v>
      </c>
      <c r="D1070" s="10" t="s">
        <v>224</v>
      </c>
      <c r="E1070" s="9">
        <v>5.0</v>
      </c>
      <c r="F1070" s="9">
        <v>47.0</v>
      </c>
      <c r="G1070" s="9">
        <v>235.0</v>
      </c>
      <c r="H1070" s="9">
        <v>0.0</v>
      </c>
      <c r="I1070" s="9">
        <v>0.0</v>
      </c>
      <c r="J1070" s="9">
        <v>47.0</v>
      </c>
      <c r="K1070" s="9">
        <v>235.0</v>
      </c>
      <c r="L1070" s="9">
        <v>3.16</v>
      </c>
      <c r="M1070" s="9">
        <v>148.52</v>
      </c>
      <c r="N1070" s="9">
        <v>86.48</v>
      </c>
      <c r="O1070" s="12">
        <v>46023.0</v>
      </c>
      <c r="P1070" s="11"/>
      <c r="Q1070" s="21"/>
    </row>
    <row r="1071">
      <c r="A1071" s="9">
        <v>2.503000216E9</v>
      </c>
      <c r="B1071" s="10" t="s">
        <v>23</v>
      </c>
      <c r="C1071" s="9">
        <v>121.0</v>
      </c>
      <c r="D1071" s="10" t="s">
        <v>225</v>
      </c>
      <c r="E1071" s="9">
        <v>5.0</v>
      </c>
      <c r="F1071" s="9">
        <v>6.0</v>
      </c>
      <c r="G1071" s="9">
        <v>30.0</v>
      </c>
      <c r="H1071" s="9">
        <v>0.0</v>
      </c>
      <c r="I1071" s="9">
        <v>0.0</v>
      </c>
      <c r="J1071" s="9">
        <v>6.0</v>
      </c>
      <c r="K1071" s="9">
        <v>30.0</v>
      </c>
      <c r="L1071" s="9">
        <v>2.67</v>
      </c>
      <c r="M1071" s="9">
        <v>16.02</v>
      </c>
      <c r="N1071" s="9">
        <v>13.98</v>
      </c>
      <c r="O1071" s="12">
        <v>46023.0</v>
      </c>
      <c r="P1071" s="11"/>
      <c r="Q1071" s="21"/>
    </row>
    <row r="1072">
      <c r="A1072" s="9">
        <v>2.503000216E9</v>
      </c>
      <c r="B1072" s="10" t="s">
        <v>23</v>
      </c>
      <c r="C1072" s="9">
        <v>124.0</v>
      </c>
      <c r="D1072" s="10" t="s">
        <v>226</v>
      </c>
      <c r="E1072" s="9">
        <v>5.0</v>
      </c>
      <c r="F1072" s="9">
        <v>3.0</v>
      </c>
      <c r="G1072" s="9">
        <v>15.0</v>
      </c>
      <c r="H1072" s="9">
        <v>0.0</v>
      </c>
      <c r="I1072" s="9">
        <v>0.0</v>
      </c>
      <c r="J1072" s="9">
        <v>3.0</v>
      </c>
      <c r="K1072" s="9">
        <v>15.0</v>
      </c>
      <c r="L1072" s="9">
        <v>2.4</v>
      </c>
      <c r="M1072" s="9">
        <v>7.2</v>
      </c>
      <c r="N1072" s="9">
        <v>7.8</v>
      </c>
      <c r="O1072" s="12">
        <v>46023.0</v>
      </c>
      <c r="P1072" s="11"/>
      <c r="Q1072" s="21"/>
    </row>
    <row r="1073">
      <c r="A1073" s="9">
        <v>2.503000216E9</v>
      </c>
      <c r="B1073" s="10" t="s">
        <v>23</v>
      </c>
      <c r="C1073" s="9">
        <v>126.0</v>
      </c>
      <c r="D1073" s="10" t="s">
        <v>227</v>
      </c>
      <c r="E1073" s="9">
        <v>1.0</v>
      </c>
      <c r="F1073" s="9">
        <v>17.0</v>
      </c>
      <c r="G1073" s="9">
        <v>17.0</v>
      </c>
      <c r="H1073" s="9">
        <v>0.0</v>
      </c>
      <c r="I1073" s="9">
        <v>0.0</v>
      </c>
      <c r="J1073" s="9">
        <v>17.0</v>
      </c>
      <c r="K1073" s="9">
        <v>17.0</v>
      </c>
      <c r="L1073" s="9">
        <v>0.45</v>
      </c>
      <c r="M1073" s="9">
        <v>7.65</v>
      </c>
      <c r="N1073" s="9">
        <v>9.35</v>
      </c>
      <c r="O1073" s="12">
        <v>46023.0</v>
      </c>
      <c r="P1073" s="11"/>
      <c r="Q1073" s="21"/>
    </row>
    <row r="1074">
      <c r="A1074" s="9">
        <v>2.503000216E9</v>
      </c>
      <c r="B1074" s="10" t="s">
        <v>23</v>
      </c>
      <c r="C1074" s="9">
        <v>127.0</v>
      </c>
      <c r="D1074" s="10" t="s">
        <v>228</v>
      </c>
      <c r="E1074" s="9">
        <v>4.0</v>
      </c>
      <c r="F1074" s="9">
        <v>3.0</v>
      </c>
      <c r="G1074" s="9">
        <v>12.0</v>
      </c>
      <c r="H1074" s="9">
        <v>0.0</v>
      </c>
      <c r="I1074" s="9">
        <v>0.0</v>
      </c>
      <c r="J1074" s="9">
        <v>3.0</v>
      </c>
      <c r="K1074" s="9">
        <v>12.0</v>
      </c>
      <c r="L1074" s="9">
        <v>2.35</v>
      </c>
      <c r="M1074" s="9">
        <v>7.05</v>
      </c>
      <c r="N1074" s="9">
        <v>4.95</v>
      </c>
      <c r="O1074" s="12">
        <v>46023.0</v>
      </c>
      <c r="P1074" s="11"/>
      <c r="Q1074" s="21"/>
    </row>
    <row r="1075">
      <c r="A1075" s="9">
        <v>2.503000217E9</v>
      </c>
      <c r="B1075" s="10" t="s">
        <v>27</v>
      </c>
      <c r="C1075" s="9">
        <v>0.0</v>
      </c>
      <c r="D1075" s="10" t="s">
        <v>229</v>
      </c>
      <c r="E1075" s="9">
        <v>3.0</v>
      </c>
      <c r="F1075" s="9">
        <v>2.0</v>
      </c>
      <c r="G1075" s="9">
        <v>6.0</v>
      </c>
      <c r="H1075" s="9">
        <v>0.0</v>
      </c>
      <c r="I1075" s="9">
        <v>0.0</v>
      </c>
      <c r="J1075" s="9">
        <v>2.0</v>
      </c>
      <c r="K1075" s="9">
        <v>6.0</v>
      </c>
      <c r="L1075" s="9">
        <v>0.0</v>
      </c>
      <c r="M1075" s="9">
        <v>0.0</v>
      </c>
      <c r="N1075" s="9">
        <v>6.0</v>
      </c>
      <c r="O1075" s="12">
        <v>46023.0</v>
      </c>
      <c r="P1075" s="11"/>
      <c r="Q1075" s="21"/>
    </row>
    <row r="1076">
      <c r="A1076" s="9">
        <v>2.503000217E9</v>
      </c>
      <c r="B1076" s="10" t="s">
        <v>27</v>
      </c>
      <c r="C1076" s="9">
        <v>2.0</v>
      </c>
      <c r="D1076" s="10" t="s">
        <v>74</v>
      </c>
      <c r="E1076" s="9">
        <v>1.0</v>
      </c>
      <c r="F1076" s="9">
        <v>387.0</v>
      </c>
      <c r="G1076" s="9">
        <v>387.0</v>
      </c>
      <c r="H1076" s="9">
        <v>0.0</v>
      </c>
      <c r="I1076" s="9">
        <v>0.0</v>
      </c>
      <c r="J1076" s="9">
        <v>387.0</v>
      </c>
      <c r="K1076" s="9">
        <v>387.0</v>
      </c>
      <c r="L1076" s="9">
        <v>0.3</v>
      </c>
      <c r="M1076" s="9">
        <v>116.1</v>
      </c>
      <c r="N1076" s="9">
        <v>270.9</v>
      </c>
      <c r="O1076" s="12">
        <v>46023.0</v>
      </c>
      <c r="P1076" s="11"/>
      <c r="Q1076" s="21"/>
    </row>
    <row r="1077">
      <c r="A1077" s="9">
        <v>2.503000217E9</v>
      </c>
      <c r="B1077" s="10" t="s">
        <v>27</v>
      </c>
      <c r="C1077" s="9">
        <v>10.0</v>
      </c>
      <c r="D1077" s="10" t="s">
        <v>135</v>
      </c>
      <c r="E1077" s="9">
        <v>8.615384615</v>
      </c>
      <c r="F1077" s="9">
        <v>26.0</v>
      </c>
      <c r="G1077" s="9">
        <v>224.0</v>
      </c>
      <c r="H1077" s="9">
        <v>0.0</v>
      </c>
      <c r="I1077" s="9">
        <v>0.0</v>
      </c>
      <c r="J1077" s="9">
        <v>26.0</v>
      </c>
      <c r="K1077" s="9">
        <v>224.0</v>
      </c>
      <c r="L1077" s="9">
        <v>5.83</v>
      </c>
      <c r="M1077" s="9">
        <v>151.58</v>
      </c>
      <c r="N1077" s="9">
        <v>72.42</v>
      </c>
      <c r="O1077" s="12">
        <v>46023.0</v>
      </c>
      <c r="P1077" s="11"/>
      <c r="Q1077" s="23"/>
    </row>
    <row r="1078">
      <c r="A1078" s="9">
        <v>2.503000217E9</v>
      </c>
      <c r="B1078" s="10" t="s">
        <v>27</v>
      </c>
      <c r="C1078" s="9">
        <v>12.0</v>
      </c>
      <c r="D1078" s="10" t="s">
        <v>136</v>
      </c>
      <c r="E1078" s="9">
        <v>1.66</v>
      </c>
      <c r="F1078" s="9">
        <v>50.0</v>
      </c>
      <c r="G1078" s="9">
        <v>83.0</v>
      </c>
      <c r="H1078" s="9">
        <v>0.0</v>
      </c>
      <c r="I1078" s="9">
        <v>0.0</v>
      </c>
      <c r="J1078" s="9">
        <v>50.0</v>
      </c>
      <c r="K1078" s="9">
        <v>83.0</v>
      </c>
      <c r="L1078" s="9">
        <v>0.6</v>
      </c>
      <c r="M1078" s="9">
        <v>30.0</v>
      </c>
      <c r="N1078" s="9">
        <v>53.0</v>
      </c>
      <c r="O1078" s="12">
        <v>46023.0</v>
      </c>
      <c r="P1078" s="11"/>
      <c r="Q1078" s="21"/>
    </row>
    <row r="1079">
      <c r="A1079" s="9">
        <v>2.503000217E9</v>
      </c>
      <c r="B1079" s="10" t="s">
        <v>27</v>
      </c>
      <c r="C1079" s="9">
        <v>19.0</v>
      </c>
      <c r="D1079" s="10" t="s">
        <v>72</v>
      </c>
      <c r="E1079" s="9">
        <v>3.0</v>
      </c>
      <c r="F1079" s="9">
        <v>50.0</v>
      </c>
      <c r="G1079" s="9">
        <v>150.0</v>
      </c>
      <c r="H1079" s="9">
        <v>0.0</v>
      </c>
      <c r="I1079" s="9">
        <v>0.0</v>
      </c>
      <c r="J1079" s="9">
        <v>50.0</v>
      </c>
      <c r="K1079" s="9">
        <v>150.0</v>
      </c>
      <c r="L1079" s="9">
        <v>1.33</v>
      </c>
      <c r="M1079" s="9">
        <v>66.5</v>
      </c>
      <c r="N1079" s="9">
        <v>83.5</v>
      </c>
      <c r="O1079" s="12">
        <v>46023.0</v>
      </c>
      <c r="P1079" s="11"/>
      <c r="Q1079" s="21"/>
    </row>
    <row r="1080">
      <c r="A1080" s="9">
        <v>2.503000217E9</v>
      </c>
      <c r="B1080" s="10" t="s">
        <v>27</v>
      </c>
      <c r="C1080" s="9">
        <v>20.0</v>
      </c>
      <c r="D1080" s="10" t="s">
        <v>141</v>
      </c>
      <c r="E1080" s="9">
        <v>10.0</v>
      </c>
      <c r="F1080" s="9">
        <v>6.0</v>
      </c>
      <c r="G1080" s="9">
        <v>60.0</v>
      </c>
      <c r="H1080" s="9">
        <v>0.0</v>
      </c>
      <c r="I1080" s="9">
        <v>0.0</v>
      </c>
      <c r="J1080" s="9">
        <v>6.0</v>
      </c>
      <c r="K1080" s="9">
        <v>60.0</v>
      </c>
      <c r="L1080" s="9">
        <v>5.96</v>
      </c>
      <c r="M1080" s="9">
        <v>35.76</v>
      </c>
      <c r="N1080" s="9">
        <v>24.24</v>
      </c>
      <c r="O1080" s="12">
        <v>46023.0</v>
      </c>
      <c r="P1080" s="11"/>
      <c r="Q1080" s="21"/>
    </row>
    <row r="1081">
      <c r="A1081" s="9">
        <v>2.503000217E9</v>
      </c>
      <c r="B1081" s="10" t="s">
        <v>27</v>
      </c>
      <c r="C1081" s="9">
        <v>21.0</v>
      </c>
      <c r="D1081" s="10" t="s">
        <v>79</v>
      </c>
      <c r="E1081" s="9">
        <v>4.0</v>
      </c>
      <c r="F1081" s="9">
        <v>101.0</v>
      </c>
      <c r="G1081" s="9">
        <v>404.0</v>
      </c>
      <c r="H1081" s="9">
        <v>0.0</v>
      </c>
      <c r="I1081" s="9">
        <v>0.0</v>
      </c>
      <c r="J1081" s="9">
        <v>101.0</v>
      </c>
      <c r="K1081" s="9">
        <v>404.0</v>
      </c>
      <c r="L1081" s="9">
        <v>2.25</v>
      </c>
      <c r="M1081" s="9">
        <v>227.25</v>
      </c>
      <c r="N1081" s="9">
        <v>176.75</v>
      </c>
      <c r="O1081" s="12">
        <v>46023.0</v>
      </c>
      <c r="P1081" s="11"/>
      <c r="Q1081" s="21"/>
    </row>
    <row r="1082">
      <c r="A1082" s="9">
        <v>2.503000217E9</v>
      </c>
      <c r="B1082" s="10" t="s">
        <v>27</v>
      </c>
      <c r="C1082" s="9">
        <v>32.0</v>
      </c>
      <c r="D1082" s="10" t="s">
        <v>150</v>
      </c>
      <c r="E1082" s="9">
        <v>3.75862069</v>
      </c>
      <c r="F1082" s="9">
        <v>29.0</v>
      </c>
      <c r="G1082" s="9">
        <v>109.0</v>
      </c>
      <c r="H1082" s="9">
        <v>0.0</v>
      </c>
      <c r="I1082" s="9">
        <v>0.0</v>
      </c>
      <c r="J1082" s="9">
        <v>29.0</v>
      </c>
      <c r="K1082" s="9">
        <v>109.0</v>
      </c>
      <c r="L1082" s="9">
        <v>2.0</v>
      </c>
      <c r="M1082" s="9">
        <v>58.0</v>
      </c>
      <c r="N1082" s="9">
        <v>51.0</v>
      </c>
      <c r="O1082" s="12">
        <v>46023.0</v>
      </c>
      <c r="P1082" s="11"/>
      <c r="Q1082" s="23"/>
    </row>
    <row r="1083">
      <c r="A1083" s="9">
        <v>2.503000217E9</v>
      </c>
      <c r="B1083" s="10" t="s">
        <v>27</v>
      </c>
      <c r="C1083" s="9">
        <v>33.0</v>
      </c>
      <c r="D1083" s="10" t="s">
        <v>151</v>
      </c>
      <c r="E1083" s="9">
        <v>5.0</v>
      </c>
      <c r="F1083" s="9">
        <v>16.0</v>
      </c>
      <c r="G1083" s="9">
        <v>80.0</v>
      </c>
      <c r="H1083" s="9">
        <v>0.0</v>
      </c>
      <c r="I1083" s="9">
        <v>0.0</v>
      </c>
      <c r="J1083" s="9">
        <v>16.0</v>
      </c>
      <c r="K1083" s="9">
        <v>80.0</v>
      </c>
      <c r="L1083" s="9">
        <v>3.13</v>
      </c>
      <c r="M1083" s="9">
        <v>50.08</v>
      </c>
      <c r="N1083" s="9">
        <v>29.92</v>
      </c>
      <c r="O1083" s="12">
        <v>46023.0</v>
      </c>
      <c r="P1083" s="11"/>
      <c r="Q1083" s="21"/>
    </row>
    <row r="1084">
      <c r="A1084" s="9">
        <v>2.503000217E9</v>
      </c>
      <c r="B1084" s="10" t="s">
        <v>27</v>
      </c>
      <c r="C1084" s="9">
        <v>36.0</v>
      </c>
      <c r="D1084" s="10" t="s">
        <v>153</v>
      </c>
      <c r="E1084" s="9">
        <v>4.0</v>
      </c>
      <c r="F1084" s="9">
        <v>3.0</v>
      </c>
      <c r="G1084" s="9">
        <v>12.0</v>
      </c>
      <c r="H1084" s="9">
        <v>0.0</v>
      </c>
      <c r="I1084" s="9">
        <v>0.0</v>
      </c>
      <c r="J1084" s="9">
        <v>3.0</v>
      </c>
      <c r="K1084" s="9">
        <v>12.0</v>
      </c>
      <c r="L1084" s="9">
        <v>2.0</v>
      </c>
      <c r="M1084" s="9">
        <v>6.0</v>
      </c>
      <c r="N1084" s="9">
        <v>6.0</v>
      </c>
      <c r="O1084" s="12">
        <v>46023.0</v>
      </c>
      <c r="P1084" s="11"/>
      <c r="Q1084" s="21"/>
    </row>
    <row r="1085">
      <c r="A1085" s="9">
        <v>2.503000217E9</v>
      </c>
      <c r="B1085" s="10" t="s">
        <v>27</v>
      </c>
      <c r="C1085" s="9">
        <v>38.0</v>
      </c>
      <c r="D1085" s="10" t="s">
        <v>155</v>
      </c>
      <c r="E1085" s="9">
        <v>8.0</v>
      </c>
      <c r="F1085" s="9">
        <v>17.0</v>
      </c>
      <c r="G1085" s="9">
        <v>136.0</v>
      </c>
      <c r="H1085" s="9">
        <v>0.0</v>
      </c>
      <c r="I1085" s="9">
        <v>0.0</v>
      </c>
      <c r="J1085" s="9">
        <v>17.0</v>
      </c>
      <c r="K1085" s="9">
        <v>136.0</v>
      </c>
      <c r="L1085" s="9">
        <v>5.18</v>
      </c>
      <c r="M1085" s="9">
        <v>88.06</v>
      </c>
      <c r="N1085" s="9">
        <v>47.94</v>
      </c>
      <c r="O1085" s="12">
        <v>46023.0</v>
      </c>
      <c r="P1085" s="11"/>
      <c r="Q1085" s="21"/>
    </row>
    <row r="1086">
      <c r="A1086" s="9">
        <v>2.503000217E9</v>
      </c>
      <c r="B1086" s="10" t="s">
        <v>27</v>
      </c>
      <c r="C1086" s="9">
        <v>41.0</v>
      </c>
      <c r="D1086" s="10" t="s">
        <v>157</v>
      </c>
      <c r="E1086" s="9">
        <v>6.0</v>
      </c>
      <c r="F1086" s="9">
        <v>4.0</v>
      </c>
      <c r="G1086" s="9">
        <v>24.0</v>
      </c>
      <c r="H1086" s="9">
        <v>0.0</v>
      </c>
      <c r="I1086" s="9">
        <v>0.0</v>
      </c>
      <c r="J1086" s="9">
        <v>4.0</v>
      </c>
      <c r="K1086" s="9">
        <v>24.0</v>
      </c>
      <c r="L1086" s="9">
        <v>3.25</v>
      </c>
      <c r="M1086" s="9">
        <v>13.0</v>
      </c>
      <c r="N1086" s="9">
        <v>11.0</v>
      </c>
      <c r="O1086" s="12">
        <v>46023.0</v>
      </c>
      <c r="P1086" s="11"/>
      <c r="Q1086" s="21"/>
    </row>
    <row r="1087">
      <c r="A1087" s="9">
        <v>2.503000217E9</v>
      </c>
      <c r="B1087" s="10" t="s">
        <v>27</v>
      </c>
      <c r="C1087" s="9">
        <v>44.0</v>
      </c>
      <c r="D1087" s="10" t="s">
        <v>160</v>
      </c>
      <c r="E1087" s="9">
        <v>6.0</v>
      </c>
      <c r="F1087" s="9">
        <v>3.0</v>
      </c>
      <c r="G1087" s="9">
        <v>18.0</v>
      </c>
      <c r="H1087" s="9">
        <v>0.0</v>
      </c>
      <c r="I1087" s="9">
        <v>0.0</v>
      </c>
      <c r="J1087" s="9">
        <v>3.0</v>
      </c>
      <c r="K1087" s="9">
        <v>18.0</v>
      </c>
      <c r="L1087" s="9">
        <v>4.13</v>
      </c>
      <c r="M1087" s="9">
        <v>12.39</v>
      </c>
      <c r="N1087" s="9">
        <v>5.61</v>
      </c>
      <c r="O1087" s="12">
        <v>46023.0</v>
      </c>
      <c r="P1087" s="11"/>
      <c r="Q1087" s="21"/>
    </row>
    <row r="1088">
      <c r="A1088" s="9">
        <v>2.503000217E9</v>
      </c>
      <c r="B1088" s="10" t="s">
        <v>27</v>
      </c>
      <c r="C1088" s="9">
        <v>49.0</v>
      </c>
      <c r="D1088" s="10" t="s">
        <v>165</v>
      </c>
      <c r="E1088" s="9">
        <v>3.666666667</v>
      </c>
      <c r="F1088" s="9">
        <v>3.0</v>
      </c>
      <c r="G1088" s="9">
        <v>11.0</v>
      </c>
      <c r="H1088" s="9">
        <v>0.0</v>
      </c>
      <c r="I1088" s="9">
        <v>0.0</v>
      </c>
      <c r="J1088" s="9">
        <v>3.0</v>
      </c>
      <c r="K1088" s="9">
        <v>11.0</v>
      </c>
      <c r="L1088" s="9">
        <v>1.75</v>
      </c>
      <c r="M1088" s="9">
        <v>5.25</v>
      </c>
      <c r="N1088" s="9">
        <v>5.75</v>
      </c>
      <c r="O1088" s="12">
        <v>46023.0</v>
      </c>
      <c r="P1088" s="11"/>
      <c r="Q1088" s="23"/>
    </row>
    <row r="1089">
      <c r="A1089" s="9">
        <v>2.503000217E9</v>
      </c>
      <c r="B1089" s="10" t="s">
        <v>27</v>
      </c>
      <c r="C1089" s="9">
        <v>57.0</v>
      </c>
      <c r="D1089" s="10" t="s">
        <v>182</v>
      </c>
      <c r="E1089" s="9">
        <v>4.833333333</v>
      </c>
      <c r="F1089" s="9">
        <v>6.0</v>
      </c>
      <c r="G1089" s="9">
        <v>29.0</v>
      </c>
      <c r="H1089" s="9">
        <v>0.0</v>
      </c>
      <c r="I1089" s="9">
        <v>0.0</v>
      </c>
      <c r="J1089" s="9">
        <v>6.0</v>
      </c>
      <c r="K1089" s="9">
        <v>29.0</v>
      </c>
      <c r="L1089" s="9">
        <v>2.91</v>
      </c>
      <c r="M1089" s="9">
        <v>17.46</v>
      </c>
      <c r="N1089" s="9">
        <v>11.54</v>
      </c>
      <c r="O1089" s="12">
        <v>46023.0</v>
      </c>
      <c r="P1089" s="11"/>
      <c r="Q1089" s="23"/>
    </row>
    <row r="1090">
      <c r="A1090" s="9">
        <v>2.503000217E9</v>
      </c>
      <c r="B1090" s="10" t="s">
        <v>27</v>
      </c>
      <c r="C1090" s="9">
        <v>58.0</v>
      </c>
      <c r="D1090" s="10" t="s">
        <v>183</v>
      </c>
      <c r="E1090" s="9">
        <v>12.0</v>
      </c>
      <c r="F1090" s="9">
        <v>2.0</v>
      </c>
      <c r="G1090" s="9">
        <v>24.0</v>
      </c>
      <c r="H1090" s="9">
        <v>0.0</v>
      </c>
      <c r="I1090" s="9">
        <v>0.0</v>
      </c>
      <c r="J1090" s="9">
        <v>2.0</v>
      </c>
      <c r="K1090" s="9">
        <v>24.0</v>
      </c>
      <c r="L1090" s="9">
        <v>8.83</v>
      </c>
      <c r="M1090" s="9">
        <v>17.66</v>
      </c>
      <c r="N1090" s="9">
        <v>6.34</v>
      </c>
      <c r="O1090" s="12">
        <v>46023.0</v>
      </c>
      <c r="P1090" s="11"/>
      <c r="Q1090" s="21"/>
    </row>
    <row r="1091">
      <c r="A1091" s="9">
        <v>2.503000217E9</v>
      </c>
      <c r="B1091" s="10" t="s">
        <v>27</v>
      </c>
      <c r="C1091" s="9">
        <v>61.0</v>
      </c>
      <c r="D1091" s="10" t="s">
        <v>184</v>
      </c>
      <c r="E1091" s="9">
        <v>20.0</v>
      </c>
      <c r="F1091" s="9">
        <v>1.0</v>
      </c>
      <c r="G1091" s="9">
        <v>20.0</v>
      </c>
      <c r="H1091" s="9">
        <v>0.0</v>
      </c>
      <c r="I1091" s="9">
        <v>0.0</v>
      </c>
      <c r="J1091" s="9">
        <v>1.0</v>
      </c>
      <c r="K1091" s="9">
        <v>20.0</v>
      </c>
      <c r="L1091" s="9">
        <v>14.16</v>
      </c>
      <c r="M1091" s="9">
        <v>14.16</v>
      </c>
      <c r="N1091" s="9">
        <v>5.84</v>
      </c>
      <c r="O1091" s="12">
        <v>46023.0</v>
      </c>
      <c r="P1091" s="11"/>
      <c r="Q1091" s="21"/>
    </row>
    <row r="1092">
      <c r="A1092" s="9">
        <v>2.503000217E9</v>
      </c>
      <c r="B1092" s="10" t="s">
        <v>27</v>
      </c>
      <c r="C1092" s="9">
        <v>64.0</v>
      </c>
      <c r="D1092" s="10" t="s">
        <v>173</v>
      </c>
      <c r="E1092" s="9">
        <v>3.444444444</v>
      </c>
      <c r="F1092" s="9">
        <v>18.0</v>
      </c>
      <c r="G1092" s="9">
        <v>62.0</v>
      </c>
      <c r="H1092" s="9">
        <v>0.0</v>
      </c>
      <c r="I1092" s="9">
        <v>0.0</v>
      </c>
      <c r="J1092" s="9">
        <v>18.0</v>
      </c>
      <c r="K1092" s="9">
        <v>62.0</v>
      </c>
      <c r="L1092" s="9">
        <v>2.08</v>
      </c>
      <c r="M1092" s="9">
        <v>37.44</v>
      </c>
      <c r="N1092" s="9">
        <v>24.56</v>
      </c>
      <c r="O1092" s="12">
        <v>46023.0</v>
      </c>
      <c r="P1092" s="11"/>
      <c r="Q1092" s="23"/>
    </row>
    <row r="1093">
      <c r="A1093" s="9">
        <v>2.503000217E9</v>
      </c>
      <c r="B1093" s="10" t="s">
        <v>27</v>
      </c>
      <c r="C1093" s="9">
        <v>65.0</v>
      </c>
      <c r="D1093" s="10" t="s">
        <v>187</v>
      </c>
      <c r="E1093" s="9">
        <v>3.0</v>
      </c>
      <c r="F1093" s="9">
        <v>97.0</v>
      </c>
      <c r="G1093" s="9">
        <v>291.0</v>
      </c>
      <c r="H1093" s="9">
        <v>0.0</v>
      </c>
      <c r="I1093" s="9">
        <v>0.0</v>
      </c>
      <c r="J1093" s="9">
        <v>97.0</v>
      </c>
      <c r="K1093" s="9">
        <v>291.0</v>
      </c>
      <c r="L1093" s="9">
        <v>0.91</v>
      </c>
      <c r="M1093" s="9">
        <v>88.27</v>
      </c>
      <c r="N1093" s="9">
        <v>202.73</v>
      </c>
      <c r="O1093" s="12">
        <v>46023.0</v>
      </c>
      <c r="P1093" s="11"/>
      <c r="Q1093" s="21"/>
    </row>
    <row r="1094">
      <c r="A1094" s="9">
        <v>2.503000217E9</v>
      </c>
      <c r="B1094" s="10" t="s">
        <v>27</v>
      </c>
      <c r="C1094" s="9">
        <v>74.0</v>
      </c>
      <c r="D1094" s="10" t="s">
        <v>192</v>
      </c>
      <c r="E1094" s="9">
        <v>3.0</v>
      </c>
      <c r="F1094" s="9">
        <v>5.0</v>
      </c>
      <c r="G1094" s="9">
        <v>15.0</v>
      </c>
      <c r="H1094" s="9">
        <v>0.0</v>
      </c>
      <c r="I1094" s="9">
        <v>0.0</v>
      </c>
      <c r="J1094" s="9">
        <v>5.0</v>
      </c>
      <c r="K1094" s="9">
        <v>15.0</v>
      </c>
      <c r="L1094" s="9">
        <v>5.83</v>
      </c>
      <c r="M1094" s="9">
        <v>29.15</v>
      </c>
      <c r="N1094" s="9">
        <v>-14.15</v>
      </c>
      <c r="O1094" s="12">
        <v>46023.0</v>
      </c>
      <c r="P1094" s="11"/>
      <c r="Q1094" s="21"/>
    </row>
    <row r="1095">
      <c r="A1095" s="9">
        <v>2.503000217E9</v>
      </c>
      <c r="B1095" s="10" t="s">
        <v>27</v>
      </c>
      <c r="C1095" s="9">
        <v>78.0</v>
      </c>
      <c r="D1095" s="10" t="s">
        <v>194</v>
      </c>
      <c r="E1095" s="9">
        <v>6.428571429</v>
      </c>
      <c r="F1095" s="9">
        <v>7.0</v>
      </c>
      <c r="G1095" s="9">
        <v>45.0</v>
      </c>
      <c r="H1095" s="9">
        <v>0.0</v>
      </c>
      <c r="I1095" s="9">
        <v>0.0</v>
      </c>
      <c r="J1095" s="9">
        <v>7.0</v>
      </c>
      <c r="K1095" s="9">
        <v>45.0</v>
      </c>
      <c r="L1095" s="9">
        <v>4.79</v>
      </c>
      <c r="M1095" s="9">
        <v>33.53</v>
      </c>
      <c r="N1095" s="9">
        <v>11.47</v>
      </c>
      <c r="O1095" s="12">
        <v>46023.0</v>
      </c>
      <c r="P1095" s="11"/>
      <c r="Q1095" s="23"/>
    </row>
    <row r="1096">
      <c r="A1096" s="9">
        <v>2.503000217E9</v>
      </c>
      <c r="B1096" s="10" t="s">
        <v>27</v>
      </c>
      <c r="C1096" s="9">
        <v>79.0</v>
      </c>
      <c r="D1096" s="10" t="s">
        <v>198</v>
      </c>
      <c r="E1096" s="9">
        <v>6.833333333</v>
      </c>
      <c r="F1096" s="9">
        <v>12.0</v>
      </c>
      <c r="G1096" s="9">
        <v>82.0</v>
      </c>
      <c r="H1096" s="9">
        <v>0.0</v>
      </c>
      <c r="I1096" s="9">
        <v>0.0</v>
      </c>
      <c r="J1096" s="9">
        <v>12.0</v>
      </c>
      <c r="K1096" s="9">
        <v>82.0</v>
      </c>
      <c r="L1096" s="9">
        <v>3.6</v>
      </c>
      <c r="M1096" s="9">
        <v>43.2</v>
      </c>
      <c r="N1096" s="9">
        <v>38.8</v>
      </c>
      <c r="O1096" s="12">
        <v>46023.0</v>
      </c>
      <c r="P1096" s="11"/>
      <c r="Q1096" s="23"/>
    </row>
    <row r="1097">
      <c r="A1097" s="9">
        <v>2.503000217E9</v>
      </c>
      <c r="B1097" s="10" t="s">
        <v>27</v>
      </c>
      <c r="C1097" s="9">
        <v>80.0</v>
      </c>
      <c r="D1097" s="10" t="s">
        <v>195</v>
      </c>
      <c r="E1097" s="9">
        <v>2.0</v>
      </c>
      <c r="F1097" s="9">
        <v>1.0</v>
      </c>
      <c r="G1097" s="9">
        <v>2.0</v>
      </c>
      <c r="H1097" s="9">
        <v>0.0</v>
      </c>
      <c r="I1097" s="9">
        <v>0.0</v>
      </c>
      <c r="J1097" s="9">
        <v>1.0</v>
      </c>
      <c r="K1097" s="9">
        <v>2.0</v>
      </c>
      <c r="L1097" s="9">
        <v>1.8</v>
      </c>
      <c r="M1097" s="9">
        <v>1.8</v>
      </c>
      <c r="N1097" s="9">
        <v>0.2</v>
      </c>
      <c r="O1097" s="12">
        <v>46023.0</v>
      </c>
      <c r="P1097" s="11"/>
      <c r="Q1097" s="21"/>
    </row>
    <row r="1098">
      <c r="A1098" s="9">
        <v>2.503000217E9</v>
      </c>
      <c r="B1098" s="10" t="s">
        <v>27</v>
      </c>
      <c r="C1098" s="9">
        <v>82.0</v>
      </c>
      <c r="D1098" s="10" t="s">
        <v>197</v>
      </c>
      <c r="E1098" s="9">
        <v>2.0</v>
      </c>
      <c r="F1098" s="9">
        <v>8.0</v>
      </c>
      <c r="G1098" s="9">
        <v>16.0</v>
      </c>
      <c r="H1098" s="9">
        <v>0.0</v>
      </c>
      <c r="I1098" s="9">
        <v>0.0</v>
      </c>
      <c r="J1098" s="9">
        <v>8.0</v>
      </c>
      <c r="K1098" s="9">
        <v>16.0</v>
      </c>
      <c r="L1098" s="9">
        <v>0.95</v>
      </c>
      <c r="M1098" s="9">
        <v>7.6</v>
      </c>
      <c r="N1098" s="9">
        <v>8.4</v>
      </c>
      <c r="O1098" s="12">
        <v>46023.0</v>
      </c>
      <c r="P1098" s="11"/>
      <c r="Q1098" s="21"/>
    </row>
    <row r="1099">
      <c r="A1099" s="9">
        <v>2.503000217E9</v>
      </c>
      <c r="B1099" s="10" t="s">
        <v>27</v>
      </c>
      <c r="C1099" s="9">
        <v>86.0</v>
      </c>
      <c r="D1099" s="10" t="s">
        <v>201</v>
      </c>
      <c r="E1099" s="9">
        <v>10.0</v>
      </c>
      <c r="F1099" s="9">
        <v>19.0</v>
      </c>
      <c r="G1099" s="9">
        <v>190.0</v>
      </c>
      <c r="H1099" s="9">
        <v>0.0</v>
      </c>
      <c r="I1099" s="9">
        <v>0.0</v>
      </c>
      <c r="J1099" s="9">
        <v>19.0</v>
      </c>
      <c r="K1099" s="9">
        <v>190.0</v>
      </c>
      <c r="L1099" s="9">
        <v>4.7</v>
      </c>
      <c r="M1099" s="9">
        <v>89.3</v>
      </c>
      <c r="N1099" s="9">
        <v>100.7</v>
      </c>
      <c r="O1099" s="12">
        <v>46023.0</v>
      </c>
      <c r="P1099" s="11"/>
      <c r="Q1099" s="21"/>
    </row>
    <row r="1100">
      <c r="A1100" s="9">
        <v>2.503000217E9</v>
      </c>
      <c r="B1100" s="10" t="s">
        <v>27</v>
      </c>
      <c r="C1100" s="9">
        <v>87.0</v>
      </c>
      <c r="D1100" s="10" t="s">
        <v>202</v>
      </c>
      <c r="E1100" s="9">
        <v>4.0</v>
      </c>
      <c r="F1100" s="9">
        <v>4.0</v>
      </c>
      <c r="G1100" s="9">
        <v>16.0</v>
      </c>
      <c r="H1100" s="9">
        <v>0.0</v>
      </c>
      <c r="I1100" s="9">
        <v>0.0</v>
      </c>
      <c r="J1100" s="9">
        <v>4.0</v>
      </c>
      <c r="K1100" s="9">
        <v>16.0</v>
      </c>
      <c r="L1100" s="9">
        <v>1.87</v>
      </c>
      <c r="M1100" s="9">
        <v>7.48</v>
      </c>
      <c r="N1100" s="9">
        <v>8.52</v>
      </c>
      <c r="O1100" s="12">
        <v>46023.0</v>
      </c>
      <c r="P1100" s="11"/>
      <c r="Q1100" s="21"/>
    </row>
    <row r="1101">
      <c r="A1101" s="9">
        <v>2.503000217E9</v>
      </c>
      <c r="B1101" s="10" t="s">
        <v>27</v>
      </c>
      <c r="C1101" s="9">
        <v>88.0</v>
      </c>
      <c r="D1101" s="10" t="s">
        <v>203</v>
      </c>
      <c r="E1101" s="9">
        <v>3.0</v>
      </c>
      <c r="F1101" s="9">
        <v>30.0</v>
      </c>
      <c r="G1101" s="9">
        <v>90.0</v>
      </c>
      <c r="H1101" s="9">
        <v>0.0</v>
      </c>
      <c r="I1101" s="9">
        <v>0.0</v>
      </c>
      <c r="J1101" s="9">
        <v>30.0</v>
      </c>
      <c r="K1101" s="9">
        <v>90.0</v>
      </c>
      <c r="L1101" s="9">
        <v>1.3</v>
      </c>
      <c r="M1101" s="9">
        <v>39.0</v>
      </c>
      <c r="N1101" s="9">
        <v>51.0</v>
      </c>
      <c r="O1101" s="12">
        <v>46023.0</v>
      </c>
      <c r="P1101" s="11"/>
      <c r="Q1101" s="21"/>
    </row>
    <row r="1102">
      <c r="A1102" s="9">
        <v>2.503000217E9</v>
      </c>
      <c r="B1102" s="10" t="s">
        <v>27</v>
      </c>
      <c r="C1102" s="9">
        <v>89.0</v>
      </c>
      <c r="D1102" s="10" t="s">
        <v>204</v>
      </c>
      <c r="E1102" s="9">
        <v>4.955555556</v>
      </c>
      <c r="F1102" s="9">
        <v>45.0</v>
      </c>
      <c r="G1102" s="9">
        <v>223.0</v>
      </c>
      <c r="H1102" s="9">
        <v>0.0</v>
      </c>
      <c r="I1102" s="9">
        <v>0.0</v>
      </c>
      <c r="J1102" s="9">
        <v>45.0</v>
      </c>
      <c r="K1102" s="9">
        <v>223.0</v>
      </c>
      <c r="L1102" s="9">
        <v>2.17</v>
      </c>
      <c r="M1102" s="9">
        <v>97.65</v>
      </c>
      <c r="N1102" s="9">
        <v>125.35</v>
      </c>
      <c r="O1102" s="12">
        <v>46023.0</v>
      </c>
      <c r="P1102" s="11"/>
      <c r="Q1102" s="23"/>
    </row>
    <row r="1103">
      <c r="A1103" s="9">
        <v>2.503000217E9</v>
      </c>
      <c r="B1103" s="10" t="s">
        <v>27</v>
      </c>
      <c r="C1103" s="9">
        <v>100.0</v>
      </c>
      <c r="D1103" s="10" t="s">
        <v>230</v>
      </c>
      <c r="E1103" s="9">
        <v>6.0</v>
      </c>
      <c r="F1103" s="9">
        <v>173.0</v>
      </c>
      <c r="G1103" s="9">
        <v>1038.0</v>
      </c>
      <c r="H1103" s="9">
        <v>0.0</v>
      </c>
      <c r="I1103" s="9">
        <v>0.0</v>
      </c>
      <c r="J1103" s="9">
        <v>173.0</v>
      </c>
      <c r="K1103" s="9">
        <v>1038.0</v>
      </c>
      <c r="L1103" s="9">
        <v>2.44</v>
      </c>
      <c r="M1103" s="9">
        <v>422.12</v>
      </c>
      <c r="N1103" s="9">
        <v>615.88</v>
      </c>
      <c r="O1103" s="12">
        <v>46023.0</v>
      </c>
      <c r="P1103" s="11"/>
      <c r="Q1103" s="21"/>
    </row>
    <row r="1104">
      <c r="A1104" s="9">
        <v>2.503000217E9</v>
      </c>
      <c r="B1104" s="10" t="s">
        <v>27</v>
      </c>
      <c r="C1104" s="9">
        <v>101.0</v>
      </c>
      <c r="D1104" s="10" t="s">
        <v>231</v>
      </c>
      <c r="E1104" s="9">
        <v>3.0</v>
      </c>
      <c r="F1104" s="9">
        <v>55.0</v>
      </c>
      <c r="G1104" s="9">
        <v>165.0</v>
      </c>
      <c r="H1104" s="9">
        <v>0.0</v>
      </c>
      <c r="I1104" s="9">
        <v>0.0</v>
      </c>
      <c r="J1104" s="9">
        <v>55.0</v>
      </c>
      <c r="K1104" s="9">
        <v>165.0</v>
      </c>
      <c r="L1104" s="9">
        <v>1.75</v>
      </c>
      <c r="M1104" s="9">
        <v>96.25</v>
      </c>
      <c r="N1104" s="9">
        <v>68.75</v>
      </c>
      <c r="O1104" s="12">
        <v>46023.0</v>
      </c>
      <c r="P1104" s="11"/>
      <c r="Q1104" s="21"/>
    </row>
    <row r="1105">
      <c r="A1105" s="9">
        <v>2.503000217E9</v>
      </c>
      <c r="B1105" s="10" t="s">
        <v>27</v>
      </c>
      <c r="C1105" s="9">
        <v>103.0</v>
      </c>
      <c r="D1105" s="10" t="s">
        <v>232</v>
      </c>
      <c r="E1105" s="9">
        <v>2.0</v>
      </c>
      <c r="F1105" s="9">
        <v>12.0</v>
      </c>
      <c r="G1105" s="9">
        <v>24.0</v>
      </c>
      <c r="H1105" s="9">
        <v>0.0</v>
      </c>
      <c r="I1105" s="9">
        <v>0.0</v>
      </c>
      <c r="J1105" s="9">
        <v>12.0</v>
      </c>
      <c r="K1105" s="9">
        <v>24.0</v>
      </c>
      <c r="L1105" s="9">
        <v>0.43</v>
      </c>
      <c r="M1105" s="9">
        <v>5.16</v>
      </c>
      <c r="N1105" s="9">
        <v>18.84</v>
      </c>
      <c r="O1105" s="12">
        <v>46023.0</v>
      </c>
      <c r="P1105" s="11"/>
      <c r="Q1105" s="21"/>
    </row>
    <row r="1106">
      <c r="A1106" s="9">
        <v>2.503000217E9</v>
      </c>
      <c r="B1106" s="10" t="s">
        <v>27</v>
      </c>
      <c r="C1106" s="9">
        <v>104.0</v>
      </c>
      <c r="D1106" s="10" t="s">
        <v>233</v>
      </c>
      <c r="E1106" s="9">
        <v>3.0</v>
      </c>
      <c r="F1106" s="9">
        <v>40.0</v>
      </c>
      <c r="G1106" s="9">
        <v>120.0</v>
      </c>
      <c r="H1106" s="9">
        <v>0.0</v>
      </c>
      <c r="I1106" s="9">
        <v>0.0</v>
      </c>
      <c r="J1106" s="9">
        <v>40.0</v>
      </c>
      <c r="K1106" s="9">
        <v>120.0</v>
      </c>
      <c r="L1106" s="9">
        <v>1.58</v>
      </c>
      <c r="M1106" s="9">
        <v>63.2</v>
      </c>
      <c r="N1106" s="9">
        <v>56.8</v>
      </c>
      <c r="O1106" s="12">
        <v>46023.0</v>
      </c>
      <c r="P1106" s="11"/>
      <c r="Q1106" s="21"/>
    </row>
    <row r="1107">
      <c r="A1107" s="9">
        <v>2.503000217E9</v>
      </c>
      <c r="B1107" s="10" t="s">
        <v>27</v>
      </c>
      <c r="C1107" s="9">
        <v>105.0</v>
      </c>
      <c r="D1107" s="10" t="s">
        <v>234</v>
      </c>
      <c r="E1107" s="9">
        <v>4.4</v>
      </c>
      <c r="F1107" s="9">
        <v>5.0</v>
      </c>
      <c r="G1107" s="9">
        <v>22.0</v>
      </c>
      <c r="H1107" s="9">
        <v>0.0</v>
      </c>
      <c r="I1107" s="9">
        <v>0.0</v>
      </c>
      <c r="J1107" s="9">
        <v>5.0</v>
      </c>
      <c r="K1107" s="9">
        <v>22.0</v>
      </c>
      <c r="L1107" s="9">
        <v>0.87</v>
      </c>
      <c r="M1107" s="9">
        <v>4.35</v>
      </c>
      <c r="N1107" s="9">
        <v>17.65</v>
      </c>
      <c r="O1107" s="12">
        <v>46023.0</v>
      </c>
      <c r="P1107" s="11"/>
      <c r="Q1107" s="21"/>
    </row>
    <row r="1108">
      <c r="A1108" s="9">
        <v>2.503000217E9</v>
      </c>
      <c r="B1108" s="10" t="s">
        <v>27</v>
      </c>
      <c r="C1108" s="9">
        <v>106.0</v>
      </c>
      <c r="D1108" s="10" t="s">
        <v>214</v>
      </c>
      <c r="E1108" s="9">
        <v>7.65</v>
      </c>
      <c r="F1108" s="9">
        <v>20.0</v>
      </c>
      <c r="G1108" s="9">
        <v>153.0</v>
      </c>
      <c r="H1108" s="9">
        <v>0.0</v>
      </c>
      <c r="I1108" s="9">
        <v>0.0</v>
      </c>
      <c r="J1108" s="9">
        <v>20.0</v>
      </c>
      <c r="K1108" s="9">
        <v>153.0</v>
      </c>
      <c r="L1108" s="9">
        <v>4.79</v>
      </c>
      <c r="M1108" s="9">
        <v>95.8</v>
      </c>
      <c r="N1108" s="9">
        <v>57.2</v>
      </c>
      <c r="O1108" s="12">
        <v>46023.0</v>
      </c>
      <c r="P1108" s="11"/>
      <c r="Q1108" s="21"/>
    </row>
    <row r="1109">
      <c r="A1109" s="9">
        <v>2.503000217E9</v>
      </c>
      <c r="B1109" s="10" t="s">
        <v>27</v>
      </c>
      <c r="C1109" s="9">
        <v>108.0</v>
      </c>
      <c r="D1109" s="10" t="s">
        <v>235</v>
      </c>
      <c r="E1109" s="9">
        <v>2.0</v>
      </c>
      <c r="F1109" s="9">
        <v>5.0</v>
      </c>
      <c r="G1109" s="9">
        <v>10.0</v>
      </c>
      <c r="H1109" s="9">
        <v>0.0</v>
      </c>
      <c r="I1109" s="9">
        <v>0.0</v>
      </c>
      <c r="J1109" s="9">
        <v>5.0</v>
      </c>
      <c r="K1109" s="9">
        <v>10.0</v>
      </c>
      <c r="L1109" s="9">
        <v>1.41</v>
      </c>
      <c r="M1109" s="9">
        <v>7.05</v>
      </c>
      <c r="N1109" s="9">
        <v>2.95</v>
      </c>
      <c r="O1109" s="12">
        <v>46023.0</v>
      </c>
      <c r="P1109" s="11"/>
      <c r="Q1109" s="21"/>
    </row>
    <row r="1110">
      <c r="A1110" s="9">
        <v>2.503000217E9</v>
      </c>
      <c r="B1110" s="10" t="s">
        <v>27</v>
      </c>
      <c r="C1110" s="9">
        <v>109.0</v>
      </c>
      <c r="D1110" s="10" t="s">
        <v>236</v>
      </c>
      <c r="E1110" s="9">
        <v>5.0</v>
      </c>
      <c r="F1110" s="9">
        <v>10.0</v>
      </c>
      <c r="G1110" s="9">
        <v>50.0</v>
      </c>
      <c r="H1110" s="9">
        <v>0.0</v>
      </c>
      <c r="I1110" s="9">
        <v>0.0</v>
      </c>
      <c r="J1110" s="9">
        <v>10.0</v>
      </c>
      <c r="K1110" s="9">
        <v>50.0</v>
      </c>
      <c r="L1110" s="9">
        <v>3.33</v>
      </c>
      <c r="M1110" s="9">
        <v>33.3</v>
      </c>
      <c r="N1110" s="9">
        <v>16.7</v>
      </c>
      <c r="O1110" s="12">
        <v>46023.0</v>
      </c>
      <c r="P1110" s="11"/>
      <c r="Q1110" s="21"/>
    </row>
    <row r="1111">
      <c r="A1111" s="9">
        <v>2.503000217E9</v>
      </c>
      <c r="B1111" s="10" t="s">
        <v>27</v>
      </c>
      <c r="C1111" s="9">
        <v>111.0</v>
      </c>
      <c r="D1111" s="10" t="s">
        <v>215</v>
      </c>
      <c r="E1111" s="9">
        <v>2.0</v>
      </c>
      <c r="F1111" s="9">
        <v>43.0</v>
      </c>
      <c r="G1111" s="9">
        <v>86.0</v>
      </c>
      <c r="H1111" s="9">
        <v>0.0</v>
      </c>
      <c r="I1111" s="9">
        <v>0.0</v>
      </c>
      <c r="J1111" s="9">
        <v>43.0</v>
      </c>
      <c r="K1111" s="9">
        <v>86.0</v>
      </c>
      <c r="L1111" s="9">
        <v>0.68</v>
      </c>
      <c r="M1111" s="9">
        <v>29.24</v>
      </c>
      <c r="N1111" s="9">
        <v>56.76</v>
      </c>
      <c r="O1111" s="12">
        <v>46023.0</v>
      </c>
      <c r="P1111" s="11"/>
      <c r="Q1111" s="21"/>
    </row>
    <row r="1112">
      <c r="A1112" s="9">
        <v>2.503000217E9</v>
      </c>
      <c r="B1112" s="10" t="s">
        <v>27</v>
      </c>
      <c r="C1112" s="9">
        <v>116.0</v>
      </c>
      <c r="D1112" s="10" t="s">
        <v>237</v>
      </c>
      <c r="E1112" s="9">
        <v>8.0</v>
      </c>
      <c r="F1112" s="9">
        <v>1.0</v>
      </c>
      <c r="G1112" s="9">
        <v>8.0</v>
      </c>
      <c r="H1112" s="9">
        <v>0.0</v>
      </c>
      <c r="I1112" s="9">
        <v>0.0</v>
      </c>
      <c r="J1112" s="9">
        <v>1.0</v>
      </c>
      <c r="K1112" s="9">
        <v>8.0</v>
      </c>
      <c r="L1112" s="9">
        <v>6.2</v>
      </c>
      <c r="M1112" s="9">
        <v>6.2</v>
      </c>
      <c r="N1112" s="9">
        <v>1.8</v>
      </c>
      <c r="O1112" s="12">
        <v>46023.0</v>
      </c>
      <c r="P1112" s="11"/>
      <c r="Q1112" s="21"/>
    </row>
    <row r="1113">
      <c r="A1113" s="9">
        <v>2.503000217E9</v>
      </c>
      <c r="B1113" s="10" t="s">
        <v>27</v>
      </c>
      <c r="C1113" s="9">
        <v>117.0</v>
      </c>
      <c r="D1113" s="10" t="s">
        <v>238</v>
      </c>
      <c r="E1113" s="9">
        <v>4.0</v>
      </c>
      <c r="F1113" s="9">
        <v>13.0</v>
      </c>
      <c r="G1113" s="9">
        <v>52.0</v>
      </c>
      <c r="H1113" s="9">
        <v>0.0</v>
      </c>
      <c r="I1113" s="9">
        <v>0.0</v>
      </c>
      <c r="J1113" s="9">
        <v>13.0</v>
      </c>
      <c r="K1113" s="9">
        <v>52.0</v>
      </c>
      <c r="L1113" s="9">
        <v>1.95</v>
      </c>
      <c r="M1113" s="9">
        <v>25.35</v>
      </c>
      <c r="N1113" s="9">
        <v>26.65</v>
      </c>
      <c r="O1113" s="12">
        <v>46023.0</v>
      </c>
      <c r="P1113" s="11"/>
      <c r="Q1113" s="21"/>
    </row>
    <row r="1114">
      <c r="A1114" s="9">
        <v>2.503000217E9</v>
      </c>
      <c r="B1114" s="10" t="s">
        <v>27</v>
      </c>
      <c r="C1114" s="9">
        <v>120.0</v>
      </c>
      <c r="D1114" s="10" t="s">
        <v>239</v>
      </c>
      <c r="E1114" s="9">
        <v>7.0</v>
      </c>
      <c r="F1114" s="9">
        <v>23.0</v>
      </c>
      <c r="G1114" s="9">
        <v>161.0</v>
      </c>
      <c r="H1114" s="9">
        <v>0.0</v>
      </c>
      <c r="I1114" s="9">
        <v>0.0</v>
      </c>
      <c r="J1114" s="9">
        <v>23.0</v>
      </c>
      <c r="K1114" s="9">
        <v>161.0</v>
      </c>
      <c r="L1114" s="9">
        <v>3.5</v>
      </c>
      <c r="M1114" s="9">
        <v>80.5</v>
      </c>
      <c r="N1114" s="9">
        <v>80.5</v>
      </c>
      <c r="O1114" s="12">
        <v>46023.0</v>
      </c>
      <c r="P1114" s="11"/>
      <c r="Q1114" s="21"/>
    </row>
    <row r="1115">
      <c r="A1115" s="9">
        <v>2.509000369E9</v>
      </c>
      <c r="B1115" s="10" t="s">
        <v>24</v>
      </c>
      <c r="C1115" s="9">
        <v>0.0</v>
      </c>
      <c r="D1115" s="10" t="s">
        <v>229</v>
      </c>
      <c r="E1115" s="9">
        <v>4.4</v>
      </c>
      <c r="F1115" s="9">
        <v>15.0</v>
      </c>
      <c r="G1115" s="9">
        <v>66.0</v>
      </c>
      <c r="H1115" s="9">
        <v>0.0</v>
      </c>
      <c r="I1115" s="9">
        <v>0.0</v>
      </c>
      <c r="J1115" s="9">
        <v>15.0</v>
      </c>
      <c r="K1115" s="9">
        <v>66.0</v>
      </c>
      <c r="L1115" s="9">
        <v>0.0</v>
      </c>
      <c r="M1115" s="9">
        <v>0.0</v>
      </c>
      <c r="N1115" s="9">
        <v>66.0</v>
      </c>
      <c r="O1115" s="12">
        <v>46023.0</v>
      </c>
      <c r="P1115" s="11"/>
      <c r="Q1115" s="21"/>
    </row>
    <row r="1116">
      <c r="A1116" s="9">
        <v>2.509000369E9</v>
      </c>
      <c r="B1116" s="10" t="s">
        <v>24</v>
      </c>
      <c r="C1116" s="9">
        <v>1.0</v>
      </c>
      <c r="D1116" s="10" t="s">
        <v>129</v>
      </c>
      <c r="E1116" s="9">
        <v>5.0</v>
      </c>
      <c r="F1116" s="9">
        <v>8.0</v>
      </c>
      <c r="G1116" s="9">
        <v>40.0</v>
      </c>
      <c r="H1116" s="9">
        <v>0.0</v>
      </c>
      <c r="I1116" s="9">
        <v>0.0</v>
      </c>
      <c r="J1116" s="9">
        <v>8.0</v>
      </c>
      <c r="K1116" s="9">
        <v>40.0</v>
      </c>
      <c r="L1116" s="9">
        <v>2.66</v>
      </c>
      <c r="M1116" s="9">
        <v>21.28</v>
      </c>
      <c r="N1116" s="9">
        <v>18.72</v>
      </c>
      <c r="O1116" s="12">
        <v>46023.0</v>
      </c>
      <c r="P1116" s="11"/>
      <c r="Q1116" s="21"/>
    </row>
    <row r="1117">
      <c r="A1117" s="9">
        <v>2.509000369E9</v>
      </c>
      <c r="B1117" s="10" t="s">
        <v>24</v>
      </c>
      <c r="C1117" s="9">
        <v>2.0</v>
      </c>
      <c r="D1117" s="10" t="s">
        <v>74</v>
      </c>
      <c r="E1117" s="9">
        <v>1.0</v>
      </c>
      <c r="F1117" s="9">
        <v>209.0</v>
      </c>
      <c r="G1117" s="9">
        <v>209.0</v>
      </c>
      <c r="H1117" s="9">
        <v>0.0</v>
      </c>
      <c r="I1117" s="9">
        <v>0.0</v>
      </c>
      <c r="J1117" s="9">
        <v>209.0</v>
      </c>
      <c r="K1117" s="9">
        <v>209.0</v>
      </c>
      <c r="L1117" s="9">
        <v>0.3</v>
      </c>
      <c r="M1117" s="9">
        <v>62.7</v>
      </c>
      <c r="N1117" s="9">
        <v>146.3</v>
      </c>
      <c r="O1117" s="12">
        <v>46023.0</v>
      </c>
      <c r="P1117" s="11"/>
      <c r="Q1117" s="21"/>
    </row>
    <row r="1118">
      <c r="A1118" s="9">
        <v>2.509000369E9</v>
      </c>
      <c r="B1118" s="10" t="s">
        <v>24</v>
      </c>
      <c r="C1118" s="9">
        <v>3.0</v>
      </c>
      <c r="D1118" s="10" t="s">
        <v>125</v>
      </c>
      <c r="E1118" s="9">
        <v>7.0</v>
      </c>
      <c r="F1118" s="9">
        <v>16.0</v>
      </c>
      <c r="G1118" s="9">
        <v>112.0</v>
      </c>
      <c r="H1118" s="9">
        <v>0.0</v>
      </c>
      <c r="I1118" s="9">
        <v>0.0</v>
      </c>
      <c r="J1118" s="9">
        <v>16.0</v>
      </c>
      <c r="K1118" s="9">
        <v>112.0</v>
      </c>
      <c r="L1118" s="9">
        <v>6.2</v>
      </c>
      <c r="M1118" s="9">
        <v>99.2</v>
      </c>
      <c r="N1118" s="9">
        <v>12.8</v>
      </c>
      <c r="O1118" s="12">
        <v>46023.0</v>
      </c>
      <c r="P1118" s="11"/>
      <c r="Q1118" s="21"/>
    </row>
    <row r="1119">
      <c r="A1119" s="9">
        <v>2.509000369E9</v>
      </c>
      <c r="B1119" s="10" t="s">
        <v>24</v>
      </c>
      <c r="C1119" s="9">
        <v>5.0</v>
      </c>
      <c r="D1119" s="10" t="s">
        <v>131</v>
      </c>
      <c r="E1119" s="9">
        <v>3.0</v>
      </c>
      <c r="F1119" s="9">
        <v>9.0</v>
      </c>
      <c r="G1119" s="9">
        <v>27.0</v>
      </c>
      <c r="H1119" s="9">
        <v>0.0</v>
      </c>
      <c r="I1119" s="9">
        <v>0.0</v>
      </c>
      <c r="J1119" s="9">
        <v>9.0</v>
      </c>
      <c r="K1119" s="9">
        <v>27.0</v>
      </c>
      <c r="L1119" s="9">
        <v>2.0</v>
      </c>
      <c r="M1119" s="9">
        <v>18.0</v>
      </c>
      <c r="N1119" s="9">
        <v>9.0</v>
      </c>
      <c r="O1119" s="12">
        <v>46023.0</v>
      </c>
      <c r="P1119" s="11"/>
      <c r="Q1119" s="21"/>
    </row>
    <row r="1120">
      <c r="A1120" s="9">
        <v>2.509000369E9</v>
      </c>
      <c r="B1120" s="10" t="s">
        <v>24</v>
      </c>
      <c r="C1120" s="9">
        <v>11.0</v>
      </c>
      <c r="D1120" s="10" t="s">
        <v>86</v>
      </c>
      <c r="E1120" s="9">
        <v>5.0</v>
      </c>
      <c r="F1120" s="9">
        <v>58.0</v>
      </c>
      <c r="G1120" s="9">
        <v>290.0</v>
      </c>
      <c r="H1120" s="9">
        <v>0.0</v>
      </c>
      <c r="I1120" s="9">
        <v>0.0</v>
      </c>
      <c r="J1120" s="9">
        <v>58.0</v>
      </c>
      <c r="K1120" s="9">
        <v>290.0</v>
      </c>
      <c r="L1120" s="9">
        <v>3.75</v>
      </c>
      <c r="M1120" s="9">
        <v>217.5</v>
      </c>
      <c r="N1120" s="9">
        <v>72.5</v>
      </c>
      <c r="O1120" s="12">
        <v>46023.0</v>
      </c>
      <c r="P1120" s="11"/>
      <c r="Q1120" s="21"/>
    </row>
    <row r="1121">
      <c r="A1121" s="9">
        <v>2.509000369E9</v>
      </c>
      <c r="B1121" s="10" t="s">
        <v>24</v>
      </c>
      <c r="C1121" s="9">
        <v>12.0</v>
      </c>
      <c r="D1121" s="10" t="s">
        <v>136</v>
      </c>
      <c r="E1121" s="9">
        <v>1.0</v>
      </c>
      <c r="F1121" s="9">
        <v>65.0</v>
      </c>
      <c r="G1121" s="9">
        <v>65.0</v>
      </c>
      <c r="H1121" s="9">
        <v>0.0</v>
      </c>
      <c r="I1121" s="9">
        <v>0.0</v>
      </c>
      <c r="J1121" s="9">
        <v>65.0</v>
      </c>
      <c r="K1121" s="9">
        <v>65.0</v>
      </c>
      <c r="L1121" s="9">
        <v>0.6</v>
      </c>
      <c r="M1121" s="9">
        <v>39.0</v>
      </c>
      <c r="N1121" s="9">
        <v>26.0</v>
      </c>
      <c r="O1121" s="12">
        <v>46023.0</v>
      </c>
      <c r="P1121" s="11"/>
      <c r="Q1121" s="21"/>
    </row>
    <row r="1122">
      <c r="A1122" s="9">
        <v>2.509000369E9</v>
      </c>
      <c r="B1122" s="10" t="s">
        <v>24</v>
      </c>
      <c r="C1122" s="9">
        <v>14.0</v>
      </c>
      <c r="D1122" s="10" t="s">
        <v>138</v>
      </c>
      <c r="E1122" s="9">
        <v>7.518518519</v>
      </c>
      <c r="F1122" s="9">
        <v>27.0</v>
      </c>
      <c r="G1122" s="9">
        <v>203.0</v>
      </c>
      <c r="H1122" s="9">
        <v>0.0</v>
      </c>
      <c r="I1122" s="9">
        <v>0.0</v>
      </c>
      <c r="J1122" s="9">
        <v>27.0</v>
      </c>
      <c r="K1122" s="9">
        <v>203.0</v>
      </c>
      <c r="L1122" s="9">
        <v>5.8</v>
      </c>
      <c r="M1122" s="9">
        <v>156.6</v>
      </c>
      <c r="N1122" s="9">
        <v>46.4</v>
      </c>
      <c r="O1122" s="12">
        <v>46023.0</v>
      </c>
      <c r="P1122" s="11"/>
      <c r="Q1122" s="23"/>
    </row>
    <row r="1123">
      <c r="A1123" s="9">
        <v>2.509000369E9</v>
      </c>
      <c r="B1123" s="10" t="s">
        <v>24</v>
      </c>
      <c r="C1123" s="9">
        <v>19.0</v>
      </c>
      <c r="D1123" s="10" t="s">
        <v>72</v>
      </c>
      <c r="E1123" s="9">
        <v>2.5</v>
      </c>
      <c r="F1123" s="9">
        <v>37.0</v>
      </c>
      <c r="G1123" s="9">
        <v>92.5</v>
      </c>
      <c r="H1123" s="9">
        <v>0.0</v>
      </c>
      <c r="I1123" s="9">
        <v>0.0</v>
      </c>
      <c r="J1123" s="9">
        <v>37.0</v>
      </c>
      <c r="K1123" s="9">
        <v>92.5</v>
      </c>
      <c r="L1123" s="9">
        <v>1.33</v>
      </c>
      <c r="M1123" s="9">
        <v>49.21</v>
      </c>
      <c r="N1123" s="9">
        <v>43.29</v>
      </c>
      <c r="O1123" s="12">
        <v>46023.0</v>
      </c>
      <c r="P1123" s="11"/>
      <c r="Q1123" s="21"/>
    </row>
    <row r="1124">
      <c r="A1124" s="9">
        <v>2.509000369E9</v>
      </c>
      <c r="B1124" s="10" t="s">
        <v>24</v>
      </c>
      <c r="C1124" s="9">
        <v>21.0</v>
      </c>
      <c r="D1124" s="10" t="s">
        <v>79</v>
      </c>
      <c r="E1124" s="9">
        <v>2.76</v>
      </c>
      <c r="F1124" s="9">
        <v>50.0</v>
      </c>
      <c r="G1124" s="9">
        <v>138.0</v>
      </c>
      <c r="H1124" s="9">
        <v>0.0</v>
      </c>
      <c r="I1124" s="9">
        <v>0.0</v>
      </c>
      <c r="J1124" s="9">
        <v>50.0</v>
      </c>
      <c r="K1124" s="9">
        <v>138.0</v>
      </c>
      <c r="L1124" s="9">
        <v>2.25</v>
      </c>
      <c r="M1124" s="9">
        <v>112.5</v>
      </c>
      <c r="N1124" s="9">
        <v>25.5</v>
      </c>
      <c r="O1124" s="12">
        <v>46023.0</v>
      </c>
      <c r="P1124" s="11"/>
      <c r="Q1124" s="21"/>
    </row>
    <row r="1125">
      <c r="A1125" s="9">
        <v>2.509000369E9</v>
      </c>
      <c r="B1125" s="10" t="s">
        <v>24</v>
      </c>
      <c r="C1125" s="9">
        <v>23.0</v>
      </c>
      <c r="D1125" s="10" t="s">
        <v>143</v>
      </c>
      <c r="E1125" s="9">
        <v>5.5</v>
      </c>
      <c r="F1125" s="9">
        <v>2.0</v>
      </c>
      <c r="G1125" s="9">
        <v>11.0</v>
      </c>
      <c r="H1125" s="9">
        <v>0.0</v>
      </c>
      <c r="I1125" s="9">
        <v>0.0</v>
      </c>
      <c r="J1125" s="9">
        <v>2.0</v>
      </c>
      <c r="K1125" s="9">
        <v>11.0</v>
      </c>
      <c r="L1125" s="9">
        <v>3.41</v>
      </c>
      <c r="M1125" s="9">
        <v>6.82</v>
      </c>
      <c r="N1125" s="9">
        <v>4.18</v>
      </c>
      <c r="O1125" s="12">
        <v>46023.0</v>
      </c>
      <c r="P1125" s="11"/>
      <c r="Q1125" s="21"/>
    </row>
    <row r="1126">
      <c r="A1126" s="9">
        <v>2.509000369E9</v>
      </c>
      <c r="B1126" s="10" t="s">
        <v>24</v>
      </c>
      <c r="C1126" s="9">
        <v>25.0</v>
      </c>
      <c r="D1126" s="10" t="s">
        <v>144</v>
      </c>
      <c r="E1126" s="9">
        <v>5.333333333</v>
      </c>
      <c r="F1126" s="9">
        <v>9.0</v>
      </c>
      <c r="G1126" s="9">
        <v>48.0</v>
      </c>
      <c r="H1126" s="9">
        <v>0.0</v>
      </c>
      <c r="I1126" s="9">
        <v>0.0</v>
      </c>
      <c r="J1126" s="9">
        <v>9.0</v>
      </c>
      <c r="K1126" s="9">
        <v>48.0</v>
      </c>
      <c r="L1126" s="9">
        <v>5.0</v>
      </c>
      <c r="M1126" s="9">
        <v>45.0</v>
      </c>
      <c r="N1126" s="9">
        <v>3.0</v>
      </c>
      <c r="O1126" s="12">
        <v>46023.0</v>
      </c>
      <c r="P1126" s="11"/>
      <c r="Q1126" s="23"/>
    </row>
    <row r="1127">
      <c r="A1127" s="9">
        <v>2.509000369E9</v>
      </c>
      <c r="B1127" s="10" t="s">
        <v>24</v>
      </c>
      <c r="C1127" s="9">
        <v>27.0</v>
      </c>
      <c r="D1127" s="10" t="s">
        <v>73</v>
      </c>
      <c r="E1127" s="9">
        <v>4.142857143</v>
      </c>
      <c r="F1127" s="9">
        <v>35.0</v>
      </c>
      <c r="G1127" s="9">
        <v>145.0</v>
      </c>
      <c r="H1127" s="9">
        <v>0.0</v>
      </c>
      <c r="I1127" s="9">
        <v>0.0</v>
      </c>
      <c r="J1127" s="9">
        <v>35.0</v>
      </c>
      <c r="K1127" s="9">
        <v>145.0</v>
      </c>
      <c r="L1127" s="9">
        <v>3.8</v>
      </c>
      <c r="M1127" s="9">
        <v>133.0</v>
      </c>
      <c r="N1127" s="9">
        <v>12.0</v>
      </c>
      <c r="O1127" s="12">
        <v>46023.0</v>
      </c>
      <c r="P1127" s="11"/>
      <c r="Q1127" s="23"/>
    </row>
    <row r="1128">
      <c r="A1128" s="9">
        <v>2.509000369E9</v>
      </c>
      <c r="B1128" s="10" t="s">
        <v>24</v>
      </c>
      <c r="C1128" s="9">
        <v>28.0</v>
      </c>
      <c r="D1128" s="10" t="s">
        <v>146</v>
      </c>
      <c r="E1128" s="9">
        <v>6.0</v>
      </c>
      <c r="F1128" s="9">
        <v>3.0</v>
      </c>
      <c r="G1128" s="9">
        <v>18.0</v>
      </c>
      <c r="H1128" s="9">
        <v>0.0</v>
      </c>
      <c r="I1128" s="9">
        <v>0.0</v>
      </c>
      <c r="J1128" s="9">
        <v>3.0</v>
      </c>
      <c r="K1128" s="9">
        <v>18.0</v>
      </c>
      <c r="L1128" s="9">
        <v>5.2</v>
      </c>
      <c r="M1128" s="9">
        <v>15.6</v>
      </c>
      <c r="N1128" s="9">
        <v>2.4</v>
      </c>
      <c r="O1128" s="12">
        <v>46023.0</v>
      </c>
      <c r="P1128" s="11"/>
      <c r="Q1128" s="21"/>
    </row>
    <row r="1129">
      <c r="A1129" s="9">
        <v>2.509000369E9</v>
      </c>
      <c r="B1129" s="10" t="s">
        <v>24</v>
      </c>
      <c r="C1129" s="9">
        <v>29.0</v>
      </c>
      <c r="D1129" s="10" t="s">
        <v>147</v>
      </c>
      <c r="E1129" s="9">
        <v>3.0</v>
      </c>
      <c r="F1129" s="9">
        <v>33.0</v>
      </c>
      <c r="G1129" s="9">
        <v>99.0</v>
      </c>
      <c r="H1129" s="9">
        <v>0.0</v>
      </c>
      <c r="I1129" s="9">
        <v>0.0</v>
      </c>
      <c r="J1129" s="9">
        <v>33.0</v>
      </c>
      <c r="K1129" s="9">
        <v>99.0</v>
      </c>
      <c r="L1129" s="9">
        <v>2.25</v>
      </c>
      <c r="M1129" s="9">
        <v>74.25</v>
      </c>
      <c r="N1129" s="9">
        <v>24.75</v>
      </c>
      <c r="O1129" s="12">
        <v>46023.0</v>
      </c>
      <c r="P1129" s="11"/>
      <c r="Q1129" s="21"/>
    </row>
    <row r="1130">
      <c r="A1130" s="9">
        <v>2.509000369E9</v>
      </c>
      <c r="B1130" s="10" t="s">
        <v>24</v>
      </c>
      <c r="C1130" s="9">
        <v>30.0</v>
      </c>
      <c r="D1130" s="10" t="s">
        <v>148</v>
      </c>
      <c r="E1130" s="9">
        <v>5.875</v>
      </c>
      <c r="F1130" s="9">
        <v>2.0</v>
      </c>
      <c r="G1130" s="9">
        <v>11.75</v>
      </c>
      <c r="H1130" s="9">
        <v>0.0</v>
      </c>
      <c r="I1130" s="9">
        <v>0.0</v>
      </c>
      <c r="J1130" s="9">
        <v>2.0</v>
      </c>
      <c r="K1130" s="9">
        <v>11.75</v>
      </c>
      <c r="L1130" s="9">
        <v>5.2</v>
      </c>
      <c r="M1130" s="9">
        <v>10.4</v>
      </c>
      <c r="N1130" s="9">
        <v>1.35</v>
      </c>
      <c r="O1130" s="12">
        <v>46023.0</v>
      </c>
      <c r="P1130" s="11"/>
      <c r="Q1130" s="21"/>
    </row>
    <row r="1131">
      <c r="A1131" s="9">
        <v>2.509000369E9</v>
      </c>
      <c r="B1131" s="10" t="s">
        <v>24</v>
      </c>
      <c r="C1131" s="9">
        <v>32.0</v>
      </c>
      <c r="D1131" s="10" t="s">
        <v>150</v>
      </c>
      <c r="E1131" s="9">
        <v>3.0</v>
      </c>
      <c r="F1131" s="9">
        <v>16.0</v>
      </c>
      <c r="G1131" s="9">
        <v>48.0</v>
      </c>
      <c r="H1131" s="9">
        <v>0.0</v>
      </c>
      <c r="I1131" s="9">
        <v>0.0</v>
      </c>
      <c r="J1131" s="9">
        <v>16.0</v>
      </c>
      <c r="K1131" s="9">
        <v>48.0</v>
      </c>
      <c r="L1131" s="9">
        <v>2.0</v>
      </c>
      <c r="M1131" s="9">
        <v>32.0</v>
      </c>
      <c r="N1131" s="9">
        <v>16.0</v>
      </c>
      <c r="O1131" s="12">
        <v>46023.0</v>
      </c>
      <c r="P1131" s="11"/>
      <c r="Q1131" s="21"/>
    </row>
    <row r="1132">
      <c r="A1132" s="9">
        <v>2.509000369E9</v>
      </c>
      <c r="B1132" s="10" t="s">
        <v>24</v>
      </c>
      <c r="C1132" s="9">
        <v>33.0</v>
      </c>
      <c r="D1132" s="10" t="s">
        <v>151</v>
      </c>
      <c r="E1132" s="9">
        <v>4.0</v>
      </c>
      <c r="F1132" s="9">
        <v>10.0</v>
      </c>
      <c r="G1132" s="9">
        <v>40.0</v>
      </c>
      <c r="H1132" s="9">
        <v>0.0</v>
      </c>
      <c r="I1132" s="9">
        <v>0.0</v>
      </c>
      <c r="J1132" s="9">
        <v>10.0</v>
      </c>
      <c r="K1132" s="9">
        <v>40.0</v>
      </c>
      <c r="L1132" s="9">
        <v>3.13</v>
      </c>
      <c r="M1132" s="9">
        <v>31.3</v>
      </c>
      <c r="N1132" s="9">
        <v>8.7</v>
      </c>
      <c r="O1132" s="12">
        <v>46023.0</v>
      </c>
      <c r="P1132" s="11"/>
      <c r="Q1132" s="21"/>
    </row>
    <row r="1133">
      <c r="A1133" s="9">
        <v>2.509000369E9</v>
      </c>
      <c r="B1133" s="10" t="s">
        <v>24</v>
      </c>
      <c r="C1133" s="9">
        <v>36.0</v>
      </c>
      <c r="D1133" s="10" t="s">
        <v>153</v>
      </c>
      <c r="E1133" s="9">
        <v>4.0</v>
      </c>
      <c r="F1133" s="9">
        <v>4.0</v>
      </c>
      <c r="G1133" s="9">
        <v>16.0</v>
      </c>
      <c r="H1133" s="9">
        <v>0.0</v>
      </c>
      <c r="I1133" s="9">
        <v>0.0</v>
      </c>
      <c r="J1133" s="9">
        <v>4.0</v>
      </c>
      <c r="K1133" s="9">
        <v>16.0</v>
      </c>
      <c r="L1133" s="9">
        <v>2.0</v>
      </c>
      <c r="M1133" s="9">
        <v>8.0</v>
      </c>
      <c r="N1133" s="9">
        <v>8.0</v>
      </c>
      <c r="O1133" s="12">
        <v>46023.0</v>
      </c>
      <c r="P1133" s="11"/>
      <c r="Q1133" s="21"/>
    </row>
    <row r="1134">
      <c r="A1134" s="9">
        <v>2.509000369E9</v>
      </c>
      <c r="B1134" s="10" t="s">
        <v>24</v>
      </c>
      <c r="C1134" s="9">
        <v>38.0</v>
      </c>
      <c r="D1134" s="10" t="s">
        <v>155</v>
      </c>
      <c r="E1134" s="9">
        <v>7.5</v>
      </c>
      <c r="F1134" s="9">
        <v>7.0</v>
      </c>
      <c r="G1134" s="9">
        <v>52.5</v>
      </c>
      <c r="H1134" s="9">
        <v>0.0</v>
      </c>
      <c r="I1134" s="9">
        <v>0.0</v>
      </c>
      <c r="J1134" s="9">
        <v>7.0</v>
      </c>
      <c r="K1134" s="9">
        <v>52.5</v>
      </c>
      <c r="L1134" s="9">
        <v>5.18</v>
      </c>
      <c r="M1134" s="9">
        <v>36.26</v>
      </c>
      <c r="N1134" s="9">
        <v>16.24</v>
      </c>
      <c r="O1134" s="12">
        <v>46023.0</v>
      </c>
      <c r="P1134" s="11"/>
      <c r="Q1134" s="21"/>
    </row>
    <row r="1135">
      <c r="A1135" s="9">
        <v>2.509000369E9</v>
      </c>
      <c r="B1135" s="10" t="s">
        <v>24</v>
      </c>
      <c r="C1135" s="9">
        <v>40.0</v>
      </c>
      <c r="D1135" s="10" t="s">
        <v>156</v>
      </c>
      <c r="E1135" s="9">
        <v>5.5</v>
      </c>
      <c r="F1135" s="9">
        <v>10.0</v>
      </c>
      <c r="G1135" s="9">
        <v>55.0</v>
      </c>
      <c r="H1135" s="9">
        <v>0.0</v>
      </c>
      <c r="I1135" s="9">
        <v>0.0</v>
      </c>
      <c r="J1135" s="9">
        <v>10.0</v>
      </c>
      <c r="K1135" s="9">
        <v>55.0</v>
      </c>
      <c r="L1135" s="9">
        <v>3.63</v>
      </c>
      <c r="M1135" s="9">
        <v>36.3</v>
      </c>
      <c r="N1135" s="9">
        <v>18.7</v>
      </c>
      <c r="O1135" s="12">
        <v>46023.0</v>
      </c>
      <c r="P1135" s="11"/>
      <c r="Q1135" s="21"/>
    </row>
    <row r="1136">
      <c r="A1136" s="9">
        <v>2.509000369E9</v>
      </c>
      <c r="B1136" s="10" t="s">
        <v>24</v>
      </c>
      <c r="C1136" s="9">
        <v>44.0</v>
      </c>
      <c r="D1136" s="10" t="s">
        <v>160</v>
      </c>
      <c r="E1136" s="9">
        <v>5.033333333</v>
      </c>
      <c r="F1136" s="9">
        <v>15.0</v>
      </c>
      <c r="G1136" s="9">
        <v>75.5</v>
      </c>
      <c r="H1136" s="9">
        <v>0.0</v>
      </c>
      <c r="I1136" s="9">
        <v>0.0</v>
      </c>
      <c r="J1136" s="9">
        <v>15.0</v>
      </c>
      <c r="K1136" s="9">
        <v>75.5</v>
      </c>
      <c r="L1136" s="9">
        <v>4.13</v>
      </c>
      <c r="M1136" s="9">
        <v>61.95</v>
      </c>
      <c r="N1136" s="9">
        <v>13.55</v>
      </c>
      <c r="O1136" s="12">
        <v>46023.0</v>
      </c>
      <c r="P1136" s="11"/>
      <c r="Q1136" s="23"/>
    </row>
    <row r="1137">
      <c r="A1137" s="9">
        <v>2.509000369E9</v>
      </c>
      <c r="B1137" s="10" t="s">
        <v>24</v>
      </c>
      <c r="C1137" s="9">
        <v>52.0</v>
      </c>
      <c r="D1137" s="10" t="s">
        <v>174</v>
      </c>
      <c r="E1137" s="9">
        <v>5.0</v>
      </c>
      <c r="F1137" s="9">
        <v>63.0</v>
      </c>
      <c r="G1137" s="9">
        <v>315.0</v>
      </c>
      <c r="H1137" s="9">
        <v>0.0</v>
      </c>
      <c r="I1137" s="9">
        <v>0.0</v>
      </c>
      <c r="J1137" s="9">
        <v>63.0</v>
      </c>
      <c r="K1137" s="9">
        <v>315.0</v>
      </c>
      <c r="L1137" s="9">
        <v>2.77</v>
      </c>
      <c r="M1137" s="9">
        <v>174.51</v>
      </c>
      <c r="N1137" s="9">
        <v>140.49</v>
      </c>
      <c r="O1137" s="12">
        <v>46023.0</v>
      </c>
      <c r="P1137" s="11"/>
      <c r="Q1137" s="21"/>
    </row>
    <row r="1138">
      <c r="A1138" s="9">
        <v>2.509000369E9</v>
      </c>
      <c r="B1138" s="10" t="s">
        <v>24</v>
      </c>
      <c r="C1138" s="9">
        <v>54.0</v>
      </c>
      <c r="D1138" s="10" t="s">
        <v>168</v>
      </c>
      <c r="E1138" s="9">
        <v>3.0</v>
      </c>
      <c r="F1138" s="9">
        <v>11.0</v>
      </c>
      <c r="G1138" s="9">
        <v>33.0</v>
      </c>
      <c r="H1138" s="9">
        <v>0.0</v>
      </c>
      <c r="I1138" s="9">
        <v>0.0</v>
      </c>
      <c r="J1138" s="9">
        <v>11.0</v>
      </c>
      <c r="K1138" s="9">
        <v>33.0</v>
      </c>
      <c r="L1138" s="9">
        <v>2.25</v>
      </c>
      <c r="M1138" s="9">
        <v>24.75</v>
      </c>
      <c r="N1138" s="9">
        <v>8.25</v>
      </c>
      <c r="O1138" s="12">
        <v>46023.0</v>
      </c>
      <c r="P1138" s="11"/>
      <c r="Q1138" s="21"/>
    </row>
    <row r="1139">
      <c r="A1139" s="9">
        <v>2.509000369E9</v>
      </c>
      <c r="B1139" s="10" t="s">
        <v>24</v>
      </c>
      <c r="C1139" s="9">
        <v>64.0</v>
      </c>
      <c r="D1139" s="10" t="s">
        <v>173</v>
      </c>
      <c r="E1139" s="9">
        <v>3.0</v>
      </c>
      <c r="F1139" s="9">
        <v>21.0</v>
      </c>
      <c r="G1139" s="9">
        <v>63.0</v>
      </c>
      <c r="H1139" s="9">
        <v>0.0</v>
      </c>
      <c r="I1139" s="9">
        <v>0.0</v>
      </c>
      <c r="J1139" s="9">
        <v>21.0</v>
      </c>
      <c r="K1139" s="9">
        <v>63.0</v>
      </c>
      <c r="L1139" s="9">
        <v>2.08</v>
      </c>
      <c r="M1139" s="9">
        <v>43.68</v>
      </c>
      <c r="N1139" s="9">
        <v>19.32</v>
      </c>
      <c r="O1139" s="12">
        <v>46023.0</v>
      </c>
      <c r="P1139" s="11"/>
      <c r="Q1139" s="21"/>
    </row>
    <row r="1140">
      <c r="A1140" s="9">
        <v>2.509000369E9</v>
      </c>
      <c r="B1140" s="10" t="s">
        <v>24</v>
      </c>
      <c r="C1140" s="9">
        <v>71.0</v>
      </c>
      <c r="D1140" s="10" t="s">
        <v>176</v>
      </c>
      <c r="E1140" s="9">
        <v>5.0</v>
      </c>
      <c r="F1140" s="9">
        <v>10.0</v>
      </c>
      <c r="G1140" s="9">
        <v>50.0</v>
      </c>
      <c r="H1140" s="9">
        <v>0.0</v>
      </c>
      <c r="I1140" s="9">
        <v>0.0</v>
      </c>
      <c r="J1140" s="9">
        <v>10.0</v>
      </c>
      <c r="K1140" s="9">
        <v>50.0</v>
      </c>
      <c r="L1140" s="9">
        <v>1.6</v>
      </c>
      <c r="M1140" s="9">
        <v>16.0</v>
      </c>
      <c r="N1140" s="9">
        <v>34.0</v>
      </c>
      <c r="O1140" s="12">
        <v>46023.0</v>
      </c>
      <c r="P1140" s="11"/>
      <c r="Q1140" s="21"/>
    </row>
    <row r="1141">
      <c r="A1141" s="9">
        <v>2.509000369E9</v>
      </c>
      <c r="B1141" s="10" t="s">
        <v>24</v>
      </c>
      <c r="C1141" s="9">
        <v>75.0</v>
      </c>
      <c r="D1141" s="10" t="s">
        <v>178</v>
      </c>
      <c r="E1141" s="9">
        <v>4.0</v>
      </c>
      <c r="F1141" s="9">
        <v>1.0</v>
      </c>
      <c r="G1141" s="9">
        <v>4.0</v>
      </c>
      <c r="H1141" s="9">
        <v>0.0</v>
      </c>
      <c r="I1141" s="9">
        <v>0.0</v>
      </c>
      <c r="J1141" s="9">
        <v>1.0</v>
      </c>
      <c r="K1141" s="9">
        <v>4.0</v>
      </c>
      <c r="L1141" s="9">
        <v>1.75</v>
      </c>
      <c r="M1141" s="9">
        <v>1.75</v>
      </c>
      <c r="N1141" s="9">
        <v>2.25</v>
      </c>
      <c r="O1141" s="12">
        <v>46023.0</v>
      </c>
      <c r="P1141" s="11"/>
      <c r="Q1141" s="21"/>
    </row>
    <row r="1142">
      <c r="A1142" s="9">
        <v>2.509000369E9</v>
      </c>
      <c r="B1142" s="10" t="s">
        <v>24</v>
      </c>
      <c r="C1142" s="9">
        <v>87.0</v>
      </c>
      <c r="D1142" s="10" t="s">
        <v>202</v>
      </c>
      <c r="E1142" s="9">
        <v>3.0</v>
      </c>
      <c r="F1142" s="9">
        <v>5.0</v>
      </c>
      <c r="G1142" s="9">
        <v>15.0</v>
      </c>
      <c r="H1142" s="9">
        <v>0.0</v>
      </c>
      <c r="I1142" s="9">
        <v>0.0</v>
      </c>
      <c r="J1142" s="9">
        <v>5.0</v>
      </c>
      <c r="K1142" s="9">
        <v>15.0</v>
      </c>
      <c r="L1142" s="9">
        <v>1.87</v>
      </c>
      <c r="M1142" s="9">
        <v>9.35</v>
      </c>
      <c r="N1142" s="9">
        <v>5.65</v>
      </c>
      <c r="O1142" s="12">
        <v>46023.0</v>
      </c>
      <c r="P1142" s="11"/>
      <c r="Q1142" s="21"/>
    </row>
    <row r="1143">
      <c r="A1143" s="9">
        <v>2.509000369E9</v>
      </c>
      <c r="B1143" s="10" t="s">
        <v>24</v>
      </c>
      <c r="C1143" s="9">
        <v>91.0</v>
      </c>
      <c r="D1143" s="10" t="s">
        <v>208</v>
      </c>
      <c r="E1143" s="9">
        <v>5.5</v>
      </c>
      <c r="F1143" s="9">
        <v>13.0</v>
      </c>
      <c r="G1143" s="9">
        <v>71.5</v>
      </c>
      <c r="H1143" s="9">
        <v>0.0</v>
      </c>
      <c r="I1143" s="9">
        <v>0.0</v>
      </c>
      <c r="J1143" s="9">
        <v>13.0</v>
      </c>
      <c r="K1143" s="9">
        <v>71.5</v>
      </c>
      <c r="L1143" s="9">
        <v>3.5</v>
      </c>
      <c r="M1143" s="9">
        <v>45.5</v>
      </c>
      <c r="N1143" s="9">
        <v>26.0</v>
      </c>
      <c r="O1143" s="12">
        <v>46023.0</v>
      </c>
      <c r="P1143" s="11"/>
      <c r="Q1143" s="21"/>
    </row>
    <row r="1144">
      <c r="A1144" s="9">
        <v>2.509000369E9</v>
      </c>
      <c r="B1144" s="10" t="s">
        <v>24</v>
      </c>
      <c r="C1144" s="9">
        <v>92.0</v>
      </c>
      <c r="D1144" s="10" t="s">
        <v>209</v>
      </c>
      <c r="E1144" s="9">
        <v>5.5</v>
      </c>
      <c r="F1144" s="9">
        <v>7.0</v>
      </c>
      <c r="G1144" s="9">
        <v>38.5</v>
      </c>
      <c r="H1144" s="9">
        <v>0.0</v>
      </c>
      <c r="I1144" s="9">
        <v>0.0</v>
      </c>
      <c r="J1144" s="9">
        <v>7.0</v>
      </c>
      <c r="K1144" s="9">
        <v>38.5</v>
      </c>
      <c r="L1144" s="9">
        <v>3.5</v>
      </c>
      <c r="M1144" s="9">
        <v>24.5</v>
      </c>
      <c r="N1144" s="9">
        <v>14.0</v>
      </c>
      <c r="O1144" s="12">
        <v>46023.0</v>
      </c>
      <c r="P1144" s="11"/>
      <c r="Q1144" s="21"/>
    </row>
    <row r="1145">
      <c r="A1145" s="9">
        <v>2.509000369E9</v>
      </c>
      <c r="B1145" s="10" t="s">
        <v>24</v>
      </c>
      <c r="C1145" s="9">
        <v>96.0</v>
      </c>
      <c r="D1145" s="10" t="s">
        <v>212</v>
      </c>
      <c r="E1145" s="9">
        <v>5.0</v>
      </c>
      <c r="F1145" s="9">
        <v>14.0</v>
      </c>
      <c r="G1145" s="9">
        <v>70.0</v>
      </c>
      <c r="H1145" s="9">
        <v>0.0</v>
      </c>
      <c r="I1145" s="9">
        <v>0.0</v>
      </c>
      <c r="J1145" s="9">
        <v>14.0</v>
      </c>
      <c r="K1145" s="9">
        <v>70.0</v>
      </c>
      <c r="L1145" s="9">
        <v>2.66</v>
      </c>
      <c r="M1145" s="9">
        <v>37.24</v>
      </c>
      <c r="N1145" s="9">
        <v>32.76</v>
      </c>
      <c r="O1145" s="12">
        <v>46023.0</v>
      </c>
      <c r="P1145" s="11"/>
      <c r="Q1145" s="21"/>
    </row>
    <row r="1146">
      <c r="A1146" s="9">
        <v>2.509000369E9</v>
      </c>
      <c r="B1146" s="10" t="s">
        <v>24</v>
      </c>
      <c r="C1146" s="9">
        <v>98.0</v>
      </c>
      <c r="D1146" s="10" t="s">
        <v>118</v>
      </c>
      <c r="E1146" s="9">
        <v>5.0</v>
      </c>
      <c r="F1146" s="9">
        <v>7.0</v>
      </c>
      <c r="G1146" s="9">
        <v>35.0</v>
      </c>
      <c r="H1146" s="9">
        <v>0.0</v>
      </c>
      <c r="I1146" s="9">
        <v>0.0</v>
      </c>
      <c r="J1146" s="9">
        <v>7.0</v>
      </c>
      <c r="K1146" s="9">
        <v>35.0</v>
      </c>
      <c r="L1146" s="9">
        <v>3.17</v>
      </c>
      <c r="M1146" s="9">
        <v>22.19</v>
      </c>
      <c r="N1146" s="9">
        <v>12.81</v>
      </c>
      <c r="O1146" s="12">
        <v>46023.0</v>
      </c>
      <c r="P1146" s="11"/>
      <c r="Q1146" s="21"/>
    </row>
    <row r="1147">
      <c r="A1147" s="9">
        <v>2.509000369E9</v>
      </c>
      <c r="B1147" s="10" t="s">
        <v>24</v>
      </c>
      <c r="C1147" s="9">
        <v>99.0</v>
      </c>
      <c r="D1147" s="10" t="s">
        <v>213</v>
      </c>
      <c r="E1147" s="9">
        <v>3.0</v>
      </c>
      <c r="F1147" s="9">
        <v>23.0</v>
      </c>
      <c r="G1147" s="9">
        <v>69.0</v>
      </c>
      <c r="H1147" s="9">
        <v>0.0</v>
      </c>
      <c r="I1147" s="9">
        <v>0.0</v>
      </c>
      <c r="J1147" s="9">
        <v>23.0</v>
      </c>
      <c r="K1147" s="9">
        <v>69.0</v>
      </c>
      <c r="L1147" s="9">
        <v>2.25</v>
      </c>
      <c r="M1147" s="9">
        <v>51.75</v>
      </c>
      <c r="N1147" s="9">
        <v>17.25</v>
      </c>
      <c r="O1147" s="12">
        <v>46023.0</v>
      </c>
      <c r="P1147" s="11"/>
      <c r="Q1147" s="21"/>
    </row>
    <row r="1148">
      <c r="A1148" s="9">
        <v>2.509000369E9</v>
      </c>
      <c r="B1148" s="10" t="s">
        <v>24</v>
      </c>
      <c r="C1148" s="9">
        <v>106.0</v>
      </c>
      <c r="D1148" s="10" t="s">
        <v>214</v>
      </c>
      <c r="E1148" s="9">
        <v>7.0</v>
      </c>
      <c r="F1148" s="9">
        <v>9.0</v>
      </c>
      <c r="G1148" s="9">
        <v>63.0</v>
      </c>
      <c r="H1148" s="9">
        <v>0.0</v>
      </c>
      <c r="I1148" s="9">
        <v>0.0</v>
      </c>
      <c r="J1148" s="9">
        <v>9.0</v>
      </c>
      <c r="K1148" s="9">
        <v>63.0</v>
      </c>
      <c r="L1148" s="9">
        <v>4.79</v>
      </c>
      <c r="M1148" s="9">
        <v>43.11</v>
      </c>
      <c r="N1148" s="9">
        <v>19.89</v>
      </c>
      <c r="O1148" s="12">
        <v>46023.0</v>
      </c>
      <c r="P1148" s="11"/>
      <c r="Q1148" s="21"/>
    </row>
    <row r="1149">
      <c r="A1149" s="9">
        <v>2.509000369E9</v>
      </c>
      <c r="B1149" s="10" t="s">
        <v>24</v>
      </c>
      <c r="C1149" s="9">
        <v>108.0</v>
      </c>
      <c r="D1149" s="10" t="s">
        <v>235</v>
      </c>
      <c r="E1149" s="9">
        <v>2.011904762</v>
      </c>
      <c r="F1149" s="9">
        <v>21.0</v>
      </c>
      <c r="G1149" s="9">
        <v>42.25</v>
      </c>
      <c r="H1149" s="9">
        <v>0.0</v>
      </c>
      <c r="I1149" s="9">
        <v>0.0</v>
      </c>
      <c r="J1149" s="9">
        <v>21.0</v>
      </c>
      <c r="K1149" s="9">
        <v>42.25</v>
      </c>
      <c r="L1149" s="9">
        <v>1.41</v>
      </c>
      <c r="M1149" s="9">
        <v>29.61</v>
      </c>
      <c r="N1149" s="9">
        <v>12.64</v>
      </c>
      <c r="O1149" s="12">
        <v>46023.0</v>
      </c>
      <c r="P1149" s="11"/>
      <c r="Q1149" s="23"/>
    </row>
    <row r="1150">
      <c r="A1150" s="9">
        <v>2.509000369E9</v>
      </c>
      <c r="B1150" s="10" t="s">
        <v>24</v>
      </c>
      <c r="C1150" s="9">
        <v>111.0</v>
      </c>
      <c r="D1150" s="10" t="s">
        <v>215</v>
      </c>
      <c r="E1150" s="9">
        <v>1.0</v>
      </c>
      <c r="F1150" s="9">
        <v>22.0</v>
      </c>
      <c r="G1150" s="9">
        <v>22.0</v>
      </c>
      <c r="H1150" s="9">
        <v>0.0</v>
      </c>
      <c r="I1150" s="9">
        <v>0.0</v>
      </c>
      <c r="J1150" s="9">
        <v>22.0</v>
      </c>
      <c r="K1150" s="9">
        <v>22.0</v>
      </c>
      <c r="L1150" s="9">
        <v>0.68</v>
      </c>
      <c r="M1150" s="9">
        <v>14.96</v>
      </c>
      <c r="N1150" s="9">
        <v>7.04</v>
      </c>
      <c r="O1150" s="12">
        <v>46023.0</v>
      </c>
      <c r="P1150" s="11"/>
      <c r="Q1150" s="21"/>
    </row>
    <row r="1151">
      <c r="A1151" s="9">
        <v>2.509000369E9</v>
      </c>
      <c r="B1151" s="10" t="s">
        <v>24</v>
      </c>
      <c r="C1151" s="9">
        <v>112.0</v>
      </c>
      <c r="D1151" s="10" t="s">
        <v>216</v>
      </c>
      <c r="E1151" s="9">
        <v>4.5</v>
      </c>
      <c r="F1151" s="9">
        <v>7.0</v>
      </c>
      <c r="G1151" s="9">
        <v>31.5</v>
      </c>
      <c r="H1151" s="9">
        <v>0.0</v>
      </c>
      <c r="I1151" s="9">
        <v>0.0</v>
      </c>
      <c r="J1151" s="9">
        <v>7.0</v>
      </c>
      <c r="K1151" s="9">
        <v>31.5</v>
      </c>
      <c r="L1151" s="9">
        <v>2.18</v>
      </c>
      <c r="M1151" s="9">
        <v>15.26</v>
      </c>
      <c r="N1151" s="9">
        <v>16.24</v>
      </c>
      <c r="O1151" s="12">
        <v>46023.0</v>
      </c>
      <c r="P1151" s="11"/>
      <c r="Q1151" s="21"/>
    </row>
    <row r="1152">
      <c r="A1152" s="9">
        <v>2.509000369E9</v>
      </c>
      <c r="B1152" s="10" t="s">
        <v>24</v>
      </c>
      <c r="C1152" s="9">
        <v>114.0</v>
      </c>
      <c r="D1152" s="10" t="s">
        <v>218</v>
      </c>
      <c r="E1152" s="9">
        <v>4.5</v>
      </c>
      <c r="F1152" s="9">
        <v>15.0</v>
      </c>
      <c r="G1152" s="9">
        <v>67.5</v>
      </c>
      <c r="H1152" s="9">
        <v>0.0</v>
      </c>
      <c r="I1152" s="9">
        <v>0.0</v>
      </c>
      <c r="J1152" s="9">
        <v>15.0</v>
      </c>
      <c r="K1152" s="9">
        <v>67.5</v>
      </c>
      <c r="L1152" s="9">
        <v>2.25</v>
      </c>
      <c r="M1152" s="9">
        <v>33.75</v>
      </c>
      <c r="N1152" s="9">
        <v>33.75</v>
      </c>
      <c r="O1152" s="12">
        <v>46023.0</v>
      </c>
      <c r="P1152" s="11"/>
      <c r="Q1152" s="21"/>
    </row>
    <row r="1153">
      <c r="A1153" s="9">
        <v>2.509000369E9</v>
      </c>
      <c r="B1153" s="10" t="s">
        <v>24</v>
      </c>
      <c r="C1153" s="9">
        <v>115.0</v>
      </c>
      <c r="D1153" s="10" t="s">
        <v>240</v>
      </c>
      <c r="E1153" s="9">
        <v>6.0</v>
      </c>
      <c r="F1153" s="9">
        <v>1.0</v>
      </c>
      <c r="G1153" s="9">
        <v>6.0</v>
      </c>
      <c r="H1153" s="9">
        <v>0.0</v>
      </c>
      <c r="I1153" s="9">
        <v>0.0</v>
      </c>
      <c r="J1153" s="9">
        <v>1.0</v>
      </c>
      <c r="K1153" s="9">
        <v>6.0</v>
      </c>
      <c r="L1153" s="9">
        <v>4.5</v>
      </c>
      <c r="M1153" s="9">
        <v>4.5</v>
      </c>
      <c r="N1153" s="9">
        <v>1.5</v>
      </c>
      <c r="O1153" s="12">
        <v>46023.0</v>
      </c>
      <c r="P1153" s="11"/>
      <c r="Q1153" s="21"/>
    </row>
    <row r="1154">
      <c r="A1154" s="9">
        <v>2.509000369E9</v>
      </c>
      <c r="B1154" s="10" t="s">
        <v>24</v>
      </c>
      <c r="C1154" s="9">
        <v>122.0</v>
      </c>
      <c r="D1154" s="10" t="s">
        <v>219</v>
      </c>
      <c r="E1154" s="9">
        <v>5.0</v>
      </c>
      <c r="F1154" s="9">
        <v>2.0</v>
      </c>
      <c r="G1154" s="9">
        <v>10.0</v>
      </c>
      <c r="H1154" s="9">
        <v>0.0</v>
      </c>
      <c r="I1154" s="9">
        <v>0.0</v>
      </c>
      <c r="J1154" s="9">
        <v>2.0</v>
      </c>
      <c r="K1154" s="9">
        <v>10.0</v>
      </c>
      <c r="L1154" s="9">
        <v>3.6</v>
      </c>
      <c r="M1154" s="9">
        <v>7.2</v>
      </c>
      <c r="N1154" s="9">
        <v>2.8</v>
      </c>
      <c r="O1154" s="12">
        <v>46023.0</v>
      </c>
      <c r="P1154" s="11"/>
      <c r="Q1154" s="21"/>
    </row>
    <row r="1155">
      <c r="A1155" s="9">
        <v>2.509000369E9</v>
      </c>
      <c r="B1155" s="10" t="s">
        <v>24</v>
      </c>
      <c r="C1155" s="9">
        <v>123.0</v>
      </c>
      <c r="D1155" s="10" t="s">
        <v>220</v>
      </c>
      <c r="E1155" s="9">
        <v>5.0</v>
      </c>
      <c r="F1155" s="9">
        <v>10.0</v>
      </c>
      <c r="G1155" s="9">
        <v>50.0</v>
      </c>
      <c r="H1155" s="9">
        <v>0.0</v>
      </c>
      <c r="I1155" s="9">
        <v>0.0</v>
      </c>
      <c r="J1155" s="9">
        <v>10.0</v>
      </c>
      <c r="K1155" s="9">
        <v>50.0</v>
      </c>
      <c r="L1155" s="9">
        <v>3.8</v>
      </c>
      <c r="M1155" s="9">
        <v>38.0</v>
      </c>
      <c r="N1155" s="9">
        <v>12.0</v>
      </c>
      <c r="O1155" s="12">
        <v>46023.0</v>
      </c>
      <c r="P1155" s="11"/>
      <c r="Q1155" s="21"/>
    </row>
    <row r="1156">
      <c r="A1156" s="9">
        <v>2.404120076E9</v>
      </c>
      <c r="B1156" s="10" t="s">
        <v>19</v>
      </c>
      <c r="C1156" s="24"/>
      <c r="D1156" s="23" t="s">
        <v>89</v>
      </c>
      <c r="E1156" s="11"/>
      <c r="F1156" s="24">
        <v>31.0</v>
      </c>
      <c r="G1156" s="24">
        <v>93.0</v>
      </c>
      <c r="H1156" s="11"/>
      <c r="I1156" s="11"/>
      <c r="J1156" s="24">
        <v>31.0</v>
      </c>
      <c r="K1156" s="24">
        <v>93.0</v>
      </c>
      <c r="L1156" s="9"/>
      <c r="M1156" s="9"/>
      <c r="N1156" s="24">
        <v>36.27</v>
      </c>
      <c r="O1156" s="12">
        <v>46023.0</v>
      </c>
      <c r="P1156" s="11"/>
      <c r="Q1156" s="23"/>
    </row>
    <row r="1157">
      <c r="A1157" s="9">
        <v>2.404120076E9</v>
      </c>
      <c r="B1157" s="10" t="s">
        <v>19</v>
      </c>
      <c r="C1157" s="24"/>
      <c r="D1157" s="23" t="s">
        <v>55</v>
      </c>
      <c r="E1157" s="11"/>
      <c r="F1157" s="24">
        <v>9.0</v>
      </c>
      <c r="G1157" s="24">
        <v>27.0</v>
      </c>
      <c r="H1157" s="11"/>
      <c r="I1157" s="11"/>
      <c r="J1157" s="24">
        <v>9.0</v>
      </c>
      <c r="K1157" s="24">
        <v>27.0</v>
      </c>
      <c r="L1157" s="9"/>
      <c r="M1157" s="9"/>
      <c r="N1157" s="24">
        <v>15.66</v>
      </c>
      <c r="O1157" s="12">
        <v>46023.0</v>
      </c>
      <c r="P1157" s="11"/>
      <c r="Q1157" s="23"/>
    </row>
    <row r="1158">
      <c r="A1158" s="9">
        <v>2.404120076E9</v>
      </c>
      <c r="B1158" s="10" t="s">
        <v>19</v>
      </c>
      <c r="C1158" s="24"/>
      <c r="D1158" s="23" t="s">
        <v>241</v>
      </c>
      <c r="E1158" s="11"/>
      <c r="F1158" s="24">
        <v>100.0</v>
      </c>
      <c r="G1158" s="24">
        <v>524.0</v>
      </c>
      <c r="H1158" s="11"/>
      <c r="I1158" s="11"/>
      <c r="J1158" s="24">
        <v>100.0</v>
      </c>
      <c r="K1158" s="24">
        <v>524.0</v>
      </c>
      <c r="L1158" s="9"/>
      <c r="M1158" s="9"/>
      <c r="N1158" s="24">
        <v>224.0</v>
      </c>
      <c r="O1158" s="12">
        <v>46023.0</v>
      </c>
      <c r="P1158" s="11"/>
      <c r="Q1158" s="23"/>
    </row>
    <row r="1159">
      <c r="A1159" s="9">
        <v>2.404120076E9</v>
      </c>
      <c r="B1159" s="10" t="s">
        <v>19</v>
      </c>
      <c r="C1159" s="24"/>
      <c r="D1159" s="23" t="s">
        <v>58</v>
      </c>
      <c r="E1159" s="11"/>
      <c r="F1159" s="24">
        <v>20.0</v>
      </c>
      <c r="G1159" s="24">
        <v>84.0</v>
      </c>
      <c r="H1159" s="11"/>
      <c r="I1159" s="11"/>
      <c r="J1159" s="24">
        <v>20.0</v>
      </c>
      <c r="K1159" s="24">
        <v>84.0</v>
      </c>
      <c r="L1159" s="9"/>
      <c r="M1159" s="9"/>
      <c r="N1159" s="24">
        <v>53.0</v>
      </c>
      <c r="O1159" s="12">
        <v>46023.0</v>
      </c>
      <c r="P1159" s="11"/>
      <c r="Q1159" s="23"/>
    </row>
    <row r="1160">
      <c r="A1160" s="9">
        <v>2.404120076E9</v>
      </c>
      <c r="B1160" s="10" t="s">
        <v>19</v>
      </c>
      <c r="C1160" s="24"/>
      <c r="D1160" s="23" t="s">
        <v>199</v>
      </c>
      <c r="E1160" s="11"/>
      <c r="F1160" s="24">
        <v>7.0</v>
      </c>
      <c r="G1160" s="24">
        <v>35.0</v>
      </c>
      <c r="H1160" s="11"/>
      <c r="I1160" s="11"/>
      <c r="J1160" s="24">
        <v>7.0</v>
      </c>
      <c r="K1160" s="24">
        <v>35.0</v>
      </c>
      <c r="L1160" s="9"/>
      <c r="M1160" s="9"/>
      <c r="N1160" s="24">
        <v>19.6</v>
      </c>
      <c r="O1160" s="12">
        <v>46023.0</v>
      </c>
      <c r="P1160" s="11"/>
      <c r="Q1160" s="23"/>
    </row>
    <row r="1161">
      <c r="A1161" s="9">
        <v>2.404120076E9</v>
      </c>
      <c r="B1161" s="10" t="s">
        <v>19</v>
      </c>
      <c r="C1161" s="24"/>
      <c r="D1161" s="23" t="s">
        <v>120</v>
      </c>
      <c r="E1161" s="11"/>
      <c r="F1161" s="24">
        <v>1.0</v>
      </c>
      <c r="G1161" s="24">
        <v>6.0</v>
      </c>
      <c r="H1161" s="11"/>
      <c r="I1161" s="11"/>
      <c r="J1161" s="24">
        <v>1.0</v>
      </c>
      <c r="K1161" s="24">
        <v>6.0</v>
      </c>
      <c r="L1161" s="9"/>
      <c r="M1161" s="9"/>
      <c r="N1161" s="24">
        <v>1.0</v>
      </c>
      <c r="O1161" s="12">
        <v>46023.0</v>
      </c>
      <c r="P1161" s="11"/>
      <c r="Q1161" s="23"/>
    </row>
    <row r="1162">
      <c r="A1162" s="9">
        <v>2.404120076E9</v>
      </c>
      <c r="B1162" s="10" t="s">
        <v>19</v>
      </c>
      <c r="C1162" s="24"/>
      <c r="D1162" s="23" t="s">
        <v>71</v>
      </c>
      <c r="E1162" s="11"/>
      <c r="F1162" s="24">
        <v>107.0</v>
      </c>
      <c r="G1162" s="24">
        <v>119.0</v>
      </c>
      <c r="H1162" s="11"/>
      <c r="I1162" s="11"/>
      <c r="J1162" s="24">
        <v>107.0</v>
      </c>
      <c r="K1162" s="24">
        <v>119.0</v>
      </c>
      <c r="L1162" s="9"/>
      <c r="M1162" s="9"/>
      <c r="N1162" s="24">
        <v>50.52</v>
      </c>
      <c r="O1162" s="12">
        <v>46023.0</v>
      </c>
      <c r="P1162" s="11"/>
      <c r="Q1162" s="23"/>
    </row>
    <row r="1163">
      <c r="A1163" s="9">
        <v>2.404120076E9</v>
      </c>
      <c r="B1163" s="10" t="s">
        <v>19</v>
      </c>
      <c r="C1163" s="24"/>
      <c r="D1163" s="23" t="s">
        <v>72</v>
      </c>
      <c r="E1163" s="11"/>
      <c r="F1163" s="24">
        <v>79.0</v>
      </c>
      <c r="G1163" s="24">
        <v>158.0</v>
      </c>
      <c r="H1163" s="11"/>
      <c r="I1163" s="11"/>
      <c r="J1163" s="24">
        <v>79.0</v>
      </c>
      <c r="K1163" s="24">
        <v>158.0</v>
      </c>
      <c r="L1163" s="9"/>
      <c r="M1163" s="9"/>
      <c r="N1163" s="24">
        <v>59.25</v>
      </c>
      <c r="O1163" s="12">
        <v>46023.0</v>
      </c>
      <c r="P1163" s="11"/>
      <c r="Q1163" s="23"/>
    </row>
    <row r="1164">
      <c r="A1164" s="9">
        <v>2.404120076E9</v>
      </c>
      <c r="B1164" s="10" t="s">
        <v>19</v>
      </c>
      <c r="C1164" s="24"/>
      <c r="D1164" s="23" t="s">
        <v>97</v>
      </c>
      <c r="E1164" s="11"/>
      <c r="F1164" s="24">
        <v>10.0</v>
      </c>
      <c r="G1164" s="24">
        <v>70.0</v>
      </c>
      <c r="H1164" s="11"/>
      <c r="I1164" s="11"/>
      <c r="J1164" s="24">
        <v>10.0</v>
      </c>
      <c r="K1164" s="24">
        <v>70.0</v>
      </c>
      <c r="L1164" s="9"/>
      <c r="M1164" s="9"/>
      <c r="N1164" s="24">
        <v>10.0</v>
      </c>
      <c r="O1164" s="12">
        <v>46023.0</v>
      </c>
      <c r="P1164" s="11"/>
      <c r="Q1164" s="23"/>
    </row>
    <row r="1165">
      <c r="A1165" s="9">
        <v>2.404120076E9</v>
      </c>
      <c r="B1165" s="10" t="s">
        <v>19</v>
      </c>
      <c r="C1165" s="24"/>
      <c r="D1165" s="23" t="s">
        <v>73</v>
      </c>
      <c r="E1165" s="11"/>
      <c r="F1165" s="24">
        <v>3.0</v>
      </c>
      <c r="G1165" s="24">
        <v>30.0</v>
      </c>
      <c r="H1165" s="11"/>
      <c r="I1165" s="11"/>
      <c r="J1165" s="24">
        <v>3.0</v>
      </c>
      <c r="K1165" s="24">
        <v>30.0</v>
      </c>
      <c r="L1165" s="9"/>
      <c r="M1165" s="9"/>
      <c r="N1165" s="24">
        <v>21.75</v>
      </c>
      <c r="O1165" s="12">
        <v>46023.0</v>
      </c>
      <c r="P1165" s="11"/>
      <c r="Q1165" s="23"/>
    </row>
    <row r="1166">
      <c r="A1166" s="9">
        <v>2.404120076E9</v>
      </c>
      <c r="B1166" s="10" t="s">
        <v>19</v>
      </c>
      <c r="C1166" s="24"/>
      <c r="D1166" s="23" t="s">
        <v>74</v>
      </c>
      <c r="E1166" s="11"/>
      <c r="F1166" s="24">
        <v>326.0</v>
      </c>
      <c r="G1166" s="24">
        <v>326.0</v>
      </c>
      <c r="H1166" s="11"/>
      <c r="I1166" s="11"/>
      <c r="J1166" s="24">
        <v>326.0</v>
      </c>
      <c r="K1166" s="24">
        <v>326.0</v>
      </c>
      <c r="L1166" s="9"/>
      <c r="M1166" s="9"/>
      <c r="N1166" s="24">
        <v>231.46</v>
      </c>
      <c r="O1166" s="12">
        <v>46023.0</v>
      </c>
      <c r="P1166" s="11"/>
      <c r="Q1166" s="23"/>
    </row>
    <row r="1167">
      <c r="A1167" s="9">
        <v>2.404120076E9</v>
      </c>
      <c r="B1167" s="10" t="s">
        <v>19</v>
      </c>
      <c r="C1167" s="24"/>
      <c r="D1167" s="23" t="s">
        <v>100</v>
      </c>
      <c r="E1167" s="11"/>
      <c r="F1167" s="24">
        <v>17.0</v>
      </c>
      <c r="G1167" s="24">
        <v>51.0</v>
      </c>
      <c r="H1167" s="11"/>
      <c r="I1167" s="11"/>
      <c r="J1167" s="24">
        <v>17.0</v>
      </c>
      <c r="K1167" s="24">
        <v>51.0</v>
      </c>
      <c r="L1167" s="9"/>
      <c r="M1167" s="9"/>
      <c r="N1167" s="24">
        <v>17.0</v>
      </c>
      <c r="O1167" s="12">
        <v>46023.0</v>
      </c>
      <c r="P1167" s="11"/>
      <c r="Q1167" s="23"/>
    </row>
    <row r="1168">
      <c r="A1168" s="9">
        <v>2.404120076E9</v>
      </c>
      <c r="B1168" s="10" t="s">
        <v>19</v>
      </c>
      <c r="C1168" s="24"/>
      <c r="D1168" s="23" t="s">
        <v>79</v>
      </c>
      <c r="E1168" s="11"/>
      <c r="F1168" s="24">
        <v>24.0</v>
      </c>
      <c r="G1168" s="24">
        <v>72.0</v>
      </c>
      <c r="H1168" s="11"/>
      <c r="I1168" s="11"/>
      <c r="J1168" s="24">
        <v>24.0</v>
      </c>
      <c r="K1168" s="24">
        <v>72.0</v>
      </c>
      <c r="L1168" s="9"/>
      <c r="M1168" s="9"/>
      <c r="N1168" s="24">
        <v>22.08</v>
      </c>
      <c r="O1168" s="12">
        <v>46023.0</v>
      </c>
      <c r="P1168" s="11"/>
      <c r="Q1168" s="23"/>
    </row>
    <row r="1169">
      <c r="A1169" s="9">
        <v>2.404120076E9</v>
      </c>
      <c r="B1169" s="10" t="s">
        <v>19</v>
      </c>
      <c r="C1169" s="24"/>
      <c r="D1169" s="2" t="s">
        <v>129</v>
      </c>
      <c r="E1169" s="11"/>
      <c r="F1169" s="24">
        <v>69.0</v>
      </c>
      <c r="G1169" s="24">
        <v>347.0</v>
      </c>
      <c r="H1169" s="11"/>
      <c r="I1169" s="11"/>
      <c r="J1169" s="24">
        <v>69.0</v>
      </c>
      <c r="K1169" s="24">
        <v>347.0</v>
      </c>
      <c r="L1169" s="9"/>
      <c r="M1169" s="9"/>
      <c r="N1169" s="24">
        <v>163.46</v>
      </c>
      <c r="O1169" s="12">
        <v>46023.0</v>
      </c>
      <c r="P1169" s="11"/>
      <c r="Q1169" s="23"/>
    </row>
    <row r="1170">
      <c r="A1170" s="9">
        <v>2.404120076E9</v>
      </c>
      <c r="B1170" s="10" t="s">
        <v>19</v>
      </c>
      <c r="C1170" s="24"/>
      <c r="D1170" s="23" t="s">
        <v>173</v>
      </c>
      <c r="E1170" s="11"/>
      <c r="F1170" s="24">
        <v>19.0</v>
      </c>
      <c r="G1170" s="24">
        <v>57.0</v>
      </c>
      <c r="H1170" s="11"/>
      <c r="I1170" s="11"/>
      <c r="J1170" s="24">
        <v>19.0</v>
      </c>
      <c r="K1170" s="24">
        <v>57.0</v>
      </c>
      <c r="L1170" s="9"/>
      <c r="M1170" s="9"/>
      <c r="N1170" s="24">
        <v>17.48</v>
      </c>
      <c r="O1170" s="12">
        <v>46023.0</v>
      </c>
      <c r="P1170" s="11"/>
      <c r="Q1170" s="23"/>
    </row>
    <row r="1171">
      <c r="A1171" s="9">
        <v>2.404120076E9</v>
      </c>
      <c r="B1171" s="10" t="s">
        <v>19</v>
      </c>
      <c r="C1171" s="24"/>
      <c r="D1171" s="23" t="s">
        <v>147</v>
      </c>
      <c r="E1171" s="11"/>
      <c r="F1171" s="24">
        <v>37.0</v>
      </c>
      <c r="G1171" s="24">
        <v>111.0</v>
      </c>
      <c r="H1171" s="11"/>
      <c r="I1171" s="11"/>
      <c r="J1171" s="24">
        <v>37.0</v>
      </c>
      <c r="K1171" s="24">
        <v>111.0</v>
      </c>
      <c r="L1171" s="9"/>
      <c r="M1171" s="9"/>
      <c r="N1171" s="24">
        <v>27.75</v>
      </c>
      <c r="O1171" s="12">
        <v>46023.0</v>
      </c>
      <c r="P1171" s="11"/>
      <c r="Q1171" s="23"/>
    </row>
    <row r="1172">
      <c r="A1172" s="9">
        <v>2.404120076E9</v>
      </c>
      <c r="B1172" s="10" t="s">
        <v>19</v>
      </c>
      <c r="C1172" s="24"/>
      <c r="D1172" s="23" t="s">
        <v>125</v>
      </c>
      <c r="E1172" s="11"/>
      <c r="F1172" s="24">
        <v>11.0</v>
      </c>
      <c r="G1172" s="24">
        <v>78.0</v>
      </c>
      <c r="H1172" s="11"/>
      <c r="I1172" s="11"/>
      <c r="J1172" s="24">
        <v>11.0</v>
      </c>
      <c r="K1172" s="24">
        <v>78.0</v>
      </c>
      <c r="L1172" s="9"/>
      <c r="M1172" s="9"/>
      <c r="N1172" s="24">
        <v>15.3</v>
      </c>
      <c r="O1172" s="12">
        <v>46023.0</v>
      </c>
      <c r="P1172" s="11"/>
      <c r="Q1172" s="23"/>
    </row>
    <row r="1173">
      <c r="A1173" s="9">
        <v>2.404120076E9</v>
      </c>
      <c r="B1173" s="10" t="s">
        <v>19</v>
      </c>
      <c r="C1173" s="24"/>
      <c r="D1173" s="23" t="s">
        <v>205</v>
      </c>
      <c r="E1173" s="11"/>
      <c r="F1173" s="24">
        <v>3.0</v>
      </c>
      <c r="G1173" s="24">
        <v>16.0</v>
      </c>
      <c r="H1173" s="11"/>
      <c r="I1173" s="11"/>
      <c r="J1173" s="24">
        <v>3.0</v>
      </c>
      <c r="K1173" s="24">
        <v>16.0</v>
      </c>
      <c r="L1173" s="9"/>
      <c r="M1173" s="9"/>
      <c r="N1173" s="24">
        <v>7.6</v>
      </c>
      <c r="O1173" s="12">
        <v>46023.0</v>
      </c>
      <c r="P1173" s="11"/>
      <c r="Q1173" s="23"/>
    </row>
    <row r="1174">
      <c r="A1174" s="9">
        <v>2.404120076E9</v>
      </c>
      <c r="B1174" s="10" t="s">
        <v>19</v>
      </c>
      <c r="C1174" s="24"/>
      <c r="D1174" s="23" t="s">
        <v>165</v>
      </c>
      <c r="E1174" s="11"/>
      <c r="F1174" s="24">
        <v>17.0</v>
      </c>
      <c r="G1174" s="24">
        <v>51.0</v>
      </c>
      <c r="H1174" s="11"/>
      <c r="I1174" s="11"/>
      <c r="J1174" s="24">
        <v>17.0</v>
      </c>
      <c r="K1174" s="24">
        <v>51.0</v>
      </c>
      <c r="L1174" s="9"/>
      <c r="M1174" s="9"/>
      <c r="N1174" s="24">
        <v>21.25</v>
      </c>
      <c r="O1174" s="12">
        <v>46023.0</v>
      </c>
      <c r="P1174" s="11"/>
      <c r="Q1174" s="23"/>
    </row>
    <row r="1175">
      <c r="A1175" s="9">
        <v>2.404120076E9</v>
      </c>
      <c r="B1175" s="10" t="s">
        <v>19</v>
      </c>
      <c r="C1175" s="24"/>
      <c r="D1175" s="23" t="s">
        <v>167</v>
      </c>
      <c r="E1175" s="11"/>
      <c r="F1175" s="24">
        <v>16.0</v>
      </c>
      <c r="G1175" s="24">
        <v>48.0</v>
      </c>
      <c r="H1175" s="11"/>
      <c r="I1175" s="11"/>
      <c r="J1175" s="24">
        <v>16.0</v>
      </c>
      <c r="K1175" s="24">
        <v>48.0</v>
      </c>
      <c r="L1175" s="9"/>
      <c r="M1175" s="9"/>
      <c r="N1175" s="24">
        <v>12.0</v>
      </c>
      <c r="O1175" s="12">
        <v>46023.0</v>
      </c>
      <c r="P1175" s="11"/>
      <c r="Q1175" s="23"/>
    </row>
    <row r="1176">
      <c r="A1176" s="9">
        <v>2.404120076E9</v>
      </c>
      <c r="B1176" s="10" t="s">
        <v>19</v>
      </c>
      <c r="C1176" s="24"/>
      <c r="D1176" s="23" t="s">
        <v>86</v>
      </c>
      <c r="E1176" s="11"/>
      <c r="F1176" s="24">
        <v>81.0</v>
      </c>
      <c r="G1176" s="24">
        <v>399.0</v>
      </c>
      <c r="H1176" s="11"/>
      <c r="I1176" s="11"/>
      <c r="J1176" s="24">
        <v>81.0</v>
      </c>
      <c r="K1176" s="24">
        <v>399.0</v>
      </c>
      <c r="L1176" s="9"/>
      <c r="M1176" s="9"/>
      <c r="N1176" s="24">
        <v>132.51</v>
      </c>
      <c r="O1176" s="12">
        <v>46023.0</v>
      </c>
      <c r="P1176" s="11"/>
      <c r="Q1176" s="23"/>
    </row>
    <row r="1177">
      <c r="A1177" s="9">
        <v>2.404120076E9</v>
      </c>
      <c r="B1177" s="10" t="s">
        <v>19</v>
      </c>
      <c r="C1177" s="24"/>
      <c r="D1177" s="23" t="s">
        <v>200</v>
      </c>
      <c r="E1177" s="11"/>
      <c r="F1177" s="24">
        <v>3.0</v>
      </c>
      <c r="G1177" s="24">
        <v>18.0</v>
      </c>
      <c r="H1177" s="11"/>
      <c r="I1177" s="11"/>
      <c r="J1177" s="24">
        <v>3.0</v>
      </c>
      <c r="K1177" s="24">
        <v>18.0</v>
      </c>
      <c r="L1177" s="9"/>
      <c r="M1177" s="9"/>
      <c r="N1177" s="24">
        <v>9.0</v>
      </c>
      <c r="O1177" s="12">
        <v>46023.0</v>
      </c>
      <c r="P1177" s="11"/>
      <c r="Q1177" s="23"/>
    </row>
    <row r="1178">
      <c r="A1178" s="9">
        <v>2.404120076E9</v>
      </c>
      <c r="B1178" s="10" t="s">
        <v>19</v>
      </c>
      <c r="C1178" s="24"/>
      <c r="D1178" s="23" t="s">
        <v>168</v>
      </c>
      <c r="E1178" s="11"/>
      <c r="F1178" s="24">
        <v>13.0</v>
      </c>
      <c r="G1178" s="24">
        <v>39.0</v>
      </c>
      <c r="H1178" s="11"/>
      <c r="I1178" s="11"/>
      <c r="J1178" s="24">
        <v>13.0</v>
      </c>
      <c r="K1178" s="24">
        <v>39.0</v>
      </c>
      <c r="L1178" s="9"/>
      <c r="M1178" s="9"/>
      <c r="N1178" s="24">
        <v>9.75</v>
      </c>
      <c r="O1178" s="12">
        <v>46023.0</v>
      </c>
      <c r="P1178" s="11"/>
      <c r="Q1178" s="23"/>
    </row>
    <row r="1179">
      <c r="A1179" s="9">
        <v>2.404120076E9</v>
      </c>
      <c r="B1179" s="10" t="s">
        <v>19</v>
      </c>
      <c r="C1179" s="24"/>
      <c r="D1179" s="23" t="s">
        <v>128</v>
      </c>
      <c r="E1179" s="11"/>
      <c r="F1179" s="24">
        <v>1.0</v>
      </c>
      <c r="G1179" s="24">
        <v>1.0</v>
      </c>
      <c r="H1179" s="11"/>
      <c r="I1179" s="11"/>
      <c r="J1179" s="24">
        <v>1.0</v>
      </c>
      <c r="K1179" s="24">
        <v>1.0</v>
      </c>
      <c r="L1179" s="9"/>
      <c r="M1179" s="9"/>
      <c r="N1179" s="24">
        <v>-0.33</v>
      </c>
      <c r="O1179" s="12">
        <v>46023.0</v>
      </c>
      <c r="P1179" s="11"/>
      <c r="Q1179" s="23"/>
    </row>
    <row r="1180">
      <c r="A1180" s="16"/>
      <c r="B1180" s="16"/>
      <c r="C1180" s="23"/>
      <c r="D1180" s="21"/>
      <c r="E1180" s="11"/>
      <c r="F1180" s="11"/>
      <c r="G1180" s="24"/>
      <c r="H1180" s="11"/>
      <c r="I1180" s="11"/>
      <c r="J1180" s="24"/>
      <c r="K1180" s="24"/>
      <c r="L1180" s="9"/>
      <c r="M1180" s="9"/>
      <c r="N1180" s="24"/>
      <c r="O1180" s="12"/>
      <c r="P1180" s="11"/>
      <c r="Q1180" s="23"/>
    </row>
    <row r="1181">
      <c r="A1181" s="16"/>
      <c r="B1181" s="16"/>
      <c r="C1181" s="16"/>
      <c r="D1181" s="16"/>
      <c r="E1181" s="11"/>
      <c r="F1181" s="11"/>
      <c r="G1181" s="11"/>
      <c r="H1181" s="11"/>
      <c r="I1181" s="11"/>
      <c r="J1181" s="9"/>
      <c r="K1181" s="9"/>
      <c r="L1181" s="9"/>
      <c r="M1181" s="9"/>
      <c r="N1181" s="9"/>
      <c r="O1181" s="12"/>
      <c r="P1181" s="11"/>
      <c r="Q1181" s="23"/>
    </row>
    <row r="1182">
      <c r="A1182" s="16"/>
      <c r="B1182" s="16"/>
      <c r="C1182" s="16"/>
      <c r="D1182" s="16"/>
      <c r="E1182" s="11"/>
      <c r="F1182" s="11"/>
      <c r="G1182" s="11"/>
      <c r="H1182" s="11"/>
      <c r="I1182" s="11"/>
      <c r="J1182" s="9">
        <v>0.0</v>
      </c>
      <c r="K1182" s="9">
        <v>0.0</v>
      </c>
      <c r="L1182" s="9">
        <v>0.0</v>
      </c>
      <c r="M1182" s="9">
        <v>0.0</v>
      </c>
      <c r="N1182" s="9">
        <v>0.0</v>
      </c>
      <c r="O1182" s="12"/>
      <c r="P1182" s="11"/>
      <c r="Q1182" s="23"/>
    </row>
    <row r="1183">
      <c r="A1183" s="16"/>
      <c r="B1183" s="16"/>
      <c r="C1183" s="16"/>
      <c r="D1183" s="16"/>
      <c r="E1183" s="16"/>
      <c r="F1183" s="16"/>
      <c r="G1183" s="16"/>
      <c r="H1183" s="16"/>
      <c r="I1183" s="16"/>
      <c r="J1183" s="9">
        <v>0.0</v>
      </c>
      <c r="K1183" s="9">
        <v>0.0</v>
      </c>
      <c r="L1183" s="9">
        <v>0.0</v>
      </c>
      <c r="M1183" s="9">
        <v>0.0</v>
      </c>
      <c r="N1183" s="9">
        <v>0.0</v>
      </c>
      <c r="O1183" s="11"/>
      <c r="P1183" s="11"/>
      <c r="Q1183" s="23"/>
    </row>
    <row r="1184">
      <c r="A1184" s="9">
        <v>2.411000046E9</v>
      </c>
      <c r="B1184" s="10" t="s">
        <v>21</v>
      </c>
      <c r="C1184" s="9">
        <v>1.0</v>
      </c>
      <c r="D1184" s="10" t="s">
        <v>129</v>
      </c>
      <c r="E1184" s="9">
        <v>5.0</v>
      </c>
      <c r="F1184" s="9">
        <v>34.0</v>
      </c>
      <c r="G1184" s="9">
        <v>170.0</v>
      </c>
      <c r="H1184" s="9">
        <v>0.0</v>
      </c>
      <c r="I1184" s="9">
        <v>0.0</v>
      </c>
      <c r="J1184" s="9">
        <v>34.0</v>
      </c>
      <c r="K1184" s="9">
        <v>170.0</v>
      </c>
      <c r="L1184" s="9">
        <v>2.93</v>
      </c>
      <c r="M1184" s="9">
        <v>99.62</v>
      </c>
      <c r="N1184" s="9">
        <v>70.38</v>
      </c>
      <c r="O1184" s="12">
        <v>46054.0</v>
      </c>
      <c r="P1184" s="20">
        <v>46054.0</v>
      </c>
      <c r="Q1184" s="23"/>
    </row>
    <row r="1185">
      <c r="A1185" s="9">
        <v>2.411000046E9</v>
      </c>
      <c r="B1185" s="10" t="s">
        <v>21</v>
      </c>
      <c r="C1185" s="9">
        <v>2.0</v>
      </c>
      <c r="D1185" s="10" t="s">
        <v>74</v>
      </c>
      <c r="E1185" s="9">
        <v>1.0</v>
      </c>
      <c r="F1185" s="9">
        <v>303.0</v>
      </c>
      <c r="G1185" s="9">
        <v>303.0</v>
      </c>
      <c r="H1185" s="9">
        <v>0.0</v>
      </c>
      <c r="I1185" s="9">
        <v>0.0</v>
      </c>
      <c r="J1185" s="9">
        <v>303.0</v>
      </c>
      <c r="K1185" s="9">
        <v>303.0</v>
      </c>
      <c r="L1185" s="9">
        <v>0.28</v>
      </c>
      <c r="M1185" s="9">
        <v>84.84</v>
      </c>
      <c r="N1185" s="9">
        <v>218.16</v>
      </c>
      <c r="O1185" s="12">
        <v>46054.0</v>
      </c>
      <c r="P1185" s="16"/>
    </row>
    <row r="1186">
      <c r="A1186" s="9">
        <v>2.411000046E9</v>
      </c>
      <c r="B1186" s="10" t="s">
        <v>21</v>
      </c>
      <c r="C1186" s="9">
        <v>3.0</v>
      </c>
      <c r="D1186" s="10" t="s">
        <v>125</v>
      </c>
      <c r="E1186" s="9">
        <v>8.0</v>
      </c>
      <c r="F1186" s="9">
        <v>13.0</v>
      </c>
      <c r="G1186" s="9">
        <v>107.0</v>
      </c>
      <c r="H1186" s="9">
        <v>0.0</v>
      </c>
      <c r="I1186" s="9">
        <v>0.0</v>
      </c>
      <c r="J1186" s="9">
        <v>13.0</v>
      </c>
      <c r="K1186" s="9">
        <v>107.0</v>
      </c>
      <c r="L1186" s="9">
        <v>7.5</v>
      </c>
      <c r="M1186" s="9">
        <v>97.5</v>
      </c>
      <c r="N1186" s="9">
        <v>9.5</v>
      </c>
      <c r="O1186" s="12">
        <v>46054.0</v>
      </c>
    </row>
    <row r="1187">
      <c r="A1187" s="9">
        <v>2.411000046E9</v>
      </c>
      <c r="B1187" s="10" t="s">
        <v>21</v>
      </c>
      <c r="C1187" s="9">
        <v>5.0</v>
      </c>
      <c r="D1187" s="10" t="s">
        <v>131</v>
      </c>
      <c r="E1187" s="9">
        <v>3.0</v>
      </c>
      <c r="F1187" s="9">
        <v>12.0</v>
      </c>
      <c r="G1187" s="9">
        <v>36.0</v>
      </c>
      <c r="H1187" s="9">
        <v>0.0</v>
      </c>
      <c r="I1187" s="9">
        <v>0.0</v>
      </c>
      <c r="J1187" s="9">
        <v>12.0</v>
      </c>
      <c r="K1187" s="9">
        <v>36.0</v>
      </c>
      <c r="L1187" s="9">
        <v>2.0</v>
      </c>
      <c r="M1187" s="9">
        <v>24.0</v>
      </c>
      <c r="N1187" s="9">
        <v>12.0</v>
      </c>
      <c r="O1187" s="12">
        <v>46054.0</v>
      </c>
      <c r="P1187" s="16"/>
    </row>
    <row r="1188">
      <c r="A1188" s="9">
        <v>2.411000046E9</v>
      </c>
      <c r="B1188" s="10" t="s">
        <v>21</v>
      </c>
      <c r="C1188" s="9">
        <v>8.0</v>
      </c>
      <c r="D1188" s="10" t="s">
        <v>133</v>
      </c>
      <c r="E1188" s="9">
        <v>5.0</v>
      </c>
      <c r="F1188" s="9">
        <v>3.0</v>
      </c>
      <c r="G1188" s="9">
        <v>15.0</v>
      </c>
      <c r="H1188" s="9">
        <v>0.0</v>
      </c>
      <c r="I1188" s="9">
        <v>0.0</v>
      </c>
      <c r="J1188" s="9">
        <v>3.0</v>
      </c>
      <c r="K1188" s="9">
        <v>15.0</v>
      </c>
      <c r="L1188" s="9">
        <v>3.45</v>
      </c>
      <c r="M1188" s="9">
        <v>10.35</v>
      </c>
      <c r="N1188" s="9">
        <v>4.65</v>
      </c>
      <c r="O1188" s="12">
        <v>46054.0</v>
      </c>
      <c r="P1188" s="16"/>
    </row>
    <row r="1189">
      <c r="A1189" s="9">
        <v>2.411000046E9</v>
      </c>
      <c r="B1189" s="10" t="s">
        <v>21</v>
      </c>
      <c r="C1189" s="9">
        <v>11.0</v>
      </c>
      <c r="D1189" s="10" t="s">
        <v>86</v>
      </c>
      <c r="E1189" s="9">
        <v>5.0</v>
      </c>
      <c r="F1189" s="9">
        <v>56.0</v>
      </c>
      <c r="G1189" s="9">
        <v>280.0</v>
      </c>
      <c r="H1189" s="9">
        <v>0.0</v>
      </c>
      <c r="I1189" s="9">
        <v>0.0</v>
      </c>
      <c r="J1189" s="9">
        <v>56.0</v>
      </c>
      <c r="K1189" s="9">
        <v>280.0</v>
      </c>
      <c r="L1189" s="9">
        <v>4.29</v>
      </c>
      <c r="M1189" s="9">
        <v>240.24</v>
      </c>
      <c r="N1189" s="9">
        <v>39.76</v>
      </c>
      <c r="O1189" s="12">
        <v>46054.0</v>
      </c>
      <c r="P1189" s="16"/>
    </row>
    <row r="1190">
      <c r="A1190" s="9">
        <v>2.411000046E9</v>
      </c>
      <c r="B1190" s="10" t="s">
        <v>21</v>
      </c>
      <c r="C1190" s="9">
        <v>14.0</v>
      </c>
      <c r="D1190" s="10" t="s">
        <v>138</v>
      </c>
      <c r="E1190" s="9">
        <v>8.0</v>
      </c>
      <c r="F1190" s="9">
        <v>44.0</v>
      </c>
      <c r="G1190" s="9">
        <v>354.0</v>
      </c>
      <c r="H1190" s="9">
        <v>0.0</v>
      </c>
      <c r="I1190" s="9">
        <v>0.0</v>
      </c>
      <c r="J1190" s="9">
        <v>44.0</v>
      </c>
      <c r="K1190" s="9">
        <v>354.0</v>
      </c>
      <c r="L1190" s="9">
        <v>7.0</v>
      </c>
      <c r="M1190" s="9">
        <v>308.0</v>
      </c>
      <c r="N1190" s="9">
        <v>46.0</v>
      </c>
      <c r="O1190" s="12">
        <v>46054.0</v>
      </c>
      <c r="P1190" s="16"/>
    </row>
    <row r="1191">
      <c r="A1191" s="9">
        <v>2.411000046E9</v>
      </c>
      <c r="B1191" s="10" t="s">
        <v>21</v>
      </c>
      <c r="C1191" s="9">
        <v>19.0</v>
      </c>
      <c r="D1191" s="10" t="s">
        <v>72</v>
      </c>
      <c r="E1191" s="9">
        <v>3.0</v>
      </c>
      <c r="F1191" s="9">
        <v>68.0</v>
      </c>
      <c r="G1191" s="9">
        <v>204.0</v>
      </c>
      <c r="H1191" s="9">
        <v>0.0</v>
      </c>
      <c r="I1191" s="9">
        <v>0.0</v>
      </c>
      <c r="J1191" s="9">
        <v>68.0</v>
      </c>
      <c r="K1191" s="9">
        <v>204.0</v>
      </c>
      <c r="L1191" s="9">
        <v>1.79</v>
      </c>
      <c r="M1191" s="9">
        <v>121.72</v>
      </c>
      <c r="N1191" s="9">
        <v>82.28</v>
      </c>
      <c r="O1191" s="12">
        <v>46054.0</v>
      </c>
      <c r="P1191" s="16"/>
    </row>
    <row r="1192">
      <c r="A1192" s="9">
        <v>2.411000046E9</v>
      </c>
      <c r="B1192" s="10" t="s">
        <v>21</v>
      </c>
      <c r="C1192" s="9">
        <v>21.0</v>
      </c>
      <c r="D1192" s="10" t="s">
        <v>79</v>
      </c>
      <c r="E1192" s="9">
        <v>3.0</v>
      </c>
      <c r="F1192" s="9">
        <v>41.0</v>
      </c>
      <c r="G1192" s="9">
        <v>130.0</v>
      </c>
      <c r="H1192" s="9">
        <v>0.0</v>
      </c>
      <c r="I1192" s="9">
        <v>0.0</v>
      </c>
      <c r="J1192" s="9">
        <v>41.0</v>
      </c>
      <c r="K1192" s="9">
        <v>130.0</v>
      </c>
      <c r="L1192" s="9">
        <v>2.25</v>
      </c>
      <c r="M1192" s="9">
        <v>92.25</v>
      </c>
      <c r="N1192" s="9">
        <v>37.75</v>
      </c>
      <c r="O1192" s="12">
        <v>46054.0</v>
      </c>
      <c r="P1192" s="16"/>
    </row>
    <row r="1193">
      <c r="A1193" s="9">
        <v>2.411000046E9</v>
      </c>
      <c r="B1193" s="10" t="s">
        <v>21</v>
      </c>
      <c r="C1193" s="9">
        <v>23.0</v>
      </c>
      <c r="D1193" s="10" t="s">
        <v>143</v>
      </c>
      <c r="E1193" s="9">
        <v>5.0</v>
      </c>
      <c r="F1193" s="9">
        <v>1.0</v>
      </c>
      <c r="G1193" s="9">
        <v>6.0</v>
      </c>
      <c r="H1193" s="9">
        <v>0.0</v>
      </c>
      <c r="I1193" s="9">
        <v>0.0</v>
      </c>
      <c r="J1193" s="9">
        <v>1.0</v>
      </c>
      <c r="K1193" s="9">
        <v>6.0</v>
      </c>
      <c r="L1193" s="9">
        <v>3.41</v>
      </c>
      <c r="M1193" s="9">
        <v>3.41</v>
      </c>
      <c r="N1193" s="9">
        <v>2.59</v>
      </c>
      <c r="O1193" s="12">
        <v>46054.0</v>
      </c>
      <c r="P1193" s="16"/>
    </row>
    <row r="1194">
      <c r="A1194" s="9">
        <v>2.411000046E9</v>
      </c>
      <c r="B1194" s="10" t="s">
        <v>21</v>
      </c>
      <c r="C1194" s="9">
        <v>25.0</v>
      </c>
      <c r="D1194" s="10" t="s">
        <v>144</v>
      </c>
      <c r="E1194" s="9">
        <v>6.0</v>
      </c>
      <c r="F1194" s="9">
        <v>9.0</v>
      </c>
      <c r="G1194" s="9">
        <v>54.0</v>
      </c>
      <c r="H1194" s="9">
        <v>0.0</v>
      </c>
      <c r="I1194" s="9">
        <v>0.0</v>
      </c>
      <c r="J1194" s="9">
        <v>9.0</v>
      </c>
      <c r="K1194" s="9">
        <v>54.0</v>
      </c>
      <c r="L1194" s="9">
        <v>5.0</v>
      </c>
      <c r="M1194" s="9">
        <v>45.0</v>
      </c>
      <c r="N1194" s="9">
        <v>9.0</v>
      </c>
      <c r="O1194" s="12">
        <v>46054.0</v>
      </c>
      <c r="P1194" s="16"/>
    </row>
    <row r="1195">
      <c r="A1195" s="9">
        <v>2.411000046E9</v>
      </c>
      <c r="B1195" s="10" t="s">
        <v>21</v>
      </c>
      <c r="C1195" s="9">
        <v>27.0</v>
      </c>
      <c r="D1195" s="10" t="s">
        <v>73</v>
      </c>
      <c r="E1195" s="9">
        <v>6.0</v>
      </c>
      <c r="F1195" s="9">
        <v>14.0</v>
      </c>
      <c r="G1195" s="9">
        <v>75.0</v>
      </c>
      <c r="H1195" s="9">
        <v>0.0</v>
      </c>
      <c r="I1195" s="9">
        <v>0.0</v>
      </c>
      <c r="J1195" s="9">
        <v>14.0</v>
      </c>
      <c r="K1195" s="9">
        <v>75.0</v>
      </c>
      <c r="L1195" s="9">
        <v>5.5</v>
      </c>
      <c r="M1195" s="9">
        <v>77.0</v>
      </c>
      <c r="N1195" s="9">
        <v>-2.0</v>
      </c>
      <c r="O1195" s="12">
        <v>46054.0</v>
      </c>
      <c r="P1195" s="16"/>
    </row>
    <row r="1196">
      <c r="A1196" s="9">
        <v>2.411000046E9</v>
      </c>
      <c r="B1196" s="10" t="s">
        <v>21</v>
      </c>
      <c r="C1196" s="9">
        <v>28.0</v>
      </c>
      <c r="D1196" s="10" t="s">
        <v>146</v>
      </c>
      <c r="E1196" s="9">
        <v>6.0</v>
      </c>
      <c r="F1196" s="9">
        <v>9.0</v>
      </c>
      <c r="G1196" s="9">
        <v>54.0</v>
      </c>
      <c r="H1196" s="9">
        <v>0.0</v>
      </c>
      <c r="I1196" s="9">
        <v>0.0</v>
      </c>
      <c r="J1196" s="9">
        <v>9.0</v>
      </c>
      <c r="K1196" s="9">
        <v>54.0</v>
      </c>
      <c r="L1196" s="9">
        <v>5.2</v>
      </c>
      <c r="M1196" s="9">
        <v>46.8</v>
      </c>
      <c r="N1196" s="9">
        <v>7.2</v>
      </c>
      <c r="O1196" s="12">
        <v>46054.0</v>
      </c>
      <c r="P1196" s="16"/>
    </row>
    <row r="1197">
      <c r="A1197" s="9">
        <v>2.411000046E9</v>
      </c>
      <c r="B1197" s="10" t="s">
        <v>21</v>
      </c>
      <c r="C1197" s="9">
        <v>29.0</v>
      </c>
      <c r="D1197" s="10" t="s">
        <v>147</v>
      </c>
      <c r="E1197" s="9">
        <v>3.0</v>
      </c>
      <c r="F1197" s="9">
        <v>56.0</v>
      </c>
      <c r="G1197" s="9">
        <v>168.0</v>
      </c>
      <c r="H1197" s="9">
        <v>0.0</v>
      </c>
      <c r="I1197" s="9">
        <v>0.0</v>
      </c>
      <c r="J1197" s="9">
        <v>56.0</v>
      </c>
      <c r="K1197" s="9">
        <v>168.0</v>
      </c>
      <c r="L1197" s="9">
        <v>2.25</v>
      </c>
      <c r="M1197" s="9">
        <v>126.0</v>
      </c>
      <c r="N1197" s="9">
        <v>42.0</v>
      </c>
      <c r="O1197" s="12">
        <v>46054.0</v>
      </c>
      <c r="P1197" s="16"/>
    </row>
    <row r="1198">
      <c r="A1198" s="9">
        <v>2.411000046E9</v>
      </c>
      <c r="B1198" s="10" t="s">
        <v>21</v>
      </c>
      <c r="C1198" s="9">
        <v>30.0</v>
      </c>
      <c r="D1198" s="10" t="s">
        <v>148</v>
      </c>
      <c r="E1198" s="9">
        <v>6.0</v>
      </c>
      <c r="F1198" s="9">
        <v>20.0</v>
      </c>
      <c r="G1198" s="9">
        <v>108.0</v>
      </c>
      <c r="H1198" s="9">
        <v>0.0</v>
      </c>
      <c r="I1198" s="9">
        <v>0.0</v>
      </c>
      <c r="J1198" s="9">
        <v>20.0</v>
      </c>
      <c r="K1198" s="9">
        <v>108.0</v>
      </c>
      <c r="L1198" s="9">
        <v>5.5</v>
      </c>
      <c r="M1198" s="9">
        <v>110.0</v>
      </c>
      <c r="N1198" s="9">
        <v>-2.0</v>
      </c>
      <c r="O1198" s="12">
        <v>46054.0</v>
      </c>
      <c r="P1198" s="16"/>
    </row>
    <row r="1199">
      <c r="A1199" s="9">
        <v>2.411000046E9</v>
      </c>
      <c r="B1199" s="10" t="s">
        <v>21</v>
      </c>
      <c r="C1199" s="9">
        <v>32.0</v>
      </c>
      <c r="D1199" s="10" t="s">
        <v>150</v>
      </c>
      <c r="E1199" s="9">
        <v>3.0</v>
      </c>
      <c r="F1199" s="9">
        <v>19.0</v>
      </c>
      <c r="G1199" s="9">
        <v>57.0</v>
      </c>
      <c r="H1199" s="9">
        <v>0.0</v>
      </c>
      <c r="I1199" s="9">
        <v>0.0</v>
      </c>
      <c r="J1199" s="9">
        <v>19.0</v>
      </c>
      <c r="K1199" s="9">
        <v>57.0</v>
      </c>
      <c r="L1199" s="9">
        <v>2.29</v>
      </c>
      <c r="M1199" s="9">
        <v>43.51</v>
      </c>
      <c r="N1199" s="9">
        <v>13.49</v>
      </c>
      <c r="O1199" s="12">
        <v>46054.0</v>
      </c>
      <c r="P1199" s="16"/>
    </row>
    <row r="1200">
      <c r="A1200" s="9">
        <v>2.411000046E9</v>
      </c>
      <c r="B1200" s="10" t="s">
        <v>21</v>
      </c>
      <c r="C1200" s="9">
        <v>32.0</v>
      </c>
      <c r="D1200" s="10" t="s">
        <v>150</v>
      </c>
      <c r="E1200" s="9">
        <v>3.0</v>
      </c>
      <c r="F1200" s="9">
        <v>4.0</v>
      </c>
      <c r="G1200" s="9">
        <v>12.0</v>
      </c>
      <c r="H1200" s="9">
        <v>0.0</v>
      </c>
      <c r="I1200" s="9">
        <v>0.0</v>
      </c>
      <c r="J1200" s="9">
        <v>4.0</v>
      </c>
      <c r="K1200" s="9">
        <v>12.0</v>
      </c>
      <c r="L1200" s="9">
        <v>2.29</v>
      </c>
      <c r="M1200" s="9">
        <v>9.16</v>
      </c>
      <c r="N1200" s="9">
        <v>2.84</v>
      </c>
      <c r="O1200" s="12">
        <v>46054.0</v>
      </c>
      <c r="P1200" s="16"/>
    </row>
    <row r="1201">
      <c r="A1201" s="9">
        <v>2.411000046E9</v>
      </c>
      <c r="B1201" s="10" t="s">
        <v>21</v>
      </c>
      <c r="C1201" s="9">
        <v>33.0</v>
      </c>
      <c r="D1201" s="10" t="s">
        <v>151</v>
      </c>
      <c r="E1201" s="9">
        <v>4.0</v>
      </c>
      <c r="F1201" s="9">
        <v>22.0</v>
      </c>
      <c r="G1201" s="9">
        <v>101.0</v>
      </c>
      <c r="H1201" s="9">
        <v>0.0</v>
      </c>
      <c r="I1201" s="9">
        <v>0.0</v>
      </c>
      <c r="J1201" s="9">
        <v>22.0</v>
      </c>
      <c r="K1201" s="9">
        <v>101.0</v>
      </c>
      <c r="L1201" s="9">
        <v>3.13</v>
      </c>
      <c r="M1201" s="9">
        <v>68.86</v>
      </c>
      <c r="N1201" s="9">
        <v>32.14</v>
      </c>
      <c r="O1201" s="12">
        <v>46054.0</v>
      </c>
      <c r="P1201" s="16"/>
    </row>
    <row r="1202">
      <c r="A1202" s="9">
        <v>2.411000046E9</v>
      </c>
      <c r="B1202" s="10" t="s">
        <v>21</v>
      </c>
      <c r="C1202" s="9">
        <v>36.0</v>
      </c>
      <c r="D1202" s="10" t="s">
        <v>153</v>
      </c>
      <c r="E1202" s="9">
        <v>4.0</v>
      </c>
      <c r="F1202" s="9">
        <v>24.0</v>
      </c>
      <c r="G1202" s="9">
        <v>100.0</v>
      </c>
      <c r="H1202" s="9">
        <v>0.0</v>
      </c>
      <c r="I1202" s="9">
        <v>0.0</v>
      </c>
      <c r="J1202" s="9">
        <v>24.0</v>
      </c>
      <c r="K1202" s="9">
        <v>100.0</v>
      </c>
      <c r="L1202" s="9">
        <v>1.6</v>
      </c>
      <c r="M1202" s="9">
        <v>38.4</v>
      </c>
      <c r="N1202" s="9">
        <v>61.6</v>
      </c>
      <c r="O1202" s="12">
        <v>46054.0</v>
      </c>
      <c r="P1202" s="16"/>
    </row>
    <row r="1203">
      <c r="A1203" s="9">
        <v>2.411000046E9</v>
      </c>
      <c r="B1203" s="10" t="s">
        <v>21</v>
      </c>
      <c r="C1203" s="9">
        <v>37.0</v>
      </c>
      <c r="D1203" s="10" t="s">
        <v>154</v>
      </c>
      <c r="E1203" s="9">
        <v>1.0</v>
      </c>
      <c r="F1203" s="9">
        <v>29.0</v>
      </c>
      <c r="G1203" s="9">
        <v>76.0</v>
      </c>
      <c r="H1203" s="9">
        <v>0.0</v>
      </c>
      <c r="I1203" s="9">
        <v>0.0</v>
      </c>
      <c r="J1203" s="9">
        <v>29.0</v>
      </c>
      <c r="K1203" s="9">
        <v>76.0</v>
      </c>
      <c r="L1203" s="9">
        <v>0.63</v>
      </c>
      <c r="M1203" s="9">
        <v>18.27</v>
      </c>
      <c r="N1203" s="9">
        <v>57.73</v>
      </c>
      <c r="O1203" s="12">
        <v>46054.0</v>
      </c>
      <c r="P1203" s="16"/>
    </row>
    <row r="1204">
      <c r="A1204" s="9">
        <v>2.411000046E9</v>
      </c>
      <c r="B1204" s="10" t="s">
        <v>21</v>
      </c>
      <c r="C1204" s="9">
        <v>38.0</v>
      </c>
      <c r="D1204" s="10" t="s">
        <v>155</v>
      </c>
      <c r="E1204" s="9">
        <v>7.0</v>
      </c>
      <c r="F1204" s="9">
        <v>10.0</v>
      </c>
      <c r="G1204" s="9">
        <v>80.0</v>
      </c>
      <c r="H1204" s="9">
        <v>0.0</v>
      </c>
      <c r="I1204" s="9">
        <v>0.0</v>
      </c>
      <c r="J1204" s="9">
        <v>10.0</v>
      </c>
      <c r="K1204" s="9">
        <v>80.0</v>
      </c>
      <c r="L1204" s="9">
        <v>5.18</v>
      </c>
      <c r="M1204" s="9">
        <v>51.8</v>
      </c>
      <c r="N1204" s="9">
        <v>28.2</v>
      </c>
      <c r="O1204" s="12">
        <v>46054.0</v>
      </c>
      <c r="P1204" s="16"/>
    </row>
    <row r="1205">
      <c r="A1205" s="9">
        <v>2.411000046E9</v>
      </c>
      <c r="B1205" s="10" t="s">
        <v>21</v>
      </c>
      <c r="C1205" s="9">
        <v>44.0</v>
      </c>
      <c r="D1205" s="10" t="s">
        <v>160</v>
      </c>
      <c r="E1205" s="9">
        <v>5.0</v>
      </c>
      <c r="F1205" s="9">
        <v>20.0</v>
      </c>
      <c r="G1205" s="9">
        <v>100.0</v>
      </c>
      <c r="H1205" s="9">
        <v>0.0</v>
      </c>
      <c r="I1205" s="9">
        <v>0.0</v>
      </c>
      <c r="J1205" s="9">
        <v>20.0</v>
      </c>
      <c r="K1205" s="9">
        <v>100.0</v>
      </c>
      <c r="L1205" s="9">
        <v>4.13</v>
      </c>
      <c r="M1205" s="9">
        <v>82.6</v>
      </c>
      <c r="N1205" s="9">
        <v>17.4</v>
      </c>
      <c r="O1205" s="12">
        <v>46054.0</v>
      </c>
      <c r="P1205" s="16"/>
    </row>
    <row r="1206">
      <c r="A1206" s="9">
        <v>2.411000046E9</v>
      </c>
      <c r="B1206" s="10" t="s">
        <v>21</v>
      </c>
      <c r="C1206" s="9">
        <v>52.0</v>
      </c>
      <c r="D1206" s="10" t="s">
        <v>174</v>
      </c>
      <c r="E1206" s="9">
        <v>5.0</v>
      </c>
      <c r="F1206" s="9">
        <v>109.0</v>
      </c>
      <c r="G1206" s="9">
        <v>545.0</v>
      </c>
      <c r="H1206" s="9">
        <v>0.0</v>
      </c>
      <c r="I1206" s="9">
        <v>0.0</v>
      </c>
      <c r="J1206" s="9">
        <v>109.0</v>
      </c>
      <c r="K1206" s="9">
        <v>545.0</v>
      </c>
      <c r="L1206" s="9">
        <v>3.0</v>
      </c>
      <c r="M1206" s="9">
        <v>327.0</v>
      </c>
      <c r="N1206" s="9">
        <v>218.0</v>
      </c>
      <c r="O1206" s="12">
        <v>46054.0</v>
      </c>
      <c r="P1206" s="16"/>
    </row>
    <row r="1207">
      <c r="A1207" s="9">
        <v>2.411000046E9</v>
      </c>
      <c r="B1207" s="10" t="s">
        <v>21</v>
      </c>
      <c r="C1207" s="9">
        <v>54.0</v>
      </c>
      <c r="D1207" s="10" t="s">
        <v>168</v>
      </c>
      <c r="E1207" s="9">
        <v>3.0</v>
      </c>
      <c r="F1207" s="9">
        <v>11.0</v>
      </c>
      <c r="G1207" s="9">
        <v>33.0</v>
      </c>
      <c r="H1207" s="9">
        <v>0.0</v>
      </c>
      <c r="I1207" s="9">
        <v>0.0</v>
      </c>
      <c r="J1207" s="9">
        <v>11.0</v>
      </c>
      <c r="K1207" s="9">
        <v>33.0</v>
      </c>
      <c r="L1207" s="9">
        <v>2.25</v>
      </c>
      <c r="M1207" s="9">
        <v>24.75</v>
      </c>
      <c r="N1207" s="9">
        <v>8.25</v>
      </c>
      <c r="O1207" s="12">
        <v>46054.0</v>
      </c>
      <c r="P1207" s="16"/>
    </row>
    <row r="1208">
      <c r="A1208" s="9">
        <v>2.411000046E9</v>
      </c>
      <c r="B1208" s="10" t="s">
        <v>21</v>
      </c>
      <c r="C1208" s="9">
        <v>64.0</v>
      </c>
      <c r="D1208" s="10" t="s">
        <v>173</v>
      </c>
      <c r="E1208" s="9">
        <v>3.0</v>
      </c>
      <c r="F1208" s="9">
        <v>37.0</v>
      </c>
      <c r="G1208" s="9">
        <v>111.0</v>
      </c>
      <c r="H1208" s="9">
        <v>0.0</v>
      </c>
      <c r="I1208" s="9">
        <v>0.0</v>
      </c>
      <c r="J1208" s="9">
        <v>37.0</v>
      </c>
      <c r="K1208" s="9">
        <v>111.0</v>
      </c>
      <c r="L1208" s="9">
        <v>2.29</v>
      </c>
      <c r="M1208" s="9">
        <v>84.73</v>
      </c>
      <c r="N1208" s="9">
        <v>26.27</v>
      </c>
      <c r="O1208" s="12">
        <v>46054.0</v>
      </c>
      <c r="P1208" s="16"/>
    </row>
    <row r="1209">
      <c r="A1209" s="9">
        <v>2.411000046E9</v>
      </c>
      <c r="B1209" s="10" t="s">
        <v>21</v>
      </c>
      <c r="C1209" s="9">
        <v>70.0</v>
      </c>
      <c r="D1209" s="10" t="s">
        <v>175</v>
      </c>
      <c r="E1209" s="9">
        <v>5.0</v>
      </c>
      <c r="F1209" s="9">
        <v>2.0</v>
      </c>
      <c r="G1209" s="9">
        <v>10.0</v>
      </c>
      <c r="H1209" s="9">
        <v>0.0</v>
      </c>
      <c r="I1209" s="9">
        <v>0.0</v>
      </c>
      <c r="J1209" s="9">
        <v>2.0</v>
      </c>
      <c r="K1209" s="9">
        <v>10.0</v>
      </c>
      <c r="L1209" s="9">
        <v>2.83</v>
      </c>
      <c r="M1209" s="9">
        <v>5.66</v>
      </c>
      <c r="N1209" s="9">
        <v>4.34</v>
      </c>
      <c r="O1209" s="12">
        <v>46054.0</v>
      </c>
      <c r="P1209" s="16"/>
    </row>
    <row r="1210">
      <c r="A1210" s="9">
        <v>2.411000046E9</v>
      </c>
      <c r="B1210" s="10" t="s">
        <v>21</v>
      </c>
      <c r="C1210" s="9">
        <v>96.0</v>
      </c>
      <c r="D1210" s="10" t="s">
        <v>212</v>
      </c>
      <c r="E1210" s="9">
        <v>5.0</v>
      </c>
      <c r="F1210" s="9">
        <v>18.0</v>
      </c>
      <c r="G1210" s="9">
        <v>90.0</v>
      </c>
      <c r="H1210" s="9">
        <v>0.0</v>
      </c>
      <c r="I1210" s="9">
        <v>0.0</v>
      </c>
      <c r="J1210" s="9">
        <v>18.0</v>
      </c>
      <c r="K1210" s="9">
        <v>90.0</v>
      </c>
      <c r="L1210" s="9">
        <v>2.93</v>
      </c>
      <c r="M1210" s="9">
        <v>52.74</v>
      </c>
      <c r="N1210" s="9">
        <v>37.26</v>
      </c>
      <c r="O1210" s="12">
        <v>46054.0</v>
      </c>
      <c r="P1210" s="16"/>
    </row>
    <row r="1211">
      <c r="A1211" s="9">
        <v>2.411000046E9</v>
      </c>
      <c r="B1211" s="10" t="s">
        <v>21</v>
      </c>
      <c r="C1211" s="9">
        <v>97.0</v>
      </c>
      <c r="D1211" s="10" t="s">
        <v>115</v>
      </c>
      <c r="E1211" s="9">
        <v>5.0</v>
      </c>
      <c r="F1211" s="9">
        <v>14.0</v>
      </c>
      <c r="G1211" s="9">
        <v>65.0</v>
      </c>
      <c r="H1211" s="9">
        <v>0.0</v>
      </c>
      <c r="I1211" s="9">
        <v>0.0</v>
      </c>
      <c r="J1211" s="9">
        <v>14.0</v>
      </c>
      <c r="K1211" s="9">
        <v>65.0</v>
      </c>
      <c r="L1211" s="9">
        <v>2.93</v>
      </c>
      <c r="M1211" s="9">
        <v>41.02</v>
      </c>
      <c r="N1211" s="9">
        <v>23.98</v>
      </c>
      <c r="O1211" s="12">
        <v>46054.0</v>
      </c>
      <c r="P1211" s="16"/>
    </row>
    <row r="1212">
      <c r="A1212" s="9">
        <v>2.411000046E9</v>
      </c>
      <c r="B1212" s="10" t="s">
        <v>21</v>
      </c>
      <c r="C1212" s="9">
        <v>98.0</v>
      </c>
      <c r="D1212" s="10" t="s">
        <v>118</v>
      </c>
      <c r="E1212" s="9">
        <v>5.0</v>
      </c>
      <c r="F1212" s="9">
        <v>5.0</v>
      </c>
      <c r="G1212" s="9">
        <v>25.0</v>
      </c>
      <c r="H1212" s="9">
        <v>0.0</v>
      </c>
      <c r="I1212" s="9">
        <v>0.0</v>
      </c>
      <c r="J1212" s="9">
        <v>5.0</v>
      </c>
      <c r="K1212" s="9">
        <v>25.0</v>
      </c>
      <c r="L1212" s="9">
        <v>3.17</v>
      </c>
      <c r="M1212" s="9">
        <v>15.85</v>
      </c>
      <c r="N1212" s="9">
        <v>9.15</v>
      </c>
      <c r="O1212" s="12">
        <v>46054.0</v>
      </c>
      <c r="P1212" s="16"/>
    </row>
    <row r="1213">
      <c r="A1213" s="9">
        <v>2.411000046E9</v>
      </c>
      <c r="B1213" s="10" t="s">
        <v>21</v>
      </c>
      <c r="C1213" s="9">
        <v>99.0</v>
      </c>
      <c r="D1213" s="10" t="s">
        <v>213</v>
      </c>
      <c r="E1213" s="9">
        <v>3.0</v>
      </c>
      <c r="F1213" s="9">
        <v>15.0</v>
      </c>
      <c r="G1213" s="9">
        <v>45.0</v>
      </c>
      <c r="H1213" s="9">
        <v>0.0</v>
      </c>
      <c r="I1213" s="9">
        <v>0.0</v>
      </c>
      <c r="J1213" s="9">
        <v>15.0</v>
      </c>
      <c r="K1213" s="9">
        <v>45.0</v>
      </c>
      <c r="L1213" s="9">
        <v>2.25</v>
      </c>
      <c r="M1213" s="9">
        <v>33.75</v>
      </c>
      <c r="N1213" s="9">
        <v>11.25</v>
      </c>
      <c r="O1213" s="12">
        <v>46054.0</v>
      </c>
      <c r="P1213" s="16"/>
    </row>
    <row r="1214">
      <c r="A1214" s="9">
        <v>2.411000046E9</v>
      </c>
      <c r="B1214" s="10" t="s">
        <v>21</v>
      </c>
      <c r="C1214" s="9">
        <v>106.0</v>
      </c>
      <c r="D1214" s="10" t="s">
        <v>214</v>
      </c>
      <c r="E1214" s="9">
        <v>7.0</v>
      </c>
      <c r="F1214" s="9">
        <v>33.0</v>
      </c>
      <c r="G1214" s="9">
        <v>214.0</v>
      </c>
      <c r="H1214" s="9">
        <v>0.0</v>
      </c>
      <c r="I1214" s="9">
        <v>0.0</v>
      </c>
      <c r="J1214" s="9">
        <v>33.0</v>
      </c>
      <c r="K1214" s="9">
        <v>214.0</v>
      </c>
      <c r="L1214" s="9">
        <v>4.79</v>
      </c>
      <c r="M1214" s="9">
        <v>158.07</v>
      </c>
      <c r="N1214" s="9">
        <v>55.93</v>
      </c>
      <c r="O1214" s="12">
        <v>46054.0</v>
      </c>
      <c r="P1214" s="16"/>
    </row>
    <row r="1215">
      <c r="A1215" s="9">
        <v>2.411000046E9</v>
      </c>
      <c r="B1215" s="10" t="s">
        <v>21</v>
      </c>
      <c r="C1215" s="9">
        <v>111.0</v>
      </c>
      <c r="D1215" s="10" t="s">
        <v>215</v>
      </c>
      <c r="E1215" s="9">
        <v>1.0</v>
      </c>
      <c r="F1215" s="9">
        <v>113.0</v>
      </c>
      <c r="G1215" s="9">
        <v>113.0</v>
      </c>
      <c r="H1215" s="9">
        <v>0.0</v>
      </c>
      <c r="I1215" s="9">
        <v>0.0</v>
      </c>
      <c r="J1215" s="9">
        <v>113.0</v>
      </c>
      <c r="K1215" s="9">
        <v>113.0</v>
      </c>
      <c r="L1215" s="9">
        <v>0.68</v>
      </c>
      <c r="M1215" s="9">
        <v>76.84</v>
      </c>
      <c r="N1215" s="9">
        <v>36.16</v>
      </c>
      <c r="O1215" s="12">
        <v>46054.0</v>
      </c>
      <c r="P1215" s="16"/>
    </row>
    <row r="1216">
      <c r="A1216" s="9">
        <v>2.411000046E9</v>
      </c>
      <c r="B1216" s="10" t="s">
        <v>21</v>
      </c>
      <c r="C1216" s="9">
        <v>114.0</v>
      </c>
      <c r="D1216" s="10" t="s">
        <v>218</v>
      </c>
      <c r="E1216" s="9">
        <v>5.0</v>
      </c>
      <c r="F1216" s="9">
        <v>21.0</v>
      </c>
      <c r="G1216" s="9">
        <v>105.0</v>
      </c>
      <c r="H1216" s="9">
        <v>0.0</v>
      </c>
      <c r="I1216" s="9">
        <v>0.0</v>
      </c>
      <c r="J1216" s="9">
        <v>21.0</v>
      </c>
      <c r="K1216" s="9">
        <v>105.0</v>
      </c>
      <c r="L1216" s="9">
        <v>2.25</v>
      </c>
      <c r="M1216" s="9">
        <v>47.25</v>
      </c>
      <c r="N1216" s="9">
        <v>57.75</v>
      </c>
      <c r="O1216" s="12">
        <v>46054.0</v>
      </c>
      <c r="P1216" s="16"/>
    </row>
    <row r="1217">
      <c r="A1217" s="9">
        <v>2.411000046E9</v>
      </c>
      <c r="B1217" s="10" t="s">
        <v>21</v>
      </c>
      <c r="C1217" s="9">
        <v>122.0</v>
      </c>
      <c r="D1217" s="10" t="s">
        <v>219</v>
      </c>
      <c r="E1217" s="9">
        <v>5.0</v>
      </c>
      <c r="F1217" s="9">
        <v>14.0</v>
      </c>
      <c r="G1217" s="9">
        <v>65.0</v>
      </c>
      <c r="H1217" s="9">
        <v>0.0</v>
      </c>
      <c r="I1217" s="9">
        <v>0.0</v>
      </c>
      <c r="J1217" s="9">
        <v>14.0</v>
      </c>
      <c r="K1217" s="9">
        <v>65.0</v>
      </c>
      <c r="L1217" s="9">
        <v>3.6</v>
      </c>
      <c r="M1217" s="9">
        <v>50.4</v>
      </c>
      <c r="N1217" s="9">
        <v>14.6</v>
      </c>
      <c r="O1217" s="12">
        <v>46054.0</v>
      </c>
      <c r="P1217" s="16"/>
    </row>
    <row r="1218">
      <c r="A1218" s="9">
        <v>2.411000046E9</v>
      </c>
      <c r="B1218" s="10" t="s">
        <v>21</v>
      </c>
      <c r="C1218" s="9">
        <v>123.0</v>
      </c>
      <c r="D1218" s="10" t="s">
        <v>220</v>
      </c>
      <c r="E1218" s="9">
        <v>5.0</v>
      </c>
      <c r="F1218" s="9">
        <v>25.0</v>
      </c>
      <c r="G1218" s="9">
        <v>125.0</v>
      </c>
      <c r="H1218" s="9">
        <v>0.0</v>
      </c>
      <c r="I1218" s="9">
        <v>0.0</v>
      </c>
      <c r="J1218" s="9">
        <v>25.0</v>
      </c>
      <c r="K1218" s="9">
        <v>125.0</v>
      </c>
      <c r="L1218" s="9">
        <v>3.8</v>
      </c>
      <c r="M1218" s="9">
        <v>95.0</v>
      </c>
      <c r="N1218" s="9">
        <v>30.0</v>
      </c>
      <c r="O1218" s="12">
        <v>46054.0</v>
      </c>
      <c r="P1218" s="16"/>
    </row>
    <row r="1219">
      <c r="A1219" s="9">
        <v>2.411000046E9</v>
      </c>
      <c r="B1219" s="10" t="s">
        <v>21</v>
      </c>
      <c r="C1219" s="9">
        <v>129.0</v>
      </c>
      <c r="D1219" s="10" t="s">
        <v>242</v>
      </c>
      <c r="E1219" s="9">
        <v>3.0</v>
      </c>
      <c r="F1219" s="9">
        <v>15.0</v>
      </c>
      <c r="G1219" s="9">
        <v>45.0</v>
      </c>
      <c r="H1219" s="9">
        <v>0.0</v>
      </c>
      <c r="I1219" s="9">
        <v>0.0</v>
      </c>
      <c r="J1219" s="9">
        <v>15.0</v>
      </c>
      <c r="K1219" s="9">
        <v>45.0</v>
      </c>
      <c r="L1219" s="9">
        <v>1.75</v>
      </c>
      <c r="M1219" s="9">
        <v>26.25</v>
      </c>
      <c r="N1219" s="9">
        <v>18.75</v>
      </c>
      <c r="O1219" s="12">
        <v>46054.0</v>
      </c>
      <c r="P1219" s="16"/>
    </row>
    <row r="1220">
      <c r="A1220" s="9">
        <v>2.411000046E9</v>
      </c>
      <c r="B1220" s="10" t="s">
        <v>21</v>
      </c>
      <c r="C1220" s="9">
        <v>130.0</v>
      </c>
      <c r="D1220" s="10" t="s">
        <v>243</v>
      </c>
      <c r="E1220" s="9">
        <v>3.0</v>
      </c>
      <c r="F1220" s="9">
        <v>16.0</v>
      </c>
      <c r="G1220" s="9">
        <v>48.0</v>
      </c>
      <c r="H1220" s="9">
        <v>0.0</v>
      </c>
      <c r="I1220" s="9">
        <v>0.0</v>
      </c>
      <c r="J1220" s="9">
        <v>16.0</v>
      </c>
      <c r="K1220" s="9">
        <v>48.0</v>
      </c>
      <c r="L1220" s="9">
        <v>1.75</v>
      </c>
      <c r="M1220" s="9">
        <v>28.0</v>
      </c>
      <c r="N1220" s="9">
        <v>20.0</v>
      </c>
      <c r="O1220" s="12">
        <v>46054.0</v>
      </c>
      <c r="P1220" s="16"/>
    </row>
    <row r="1221">
      <c r="A1221" s="9">
        <v>2.411000046E9</v>
      </c>
      <c r="B1221" s="10" t="s">
        <v>21</v>
      </c>
      <c r="C1221" s="9">
        <v>137.0</v>
      </c>
      <c r="D1221" s="2" t="s">
        <v>129</v>
      </c>
      <c r="E1221" s="9">
        <v>5.0</v>
      </c>
      <c r="F1221" s="9">
        <v>3.0</v>
      </c>
      <c r="G1221" s="9">
        <v>15.0</v>
      </c>
      <c r="H1221" s="9">
        <v>0.0</v>
      </c>
      <c r="I1221" s="9">
        <v>0.0</v>
      </c>
      <c r="J1221" s="9">
        <v>3.0</v>
      </c>
      <c r="K1221" s="9">
        <v>15.0</v>
      </c>
      <c r="L1221" s="9">
        <v>2.93</v>
      </c>
      <c r="M1221" s="9">
        <v>8.79</v>
      </c>
      <c r="N1221" s="9">
        <v>6.21</v>
      </c>
      <c r="O1221" s="12">
        <v>46054.0</v>
      </c>
      <c r="P1221" s="16"/>
    </row>
    <row r="1222">
      <c r="A1222" s="9">
        <v>2.503000216E9</v>
      </c>
      <c r="B1222" s="10" t="s">
        <v>22</v>
      </c>
      <c r="C1222" s="9">
        <v>1.0</v>
      </c>
      <c r="D1222" s="10" t="s">
        <v>129</v>
      </c>
      <c r="E1222" s="9">
        <v>5.0</v>
      </c>
      <c r="F1222" s="9">
        <v>92.0</v>
      </c>
      <c r="G1222" s="9">
        <v>460.0</v>
      </c>
      <c r="H1222" s="9">
        <v>0.0</v>
      </c>
      <c r="I1222" s="9">
        <v>0.0</v>
      </c>
      <c r="J1222" s="9">
        <v>92.0</v>
      </c>
      <c r="K1222" s="9">
        <v>460.0</v>
      </c>
      <c r="L1222" s="9">
        <v>2.93</v>
      </c>
      <c r="M1222" s="9">
        <v>269.56</v>
      </c>
      <c r="N1222" s="9">
        <v>190.44</v>
      </c>
      <c r="O1222" s="12">
        <v>46054.0</v>
      </c>
      <c r="P1222" s="16"/>
    </row>
    <row r="1223">
      <c r="A1223" s="9">
        <v>2.503000216E9</v>
      </c>
      <c r="B1223" s="10" t="s">
        <v>22</v>
      </c>
      <c r="C1223" s="9">
        <v>2.0</v>
      </c>
      <c r="D1223" s="10" t="s">
        <v>74</v>
      </c>
      <c r="E1223" s="9">
        <v>1.0</v>
      </c>
      <c r="F1223" s="9">
        <v>624.0</v>
      </c>
      <c r="G1223" s="9">
        <v>624.0</v>
      </c>
      <c r="H1223" s="9">
        <v>0.0</v>
      </c>
      <c r="I1223" s="9">
        <v>0.0</v>
      </c>
      <c r="J1223" s="9">
        <v>624.0</v>
      </c>
      <c r="K1223" s="9">
        <v>624.0</v>
      </c>
      <c r="L1223" s="9">
        <v>0.28</v>
      </c>
      <c r="M1223" s="9">
        <v>174.72</v>
      </c>
      <c r="N1223" s="9">
        <v>449.28</v>
      </c>
      <c r="O1223" s="12">
        <v>46054.0</v>
      </c>
      <c r="P1223" s="16"/>
    </row>
    <row r="1224">
      <c r="A1224" s="9">
        <v>2.503000216E9</v>
      </c>
      <c r="B1224" s="10" t="s">
        <v>22</v>
      </c>
      <c r="C1224" s="9">
        <v>3.0</v>
      </c>
      <c r="D1224" s="10" t="s">
        <v>125</v>
      </c>
      <c r="E1224" s="9">
        <v>8.0</v>
      </c>
      <c r="F1224" s="9">
        <v>3.0</v>
      </c>
      <c r="G1224" s="9">
        <v>24.0</v>
      </c>
      <c r="H1224" s="9">
        <v>0.0</v>
      </c>
      <c r="I1224" s="9">
        <v>0.0</v>
      </c>
      <c r="J1224" s="9">
        <v>3.0</v>
      </c>
      <c r="K1224" s="9">
        <v>24.0</v>
      </c>
      <c r="L1224" s="9">
        <v>7.5</v>
      </c>
      <c r="M1224" s="9">
        <v>22.5</v>
      </c>
      <c r="N1224" s="9">
        <v>1.5</v>
      </c>
      <c r="O1224" s="12">
        <v>46054.0</v>
      </c>
      <c r="P1224" s="16"/>
    </row>
    <row r="1225">
      <c r="A1225" s="9">
        <v>2.503000216E9</v>
      </c>
      <c r="B1225" s="10" t="s">
        <v>22</v>
      </c>
      <c r="C1225" s="9">
        <v>6.0</v>
      </c>
      <c r="D1225" s="10" t="s">
        <v>206</v>
      </c>
      <c r="E1225" s="9">
        <v>5.0</v>
      </c>
      <c r="F1225" s="9">
        <v>10.0</v>
      </c>
      <c r="G1225" s="9">
        <v>60.0</v>
      </c>
      <c r="H1225" s="9">
        <v>0.0</v>
      </c>
      <c r="I1225" s="9">
        <v>0.0</v>
      </c>
      <c r="J1225" s="9">
        <v>10.0</v>
      </c>
      <c r="K1225" s="9">
        <v>60.0</v>
      </c>
      <c r="L1225" s="9">
        <v>3.5</v>
      </c>
      <c r="M1225" s="9">
        <v>35.0</v>
      </c>
      <c r="N1225" s="9">
        <v>25.0</v>
      </c>
      <c r="O1225" s="12">
        <v>46054.0</v>
      </c>
      <c r="P1225" s="16"/>
    </row>
    <row r="1226">
      <c r="A1226" s="9">
        <v>2.503000216E9</v>
      </c>
      <c r="B1226" s="10" t="s">
        <v>22</v>
      </c>
      <c r="C1226" s="9">
        <v>8.0</v>
      </c>
      <c r="D1226" s="10" t="s">
        <v>133</v>
      </c>
      <c r="E1226" s="9">
        <v>5.0</v>
      </c>
      <c r="F1226" s="9">
        <v>11.0</v>
      </c>
      <c r="G1226" s="9">
        <v>55.0</v>
      </c>
      <c r="H1226" s="9">
        <v>0.0</v>
      </c>
      <c r="I1226" s="9">
        <v>0.0</v>
      </c>
      <c r="J1226" s="9">
        <v>11.0</v>
      </c>
      <c r="K1226" s="9">
        <v>55.0</v>
      </c>
      <c r="L1226" s="9">
        <v>3.45</v>
      </c>
      <c r="M1226" s="9">
        <v>37.95</v>
      </c>
      <c r="N1226" s="9">
        <v>17.05</v>
      </c>
      <c r="O1226" s="12">
        <v>46054.0</v>
      </c>
      <c r="P1226" s="16"/>
    </row>
    <row r="1227">
      <c r="A1227" s="9">
        <v>2.503000216E9</v>
      </c>
      <c r="B1227" s="10" t="s">
        <v>22</v>
      </c>
      <c r="C1227" s="9">
        <v>10.0</v>
      </c>
      <c r="D1227" s="10" t="s">
        <v>135</v>
      </c>
      <c r="E1227" s="9">
        <v>8.0</v>
      </c>
      <c r="F1227" s="9">
        <v>19.0</v>
      </c>
      <c r="G1227" s="9">
        <v>152.0</v>
      </c>
      <c r="H1227" s="9">
        <v>0.0</v>
      </c>
      <c r="I1227" s="9">
        <v>0.0</v>
      </c>
      <c r="J1227" s="9">
        <v>19.0</v>
      </c>
      <c r="K1227" s="9">
        <v>152.0</v>
      </c>
      <c r="L1227" s="9">
        <v>5.83</v>
      </c>
      <c r="M1227" s="9">
        <v>110.77</v>
      </c>
      <c r="N1227" s="9">
        <v>41.23</v>
      </c>
      <c r="O1227" s="12">
        <v>46054.0</v>
      </c>
      <c r="P1227" s="16"/>
    </row>
    <row r="1228">
      <c r="A1228" s="9">
        <v>2.503000216E9</v>
      </c>
      <c r="B1228" s="10" t="s">
        <v>22</v>
      </c>
      <c r="C1228" s="9">
        <v>11.0</v>
      </c>
      <c r="D1228" s="10" t="s">
        <v>86</v>
      </c>
      <c r="E1228" s="9">
        <v>5.0</v>
      </c>
      <c r="F1228" s="9">
        <v>104.0</v>
      </c>
      <c r="G1228" s="9">
        <v>520.0</v>
      </c>
      <c r="H1228" s="9">
        <v>0.0</v>
      </c>
      <c r="I1228" s="9">
        <v>0.0</v>
      </c>
      <c r="J1228" s="9">
        <v>104.0</v>
      </c>
      <c r="K1228" s="9">
        <v>520.0</v>
      </c>
      <c r="L1228" s="9">
        <v>4.29</v>
      </c>
      <c r="M1228" s="9">
        <v>446.16</v>
      </c>
      <c r="N1228" s="9">
        <v>73.84</v>
      </c>
      <c r="O1228" s="12">
        <v>46054.0</v>
      </c>
      <c r="P1228" s="16"/>
    </row>
    <row r="1229">
      <c r="A1229" s="9">
        <v>2.503000216E9</v>
      </c>
      <c r="B1229" s="10" t="s">
        <v>22</v>
      </c>
      <c r="C1229" s="9">
        <v>14.0</v>
      </c>
      <c r="D1229" s="10" t="s">
        <v>138</v>
      </c>
      <c r="E1229" s="9">
        <v>8.0</v>
      </c>
      <c r="F1229" s="9">
        <v>15.0</v>
      </c>
      <c r="G1229" s="9">
        <v>120.0</v>
      </c>
      <c r="H1229" s="9">
        <v>0.0</v>
      </c>
      <c r="I1229" s="9">
        <v>0.0</v>
      </c>
      <c r="J1229" s="9">
        <v>15.0</v>
      </c>
      <c r="K1229" s="9">
        <v>120.0</v>
      </c>
      <c r="L1229" s="9">
        <v>7.0</v>
      </c>
      <c r="M1229" s="9">
        <v>105.0</v>
      </c>
      <c r="N1229" s="9">
        <v>15.0</v>
      </c>
      <c r="O1229" s="12">
        <v>46054.0</v>
      </c>
      <c r="P1229" s="16"/>
    </row>
    <row r="1230">
      <c r="A1230" s="9">
        <v>2.503000216E9</v>
      </c>
      <c r="B1230" s="10" t="s">
        <v>22</v>
      </c>
      <c r="C1230" s="9">
        <v>15.0</v>
      </c>
      <c r="D1230" s="10" t="s">
        <v>55</v>
      </c>
      <c r="E1230" s="9">
        <v>2.0</v>
      </c>
      <c r="F1230" s="9">
        <v>69.0</v>
      </c>
      <c r="G1230" s="9">
        <v>138.0</v>
      </c>
      <c r="H1230" s="9">
        <v>0.0</v>
      </c>
      <c r="I1230" s="9">
        <v>0.0</v>
      </c>
      <c r="J1230" s="9">
        <v>69.0</v>
      </c>
      <c r="K1230" s="9">
        <v>138.0</v>
      </c>
      <c r="L1230" s="9">
        <v>1.54</v>
      </c>
      <c r="M1230" s="9">
        <v>106.26</v>
      </c>
      <c r="N1230" s="9">
        <v>31.74</v>
      </c>
      <c r="O1230" s="12">
        <v>46054.0</v>
      </c>
      <c r="P1230" s="16"/>
    </row>
    <row r="1231">
      <c r="A1231" s="9">
        <v>2.503000216E9</v>
      </c>
      <c r="B1231" s="10" t="s">
        <v>22</v>
      </c>
      <c r="C1231" s="9">
        <v>19.0</v>
      </c>
      <c r="D1231" s="10" t="s">
        <v>72</v>
      </c>
      <c r="E1231" s="9">
        <v>3.0</v>
      </c>
      <c r="F1231" s="9">
        <v>38.0</v>
      </c>
      <c r="G1231" s="9">
        <v>114.0</v>
      </c>
      <c r="H1231" s="9">
        <v>0.0</v>
      </c>
      <c r="I1231" s="9">
        <v>0.0</v>
      </c>
      <c r="J1231" s="9">
        <v>38.0</v>
      </c>
      <c r="K1231" s="9">
        <v>114.0</v>
      </c>
      <c r="L1231" s="9">
        <v>1.79</v>
      </c>
      <c r="M1231" s="9">
        <v>68.02</v>
      </c>
      <c r="N1231" s="9">
        <v>45.98</v>
      </c>
      <c r="O1231" s="12">
        <v>46054.0</v>
      </c>
      <c r="P1231" s="16"/>
    </row>
    <row r="1232">
      <c r="A1232" s="9">
        <v>2.503000216E9</v>
      </c>
      <c r="B1232" s="10" t="s">
        <v>22</v>
      </c>
      <c r="C1232" s="9">
        <v>21.0</v>
      </c>
      <c r="D1232" s="10" t="s">
        <v>79</v>
      </c>
      <c r="E1232" s="9">
        <v>3.0</v>
      </c>
      <c r="F1232" s="9">
        <v>67.0</v>
      </c>
      <c r="G1232" s="9">
        <v>210.0</v>
      </c>
      <c r="H1232" s="9">
        <v>0.0</v>
      </c>
      <c r="I1232" s="9">
        <v>0.0</v>
      </c>
      <c r="J1232" s="9">
        <v>67.0</v>
      </c>
      <c r="K1232" s="9">
        <v>210.0</v>
      </c>
      <c r="L1232" s="9">
        <v>2.25</v>
      </c>
      <c r="M1232" s="9">
        <v>150.75</v>
      </c>
      <c r="N1232" s="9">
        <v>59.25</v>
      </c>
      <c r="O1232" s="12">
        <v>46054.0</v>
      </c>
      <c r="P1232" s="16"/>
    </row>
    <row r="1233">
      <c r="A1233" s="9">
        <v>2.503000216E9</v>
      </c>
      <c r="B1233" s="10" t="s">
        <v>22</v>
      </c>
      <c r="C1233" s="9">
        <v>25.0</v>
      </c>
      <c r="D1233" s="10" t="s">
        <v>144</v>
      </c>
      <c r="E1233" s="9">
        <v>6.0</v>
      </c>
      <c r="F1233" s="9">
        <v>7.0</v>
      </c>
      <c r="G1233" s="9">
        <v>42.0</v>
      </c>
      <c r="H1233" s="9">
        <v>0.0</v>
      </c>
      <c r="I1233" s="9">
        <v>0.0</v>
      </c>
      <c r="J1233" s="9">
        <v>7.0</v>
      </c>
      <c r="K1233" s="9">
        <v>42.0</v>
      </c>
      <c r="L1233" s="9">
        <v>5.0</v>
      </c>
      <c r="M1233" s="9">
        <v>35.0</v>
      </c>
      <c r="N1233" s="9">
        <v>7.0</v>
      </c>
      <c r="O1233" s="12">
        <v>46054.0</v>
      </c>
      <c r="P1233" s="16"/>
    </row>
    <row r="1234">
      <c r="A1234" s="9">
        <v>2.503000216E9</v>
      </c>
      <c r="B1234" s="10" t="s">
        <v>22</v>
      </c>
      <c r="C1234" s="9">
        <v>28.0</v>
      </c>
      <c r="D1234" s="10" t="s">
        <v>146</v>
      </c>
      <c r="E1234" s="9">
        <v>6.0</v>
      </c>
      <c r="F1234" s="9">
        <v>10.0</v>
      </c>
      <c r="G1234" s="9">
        <v>60.0</v>
      </c>
      <c r="H1234" s="9">
        <v>0.0</v>
      </c>
      <c r="I1234" s="9">
        <v>0.0</v>
      </c>
      <c r="J1234" s="9">
        <v>10.0</v>
      </c>
      <c r="K1234" s="9">
        <v>60.0</v>
      </c>
      <c r="L1234" s="9">
        <v>5.2</v>
      </c>
      <c r="M1234" s="9">
        <v>52.0</v>
      </c>
      <c r="N1234" s="9">
        <v>8.0</v>
      </c>
      <c r="O1234" s="12">
        <v>46054.0</v>
      </c>
      <c r="P1234" s="16"/>
    </row>
    <row r="1235">
      <c r="A1235" s="9">
        <v>2.503000216E9</v>
      </c>
      <c r="B1235" s="10" t="s">
        <v>22</v>
      </c>
      <c r="C1235" s="9">
        <v>29.0</v>
      </c>
      <c r="D1235" s="10" t="s">
        <v>147</v>
      </c>
      <c r="E1235" s="9">
        <v>3.0</v>
      </c>
      <c r="F1235" s="9">
        <v>75.0</v>
      </c>
      <c r="G1235" s="9">
        <v>225.0</v>
      </c>
      <c r="H1235" s="9">
        <v>0.0</v>
      </c>
      <c r="I1235" s="9">
        <v>0.0</v>
      </c>
      <c r="J1235" s="9">
        <v>75.0</v>
      </c>
      <c r="K1235" s="9">
        <v>225.0</v>
      </c>
      <c r="L1235" s="9">
        <v>2.25</v>
      </c>
      <c r="M1235" s="9">
        <v>168.75</v>
      </c>
      <c r="N1235" s="9">
        <v>56.25</v>
      </c>
      <c r="O1235" s="12">
        <v>46054.0</v>
      </c>
      <c r="P1235" s="16"/>
    </row>
    <row r="1236">
      <c r="A1236" s="9">
        <v>2.503000216E9</v>
      </c>
      <c r="B1236" s="10" t="s">
        <v>22</v>
      </c>
      <c r="C1236" s="9">
        <v>30.0</v>
      </c>
      <c r="D1236" s="10" t="s">
        <v>148</v>
      </c>
      <c r="E1236" s="9">
        <v>6.0</v>
      </c>
      <c r="F1236" s="9">
        <v>11.0</v>
      </c>
      <c r="G1236" s="9">
        <v>45.0</v>
      </c>
      <c r="H1236" s="9">
        <v>0.0</v>
      </c>
      <c r="I1236" s="9">
        <v>0.0</v>
      </c>
      <c r="J1236" s="9">
        <v>11.0</v>
      </c>
      <c r="K1236" s="9">
        <v>45.0</v>
      </c>
      <c r="L1236" s="9">
        <v>5.5</v>
      </c>
      <c r="M1236" s="9">
        <v>60.5</v>
      </c>
      <c r="N1236" s="9">
        <v>-15.5</v>
      </c>
      <c r="O1236" s="12">
        <v>46054.0</v>
      </c>
      <c r="P1236" s="16"/>
    </row>
    <row r="1237">
      <c r="A1237" s="9">
        <v>2.503000216E9</v>
      </c>
      <c r="B1237" s="10" t="s">
        <v>22</v>
      </c>
      <c r="C1237" s="9">
        <v>32.0</v>
      </c>
      <c r="D1237" s="10" t="s">
        <v>150</v>
      </c>
      <c r="E1237" s="9">
        <v>3.0</v>
      </c>
      <c r="F1237" s="9">
        <v>69.0</v>
      </c>
      <c r="G1237" s="9">
        <v>207.0</v>
      </c>
      <c r="H1237" s="9">
        <v>0.0</v>
      </c>
      <c r="I1237" s="9">
        <v>0.0</v>
      </c>
      <c r="J1237" s="9">
        <v>69.0</v>
      </c>
      <c r="K1237" s="9">
        <v>207.0</v>
      </c>
      <c r="L1237" s="9">
        <v>2.29</v>
      </c>
      <c r="M1237" s="9">
        <v>158.01</v>
      </c>
      <c r="N1237" s="9">
        <v>48.99</v>
      </c>
      <c r="O1237" s="12">
        <v>46054.0</v>
      </c>
      <c r="P1237" s="16"/>
    </row>
    <row r="1238">
      <c r="A1238" s="9">
        <v>2.503000216E9</v>
      </c>
      <c r="B1238" s="10" t="s">
        <v>22</v>
      </c>
      <c r="C1238" s="9">
        <v>47.0</v>
      </c>
      <c r="D1238" s="10" t="s">
        <v>162</v>
      </c>
      <c r="E1238" s="9">
        <v>5.0</v>
      </c>
      <c r="F1238" s="9">
        <v>5.0</v>
      </c>
      <c r="G1238" s="9">
        <v>25.0</v>
      </c>
      <c r="H1238" s="9">
        <v>0.0</v>
      </c>
      <c r="I1238" s="9">
        <v>0.0</v>
      </c>
      <c r="J1238" s="9">
        <v>5.0</v>
      </c>
      <c r="K1238" s="9">
        <v>25.0</v>
      </c>
      <c r="L1238" s="9">
        <v>2.05</v>
      </c>
      <c r="M1238" s="9">
        <v>10.25</v>
      </c>
      <c r="N1238" s="9">
        <v>14.75</v>
      </c>
      <c r="O1238" s="12">
        <v>46054.0</v>
      </c>
      <c r="P1238" s="16"/>
    </row>
    <row r="1239">
      <c r="A1239" s="9">
        <v>2.503000216E9</v>
      </c>
      <c r="B1239" s="10" t="s">
        <v>22</v>
      </c>
      <c r="C1239" s="9">
        <v>49.0</v>
      </c>
      <c r="D1239" s="10" t="s">
        <v>165</v>
      </c>
      <c r="E1239" s="9">
        <v>3.0</v>
      </c>
      <c r="F1239" s="9">
        <v>117.0</v>
      </c>
      <c r="G1239" s="9">
        <v>351.0</v>
      </c>
      <c r="H1239" s="9">
        <v>0.0</v>
      </c>
      <c r="I1239" s="9">
        <v>0.0</v>
      </c>
      <c r="J1239" s="9">
        <v>117.0</v>
      </c>
      <c r="K1239" s="9">
        <v>351.0</v>
      </c>
      <c r="L1239" s="9">
        <v>2.04</v>
      </c>
      <c r="M1239" s="9">
        <v>238.68</v>
      </c>
      <c r="N1239" s="9">
        <v>112.32</v>
      </c>
      <c r="O1239" s="12">
        <v>46054.0</v>
      </c>
      <c r="P1239" s="16"/>
    </row>
    <row r="1240">
      <c r="A1240" s="9">
        <v>2.503000216E9</v>
      </c>
      <c r="B1240" s="10" t="s">
        <v>22</v>
      </c>
      <c r="C1240" s="9">
        <v>52.0</v>
      </c>
      <c r="D1240" s="10" t="s">
        <v>174</v>
      </c>
      <c r="E1240" s="9">
        <v>5.0</v>
      </c>
      <c r="F1240" s="9">
        <v>85.0</v>
      </c>
      <c r="G1240" s="9">
        <v>425.0</v>
      </c>
      <c r="H1240" s="9">
        <v>0.0</v>
      </c>
      <c r="I1240" s="9">
        <v>0.0</v>
      </c>
      <c r="J1240" s="9">
        <v>85.0</v>
      </c>
      <c r="K1240" s="9">
        <v>425.0</v>
      </c>
      <c r="L1240" s="9">
        <v>3.0</v>
      </c>
      <c r="M1240" s="9">
        <v>255.0</v>
      </c>
      <c r="N1240" s="9">
        <v>170.0</v>
      </c>
      <c r="O1240" s="12">
        <v>46054.0</v>
      </c>
      <c r="P1240" s="16"/>
    </row>
    <row r="1241">
      <c r="A1241" s="9">
        <v>2.503000216E9</v>
      </c>
      <c r="B1241" s="10" t="s">
        <v>22</v>
      </c>
      <c r="C1241" s="9">
        <v>53.0</v>
      </c>
      <c r="D1241" s="10" t="s">
        <v>167</v>
      </c>
      <c r="E1241" s="9">
        <v>3.0</v>
      </c>
      <c r="F1241" s="9">
        <v>4.0</v>
      </c>
      <c r="G1241" s="9">
        <v>12.0</v>
      </c>
      <c r="H1241" s="9">
        <v>0.0</v>
      </c>
      <c r="I1241" s="9">
        <v>0.0</v>
      </c>
      <c r="J1241" s="9">
        <v>4.0</v>
      </c>
      <c r="K1241" s="9">
        <v>12.0</v>
      </c>
      <c r="L1241" s="9">
        <v>2.25</v>
      </c>
      <c r="M1241" s="9">
        <v>9.0</v>
      </c>
      <c r="N1241" s="9">
        <v>3.0</v>
      </c>
      <c r="O1241" s="12">
        <v>46054.0</v>
      </c>
      <c r="P1241" s="16"/>
    </row>
    <row r="1242">
      <c r="A1242" s="9">
        <v>2.503000216E9</v>
      </c>
      <c r="B1242" s="10" t="s">
        <v>22</v>
      </c>
      <c r="C1242" s="9">
        <v>54.0</v>
      </c>
      <c r="D1242" s="10" t="s">
        <v>168</v>
      </c>
      <c r="E1242" s="9">
        <v>3.0</v>
      </c>
      <c r="F1242" s="9">
        <v>24.0</v>
      </c>
      <c r="G1242" s="9">
        <v>72.0</v>
      </c>
      <c r="H1242" s="9">
        <v>0.0</v>
      </c>
      <c r="I1242" s="9">
        <v>0.0</v>
      </c>
      <c r="J1242" s="9">
        <v>24.0</v>
      </c>
      <c r="K1242" s="9">
        <v>72.0</v>
      </c>
      <c r="L1242" s="9">
        <v>2.25</v>
      </c>
      <c r="M1242" s="9">
        <v>54.0</v>
      </c>
      <c r="N1242" s="9">
        <v>18.0</v>
      </c>
      <c r="O1242" s="12">
        <v>46054.0</v>
      </c>
      <c r="P1242" s="16"/>
    </row>
    <row r="1243">
      <c r="A1243" s="9">
        <v>2.503000216E9</v>
      </c>
      <c r="B1243" s="10" t="s">
        <v>22</v>
      </c>
      <c r="C1243" s="9">
        <v>64.0</v>
      </c>
      <c r="D1243" s="10" t="s">
        <v>173</v>
      </c>
      <c r="E1243" s="9">
        <v>3.0</v>
      </c>
      <c r="F1243" s="9">
        <v>2.0</v>
      </c>
      <c r="G1243" s="9">
        <v>6.0</v>
      </c>
      <c r="H1243" s="9">
        <v>0.0</v>
      </c>
      <c r="I1243" s="9">
        <v>0.0</v>
      </c>
      <c r="J1243" s="9">
        <v>2.0</v>
      </c>
      <c r="K1243" s="9">
        <v>6.0</v>
      </c>
      <c r="L1243" s="9">
        <v>2.29</v>
      </c>
      <c r="M1243" s="9">
        <v>4.58</v>
      </c>
      <c r="N1243" s="9">
        <v>1.42</v>
      </c>
      <c r="O1243" s="12">
        <v>46054.0</v>
      </c>
      <c r="P1243" s="16"/>
    </row>
    <row r="1244">
      <c r="A1244" s="9">
        <v>2.503000216E9</v>
      </c>
      <c r="B1244" s="10" t="s">
        <v>22</v>
      </c>
      <c r="C1244" s="9">
        <v>64.0</v>
      </c>
      <c r="D1244" s="10" t="s">
        <v>173</v>
      </c>
      <c r="E1244" s="9">
        <v>3.0</v>
      </c>
      <c r="F1244" s="9">
        <v>44.0</v>
      </c>
      <c r="G1244" s="9">
        <v>132.0</v>
      </c>
      <c r="H1244" s="9">
        <v>0.0</v>
      </c>
      <c r="I1244" s="9">
        <v>0.0</v>
      </c>
      <c r="J1244" s="9">
        <v>44.0</v>
      </c>
      <c r="K1244" s="9">
        <v>132.0</v>
      </c>
      <c r="L1244" s="9">
        <v>2.29</v>
      </c>
      <c r="M1244" s="9">
        <v>100.76</v>
      </c>
      <c r="N1244" s="9">
        <v>31.24</v>
      </c>
      <c r="O1244" s="12">
        <v>46054.0</v>
      </c>
      <c r="P1244" s="16"/>
    </row>
    <row r="1245">
      <c r="A1245" s="9">
        <v>2.503000216E9</v>
      </c>
      <c r="B1245" s="10" t="s">
        <v>22</v>
      </c>
      <c r="C1245" s="9">
        <v>86.0</v>
      </c>
      <c r="D1245" s="10" t="s">
        <v>201</v>
      </c>
      <c r="E1245" s="9">
        <v>5.0</v>
      </c>
      <c r="F1245" s="9">
        <v>94.0</v>
      </c>
      <c r="G1245" s="9">
        <v>940.0</v>
      </c>
      <c r="H1245" s="9">
        <v>0.0</v>
      </c>
      <c r="I1245" s="9">
        <v>0.0</v>
      </c>
      <c r="J1245" s="9">
        <v>94.0</v>
      </c>
      <c r="K1245" s="9">
        <v>940.0</v>
      </c>
      <c r="L1245" s="9">
        <v>3.0</v>
      </c>
      <c r="M1245" s="9">
        <v>282.0</v>
      </c>
      <c r="N1245" s="9">
        <v>658.0</v>
      </c>
      <c r="O1245" s="12">
        <v>46054.0</v>
      </c>
      <c r="P1245" s="16"/>
    </row>
    <row r="1246">
      <c r="A1246" s="9">
        <v>2.503000216E9</v>
      </c>
      <c r="B1246" s="10" t="s">
        <v>22</v>
      </c>
      <c r="C1246" s="9">
        <v>91.0</v>
      </c>
      <c r="D1246" s="10" t="s">
        <v>208</v>
      </c>
      <c r="E1246" s="9">
        <v>5.0</v>
      </c>
      <c r="F1246" s="9">
        <v>9.0</v>
      </c>
      <c r="G1246" s="9">
        <v>54.0</v>
      </c>
      <c r="H1246" s="9">
        <v>0.0</v>
      </c>
      <c r="I1246" s="9">
        <v>0.0</v>
      </c>
      <c r="J1246" s="9">
        <v>9.0</v>
      </c>
      <c r="K1246" s="9">
        <v>54.0</v>
      </c>
      <c r="L1246" s="9">
        <v>3.5</v>
      </c>
      <c r="M1246" s="9">
        <v>31.5</v>
      </c>
      <c r="N1246" s="9">
        <v>22.5</v>
      </c>
      <c r="O1246" s="12">
        <v>46054.0</v>
      </c>
      <c r="P1246" s="16"/>
    </row>
    <row r="1247">
      <c r="A1247" s="9">
        <v>2.503000216E9</v>
      </c>
      <c r="B1247" s="10" t="s">
        <v>22</v>
      </c>
      <c r="C1247" s="9">
        <v>92.0</v>
      </c>
      <c r="D1247" s="10" t="s">
        <v>209</v>
      </c>
      <c r="E1247" s="9">
        <v>5.0</v>
      </c>
      <c r="F1247" s="9">
        <v>4.0</v>
      </c>
      <c r="G1247" s="9">
        <v>23.0</v>
      </c>
      <c r="H1247" s="9">
        <v>0.0</v>
      </c>
      <c r="I1247" s="9">
        <v>0.0</v>
      </c>
      <c r="J1247" s="9">
        <v>4.0</v>
      </c>
      <c r="K1247" s="9">
        <v>23.0</v>
      </c>
      <c r="L1247" s="9">
        <v>3.5</v>
      </c>
      <c r="M1247" s="9">
        <v>14.0</v>
      </c>
      <c r="N1247" s="9">
        <v>9.0</v>
      </c>
      <c r="O1247" s="12">
        <v>46054.0</v>
      </c>
      <c r="P1247" s="16"/>
    </row>
    <row r="1248">
      <c r="A1248" s="9">
        <v>2.503000216E9</v>
      </c>
      <c r="B1248" s="10" t="s">
        <v>22</v>
      </c>
      <c r="C1248" s="9">
        <v>94.0</v>
      </c>
      <c r="D1248" s="10" t="s">
        <v>211</v>
      </c>
      <c r="E1248" s="9">
        <v>5.0</v>
      </c>
      <c r="F1248" s="9">
        <v>15.0</v>
      </c>
      <c r="G1248" s="9">
        <v>90.0</v>
      </c>
      <c r="H1248" s="9">
        <v>0.0</v>
      </c>
      <c r="I1248" s="9">
        <v>0.0</v>
      </c>
      <c r="J1248" s="9">
        <v>15.0</v>
      </c>
      <c r="K1248" s="9">
        <v>90.0</v>
      </c>
      <c r="L1248" s="9">
        <v>3.5</v>
      </c>
      <c r="M1248" s="9">
        <v>52.5</v>
      </c>
      <c r="N1248" s="9">
        <v>37.5</v>
      </c>
      <c r="O1248" s="12">
        <v>46054.0</v>
      </c>
      <c r="P1248" s="16"/>
    </row>
    <row r="1249">
      <c r="A1249" s="9">
        <v>2.503000216E9</v>
      </c>
      <c r="B1249" s="10" t="s">
        <v>22</v>
      </c>
      <c r="C1249" s="9">
        <v>95.0</v>
      </c>
      <c r="D1249" s="10" t="s">
        <v>221</v>
      </c>
      <c r="E1249" s="9">
        <v>5.0</v>
      </c>
      <c r="F1249" s="9">
        <v>6.0</v>
      </c>
      <c r="G1249" s="9">
        <v>36.0</v>
      </c>
      <c r="H1249" s="9">
        <v>0.0</v>
      </c>
      <c r="I1249" s="9">
        <v>0.0</v>
      </c>
      <c r="J1249" s="9">
        <v>6.0</v>
      </c>
      <c r="K1249" s="9">
        <v>36.0</v>
      </c>
      <c r="L1249" s="9">
        <v>3.5</v>
      </c>
      <c r="M1249" s="9">
        <v>21.0</v>
      </c>
      <c r="N1249" s="9">
        <v>15.0</v>
      </c>
      <c r="O1249" s="12">
        <v>46054.0</v>
      </c>
      <c r="P1249" s="16"/>
    </row>
    <row r="1250">
      <c r="A1250" s="9">
        <v>2.503000216E9</v>
      </c>
      <c r="B1250" s="10" t="s">
        <v>22</v>
      </c>
      <c r="C1250" s="9">
        <v>96.0</v>
      </c>
      <c r="D1250" s="10" t="s">
        <v>212</v>
      </c>
      <c r="E1250" s="9">
        <v>5.0</v>
      </c>
      <c r="F1250" s="9">
        <v>113.0</v>
      </c>
      <c r="G1250" s="9">
        <v>565.0</v>
      </c>
      <c r="H1250" s="9">
        <v>0.0</v>
      </c>
      <c r="I1250" s="9">
        <v>0.0</v>
      </c>
      <c r="J1250" s="9">
        <v>113.0</v>
      </c>
      <c r="K1250" s="9">
        <v>565.0</v>
      </c>
      <c r="L1250" s="9">
        <v>2.93</v>
      </c>
      <c r="M1250" s="9">
        <v>331.09</v>
      </c>
      <c r="N1250" s="9">
        <v>233.91</v>
      </c>
      <c r="O1250" s="12">
        <v>46054.0</v>
      </c>
      <c r="P1250" s="16"/>
    </row>
    <row r="1251">
      <c r="A1251" s="9">
        <v>2.503000216E9</v>
      </c>
      <c r="B1251" s="10" t="s">
        <v>22</v>
      </c>
      <c r="C1251" s="9">
        <v>97.0</v>
      </c>
      <c r="D1251" s="10" t="s">
        <v>115</v>
      </c>
      <c r="E1251" s="9">
        <v>5.0</v>
      </c>
      <c r="F1251" s="9">
        <v>52.0</v>
      </c>
      <c r="G1251" s="9">
        <v>260.0</v>
      </c>
      <c r="H1251" s="9">
        <v>0.0</v>
      </c>
      <c r="I1251" s="9">
        <v>0.0</v>
      </c>
      <c r="J1251" s="9">
        <v>52.0</v>
      </c>
      <c r="K1251" s="9">
        <v>260.0</v>
      </c>
      <c r="L1251" s="9">
        <v>2.93</v>
      </c>
      <c r="M1251" s="9">
        <v>152.36</v>
      </c>
      <c r="N1251" s="9">
        <v>107.64</v>
      </c>
      <c r="O1251" s="12">
        <v>46054.0</v>
      </c>
      <c r="P1251" s="16"/>
    </row>
    <row r="1252">
      <c r="A1252" s="9">
        <v>2.503000216E9</v>
      </c>
      <c r="B1252" s="10" t="s">
        <v>22</v>
      </c>
      <c r="C1252" s="9">
        <v>99.0</v>
      </c>
      <c r="D1252" s="10" t="s">
        <v>213</v>
      </c>
      <c r="E1252" s="9">
        <v>3.0</v>
      </c>
      <c r="F1252" s="9">
        <v>26.0</v>
      </c>
      <c r="G1252" s="9">
        <v>78.0</v>
      </c>
      <c r="H1252" s="9">
        <v>0.0</v>
      </c>
      <c r="I1252" s="9">
        <v>0.0</v>
      </c>
      <c r="J1252" s="9">
        <v>26.0</v>
      </c>
      <c r="K1252" s="9">
        <v>78.0</v>
      </c>
      <c r="L1252" s="9">
        <v>2.25</v>
      </c>
      <c r="M1252" s="9">
        <v>58.5</v>
      </c>
      <c r="N1252" s="9">
        <v>19.5</v>
      </c>
      <c r="O1252" s="12">
        <v>46054.0</v>
      </c>
      <c r="P1252" s="16"/>
    </row>
    <row r="1253">
      <c r="A1253" s="9">
        <v>2.503000216E9</v>
      </c>
      <c r="B1253" s="10" t="s">
        <v>22</v>
      </c>
      <c r="C1253" s="9">
        <v>100.0</v>
      </c>
      <c r="D1253" s="10" t="s">
        <v>230</v>
      </c>
      <c r="E1253" s="9">
        <v>5.0</v>
      </c>
      <c r="F1253" s="9">
        <v>1.0</v>
      </c>
      <c r="G1253" s="9">
        <v>5.0</v>
      </c>
      <c r="H1253" s="9">
        <v>0.0</v>
      </c>
      <c r="I1253" s="9">
        <v>0.0</v>
      </c>
      <c r="J1253" s="9">
        <v>1.0</v>
      </c>
      <c r="K1253" s="9">
        <v>5.0</v>
      </c>
      <c r="L1253" s="9">
        <v>2.44</v>
      </c>
      <c r="M1253" s="9">
        <v>2.44</v>
      </c>
      <c r="N1253" s="9">
        <v>2.56</v>
      </c>
      <c r="O1253" s="12">
        <v>46054.0</v>
      </c>
      <c r="P1253" s="16"/>
    </row>
    <row r="1254">
      <c r="A1254" s="9">
        <v>2.503000216E9</v>
      </c>
      <c r="B1254" s="10" t="s">
        <v>22</v>
      </c>
      <c r="C1254" s="9">
        <v>102.0</v>
      </c>
      <c r="D1254" s="10" t="s">
        <v>222</v>
      </c>
      <c r="E1254" s="9">
        <v>15.0</v>
      </c>
      <c r="F1254" s="9">
        <v>3.0</v>
      </c>
      <c r="G1254" s="9">
        <v>45.0</v>
      </c>
      <c r="H1254" s="9">
        <v>0.0</v>
      </c>
      <c r="I1254" s="9">
        <v>0.0</v>
      </c>
      <c r="J1254" s="9">
        <v>3.0</v>
      </c>
      <c r="K1254" s="9">
        <v>45.0</v>
      </c>
      <c r="L1254" s="9">
        <v>8.0</v>
      </c>
      <c r="M1254" s="9">
        <v>24.0</v>
      </c>
      <c r="N1254" s="9">
        <v>21.0</v>
      </c>
      <c r="O1254" s="12">
        <v>46054.0</v>
      </c>
      <c r="P1254" s="16"/>
    </row>
    <row r="1255">
      <c r="A1255" s="9">
        <v>2.503000216E9</v>
      </c>
      <c r="B1255" s="10" t="s">
        <v>22</v>
      </c>
      <c r="C1255" s="9">
        <v>111.0</v>
      </c>
      <c r="D1255" s="10" t="s">
        <v>215</v>
      </c>
      <c r="E1255" s="9">
        <v>1.0</v>
      </c>
      <c r="F1255" s="9">
        <v>30.0</v>
      </c>
      <c r="G1255" s="9">
        <v>30.0</v>
      </c>
      <c r="H1255" s="9">
        <v>0.0</v>
      </c>
      <c r="I1255" s="9">
        <v>0.0</v>
      </c>
      <c r="J1255" s="9">
        <v>30.0</v>
      </c>
      <c r="K1255" s="9">
        <v>30.0</v>
      </c>
      <c r="L1255" s="9">
        <v>0.68</v>
      </c>
      <c r="M1255" s="9">
        <v>20.4</v>
      </c>
      <c r="N1255" s="9">
        <v>9.6</v>
      </c>
      <c r="O1255" s="12">
        <v>46054.0</v>
      </c>
      <c r="P1255" s="16"/>
    </row>
    <row r="1256">
      <c r="A1256" s="9">
        <v>2.503000216E9</v>
      </c>
      <c r="B1256" s="10" t="s">
        <v>22</v>
      </c>
      <c r="C1256" s="9">
        <v>112.0</v>
      </c>
      <c r="D1256" s="10" t="s">
        <v>216</v>
      </c>
      <c r="E1256" s="9">
        <v>5.0</v>
      </c>
      <c r="F1256" s="9">
        <v>2.0</v>
      </c>
      <c r="G1256" s="9">
        <v>10.0</v>
      </c>
      <c r="H1256" s="9">
        <v>0.0</v>
      </c>
      <c r="I1256" s="9">
        <v>0.0</v>
      </c>
      <c r="J1256" s="9">
        <v>2.0</v>
      </c>
      <c r="K1256" s="9">
        <v>10.0</v>
      </c>
      <c r="L1256" s="9">
        <v>2.18</v>
      </c>
      <c r="M1256" s="9">
        <v>4.36</v>
      </c>
      <c r="N1256" s="9">
        <v>5.64</v>
      </c>
      <c r="O1256" s="12">
        <v>46054.0</v>
      </c>
      <c r="P1256" s="16"/>
    </row>
    <row r="1257">
      <c r="A1257" s="9">
        <v>2.503000216E9</v>
      </c>
      <c r="B1257" s="10" t="s">
        <v>22</v>
      </c>
      <c r="C1257" s="9">
        <v>114.0</v>
      </c>
      <c r="D1257" s="10" t="s">
        <v>218</v>
      </c>
      <c r="E1257" s="9">
        <v>5.0</v>
      </c>
      <c r="F1257" s="9">
        <v>45.0</v>
      </c>
      <c r="G1257" s="9">
        <v>225.0</v>
      </c>
      <c r="H1257" s="9">
        <v>0.0</v>
      </c>
      <c r="I1257" s="9">
        <v>0.0</v>
      </c>
      <c r="J1257" s="9">
        <v>45.0</v>
      </c>
      <c r="K1257" s="9">
        <v>225.0</v>
      </c>
      <c r="L1257" s="9">
        <v>2.25</v>
      </c>
      <c r="M1257" s="9">
        <v>101.25</v>
      </c>
      <c r="N1257" s="9">
        <v>123.75</v>
      </c>
      <c r="O1257" s="12">
        <v>46054.0</v>
      </c>
      <c r="P1257" s="16"/>
    </row>
    <row r="1258">
      <c r="A1258" s="9">
        <v>2.503000216E9</v>
      </c>
      <c r="B1258" s="10" t="s">
        <v>22</v>
      </c>
      <c r="C1258" s="9">
        <v>118.0</v>
      </c>
      <c r="D1258" s="10" t="s">
        <v>223</v>
      </c>
      <c r="E1258" s="9">
        <v>3.0</v>
      </c>
      <c r="F1258" s="9">
        <v>17.0</v>
      </c>
      <c r="G1258" s="9">
        <v>51.0</v>
      </c>
      <c r="H1258" s="9">
        <v>0.0</v>
      </c>
      <c r="I1258" s="9">
        <v>0.0</v>
      </c>
      <c r="J1258" s="9">
        <v>17.0</v>
      </c>
      <c r="K1258" s="9">
        <v>51.0</v>
      </c>
      <c r="L1258" s="9">
        <v>1.37</v>
      </c>
      <c r="M1258" s="9">
        <v>23.29</v>
      </c>
      <c r="N1258" s="9">
        <v>27.71</v>
      </c>
      <c r="O1258" s="12">
        <v>46054.0</v>
      </c>
      <c r="P1258" s="16"/>
    </row>
    <row r="1259">
      <c r="A1259" s="9">
        <v>2.503000216E9</v>
      </c>
      <c r="B1259" s="10" t="s">
        <v>22</v>
      </c>
      <c r="C1259" s="9">
        <v>119.0</v>
      </c>
      <c r="D1259" s="10" t="s">
        <v>224</v>
      </c>
      <c r="E1259" s="9">
        <v>5.0</v>
      </c>
      <c r="F1259" s="9">
        <v>117.0</v>
      </c>
      <c r="G1259" s="9">
        <v>585.0</v>
      </c>
      <c r="H1259" s="9">
        <v>0.0</v>
      </c>
      <c r="I1259" s="9">
        <v>0.0</v>
      </c>
      <c r="J1259" s="9">
        <v>117.0</v>
      </c>
      <c r="K1259" s="9">
        <v>585.0</v>
      </c>
      <c r="L1259" s="9">
        <v>4.08</v>
      </c>
      <c r="M1259" s="9">
        <v>477.36</v>
      </c>
      <c r="N1259" s="9">
        <v>107.64</v>
      </c>
      <c r="O1259" s="12">
        <v>46054.0</v>
      </c>
      <c r="P1259" s="16"/>
    </row>
    <row r="1260">
      <c r="A1260" s="9">
        <v>2.503000216E9</v>
      </c>
      <c r="B1260" s="10" t="s">
        <v>22</v>
      </c>
      <c r="C1260" s="9">
        <v>121.0</v>
      </c>
      <c r="D1260" s="10" t="s">
        <v>225</v>
      </c>
      <c r="E1260" s="9">
        <v>5.0</v>
      </c>
      <c r="F1260" s="9">
        <v>1.0</v>
      </c>
      <c r="G1260" s="9">
        <v>5.0</v>
      </c>
      <c r="H1260" s="9">
        <v>0.0</v>
      </c>
      <c r="I1260" s="9">
        <v>0.0</v>
      </c>
      <c r="J1260" s="9">
        <v>1.0</v>
      </c>
      <c r="K1260" s="9">
        <v>5.0</v>
      </c>
      <c r="L1260" s="9">
        <v>2.67</v>
      </c>
      <c r="M1260" s="9">
        <v>2.67</v>
      </c>
      <c r="N1260" s="9">
        <v>2.33</v>
      </c>
      <c r="O1260" s="12">
        <v>46054.0</v>
      </c>
      <c r="P1260" s="16"/>
    </row>
    <row r="1261">
      <c r="A1261" s="9">
        <v>2.503000216E9</v>
      </c>
      <c r="B1261" s="10" t="s">
        <v>22</v>
      </c>
      <c r="C1261" s="9">
        <v>126.0</v>
      </c>
      <c r="D1261" s="10" t="s">
        <v>227</v>
      </c>
      <c r="E1261" s="9">
        <v>1.0</v>
      </c>
      <c r="F1261" s="9">
        <v>186.0</v>
      </c>
      <c r="G1261" s="9">
        <v>186.0</v>
      </c>
      <c r="H1261" s="9">
        <v>0.0</v>
      </c>
      <c r="I1261" s="9">
        <v>0.0</v>
      </c>
      <c r="J1261" s="9">
        <v>186.0</v>
      </c>
      <c r="K1261" s="9">
        <v>186.0</v>
      </c>
      <c r="L1261" s="9">
        <v>0.45</v>
      </c>
      <c r="M1261" s="9">
        <v>83.7</v>
      </c>
      <c r="N1261" s="9">
        <v>102.3</v>
      </c>
      <c r="O1261" s="12">
        <v>46054.0</v>
      </c>
      <c r="P1261" s="16"/>
    </row>
    <row r="1262">
      <c r="A1262" s="9">
        <v>2.503000216E9</v>
      </c>
      <c r="B1262" s="10" t="s">
        <v>22</v>
      </c>
      <c r="C1262" s="9">
        <v>127.0</v>
      </c>
      <c r="D1262" s="10" t="s">
        <v>228</v>
      </c>
      <c r="E1262" s="9">
        <v>4.0</v>
      </c>
      <c r="F1262" s="9">
        <v>4.0</v>
      </c>
      <c r="G1262" s="9">
        <v>16.0</v>
      </c>
      <c r="H1262" s="9">
        <v>0.0</v>
      </c>
      <c r="I1262" s="9">
        <v>0.0</v>
      </c>
      <c r="J1262" s="9">
        <v>4.0</v>
      </c>
      <c r="K1262" s="9">
        <v>16.0</v>
      </c>
      <c r="L1262" s="9">
        <v>2.35</v>
      </c>
      <c r="M1262" s="9">
        <v>9.4</v>
      </c>
      <c r="N1262" s="9">
        <v>6.6</v>
      </c>
      <c r="O1262" s="12">
        <v>46054.0</v>
      </c>
      <c r="P1262" s="16"/>
    </row>
    <row r="1263">
      <c r="A1263" s="9">
        <v>2.503000216E9</v>
      </c>
      <c r="B1263" s="10" t="s">
        <v>22</v>
      </c>
      <c r="C1263" s="9">
        <v>130.0</v>
      </c>
      <c r="D1263" s="10" t="s">
        <v>243</v>
      </c>
      <c r="E1263" s="9">
        <v>3.0</v>
      </c>
      <c r="F1263" s="9">
        <v>14.0</v>
      </c>
      <c r="G1263" s="9">
        <v>42.0</v>
      </c>
      <c r="H1263" s="9">
        <v>0.0</v>
      </c>
      <c r="I1263" s="9">
        <v>0.0</v>
      </c>
      <c r="J1263" s="9">
        <v>14.0</v>
      </c>
      <c r="K1263" s="9">
        <v>42.0</v>
      </c>
      <c r="L1263" s="9">
        <v>1.75</v>
      </c>
      <c r="M1263" s="9">
        <v>24.5</v>
      </c>
      <c r="N1263" s="9">
        <v>17.5</v>
      </c>
      <c r="O1263" s="12">
        <v>46054.0</v>
      </c>
      <c r="P1263" s="16"/>
    </row>
    <row r="1264">
      <c r="A1264" s="9">
        <v>2.503000216E9</v>
      </c>
      <c r="B1264" s="10" t="s">
        <v>22</v>
      </c>
      <c r="C1264" s="9">
        <v>135.0</v>
      </c>
      <c r="D1264" s="10" t="s">
        <v>244</v>
      </c>
      <c r="E1264" s="9">
        <v>3.0</v>
      </c>
      <c r="F1264" s="9">
        <v>12.0</v>
      </c>
      <c r="G1264" s="9">
        <v>36.0</v>
      </c>
      <c r="H1264" s="9">
        <v>0.0</v>
      </c>
      <c r="I1264" s="9">
        <v>0.0</v>
      </c>
      <c r="J1264" s="9">
        <v>12.0</v>
      </c>
      <c r="K1264" s="9">
        <v>36.0</v>
      </c>
      <c r="L1264" s="9">
        <v>1.79</v>
      </c>
      <c r="M1264" s="9">
        <v>21.48</v>
      </c>
      <c r="N1264" s="9">
        <v>14.52</v>
      </c>
      <c r="O1264" s="12">
        <v>46054.0</v>
      </c>
      <c r="P1264" s="16"/>
    </row>
    <row r="1265">
      <c r="A1265" s="9">
        <v>2.503000216E9</v>
      </c>
      <c r="B1265" s="10" t="s">
        <v>22</v>
      </c>
      <c r="C1265" s="9">
        <v>136.0</v>
      </c>
      <c r="D1265" s="10" t="s">
        <v>245</v>
      </c>
      <c r="E1265" s="9">
        <v>10.0</v>
      </c>
      <c r="F1265" s="9">
        <v>4.0</v>
      </c>
      <c r="G1265" s="9">
        <v>40.0</v>
      </c>
      <c r="H1265" s="9">
        <v>0.0</v>
      </c>
      <c r="I1265" s="9">
        <v>0.0</v>
      </c>
      <c r="J1265" s="9">
        <v>4.0</v>
      </c>
      <c r="K1265" s="9">
        <v>40.0</v>
      </c>
      <c r="L1265" s="9">
        <v>7.2</v>
      </c>
      <c r="M1265" s="9">
        <v>28.8</v>
      </c>
      <c r="N1265" s="9">
        <v>11.2</v>
      </c>
      <c r="O1265" s="12">
        <v>46054.0</v>
      </c>
      <c r="P1265" s="16"/>
    </row>
    <row r="1266">
      <c r="A1266" s="9">
        <v>2.503000216E9</v>
      </c>
      <c r="B1266" s="10" t="s">
        <v>22</v>
      </c>
      <c r="C1266" s="9">
        <v>137.0</v>
      </c>
      <c r="D1266" s="2" t="s">
        <v>129</v>
      </c>
      <c r="E1266" s="9">
        <v>5.0</v>
      </c>
      <c r="F1266" s="9">
        <v>4.0</v>
      </c>
      <c r="G1266" s="9">
        <v>20.0</v>
      </c>
      <c r="H1266" s="9">
        <v>0.0</v>
      </c>
      <c r="I1266" s="9">
        <v>0.0</v>
      </c>
      <c r="J1266" s="9">
        <v>4.0</v>
      </c>
      <c r="K1266" s="9">
        <v>20.0</v>
      </c>
      <c r="L1266" s="9">
        <v>2.93</v>
      </c>
      <c r="M1266" s="9">
        <v>11.72</v>
      </c>
      <c r="N1266" s="9">
        <v>8.28</v>
      </c>
      <c r="O1266" s="12">
        <v>46054.0</v>
      </c>
      <c r="P1266" s="16"/>
    </row>
    <row r="1267">
      <c r="A1267" s="9">
        <v>2.503000217E9</v>
      </c>
      <c r="B1267" s="10" t="s">
        <v>27</v>
      </c>
      <c r="C1267" s="9">
        <v>1.0</v>
      </c>
      <c r="D1267" s="10" t="s">
        <v>129</v>
      </c>
      <c r="E1267" s="9">
        <v>5.0</v>
      </c>
      <c r="F1267" s="9">
        <v>91.0</v>
      </c>
      <c r="G1267" s="9">
        <v>637.0</v>
      </c>
      <c r="H1267" s="9">
        <v>0.0</v>
      </c>
      <c r="I1267" s="9">
        <v>0.0</v>
      </c>
      <c r="J1267" s="9">
        <v>91.0</v>
      </c>
      <c r="K1267" s="9">
        <v>637.0</v>
      </c>
      <c r="L1267" s="9">
        <v>2.93</v>
      </c>
      <c r="M1267" s="9">
        <v>266.63</v>
      </c>
      <c r="N1267" s="9">
        <v>370.37</v>
      </c>
      <c r="O1267" s="12">
        <v>46054.0</v>
      </c>
      <c r="P1267" s="16"/>
    </row>
    <row r="1268">
      <c r="A1268" s="9">
        <v>2.503000217E9</v>
      </c>
      <c r="B1268" s="10" t="s">
        <v>27</v>
      </c>
      <c r="C1268" s="9">
        <v>2.0</v>
      </c>
      <c r="D1268" s="10" t="s">
        <v>74</v>
      </c>
      <c r="E1268" s="9">
        <v>1.0</v>
      </c>
      <c r="F1268" s="9">
        <v>273.0</v>
      </c>
      <c r="G1268" s="9">
        <v>273.0</v>
      </c>
      <c r="H1268" s="9">
        <v>0.0</v>
      </c>
      <c r="I1268" s="9">
        <v>0.0</v>
      </c>
      <c r="J1268" s="9">
        <v>273.0</v>
      </c>
      <c r="K1268" s="9">
        <v>273.0</v>
      </c>
      <c r="L1268" s="9">
        <v>0.28</v>
      </c>
      <c r="M1268" s="9">
        <v>76.44</v>
      </c>
      <c r="N1268" s="9">
        <v>196.56</v>
      </c>
      <c r="O1268" s="12">
        <v>46054.0</v>
      </c>
      <c r="P1268" s="16"/>
    </row>
    <row r="1269">
      <c r="A1269" s="9">
        <v>2.503000217E9</v>
      </c>
      <c r="B1269" s="10" t="s">
        <v>27</v>
      </c>
      <c r="C1269" s="9">
        <v>10.0</v>
      </c>
      <c r="D1269" s="10" t="s">
        <v>135</v>
      </c>
      <c r="E1269" s="9">
        <v>8.0</v>
      </c>
      <c r="F1269" s="9">
        <v>1.0</v>
      </c>
      <c r="G1269" s="9">
        <v>10.0</v>
      </c>
      <c r="H1269" s="9">
        <v>0.0</v>
      </c>
      <c r="I1269" s="9">
        <v>0.0</v>
      </c>
      <c r="J1269" s="9">
        <v>1.0</v>
      </c>
      <c r="K1269" s="9">
        <v>10.0</v>
      </c>
      <c r="L1269" s="9">
        <v>5.83</v>
      </c>
      <c r="M1269" s="9">
        <v>5.83</v>
      </c>
      <c r="N1269" s="9">
        <v>4.17</v>
      </c>
      <c r="O1269" s="12">
        <v>46054.0</v>
      </c>
      <c r="P1269" s="16"/>
    </row>
    <row r="1270">
      <c r="A1270" s="9">
        <v>2.503000217E9</v>
      </c>
      <c r="B1270" s="10" t="s">
        <v>27</v>
      </c>
      <c r="C1270" s="9">
        <v>12.0</v>
      </c>
      <c r="D1270" s="10" t="s">
        <v>136</v>
      </c>
      <c r="E1270" s="9">
        <v>1.0</v>
      </c>
      <c r="F1270" s="9">
        <v>12.0</v>
      </c>
      <c r="G1270" s="9">
        <v>24.0</v>
      </c>
      <c r="H1270" s="9">
        <v>0.0</v>
      </c>
      <c r="I1270" s="9">
        <v>0.0</v>
      </c>
      <c r="J1270" s="9">
        <v>12.0</v>
      </c>
      <c r="K1270" s="9">
        <v>24.0</v>
      </c>
      <c r="L1270" s="9">
        <v>0.6</v>
      </c>
      <c r="M1270" s="9">
        <v>7.2</v>
      </c>
      <c r="N1270" s="9">
        <v>16.8</v>
      </c>
      <c r="O1270" s="12">
        <v>46054.0</v>
      </c>
      <c r="P1270" s="16"/>
    </row>
    <row r="1271">
      <c r="A1271" s="9">
        <v>2.503000217E9</v>
      </c>
      <c r="B1271" s="10" t="s">
        <v>27</v>
      </c>
      <c r="C1271" s="9">
        <v>19.0</v>
      </c>
      <c r="D1271" s="10" t="s">
        <v>72</v>
      </c>
      <c r="E1271" s="9">
        <v>3.0</v>
      </c>
      <c r="F1271" s="9">
        <v>33.0</v>
      </c>
      <c r="G1271" s="9">
        <v>99.0</v>
      </c>
      <c r="H1271" s="9">
        <v>0.0</v>
      </c>
      <c r="I1271" s="9">
        <v>0.0</v>
      </c>
      <c r="J1271" s="9">
        <v>33.0</v>
      </c>
      <c r="K1271" s="9">
        <v>99.0</v>
      </c>
      <c r="L1271" s="9">
        <v>1.79</v>
      </c>
      <c r="M1271" s="9">
        <v>59.07</v>
      </c>
      <c r="N1271" s="9">
        <v>39.93</v>
      </c>
      <c r="O1271" s="12">
        <v>46054.0</v>
      </c>
      <c r="P1271" s="16"/>
    </row>
    <row r="1272">
      <c r="A1272" s="9">
        <v>2.503000217E9</v>
      </c>
      <c r="B1272" s="10" t="s">
        <v>27</v>
      </c>
      <c r="C1272" s="9">
        <v>21.0</v>
      </c>
      <c r="D1272" s="10" t="s">
        <v>79</v>
      </c>
      <c r="E1272" s="9">
        <v>3.0</v>
      </c>
      <c r="F1272" s="9">
        <v>72.0</v>
      </c>
      <c r="G1272" s="9">
        <v>288.0</v>
      </c>
      <c r="H1272" s="9">
        <v>0.0</v>
      </c>
      <c r="I1272" s="9">
        <v>0.0</v>
      </c>
      <c r="J1272" s="9">
        <v>72.0</v>
      </c>
      <c r="K1272" s="9">
        <v>288.0</v>
      </c>
      <c r="L1272" s="9">
        <v>2.25</v>
      </c>
      <c r="M1272" s="9">
        <v>162.0</v>
      </c>
      <c r="N1272" s="9">
        <v>126.0</v>
      </c>
      <c r="O1272" s="12">
        <v>46054.0</v>
      </c>
      <c r="P1272" s="16"/>
    </row>
    <row r="1273">
      <c r="A1273" s="9">
        <v>2.503000217E9</v>
      </c>
      <c r="B1273" s="10" t="s">
        <v>27</v>
      </c>
      <c r="C1273" s="9">
        <v>32.0</v>
      </c>
      <c r="D1273" s="10" t="s">
        <v>150</v>
      </c>
      <c r="E1273" s="9">
        <v>3.0</v>
      </c>
      <c r="F1273" s="9">
        <v>12.0</v>
      </c>
      <c r="G1273" s="9">
        <v>48.0</v>
      </c>
      <c r="H1273" s="9">
        <v>0.0</v>
      </c>
      <c r="I1273" s="9">
        <v>0.0</v>
      </c>
      <c r="J1273" s="9">
        <v>12.0</v>
      </c>
      <c r="K1273" s="9">
        <v>48.0</v>
      </c>
      <c r="L1273" s="9">
        <v>2.29</v>
      </c>
      <c r="M1273" s="9">
        <v>27.48</v>
      </c>
      <c r="N1273" s="9">
        <v>20.52</v>
      </c>
      <c r="O1273" s="12">
        <v>46054.0</v>
      </c>
      <c r="P1273" s="16"/>
    </row>
    <row r="1274">
      <c r="A1274" s="9">
        <v>2.503000217E9</v>
      </c>
      <c r="B1274" s="10" t="s">
        <v>27</v>
      </c>
      <c r="C1274" s="9">
        <v>33.0</v>
      </c>
      <c r="D1274" s="10" t="s">
        <v>151</v>
      </c>
      <c r="E1274" s="9">
        <v>4.0</v>
      </c>
      <c r="F1274" s="9">
        <v>2.0</v>
      </c>
      <c r="G1274" s="9">
        <v>10.0</v>
      </c>
      <c r="H1274" s="9">
        <v>0.0</v>
      </c>
      <c r="I1274" s="9">
        <v>0.0</v>
      </c>
      <c r="J1274" s="9">
        <v>2.0</v>
      </c>
      <c r="K1274" s="9">
        <v>10.0</v>
      </c>
      <c r="L1274" s="9">
        <v>3.13</v>
      </c>
      <c r="M1274" s="9">
        <v>6.26</v>
      </c>
      <c r="N1274" s="9">
        <v>3.74</v>
      </c>
      <c r="O1274" s="12">
        <v>46054.0</v>
      </c>
      <c r="P1274" s="16"/>
    </row>
    <row r="1275">
      <c r="A1275" s="9">
        <v>2.503000217E9</v>
      </c>
      <c r="B1275" s="10" t="s">
        <v>27</v>
      </c>
      <c r="C1275" s="9">
        <v>36.0</v>
      </c>
      <c r="D1275" s="10" t="s">
        <v>153</v>
      </c>
      <c r="E1275" s="9">
        <v>4.0</v>
      </c>
      <c r="F1275" s="9">
        <v>5.0</v>
      </c>
      <c r="G1275" s="9">
        <v>20.0</v>
      </c>
      <c r="H1275" s="9">
        <v>0.0</v>
      </c>
      <c r="I1275" s="9">
        <v>0.0</v>
      </c>
      <c r="J1275" s="9">
        <v>5.0</v>
      </c>
      <c r="K1275" s="9">
        <v>20.0</v>
      </c>
      <c r="L1275" s="9">
        <v>1.6</v>
      </c>
      <c r="M1275" s="9">
        <v>8.0</v>
      </c>
      <c r="N1275" s="9">
        <v>12.0</v>
      </c>
      <c r="O1275" s="12">
        <v>46054.0</v>
      </c>
      <c r="P1275" s="16"/>
    </row>
    <row r="1276">
      <c r="A1276" s="9">
        <v>2.503000217E9</v>
      </c>
      <c r="B1276" s="10" t="s">
        <v>27</v>
      </c>
      <c r="C1276" s="9">
        <v>38.0</v>
      </c>
      <c r="D1276" s="10" t="s">
        <v>155</v>
      </c>
      <c r="E1276" s="9">
        <v>7.0</v>
      </c>
      <c r="F1276" s="9">
        <v>2.0</v>
      </c>
      <c r="G1276" s="9">
        <v>16.0</v>
      </c>
      <c r="H1276" s="9">
        <v>0.0</v>
      </c>
      <c r="I1276" s="9">
        <v>0.0</v>
      </c>
      <c r="J1276" s="9">
        <v>2.0</v>
      </c>
      <c r="K1276" s="9">
        <v>16.0</v>
      </c>
      <c r="L1276" s="9">
        <v>5.18</v>
      </c>
      <c r="M1276" s="9">
        <v>10.36</v>
      </c>
      <c r="N1276" s="9">
        <v>5.64</v>
      </c>
      <c r="O1276" s="12">
        <v>46054.0</v>
      </c>
      <c r="P1276" s="16"/>
    </row>
    <row r="1277">
      <c r="A1277" s="9">
        <v>2.503000217E9</v>
      </c>
      <c r="B1277" s="10" t="s">
        <v>27</v>
      </c>
      <c r="C1277" s="9">
        <v>52.0</v>
      </c>
      <c r="D1277" s="10" t="s">
        <v>174</v>
      </c>
      <c r="E1277" s="9">
        <v>5.0</v>
      </c>
      <c r="F1277" s="9">
        <v>113.0</v>
      </c>
      <c r="G1277" s="9">
        <v>678.0</v>
      </c>
      <c r="H1277" s="9">
        <v>0.0</v>
      </c>
      <c r="I1277" s="9">
        <v>0.0</v>
      </c>
      <c r="J1277" s="9">
        <v>113.0</v>
      </c>
      <c r="K1277" s="9">
        <v>678.0</v>
      </c>
      <c r="L1277" s="9">
        <v>3.0</v>
      </c>
      <c r="M1277" s="9">
        <v>339.0</v>
      </c>
      <c r="N1277" s="9">
        <v>339.0</v>
      </c>
      <c r="O1277" s="12">
        <v>46054.0</v>
      </c>
      <c r="P1277" s="16"/>
    </row>
    <row r="1278">
      <c r="A1278" s="9">
        <v>2.503000217E9</v>
      </c>
      <c r="B1278" s="10" t="s">
        <v>27</v>
      </c>
      <c r="C1278" s="9">
        <v>61.0</v>
      </c>
      <c r="D1278" s="10" t="s">
        <v>184</v>
      </c>
      <c r="E1278" s="9">
        <v>20.0</v>
      </c>
      <c r="F1278" s="9">
        <v>3.0</v>
      </c>
      <c r="G1278" s="9">
        <v>60.0</v>
      </c>
      <c r="H1278" s="9">
        <v>0.0</v>
      </c>
      <c r="I1278" s="9">
        <v>0.0</v>
      </c>
      <c r="J1278" s="9">
        <v>3.0</v>
      </c>
      <c r="K1278" s="9">
        <v>60.0</v>
      </c>
      <c r="L1278" s="9">
        <v>14.16</v>
      </c>
      <c r="M1278" s="9">
        <v>42.48</v>
      </c>
      <c r="N1278" s="9">
        <v>17.52</v>
      </c>
      <c r="O1278" s="12">
        <v>46054.0</v>
      </c>
      <c r="P1278" s="16"/>
    </row>
    <row r="1279">
      <c r="A1279" s="9">
        <v>2.503000217E9</v>
      </c>
      <c r="B1279" s="10" t="s">
        <v>27</v>
      </c>
      <c r="C1279" s="9">
        <v>64.0</v>
      </c>
      <c r="D1279" s="10" t="s">
        <v>173</v>
      </c>
      <c r="E1279" s="9">
        <v>3.0</v>
      </c>
      <c r="F1279" s="9">
        <v>8.0</v>
      </c>
      <c r="G1279" s="9">
        <v>32.0</v>
      </c>
      <c r="H1279" s="9">
        <v>0.0</v>
      </c>
      <c r="I1279" s="9">
        <v>0.0</v>
      </c>
      <c r="J1279" s="9">
        <v>8.0</v>
      </c>
      <c r="K1279" s="9">
        <v>32.0</v>
      </c>
      <c r="L1279" s="9">
        <v>2.29</v>
      </c>
      <c r="M1279" s="9">
        <v>18.32</v>
      </c>
      <c r="N1279" s="9">
        <v>13.68</v>
      </c>
      <c r="O1279" s="12">
        <v>46054.0</v>
      </c>
      <c r="P1279" s="16"/>
    </row>
    <row r="1280">
      <c r="A1280" s="9">
        <v>2.503000217E9</v>
      </c>
      <c r="B1280" s="10" t="s">
        <v>27</v>
      </c>
      <c r="C1280" s="9">
        <v>65.0</v>
      </c>
      <c r="D1280" s="10" t="s">
        <v>187</v>
      </c>
      <c r="E1280" s="9">
        <v>3.0</v>
      </c>
      <c r="F1280" s="9">
        <v>72.0</v>
      </c>
      <c r="G1280" s="9">
        <v>216.0</v>
      </c>
      <c r="H1280" s="9">
        <v>0.0</v>
      </c>
      <c r="I1280" s="9">
        <v>0.0</v>
      </c>
      <c r="J1280" s="9">
        <v>72.0</v>
      </c>
      <c r="K1280" s="9">
        <v>216.0</v>
      </c>
      <c r="L1280" s="9">
        <v>0.91</v>
      </c>
      <c r="M1280" s="9">
        <v>65.52</v>
      </c>
      <c r="N1280" s="9">
        <v>150.48</v>
      </c>
      <c r="O1280" s="12">
        <v>46054.0</v>
      </c>
      <c r="P1280" s="16"/>
    </row>
    <row r="1281">
      <c r="A1281" s="9">
        <v>2.503000217E9</v>
      </c>
      <c r="B1281" s="10" t="s">
        <v>27</v>
      </c>
      <c r="C1281" s="9">
        <v>78.0</v>
      </c>
      <c r="D1281" s="10" t="s">
        <v>194</v>
      </c>
      <c r="E1281" s="9">
        <v>7.0</v>
      </c>
      <c r="F1281" s="9">
        <v>2.0</v>
      </c>
      <c r="G1281" s="9">
        <v>10.0</v>
      </c>
      <c r="H1281" s="9">
        <v>0.0</v>
      </c>
      <c r="I1281" s="9">
        <v>0.0</v>
      </c>
      <c r="J1281" s="9">
        <v>2.0</v>
      </c>
      <c r="K1281" s="9">
        <v>10.0</v>
      </c>
      <c r="L1281" s="9">
        <v>4.79</v>
      </c>
      <c r="M1281" s="9">
        <v>9.58</v>
      </c>
      <c r="N1281" s="9">
        <v>0.42</v>
      </c>
      <c r="O1281" s="12">
        <v>46054.0</v>
      </c>
      <c r="P1281" s="16"/>
    </row>
    <row r="1282">
      <c r="A1282" s="9">
        <v>2.503000217E9</v>
      </c>
      <c r="B1282" s="10" t="s">
        <v>27</v>
      </c>
      <c r="C1282" s="9">
        <v>83.0</v>
      </c>
      <c r="D1282" s="10" t="s">
        <v>180</v>
      </c>
      <c r="E1282" s="9">
        <v>7.0</v>
      </c>
      <c r="F1282" s="9">
        <v>15.0</v>
      </c>
      <c r="G1282" s="9">
        <v>105.0</v>
      </c>
      <c r="H1282" s="9">
        <v>0.0</v>
      </c>
      <c r="I1282" s="9">
        <v>0.0</v>
      </c>
      <c r="J1282" s="9">
        <v>15.0</v>
      </c>
      <c r="K1282" s="9">
        <v>105.0</v>
      </c>
      <c r="L1282" s="9">
        <v>6.0</v>
      </c>
      <c r="M1282" s="9">
        <v>90.0</v>
      </c>
      <c r="N1282" s="9">
        <v>15.0</v>
      </c>
      <c r="O1282" s="12">
        <v>46054.0</v>
      </c>
      <c r="P1282" s="16"/>
    </row>
    <row r="1283">
      <c r="A1283" s="9">
        <v>2.503000217E9</v>
      </c>
      <c r="B1283" s="10" t="s">
        <v>27</v>
      </c>
      <c r="C1283" s="9">
        <v>86.0</v>
      </c>
      <c r="D1283" s="10" t="s">
        <v>201</v>
      </c>
      <c r="E1283" s="9">
        <v>5.0</v>
      </c>
      <c r="F1283" s="9">
        <v>25.0</v>
      </c>
      <c r="G1283" s="9">
        <v>250.0</v>
      </c>
      <c r="H1283" s="9">
        <v>0.0</v>
      </c>
      <c r="I1283" s="9">
        <v>0.0</v>
      </c>
      <c r="J1283" s="9">
        <v>25.0</v>
      </c>
      <c r="K1283" s="9">
        <v>250.0</v>
      </c>
      <c r="L1283" s="9">
        <v>3.0</v>
      </c>
      <c r="M1283" s="9">
        <v>75.0</v>
      </c>
      <c r="N1283" s="9">
        <v>175.0</v>
      </c>
      <c r="O1283" s="12">
        <v>46054.0</v>
      </c>
      <c r="P1283" s="16"/>
    </row>
    <row r="1284">
      <c r="A1284" s="9">
        <v>2.503000217E9</v>
      </c>
      <c r="B1284" s="10" t="s">
        <v>27</v>
      </c>
      <c r="C1284" s="9">
        <v>88.0</v>
      </c>
      <c r="D1284" s="10" t="s">
        <v>203</v>
      </c>
      <c r="E1284" s="9">
        <v>3.0</v>
      </c>
      <c r="F1284" s="9">
        <v>7.0</v>
      </c>
      <c r="G1284" s="9">
        <v>21.0</v>
      </c>
      <c r="H1284" s="9">
        <v>0.0</v>
      </c>
      <c r="I1284" s="9">
        <v>0.0</v>
      </c>
      <c r="J1284" s="9">
        <v>7.0</v>
      </c>
      <c r="K1284" s="9">
        <v>21.0</v>
      </c>
      <c r="L1284" s="9">
        <v>1.8</v>
      </c>
      <c r="M1284" s="9">
        <v>12.6</v>
      </c>
      <c r="N1284" s="9">
        <v>8.4</v>
      </c>
      <c r="O1284" s="12">
        <v>46054.0</v>
      </c>
      <c r="P1284" s="16"/>
    </row>
    <row r="1285">
      <c r="A1285" s="9">
        <v>2.503000217E9</v>
      </c>
      <c r="B1285" s="10" t="s">
        <v>27</v>
      </c>
      <c r="C1285" s="9">
        <v>89.0</v>
      </c>
      <c r="D1285" s="10" t="s">
        <v>204</v>
      </c>
      <c r="E1285" s="9">
        <v>5.0</v>
      </c>
      <c r="F1285" s="9">
        <v>20.0</v>
      </c>
      <c r="G1285" s="9">
        <v>75.0</v>
      </c>
      <c r="H1285" s="9">
        <v>0.0</v>
      </c>
      <c r="I1285" s="9">
        <v>0.0</v>
      </c>
      <c r="J1285" s="9">
        <v>20.0</v>
      </c>
      <c r="K1285" s="9">
        <v>75.0</v>
      </c>
      <c r="L1285" s="9">
        <v>2.17</v>
      </c>
      <c r="M1285" s="9">
        <v>43.4</v>
      </c>
      <c r="N1285" s="9">
        <v>31.6</v>
      </c>
      <c r="O1285" s="12">
        <v>46054.0</v>
      </c>
      <c r="P1285" s="16"/>
    </row>
    <row r="1286">
      <c r="A1286" s="9">
        <v>2.503000217E9</v>
      </c>
      <c r="B1286" s="10" t="s">
        <v>27</v>
      </c>
      <c r="C1286" s="9">
        <v>96.0</v>
      </c>
      <c r="D1286" s="10" t="s">
        <v>212</v>
      </c>
      <c r="E1286" s="9">
        <v>5.0</v>
      </c>
      <c r="F1286" s="9">
        <v>53.0</v>
      </c>
      <c r="G1286" s="9">
        <v>371.0</v>
      </c>
      <c r="H1286" s="9">
        <v>0.0</v>
      </c>
      <c r="I1286" s="9">
        <v>0.0</v>
      </c>
      <c r="J1286" s="9">
        <v>53.0</v>
      </c>
      <c r="K1286" s="9">
        <v>371.0</v>
      </c>
      <c r="L1286" s="9">
        <v>2.93</v>
      </c>
      <c r="M1286" s="9">
        <v>155.29</v>
      </c>
      <c r="N1286" s="9">
        <v>215.71</v>
      </c>
      <c r="O1286" s="12">
        <v>46054.0</v>
      </c>
      <c r="P1286" s="16"/>
    </row>
    <row r="1287">
      <c r="A1287" s="9">
        <v>2.503000217E9</v>
      </c>
      <c r="B1287" s="10" t="s">
        <v>27</v>
      </c>
      <c r="C1287" s="9">
        <v>97.0</v>
      </c>
      <c r="D1287" s="10" t="s">
        <v>115</v>
      </c>
      <c r="E1287" s="9">
        <v>5.0</v>
      </c>
      <c r="F1287" s="9">
        <v>33.0</v>
      </c>
      <c r="G1287" s="9">
        <v>231.0</v>
      </c>
      <c r="H1287" s="9">
        <v>0.0</v>
      </c>
      <c r="I1287" s="9">
        <v>0.0</v>
      </c>
      <c r="J1287" s="9">
        <v>33.0</v>
      </c>
      <c r="K1287" s="9">
        <v>231.0</v>
      </c>
      <c r="L1287" s="9">
        <v>2.93</v>
      </c>
      <c r="M1287" s="9">
        <v>96.69</v>
      </c>
      <c r="N1287" s="9">
        <v>134.31</v>
      </c>
      <c r="O1287" s="12">
        <v>46054.0</v>
      </c>
      <c r="P1287" s="16"/>
    </row>
    <row r="1288">
      <c r="A1288" s="9">
        <v>2.503000217E9</v>
      </c>
      <c r="B1288" s="10" t="s">
        <v>27</v>
      </c>
      <c r="C1288" s="9">
        <v>100.0</v>
      </c>
      <c r="D1288" s="10" t="s">
        <v>230</v>
      </c>
      <c r="E1288" s="9">
        <v>5.0</v>
      </c>
      <c r="F1288" s="9">
        <v>18.0</v>
      </c>
      <c r="G1288" s="9">
        <v>113.0</v>
      </c>
      <c r="H1288" s="9">
        <v>0.0</v>
      </c>
      <c r="I1288" s="9">
        <v>0.0</v>
      </c>
      <c r="J1288" s="9">
        <v>18.0</v>
      </c>
      <c r="K1288" s="9">
        <v>113.0</v>
      </c>
      <c r="L1288" s="9">
        <v>2.44</v>
      </c>
      <c r="M1288" s="9">
        <v>43.92</v>
      </c>
      <c r="N1288" s="9">
        <v>69.08</v>
      </c>
      <c r="O1288" s="12">
        <v>46054.0</v>
      </c>
      <c r="P1288" s="16"/>
    </row>
    <row r="1289">
      <c r="A1289" s="9">
        <v>2.503000217E9</v>
      </c>
      <c r="B1289" s="10" t="s">
        <v>27</v>
      </c>
      <c r="C1289" s="9">
        <v>101.0</v>
      </c>
      <c r="D1289" s="10" t="s">
        <v>231</v>
      </c>
      <c r="E1289" s="9">
        <v>3.0</v>
      </c>
      <c r="F1289" s="9">
        <v>37.0</v>
      </c>
      <c r="G1289" s="9">
        <v>111.0</v>
      </c>
      <c r="H1289" s="9">
        <v>0.0</v>
      </c>
      <c r="I1289" s="9">
        <v>0.0</v>
      </c>
      <c r="J1289" s="9">
        <v>37.0</v>
      </c>
      <c r="K1289" s="9">
        <v>111.0</v>
      </c>
      <c r="L1289" s="9">
        <v>1.75</v>
      </c>
      <c r="M1289" s="9">
        <v>64.75</v>
      </c>
      <c r="N1289" s="9">
        <v>46.25</v>
      </c>
      <c r="O1289" s="12">
        <v>46054.0</v>
      </c>
      <c r="P1289" s="16"/>
    </row>
    <row r="1290">
      <c r="A1290" s="9">
        <v>2.503000217E9</v>
      </c>
      <c r="B1290" s="10" t="s">
        <v>27</v>
      </c>
      <c r="C1290" s="9">
        <v>103.0</v>
      </c>
      <c r="D1290" s="10" t="s">
        <v>232</v>
      </c>
      <c r="E1290" s="9">
        <v>2.0</v>
      </c>
      <c r="F1290" s="9">
        <v>16.0</v>
      </c>
      <c r="G1290" s="9">
        <v>32.0</v>
      </c>
      <c r="H1290" s="9">
        <v>0.0</v>
      </c>
      <c r="I1290" s="9">
        <v>0.0</v>
      </c>
      <c r="J1290" s="9">
        <v>16.0</v>
      </c>
      <c r="K1290" s="9">
        <v>32.0</v>
      </c>
      <c r="L1290" s="9">
        <v>0.43</v>
      </c>
      <c r="M1290" s="9">
        <v>6.88</v>
      </c>
      <c r="N1290" s="9">
        <v>25.12</v>
      </c>
      <c r="O1290" s="12">
        <v>46054.0</v>
      </c>
      <c r="P1290" s="16"/>
    </row>
    <row r="1291">
      <c r="A1291" s="9">
        <v>2.503000217E9</v>
      </c>
      <c r="B1291" s="10" t="s">
        <v>27</v>
      </c>
      <c r="C1291" s="9">
        <v>105.0</v>
      </c>
      <c r="D1291" s="10" t="s">
        <v>234</v>
      </c>
      <c r="E1291" s="9">
        <v>3.0</v>
      </c>
      <c r="F1291" s="9">
        <v>7.0</v>
      </c>
      <c r="G1291" s="9">
        <v>21.0</v>
      </c>
      <c r="H1291" s="9">
        <v>0.0</v>
      </c>
      <c r="I1291" s="9">
        <v>0.0</v>
      </c>
      <c r="J1291" s="9">
        <v>7.0</v>
      </c>
      <c r="K1291" s="9">
        <v>21.0</v>
      </c>
      <c r="L1291" s="9">
        <v>0.87</v>
      </c>
      <c r="M1291" s="9">
        <v>6.09</v>
      </c>
      <c r="N1291" s="9">
        <v>14.91</v>
      </c>
      <c r="O1291" s="12">
        <v>46054.0</v>
      </c>
      <c r="P1291" s="16"/>
    </row>
    <row r="1292">
      <c r="A1292" s="9">
        <v>2.503000217E9</v>
      </c>
      <c r="B1292" s="10" t="s">
        <v>27</v>
      </c>
      <c r="C1292" s="9">
        <v>106.0</v>
      </c>
      <c r="D1292" s="10" t="s">
        <v>214</v>
      </c>
      <c r="E1292" s="9">
        <v>7.0</v>
      </c>
      <c r="F1292" s="9">
        <v>9.0</v>
      </c>
      <c r="G1292" s="9">
        <v>69.0</v>
      </c>
      <c r="H1292" s="9">
        <v>0.0</v>
      </c>
      <c r="I1292" s="9">
        <v>0.0</v>
      </c>
      <c r="J1292" s="9">
        <v>9.0</v>
      </c>
      <c r="K1292" s="9">
        <v>69.0</v>
      </c>
      <c r="L1292" s="9">
        <v>4.79</v>
      </c>
      <c r="M1292" s="9">
        <v>43.11</v>
      </c>
      <c r="N1292" s="9">
        <v>25.89</v>
      </c>
      <c r="O1292" s="12">
        <v>46054.0</v>
      </c>
      <c r="P1292" s="16"/>
    </row>
    <row r="1293">
      <c r="A1293" s="9">
        <v>2.503000217E9</v>
      </c>
      <c r="B1293" s="10" t="s">
        <v>27</v>
      </c>
      <c r="C1293" s="9">
        <v>108.0</v>
      </c>
      <c r="D1293" s="10" t="s">
        <v>235</v>
      </c>
      <c r="E1293" s="9">
        <v>2.0</v>
      </c>
      <c r="F1293" s="9">
        <v>20.0</v>
      </c>
      <c r="G1293" s="9">
        <v>40.0</v>
      </c>
      <c r="H1293" s="9">
        <v>0.0</v>
      </c>
      <c r="I1293" s="9">
        <v>0.0</v>
      </c>
      <c r="J1293" s="9">
        <v>20.0</v>
      </c>
      <c r="K1293" s="9">
        <v>40.0</v>
      </c>
      <c r="L1293" s="9">
        <v>1.41</v>
      </c>
      <c r="M1293" s="9">
        <v>28.2</v>
      </c>
      <c r="N1293" s="9">
        <v>11.8</v>
      </c>
      <c r="O1293" s="12">
        <v>46054.0</v>
      </c>
      <c r="P1293" s="16"/>
    </row>
    <row r="1294">
      <c r="A1294" s="9">
        <v>2.503000217E9</v>
      </c>
      <c r="B1294" s="10" t="s">
        <v>27</v>
      </c>
      <c r="C1294" s="9">
        <v>109.0</v>
      </c>
      <c r="D1294" s="10" t="s">
        <v>236</v>
      </c>
      <c r="E1294" s="9">
        <v>5.0</v>
      </c>
      <c r="F1294" s="9">
        <v>8.0</v>
      </c>
      <c r="G1294" s="9">
        <v>40.0</v>
      </c>
      <c r="H1294" s="9">
        <v>0.0</v>
      </c>
      <c r="I1294" s="9">
        <v>0.0</v>
      </c>
      <c r="J1294" s="9">
        <v>8.0</v>
      </c>
      <c r="K1294" s="9">
        <v>40.0</v>
      </c>
      <c r="L1294" s="9">
        <v>3.33</v>
      </c>
      <c r="M1294" s="9">
        <v>26.64</v>
      </c>
      <c r="N1294" s="9">
        <v>13.36</v>
      </c>
      <c r="O1294" s="12">
        <v>46054.0</v>
      </c>
      <c r="P1294" s="16"/>
    </row>
    <row r="1295">
      <c r="A1295" s="9">
        <v>2.503000217E9</v>
      </c>
      <c r="B1295" s="10" t="s">
        <v>27</v>
      </c>
      <c r="C1295" s="9">
        <v>111.0</v>
      </c>
      <c r="D1295" s="10" t="s">
        <v>215</v>
      </c>
      <c r="E1295" s="9">
        <v>1.0</v>
      </c>
      <c r="F1295" s="9">
        <v>47.0</v>
      </c>
      <c r="G1295" s="9">
        <v>94.0</v>
      </c>
      <c r="H1295" s="9">
        <v>0.0</v>
      </c>
      <c r="I1295" s="9">
        <v>0.0</v>
      </c>
      <c r="J1295" s="9">
        <v>47.0</v>
      </c>
      <c r="K1295" s="9">
        <v>94.0</v>
      </c>
      <c r="L1295" s="9">
        <v>0.68</v>
      </c>
      <c r="M1295" s="9">
        <v>31.96</v>
      </c>
      <c r="N1295" s="9">
        <v>62.04</v>
      </c>
      <c r="O1295" s="12">
        <v>46054.0</v>
      </c>
      <c r="P1295" s="16"/>
    </row>
    <row r="1296">
      <c r="A1296" s="9">
        <v>2.503000217E9</v>
      </c>
      <c r="B1296" s="10" t="s">
        <v>27</v>
      </c>
      <c r="C1296" s="9">
        <v>114.0</v>
      </c>
      <c r="D1296" s="10" t="s">
        <v>218</v>
      </c>
      <c r="E1296" s="9">
        <v>5.0</v>
      </c>
      <c r="F1296" s="9">
        <v>29.0</v>
      </c>
      <c r="G1296" s="9">
        <v>174.0</v>
      </c>
      <c r="H1296" s="9">
        <v>0.0</v>
      </c>
      <c r="I1296" s="9">
        <v>0.0</v>
      </c>
      <c r="J1296" s="9">
        <v>29.0</v>
      </c>
      <c r="K1296" s="9">
        <v>174.0</v>
      </c>
      <c r="L1296" s="9">
        <v>2.25</v>
      </c>
      <c r="M1296" s="9">
        <v>65.25</v>
      </c>
      <c r="N1296" s="9">
        <v>108.75</v>
      </c>
      <c r="O1296" s="12">
        <v>46054.0</v>
      </c>
      <c r="P1296" s="16"/>
    </row>
    <row r="1297">
      <c r="A1297" s="9">
        <v>2.503000217E9</v>
      </c>
      <c r="B1297" s="10" t="s">
        <v>27</v>
      </c>
      <c r="C1297" s="9">
        <v>117.0</v>
      </c>
      <c r="D1297" s="10" t="s">
        <v>238</v>
      </c>
      <c r="E1297" s="9">
        <v>4.0</v>
      </c>
      <c r="F1297" s="9">
        <v>3.0</v>
      </c>
      <c r="G1297" s="9">
        <v>12.0</v>
      </c>
      <c r="H1297" s="9">
        <v>0.0</v>
      </c>
      <c r="I1297" s="9">
        <v>0.0</v>
      </c>
      <c r="J1297" s="9">
        <v>3.0</v>
      </c>
      <c r="K1297" s="9">
        <v>12.0</v>
      </c>
      <c r="L1297" s="9">
        <v>1.95</v>
      </c>
      <c r="M1297" s="9">
        <v>5.85</v>
      </c>
      <c r="N1297" s="9">
        <v>6.15</v>
      </c>
      <c r="O1297" s="12">
        <v>46054.0</v>
      </c>
      <c r="P1297" s="16"/>
    </row>
    <row r="1298">
      <c r="A1298" s="9">
        <v>2.503000217E9</v>
      </c>
      <c r="B1298" s="10" t="s">
        <v>27</v>
      </c>
      <c r="C1298" s="9">
        <v>120.0</v>
      </c>
      <c r="D1298" s="10" t="s">
        <v>239</v>
      </c>
      <c r="E1298" s="9">
        <v>7.0</v>
      </c>
      <c r="F1298" s="9">
        <v>43.0</v>
      </c>
      <c r="G1298" s="9">
        <v>301.0</v>
      </c>
      <c r="H1298" s="9">
        <v>0.0</v>
      </c>
      <c r="I1298" s="9">
        <v>0.0</v>
      </c>
      <c r="J1298" s="9">
        <v>43.0</v>
      </c>
      <c r="K1298" s="9">
        <v>301.0</v>
      </c>
      <c r="L1298" s="9">
        <v>3.5</v>
      </c>
      <c r="M1298" s="9">
        <v>150.5</v>
      </c>
      <c r="N1298" s="9">
        <v>150.5</v>
      </c>
      <c r="O1298" s="12">
        <v>46054.0</v>
      </c>
      <c r="P1298" s="16"/>
    </row>
    <row r="1299">
      <c r="A1299" s="9">
        <v>2.503000217E9</v>
      </c>
      <c r="B1299" s="10" t="s">
        <v>27</v>
      </c>
      <c r="C1299" s="9">
        <v>123.0</v>
      </c>
      <c r="D1299" s="10" t="s">
        <v>220</v>
      </c>
      <c r="E1299" s="9">
        <v>5.0</v>
      </c>
      <c r="F1299" s="9">
        <v>1.0</v>
      </c>
      <c r="G1299" s="9">
        <v>5.0</v>
      </c>
      <c r="H1299" s="9">
        <v>0.0</v>
      </c>
      <c r="I1299" s="9">
        <v>0.0</v>
      </c>
      <c r="J1299" s="9">
        <v>1.0</v>
      </c>
      <c r="K1299" s="9">
        <v>5.0</v>
      </c>
      <c r="L1299" s="9">
        <v>3.8</v>
      </c>
      <c r="M1299" s="9">
        <v>3.8</v>
      </c>
      <c r="N1299" s="9">
        <v>1.2</v>
      </c>
      <c r="O1299" s="12">
        <v>46054.0</v>
      </c>
      <c r="P1299" s="16"/>
    </row>
    <row r="1300">
      <c r="A1300" s="9">
        <v>2.503000217E9</v>
      </c>
      <c r="B1300" s="10" t="s">
        <v>27</v>
      </c>
      <c r="C1300" s="9">
        <v>126.0</v>
      </c>
      <c r="D1300" s="10" t="s">
        <v>227</v>
      </c>
      <c r="E1300" s="9">
        <v>1.0</v>
      </c>
      <c r="F1300" s="9">
        <v>3.0</v>
      </c>
      <c r="G1300" s="9">
        <v>6.0</v>
      </c>
      <c r="H1300" s="9">
        <v>0.0</v>
      </c>
      <c r="I1300" s="9">
        <v>0.0</v>
      </c>
      <c r="J1300" s="9">
        <v>3.0</v>
      </c>
      <c r="K1300" s="9">
        <v>6.0</v>
      </c>
      <c r="L1300" s="9">
        <v>0.45</v>
      </c>
      <c r="M1300" s="9">
        <v>1.35</v>
      </c>
      <c r="N1300" s="9">
        <v>4.65</v>
      </c>
      <c r="O1300" s="12">
        <v>46054.0</v>
      </c>
      <c r="P1300" s="16"/>
    </row>
    <row r="1301">
      <c r="A1301" s="9">
        <v>2.509000369E9</v>
      </c>
      <c r="B1301" s="10" t="s">
        <v>24</v>
      </c>
      <c r="C1301" s="9">
        <v>1.0</v>
      </c>
      <c r="D1301" s="10" t="s">
        <v>129</v>
      </c>
      <c r="E1301" s="9">
        <v>5.0</v>
      </c>
      <c r="F1301" s="9">
        <v>32.0</v>
      </c>
      <c r="G1301" s="9">
        <v>160.0</v>
      </c>
      <c r="H1301" s="9">
        <v>0.0</v>
      </c>
      <c r="I1301" s="9">
        <v>0.0</v>
      </c>
      <c r="J1301" s="9">
        <v>32.0</v>
      </c>
      <c r="K1301" s="9">
        <v>160.0</v>
      </c>
      <c r="L1301" s="9">
        <v>2.93</v>
      </c>
      <c r="M1301" s="9">
        <v>93.76</v>
      </c>
      <c r="N1301" s="9">
        <v>66.24</v>
      </c>
      <c r="O1301" s="12">
        <v>46054.0</v>
      </c>
      <c r="P1301" s="16"/>
    </row>
    <row r="1302">
      <c r="A1302" s="9">
        <v>2.509000369E9</v>
      </c>
      <c r="B1302" s="10" t="s">
        <v>24</v>
      </c>
      <c r="C1302" s="9">
        <v>2.0</v>
      </c>
      <c r="D1302" s="10" t="s">
        <v>74</v>
      </c>
      <c r="E1302" s="9">
        <v>1.0</v>
      </c>
      <c r="F1302" s="9">
        <v>264.0</v>
      </c>
      <c r="G1302" s="9">
        <v>263.0</v>
      </c>
      <c r="H1302" s="9">
        <v>0.0</v>
      </c>
      <c r="I1302" s="9">
        <v>0.0</v>
      </c>
      <c r="J1302" s="9">
        <v>264.0</v>
      </c>
      <c r="K1302" s="9">
        <v>263.0</v>
      </c>
      <c r="L1302" s="9">
        <v>0.28</v>
      </c>
      <c r="M1302" s="9">
        <v>73.92</v>
      </c>
      <c r="N1302" s="9">
        <v>189.08</v>
      </c>
      <c r="O1302" s="12">
        <v>46054.0</v>
      </c>
      <c r="P1302" s="16"/>
    </row>
    <row r="1303">
      <c r="A1303" s="9">
        <v>2.509000369E9</v>
      </c>
      <c r="B1303" s="10" t="s">
        <v>24</v>
      </c>
      <c r="C1303" s="9">
        <v>3.0</v>
      </c>
      <c r="D1303" s="10" t="s">
        <v>125</v>
      </c>
      <c r="E1303" s="9">
        <v>8.0</v>
      </c>
      <c r="F1303" s="9">
        <v>17.0</v>
      </c>
      <c r="G1303" s="9">
        <v>138.5</v>
      </c>
      <c r="H1303" s="9">
        <v>0.0</v>
      </c>
      <c r="I1303" s="9">
        <v>0.0</v>
      </c>
      <c r="J1303" s="9">
        <v>17.0</v>
      </c>
      <c r="K1303" s="9">
        <v>138.5</v>
      </c>
      <c r="L1303" s="9">
        <v>7.5</v>
      </c>
      <c r="M1303" s="9">
        <v>127.5</v>
      </c>
      <c r="N1303" s="9">
        <v>11.0</v>
      </c>
      <c r="O1303" s="12">
        <v>46054.0</v>
      </c>
      <c r="P1303" s="16"/>
    </row>
    <row r="1304">
      <c r="A1304" s="9">
        <v>2.509000369E9</v>
      </c>
      <c r="B1304" s="10" t="s">
        <v>24</v>
      </c>
      <c r="C1304" s="9">
        <v>5.0</v>
      </c>
      <c r="D1304" s="10" t="s">
        <v>131</v>
      </c>
      <c r="E1304" s="9">
        <v>3.0</v>
      </c>
      <c r="F1304" s="9">
        <v>3.0</v>
      </c>
      <c r="G1304" s="9">
        <v>9.0</v>
      </c>
      <c r="H1304" s="9">
        <v>0.0</v>
      </c>
      <c r="I1304" s="9">
        <v>0.0</v>
      </c>
      <c r="J1304" s="9">
        <v>3.0</v>
      </c>
      <c r="K1304" s="9">
        <v>9.0</v>
      </c>
      <c r="L1304" s="9">
        <v>2.0</v>
      </c>
      <c r="M1304" s="9">
        <v>6.0</v>
      </c>
      <c r="N1304" s="9">
        <v>3.0</v>
      </c>
      <c r="O1304" s="12">
        <v>46054.0</v>
      </c>
      <c r="P1304" s="16"/>
    </row>
    <row r="1305">
      <c r="A1305" s="9">
        <v>2.509000369E9</v>
      </c>
      <c r="B1305" s="10" t="s">
        <v>24</v>
      </c>
      <c r="C1305" s="9">
        <v>8.0</v>
      </c>
      <c r="D1305" s="10" t="s">
        <v>133</v>
      </c>
      <c r="E1305" s="9">
        <v>5.0</v>
      </c>
      <c r="F1305" s="9">
        <v>5.0</v>
      </c>
      <c r="G1305" s="9">
        <v>25.0</v>
      </c>
      <c r="H1305" s="9">
        <v>0.0</v>
      </c>
      <c r="I1305" s="9">
        <v>0.0</v>
      </c>
      <c r="J1305" s="9">
        <v>5.0</v>
      </c>
      <c r="K1305" s="9">
        <v>25.0</v>
      </c>
      <c r="L1305" s="9">
        <v>3.45</v>
      </c>
      <c r="M1305" s="9">
        <v>17.25</v>
      </c>
      <c r="N1305" s="9">
        <v>7.75</v>
      </c>
      <c r="O1305" s="12">
        <v>46054.0</v>
      </c>
      <c r="P1305" s="16"/>
    </row>
    <row r="1306">
      <c r="A1306" s="9">
        <v>2.509000369E9</v>
      </c>
      <c r="B1306" s="10" t="s">
        <v>24</v>
      </c>
      <c r="C1306" s="9">
        <v>11.0</v>
      </c>
      <c r="D1306" s="10" t="s">
        <v>86</v>
      </c>
      <c r="E1306" s="9">
        <v>5.0</v>
      </c>
      <c r="F1306" s="9">
        <v>35.0</v>
      </c>
      <c r="G1306" s="9">
        <v>175.0</v>
      </c>
      <c r="H1306" s="9">
        <v>0.0</v>
      </c>
      <c r="I1306" s="9">
        <v>0.0</v>
      </c>
      <c r="J1306" s="9">
        <v>35.0</v>
      </c>
      <c r="K1306" s="9">
        <v>175.0</v>
      </c>
      <c r="L1306" s="9">
        <v>4.29</v>
      </c>
      <c r="M1306" s="9">
        <v>150.15</v>
      </c>
      <c r="N1306" s="9">
        <v>24.85</v>
      </c>
      <c r="O1306" s="12">
        <v>46054.0</v>
      </c>
      <c r="P1306" s="16"/>
    </row>
    <row r="1307">
      <c r="A1307" s="9">
        <v>2.509000369E9</v>
      </c>
      <c r="B1307" s="10" t="s">
        <v>24</v>
      </c>
      <c r="C1307" s="9">
        <v>12.0</v>
      </c>
      <c r="D1307" s="10" t="s">
        <v>136</v>
      </c>
      <c r="E1307" s="9">
        <v>1.0</v>
      </c>
      <c r="F1307" s="9">
        <v>9.0</v>
      </c>
      <c r="G1307" s="9">
        <v>9.0</v>
      </c>
      <c r="H1307" s="9">
        <v>0.0</v>
      </c>
      <c r="I1307" s="9">
        <v>0.0</v>
      </c>
      <c r="J1307" s="9">
        <v>9.0</v>
      </c>
      <c r="K1307" s="9">
        <v>9.0</v>
      </c>
      <c r="L1307" s="9">
        <v>0.6</v>
      </c>
      <c r="M1307" s="9">
        <v>5.4</v>
      </c>
      <c r="N1307" s="9">
        <v>3.6</v>
      </c>
      <c r="O1307" s="12">
        <v>46054.0</v>
      </c>
      <c r="P1307" s="16"/>
    </row>
    <row r="1308">
      <c r="A1308" s="9">
        <v>2.509000369E9</v>
      </c>
      <c r="B1308" s="10" t="s">
        <v>24</v>
      </c>
      <c r="C1308" s="9">
        <v>14.0</v>
      </c>
      <c r="D1308" s="10" t="s">
        <v>138</v>
      </c>
      <c r="E1308" s="9">
        <v>8.0</v>
      </c>
      <c r="F1308" s="9">
        <v>36.0</v>
      </c>
      <c r="G1308" s="9">
        <v>294.5</v>
      </c>
      <c r="H1308" s="9">
        <v>0.0</v>
      </c>
      <c r="I1308" s="9">
        <v>0.0</v>
      </c>
      <c r="J1308" s="9">
        <v>36.0</v>
      </c>
      <c r="K1308" s="9">
        <v>294.5</v>
      </c>
      <c r="L1308" s="9">
        <v>7.0</v>
      </c>
      <c r="M1308" s="9">
        <v>252.0</v>
      </c>
      <c r="N1308" s="9">
        <v>42.5</v>
      </c>
      <c r="O1308" s="12">
        <v>46054.0</v>
      </c>
      <c r="P1308" s="16"/>
    </row>
    <row r="1309">
      <c r="A1309" s="9">
        <v>2.509000369E9</v>
      </c>
      <c r="B1309" s="10" t="s">
        <v>24</v>
      </c>
      <c r="C1309" s="9">
        <v>15.0</v>
      </c>
      <c r="D1309" s="10" t="s">
        <v>55</v>
      </c>
      <c r="E1309" s="9">
        <v>2.0</v>
      </c>
      <c r="F1309" s="9">
        <v>12.0</v>
      </c>
      <c r="G1309" s="9">
        <v>24.0</v>
      </c>
      <c r="H1309" s="9">
        <v>0.0</v>
      </c>
      <c r="I1309" s="9">
        <v>0.0</v>
      </c>
      <c r="J1309" s="9">
        <v>12.0</v>
      </c>
      <c r="K1309" s="9">
        <v>24.0</v>
      </c>
      <c r="L1309" s="9">
        <v>1.54</v>
      </c>
      <c r="M1309" s="9">
        <v>18.48</v>
      </c>
      <c r="N1309" s="9">
        <v>5.52</v>
      </c>
      <c r="O1309" s="12">
        <v>46054.0</v>
      </c>
      <c r="P1309" s="16"/>
    </row>
    <row r="1310">
      <c r="A1310" s="9">
        <v>2.509000369E9</v>
      </c>
      <c r="B1310" s="10" t="s">
        <v>24</v>
      </c>
      <c r="C1310" s="9">
        <v>19.0</v>
      </c>
      <c r="D1310" s="10" t="s">
        <v>72</v>
      </c>
      <c r="E1310" s="9">
        <v>3.0</v>
      </c>
      <c r="F1310" s="9">
        <v>39.0</v>
      </c>
      <c r="G1310" s="9">
        <v>104.5</v>
      </c>
      <c r="H1310" s="9">
        <v>0.0</v>
      </c>
      <c r="I1310" s="9">
        <v>0.0</v>
      </c>
      <c r="J1310" s="9">
        <v>39.0</v>
      </c>
      <c r="K1310" s="9">
        <v>104.5</v>
      </c>
      <c r="L1310" s="9">
        <v>1.79</v>
      </c>
      <c r="M1310" s="9">
        <v>69.81</v>
      </c>
      <c r="N1310" s="9">
        <v>34.69</v>
      </c>
      <c r="O1310" s="12">
        <v>46054.0</v>
      </c>
      <c r="P1310" s="16"/>
    </row>
    <row r="1311">
      <c r="A1311" s="9">
        <v>2.509000369E9</v>
      </c>
      <c r="B1311" s="10" t="s">
        <v>24</v>
      </c>
      <c r="C1311" s="9">
        <v>21.0</v>
      </c>
      <c r="D1311" s="10" t="s">
        <v>79</v>
      </c>
      <c r="E1311" s="9">
        <v>3.0</v>
      </c>
      <c r="F1311" s="9">
        <v>62.0</v>
      </c>
      <c r="G1311" s="9">
        <v>193.0</v>
      </c>
      <c r="H1311" s="9">
        <v>0.0</v>
      </c>
      <c r="I1311" s="9">
        <v>0.0</v>
      </c>
      <c r="J1311" s="9">
        <v>62.0</v>
      </c>
      <c r="K1311" s="9">
        <v>193.0</v>
      </c>
      <c r="L1311" s="9">
        <v>2.25</v>
      </c>
      <c r="M1311" s="9">
        <v>139.5</v>
      </c>
      <c r="N1311" s="9">
        <v>53.5</v>
      </c>
      <c r="O1311" s="12">
        <v>46054.0</v>
      </c>
      <c r="P1311" s="16"/>
    </row>
    <row r="1312">
      <c r="A1312" s="9">
        <v>2.509000369E9</v>
      </c>
      <c r="B1312" s="10" t="s">
        <v>24</v>
      </c>
      <c r="C1312" s="9">
        <v>23.0</v>
      </c>
      <c r="D1312" s="10" t="s">
        <v>143</v>
      </c>
      <c r="E1312" s="9">
        <v>5.0</v>
      </c>
      <c r="F1312" s="9">
        <v>2.0</v>
      </c>
      <c r="G1312" s="9">
        <v>11.0</v>
      </c>
      <c r="H1312" s="9">
        <v>0.0</v>
      </c>
      <c r="I1312" s="9">
        <v>0.0</v>
      </c>
      <c r="J1312" s="9">
        <v>2.0</v>
      </c>
      <c r="K1312" s="9">
        <v>11.0</v>
      </c>
      <c r="L1312" s="9">
        <v>3.41</v>
      </c>
      <c r="M1312" s="9">
        <v>6.82</v>
      </c>
      <c r="N1312" s="9">
        <v>4.18</v>
      </c>
      <c r="O1312" s="12">
        <v>46054.0</v>
      </c>
      <c r="P1312" s="16"/>
    </row>
    <row r="1313">
      <c r="A1313" s="9">
        <v>2.509000369E9</v>
      </c>
      <c r="B1313" s="10" t="s">
        <v>24</v>
      </c>
      <c r="C1313" s="9">
        <v>25.0</v>
      </c>
      <c r="D1313" s="10" t="s">
        <v>144</v>
      </c>
      <c r="E1313" s="9">
        <v>6.0</v>
      </c>
      <c r="F1313" s="9">
        <v>12.0</v>
      </c>
      <c r="G1313" s="9">
        <v>72.0</v>
      </c>
      <c r="H1313" s="9">
        <v>0.0</v>
      </c>
      <c r="I1313" s="9">
        <v>0.0</v>
      </c>
      <c r="J1313" s="9">
        <v>12.0</v>
      </c>
      <c r="K1313" s="9">
        <v>72.0</v>
      </c>
      <c r="L1313" s="9">
        <v>5.0</v>
      </c>
      <c r="M1313" s="9">
        <v>60.0</v>
      </c>
      <c r="N1313" s="9">
        <v>12.0</v>
      </c>
      <c r="O1313" s="12">
        <v>46054.0</v>
      </c>
      <c r="P1313" s="16"/>
    </row>
    <row r="1314">
      <c r="A1314" s="9">
        <v>2.509000369E9</v>
      </c>
      <c r="B1314" s="10" t="s">
        <v>24</v>
      </c>
      <c r="C1314" s="9">
        <v>27.0</v>
      </c>
      <c r="D1314" s="10" t="s">
        <v>73</v>
      </c>
      <c r="E1314" s="9">
        <v>6.0</v>
      </c>
      <c r="F1314" s="9">
        <v>7.0</v>
      </c>
      <c r="G1314" s="9">
        <v>42.5</v>
      </c>
      <c r="H1314" s="9">
        <v>0.0</v>
      </c>
      <c r="I1314" s="9">
        <v>0.0</v>
      </c>
      <c r="J1314" s="9">
        <v>7.0</v>
      </c>
      <c r="K1314" s="9">
        <v>42.5</v>
      </c>
      <c r="L1314" s="9">
        <v>5.5</v>
      </c>
      <c r="M1314" s="9">
        <v>38.5</v>
      </c>
      <c r="N1314" s="9">
        <v>4.0</v>
      </c>
      <c r="O1314" s="12">
        <v>46054.0</v>
      </c>
      <c r="P1314" s="16"/>
    </row>
    <row r="1315">
      <c r="A1315" s="9">
        <v>2.509000369E9</v>
      </c>
      <c r="B1315" s="10" t="s">
        <v>24</v>
      </c>
      <c r="C1315" s="9">
        <v>28.0</v>
      </c>
      <c r="D1315" s="10" t="s">
        <v>146</v>
      </c>
      <c r="E1315" s="9">
        <v>6.0</v>
      </c>
      <c r="F1315" s="9">
        <v>8.0</v>
      </c>
      <c r="G1315" s="9">
        <v>48.0</v>
      </c>
      <c r="H1315" s="9">
        <v>0.0</v>
      </c>
      <c r="I1315" s="9">
        <v>0.0</v>
      </c>
      <c r="J1315" s="9">
        <v>8.0</v>
      </c>
      <c r="K1315" s="9">
        <v>48.0</v>
      </c>
      <c r="L1315" s="9">
        <v>5.2</v>
      </c>
      <c r="M1315" s="9">
        <v>41.6</v>
      </c>
      <c r="N1315" s="9">
        <v>6.4</v>
      </c>
      <c r="O1315" s="12">
        <v>46054.0</v>
      </c>
      <c r="P1315" s="16"/>
    </row>
    <row r="1316">
      <c r="A1316" s="9">
        <v>2.509000369E9</v>
      </c>
      <c r="B1316" s="10" t="s">
        <v>24</v>
      </c>
      <c r="C1316" s="9">
        <v>29.0</v>
      </c>
      <c r="D1316" s="10" t="s">
        <v>147</v>
      </c>
      <c r="E1316" s="9">
        <v>3.0</v>
      </c>
      <c r="F1316" s="9">
        <v>86.0</v>
      </c>
      <c r="G1316" s="9">
        <v>258.0</v>
      </c>
      <c r="H1316" s="9">
        <v>0.0</v>
      </c>
      <c r="I1316" s="9">
        <v>0.0</v>
      </c>
      <c r="J1316" s="9">
        <v>86.0</v>
      </c>
      <c r="K1316" s="9">
        <v>258.0</v>
      </c>
      <c r="L1316" s="9">
        <v>2.25</v>
      </c>
      <c r="M1316" s="9">
        <v>193.5</v>
      </c>
      <c r="N1316" s="9">
        <v>64.5</v>
      </c>
      <c r="O1316" s="12">
        <v>46054.0</v>
      </c>
      <c r="P1316" s="16"/>
    </row>
    <row r="1317">
      <c r="A1317" s="9">
        <v>2.509000369E9</v>
      </c>
      <c r="B1317" s="10" t="s">
        <v>24</v>
      </c>
      <c r="C1317" s="9">
        <v>30.0</v>
      </c>
      <c r="D1317" s="10" t="s">
        <v>148</v>
      </c>
      <c r="E1317" s="9">
        <v>6.0</v>
      </c>
      <c r="F1317" s="9">
        <v>7.0</v>
      </c>
      <c r="G1317" s="9">
        <v>42.0</v>
      </c>
      <c r="H1317" s="9">
        <v>0.0</v>
      </c>
      <c r="I1317" s="9">
        <v>0.0</v>
      </c>
      <c r="J1317" s="9">
        <v>7.0</v>
      </c>
      <c r="K1317" s="9">
        <v>42.0</v>
      </c>
      <c r="L1317" s="9">
        <v>5.5</v>
      </c>
      <c r="M1317" s="9">
        <v>38.5</v>
      </c>
      <c r="N1317" s="9">
        <v>3.5</v>
      </c>
      <c r="O1317" s="12">
        <v>46054.0</v>
      </c>
      <c r="P1317" s="16"/>
    </row>
    <row r="1318">
      <c r="A1318" s="9">
        <v>2.509000369E9</v>
      </c>
      <c r="B1318" s="10" t="s">
        <v>24</v>
      </c>
      <c r="C1318" s="9">
        <v>32.0</v>
      </c>
      <c r="D1318" s="10" t="s">
        <v>150</v>
      </c>
      <c r="E1318" s="9">
        <v>3.0</v>
      </c>
      <c r="F1318" s="9">
        <v>3.0</v>
      </c>
      <c r="G1318" s="9">
        <v>9.0</v>
      </c>
      <c r="H1318" s="9">
        <v>0.0</v>
      </c>
      <c r="I1318" s="9">
        <v>0.0</v>
      </c>
      <c r="J1318" s="9">
        <v>3.0</v>
      </c>
      <c r="K1318" s="9">
        <v>9.0</v>
      </c>
      <c r="L1318" s="9">
        <v>2.29</v>
      </c>
      <c r="M1318" s="9">
        <v>6.87</v>
      </c>
      <c r="N1318" s="9">
        <v>2.13</v>
      </c>
      <c r="O1318" s="12">
        <v>46054.0</v>
      </c>
      <c r="P1318" s="16"/>
    </row>
    <row r="1319">
      <c r="A1319" s="9">
        <v>2.509000369E9</v>
      </c>
      <c r="B1319" s="10" t="s">
        <v>24</v>
      </c>
      <c r="C1319" s="9">
        <v>32.0</v>
      </c>
      <c r="D1319" s="10" t="s">
        <v>150</v>
      </c>
      <c r="E1319" s="9">
        <v>3.0</v>
      </c>
      <c r="F1319" s="9">
        <v>25.0</v>
      </c>
      <c r="G1319" s="9">
        <v>75.0</v>
      </c>
      <c r="H1319" s="9">
        <v>0.0</v>
      </c>
      <c r="I1319" s="9">
        <v>0.0</v>
      </c>
      <c r="J1319" s="9">
        <v>25.0</v>
      </c>
      <c r="K1319" s="9">
        <v>75.0</v>
      </c>
      <c r="L1319" s="9">
        <v>2.29</v>
      </c>
      <c r="M1319" s="9">
        <v>57.25</v>
      </c>
      <c r="N1319" s="9">
        <v>17.75</v>
      </c>
      <c r="O1319" s="12">
        <v>46054.0</v>
      </c>
      <c r="P1319" s="16"/>
    </row>
    <row r="1320">
      <c r="A1320" s="9">
        <v>2.509000369E9</v>
      </c>
      <c r="B1320" s="10" t="s">
        <v>24</v>
      </c>
      <c r="C1320" s="9">
        <v>33.0</v>
      </c>
      <c r="D1320" s="10" t="s">
        <v>151</v>
      </c>
      <c r="E1320" s="9">
        <v>4.0</v>
      </c>
      <c r="F1320" s="9">
        <v>21.0</v>
      </c>
      <c r="G1320" s="9">
        <v>84.0</v>
      </c>
      <c r="H1320" s="9">
        <v>0.0</v>
      </c>
      <c r="I1320" s="9">
        <v>0.0</v>
      </c>
      <c r="J1320" s="9">
        <v>21.0</v>
      </c>
      <c r="K1320" s="9">
        <v>84.0</v>
      </c>
      <c r="L1320" s="9">
        <v>3.13</v>
      </c>
      <c r="M1320" s="9">
        <v>65.73</v>
      </c>
      <c r="N1320" s="9">
        <v>18.27</v>
      </c>
      <c r="O1320" s="12">
        <v>46054.0</v>
      </c>
      <c r="P1320" s="16"/>
    </row>
    <row r="1321">
      <c r="A1321" s="9">
        <v>2.509000369E9</v>
      </c>
      <c r="B1321" s="10" t="s">
        <v>24</v>
      </c>
      <c r="C1321" s="9">
        <v>36.0</v>
      </c>
      <c r="D1321" s="10" t="s">
        <v>153</v>
      </c>
      <c r="E1321" s="9">
        <v>4.0</v>
      </c>
      <c r="F1321" s="9">
        <v>10.0</v>
      </c>
      <c r="G1321" s="9">
        <v>50.0</v>
      </c>
      <c r="H1321" s="9">
        <v>0.0</v>
      </c>
      <c r="I1321" s="9">
        <v>0.0</v>
      </c>
      <c r="J1321" s="9">
        <v>10.0</v>
      </c>
      <c r="K1321" s="9">
        <v>50.0</v>
      </c>
      <c r="L1321" s="9">
        <v>1.6</v>
      </c>
      <c r="M1321" s="9">
        <v>16.0</v>
      </c>
      <c r="N1321" s="9">
        <v>34.0</v>
      </c>
      <c r="O1321" s="12">
        <v>46054.0</v>
      </c>
      <c r="P1321" s="16"/>
    </row>
    <row r="1322">
      <c r="A1322" s="9">
        <v>2.509000369E9</v>
      </c>
      <c r="B1322" s="10" t="s">
        <v>24</v>
      </c>
      <c r="C1322" s="9">
        <v>38.0</v>
      </c>
      <c r="D1322" s="10" t="s">
        <v>155</v>
      </c>
      <c r="E1322" s="9">
        <v>7.0</v>
      </c>
      <c r="F1322" s="9">
        <v>6.0</v>
      </c>
      <c r="G1322" s="9">
        <v>45.0</v>
      </c>
      <c r="H1322" s="9">
        <v>0.0</v>
      </c>
      <c r="I1322" s="9">
        <v>0.0</v>
      </c>
      <c r="J1322" s="9">
        <v>6.0</v>
      </c>
      <c r="K1322" s="9">
        <v>45.0</v>
      </c>
      <c r="L1322" s="9">
        <v>5.18</v>
      </c>
      <c r="M1322" s="9">
        <v>31.08</v>
      </c>
      <c r="N1322" s="9">
        <v>13.92</v>
      </c>
      <c r="O1322" s="12">
        <v>46054.0</v>
      </c>
      <c r="P1322" s="16"/>
    </row>
    <row r="1323">
      <c r="A1323" s="9">
        <v>2.509000369E9</v>
      </c>
      <c r="B1323" s="10" t="s">
        <v>24</v>
      </c>
      <c r="C1323" s="9">
        <v>44.0</v>
      </c>
      <c r="D1323" s="10" t="s">
        <v>160</v>
      </c>
      <c r="E1323" s="9">
        <v>5.0</v>
      </c>
      <c r="F1323" s="9">
        <v>6.0</v>
      </c>
      <c r="G1323" s="9">
        <v>33.0</v>
      </c>
      <c r="H1323" s="9">
        <v>0.0</v>
      </c>
      <c r="I1323" s="9">
        <v>0.0</v>
      </c>
      <c r="J1323" s="9">
        <v>6.0</v>
      </c>
      <c r="K1323" s="9">
        <v>33.0</v>
      </c>
      <c r="L1323" s="9">
        <v>4.13</v>
      </c>
      <c r="M1323" s="9">
        <v>24.78</v>
      </c>
      <c r="N1323" s="9">
        <v>8.22</v>
      </c>
      <c r="O1323" s="12">
        <v>46054.0</v>
      </c>
      <c r="P1323" s="16"/>
    </row>
    <row r="1324">
      <c r="A1324" s="9">
        <v>2.509000369E9</v>
      </c>
      <c r="B1324" s="10" t="s">
        <v>24</v>
      </c>
      <c r="C1324" s="9">
        <v>52.0</v>
      </c>
      <c r="D1324" s="10" t="s">
        <v>174</v>
      </c>
      <c r="E1324" s="9">
        <v>5.0</v>
      </c>
      <c r="F1324" s="9">
        <v>60.0</v>
      </c>
      <c r="G1324" s="9">
        <v>295.0</v>
      </c>
      <c r="H1324" s="9">
        <v>0.0</v>
      </c>
      <c r="I1324" s="9">
        <v>0.0</v>
      </c>
      <c r="J1324" s="9">
        <v>60.0</v>
      </c>
      <c r="K1324" s="9">
        <v>295.0</v>
      </c>
      <c r="L1324" s="9">
        <v>3.0</v>
      </c>
      <c r="M1324" s="9">
        <v>180.0</v>
      </c>
      <c r="N1324" s="9">
        <v>115.0</v>
      </c>
      <c r="O1324" s="12">
        <v>46054.0</v>
      </c>
      <c r="P1324" s="16"/>
    </row>
    <row r="1325">
      <c r="A1325" s="9">
        <v>2.509000369E9</v>
      </c>
      <c r="B1325" s="10" t="s">
        <v>24</v>
      </c>
      <c r="C1325" s="9">
        <v>54.0</v>
      </c>
      <c r="D1325" s="10" t="s">
        <v>168</v>
      </c>
      <c r="E1325" s="9">
        <v>3.0</v>
      </c>
      <c r="F1325" s="9">
        <v>13.0</v>
      </c>
      <c r="G1325" s="9">
        <v>39.0</v>
      </c>
      <c r="H1325" s="9">
        <v>0.0</v>
      </c>
      <c r="I1325" s="9">
        <v>0.0</v>
      </c>
      <c r="J1325" s="9">
        <v>13.0</v>
      </c>
      <c r="K1325" s="9">
        <v>39.0</v>
      </c>
      <c r="L1325" s="9">
        <v>2.25</v>
      </c>
      <c r="M1325" s="9">
        <v>29.25</v>
      </c>
      <c r="N1325" s="9">
        <v>9.75</v>
      </c>
      <c r="O1325" s="12">
        <v>46054.0</v>
      </c>
      <c r="P1325" s="16"/>
    </row>
    <row r="1326">
      <c r="A1326" s="9">
        <v>2.509000369E9</v>
      </c>
      <c r="B1326" s="10" t="s">
        <v>24</v>
      </c>
      <c r="C1326" s="9">
        <v>64.0</v>
      </c>
      <c r="D1326" s="10" t="s">
        <v>173</v>
      </c>
      <c r="E1326" s="9">
        <v>3.0</v>
      </c>
      <c r="F1326" s="9">
        <v>26.0</v>
      </c>
      <c r="G1326" s="9">
        <v>78.0</v>
      </c>
      <c r="H1326" s="9">
        <v>0.0</v>
      </c>
      <c r="I1326" s="9">
        <v>0.0</v>
      </c>
      <c r="J1326" s="9">
        <v>26.0</v>
      </c>
      <c r="K1326" s="9">
        <v>78.0</v>
      </c>
      <c r="L1326" s="9">
        <v>2.29</v>
      </c>
      <c r="M1326" s="9">
        <v>59.54</v>
      </c>
      <c r="N1326" s="9">
        <v>18.46</v>
      </c>
      <c r="O1326" s="12">
        <v>46054.0</v>
      </c>
      <c r="P1326" s="16"/>
    </row>
    <row r="1327">
      <c r="A1327" s="9">
        <v>2.509000369E9</v>
      </c>
      <c r="B1327" s="10" t="s">
        <v>24</v>
      </c>
      <c r="C1327" s="9">
        <v>87.0</v>
      </c>
      <c r="D1327" s="10" t="s">
        <v>202</v>
      </c>
      <c r="E1327" s="9">
        <v>4.0</v>
      </c>
      <c r="F1327" s="9">
        <v>9.0</v>
      </c>
      <c r="G1327" s="9">
        <v>27.0</v>
      </c>
      <c r="H1327" s="9">
        <v>0.0</v>
      </c>
      <c r="I1327" s="9">
        <v>0.0</v>
      </c>
      <c r="J1327" s="9">
        <v>9.0</v>
      </c>
      <c r="K1327" s="9">
        <v>27.0</v>
      </c>
      <c r="L1327" s="9">
        <v>1.87</v>
      </c>
      <c r="M1327" s="9">
        <v>16.83</v>
      </c>
      <c r="N1327" s="9">
        <v>10.17</v>
      </c>
      <c r="O1327" s="12">
        <v>46054.0</v>
      </c>
      <c r="P1327" s="16"/>
    </row>
    <row r="1328">
      <c r="A1328" s="9">
        <v>2.509000369E9</v>
      </c>
      <c r="B1328" s="10" t="s">
        <v>24</v>
      </c>
      <c r="C1328" s="9">
        <v>95.0</v>
      </c>
      <c r="D1328" s="10" t="s">
        <v>221</v>
      </c>
      <c r="E1328" s="9">
        <v>5.0</v>
      </c>
      <c r="F1328" s="9">
        <v>3.0</v>
      </c>
      <c r="G1328" s="9">
        <v>18.0</v>
      </c>
      <c r="H1328" s="9">
        <v>0.0</v>
      </c>
      <c r="I1328" s="9">
        <v>0.0</v>
      </c>
      <c r="J1328" s="9">
        <v>3.0</v>
      </c>
      <c r="K1328" s="9">
        <v>18.0</v>
      </c>
      <c r="L1328" s="9">
        <v>3.5</v>
      </c>
      <c r="M1328" s="9">
        <v>10.5</v>
      </c>
      <c r="N1328" s="9">
        <v>7.5</v>
      </c>
      <c r="O1328" s="12">
        <v>46054.0</v>
      </c>
      <c r="P1328" s="16"/>
    </row>
    <row r="1329">
      <c r="A1329" s="9">
        <v>2.509000369E9</v>
      </c>
      <c r="B1329" s="10" t="s">
        <v>24</v>
      </c>
      <c r="C1329" s="9">
        <v>96.0</v>
      </c>
      <c r="D1329" s="10" t="s">
        <v>212</v>
      </c>
      <c r="E1329" s="9">
        <v>5.0</v>
      </c>
      <c r="F1329" s="9">
        <v>15.0</v>
      </c>
      <c r="G1329" s="9">
        <v>75.0</v>
      </c>
      <c r="H1329" s="9">
        <v>0.0</v>
      </c>
      <c r="I1329" s="9">
        <v>0.0</v>
      </c>
      <c r="J1329" s="9">
        <v>15.0</v>
      </c>
      <c r="K1329" s="9">
        <v>75.0</v>
      </c>
      <c r="L1329" s="9">
        <v>2.93</v>
      </c>
      <c r="M1329" s="9">
        <v>43.95</v>
      </c>
      <c r="N1329" s="9">
        <v>31.05</v>
      </c>
      <c r="O1329" s="12">
        <v>46054.0</v>
      </c>
      <c r="P1329" s="16"/>
    </row>
    <row r="1330">
      <c r="A1330" s="9">
        <v>2.509000369E9</v>
      </c>
      <c r="B1330" s="10" t="s">
        <v>24</v>
      </c>
      <c r="C1330" s="9">
        <v>97.0</v>
      </c>
      <c r="D1330" s="10" t="s">
        <v>115</v>
      </c>
      <c r="E1330" s="9">
        <v>5.0</v>
      </c>
      <c r="F1330" s="9">
        <v>14.0</v>
      </c>
      <c r="G1330" s="9">
        <v>70.0</v>
      </c>
      <c r="H1330" s="9">
        <v>0.0</v>
      </c>
      <c r="I1330" s="9">
        <v>0.0</v>
      </c>
      <c r="J1330" s="9">
        <v>14.0</v>
      </c>
      <c r="K1330" s="9">
        <v>70.0</v>
      </c>
      <c r="L1330" s="9">
        <v>2.93</v>
      </c>
      <c r="M1330" s="9">
        <v>41.02</v>
      </c>
      <c r="N1330" s="9">
        <v>28.98</v>
      </c>
      <c r="O1330" s="12">
        <v>46054.0</v>
      </c>
      <c r="P1330" s="16"/>
    </row>
    <row r="1331">
      <c r="A1331" s="9">
        <v>2.509000369E9</v>
      </c>
      <c r="B1331" s="10" t="s">
        <v>24</v>
      </c>
      <c r="C1331" s="9">
        <v>98.0</v>
      </c>
      <c r="D1331" s="10" t="s">
        <v>118</v>
      </c>
      <c r="E1331" s="9">
        <v>5.0</v>
      </c>
      <c r="F1331" s="9">
        <v>8.0</v>
      </c>
      <c r="G1331" s="9">
        <v>30.0</v>
      </c>
      <c r="H1331" s="9">
        <v>0.0</v>
      </c>
      <c r="I1331" s="9">
        <v>0.0</v>
      </c>
      <c r="J1331" s="9">
        <v>8.0</v>
      </c>
      <c r="K1331" s="9">
        <v>30.0</v>
      </c>
      <c r="L1331" s="9">
        <v>3.17</v>
      </c>
      <c r="M1331" s="9">
        <v>25.36</v>
      </c>
      <c r="N1331" s="9">
        <v>4.64</v>
      </c>
      <c r="O1331" s="12">
        <v>46054.0</v>
      </c>
      <c r="P1331" s="16"/>
    </row>
    <row r="1332">
      <c r="A1332" s="9">
        <v>2.509000369E9</v>
      </c>
      <c r="B1332" s="10" t="s">
        <v>24</v>
      </c>
      <c r="C1332" s="9">
        <v>99.0</v>
      </c>
      <c r="D1332" s="10" t="s">
        <v>213</v>
      </c>
      <c r="E1332" s="9">
        <v>3.0</v>
      </c>
      <c r="F1332" s="9">
        <v>35.0</v>
      </c>
      <c r="G1332" s="9">
        <v>105.0</v>
      </c>
      <c r="H1332" s="9">
        <v>0.0</v>
      </c>
      <c r="I1332" s="9">
        <v>0.0</v>
      </c>
      <c r="J1332" s="9">
        <v>35.0</v>
      </c>
      <c r="K1332" s="9">
        <v>105.0</v>
      </c>
      <c r="L1332" s="9">
        <v>2.25</v>
      </c>
      <c r="M1332" s="9">
        <v>78.75</v>
      </c>
      <c r="N1332" s="9">
        <v>26.25</v>
      </c>
      <c r="O1332" s="12">
        <v>46054.0</v>
      </c>
      <c r="P1332" s="16"/>
    </row>
    <row r="1333">
      <c r="A1333" s="9">
        <v>2.509000369E9</v>
      </c>
      <c r="B1333" s="10" t="s">
        <v>24</v>
      </c>
      <c r="C1333" s="9">
        <v>106.0</v>
      </c>
      <c r="D1333" s="10" t="s">
        <v>214</v>
      </c>
      <c r="E1333" s="9">
        <v>7.0</v>
      </c>
      <c r="F1333" s="9">
        <v>13.0</v>
      </c>
      <c r="G1333" s="9">
        <v>64.0</v>
      </c>
      <c r="H1333" s="9">
        <v>0.0</v>
      </c>
      <c r="I1333" s="9">
        <v>0.0</v>
      </c>
      <c r="J1333" s="9">
        <v>13.0</v>
      </c>
      <c r="K1333" s="9">
        <v>64.0</v>
      </c>
      <c r="L1333" s="9">
        <v>4.79</v>
      </c>
      <c r="M1333" s="9">
        <v>62.27</v>
      </c>
      <c r="N1333" s="9">
        <v>1.73</v>
      </c>
      <c r="O1333" s="12">
        <v>46054.0</v>
      </c>
      <c r="P1333" s="16"/>
    </row>
    <row r="1334">
      <c r="A1334" s="9">
        <v>2.509000369E9</v>
      </c>
      <c r="B1334" s="10" t="s">
        <v>24</v>
      </c>
      <c r="C1334" s="9">
        <v>108.0</v>
      </c>
      <c r="D1334" s="10" t="s">
        <v>235</v>
      </c>
      <c r="E1334" s="9">
        <v>2.0</v>
      </c>
      <c r="F1334" s="9">
        <v>15.0</v>
      </c>
      <c r="G1334" s="9">
        <v>34.5</v>
      </c>
      <c r="H1334" s="9">
        <v>0.0</v>
      </c>
      <c r="I1334" s="9">
        <v>0.0</v>
      </c>
      <c r="J1334" s="9">
        <v>15.0</v>
      </c>
      <c r="K1334" s="9">
        <v>34.5</v>
      </c>
      <c r="L1334" s="9">
        <v>1.41</v>
      </c>
      <c r="M1334" s="9">
        <v>21.15</v>
      </c>
      <c r="N1334" s="9">
        <v>13.35</v>
      </c>
      <c r="O1334" s="12">
        <v>46054.0</v>
      </c>
      <c r="P1334" s="16"/>
    </row>
    <row r="1335">
      <c r="A1335" s="9">
        <v>2.509000369E9</v>
      </c>
      <c r="B1335" s="10" t="s">
        <v>24</v>
      </c>
      <c r="C1335" s="9">
        <v>111.0</v>
      </c>
      <c r="D1335" s="10" t="s">
        <v>215</v>
      </c>
      <c r="E1335" s="9">
        <v>1.0</v>
      </c>
      <c r="F1335" s="9">
        <v>106.0</v>
      </c>
      <c r="G1335" s="9">
        <v>106.0</v>
      </c>
      <c r="H1335" s="9">
        <v>0.0</v>
      </c>
      <c r="I1335" s="9">
        <v>0.0</v>
      </c>
      <c r="J1335" s="9">
        <v>106.0</v>
      </c>
      <c r="K1335" s="9">
        <v>106.0</v>
      </c>
      <c r="L1335" s="9">
        <v>0.68</v>
      </c>
      <c r="M1335" s="9">
        <v>72.08</v>
      </c>
      <c r="N1335" s="9">
        <v>33.92</v>
      </c>
      <c r="O1335" s="12">
        <v>46054.0</v>
      </c>
      <c r="P1335" s="16"/>
    </row>
    <row r="1336">
      <c r="A1336" s="9">
        <v>2.509000369E9</v>
      </c>
      <c r="B1336" s="10" t="s">
        <v>24</v>
      </c>
      <c r="C1336" s="9">
        <v>114.0</v>
      </c>
      <c r="D1336" s="10" t="s">
        <v>218</v>
      </c>
      <c r="E1336" s="9">
        <v>5.0</v>
      </c>
      <c r="F1336" s="9">
        <v>18.0</v>
      </c>
      <c r="G1336" s="9">
        <v>90.0</v>
      </c>
      <c r="H1336" s="9">
        <v>0.0</v>
      </c>
      <c r="I1336" s="9">
        <v>0.0</v>
      </c>
      <c r="J1336" s="9">
        <v>18.0</v>
      </c>
      <c r="K1336" s="9">
        <v>90.0</v>
      </c>
      <c r="L1336" s="9">
        <v>2.25</v>
      </c>
      <c r="M1336" s="9">
        <v>40.5</v>
      </c>
      <c r="N1336" s="9">
        <v>49.5</v>
      </c>
      <c r="O1336" s="12">
        <v>46054.0</v>
      </c>
      <c r="P1336" s="16"/>
    </row>
    <row r="1337">
      <c r="A1337" s="9">
        <v>2.509000369E9</v>
      </c>
      <c r="B1337" s="10" t="s">
        <v>24</v>
      </c>
      <c r="C1337" s="9">
        <v>115.0</v>
      </c>
      <c r="D1337" s="10" t="s">
        <v>240</v>
      </c>
      <c r="E1337" s="9">
        <v>6.5</v>
      </c>
      <c r="F1337" s="9">
        <v>2.0</v>
      </c>
      <c r="G1337" s="9">
        <v>12.0</v>
      </c>
      <c r="H1337" s="9">
        <v>0.0</v>
      </c>
      <c r="I1337" s="9">
        <v>0.0</v>
      </c>
      <c r="J1337" s="9">
        <v>2.0</v>
      </c>
      <c r="K1337" s="9">
        <v>12.0</v>
      </c>
      <c r="L1337" s="9">
        <v>4.5</v>
      </c>
      <c r="M1337" s="9">
        <v>9.0</v>
      </c>
      <c r="N1337" s="9">
        <v>3.0</v>
      </c>
      <c r="O1337" s="12">
        <v>46054.0</v>
      </c>
      <c r="P1337" s="16"/>
    </row>
    <row r="1338">
      <c r="A1338" s="9">
        <v>2.509000369E9</v>
      </c>
      <c r="B1338" s="10" t="s">
        <v>24</v>
      </c>
      <c r="C1338" s="9">
        <v>122.0</v>
      </c>
      <c r="D1338" s="10" t="s">
        <v>219</v>
      </c>
      <c r="E1338" s="9">
        <v>5.0</v>
      </c>
      <c r="F1338" s="9">
        <v>3.0</v>
      </c>
      <c r="G1338" s="9">
        <v>15.0</v>
      </c>
      <c r="H1338" s="9">
        <v>0.0</v>
      </c>
      <c r="I1338" s="9">
        <v>0.0</v>
      </c>
      <c r="J1338" s="9">
        <v>3.0</v>
      </c>
      <c r="K1338" s="9">
        <v>15.0</v>
      </c>
      <c r="L1338" s="9">
        <v>3.6</v>
      </c>
      <c r="M1338" s="9">
        <v>10.8</v>
      </c>
      <c r="N1338" s="9">
        <v>4.2</v>
      </c>
      <c r="O1338" s="12">
        <v>46054.0</v>
      </c>
      <c r="P1338" s="16"/>
    </row>
    <row r="1339">
      <c r="A1339" s="9">
        <v>2.509000369E9</v>
      </c>
      <c r="B1339" s="10" t="s">
        <v>24</v>
      </c>
      <c r="C1339" s="9">
        <v>123.0</v>
      </c>
      <c r="D1339" s="10" t="s">
        <v>220</v>
      </c>
      <c r="E1339" s="9">
        <v>5.0</v>
      </c>
      <c r="F1339" s="9">
        <v>20.0</v>
      </c>
      <c r="G1339" s="9">
        <v>90.0</v>
      </c>
      <c r="H1339" s="9">
        <v>0.0</v>
      </c>
      <c r="I1339" s="9">
        <v>0.0</v>
      </c>
      <c r="J1339" s="9">
        <v>20.0</v>
      </c>
      <c r="K1339" s="9">
        <v>90.0</v>
      </c>
      <c r="L1339" s="9">
        <v>3.8</v>
      </c>
      <c r="M1339" s="9">
        <v>76.0</v>
      </c>
      <c r="N1339" s="9">
        <v>14.0</v>
      </c>
      <c r="O1339" s="12">
        <v>46054.0</v>
      </c>
      <c r="P1339" s="16"/>
    </row>
    <row r="1340">
      <c r="A1340" s="9">
        <v>2.509000369E9</v>
      </c>
      <c r="B1340" s="10" t="s">
        <v>24</v>
      </c>
      <c r="C1340" s="9">
        <v>127.0</v>
      </c>
      <c r="D1340" s="10" t="s">
        <v>228</v>
      </c>
      <c r="E1340" s="9">
        <v>4.0</v>
      </c>
      <c r="F1340" s="9">
        <v>7.0</v>
      </c>
      <c r="G1340" s="9">
        <v>28.0</v>
      </c>
      <c r="H1340" s="9">
        <v>0.0</v>
      </c>
      <c r="I1340" s="9">
        <v>0.0</v>
      </c>
      <c r="J1340" s="9">
        <v>7.0</v>
      </c>
      <c r="K1340" s="9">
        <v>28.0</v>
      </c>
      <c r="L1340" s="9">
        <v>2.35</v>
      </c>
      <c r="M1340" s="9">
        <v>16.45</v>
      </c>
      <c r="N1340" s="9">
        <v>11.55</v>
      </c>
      <c r="O1340" s="12">
        <v>46054.0</v>
      </c>
      <c r="P1340" s="16"/>
    </row>
    <row r="1341">
      <c r="A1341" s="9">
        <v>2.509000369E9</v>
      </c>
      <c r="B1341" s="10" t="s">
        <v>24</v>
      </c>
      <c r="C1341" s="9">
        <v>130.0</v>
      </c>
      <c r="D1341" s="10" t="s">
        <v>243</v>
      </c>
      <c r="E1341" s="9">
        <v>3.0</v>
      </c>
      <c r="F1341" s="9">
        <v>10.0</v>
      </c>
      <c r="G1341" s="9">
        <v>30.0</v>
      </c>
      <c r="H1341" s="9">
        <v>0.0</v>
      </c>
      <c r="I1341" s="9">
        <v>0.0</v>
      </c>
      <c r="J1341" s="9">
        <v>10.0</v>
      </c>
      <c r="K1341" s="9">
        <v>30.0</v>
      </c>
      <c r="L1341" s="9">
        <v>1.75</v>
      </c>
      <c r="M1341" s="9">
        <v>17.5</v>
      </c>
      <c r="N1341" s="9">
        <v>12.5</v>
      </c>
      <c r="O1341" s="12">
        <v>46054.0</v>
      </c>
      <c r="P1341" s="16"/>
    </row>
    <row r="1342">
      <c r="A1342" s="9">
        <v>2.509000369E9</v>
      </c>
      <c r="B1342" s="10" t="s">
        <v>24</v>
      </c>
      <c r="C1342" s="9">
        <v>131.0</v>
      </c>
      <c r="D1342" s="10" t="s">
        <v>246</v>
      </c>
      <c r="E1342" s="9">
        <v>8.0</v>
      </c>
      <c r="F1342" s="9">
        <v>3.0</v>
      </c>
      <c r="G1342" s="9">
        <v>21.0</v>
      </c>
      <c r="H1342" s="9">
        <v>0.0</v>
      </c>
      <c r="I1342" s="9">
        <v>0.0</v>
      </c>
      <c r="J1342" s="9">
        <v>3.0</v>
      </c>
      <c r="K1342" s="9">
        <v>21.0</v>
      </c>
      <c r="L1342" s="9">
        <v>4.5</v>
      </c>
      <c r="M1342" s="9">
        <v>13.5</v>
      </c>
      <c r="N1342" s="9">
        <v>7.5</v>
      </c>
      <c r="O1342" s="12">
        <v>46054.0</v>
      </c>
      <c r="P1342" s="16"/>
    </row>
    <row r="1343">
      <c r="A1343" s="9">
        <v>2.50900037E9</v>
      </c>
      <c r="B1343" s="10" t="s">
        <v>17</v>
      </c>
      <c r="C1343" s="9">
        <v>0.0</v>
      </c>
      <c r="D1343" s="10" t="s">
        <v>247</v>
      </c>
      <c r="E1343" s="9">
        <v>0.0</v>
      </c>
      <c r="F1343" s="9">
        <v>3.0</v>
      </c>
      <c r="G1343" s="9">
        <v>7.0</v>
      </c>
      <c r="H1343" s="9">
        <v>0.0</v>
      </c>
      <c r="I1343" s="9">
        <v>0.0</v>
      </c>
      <c r="J1343" s="9">
        <v>3.0</v>
      </c>
      <c r="K1343" s="9">
        <v>7.0</v>
      </c>
      <c r="L1343" s="9">
        <v>0.0</v>
      </c>
      <c r="M1343" s="9">
        <v>0.0</v>
      </c>
      <c r="N1343" s="9">
        <v>7.0</v>
      </c>
      <c r="O1343" s="12">
        <v>46054.0</v>
      </c>
      <c r="P1343" s="16"/>
    </row>
    <row r="1344">
      <c r="A1344" s="9">
        <v>2.50900037E9</v>
      </c>
      <c r="B1344" s="10" t="s">
        <v>17</v>
      </c>
      <c r="C1344" s="9">
        <v>0.0</v>
      </c>
      <c r="D1344" s="10" t="s">
        <v>247</v>
      </c>
      <c r="E1344" s="9">
        <v>0.0</v>
      </c>
      <c r="F1344" s="9">
        <v>20.0</v>
      </c>
      <c r="G1344" s="9">
        <v>2.0</v>
      </c>
      <c r="H1344" s="9">
        <v>0.0</v>
      </c>
      <c r="I1344" s="9">
        <v>0.0</v>
      </c>
      <c r="J1344" s="9">
        <v>20.0</v>
      </c>
      <c r="K1344" s="9">
        <v>2.0</v>
      </c>
      <c r="L1344" s="9">
        <v>0.0</v>
      </c>
      <c r="M1344" s="9">
        <v>0.0</v>
      </c>
      <c r="N1344" s="9">
        <v>2.0</v>
      </c>
      <c r="O1344" s="12">
        <v>46054.0</v>
      </c>
      <c r="P1344" s="16"/>
    </row>
    <row r="1345">
      <c r="A1345" s="9">
        <v>2.50900037E9</v>
      </c>
      <c r="B1345" s="10" t="s">
        <v>17</v>
      </c>
      <c r="C1345" s="9">
        <v>1.0</v>
      </c>
      <c r="D1345" s="10" t="s">
        <v>129</v>
      </c>
      <c r="E1345" s="9">
        <v>5.0</v>
      </c>
      <c r="F1345" s="9">
        <v>46.0</v>
      </c>
      <c r="G1345" s="9">
        <v>243.0</v>
      </c>
      <c r="H1345" s="9">
        <v>0.0</v>
      </c>
      <c r="I1345" s="9">
        <v>0.0</v>
      </c>
      <c r="J1345" s="9">
        <v>46.0</v>
      </c>
      <c r="K1345" s="9">
        <v>243.0</v>
      </c>
      <c r="L1345" s="9">
        <v>2.93</v>
      </c>
      <c r="M1345" s="9">
        <v>134.78</v>
      </c>
      <c r="N1345" s="9">
        <v>108.22</v>
      </c>
      <c r="O1345" s="12">
        <v>46054.0</v>
      </c>
      <c r="P1345" s="16"/>
    </row>
    <row r="1346">
      <c r="A1346" s="9">
        <v>2.50900037E9</v>
      </c>
      <c r="B1346" s="10" t="s">
        <v>17</v>
      </c>
      <c r="C1346" s="9">
        <v>2.0</v>
      </c>
      <c r="D1346" s="10" t="s">
        <v>74</v>
      </c>
      <c r="E1346" s="9">
        <v>1.0</v>
      </c>
      <c r="F1346" s="9">
        <v>327.0</v>
      </c>
      <c r="G1346" s="9">
        <v>295.0</v>
      </c>
      <c r="H1346" s="9">
        <v>0.0</v>
      </c>
      <c r="I1346" s="9">
        <v>0.0</v>
      </c>
      <c r="J1346" s="9">
        <v>327.0</v>
      </c>
      <c r="K1346" s="9">
        <v>295.0</v>
      </c>
      <c r="L1346" s="9">
        <v>0.28</v>
      </c>
      <c r="M1346" s="9">
        <v>91.56</v>
      </c>
      <c r="N1346" s="9">
        <v>203.44</v>
      </c>
      <c r="O1346" s="12">
        <v>46054.0</v>
      </c>
      <c r="P1346" s="16"/>
    </row>
    <row r="1347">
      <c r="A1347" s="9">
        <v>2.50900037E9</v>
      </c>
      <c r="B1347" s="10" t="s">
        <v>17</v>
      </c>
      <c r="C1347" s="9">
        <v>3.0</v>
      </c>
      <c r="D1347" s="10" t="s">
        <v>125</v>
      </c>
      <c r="E1347" s="9">
        <v>8.0</v>
      </c>
      <c r="F1347" s="9">
        <v>14.0</v>
      </c>
      <c r="G1347" s="9">
        <v>104.0</v>
      </c>
      <c r="H1347" s="9">
        <v>0.0</v>
      </c>
      <c r="I1347" s="9">
        <v>0.0</v>
      </c>
      <c r="J1347" s="9">
        <v>14.0</v>
      </c>
      <c r="K1347" s="9">
        <v>104.0</v>
      </c>
      <c r="L1347" s="9">
        <v>7.5</v>
      </c>
      <c r="M1347" s="9">
        <v>105.0</v>
      </c>
      <c r="N1347" s="9">
        <v>-1.0</v>
      </c>
      <c r="O1347" s="12">
        <v>46054.0</v>
      </c>
      <c r="P1347" s="16"/>
    </row>
    <row r="1348">
      <c r="A1348" s="9">
        <v>2.50900037E9</v>
      </c>
      <c r="B1348" s="10" t="s">
        <v>17</v>
      </c>
      <c r="C1348" s="9">
        <v>8.0</v>
      </c>
      <c r="D1348" s="10" t="s">
        <v>133</v>
      </c>
      <c r="E1348" s="9">
        <v>5.0</v>
      </c>
      <c r="F1348" s="9">
        <v>4.0</v>
      </c>
      <c r="G1348" s="9">
        <v>20.0</v>
      </c>
      <c r="H1348" s="9">
        <v>0.0</v>
      </c>
      <c r="I1348" s="9">
        <v>0.0</v>
      </c>
      <c r="J1348" s="9">
        <v>4.0</v>
      </c>
      <c r="K1348" s="9">
        <v>20.0</v>
      </c>
      <c r="L1348" s="9">
        <v>3.45</v>
      </c>
      <c r="M1348" s="9">
        <v>13.8</v>
      </c>
      <c r="N1348" s="9">
        <v>6.2</v>
      </c>
      <c r="O1348" s="12">
        <v>46054.0</v>
      </c>
      <c r="P1348" s="16"/>
    </row>
    <row r="1349">
      <c r="A1349" s="9">
        <v>2.50900037E9</v>
      </c>
      <c r="B1349" s="10" t="s">
        <v>17</v>
      </c>
      <c r="C1349" s="9">
        <v>10.0</v>
      </c>
      <c r="D1349" s="10" t="s">
        <v>135</v>
      </c>
      <c r="E1349" s="9">
        <v>8.0</v>
      </c>
      <c r="F1349" s="9">
        <v>5.0</v>
      </c>
      <c r="G1349" s="9">
        <v>41.0</v>
      </c>
      <c r="H1349" s="9">
        <v>0.0</v>
      </c>
      <c r="I1349" s="9">
        <v>0.0</v>
      </c>
      <c r="J1349" s="9">
        <v>5.0</v>
      </c>
      <c r="K1349" s="9">
        <v>41.0</v>
      </c>
      <c r="L1349" s="9">
        <v>5.83</v>
      </c>
      <c r="M1349" s="9">
        <v>29.15</v>
      </c>
      <c r="N1349" s="9">
        <v>11.85</v>
      </c>
      <c r="O1349" s="12">
        <v>46054.0</v>
      </c>
      <c r="P1349" s="16"/>
    </row>
    <row r="1350">
      <c r="A1350" s="9">
        <v>2.50900037E9</v>
      </c>
      <c r="B1350" s="10" t="s">
        <v>17</v>
      </c>
      <c r="C1350" s="9">
        <v>11.0</v>
      </c>
      <c r="D1350" s="10" t="s">
        <v>86</v>
      </c>
      <c r="E1350" s="9">
        <v>5.0</v>
      </c>
      <c r="F1350" s="9">
        <v>68.0</v>
      </c>
      <c r="G1350" s="9">
        <v>305.0</v>
      </c>
      <c r="H1350" s="9">
        <v>0.0</v>
      </c>
      <c r="I1350" s="9">
        <v>0.0</v>
      </c>
      <c r="J1350" s="9">
        <v>68.0</v>
      </c>
      <c r="K1350" s="9">
        <v>305.0</v>
      </c>
      <c r="L1350" s="9">
        <v>4.29</v>
      </c>
      <c r="M1350" s="9">
        <v>291.72</v>
      </c>
      <c r="N1350" s="9">
        <v>13.28</v>
      </c>
      <c r="O1350" s="12">
        <v>46054.0</v>
      </c>
      <c r="P1350" s="16"/>
    </row>
    <row r="1351">
      <c r="A1351" s="9">
        <v>2.50900037E9</v>
      </c>
      <c r="B1351" s="10" t="s">
        <v>17</v>
      </c>
      <c r="C1351" s="9">
        <v>14.0</v>
      </c>
      <c r="D1351" s="10" t="s">
        <v>138</v>
      </c>
      <c r="E1351" s="9">
        <v>8.0</v>
      </c>
      <c r="F1351" s="9">
        <v>15.0</v>
      </c>
      <c r="G1351" s="9">
        <v>67.0</v>
      </c>
      <c r="H1351" s="9">
        <v>0.0</v>
      </c>
      <c r="I1351" s="9">
        <v>0.0</v>
      </c>
      <c r="J1351" s="9">
        <v>15.0</v>
      </c>
      <c r="K1351" s="9">
        <v>67.0</v>
      </c>
      <c r="L1351" s="9">
        <v>7.0</v>
      </c>
      <c r="M1351" s="9">
        <v>105.0</v>
      </c>
      <c r="N1351" s="9">
        <v>-38.0</v>
      </c>
      <c r="O1351" s="12">
        <v>46054.0</v>
      </c>
      <c r="P1351" s="16"/>
    </row>
    <row r="1352">
      <c r="A1352" s="9">
        <v>2.50900037E9</v>
      </c>
      <c r="B1352" s="10" t="s">
        <v>17</v>
      </c>
      <c r="C1352" s="9">
        <v>18.0</v>
      </c>
      <c r="D1352" s="10" t="s">
        <v>53</v>
      </c>
      <c r="E1352" s="9">
        <v>25.0</v>
      </c>
      <c r="F1352" s="9">
        <v>3.0</v>
      </c>
      <c r="G1352" s="9">
        <v>105.0</v>
      </c>
      <c r="H1352" s="9">
        <v>0.0</v>
      </c>
      <c r="I1352" s="9">
        <v>0.0</v>
      </c>
      <c r="J1352" s="9">
        <v>3.0</v>
      </c>
      <c r="K1352" s="9">
        <v>105.0</v>
      </c>
      <c r="L1352" s="9">
        <v>15.0</v>
      </c>
      <c r="M1352" s="9">
        <v>45.0</v>
      </c>
      <c r="N1352" s="9">
        <v>60.0</v>
      </c>
      <c r="O1352" s="12">
        <v>46054.0</v>
      </c>
      <c r="P1352" s="16"/>
    </row>
    <row r="1353">
      <c r="A1353" s="9">
        <v>2.50900037E9</v>
      </c>
      <c r="B1353" s="10" t="s">
        <v>17</v>
      </c>
      <c r="C1353" s="9">
        <v>19.0</v>
      </c>
      <c r="D1353" s="10" t="s">
        <v>72</v>
      </c>
      <c r="E1353" s="9">
        <v>3.0</v>
      </c>
      <c r="F1353" s="9">
        <v>11.0</v>
      </c>
      <c r="G1353" s="9">
        <v>24.0</v>
      </c>
      <c r="H1353" s="9">
        <v>0.0</v>
      </c>
      <c r="I1353" s="9">
        <v>0.0</v>
      </c>
      <c r="J1353" s="9">
        <v>11.0</v>
      </c>
      <c r="K1353" s="9">
        <v>24.0</v>
      </c>
      <c r="L1353" s="9">
        <v>1.79</v>
      </c>
      <c r="M1353" s="9">
        <v>19.69</v>
      </c>
      <c r="N1353" s="9">
        <v>4.31</v>
      </c>
      <c r="O1353" s="12">
        <v>46054.0</v>
      </c>
      <c r="P1353" s="16"/>
    </row>
    <row r="1354">
      <c r="A1354" s="9">
        <v>2.50900037E9</v>
      </c>
      <c r="B1354" s="10" t="s">
        <v>17</v>
      </c>
      <c r="C1354" s="9">
        <v>20.0</v>
      </c>
      <c r="D1354" s="10" t="s">
        <v>141</v>
      </c>
      <c r="E1354" s="9">
        <v>10.0</v>
      </c>
      <c r="F1354" s="9">
        <v>3.0</v>
      </c>
      <c r="G1354" s="9">
        <v>21.5</v>
      </c>
      <c r="H1354" s="9">
        <v>0.0</v>
      </c>
      <c r="I1354" s="9">
        <v>0.0</v>
      </c>
      <c r="J1354" s="9">
        <v>3.0</v>
      </c>
      <c r="K1354" s="9">
        <v>21.5</v>
      </c>
      <c r="L1354" s="9">
        <v>5.96</v>
      </c>
      <c r="M1354" s="9">
        <v>17.88</v>
      </c>
      <c r="N1354" s="9">
        <v>3.62</v>
      </c>
      <c r="O1354" s="12">
        <v>46054.0</v>
      </c>
      <c r="P1354" s="16"/>
    </row>
    <row r="1355">
      <c r="A1355" s="9">
        <v>2.50900037E9</v>
      </c>
      <c r="B1355" s="10" t="s">
        <v>17</v>
      </c>
      <c r="C1355" s="9">
        <v>21.0</v>
      </c>
      <c r="D1355" s="10" t="s">
        <v>79</v>
      </c>
      <c r="E1355" s="9">
        <v>3.0</v>
      </c>
      <c r="F1355" s="9">
        <v>23.0</v>
      </c>
      <c r="G1355" s="9">
        <v>66.0</v>
      </c>
      <c r="H1355" s="9">
        <v>0.0</v>
      </c>
      <c r="I1355" s="9">
        <v>0.0</v>
      </c>
      <c r="J1355" s="9">
        <v>23.0</v>
      </c>
      <c r="K1355" s="9">
        <v>66.0</v>
      </c>
      <c r="L1355" s="9">
        <v>2.25</v>
      </c>
      <c r="M1355" s="9">
        <v>51.75</v>
      </c>
      <c r="N1355" s="9">
        <v>14.25</v>
      </c>
      <c r="O1355" s="12">
        <v>46054.0</v>
      </c>
      <c r="P1355" s="16"/>
    </row>
    <row r="1356">
      <c r="A1356" s="9">
        <v>2.50900037E9</v>
      </c>
      <c r="B1356" s="10" t="s">
        <v>17</v>
      </c>
      <c r="C1356" s="9">
        <v>23.0</v>
      </c>
      <c r="D1356" s="10" t="s">
        <v>143</v>
      </c>
      <c r="E1356" s="9">
        <v>5.0</v>
      </c>
      <c r="F1356" s="9">
        <v>3.0</v>
      </c>
      <c r="G1356" s="9">
        <v>16.5</v>
      </c>
      <c r="H1356" s="9">
        <v>0.0</v>
      </c>
      <c r="I1356" s="9">
        <v>0.0</v>
      </c>
      <c r="J1356" s="9">
        <v>3.0</v>
      </c>
      <c r="K1356" s="9">
        <v>16.5</v>
      </c>
      <c r="L1356" s="9">
        <v>3.41</v>
      </c>
      <c r="M1356" s="9">
        <v>10.23</v>
      </c>
      <c r="N1356" s="9">
        <v>6.27</v>
      </c>
      <c r="O1356" s="12">
        <v>46054.0</v>
      </c>
      <c r="P1356" s="16"/>
    </row>
    <row r="1357">
      <c r="A1357" s="9">
        <v>2.50900037E9</v>
      </c>
      <c r="B1357" s="10" t="s">
        <v>17</v>
      </c>
      <c r="C1357" s="9">
        <v>29.0</v>
      </c>
      <c r="D1357" s="10" t="s">
        <v>147</v>
      </c>
      <c r="E1357" s="9">
        <v>3.0</v>
      </c>
      <c r="F1357" s="9">
        <v>12.0</v>
      </c>
      <c r="G1357" s="9">
        <v>36.0</v>
      </c>
      <c r="H1357" s="9">
        <v>0.0</v>
      </c>
      <c r="I1357" s="9">
        <v>0.0</v>
      </c>
      <c r="J1357" s="9">
        <v>12.0</v>
      </c>
      <c r="K1357" s="9">
        <v>36.0</v>
      </c>
      <c r="L1357" s="9">
        <v>2.25</v>
      </c>
      <c r="M1357" s="9">
        <v>27.0</v>
      </c>
      <c r="N1357" s="9">
        <v>9.0</v>
      </c>
      <c r="O1357" s="12">
        <v>46054.0</v>
      </c>
      <c r="P1357" s="16"/>
    </row>
    <row r="1358">
      <c r="A1358" s="9">
        <v>2.50900037E9</v>
      </c>
      <c r="B1358" s="10" t="s">
        <v>17</v>
      </c>
      <c r="C1358" s="9">
        <v>32.0</v>
      </c>
      <c r="D1358" s="10" t="s">
        <v>150</v>
      </c>
      <c r="E1358" s="9">
        <v>3.0</v>
      </c>
      <c r="F1358" s="9">
        <v>57.0</v>
      </c>
      <c r="G1358" s="9">
        <v>198.0</v>
      </c>
      <c r="H1358" s="9">
        <v>0.0</v>
      </c>
      <c r="I1358" s="9">
        <v>0.0</v>
      </c>
      <c r="J1358" s="9">
        <v>57.0</v>
      </c>
      <c r="K1358" s="9">
        <v>198.0</v>
      </c>
      <c r="L1358" s="9">
        <v>2.29</v>
      </c>
      <c r="M1358" s="9">
        <v>130.53</v>
      </c>
      <c r="N1358" s="9">
        <v>67.47</v>
      </c>
      <c r="O1358" s="12">
        <v>46054.0</v>
      </c>
      <c r="P1358" s="16"/>
    </row>
    <row r="1359">
      <c r="A1359" s="9">
        <v>2.50900037E9</v>
      </c>
      <c r="B1359" s="10" t="s">
        <v>17</v>
      </c>
      <c r="C1359" s="9">
        <v>32.0</v>
      </c>
      <c r="D1359" s="10" t="s">
        <v>150</v>
      </c>
      <c r="E1359" s="9">
        <v>3.0</v>
      </c>
      <c r="F1359" s="9">
        <v>4.0</v>
      </c>
      <c r="G1359" s="9">
        <v>14.0</v>
      </c>
      <c r="H1359" s="9">
        <v>0.0</v>
      </c>
      <c r="I1359" s="9">
        <v>0.0</v>
      </c>
      <c r="J1359" s="9">
        <v>4.0</v>
      </c>
      <c r="K1359" s="9">
        <v>14.0</v>
      </c>
      <c r="L1359" s="9">
        <v>2.29</v>
      </c>
      <c r="M1359" s="9">
        <v>9.16</v>
      </c>
      <c r="N1359" s="9">
        <v>4.84</v>
      </c>
      <c r="O1359" s="12">
        <v>46054.0</v>
      </c>
      <c r="P1359" s="16"/>
    </row>
    <row r="1360">
      <c r="A1360" s="9">
        <v>2.50900037E9</v>
      </c>
      <c r="B1360" s="10" t="s">
        <v>17</v>
      </c>
      <c r="C1360" s="9">
        <v>33.0</v>
      </c>
      <c r="D1360" s="10" t="s">
        <v>151</v>
      </c>
      <c r="E1360" s="9">
        <v>4.0</v>
      </c>
      <c r="F1360" s="9">
        <v>3.0</v>
      </c>
      <c r="G1360" s="9">
        <v>12.0</v>
      </c>
      <c r="H1360" s="9">
        <v>0.0</v>
      </c>
      <c r="I1360" s="9">
        <v>0.0</v>
      </c>
      <c r="J1360" s="9">
        <v>3.0</v>
      </c>
      <c r="K1360" s="9">
        <v>12.0</v>
      </c>
      <c r="L1360" s="9">
        <v>3.13</v>
      </c>
      <c r="M1360" s="9">
        <v>9.39</v>
      </c>
      <c r="N1360" s="9">
        <v>2.61</v>
      </c>
      <c r="O1360" s="12">
        <v>46054.0</v>
      </c>
      <c r="P1360" s="16"/>
    </row>
    <row r="1361">
      <c r="A1361" s="9">
        <v>2.50900037E9</v>
      </c>
      <c r="B1361" s="10" t="s">
        <v>17</v>
      </c>
      <c r="C1361" s="9">
        <v>36.0</v>
      </c>
      <c r="D1361" s="10" t="s">
        <v>153</v>
      </c>
      <c r="E1361" s="9">
        <v>4.0</v>
      </c>
      <c r="F1361" s="9">
        <v>1.0</v>
      </c>
      <c r="G1361" s="9">
        <v>4.0</v>
      </c>
      <c r="H1361" s="9">
        <v>0.0</v>
      </c>
      <c r="I1361" s="9">
        <v>0.0</v>
      </c>
      <c r="J1361" s="9">
        <v>1.0</v>
      </c>
      <c r="K1361" s="9">
        <v>4.0</v>
      </c>
      <c r="L1361" s="9">
        <v>1.6</v>
      </c>
      <c r="M1361" s="9">
        <v>1.6</v>
      </c>
      <c r="N1361" s="9">
        <v>2.4</v>
      </c>
      <c r="O1361" s="12">
        <v>46054.0</v>
      </c>
      <c r="P1361" s="16"/>
    </row>
    <row r="1362">
      <c r="A1362" s="9">
        <v>2.50900037E9</v>
      </c>
      <c r="B1362" s="10" t="s">
        <v>17</v>
      </c>
      <c r="C1362" s="9">
        <v>38.0</v>
      </c>
      <c r="D1362" s="10" t="s">
        <v>155</v>
      </c>
      <c r="E1362" s="9">
        <v>7.0</v>
      </c>
      <c r="F1362" s="9">
        <v>9.0</v>
      </c>
      <c r="G1362" s="9">
        <v>69.0</v>
      </c>
      <c r="H1362" s="9">
        <v>0.0</v>
      </c>
      <c r="I1362" s="9">
        <v>0.0</v>
      </c>
      <c r="J1362" s="9">
        <v>9.0</v>
      </c>
      <c r="K1362" s="9">
        <v>69.0</v>
      </c>
      <c r="L1362" s="9">
        <v>5.18</v>
      </c>
      <c r="M1362" s="9">
        <v>46.62</v>
      </c>
      <c r="N1362" s="9">
        <v>22.38</v>
      </c>
      <c r="O1362" s="12">
        <v>46054.0</v>
      </c>
      <c r="P1362" s="16"/>
    </row>
    <row r="1363">
      <c r="A1363" s="9">
        <v>2.50900037E9</v>
      </c>
      <c r="B1363" s="10" t="s">
        <v>17</v>
      </c>
      <c r="C1363" s="9">
        <v>49.0</v>
      </c>
      <c r="D1363" s="10" t="s">
        <v>165</v>
      </c>
      <c r="E1363" s="9">
        <v>3.0</v>
      </c>
      <c r="F1363" s="9">
        <v>18.0</v>
      </c>
      <c r="G1363" s="9">
        <v>54.0</v>
      </c>
      <c r="H1363" s="9">
        <v>0.0</v>
      </c>
      <c r="I1363" s="9">
        <v>0.0</v>
      </c>
      <c r="J1363" s="9">
        <v>18.0</v>
      </c>
      <c r="K1363" s="9">
        <v>54.0</v>
      </c>
      <c r="L1363" s="9">
        <v>2.04</v>
      </c>
      <c r="M1363" s="9">
        <v>36.72</v>
      </c>
      <c r="N1363" s="9">
        <v>17.28</v>
      </c>
      <c r="O1363" s="12">
        <v>46054.0</v>
      </c>
      <c r="P1363" s="16"/>
    </row>
    <row r="1364">
      <c r="A1364" s="9">
        <v>2.50900037E9</v>
      </c>
      <c r="B1364" s="10" t="s">
        <v>17</v>
      </c>
      <c r="C1364" s="9">
        <v>52.0</v>
      </c>
      <c r="D1364" s="10" t="s">
        <v>174</v>
      </c>
      <c r="E1364" s="9">
        <v>5.0</v>
      </c>
      <c r="F1364" s="9">
        <v>145.0</v>
      </c>
      <c r="G1364" s="9">
        <v>710.0</v>
      </c>
      <c r="H1364" s="9">
        <v>0.0</v>
      </c>
      <c r="I1364" s="9">
        <v>0.0</v>
      </c>
      <c r="J1364" s="9">
        <v>145.0</v>
      </c>
      <c r="K1364" s="9">
        <v>710.0</v>
      </c>
      <c r="L1364" s="9">
        <v>3.0</v>
      </c>
      <c r="M1364" s="9">
        <v>435.0</v>
      </c>
      <c r="N1364" s="9">
        <v>275.0</v>
      </c>
      <c r="O1364" s="12">
        <v>46054.0</v>
      </c>
      <c r="P1364" s="16"/>
    </row>
    <row r="1365">
      <c r="A1365" s="9">
        <v>2.50900037E9</v>
      </c>
      <c r="B1365" s="10" t="s">
        <v>17</v>
      </c>
      <c r="C1365" s="9">
        <v>54.0</v>
      </c>
      <c r="D1365" s="10" t="s">
        <v>168</v>
      </c>
      <c r="E1365" s="9">
        <v>3.0</v>
      </c>
      <c r="F1365" s="9">
        <v>13.0</v>
      </c>
      <c r="G1365" s="9">
        <v>33.0</v>
      </c>
      <c r="H1365" s="9">
        <v>0.0</v>
      </c>
      <c r="I1365" s="9">
        <v>0.0</v>
      </c>
      <c r="J1365" s="9">
        <v>13.0</v>
      </c>
      <c r="K1365" s="9">
        <v>33.0</v>
      </c>
      <c r="L1365" s="9">
        <v>2.25</v>
      </c>
      <c r="M1365" s="9">
        <v>29.25</v>
      </c>
      <c r="N1365" s="9">
        <v>3.75</v>
      </c>
      <c r="O1365" s="12">
        <v>46054.0</v>
      </c>
      <c r="P1365" s="16"/>
    </row>
    <row r="1366">
      <c r="A1366" s="9">
        <v>2.50900037E9</v>
      </c>
      <c r="B1366" s="10" t="s">
        <v>17</v>
      </c>
      <c r="C1366" s="9">
        <v>64.0</v>
      </c>
      <c r="D1366" s="10" t="s">
        <v>173</v>
      </c>
      <c r="E1366" s="9">
        <v>3.0</v>
      </c>
      <c r="F1366" s="9">
        <v>80.0</v>
      </c>
      <c r="G1366" s="9">
        <v>189.0</v>
      </c>
      <c r="H1366" s="9">
        <v>0.0</v>
      </c>
      <c r="I1366" s="9">
        <v>0.0</v>
      </c>
      <c r="J1366" s="9">
        <v>80.0</v>
      </c>
      <c r="K1366" s="9">
        <v>189.0</v>
      </c>
      <c r="L1366" s="9">
        <v>2.29</v>
      </c>
      <c r="M1366" s="9">
        <v>183.2</v>
      </c>
      <c r="N1366" s="9">
        <v>5.8</v>
      </c>
      <c r="O1366" s="12">
        <v>46054.0</v>
      </c>
      <c r="P1366" s="16"/>
    </row>
    <row r="1367">
      <c r="A1367" s="9">
        <v>2.50900037E9</v>
      </c>
      <c r="B1367" s="10" t="s">
        <v>17</v>
      </c>
      <c r="C1367" s="9">
        <v>64.0</v>
      </c>
      <c r="D1367" s="10" t="s">
        <v>173</v>
      </c>
      <c r="E1367" s="9">
        <v>3.0</v>
      </c>
      <c r="F1367" s="9">
        <v>4.0</v>
      </c>
      <c r="G1367" s="9">
        <v>14.0</v>
      </c>
      <c r="H1367" s="9">
        <v>0.0</v>
      </c>
      <c r="I1367" s="9">
        <v>0.0</v>
      </c>
      <c r="J1367" s="9">
        <v>4.0</v>
      </c>
      <c r="K1367" s="9">
        <v>14.0</v>
      </c>
      <c r="L1367" s="9">
        <v>2.29</v>
      </c>
      <c r="M1367" s="9">
        <v>9.16</v>
      </c>
      <c r="N1367" s="9">
        <v>4.84</v>
      </c>
      <c r="O1367" s="12">
        <v>46054.0</v>
      </c>
      <c r="P1367" s="16"/>
    </row>
    <row r="1368">
      <c r="A1368" s="9">
        <v>2.50900037E9</v>
      </c>
      <c r="B1368" s="10" t="s">
        <v>17</v>
      </c>
      <c r="C1368" s="9">
        <v>82.0</v>
      </c>
      <c r="D1368" s="10" t="s">
        <v>197</v>
      </c>
      <c r="E1368" s="9">
        <v>2.0</v>
      </c>
      <c r="F1368" s="9">
        <v>8.0</v>
      </c>
      <c r="G1368" s="9">
        <v>16.0</v>
      </c>
      <c r="H1368" s="9">
        <v>0.0</v>
      </c>
      <c r="I1368" s="9">
        <v>0.0</v>
      </c>
      <c r="J1368" s="9">
        <v>8.0</v>
      </c>
      <c r="K1368" s="9">
        <v>16.0</v>
      </c>
      <c r="L1368" s="9">
        <v>0.95</v>
      </c>
      <c r="M1368" s="9">
        <v>7.6</v>
      </c>
      <c r="N1368" s="9">
        <v>8.4</v>
      </c>
      <c r="O1368" s="12">
        <v>46054.0</v>
      </c>
      <c r="P1368" s="16"/>
    </row>
    <row r="1369">
      <c r="A1369" s="9">
        <v>2.50900037E9</v>
      </c>
      <c r="B1369" s="10" t="s">
        <v>17</v>
      </c>
      <c r="C1369" s="9">
        <v>83.0</v>
      </c>
      <c r="D1369" s="10" t="s">
        <v>180</v>
      </c>
      <c r="E1369" s="9">
        <v>7.0</v>
      </c>
      <c r="F1369" s="9">
        <v>10.0</v>
      </c>
      <c r="G1369" s="9">
        <v>50.0</v>
      </c>
      <c r="H1369" s="9">
        <v>0.0</v>
      </c>
      <c r="I1369" s="9">
        <v>0.0</v>
      </c>
      <c r="J1369" s="9">
        <v>10.0</v>
      </c>
      <c r="K1369" s="9">
        <v>50.0</v>
      </c>
      <c r="L1369" s="9">
        <v>6.0</v>
      </c>
      <c r="M1369" s="9">
        <v>60.0</v>
      </c>
      <c r="N1369" s="9">
        <v>-10.0</v>
      </c>
      <c r="O1369" s="12">
        <v>46054.0</v>
      </c>
      <c r="P1369" s="16"/>
    </row>
    <row r="1370">
      <c r="A1370" s="9">
        <v>2.50900037E9</v>
      </c>
      <c r="B1370" s="10" t="s">
        <v>17</v>
      </c>
      <c r="C1370" s="9">
        <v>86.0</v>
      </c>
      <c r="D1370" s="10" t="s">
        <v>201</v>
      </c>
      <c r="E1370" s="9">
        <v>5.0</v>
      </c>
      <c r="F1370" s="9">
        <v>15.0</v>
      </c>
      <c r="G1370" s="9">
        <v>122.0</v>
      </c>
      <c r="H1370" s="9">
        <v>0.0</v>
      </c>
      <c r="I1370" s="9">
        <v>0.0</v>
      </c>
      <c r="J1370" s="9">
        <v>15.0</v>
      </c>
      <c r="K1370" s="9">
        <v>122.0</v>
      </c>
      <c r="L1370" s="9">
        <v>3.0</v>
      </c>
      <c r="M1370" s="9">
        <v>45.0</v>
      </c>
      <c r="N1370" s="9">
        <v>77.0</v>
      </c>
      <c r="O1370" s="12">
        <v>46054.0</v>
      </c>
      <c r="P1370" s="16"/>
    </row>
    <row r="1371">
      <c r="A1371" s="9">
        <v>2.50900037E9</v>
      </c>
      <c r="B1371" s="10" t="s">
        <v>17</v>
      </c>
      <c r="C1371" s="9">
        <v>92.0</v>
      </c>
      <c r="D1371" s="10" t="s">
        <v>209</v>
      </c>
      <c r="E1371" s="9">
        <v>5.0</v>
      </c>
      <c r="F1371" s="9">
        <v>3.0</v>
      </c>
      <c r="G1371" s="9">
        <v>16.5</v>
      </c>
      <c r="H1371" s="9">
        <v>0.0</v>
      </c>
      <c r="I1371" s="9">
        <v>0.0</v>
      </c>
      <c r="J1371" s="9">
        <v>3.0</v>
      </c>
      <c r="K1371" s="9">
        <v>16.5</v>
      </c>
      <c r="L1371" s="9">
        <v>3.5</v>
      </c>
      <c r="M1371" s="9">
        <v>10.5</v>
      </c>
      <c r="N1371" s="9">
        <v>6.0</v>
      </c>
      <c r="O1371" s="12">
        <v>46054.0</v>
      </c>
      <c r="P1371" s="16"/>
    </row>
    <row r="1372">
      <c r="A1372" s="9">
        <v>2.50900037E9</v>
      </c>
      <c r="B1372" s="10" t="s">
        <v>17</v>
      </c>
      <c r="C1372" s="9">
        <v>96.0</v>
      </c>
      <c r="D1372" s="10" t="s">
        <v>212</v>
      </c>
      <c r="E1372" s="9">
        <v>5.0</v>
      </c>
      <c r="F1372" s="9">
        <v>34.0</v>
      </c>
      <c r="G1372" s="9">
        <v>175.0</v>
      </c>
      <c r="H1372" s="9">
        <v>0.0</v>
      </c>
      <c r="I1372" s="9">
        <v>0.0</v>
      </c>
      <c r="J1372" s="9">
        <v>34.0</v>
      </c>
      <c r="K1372" s="9">
        <v>175.0</v>
      </c>
      <c r="L1372" s="9">
        <v>2.93</v>
      </c>
      <c r="M1372" s="9">
        <v>99.62</v>
      </c>
      <c r="N1372" s="9">
        <v>75.38</v>
      </c>
      <c r="O1372" s="12">
        <v>46054.0</v>
      </c>
      <c r="P1372" s="16"/>
    </row>
    <row r="1373">
      <c r="A1373" s="9">
        <v>2.50900037E9</v>
      </c>
      <c r="B1373" s="10" t="s">
        <v>17</v>
      </c>
      <c r="C1373" s="9">
        <v>97.0</v>
      </c>
      <c r="D1373" s="10" t="s">
        <v>115</v>
      </c>
      <c r="E1373" s="9">
        <v>5.0</v>
      </c>
      <c r="F1373" s="9">
        <v>31.0</v>
      </c>
      <c r="G1373" s="9">
        <v>158.0</v>
      </c>
      <c r="H1373" s="9">
        <v>0.0</v>
      </c>
      <c r="I1373" s="9">
        <v>0.0</v>
      </c>
      <c r="J1373" s="9">
        <v>31.0</v>
      </c>
      <c r="K1373" s="9">
        <v>158.0</v>
      </c>
      <c r="L1373" s="9">
        <v>2.93</v>
      </c>
      <c r="M1373" s="9">
        <v>90.83</v>
      </c>
      <c r="N1373" s="9">
        <v>67.17</v>
      </c>
      <c r="O1373" s="12">
        <v>46054.0</v>
      </c>
      <c r="P1373" s="16"/>
    </row>
    <row r="1374">
      <c r="A1374" s="9">
        <v>2.50900037E9</v>
      </c>
      <c r="B1374" s="10" t="s">
        <v>17</v>
      </c>
      <c r="C1374" s="9">
        <v>98.0</v>
      </c>
      <c r="D1374" s="10" t="s">
        <v>118</v>
      </c>
      <c r="E1374" s="9">
        <v>5.0</v>
      </c>
      <c r="F1374" s="9">
        <v>4.0</v>
      </c>
      <c r="G1374" s="9">
        <v>16.5</v>
      </c>
      <c r="H1374" s="9">
        <v>0.0</v>
      </c>
      <c r="I1374" s="9">
        <v>0.0</v>
      </c>
      <c r="J1374" s="9">
        <v>4.0</v>
      </c>
      <c r="K1374" s="9">
        <v>16.5</v>
      </c>
      <c r="L1374" s="9">
        <v>3.17</v>
      </c>
      <c r="M1374" s="9">
        <v>12.68</v>
      </c>
      <c r="N1374" s="9">
        <v>3.82</v>
      </c>
      <c r="O1374" s="12">
        <v>46054.0</v>
      </c>
      <c r="P1374" s="16"/>
    </row>
    <row r="1375">
      <c r="A1375" s="9">
        <v>2.50900037E9</v>
      </c>
      <c r="B1375" s="10" t="s">
        <v>17</v>
      </c>
      <c r="C1375" s="9">
        <v>99.0</v>
      </c>
      <c r="D1375" s="10" t="s">
        <v>213</v>
      </c>
      <c r="E1375" s="9">
        <v>3.0</v>
      </c>
      <c r="F1375" s="9">
        <v>10.0</v>
      </c>
      <c r="G1375" s="9">
        <v>34.0</v>
      </c>
      <c r="H1375" s="9">
        <v>0.0</v>
      </c>
      <c r="I1375" s="9">
        <v>0.0</v>
      </c>
      <c r="J1375" s="9">
        <v>10.0</v>
      </c>
      <c r="K1375" s="9">
        <v>34.0</v>
      </c>
      <c r="L1375" s="9">
        <v>2.25</v>
      </c>
      <c r="M1375" s="9">
        <v>22.5</v>
      </c>
      <c r="N1375" s="9">
        <v>11.5</v>
      </c>
      <c r="O1375" s="12">
        <v>46054.0</v>
      </c>
      <c r="P1375" s="16"/>
    </row>
    <row r="1376">
      <c r="A1376" s="9">
        <v>2.50900037E9</v>
      </c>
      <c r="B1376" s="10" t="s">
        <v>17</v>
      </c>
      <c r="C1376" s="9">
        <v>102.0</v>
      </c>
      <c r="D1376" s="10" t="s">
        <v>222</v>
      </c>
      <c r="E1376" s="9">
        <v>15.0</v>
      </c>
      <c r="F1376" s="9">
        <v>2.0</v>
      </c>
      <c r="G1376" s="9">
        <v>30.0</v>
      </c>
      <c r="H1376" s="9">
        <v>0.0</v>
      </c>
      <c r="I1376" s="9">
        <v>0.0</v>
      </c>
      <c r="J1376" s="9">
        <v>2.0</v>
      </c>
      <c r="K1376" s="9">
        <v>30.0</v>
      </c>
      <c r="L1376" s="9">
        <v>8.0</v>
      </c>
      <c r="M1376" s="9">
        <v>16.0</v>
      </c>
      <c r="N1376" s="9">
        <v>14.0</v>
      </c>
      <c r="O1376" s="12">
        <v>46054.0</v>
      </c>
      <c r="P1376" s="16"/>
    </row>
    <row r="1377">
      <c r="A1377" s="9">
        <v>2.50900037E9</v>
      </c>
      <c r="B1377" s="10" t="s">
        <v>17</v>
      </c>
      <c r="C1377" s="9">
        <v>106.0</v>
      </c>
      <c r="D1377" s="10" t="s">
        <v>214</v>
      </c>
      <c r="E1377" s="9">
        <v>7.0</v>
      </c>
      <c r="F1377" s="9">
        <v>14.0</v>
      </c>
      <c r="G1377" s="9">
        <v>94.0</v>
      </c>
      <c r="H1377" s="9">
        <v>0.0</v>
      </c>
      <c r="I1377" s="9">
        <v>0.0</v>
      </c>
      <c r="J1377" s="9">
        <v>14.0</v>
      </c>
      <c r="K1377" s="9">
        <v>94.0</v>
      </c>
      <c r="L1377" s="9">
        <v>4.79</v>
      </c>
      <c r="M1377" s="9">
        <v>67.06</v>
      </c>
      <c r="N1377" s="9">
        <v>26.94</v>
      </c>
      <c r="O1377" s="12">
        <v>46054.0</v>
      </c>
      <c r="P1377" s="16"/>
    </row>
    <row r="1378">
      <c r="A1378" s="9">
        <v>2.50900037E9</v>
      </c>
      <c r="B1378" s="10" t="s">
        <v>17</v>
      </c>
      <c r="C1378" s="9">
        <v>114.0</v>
      </c>
      <c r="D1378" s="10" t="s">
        <v>218</v>
      </c>
      <c r="E1378" s="9">
        <v>5.0</v>
      </c>
      <c r="F1378" s="9">
        <v>13.0</v>
      </c>
      <c r="G1378" s="9">
        <v>65.0</v>
      </c>
      <c r="H1378" s="9">
        <v>0.0</v>
      </c>
      <c r="I1378" s="9">
        <v>0.0</v>
      </c>
      <c r="J1378" s="9">
        <v>13.0</v>
      </c>
      <c r="K1378" s="9">
        <v>65.0</v>
      </c>
      <c r="L1378" s="9">
        <v>2.25</v>
      </c>
      <c r="M1378" s="9">
        <v>29.25</v>
      </c>
      <c r="N1378" s="9">
        <v>35.75</v>
      </c>
      <c r="O1378" s="12">
        <v>46054.0</v>
      </c>
      <c r="P1378" s="16"/>
    </row>
    <row r="1379">
      <c r="A1379" s="9">
        <v>2.50900037E9</v>
      </c>
      <c r="B1379" s="10" t="s">
        <v>17</v>
      </c>
      <c r="C1379" s="9">
        <v>115.0</v>
      </c>
      <c r="D1379" s="10" t="s">
        <v>240</v>
      </c>
      <c r="E1379" s="9">
        <v>6.5</v>
      </c>
      <c r="F1379" s="9">
        <v>5.0</v>
      </c>
      <c r="G1379" s="9">
        <v>18.0</v>
      </c>
      <c r="H1379" s="9">
        <v>0.0</v>
      </c>
      <c r="I1379" s="9">
        <v>0.0</v>
      </c>
      <c r="J1379" s="9">
        <v>5.0</v>
      </c>
      <c r="K1379" s="9">
        <v>18.0</v>
      </c>
      <c r="L1379" s="9">
        <v>4.5</v>
      </c>
      <c r="M1379" s="9">
        <v>22.5</v>
      </c>
      <c r="N1379" s="9">
        <v>-4.5</v>
      </c>
      <c r="O1379" s="12">
        <v>46054.0</v>
      </c>
      <c r="P1379" s="16"/>
    </row>
    <row r="1380">
      <c r="A1380" s="9">
        <v>2.50900037E9</v>
      </c>
      <c r="B1380" s="10" t="s">
        <v>17</v>
      </c>
      <c r="C1380" s="9">
        <v>118.0</v>
      </c>
      <c r="D1380" s="10" t="s">
        <v>223</v>
      </c>
      <c r="E1380" s="9">
        <v>3.0</v>
      </c>
      <c r="F1380" s="9">
        <v>40.0</v>
      </c>
      <c r="G1380" s="9">
        <v>81.0</v>
      </c>
      <c r="H1380" s="9">
        <v>0.0</v>
      </c>
      <c r="I1380" s="9">
        <v>0.0</v>
      </c>
      <c r="J1380" s="9">
        <v>40.0</v>
      </c>
      <c r="K1380" s="9">
        <v>81.0</v>
      </c>
      <c r="L1380" s="9">
        <v>1.37</v>
      </c>
      <c r="M1380" s="9">
        <v>54.8</v>
      </c>
      <c r="N1380" s="9">
        <v>26.2</v>
      </c>
      <c r="O1380" s="12">
        <v>46054.0</v>
      </c>
      <c r="P1380" s="16"/>
    </row>
    <row r="1381">
      <c r="A1381" s="9">
        <v>2.50900037E9</v>
      </c>
      <c r="B1381" s="10" t="s">
        <v>17</v>
      </c>
      <c r="C1381" s="9">
        <v>119.0</v>
      </c>
      <c r="D1381" s="10" t="s">
        <v>224</v>
      </c>
      <c r="E1381" s="9">
        <v>5.0</v>
      </c>
      <c r="F1381" s="9">
        <v>77.0</v>
      </c>
      <c r="G1381" s="9">
        <v>280.0</v>
      </c>
      <c r="H1381" s="9">
        <v>0.0</v>
      </c>
      <c r="I1381" s="9">
        <v>0.0</v>
      </c>
      <c r="J1381" s="9">
        <v>77.0</v>
      </c>
      <c r="K1381" s="9">
        <v>280.0</v>
      </c>
      <c r="L1381" s="9">
        <v>4.08</v>
      </c>
      <c r="M1381" s="9">
        <v>314.16</v>
      </c>
      <c r="N1381" s="9">
        <v>-34.16</v>
      </c>
      <c r="O1381" s="12">
        <v>46054.0</v>
      </c>
      <c r="P1381" s="16"/>
    </row>
    <row r="1382">
      <c r="A1382" s="9">
        <v>2.50900037E9</v>
      </c>
      <c r="B1382" s="10" t="s">
        <v>17</v>
      </c>
      <c r="C1382" s="9">
        <v>120.0</v>
      </c>
      <c r="D1382" s="10" t="s">
        <v>239</v>
      </c>
      <c r="E1382" s="9">
        <v>7.0</v>
      </c>
      <c r="F1382" s="9">
        <v>14.0</v>
      </c>
      <c r="G1382" s="9">
        <v>71.0</v>
      </c>
      <c r="H1382" s="9">
        <v>0.0</v>
      </c>
      <c r="I1382" s="9">
        <v>0.0</v>
      </c>
      <c r="J1382" s="9">
        <v>14.0</v>
      </c>
      <c r="K1382" s="9">
        <v>71.0</v>
      </c>
      <c r="L1382" s="9">
        <v>3.5</v>
      </c>
      <c r="M1382" s="9">
        <v>49.0</v>
      </c>
      <c r="N1382" s="9">
        <v>22.0</v>
      </c>
      <c r="O1382" s="12">
        <v>46054.0</v>
      </c>
      <c r="P1382" s="16"/>
    </row>
    <row r="1383">
      <c r="A1383" s="9">
        <v>2.50900037E9</v>
      </c>
      <c r="B1383" s="10" t="s">
        <v>17</v>
      </c>
      <c r="C1383" s="9">
        <v>123.0</v>
      </c>
      <c r="D1383" s="10" t="s">
        <v>220</v>
      </c>
      <c r="E1383" s="9">
        <v>5.0</v>
      </c>
      <c r="F1383" s="9">
        <v>2.0</v>
      </c>
      <c r="G1383" s="9">
        <v>12.0</v>
      </c>
      <c r="H1383" s="9">
        <v>0.0</v>
      </c>
      <c r="I1383" s="9">
        <v>0.0</v>
      </c>
      <c r="J1383" s="9">
        <v>2.0</v>
      </c>
      <c r="K1383" s="9">
        <v>12.0</v>
      </c>
      <c r="L1383" s="9">
        <v>3.8</v>
      </c>
      <c r="M1383" s="9">
        <v>7.6</v>
      </c>
      <c r="N1383" s="9">
        <v>4.4</v>
      </c>
      <c r="O1383" s="12">
        <v>46054.0</v>
      </c>
      <c r="P1383" s="16"/>
    </row>
    <row r="1384">
      <c r="A1384" s="9">
        <v>2.50900037E9</v>
      </c>
      <c r="B1384" s="10" t="s">
        <v>17</v>
      </c>
      <c r="C1384" s="9">
        <v>127.0</v>
      </c>
      <c r="D1384" s="10" t="s">
        <v>228</v>
      </c>
      <c r="E1384" s="9">
        <v>4.0</v>
      </c>
      <c r="F1384" s="9">
        <v>9.0</v>
      </c>
      <c r="G1384" s="9">
        <v>36.0</v>
      </c>
      <c r="H1384" s="9">
        <v>0.0</v>
      </c>
      <c r="I1384" s="9">
        <v>0.0</v>
      </c>
      <c r="J1384" s="9">
        <v>9.0</v>
      </c>
      <c r="K1384" s="9">
        <v>36.0</v>
      </c>
      <c r="L1384" s="9">
        <v>2.35</v>
      </c>
      <c r="M1384" s="9">
        <v>21.15</v>
      </c>
      <c r="N1384" s="9">
        <v>14.85</v>
      </c>
      <c r="O1384" s="12">
        <v>46054.0</v>
      </c>
      <c r="P1384" s="16"/>
    </row>
    <row r="1385">
      <c r="A1385" s="9">
        <v>2.50900037E9</v>
      </c>
      <c r="B1385" s="10" t="s">
        <v>17</v>
      </c>
      <c r="C1385" s="9">
        <v>128.0</v>
      </c>
      <c r="D1385" s="10" t="s">
        <v>248</v>
      </c>
      <c r="E1385" s="9">
        <v>5.0</v>
      </c>
      <c r="F1385" s="9">
        <v>2.0</v>
      </c>
      <c r="G1385" s="9">
        <v>10.0</v>
      </c>
      <c r="H1385" s="9">
        <v>0.0</v>
      </c>
      <c r="I1385" s="9">
        <v>0.0</v>
      </c>
      <c r="J1385" s="9">
        <v>2.0</v>
      </c>
      <c r="K1385" s="9">
        <v>10.0</v>
      </c>
      <c r="L1385" s="9">
        <v>3.62</v>
      </c>
      <c r="M1385" s="9">
        <v>7.24</v>
      </c>
      <c r="N1385" s="9">
        <v>2.76</v>
      </c>
      <c r="O1385" s="12">
        <v>46054.0</v>
      </c>
      <c r="P1385" s="16"/>
    </row>
    <row r="1386">
      <c r="A1386" s="9">
        <v>2.50900037E9</v>
      </c>
      <c r="B1386" s="10" t="s">
        <v>17</v>
      </c>
      <c r="C1386" s="9">
        <v>129.0</v>
      </c>
      <c r="D1386" s="10" t="s">
        <v>242</v>
      </c>
      <c r="E1386" s="9">
        <v>3.0</v>
      </c>
      <c r="F1386" s="9">
        <v>10.0</v>
      </c>
      <c r="G1386" s="9">
        <v>27.0</v>
      </c>
      <c r="H1386" s="9">
        <v>0.0</v>
      </c>
      <c r="I1386" s="9">
        <v>0.0</v>
      </c>
      <c r="J1386" s="9">
        <v>10.0</v>
      </c>
      <c r="K1386" s="9">
        <v>27.0</v>
      </c>
      <c r="L1386" s="9">
        <v>1.75</v>
      </c>
      <c r="M1386" s="9">
        <v>17.5</v>
      </c>
      <c r="N1386" s="9">
        <v>9.5</v>
      </c>
      <c r="O1386" s="12">
        <v>46054.0</v>
      </c>
      <c r="P1386" s="16"/>
    </row>
    <row r="1387">
      <c r="A1387" s="9">
        <v>2.50900037E9</v>
      </c>
      <c r="B1387" s="10" t="s">
        <v>17</v>
      </c>
      <c r="C1387" s="9">
        <v>130.0</v>
      </c>
      <c r="D1387" s="10" t="s">
        <v>243</v>
      </c>
      <c r="E1387" s="9">
        <v>3.0</v>
      </c>
      <c r="F1387" s="9">
        <v>31.0</v>
      </c>
      <c r="G1387" s="9">
        <v>93.0</v>
      </c>
      <c r="H1387" s="9">
        <v>0.0</v>
      </c>
      <c r="I1387" s="9">
        <v>0.0</v>
      </c>
      <c r="J1387" s="9">
        <v>31.0</v>
      </c>
      <c r="K1387" s="9">
        <v>93.0</v>
      </c>
      <c r="L1387" s="9">
        <v>1.75</v>
      </c>
      <c r="M1387" s="9">
        <v>54.25</v>
      </c>
      <c r="N1387" s="9">
        <v>38.75</v>
      </c>
      <c r="O1387" s="12">
        <v>46054.0</v>
      </c>
      <c r="P1387" s="16"/>
    </row>
    <row r="1388">
      <c r="A1388" s="9">
        <v>2.50900037E9</v>
      </c>
      <c r="B1388" s="10" t="s">
        <v>17</v>
      </c>
      <c r="C1388" s="9">
        <v>131.0</v>
      </c>
      <c r="D1388" s="10" t="s">
        <v>246</v>
      </c>
      <c r="E1388" s="9">
        <v>8.0</v>
      </c>
      <c r="F1388" s="9">
        <v>13.0</v>
      </c>
      <c r="G1388" s="9">
        <v>85.0</v>
      </c>
      <c r="H1388" s="9">
        <v>0.0</v>
      </c>
      <c r="I1388" s="9">
        <v>0.0</v>
      </c>
      <c r="J1388" s="9">
        <v>13.0</v>
      </c>
      <c r="K1388" s="9">
        <v>85.0</v>
      </c>
      <c r="L1388" s="9">
        <v>4.5</v>
      </c>
      <c r="M1388" s="9">
        <v>58.5</v>
      </c>
      <c r="N1388" s="9">
        <v>26.5</v>
      </c>
      <c r="O1388" s="12">
        <v>46054.0</v>
      </c>
      <c r="P1388" s="16"/>
    </row>
    <row r="1389">
      <c r="A1389" s="9">
        <v>2.50900037E9</v>
      </c>
      <c r="B1389" s="10" t="s">
        <v>17</v>
      </c>
      <c r="C1389" s="9">
        <v>132.0</v>
      </c>
      <c r="D1389" s="10" t="s">
        <v>249</v>
      </c>
      <c r="E1389" s="9">
        <v>3.0</v>
      </c>
      <c r="F1389" s="9">
        <v>10.0</v>
      </c>
      <c r="G1389" s="9">
        <v>31.5</v>
      </c>
      <c r="H1389" s="9">
        <v>0.0</v>
      </c>
      <c r="I1389" s="9">
        <v>0.0</v>
      </c>
      <c r="J1389" s="9">
        <v>10.0</v>
      </c>
      <c r="K1389" s="9">
        <v>31.5</v>
      </c>
      <c r="L1389" s="9">
        <v>2.29</v>
      </c>
      <c r="M1389" s="9">
        <v>22.9</v>
      </c>
      <c r="N1389" s="9">
        <v>8.6</v>
      </c>
      <c r="O1389" s="12">
        <v>46054.0</v>
      </c>
      <c r="P1389" s="16"/>
    </row>
    <row r="1390">
      <c r="A1390" s="9">
        <v>2.50900037E9</v>
      </c>
      <c r="B1390" s="10" t="s">
        <v>17</v>
      </c>
      <c r="C1390" s="9">
        <v>133.0</v>
      </c>
      <c r="D1390" s="10" t="s">
        <v>250</v>
      </c>
      <c r="E1390" s="9">
        <v>5.0</v>
      </c>
      <c r="F1390" s="9">
        <v>12.0</v>
      </c>
      <c r="G1390" s="9">
        <v>60.0</v>
      </c>
      <c r="H1390" s="9">
        <v>0.0</v>
      </c>
      <c r="I1390" s="9">
        <v>0.0</v>
      </c>
      <c r="J1390" s="9">
        <v>12.0</v>
      </c>
      <c r="K1390" s="9">
        <v>60.0</v>
      </c>
      <c r="L1390" s="9">
        <v>3.5</v>
      </c>
      <c r="M1390" s="9">
        <v>42.0</v>
      </c>
      <c r="N1390" s="9">
        <v>18.0</v>
      </c>
      <c r="O1390" s="12">
        <v>46054.0</v>
      </c>
      <c r="P1390" s="16"/>
    </row>
    <row r="1391">
      <c r="A1391" s="9">
        <v>2.50900037E9</v>
      </c>
      <c r="B1391" s="10" t="s">
        <v>17</v>
      </c>
      <c r="C1391" s="9">
        <v>134.0</v>
      </c>
      <c r="D1391" s="10" t="s">
        <v>251</v>
      </c>
      <c r="E1391" s="9">
        <v>7.0</v>
      </c>
      <c r="F1391" s="9">
        <v>19.0</v>
      </c>
      <c r="G1391" s="9">
        <v>126.0</v>
      </c>
      <c r="H1391" s="9">
        <v>0.0</v>
      </c>
      <c r="I1391" s="9">
        <v>0.0</v>
      </c>
      <c r="J1391" s="9">
        <v>19.0</v>
      </c>
      <c r="K1391" s="9">
        <v>126.0</v>
      </c>
      <c r="L1391" s="9">
        <v>4.5</v>
      </c>
      <c r="M1391" s="9">
        <v>85.5</v>
      </c>
      <c r="N1391" s="9">
        <v>40.5</v>
      </c>
      <c r="O1391" s="12">
        <v>46054.0</v>
      </c>
      <c r="P1391" s="16"/>
    </row>
    <row r="1392">
      <c r="A1392" s="9">
        <v>2.509000371E9</v>
      </c>
      <c r="B1392" s="10" t="s">
        <v>23</v>
      </c>
      <c r="C1392" s="9">
        <v>0.0</v>
      </c>
      <c r="D1392" s="10" t="s">
        <v>247</v>
      </c>
      <c r="E1392" s="9">
        <v>0.0</v>
      </c>
      <c r="F1392" s="9">
        <v>54.0</v>
      </c>
      <c r="G1392" s="9">
        <v>88.0</v>
      </c>
      <c r="H1392" s="9">
        <v>0.0</v>
      </c>
      <c r="I1392" s="9">
        <v>0.0</v>
      </c>
      <c r="J1392" s="9">
        <v>54.0</v>
      </c>
      <c r="K1392" s="9">
        <v>88.0</v>
      </c>
      <c r="L1392" s="9">
        <v>0.0</v>
      </c>
      <c r="M1392" s="9">
        <v>0.0</v>
      </c>
      <c r="N1392" s="9">
        <v>88.0</v>
      </c>
      <c r="O1392" s="12">
        <v>46054.0</v>
      </c>
      <c r="P1392" s="16"/>
    </row>
    <row r="1393">
      <c r="A1393" s="9">
        <v>2.509000371E9</v>
      </c>
      <c r="B1393" s="10" t="s">
        <v>23</v>
      </c>
      <c r="C1393" s="9">
        <v>1.0</v>
      </c>
      <c r="D1393" s="10" t="s">
        <v>129</v>
      </c>
      <c r="E1393" s="9">
        <v>5.0</v>
      </c>
      <c r="F1393" s="9">
        <v>49.0</v>
      </c>
      <c r="G1393" s="9">
        <v>245.0</v>
      </c>
      <c r="H1393" s="9">
        <v>0.0</v>
      </c>
      <c r="I1393" s="9">
        <v>0.0</v>
      </c>
      <c r="J1393" s="9">
        <v>49.0</v>
      </c>
      <c r="K1393" s="9">
        <v>245.0</v>
      </c>
      <c r="L1393" s="9">
        <v>2.93</v>
      </c>
      <c r="M1393" s="9">
        <v>143.57</v>
      </c>
      <c r="N1393" s="9">
        <v>101.43</v>
      </c>
      <c r="O1393" s="12">
        <v>46054.0</v>
      </c>
      <c r="P1393" s="16"/>
    </row>
    <row r="1394">
      <c r="A1394" s="9">
        <v>2.509000371E9</v>
      </c>
      <c r="B1394" s="10" t="s">
        <v>23</v>
      </c>
      <c r="C1394" s="9">
        <v>2.0</v>
      </c>
      <c r="D1394" s="10" t="s">
        <v>74</v>
      </c>
      <c r="E1394" s="9">
        <v>1.0</v>
      </c>
      <c r="F1394" s="9">
        <v>538.0</v>
      </c>
      <c r="G1394" s="9">
        <v>538.0</v>
      </c>
      <c r="H1394" s="9">
        <v>0.0</v>
      </c>
      <c r="I1394" s="9">
        <v>0.0</v>
      </c>
      <c r="J1394" s="9">
        <v>538.0</v>
      </c>
      <c r="K1394" s="9">
        <v>538.0</v>
      </c>
      <c r="L1394" s="9">
        <v>0.28</v>
      </c>
      <c r="M1394" s="9">
        <v>150.64</v>
      </c>
      <c r="N1394" s="9">
        <v>387.36</v>
      </c>
      <c r="O1394" s="12">
        <v>46054.0</v>
      </c>
      <c r="P1394" s="16"/>
    </row>
    <row r="1395">
      <c r="A1395" s="9">
        <v>2.509000371E9</v>
      </c>
      <c r="B1395" s="10" t="s">
        <v>23</v>
      </c>
      <c r="C1395" s="9">
        <v>6.0</v>
      </c>
      <c r="D1395" s="10" t="s">
        <v>206</v>
      </c>
      <c r="E1395" s="9">
        <v>5.0</v>
      </c>
      <c r="F1395" s="9">
        <v>1.0</v>
      </c>
      <c r="G1395" s="9">
        <v>6.0</v>
      </c>
      <c r="H1395" s="9">
        <v>0.0</v>
      </c>
      <c r="I1395" s="9">
        <v>0.0</v>
      </c>
      <c r="J1395" s="9">
        <v>1.0</v>
      </c>
      <c r="K1395" s="9">
        <v>6.0</v>
      </c>
      <c r="L1395" s="9">
        <v>3.5</v>
      </c>
      <c r="M1395" s="9">
        <v>3.5</v>
      </c>
      <c r="N1395" s="9">
        <v>2.5</v>
      </c>
      <c r="O1395" s="12">
        <v>46054.0</v>
      </c>
      <c r="P1395" s="16"/>
    </row>
    <row r="1396">
      <c r="A1396" s="9">
        <v>2.509000371E9</v>
      </c>
      <c r="B1396" s="10" t="s">
        <v>23</v>
      </c>
      <c r="C1396" s="9">
        <v>8.0</v>
      </c>
      <c r="D1396" s="10" t="s">
        <v>133</v>
      </c>
      <c r="E1396" s="9">
        <v>5.0</v>
      </c>
      <c r="F1396" s="9">
        <v>19.0</v>
      </c>
      <c r="G1396" s="9">
        <v>95.0</v>
      </c>
      <c r="H1396" s="9">
        <v>0.0</v>
      </c>
      <c r="I1396" s="9">
        <v>0.0</v>
      </c>
      <c r="J1396" s="9">
        <v>19.0</v>
      </c>
      <c r="K1396" s="9">
        <v>95.0</v>
      </c>
      <c r="L1396" s="9">
        <v>3.45</v>
      </c>
      <c r="M1396" s="9">
        <v>65.55</v>
      </c>
      <c r="N1396" s="9">
        <v>29.45</v>
      </c>
      <c r="O1396" s="12">
        <v>46054.0</v>
      </c>
      <c r="P1396" s="16"/>
    </row>
    <row r="1397">
      <c r="A1397" s="9">
        <v>2.509000371E9</v>
      </c>
      <c r="B1397" s="10" t="s">
        <v>23</v>
      </c>
      <c r="C1397" s="9">
        <v>11.0</v>
      </c>
      <c r="D1397" s="10" t="s">
        <v>86</v>
      </c>
      <c r="E1397" s="9">
        <v>5.0</v>
      </c>
      <c r="F1397" s="9">
        <v>91.0</v>
      </c>
      <c r="G1397" s="9">
        <v>444.0</v>
      </c>
      <c r="H1397" s="9">
        <v>0.0</v>
      </c>
      <c r="I1397" s="9">
        <v>0.0</v>
      </c>
      <c r="J1397" s="9">
        <v>91.0</v>
      </c>
      <c r="K1397" s="9">
        <v>444.0</v>
      </c>
      <c r="L1397" s="9">
        <v>4.29</v>
      </c>
      <c r="M1397" s="9">
        <v>390.39</v>
      </c>
      <c r="N1397" s="9">
        <v>53.61</v>
      </c>
      <c r="O1397" s="12">
        <v>46054.0</v>
      </c>
      <c r="P1397" s="16"/>
    </row>
    <row r="1398">
      <c r="A1398" s="9">
        <v>2.509000371E9</v>
      </c>
      <c r="B1398" s="10" t="s">
        <v>23</v>
      </c>
      <c r="C1398" s="9">
        <v>14.0</v>
      </c>
      <c r="D1398" s="10" t="s">
        <v>138</v>
      </c>
      <c r="E1398" s="9">
        <v>8.0</v>
      </c>
      <c r="F1398" s="9">
        <v>3.0</v>
      </c>
      <c r="G1398" s="9">
        <v>25.5</v>
      </c>
      <c r="H1398" s="9">
        <v>0.0</v>
      </c>
      <c r="I1398" s="9">
        <v>0.0</v>
      </c>
      <c r="J1398" s="9">
        <v>3.0</v>
      </c>
      <c r="K1398" s="9">
        <v>25.5</v>
      </c>
      <c r="L1398" s="9">
        <v>7.0</v>
      </c>
      <c r="M1398" s="9">
        <v>21.0</v>
      </c>
      <c r="N1398" s="9">
        <v>4.5</v>
      </c>
      <c r="O1398" s="12">
        <v>46054.0</v>
      </c>
      <c r="P1398" s="16"/>
    </row>
    <row r="1399">
      <c r="A1399" s="9">
        <v>2.509000371E9</v>
      </c>
      <c r="B1399" s="10" t="s">
        <v>23</v>
      </c>
      <c r="C1399" s="9">
        <v>15.0</v>
      </c>
      <c r="D1399" s="10" t="s">
        <v>55</v>
      </c>
      <c r="E1399" s="9">
        <v>2.0</v>
      </c>
      <c r="F1399" s="9">
        <v>13.0</v>
      </c>
      <c r="G1399" s="9">
        <v>26.0</v>
      </c>
      <c r="H1399" s="9">
        <v>0.0</v>
      </c>
      <c r="I1399" s="9">
        <v>0.0</v>
      </c>
      <c r="J1399" s="9">
        <v>13.0</v>
      </c>
      <c r="K1399" s="9">
        <v>26.0</v>
      </c>
      <c r="L1399" s="9">
        <v>1.54</v>
      </c>
      <c r="M1399" s="9">
        <v>20.02</v>
      </c>
      <c r="N1399" s="9">
        <v>5.98</v>
      </c>
      <c r="O1399" s="12">
        <v>46054.0</v>
      </c>
      <c r="P1399" s="16"/>
    </row>
    <row r="1400">
      <c r="A1400" s="9">
        <v>2.509000371E9</v>
      </c>
      <c r="B1400" s="10" t="s">
        <v>23</v>
      </c>
      <c r="C1400" s="9">
        <v>19.0</v>
      </c>
      <c r="D1400" s="10" t="s">
        <v>72</v>
      </c>
      <c r="E1400" s="9">
        <v>3.0</v>
      </c>
      <c r="F1400" s="9">
        <v>15.0</v>
      </c>
      <c r="G1400" s="9">
        <v>45.0</v>
      </c>
      <c r="H1400" s="9">
        <v>0.0</v>
      </c>
      <c r="I1400" s="9">
        <v>0.0</v>
      </c>
      <c r="J1400" s="9">
        <v>15.0</v>
      </c>
      <c r="K1400" s="9">
        <v>45.0</v>
      </c>
      <c r="L1400" s="9">
        <v>1.79</v>
      </c>
      <c r="M1400" s="9">
        <v>26.85</v>
      </c>
      <c r="N1400" s="9">
        <v>18.15</v>
      </c>
      <c r="O1400" s="12">
        <v>46054.0</v>
      </c>
      <c r="P1400" s="16"/>
    </row>
    <row r="1401">
      <c r="A1401" s="9">
        <v>2.509000371E9</v>
      </c>
      <c r="B1401" s="10" t="s">
        <v>23</v>
      </c>
      <c r="C1401" s="9">
        <v>21.0</v>
      </c>
      <c r="D1401" s="10" t="s">
        <v>79</v>
      </c>
      <c r="E1401" s="9">
        <v>3.0</v>
      </c>
      <c r="F1401" s="9">
        <v>50.0</v>
      </c>
      <c r="G1401" s="9">
        <v>157.0</v>
      </c>
      <c r="H1401" s="9">
        <v>0.0</v>
      </c>
      <c r="I1401" s="9">
        <v>0.0</v>
      </c>
      <c r="J1401" s="9">
        <v>50.0</v>
      </c>
      <c r="K1401" s="9">
        <v>157.0</v>
      </c>
      <c r="L1401" s="9">
        <v>2.25</v>
      </c>
      <c r="M1401" s="9">
        <v>112.5</v>
      </c>
      <c r="N1401" s="9">
        <v>44.5</v>
      </c>
      <c r="O1401" s="12">
        <v>46054.0</v>
      </c>
      <c r="P1401" s="16"/>
    </row>
    <row r="1402">
      <c r="A1402" s="9">
        <v>2.509000371E9</v>
      </c>
      <c r="B1402" s="10" t="s">
        <v>23</v>
      </c>
      <c r="C1402" s="9">
        <v>27.0</v>
      </c>
      <c r="D1402" s="10" t="s">
        <v>73</v>
      </c>
      <c r="E1402" s="9">
        <v>6.0</v>
      </c>
      <c r="F1402" s="9">
        <v>5.0</v>
      </c>
      <c r="G1402" s="9">
        <v>30.0</v>
      </c>
      <c r="H1402" s="9">
        <v>0.0</v>
      </c>
      <c r="I1402" s="9">
        <v>0.0</v>
      </c>
      <c r="J1402" s="9">
        <v>5.0</v>
      </c>
      <c r="K1402" s="9">
        <v>30.0</v>
      </c>
      <c r="L1402" s="9">
        <v>5.5</v>
      </c>
      <c r="M1402" s="9">
        <v>27.5</v>
      </c>
      <c r="N1402" s="9">
        <v>2.5</v>
      </c>
      <c r="O1402" s="12">
        <v>46054.0</v>
      </c>
      <c r="P1402" s="16"/>
    </row>
    <row r="1403">
      <c r="A1403" s="9">
        <v>2.509000371E9</v>
      </c>
      <c r="B1403" s="10" t="s">
        <v>23</v>
      </c>
      <c r="C1403" s="9">
        <v>28.0</v>
      </c>
      <c r="D1403" s="10" t="s">
        <v>146</v>
      </c>
      <c r="E1403" s="9">
        <v>6.0</v>
      </c>
      <c r="F1403" s="9">
        <v>4.0</v>
      </c>
      <c r="G1403" s="9">
        <v>24.0</v>
      </c>
      <c r="H1403" s="9">
        <v>0.0</v>
      </c>
      <c r="I1403" s="9">
        <v>0.0</v>
      </c>
      <c r="J1403" s="9">
        <v>4.0</v>
      </c>
      <c r="K1403" s="9">
        <v>24.0</v>
      </c>
      <c r="L1403" s="9">
        <v>5.2</v>
      </c>
      <c r="M1403" s="9">
        <v>20.8</v>
      </c>
      <c r="N1403" s="9">
        <v>3.2</v>
      </c>
      <c r="O1403" s="12">
        <v>46054.0</v>
      </c>
      <c r="P1403" s="16"/>
    </row>
    <row r="1404">
      <c r="A1404" s="9">
        <v>2.509000371E9</v>
      </c>
      <c r="B1404" s="10" t="s">
        <v>23</v>
      </c>
      <c r="C1404" s="9">
        <v>29.0</v>
      </c>
      <c r="D1404" s="10" t="s">
        <v>147</v>
      </c>
      <c r="E1404" s="9">
        <v>3.0</v>
      </c>
      <c r="F1404" s="9">
        <v>58.0</v>
      </c>
      <c r="G1404" s="9">
        <v>174.0</v>
      </c>
      <c r="H1404" s="9">
        <v>0.0</v>
      </c>
      <c r="I1404" s="9">
        <v>0.0</v>
      </c>
      <c r="J1404" s="9">
        <v>58.0</v>
      </c>
      <c r="K1404" s="9">
        <v>174.0</v>
      </c>
      <c r="L1404" s="9">
        <v>2.25</v>
      </c>
      <c r="M1404" s="9">
        <v>130.5</v>
      </c>
      <c r="N1404" s="9">
        <v>43.5</v>
      </c>
      <c r="O1404" s="12">
        <v>46054.0</v>
      </c>
      <c r="P1404" s="16"/>
    </row>
    <row r="1405">
      <c r="A1405" s="9">
        <v>2.509000371E9</v>
      </c>
      <c r="B1405" s="10" t="s">
        <v>23</v>
      </c>
      <c r="C1405" s="9">
        <v>30.0</v>
      </c>
      <c r="D1405" s="10" t="s">
        <v>148</v>
      </c>
      <c r="E1405" s="9">
        <v>6.0</v>
      </c>
      <c r="F1405" s="9">
        <v>10.0</v>
      </c>
      <c r="G1405" s="9">
        <v>45.0</v>
      </c>
      <c r="H1405" s="9">
        <v>0.0</v>
      </c>
      <c r="I1405" s="9">
        <v>0.0</v>
      </c>
      <c r="J1405" s="9">
        <v>10.0</v>
      </c>
      <c r="K1405" s="9">
        <v>45.0</v>
      </c>
      <c r="L1405" s="9">
        <v>5.5</v>
      </c>
      <c r="M1405" s="9">
        <v>55.0</v>
      </c>
      <c r="N1405" s="9">
        <v>-10.0</v>
      </c>
      <c r="O1405" s="12">
        <v>46054.0</v>
      </c>
      <c r="P1405" s="16"/>
    </row>
    <row r="1406">
      <c r="A1406" s="9">
        <v>2.509000371E9</v>
      </c>
      <c r="B1406" s="10" t="s">
        <v>23</v>
      </c>
      <c r="C1406" s="9">
        <v>32.0</v>
      </c>
      <c r="D1406" s="10" t="s">
        <v>150</v>
      </c>
      <c r="E1406" s="9">
        <v>3.0</v>
      </c>
      <c r="F1406" s="9">
        <v>29.0</v>
      </c>
      <c r="G1406" s="9">
        <v>87.0</v>
      </c>
      <c r="H1406" s="9">
        <v>0.0</v>
      </c>
      <c r="I1406" s="9">
        <v>0.0</v>
      </c>
      <c r="J1406" s="9">
        <v>29.0</v>
      </c>
      <c r="K1406" s="9">
        <v>87.0</v>
      </c>
      <c r="L1406" s="9">
        <v>2.29</v>
      </c>
      <c r="M1406" s="9">
        <v>66.41</v>
      </c>
      <c r="N1406" s="9">
        <v>20.59</v>
      </c>
      <c r="O1406" s="12">
        <v>46054.0</v>
      </c>
      <c r="P1406" s="16"/>
    </row>
    <row r="1407">
      <c r="A1407" s="9">
        <v>2.509000371E9</v>
      </c>
      <c r="B1407" s="10" t="s">
        <v>23</v>
      </c>
      <c r="C1407" s="9">
        <v>49.0</v>
      </c>
      <c r="D1407" s="10" t="s">
        <v>165</v>
      </c>
      <c r="E1407" s="9">
        <v>3.0</v>
      </c>
      <c r="F1407" s="9">
        <v>37.0</v>
      </c>
      <c r="G1407" s="9">
        <v>111.0</v>
      </c>
      <c r="H1407" s="9">
        <v>0.0</v>
      </c>
      <c r="I1407" s="9">
        <v>0.0</v>
      </c>
      <c r="J1407" s="9">
        <v>37.0</v>
      </c>
      <c r="K1407" s="9">
        <v>111.0</v>
      </c>
      <c r="L1407" s="9">
        <v>2.04</v>
      </c>
      <c r="M1407" s="9">
        <v>75.48</v>
      </c>
      <c r="N1407" s="9">
        <v>35.52</v>
      </c>
      <c r="O1407" s="12">
        <v>46054.0</v>
      </c>
      <c r="P1407" s="16"/>
    </row>
    <row r="1408">
      <c r="A1408" s="9">
        <v>2.509000371E9</v>
      </c>
      <c r="B1408" s="10" t="s">
        <v>23</v>
      </c>
      <c r="C1408" s="9">
        <v>52.0</v>
      </c>
      <c r="D1408" s="10" t="s">
        <v>174</v>
      </c>
      <c r="E1408" s="9">
        <v>5.0</v>
      </c>
      <c r="F1408" s="9">
        <v>72.0</v>
      </c>
      <c r="G1408" s="9">
        <v>360.0</v>
      </c>
      <c r="H1408" s="9">
        <v>0.0</v>
      </c>
      <c r="I1408" s="9">
        <v>0.0</v>
      </c>
      <c r="J1408" s="9">
        <v>72.0</v>
      </c>
      <c r="K1408" s="9">
        <v>360.0</v>
      </c>
      <c r="L1408" s="9">
        <v>3.0</v>
      </c>
      <c r="M1408" s="9">
        <v>216.0</v>
      </c>
      <c r="N1408" s="9">
        <v>144.0</v>
      </c>
      <c r="O1408" s="12">
        <v>46054.0</v>
      </c>
      <c r="P1408" s="16"/>
    </row>
    <row r="1409">
      <c r="A1409" s="9">
        <v>2.509000371E9</v>
      </c>
      <c r="B1409" s="10" t="s">
        <v>23</v>
      </c>
      <c r="C1409" s="9">
        <v>54.0</v>
      </c>
      <c r="D1409" s="10" t="s">
        <v>168</v>
      </c>
      <c r="E1409" s="9">
        <v>3.0</v>
      </c>
      <c r="F1409" s="9">
        <v>19.0</v>
      </c>
      <c r="G1409" s="9">
        <v>57.0</v>
      </c>
      <c r="H1409" s="9">
        <v>0.0</v>
      </c>
      <c r="I1409" s="9">
        <v>0.0</v>
      </c>
      <c r="J1409" s="9">
        <v>19.0</v>
      </c>
      <c r="K1409" s="9">
        <v>57.0</v>
      </c>
      <c r="L1409" s="9">
        <v>2.25</v>
      </c>
      <c r="M1409" s="9">
        <v>42.75</v>
      </c>
      <c r="N1409" s="9">
        <v>14.25</v>
      </c>
      <c r="O1409" s="12">
        <v>46054.0</v>
      </c>
      <c r="P1409" s="16"/>
    </row>
    <row r="1410">
      <c r="A1410" s="9">
        <v>2.509000371E9</v>
      </c>
      <c r="B1410" s="10" t="s">
        <v>23</v>
      </c>
      <c r="C1410" s="9">
        <v>64.0</v>
      </c>
      <c r="D1410" s="10" t="s">
        <v>173</v>
      </c>
      <c r="E1410" s="9">
        <v>3.0</v>
      </c>
      <c r="F1410" s="9">
        <v>17.0</v>
      </c>
      <c r="G1410" s="9">
        <v>51.0</v>
      </c>
      <c r="H1410" s="9">
        <v>0.0</v>
      </c>
      <c r="I1410" s="9">
        <v>0.0</v>
      </c>
      <c r="J1410" s="9">
        <v>17.0</v>
      </c>
      <c r="K1410" s="9">
        <v>51.0</v>
      </c>
      <c r="L1410" s="9">
        <v>2.29</v>
      </c>
      <c r="M1410" s="9">
        <v>38.93</v>
      </c>
      <c r="N1410" s="9">
        <v>12.07</v>
      </c>
      <c r="O1410" s="12">
        <v>46054.0</v>
      </c>
      <c r="P1410" s="16"/>
    </row>
    <row r="1411">
      <c r="A1411" s="9">
        <v>2.509000371E9</v>
      </c>
      <c r="B1411" s="10" t="s">
        <v>23</v>
      </c>
      <c r="C1411" s="9">
        <v>86.0</v>
      </c>
      <c r="D1411" s="10" t="s">
        <v>201</v>
      </c>
      <c r="E1411" s="9">
        <v>5.0</v>
      </c>
      <c r="F1411" s="9">
        <v>19.0</v>
      </c>
      <c r="G1411" s="9">
        <v>190.0</v>
      </c>
      <c r="H1411" s="9">
        <v>0.0</v>
      </c>
      <c r="I1411" s="9">
        <v>0.0</v>
      </c>
      <c r="J1411" s="9">
        <v>19.0</v>
      </c>
      <c r="K1411" s="9">
        <v>190.0</v>
      </c>
      <c r="L1411" s="9">
        <v>3.0</v>
      </c>
      <c r="M1411" s="9">
        <v>57.0</v>
      </c>
      <c r="N1411" s="9">
        <v>133.0</v>
      </c>
      <c r="O1411" s="12">
        <v>46054.0</v>
      </c>
      <c r="P1411" s="16"/>
    </row>
    <row r="1412">
      <c r="A1412" s="9">
        <v>2.509000371E9</v>
      </c>
      <c r="B1412" s="10" t="s">
        <v>23</v>
      </c>
      <c r="C1412" s="9">
        <v>96.0</v>
      </c>
      <c r="D1412" s="10" t="s">
        <v>212</v>
      </c>
      <c r="E1412" s="9">
        <v>5.0</v>
      </c>
      <c r="F1412" s="9">
        <v>124.0</v>
      </c>
      <c r="G1412" s="9">
        <v>620.0</v>
      </c>
      <c r="H1412" s="9">
        <v>0.0</v>
      </c>
      <c r="I1412" s="9">
        <v>0.0</v>
      </c>
      <c r="J1412" s="9">
        <v>124.0</v>
      </c>
      <c r="K1412" s="9">
        <v>620.0</v>
      </c>
      <c r="L1412" s="9">
        <v>2.93</v>
      </c>
      <c r="M1412" s="9">
        <v>363.32</v>
      </c>
      <c r="N1412" s="9">
        <v>256.68</v>
      </c>
      <c r="O1412" s="12">
        <v>46054.0</v>
      </c>
      <c r="P1412" s="16"/>
    </row>
    <row r="1413">
      <c r="A1413" s="9">
        <v>2.509000371E9</v>
      </c>
      <c r="B1413" s="10" t="s">
        <v>23</v>
      </c>
      <c r="C1413" s="9">
        <v>97.0</v>
      </c>
      <c r="D1413" s="10" t="s">
        <v>115</v>
      </c>
      <c r="E1413" s="9">
        <v>5.0</v>
      </c>
      <c r="F1413" s="9">
        <v>5.0</v>
      </c>
      <c r="G1413" s="9">
        <v>25.0</v>
      </c>
      <c r="H1413" s="9">
        <v>0.0</v>
      </c>
      <c r="I1413" s="9">
        <v>0.0</v>
      </c>
      <c r="J1413" s="9">
        <v>5.0</v>
      </c>
      <c r="K1413" s="9">
        <v>25.0</v>
      </c>
      <c r="L1413" s="9">
        <v>2.93</v>
      </c>
      <c r="M1413" s="9">
        <v>14.65</v>
      </c>
      <c r="N1413" s="9">
        <v>10.35</v>
      </c>
      <c r="O1413" s="12">
        <v>46054.0</v>
      </c>
      <c r="P1413" s="16"/>
    </row>
    <row r="1414">
      <c r="A1414" s="9">
        <v>2.509000371E9</v>
      </c>
      <c r="B1414" s="10" t="s">
        <v>23</v>
      </c>
      <c r="C1414" s="9">
        <v>99.0</v>
      </c>
      <c r="D1414" s="10" t="s">
        <v>213</v>
      </c>
      <c r="E1414" s="9">
        <v>3.0</v>
      </c>
      <c r="F1414" s="9">
        <v>18.0</v>
      </c>
      <c r="G1414" s="9">
        <v>54.0</v>
      </c>
      <c r="H1414" s="9">
        <v>0.0</v>
      </c>
      <c r="I1414" s="9">
        <v>0.0</v>
      </c>
      <c r="J1414" s="9">
        <v>18.0</v>
      </c>
      <c r="K1414" s="9">
        <v>54.0</v>
      </c>
      <c r="L1414" s="9">
        <v>2.25</v>
      </c>
      <c r="M1414" s="9">
        <v>40.5</v>
      </c>
      <c r="N1414" s="9">
        <v>13.5</v>
      </c>
      <c r="O1414" s="12">
        <v>46054.0</v>
      </c>
      <c r="P1414" s="16"/>
    </row>
    <row r="1415">
      <c r="A1415" s="9">
        <v>2.509000371E9</v>
      </c>
      <c r="B1415" s="10" t="s">
        <v>23</v>
      </c>
      <c r="C1415" s="9">
        <v>106.0</v>
      </c>
      <c r="D1415" s="10" t="s">
        <v>214</v>
      </c>
      <c r="E1415" s="9">
        <v>7.0</v>
      </c>
      <c r="F1415" s="9">
        <v>4.0</v>
      </c>
      <c r="G1415" s="9">
        <v>24.0</v>
      </c>
      <c r="H1415" s="9">
        <v>0.0</v>
      </c>
      <c r="I1415" s="9">
        <v>0.0</v>
      </c>
      <c r="J1415" s="9">
        <v>4.0</v>
      </c>
      <c r="K1415" s="9">
        <v>24.0</v>
      </c>
      <c r="L1415" s="9">
        <v>4.79</v>
      </c>
      <c r="M1415" s="9">
        <v>19.16</v>
      </c>
      <c r="N1415" s="9">
        <v>4.84</v>
      </c>
      <c r="O1415" s="12">
        <v>46054.0</v>
      </c>
      <c r="P1415" s="16"/>
    </row>
    <row r="1416">
      <c r="A1416" s="9">
        <v>2.509000371E9</v>
      </c>
      <c r="B1416" s="10" t="s">
        <v>23</v>
      </c>
      <c r="C1416" s="9">
        <v>111.0</v>
      </c>
      <c r="D1416" s="10" t="s">
        <v>215</v>
      </c>
      <c r="E1416" s="9">
        <v>1.0</v>
      </c>
      <c r="F1416" s="9">
        <v>34.0</v>
      </c>
      <c r="G1416" s="9">
        <v>24.0</v>
      </c>
      <c r="H1416" s="9">
        <v>0.0</v>
      </c>
      <c r="I1416" s="9">
        <v>0.0</v>
      </c>
      <c r="J1416" s="9">
        <v>34.0</v>
      </c>
      <c r="K1416" s="9">
        <v>24.0</v>
      </c>
      <c r="L1416" s="9">
        <v>0.68</v>
      </c>
      <c r="M1416" s="9">
        <v>23.12</v>
      </c>
      <c r="N1416" s="9">
        <v>0.88</v>
      </c>
      <c r="O1416" s="12">
        <v>46054.0</v>
      </c>
      <c r="P1416" s="16"/>
    </row>
    <row r="1417">
      <c r="A1417" s="9">
        <v>2.509000371E9</v>
      </c>
      <c r="B1417" s="10" t="s">
        <v>23</v>
      </c>
      <c r="C1417" s="9">
        <v>114.0</v>
      </c>
      <c r="D1417" s="10" t="s">
        <v>218</v>
      </c>
      <c r="E1417" s="9">
        <v>5.0</v>
      </c>
      <c r="F1417" s="9">
        <v>24.0</v>
      </c>
      <c r="G1417" s="9">
        <v>120.0</v>
      </c>
      <c r="H1417" s="9">
        <v>0.0</v>
      </c>
      <c r="I1417" s="9">
        <v>0.0</v>
      </c>
      <c r="J1417" s="9">
        <v>24.0</v>
      </c>
      <c r="K1417" s="9">
        <v>120.0</v>
      </c>
      <c r="L1417" s="9">
        <v>2.25</v>
      </c>
      <c r="M1417" s="9">
        <v>54.0</v>
      </c>
      <c r="N1417" s="9">
        <v>66.0</v>
      </c>
      <c r="O1417" s="12">
        <v>46054.0</v>
      </c>
      <c r="P1417" s="16"/>
    </row>
    <row r="1418">
      <c r="A1418" s="9">
        <v>2.509000371E9</v>
      </c>
      <c r="B1418" s="10" t="s">
        <v>23</v>
      </c>
      <c r="C1418" s="9">
        <v>119.0</v>
      </c>
      <c r="D1418" s="10" t="s">
        <v>224</v>
      </c>
      <c r="E1418" s="9">
        <v>5.0</v>
      </c>
      <c r="F1418" s="9">
        <v>49.0</v>
      </c>
      <c r="G1418" s="9">
        <v>245.0</v>
      </c>
      <c r="H1418" s="9">
        <v>0.0</v>
      </c>
      <c r="I1418" s="9">
        <v>0.0</v>
      </c>
      <c r="J1418" s="9">
        <v>49.0</v>
      </c>
      <c r="K1418" s="9">
        <v>245.0</v>
      </c>
      <c r="L1418" s="9">
        <v>4.08</v>
      </c>
      <c r="M1418" s="9">
        <v>199.92</v>
      </c>
      <c r="N1418" s="9">
        <v>45.08</v>
      </c>
      <c r="O1418" s="12">
        <v>46054.0</v>
      </c>
      <c r="P1418" s="16"/>
    </row>
    <row r="1419">
      <c r="A1419" s="9">
        <v>2.509000371E9</v>
      </c>
      <c r="B1419" s="10" t="s">
        <v>23</v>
      </c>
      <c r="C1419" s="9">
        <v>126.0</v>
      </c>
      <c r="D1419" s="10" t="s">
        <v>227</v>
      </c>
      <c r="E1419" s="9">
        <v>1.0</v>
      </c>
      <c r="F1419" s="9">
        <v>91.0</v>
      </c>
      <c r="G1419" s="9">
        <v>91.0</v>
      </c>
      <c r="H1419" s="9">
        <v>0.0</v>
      </c>
      <c r="I1419" s="9">
        <v>0.0</v>
      </c>
      <c r="J1419" s="9">
        <v>91.0</v>
      </c>
      <c r="K1419" s="9">
        <v>91.0</v>
      </c>
      <c r="L1419" s="9">
        <v>0.45</v>
      </c>
      <c r="M1419" s="9">
        <v>40.95</v>
      </c>
      <c r="N1419" s="9">
        <v>50.05</v>
      </c>
      <c r="O1419" s="12">
        <v>46054.0</v>
      </c>
      <c r="P1419" s="16"/>
    </row>
    <row r="1420">
      <c r="A1420" s="9">
        <v>2.509000371E9</v>
      </c>
      <c r="B1420" s="10" t="s">
        <v>23</v>
      </c>
      <c r="C1420" s="9">
        <v>127.0</v>
      </c>
      <c r="D1420" s="10" t="s">
        <v>228</v>
      </c>
      <c r="E1420" s="9">
        <v>4.0</v>
      </c>
      <c r="F1420" s="9">
        <v>7.0</v>
      </c>
      <c r="G1420" s="9">
        <v>28.0</v>
      </c>
      <c r="H1420" s="9">
        <v>0.0</v>
      </c>
      <c r="I1420" s="9">
        <v>0.0</v>
      </c>
      <c r="J1420" s="9">
        <v>7.0</v>
      </c>
      <c r="K1420" s="9">
        <v>28.0</v>
      </c>
      <c r="L1420" s="9">
        <v>2.35</v>
      </c>
      <c r="M1420" s="9">
        <v>16.45</v>
      </c>
      <c r="N1420" s="9">
        <v>11.55</v>
      </c>
      <c r="O1420" s="12">
        <v>46054.0</v>
      </c>
      <c r="P1420" s="16"/>
    </row>
    <row r="1421">
      <c r="A1421" s="9">
        <v>2.509000371E9</v>
      </c>
      <c r="B1421" s="10" t="s">
        <v>23</v>
      </c>
      <c r="C1421" s="9">
        <v>128.0</v>
      </c>
      <c r="D1421" s="10" t="s">
        <v>248</v>
      </c>
      <c r="E1421" s="9">
        <v>5.0</v>
      </c>
      <c r="F1421" s="9">
        <v>4.0</v>
      </c>
      <c r="G1421" s="9">
        <v>20.0</v>
      </c>
      <c r="H1421" s="9">
        <v>0.0</v>
      </c>
      <c r="I1421" s="9">
        <v>0.0</v>
      </c>
      <c r="J1421" s="9">
        <v>4.0</v>
      </c>
      <c r="K1421" s="9">
        <v>20.0</v>
      </c>
      <c r="L1421" s="9">
        <v>3.62</v>
      </c>
      <c r="M1421" s="9">
        <v>14.48</v>
      </c>
      <c r="N1421" s="9">
        <v>5.52</v>
      </c>
      <c r="O1421" s="12">
        <v>46054.0</v>
      </c>
      <c r="P1421" s="16"/>
    </row>
    <row r="1422">
      <c r="A1422" s="9">
        <v>2.509000371E9</v>
      </c>
      <c r="B1422" s="10" t="s">
        <v>23</v>
      </c>
      <c r="C1422" s="9">
        <v>130.0</v>
      </c>
      <c r="D1422" s="10" t="s">
        <v>243</v>
      </c>
      <c r="E1422" s="9">
        <v>3.0</v>
      </c>
      <c r="F1422" s="9">
        <v>13.0</v>
      </c>
      <c r="G1422" s="9">
        <v>39.0</v>
      </c>
      <c r="H1422" s="9">
        <v>0.0</v>
      </c>
      <c r="I1422" s="9">
        <v>0.0</v>
      </c>
      <c r="J1422" s="9">
        <v>13.0</v>
      </c>
      <c r="K1422" s="9">
        <v>39.0</v>
      </c>
      <c r="L1422" s="9">
        <v>1.75</v>
      </c>
      <c r="M1422" s="9">
        <v>22.75</v>
      </c>
      <c r="N1422" s="9">
        <v>16.25</v>
      </c>
      <c r="O1422" s="12">
        <v>46054.0</v>
      </c>
      <c r="P1422" s="16"/>
    </row>
    <row r="1423">
      <c r="A1423" s="9">
        <v>2.509000371E9</v>
      </c>
      <c r="B1423" s="10" t="s">
        <v>23</v>
      </c>
      <c r="C1423" s="9">
        <v>135.0</v>
      </c>
      <c r="D1423" s="10" t="s">
        <v>244</v>
      </c>
      <c r="E1423" s="9">
        <v>3.0</v>
      </c>
      <c r="F1423" s="9">
        <v>12.0</v>
      </c>
      <c r="G1423" s="9">
        <v>36.0</v>
      </c>
      <c r="H1423" s="9">
        <v>0.0</v>
      </c>
      <c r="I1423" s="9">
        <v>0.0</v>
      </c>
      <c r="J1423" s="9">
        <v>12.0</v>
      </c>
      <c r="K1423" s="9">
        <v>36.0</v>
      </c>
      <c r="L1423" s="9">
        <v>1.79</v>
      </c>
      <c r="M1423" s="9">
        <v>21.48</v>
      </c>
      <c r="N1423" s="9">
        <v>14.52</v>
      </c>
      <c r="O1423" s="12">
        <v>46054.0</v>
      </c>
      <c r="P1423" s="16"/>
    </row>
    <row r="1424">
      <c r="A1424" s="9">
        <v>2.509000371E9</v>
      </c>
      <c r="B1424" s="10" t="s">
        <v>23</v>
      </c>
      <c r="C1424" s="9">
        <v>137.0</v>
      </c>
      <c r="D1424" s="2" t="s">
        <v>129</v>
      </c>
      <c r="E1424" s="9">
        <v>5.0</v>
      </c>
      <c r="F1424" s="9">
        <v>5.0</v>
      </c>
      <c r="G1424" s="9">
        <v>25.0</v>
      </c>
      <c r="H1424" s="9">
        <v>0.0</v>
      </c>
      <c r="I1424" s="9">
        <v>0.0</v>
      </c>
      <c r="J1424" s="9">
        <v>5.0</v>
      </c>
      <c r="K1424" s="9">
        <v>25.0</v>
      </c>
      <c r="L1424" s="9">
        <v>2.93</v>
      </c>
      <c r="M1424" s="9">
        <v>14.65</v>
      </c>
      <c r="N1424" s="9">
        <v>10.35</v>
      </c>
      <c r="O1424" s="12">
        <v>46054.0</v>
      </c>
      <c r="P1424" s="16"/>
    </row>
    <row r="1425">
      <c r="A1425" s="9">
        <v>2.510001719E9</v>
      </c>
      <c r="B1425" s="10" t="s">
        <v>25</v>
      </c>
      <c r="C1425" s="9">
        <v>0.0</v>
      </c>
      <c r="D1425" s="10" t="s">
        <v>247</v>
      </c>
      <c r="E1425" s="9">
        <v>0.0</v>
      </c>
      <c r="F1425" s="9">
        <v>10.0</v>
      </c>
      <c r="G1425" s="9">
        <v>40.0</v>
      </c>
      <c r="H1425" s="9">
        <v>0.0</v>
      </c>
      <c r="I1425" s="9">
        <v>0.0</v>
      </c>
      <c r="J1425" s="9">
        <v>10.0</v>
      </c>
      <c r="K1425" s="9">
        <v>40.0</v>
      </c>
      <c r="L1425" s="9">
        <v>0.0</v>
      </c>
      <c r="M1425" s="9">
        <v>0.0</v>
      </c>
      <c r="N1425" s="9">
        <v>40.0</v>
      </c>
      <c r="O1425" s="12">
        <v>46054.0</v>
      </c>
      <c r="P1425" s="16"/>
    </row>
    <row r="1426">
      <c r="A1426" s="9">
        <v>2.510001719E9</v>
      </c>
      <c r="B1426" s="10" t="s">
        <v>25</v>
      </c>
      <c r="C1426" s="9">
        <v>1.0</v>
      </c>
      <c r="D1426" s="10" t="s">
        <v>129</v>
      </c>
      <c r="E1426" s="9">
        <v>5.0</v>
      </c>
      <c r="F1426" s="9">
        <v>32.0</v>
      </c>
      <c r="G1426" s="9">
        <v>224.0</v>
      </c>
      <c r="H1426" s="9">
        <v>0.0</v>
      </c>
      <c r="I1426" s="9">
        <v>0.0</v>
      </c>
      <c r="J1426" s="9">
        <v>32.0</v>
      </c>
      <c r="K1426" s="9">
        <v>224.0</v>
      </c>
      <c r="L1426" s="9">
        <v>2.93</v>
      </c>
      <c r="M1426" s="9">
        <v>93.76</v>
      </c>
      <c r="N1426" s="9">
        <v>130.24</v>
      </c>
      <c r="O1426" s="12">
        <v>46054.0</v>
      </c>
      <c r="P1426" s="16"/>
    </row>
    <row r="1427">
      <c r="A1427" s="9">
        <v>2.510001719E9</v>
      </c>
      <c r="B1427" s="10" t="s">
        <v>25</v>
      </c>
      <c r="C1427" s="9">
        <v>2.0</v>
      </c>
      <c r="D1427" s="10" t="s">
        <v>74</v>
      </c>
      <c r="E1427" s="9">
        <v>1.0</v>
      </c>
      <c r="F1427" s="9">
        <v>41.0</v>
      </c>
      <c r="G1427" s="9">
        <v>41.0</v>
      </c>
      <c r="H1427" s="9">
        <v>0.0</v>
      </c>
      <c r="I1427" s="9">
        <v>0.0</v>
      </c>
      <c r="J1427" s="9">
        <v>41.0</v>
      </c>
      <c r="K1427" s="9">
        <v>41.0</v>
      </c>
      <c r="L1427" s="9">
        <v>0.28</v>
      </c>
      <c r="M1427" s="9">
        <v>11.48</v>
      </c>
      <c r="N1427" s="9">
        <v>29.52</v>
      </c>
      <c r="O1427" s="12">
        <v>46054.0</v>
      </c>
      <c r="P1427" s="16"/>
    </row>
    <row r="1428">
      <c r="A1428" s="9">
        <v>2.510001719E9</v>
      </c>
      <c r="B1428" s="10" t="s">
        <v>25</v>
      </c>
      <c r="C1428" s="9">
        <v>19.0</v>
      </c>
      <c r="D1428" s="10" t="s">
        <v>72</v>
      </c>
      <c r="E1428" s="9">
        <v>3.0</v>
      </c>
      <c r="F1428" s="9">
        <v>5.0</v>
      </c>
      <c r="G1428" s="9">
        <v>15.0</v>
      </c>
      <c r="H1428" s="9">
        <v>0.0</v>
      </c>
      <c r="I1428" s="9">
        <v>0.0</v>
      </c>
      <c r="J1428" s="9">
        <v>5.0</v>
      </c>
      <c r="K1428" s="9">
        <v>15.0</v>
      </c>
      <c r="L1428" s="9">
        <v>1.79</v>
      </c>
      <c r="M1428" s="9">
        <v>8.95</v>
      </c>
      <c r="N1428" s="9">
        <v>6.05</v>
      </c>
      <c r="O1428" s="12">
        <v>46054.0</v>
      </c>
      <c r="P1428" s="16"/>
    </row>
    <row r="1429">
      <c r="A1429" s="9">
        <v>2.510001719E9</v>
      </c>
      <c r="B1429" s="10" t="s">
        <v>25</v>
      </c>
      <c r="C1429" s="9">
        <v>29.0</v>
      </c>
      <c r="D1429" s="10" t="s">
        <v>147</v>
      </c>
      <c r="E1429" s="9">
        <v>3.0</v>
      </c>
      <c r="F1429" s="9">
        <v>12.0</v>
      </c>
      <c r="G1429" s="9">
        <v>48.0</v>
      </c>
      <c r="H1429" s="9">
        <v>0.0</v>
      </c>
      <c r="I1429" s="9">
        <v>0.0</v>
      </c>
      <c r="J1429" s="9">
        <v>12.0</v>
      </c>
      <c r="K1429" s="9">
        <v>48.0</v>
      </c>
      <c r="L1429" s="9">
        <v>2.25</v>
      </c>
      <c r="M1429" s="9">
        <v>27.0</v>
      </c>
      <c r="N1429" s="9">
        <v>21.0</v>
      </c>
      <c r="O1429" s="12">
        <v>46054.0</v>
      </c>
      <c r="P1429" s="16"/>
    </row>
    <row r="1430">
      <c r="A1430" s="9">
        <v>2.510001719E9</v>
      </c>
      <c r="B1430" s="10" t="s">
        <v>25</v>
      </c>
      <c r="C1430" s="9">
        <v>32.0</v>
      </c>
      <c r="D1430" s="10" t="s">
        <v>150</v>
      </c>
      <c r="E1430" s="9">
        <v>3.0</v>
      </c>
      <c r="F1430" s="9">
        <v>4.0</v>
      </c>
      <c r="G1430" s="9">
        <v>16.0</v>
      </c>
      <c r="H1430" s="9">
        <v>0.0</v>
      </c>
      <c r="I1430" s="9">
        <v>0.0</v>
      </c>
      <c r="J1430" s="9">
        <v>4.0</v>
      </c>
      <c r="K1430" s="9">
        <v>16.0</v>
      </c>
      <c r="L1430" s="9">
        <v>2.29</v>
      </c>
      <c r="M1430" s="9">
        <v>9.16</v>
      </c>
      <c r="N1430" s="9">
        <v>6.84</v>
      </c>
      <c r="O1430" s="12">
        <v>46054.0</v>
      </c>
      <c r="P1430" s="16"/>
    </row>
    <row r="1431">
      <c r="A1431" s="9">
        <v>2.510001719E9</v>
      </c>
      <c r="B1431" s="10" t="s">
        <v>25</v>
      </c>
      <c r="C1431" s="9">
        <v>36.0</v>
      </c>
      <c r="D1431" s="10" t="s">
        <v>153</v>
      </c>
      <c r="E1431" s="9">
        <v>4.0</v>
      </c>
      <c r="F1431" s="9">
        <v>2.0</v>
      </c>
      <c r="G1431" s="9">
        <v>10.0</v>
      </c>
      <c r="H1431" s="9">
        <v>0.0</v>
      </c>
      <c r="I1431" s="9">
        <v>0.0</v>
      </c>
      <c r="J1431" s="9">
        <v>2.0</v>
      </c>
      <c r="K1431" s="9">
        <v>10.0</v>
      </c>
      <c r="L1431" s="9">
        <v>1.6</v>
      </c>
      <c r="M1431" s="9">
        <v>3.2</v>
      </c>
      <c r="N1431" s="9">
        <v>6.8</v>
      </c>
      <c r="O1431" s="12">
        <v>46054.0</v>
      </c>
      <c r="P1431" s="16"/>
    </row>
    <row r="1432">
      <c r="A1432" s="9">
        <v>2.510001719E9</v>
      </c>
      <c r="B1432" s="10" t="s">
        <v>25</v>
      </c>
      <c r="C1432" s="9">
        <v>38.0</v>
      </c>
      <c r="D1432" s="10" t="s">
        <v>155</v>
      </c>
      <c r="E1432" s="9">
        <v>7.0</v>
      </c>
      <c r="F1432" s="9">
        <v>7.0</v>
      </c>
      <c r="G1432" s="9">
        <v>42.0</v>
      </c>
      <c r="H1432" s="9">
        <v>0.0</v>
      </c>
      <c r="I1432" s="9">
        <v>0.0</v>
      </c>
      <c r="J1432" s="9">
        <v>7.0</v>
      </c>
      <c r="K1432" s="9">
        <v>42.0</v>
      </c>
      <c r="L1432" s="9">
        <v>5.18</v>
      </c>
      <c r="M1432" s="9">
        <v>36.26</v>
      </c>
      <c r="N1432" s="9">
        <v>5.74</v>
      </c>
      <c r="O1432" s="12">
        <v>46054.0</v>
      </c>
      <c r="P1432" s="16"/>
    </row>
    <row r="1433">
      <c r="A1433" s="9">
        <v>2.510001719E9</v>
      </c>
      <c r="B1433" s="10" t="s">
        <v>25</v>
      </c>
      <c r="C1433" s="9">
        <v>52.0</v>
      </c>
      <c r="D1433" s="10" t="s">
        <v>174</v>
      </c>
      <c r="E1433" s="9">
        <v>5.0</v>
      </c>
      <c r="F1433" s="9">
        <v>24.0</v>
      </c>
      <c r="G1433" s="9">
        <v>145.0</v>
      </c>
      <c r="H1433" s="9">
        <v>0.0</v>
      </c>
      <c r="I1433" s="9">
        <v>0.0</v>
      </c>
      <c r="J1433" s="9">
        <v>24.0</v>
      </c>
      <c r="K1433" s="9">
        <v>145.0</v>
      </c>
      <c r="L1433" s="9">
        <v>3.0</v>
      </c>
      <c r="M1433" s="9">
        <v>72.0</v>
      </c>
      <c r="N1433" s="9">
        <v>73.0</v>
      </c>
      <c r="O1433" s="12">
        <v>46054.0</v>
      </c>
      <c r="P1433" s="16"/>
    </row>
    <row r="1434">
      <c r="A1434" s="9">
        <v>2.510001719E9</v>
      </c>
      <c r="B1434" s="10" t="s">
        <v>25</v>
      </c>
      <c r="C1434" s="9">
        <v>54.0</v>
      </c>
      <c r="D1434" s="10" t="s">
        <v>168</v>
      </c>
      <c r="E1434" s="9">
        <v>3.0</v>
      </c>
      <c r="F1434" s="9">
        <v>8.0</v>
      </c>
      <c r="G1434" s="9">
        <v>32.0</v>
      </c>
      <c r="H1434" s="9">
        <v>0.0</v>
      </c>
      <c r="I1434" s="9">
        <v>0.0</v>
      </c>
      <c r="J1434" s="9">
        <v>8.0</v>
      </c>
      <c r="K1434" s="9">
        <v>32.0</v>
      </c>
      <c r="L1434" s="9">
        <v>2.25</v>
      </c>
      <c r="M1434" s="9">
        <v>18.0</v>
      </c>
      <c r="N1434" s="9">
        <v>14.0</v>
      </c>
      <c r="O1434" s="12">
        <v>46054.0</v>
      </c>
      <c r="P1434" s="16"/>
    </row>
    <row r="1435">
      <c r="A1435" s="9">
        <v>2.510001719E9</v>
      </c>
      <c r="B1435" s="10" t="s">
        <v>25</v>
      </c>
      <c r="C1435" s="9">
        <v>64.0</v>
      </c>
      <c r="D1435" s="10" t="s">
        <v>173</v>
      </c>
      <c r="E1435" s="9">
        <v>3.0</v>
      </c>
      <c r="F1435" s="9">
        <v>4.0</v>
      </c>
      <c r="G1435" s="9">
        <v>16.0</v>
      </c>
      <c r="H1435" s="9">
        <v>0.0</v>
      </c>
      <c r="I1435" s="9">
        <v>0.0</v>
      </c>
      <c r="J1435" s="9">
        <v>4.0</v>
      </c>
      <c r="K1435" s="9">
        <v>16.0</v>
      </c>
      <c r="L1435" s="9">
        <v>2.29</v>
      </c>
      <c r="M1435" s="9">
        <v>9.16</v>
      </c>
      <c r="N1435" s="9">
        <v>6.84</v>
      </c>
      <c r="O1435" s="12">
        <v>46054.0</v>
      </c>
      <c r="P1435" s="16"/>
    </row>
    <row r="1436">
      <c r="A1436" s="9">
        <v>2.510001719E9</v>
      </c>
      <c r="B1436" s="10" t="s">
        <v>25</v>
      </c>
      <c r="C1436" s="9">
        <v>65.0</v>
      </c>
      <c r="D1436" s="10" t="s">
        <v>187</v>
      </c>
      <c r="E1436" s="9">
        <v>3.0</v>
      </c>
      <c r="F1436" s="9">
        <v>10.0</v>
      </c>
      <c r="G1436" s="9">
        <v>30.0</v>
      </c>
      <c r="H1436" s="9">
        <v>0.0</v>
      </c>
      <c r="I1436" s="9">
        <v>0.0</v>
      </c>
      <c r="J1436" s="9">
        <v>10.0</v>
      </c>
      <c r="K1436" s="9">
        <v>30.0</v>
      </c>
      <c r="L1436" s="9">
        <v>0.91</v>
      </c>
      <c r="M1436" s="9">
        <v>9.1</v>
      </c>
      <c r="N1436" s="9">
        <v>20.9</v>
      </c>
      <c r="O1436" s="12">
        <v>46054.0</v>
      </c>
      <c r="P1436" s="16"/>
    </row>
    <row r="1437">
      <c r="A1437" s="9">
        <v>2.510001719E9</v>
      </c>
      <c r="B1437" s="10" t="s">
        <v>25</v>
      </c>
      <c r="C1437" s="9">
        <v>96.0</v>
      </c>
      <c r="D1437" s="10" t="s">
        <v>212</v>
      </c>
      <c r="E1437" s="9">
        <v>5.0</v>
      </c>
      <c r="F1437" s="9">
        <v>29.0</v>
      </c>
      <c r="G1437" s="9">
        <v>203.0</v>
      </c>
      <c r="H1437" s="9">
        <v>0.0</v>
      </c>
      <c r="I1437" s="9">
        <v>0.0</v>
      </c>
      <c r="J1437" s="9">
        <v>29.0</v>
      </c>
      <c r="K1437" s="9">
        <v>203.0</v>
      </c>
      <c r="L1437" s="9">
        <v>2.93</v>
      </c>
      <c r="M1437" s="9">
        <v>84.97</v>
      </c>
      <c r="N1437" s="9">
        <v>118.03</v>
      </c>
      <c r="O1437" s="12">
        <v>46054.0</v>
      </c>
      <c r="P1437" s="16"/>
    </row>
    <row r="1438">
      <c r="A1438" s="9">
        <v>2.510001719E9</v>
      </c>
      <c r="B1438" s="10" t="s">
        <v>25</v>
      </c>
      <c r="C1438" s="9">
        <v>99.0</v>
      </c>
      <c r="D1438" s="10" t="s">
        <v>213</v>
      </c>
      <c r="E1438" s="9">
        <v>3.0</v>
      </c>
      <c r="F1438" s="9">
        <v>6.0</v>
      </c>
      <c r="G1438" s="9">
        <v>24.0</v>
      </c>
      <c r="H1438" s="9">
        <v>0.0</v>
      </c>
      <c r="I1438" s="9">
        <v>0.0</v>
      </c>
      <c r="J1438" s="9">
        <v>6.0</v>
      </c>
      <c r="K1438" s="9">
        <v>24.0</v>
      </c>
      <c r="L1438" s="9">
        <v>2.25</v>
      </c>
      <c r="M1438" s="9">
        <v>13.5</v>
      </c>
      <c r="N1438" s="9">
        <v>10.5</v>
      </c>
      <c r="O1438" s="12">
        <v>46054.0</v>
      </c>
      <c r="P1438" s="16"/>
    </row>
    <row r="1439">
      <c r="A1439" s="9">
        <v>2.510001719E9</v>
      </c>
      <c r="B1439" s="10" t="s">
        <v>25</v>
      </c>
      <c r="C1439" s="9">
        <v>100.0</v>
      </c>
      <c r="D1439" s="10" t="s">
        <v>230</v>
      </c>
      <c r="E1439" s="9">
        <v>5.0</v>
      </c>
      <c r="F1439" s="9">
        <v>14.0</v>
      </c>
      <c r="G1439" s="9">
        <v>84.0</v>
      </c>
      <c r="H1439" s="9">
        <v>0.0</v>
      </c>
      <c r="I1439" s="9">
        <v>0.0</v>
      </c>
      <c r="J1439" s="9">
        <v>14.0</v>
      </c>
      <c r="K1439" s="9">
        <v>84.0</v>
      </c>
      <c r="L1439" s="9">
        <v>2.44</v>
      </c>
      <c r="M1439" s="9">
        <v>34.16</v>
      </c>
      <c r="N1439" s="9">
        <v>49.84</v>
      </c>
      <c r="O1439" s="12">
        <v>46054.0</v>
      </c>
      <c r="P1439" s="16"/>
    </row>
    <row r="1440">
      <c r="A1440" s="9">
        <v>2.510001719E9</v>
      </c>
      <c r="B1440" s="10" t="s">
        <v>25</v>
      </c>
      <c r="C1440" s="9">
        <v>108.0</v>
      </c>
      <c r="D1440" s="10" t="s">
        <v>235</v>
      </c>
      <c r="E1440" s="9">
        <v>2.0</v>
      </c>
      <c r="F1440" s="9">
        <v>2.0</v>
      </c>
      <c r="G1440" s="9">
        <v>6.0</v>
      </c>
      <c r="H1440" s="9">
        <v>0.0</v>
      </c>
      <c r="I1440" s="9">
        <v>0.0</v>
      </c>
      <c r="J1440" s="9">
        <v>2.0</v>
      </c>
      <c r="K1440" s="9">
        <v>6.0</v>
      </c>
      <c r="L1440" s="9">
        <v>1.41</v>
      </c>
      <c r="M1440" s="9">
        <v>2.82</v>
      </c>
      <c r="N1440" s="9">
        <v>3.18</v>
      </c>
      <c r="O1440" s="12">
        <v>46054.0</v>
      </c>
      <c r="P1440" s="16"/>
    </row>
    <row r="1441">
      <c r="A1441" s="9">
        <v>2.510001719E9</v>
      </c>
      <c r="B1441" s="10" t="s">
        <v>25</v>
      </c>
      <c r="C1441" s="9">
        <v>126.0</v>
      </c>
      <c r="D1441" s="10" t="s">
        <v>227</v>
      </c>
      <c r="E1441" s="9">
        <v>1.0</v>
      </c>
      <c r="F1441" s="9">
        <v>12.0</v>
      </c>
      <c r="G1441" s="9">
        <v>24.0</v>
      </c>
      <c r="H1441" s="9">
        <v>0.0</v>
      </c>
      <c r="I1441" s="9">
        <v>0.0</v>
      </c>
      <c r="J1441" s="9">
        <v>12.0</v>
      </c>
      <c r="K1441" s="9">
        <v>24.0</v>
      </c>
      <c r="L1441" s="9">
        <v>0.45</v>
      </c>
      <c r="M1441" s="9">
        <v>5.4</v>
      </c>
      <c r="N1441" s="9">
        <v>18.6</v>
      </c>
      <c r="O1441" s="12">
        <v>46054.0</v>
      </c>
      <c r="P1441" s="16"/>
    </row>
    <row r="1442">
      <c r="A1442" s="9">
        <v>2.510001719E9</v>
      </c>
      <c r="B1442" s="10" t="s">
        <v>25</v>
      </c>
      <c r="C1442" s="9">
        <v>130.0</v>
      </c>
      <c r="D1442" s="10" t="s">
        <v>243</v>
      </c>
      <c r="E1442" s="9">
        <v>3.0</v>
      </c>
      <c r="F1442" s="9">
        <v>5.0</v>
      </c>
      <c r="G1442" s="9">
        <v>20.0</v>
      </c>
      <c r="H1442" s="9">
        <v>0.0</v>
      </c>
      <c r="I1442" s="9">
        <v>0.0</v>
      </c>
      <c r="J1442" s="9">
        <v>5.0</v>
      </c>
      <c r="K1442" s="9">
        <v>20.0</v>
      </c>
      <c r="L1442" s="9">
        <v>1.75</v>
      </c>
      <c r="M1442" s="9">
        <v>8.75</v>
      </c>
      <c r="N1442" s="9">
        <v>11.25</v>
      </c>
      <c r="O1442" s="12">
        <v>46054.0</v>
      </c>
      <c r="P1442" s="16"/>
    </row>
    <row r="1443">
      <c r="A1443" s="16"/>
      <c r="B1443" s="16"/>
      <c r="C1443" s="16"/>
      <c r="D1443" s="23"/>
      <c r="E1443" s="16"/>
      <c r="F1443" s="23"/>
      <c r="G1443" s="23"/>
      <c r="H1443" s="16"/>
      <c r="I1443" s="16"/>
      <c r="J1443" s="23"/>
      <c r="K1443" s="23"/>
      <c r="L1443" s="9"/>
      <c r="M1443" s="9"/>
      <c r="N1443" s="23"/>
      <c r="O1443" s="12"/>
      <c r="P1443" s="16"/>
    </row>
    <row r="1444">
      <c r="A1444" s="9">
        <v>2.404120076E9</v>
      </c>
      <c r="B1444" s="10" t="s">
        <v>19</v>
      </c>
      <c r="C1444" s="16"/>
      <c r="D1444" s="23" t="s">
        <v>89</v>
      </c>
      <c r="E1444" s="16"/>
      <c r="F1444" s="24">
        <v>6.0</v>
      </c>
      <c r="G1444" s="24">
        <v>18.0</v>
      </c>
      <c r="H1444" s="16"/>
      <c r="I1444" s="16"/>
      <c r="J1444" s="24">
        <v>6.0</v>
      </c>
      <c r="K1444" s="24">
        <v>18.0</v>
      </c>
      <c r="L1444" s="9"/>
      <c r="M1444" s="9"/>
      <c r="N1444" s="24">
        <v>7.02</v>
      </c>
      <c r="O1444" s="12">
        <v>46054.0</v>
      </c>
      <c r="P1444" s="16"/>
    </row>
    <row r="1445">
      <c r="A1445" s="9">
        <v>2.404120076E9</v>
      </c>
      <c r="B1445" s="10" t="s">
        <v>19</v>
      </c>
      <c r="C1445" s="16"/>
      <c r="D1445" s="23" t="s">
        <v>120</v>
      </c>
      <c r="E1445" s="16"/>
      <c r="F1445" s="24">
        <v>4.0</v>
      </c>
      <c r="G1445" s="24">
        <v>24.0</v>
      </c>
      <c r="H1445" s="16"/>
      <c r="I1445" s="16"/>
      <c r="J1445" s="24">
        <v>4.0</v>
      </c>
      <c r="K1445" s="24">
        <v>24.0</v>
      </c>
      <c r="L1445" s="9"/>
      <c r="M1445" s="9"/>
      <c r="N1445" s="24">
        <v>4.0</v>
      </c>
      <c r="O1445" s="12">
        <v>46054.0</v>
      </c>
      <c r="P1445" s="16"/>
    </row>
    <row r="1446">
      <c r="A1446" s="9">
        <v>2.404120076E9</v>
      </c>
      <c r="B1446" s="10" t="s">
        <v>19</v>
      </c>
      <c r="C1446" s="16"/>
      <c r="D1446" s="23" t="s">
        <v>200</v>
      </c>
      <c r="E1446" s="16"/>
      <c r="F1446" s="24">
        <v>6.0</v>
      </c>
      <c r="G1446" s="24">
        <v>36.0</v>
      </c>
      <c r="H1446" s="16"/>
      <c r="I1446" s="16"/>
      <c r="J1446" s="24">
        <v>6.0</v>
      </c>
      <c r="K1446" s="24">
        <v>36.0</v>
      </c>
      <c r="L1446" s="9"/>
      <c r="M1446" s="9"/>
      <c r="N1446" s="24">
        <v>18.0</v>
      </c>
      <c r="O1446" s="12">
        <v>46054.0</v>
      </c>
      <c r="P1446" s="16"/>
    </row>
    <row r="1447">
      <c r="A1447" s="9">
        <v>2.404120076E9</v>
      </c>
      <c r="B1447" s="10" t="s">
        <v>19</v>
      </c>
      <c r="C1447" s="16"/>
      <c r="D1447" s="23" t="s">
        <v>72</v>
      </c>
      <c r="E1447" s="16"/>
      <c r="F1447" s="24">
        <v>13.0</v>
      </c>
      <c r="G1447" s="24">
        <v>38.0</v>
      </c>
      <c r="H1447" s="16"/>
      <c r="I1447" s="16"/>
      <c r="J1447" s="24">
        <v>13.0</v>
      </c>
      <c r="K1447" s="24">
        <v>38.0</v>
      </c>
      <c r="L1447" s="9"/>
      <c r="M1447" s="9"/>
      <c r="N1447" s="24">
        <v>21.75</v>
      </c>
      <c r="O1447" s="12">
        <v>46054.0</v>
      </c>
      <c r="P1447" s="16"/>
    </row>
    <row r="1448">
      <c r="A1448" s="9">
        <v>2.404120076E9</v>
      </c>
      <c r="B1448" s="10" t="s">
        <v>19</v>
      </c>
      <c r="C1448" s="16"/>
      <c r="D1448" s="23" t="s">
        <v>168</v>
      </c>
      <c r="E1448" s="16"/>
      <c r="F1448" s="24">
        <v>14.0</v>
      </c>
      <c r="G1448" s="24">
        <v>42.0</v>
      </c>
      <c r="H1448" s="16"/>
      <c r="I1448" s="16"/>
      <c r="J1448" s="24">
        <v>14.0</v>
      </c>
      <c r="K1448" s="24">
        <v>42.0</v>
      </c>
      <c r="L1448" s="9"/>
      <c r="M1448" s="9"/>
      <c r="N1448" s="24">
        <v>10.5</v>
      </c>
      <c r="O1448" s="12">
        <v>46054.0</v>
      </c>
      <c r="P1448" s="16"/>
    </row>
    <row r="1449">
      <c r="A1449" s="9">
        <v>2.404120076E9</v>
      </c>
      <c r="B1449" s="10" t="s">
        <v>19</v>
      </c>
      <c r="C1449" s="16"/>
      <c r="D1449" s="23" t="s">
        <v>55</v>
      </c>
      <c r="E1449" s="16"/>
      <c r="F1449" s="24">
        <v>16.0</v>
      </c>
      <c r="G1449" s="24">
        <v>48.0</v>
      </c>
      <c r="H1449" s="16"/>
      <c r="I1449" s="16"/>
      <c r="J1449" s="24">
        <v>16.0</v>
      </c>
      <c r="K1449" s="24">
        <v>48.0</v>
      </c>
      <c r="L1449" s="9"/>
      <c r="M1449" s="9"/>
      <c r="N1449" s="24">
        <v>27.84</v>
      </c>
      <c r="O1449" s="12">
        <v>46054.0</v>
      </c>
      <c r="P1449" s="16"/>
    </row>
    <row r="1450">
      <c r="A1450" s="9">
        <v>2.404120076E9</v>
      </c>
      <c r="B1450" s="10" t="s">
        <v>19</v>
      </c>
      <c r="C1450" s="16"/>
      <c r="D1450" s="23" t="s">
        <v>97</v>
      </c>
      <c r="E1450" s="16"/>
      <c r="F1450" s="24">
        <v>6.0</v>
      </c>
      <c r="G1450" s="24">
        <v>49.0</v>
      </c>
      <c r="H1450" s="16"/>
      <c r="I1450" s="16"/>
      <c r="J1450" s="24">
        <v>6.0</v>
      </c>
      <c r="K1450" s="24">
        <v>49.0</v>
      </c>
      <c r="L1450" s="9"/>
      <c r="M1450" s="9"/>
      <c r="N1450" s="24">
        <v>13.0</v>
      </c>
      <c r="O1450" s="12">
        <v>46054.0</v>
      </c>
      <c r="P1450" s="16"/>
    </row>
    <row r="1451">
      <c r="A1451" s="9">
        <v>2.404120076E9</v>
      </c>
      <c r="B1451" s="10" t="s">
        <v>19</v>
      </c>
      <c r="C1451" s="16"/>
      <c r="D1451" s="23" t="s">
        <v>167</v>
      </c>
      <c r="E1451" s="16"/>
      <c r="F1451" s="24">
        <v>17.0</v>
      </c>
      <c r="G1451" s="24">
        <v>51.0</v>
      </c>
      <c r="H1451" s="16"/>
      <c r="I1451" s="16"/>
      <c r="J1451" s="24">
        <v>17.0</v>
      </c>
      <c r="K1451" s="24">
        <v>51.0</v>
      </c>
      <c r="L1451" s="9"/>
      <c r="M1451" s="9"/>
      <c r="N1451" s="24">
        <v>12.75</v>
      </c>
      <c r="O1451" s="12">
        <v>46054.0</v>
      </c>
      <c r="P1451" s="16"/>
    </row>
    <row r="1452">
      <c r="A1452" s="9">
        <v>2.404120076E9</v>
      </c>
      <c r="B1452" s="10" t="s">
        <v>19</v>
      </c>
      <c r="C1452" s="16"/>
      <c r="D1452" s="23" t="s">
        <v>205</v>
      </c>
      <c r="E1452" s="16"/>
      <c r="F1452" s="24">
        <v>10.0</v>
      </c>
      <c r="G1452" s="24">
        <v>54.0</v>
      </c>
      <c r="H1452" s="16"/>
      <c r="I1452" s="16"/>
      <c r="J1452" s="24">
        <v>10.0</v>
      </c>
      <c r="K1452" s="24">
        <v>54.0</v>
      </c>
      <c r="L1452" s="9"/>
      <c r="M1452" s="9"/>
      <c r="N1452" s="24">
        <v>26.0</v>
      </c>
      <c r="O1452" s="12">
        <v>46054.0</v>
      </c>
      <c r="P1452" s="16"/>
    </row>
    <row r="1453">
      <c r="A1453" s="9">
        <v>2.404120076E9</v>
      </c>
      <c r="B1453" s="10" t="s">
        <v>19</v>
      </c>
      <c r="C1453" s="16"/>
      <c r="D1453" s="23" t="s">
        <v>79</v>
      </c>
      <c r="E1453" s="16"/>
      <c r="F1453" s="24">
        <v>20.0</v>
      </c>
      <c r="G1453" s="24">
        <v>61.0</v>
      </c>
      <c r="H1453" s="16"/>
      <c r="I1453" s="16"/>
      <c r="J1453" s="24">
        <v>20.0</v>
      </c>
      <c r="K1453" s="24">
        <v>61.0</v>
      </c>
      <c r="L1453" s="9"/>
      <c r="M1453" s="9"/>
      <c r="N1453" s="24">
        <v>19.4</v>
      </c>
      <c r="O1453" s="12">
        <v>46054.0</v>
      </c>
      <c r="P1453" s="16"/>
    </row>
    <row r="1454">
      <c r="A1454" s="9">
        <v>2.404120076E9</v>
      </c>
      <c r="B1454" s="10" t="s">
        <v>19</v>
      </c>
      <c r="C1454" s="16"/>
      <c r="D1454" s="23" t="s">
        <v>165</v>
      </c>
      <c r="E1454" s="16"/>
      <c r="F1454" s="24">
        <v>19.0</v>
      </c>
      <c r="G1454" s="24">
        <v>65.0</v>
      </c>
      <c r="H1454" s="16"/>
      <c r="I1454" s="16"/>
      <c r="J1454" s="24">
        <v>19.0</v>
      </c>
      <c r="K1454" s="24">
        <v>65.0</v>
      </c>
      <c r="L1454" s="9"/>
      <c r="M1454" s="9"/>
      <c r="N1454" s="24">
        <v>31.75</v>
      </c>
      <c r="O1454" s="12">
        <v>46054.0</v>
      </c>
      <c r="P1454" s="16"/>
    </row>
    <row r="1455">
      <c r="A1455" s="9">
        <v>2.404120076E9</v>
      </c>
      <c r="B1455" s="10" t="s">
        <v>19</v>
      </c>
      <c r="C1455" s="16"/>
      <c r="D1455" s="23" t="s">
        <v>100</v>
      </c>
      <c r="E1455" s="16"/>
      <c r="F1455" s="24">
        <v>23.0</v>
      </c>
      <c r="G1455" s="24">
        <v>83.0</v>
      </c>
      <c r="H1455" s="16"/>
      <c r="I1455" s="16"/>
      <c r="J1455" s="24">
        <v>23.0</v>
      </c>
      <c r="K1455" s="24">
        <v>83.0</v>
      </c>
      <c r="L1455" s="9"/>
      <c r="M1455" s="9"/>
      <c r="N1455" s="24">
        <v>37.0</v>
      </c>
      <c r="O1455" s="12">
        <v>46054.0</v>
      </c>
      <c r="P1455" s="16"/>
    </row>
    <row r="1456">
      <c r="A1456" s="9">
        <v>2.404120076E9</v>
      </c>
      <c r="B1456" s="10" t="s">
        <v>19</v>
      </c>
      <c r="C1456" s="16"/>
      <c r="D1456" s="23" t="s">
        <v>173</v>
      </c>
      <c r="E1456" s="16"/>
      <c r="F1456" s="24">
        <v>27.0</v>
      </c>
      <c r="G1456" s="24">
        <v>89.0</v>
      </c>
      <c r="H1456" s="16"/>
      <c r="I1456" s="16"/>
      <c r="J1456" s="24">
        <v>27.0</v>
      </c>
      <c r="K1456" s="24">
        <v>89.0</v>
      </c>
      <c r="L1456" s="9"/>
      <c r="M1456" s="9"/>
      <c r="N1456" s="24">
        <v>32.84</v>
      </c>
      <c r="O1456" s="12">
        <v>46054.0</v>
      </c>
      <c r="P1456" s="16"/>
    </row>
    <row r="1457">
      <c r="A1457" s="9">
        <v>2.404120076E9</v>
      </c>
      <c r="B1457" s="10" t="s">
        <v>19</v>
      </c>
      <c r="C1457" s="16"/>
      <c r="D1457" s="23" t="s">
        <v>125</v>
      </c>
      <c r="E1457" s="16"/>
      <c r="F1457" s="24">
        <v>12.0</v>
      </c>
      <c r="G1457" s="24">
        <v>99.0</v>
      </c>
      <c r="H1457" s="16"/>
      <c r="I1457" s="16"/>
      <c r="J1457" s="24">
        <v>12.0</v>
      </c>
      <c r="K1457" s="24">
        <v>99.0</v>
      </c>
      <c r="L1457" s="9"/>
      <c r="M1457" s="9"/>
      <c r="N1457" s="24">
        <v>30.6</v>
      </c>
      <c r="O1457" s="12">
        <v>46054.0</v>
      </c>
      <c r="P1457" s="16"/>
    </row>
    <row r="1458">
      <c r="A1458" s="9">
        <v>2.404120076E9</v>
      </c>
      <c r="B1458" s="10" t="s">
        <v>19</v>
      </c>
      <c r="C1458" s="16"/>
      <c r="D1458" s="23" t="s">
        <v>58</v>
      </c>
      <c r="E1458" s="16"/>
      <c r="F1458" s="24">
        <v>21.0</v>
      </c>
      <c r="G1458" s="24">
        <v>105.0</v>
      </c>
      <c r="H1458" s="16"/>
      <c r="I1458" s="16"/>
      <c r="J1458" s="24">
        <v>21.0</v>
      </c>
      <c r="K1458" s="24">
        <v>105.0</v>
      </c>
      <c r="L1458" s="9"/>
      <c r="M1458" s="9"/>
      <c r="N1458" s="24">
        <v>72.45</v>
      </c>
      <c r="O1458" s="12">
        <v>46054.0</v>
      </c>
      <c r="P1458" s="16"/>
    </row>
    <row r="1459">
      <c r="A1459" s="9">
        <v>2.404120076E9</v>
      </c>
      <c r="B1459" s="10" t="s">
        <v>19</v>
      </c>
      <c r="C1459" s="16"/>
      <c r="D1459" s="23" t="s">
        <v>73</v>
      </c>
      <c r="E1459" s="16"/>
      <c r="F1459" s="24">
        <v>11.0</v>
      </c>
      <c r="G1459" s="24">
        <v>106.0</v>
      </c>
      <c r="H1459" s="16"/>
      <c r="I1459" s="16"/>
      <c r="J1459" s="24">
        <v>11.0</v>
      </c>
      <c r="K1459" s="24">
        <v>106.0</v>
      </c>
      <c r="L1459" s="9"/>
      <c r="M1459" s="9"/>
      <c r="N1459" s="24">
        <v>75.75</v>
      </c>
      <c r="O1459" s="12">
        <v>46054.0</v>
      </c>
      <c r="P1459" s="16"/>
    </row>
    <row r="1460">
      <c r="A1460" s="9">
        <v>2.404120076E9</v>
      </c>
      <c r="B1460" s="10" t="s">
        <v>19</v>
      </c>
      <c r="C1460" s="16"/>
      <c r="D1460" s="23" t="s">
        <v>199</v>
      </c>
      <c r="E1460" s="16"/>
      <c r="F1460" s="24">
        <v>22.0</v>
      </c>
      <c r="G1460" s="24">
        <v>110.0</v>
      </c>
      <c r="H1460" s="16"/>
      <c r="I1460" s="16"/>
      <c r="J1460" s="24">
        <v>22.0</v>
      </c>
      <c r="K1460" s="24">
        <v>110.0</v>
      </c>
      <c r="L1460" s="9"/>
      <c r="M1460" s="9"/>
      <c r="N1460" s="24">
        <v>61.6</v>
      </c>
      <c r="O1460" s="12">
        <v>46054.0</v>
      </c>
      <c r="P1460" s="16"/>
    </row>
    <row r="1461">
      <c r="A1461" s="9">
        <v>2.404120076E9</v>
      </c>
      <c r="B1461" s="10" t="s">
        <v>19</v>
      </c>
      <c r="C1461" s="16"/>
      <c r="D1461" s="23" t="s">
        <v>147</v>
      </c>
      <c r="E1461" s="16"/>
      <c r="F1461" s="24">
        <v>41.0</v>
      </c>
      <c r="G1461" s="24">
        <v>111.0</v>
      </c>
      <c r="H1461" s="16"/>
      <c r="I1461" s="16"/>
      <c r="J1461" s="24">
        <v>41.0</v>
      </c>
      <c r="K1461" s="24">
        <v>111.0</v>
      </c>
      <c r="L1461" s="9"/>
      <c r="M1461" s="9"/>
      <c r="N1461" s="24">
        <v>18.75</v>
      </c>
      <c r="O1461" s="12">
        <v>46054.0</v>
      </c>
      <c r="P1461" s="16"/>
    </row>
    <row r="1462">
      <c r="A1462" s="9">
        <v>2.404120076E9</v>
      </c>
      <c r="B1462" s="10" t="s">
        <v>19</v>
      </c>
      <c r="C1462" s="16"/>
      <c r="D1462" s="23" t="s">
        <v>71</v>
      </c>
      <c r="E1462" s="16"/>
      <c r="F1462" s="24">
        <v>95.0</v>
      </c>
      <c r="G1462" s="24">
        <v>127.0</v>
      </c>
      <c r="H1462" s="16"/>
      <c r="I1462" s="16"/>
      <c r="J1462" s="24">
        <v>95.0</v>
      </c>
      <c r="K1462" s="24">
        <v>127.0</v>
      </c>
      <c r="L1462" s="9"/>
      <c r="M1462" s="9"/>
      <c r="N1462" s="24">
        <v>66.2</v>
      </c>
      <c r="O1462" s="12">
        <v>46054.0</v>
      </c>
      <c r="P1462" s="16"/>
    </row>
    <row r="1463">
      <c r="A1463" s="9">
        <v>2.404120076E9</v>
      </c>
      <c r="B1463" s="10" t="s">
        <v>19</v>
      </c>
      <c r="C1463" s="16"/>
      <c r="D1463" s="23" t="s">
        <v>74</v>
      </c>
      <c r="E1463" s="16"/>
      <c r="F1463" s="24">
        <v>181.0</v>
      </c>
      <c r="G1463" s="24">
        <v>181.0</v>
      </c>
      <c r="H1463" s="16"/>
      <c r="I1463" s="16"/>
      <c r="J1463" s="24">
        <v>181.0</v>
      </c>
      <c r="K1463" s="24">
        <v>181.0</v>
      </c>
      <c r="L1463" s="9"/>
      <c r="M1463" s="9"/>
      <c r="N1463" s="24">
        <v>128.51</v>
      </c>
      <c r="O1463" s="12">
        <v>46054.0</v>
      </c>
      <c r="P1463" s="16"/>
    </row>
    <row r="1464">
      <c r="A1464" s="9">
        <v>2.404120076E9</v>
      </c>
      <c r="B1464" s="10" t="s">
        <v>19</v>
      </c>
      <c r="C1464" s="16"/>
      <c r="D1464" s="23" t="s">
        <v>241</v>
      </c>
      <c r="E1464" s="16"/>
      <c r="F1464" s="24">
        <v>46.0</v>
      </c>
      <c r="G1464" s="24">
        <v>230.0</v>
      </c>
      <c r="H1464" s="16"/>
      <c r="I1464" s="16"/>
      <c r="J1464" s="24">
        <v>46.0</v>
      </c>
      <c r="K1464" s="24">
        <v>230.0</v>
      </c>
      <c r="L1464" s="9"/>
      <c r="M1464" s="9"/>
      <c r="N1464" s="24">
        <v>92.0</v>
      </c>
      <c r="O1464" s="12">
        <v>46054.0</v>
      </c>
      <c r="P1464" s="16"/>
    </row>
    <row r="1465">
      <c r="A1465" s="9">
        <v>2.404120076E9</v>
      </c>
      <c r="B1465" s="10" t="s">
        <v>19</v>
      </c>
      <c r="C1465" s="16"/>
      <c r="D1465" s="23" t="s">
        <v>86</v>
      </c>
      <c r="E1465" s="16"/>
      <c r="F1465" s="24">
        <v>55.0</v>
      </c>
      <c r="G1465" s="24">
        <v>260.0</v>
      </c>
      <c r="H1465" s="16"/>
      <c r="I1465" s="16"/>
      <c r="J1465" s="24">
        <v>55.0</v>
      </c>
      <c r="K1465" s="24">
        <v>260.0</v>
      </c>
      <c r="L1465" s="9"/>
      <c r="M1465" s="9"/>
      <c r="N1465" s="24">
        <v>79.05</v>
      </c>
      <c r="O1465" s="12">
        <v>46054.0</v>
      </c>
      <c r="P1465" s="16"/>
    </row>
    <row r="1466">
      <c r="A1466" s="9">
        <v>2.404120076E9</v>
      </c>
      <c r="B1466" s="10" t="s">
        <v>19</v>
      </c>
      <c r="C1466" s="16"/>
      <c r="D1466" s="2" t="s">
        <v>129</v>
      </c>
      <c r="E1466" s="16"/>
      <c r="F1466" s="24">
        <v>51.0</v>
      </c>
      <c r="G1466" s="24">
        <v>264.0</v>
      </c>
      <c r="H1466" s="16"/>
      <c r="I1466" s="16"/>
      <c r="J1466" s="24">
        <v>51.0</v>
      </c>
      <c r="K1466" s="24">
        <v>264.0</v>
      </c>
      <c r="L1466" s="9"/>
      <c r="M1466" s="9"/>
      <c r="N1466" s="24">
        <v>128.34</v>
      </c>
      <c r="O1466" s="12">
        <v>46054.0</v>
      </c>
      <c r="P1466" s="16"/>
    </row>
    <row r="1467">
      <c r="A1467" s="9"/>
      <c r="B1467" s="10"/>
      <c r="C1467" s="16"/>
      <c r="D1467" s="23"/>
      <c r="E1467" s="16"/>
      <c r="F1467" s="24"/>
      <c r="G1467" s="24"/>
      <c r="H1467" s="16"/>
      <c r="I1467" s="16"/>
      <c r="J1467" s="24"/>
      <c r="K1467" s="24"/>
      <c r="L1467" s="9"/>
      <c r="M1467" s="9"/>
      <c r="N1467" s="24"/>
      <c r="O1467" s="12"/>
      <c r="P1467" s="16"/>
    </row>
    <row r="1468">
      <c r="A1468" s="16"/>
      <c r="B1468" s="16"/>
      <c r="C1468" s="16"/>
      <c r="D1468" s="16"/>
      <c r="E1468" s="16"/>
      <c r="F1468" s="16"/>
      <c r="G1468" s="16"/>
      <c r="H1468" s="16"/>
      <c r="I1468" s="16"/>
      <c r="J1468" s="9"/>
      <c r="K1468" s="9"/>
      <c r="L1468" s="9"/>
      <c r="M1468" s="9"/>
      <c r="N1468" s="9"/>
      <c r="O1468" s="12"/>
      <c r="P1468" s="16"/>
    </row>
    <row r="1469">
      <c r="A1469" s="16"/>
      <c r="B1469" s="16"/>
      <c r="C1469" s="16"/>
      <c r="D1469" s="16"/>
      <c r="E1469" s="16"/>
      <c r="F1469" s="16"/>
      <c r="G1469" s="16"/>
      <c r="H1469" s="16"/>
      <c r="I1469" s="16"/>
      <c r="J1469" s="9"/>
      <c r="K1469" s="9"/>
      <c r="L1469" s="9"/>
      <c r="M1469" s="9"/>
      <c r="N1469" s="9"/>
      <c r="O1469" s="12"/>
      <c r="P1469" s="16"/>
    </row>
    <row r="1470">
      <c r="A1470" s="16"/>
      <c r="B1470" s="16"/>
      <c r="C1470" s="16"/>
      <c r="D1470" s="16"/>
      <c r="E1470" s="16"/>
      <c r="F1470" s="16"/>
      <c r="G1470" s="16"/>
      <c r="H1470" s="16"/>
      <c r="I1470" s="16"/>
      <c r="J1470" s="9"/>
      <c r="K1470" s="9"/>
      <c r="L1470" s="9"/>
      <c r="M1470" s="9"/>
      <c r="N1470" s="9"/>
      <c r="O1470" s="12"/>
      <c r="P1470" s="16"/>
    </row>
    <row r="1471">
      <c r="A1471" s="16"/>
      <c r="B1471" s="16"/>
      <c r="C1471" s="16"/>
      <c r="D1471" s="16"/>
      <c r="E1471" s="16"/>
      <c r="F1471" s="16"/>
      <c r="G1471" s="16"/>
      <c r="H1471" s="16"/>
      <c r="I1471" s="16"/>
      <c r="J1471" s="9"/>
      <c r="K1471" s="9"/>
      <c r="L1471" s="9"/>
      <c r="M1471" s="9"/>
      <c r="N1471" s="9"/>
      <c r="O1471" s="12"/>
      <c r="P1471" s="16"/>
    </row>
    <row r="1472">
      <c r="A1472" s="16"/>
      <c r="B1472" s="16"/>
      <c r="C1472" s="16"/>
      <c r="D1472" s="16"/>
      <c r="E1472" s="16"/>
      <c r="F1472" s="16"/>
      <c r="G1472" s="16"/>
      <c r="H1472" s="16"/>
      <c r="I1472" s="16"/>
      <c r="J1472" s="9">
        <v>0.0</v>
      </c>
      <c r="K1472" s="9">
        <v>0.0</v>
      </c>
      <c r="L1472" s="9">
        <v>0.0</v>
      </c>
      <c r="M1472" s="9">
        <v>0.0</v>
      </c>
      <c r="N1472" s="9">
        <v>0.0</v>
      </c>
      <c r="O1472" s="12"/>
      <c r="P1472" s="16"/>
    </row>
    <row r="1473">
      <c r="A1473" s="9">
        <v>2.411000046E9</v>
      </c>
      <c r="B1473" s="10" t="s">
        <v>21</v>
      </c>
      <c r="C1473" s="9">
        <v>1.0</v>
      </c>
      <c r="D1473" s="10" t="s">
        <v>129</v>
      </c>
      <c r="E1473" s="9">
        <v>5.0</v>
      </c>
      <c r="F1473" s="9">
        <v>80.0</v>
      </c>
      <c r="G1473" s="9">
        <v>400.0</v>
      </c>
      <c r="H1473" s="9">
        <v>0.0</v>
      </c>
      <c r="I1473" s="9">
        <v>0.0</v>
      </c>
      <c r="J1473" s="9">
        <v>80.0</v>
      </c>
      <c r="K1473" s="9">
        <v>400.0</v>
      </c>
      <c r="L1473" s="9">
        <v>2.93</v>
      </c>
      <c r="M1473" s="9">
        <v>234.4</v>
      </c>
      <c r="N1473" s="9">
        <v>165.6</v>
      </c>
      <c r="O1473" s="12">
        <v>46082.0</v>
      </c>
      <c r="P1473" s="20">
        <v>46082.0</v>
      </c>
    </row>
    <row r="1474">
      <c r="A1474" s="9">
        <v>2.411000046E9</v>
      </c>
      <c r="B1474" s="10" t="s">
        <v>21</v>
      </c>
      <c r="C1474" s="9">
        <v>2.0</v>
      </c>
      <c r="D1474" s="10" t="s">
        <v>74</v>
      </c>
      <c r="E1474" s="9">
        <v>1.0</v>
      </c>
      <c r="F1474" s="9">
        <v>297.0</v>
      </c>
      <c r="G1474" s="9">
        <v>297.0</v>
      </c>
      <c r="H1474" s="9">
        <v>0.0</v>
      </c>
      <c r="I1474" s="9">
        <v>0.0</v>
      </c>
      <c r="J1474" s="9">
        <v>297.0</v>
      </c>
      <c r="K1474" s="9">
        <v>297.0</v>
      </c>
      <c r="L1474" s="9">
        <v>0.28</v>
      </c>
      <c r="M1474" s="9">
        <v>83.16</v>
      </c>
      <c r="N1474" s="9">
        <v>213.84</v>
      </c>
      <c r="O1474" s="12">
        <v>46082.0</v>
      </c>
      <c r="P1474" s="16"/>
    </row>
    <row r="1475">
      <c r="A1475" s="9">
        <v>2.411000046E9</v>
      </c>
      <c r="B1475" s="10" t="s">
        <v>21</v>
      </c>
      <c r="C1475" s="9">
        <v>3.0</v>
      </c>
      <c r="D1475" s="10" t="s">
        <v>125</v>
      </c>
      <c r="E1475" s="9">
        <v>8.0</v>
      </c>
      <c r="F1475" s="9">
        <v>8.0</v>
      </c>
      <c r="G1475" s="9">
        <v>72.0</v>
      </c>
      <c r="H1475" s="9">
        <v>0.0</v>
      </c>
      <c r="I1475" s="9">
        <v>0.0</v>
      </c>
      <c r="J1475" s="9">
        <v>8.0</v>
      </c>
      <c r="K1475" s="9">
        <v>72.0</v>
      </c>
      <c r="L1475" s="9">
        <v>7.5</v>
      </c>
      <c r="M1475" s="9">
        <v>60.0</v>
      </c>
      <c r="N1475" s="9">
        <v>12.0</v>
      </c>
      <c r="O1475" s="12">
        <v>46082.0</v>
      </c>
    </row>
    <row r="1476">
      <c r="A1476" s="9">
        <v>2.411000046E9</v>
      </c>
      <c r="B1476" s="10" t="s">
        <v>21</v>
      </c>
      <c r="C1476" s="9">
        <v>5.0</v>
      </c>
      <c r="D1476" s="10" t="s">
        <v>131</v>
      </c>
      <c r="E1476" s="9">
        <v>3.0</v>
      </c>
      <c r="F1476" s="9">
        <v>1.0</v>
      </c>
      <c r="G1476" s="9">
        <v>3.0</v>
      </c>
      <c r="H1476" s="9">
        <v>0.0</v>
      </c>
      <c r="I1476" s="9">
        <v>0.0</v>
      </c>
      <c r="J1476" s="9">
        <v>1.0</v>
      </c>
      <c r="K1476" s="9">
        <v>3.0</v>
      </c>
      <c r="L1476" s="9">
        <v>2.0</v>
      </c>
      <c r="M1476" s="9">
        <v>2.0</v>
      </c>
      <c r="N1476" s="9">
        <v>1.0</v>
      </c>
      <c r="O1476" s="12">
        <v>46082.0</v>
      </c>
      <c r="P1476" s="16"/>
    </row>
    <row r="1477">
      <c r="A1477" s="9">
        <v>2.411000046E9</v>
      </c>
      <c r="B1477" s="10" t="s">
        <v>21</v>
      </c>
      <c r="C1477" s="9">
        <v>11.0</v>
      </c>
      <c r="D1477" s="10" t="s">
        <v>86</v>
      </c>
      <c r="E1477" s="9">
        <v>5.0</v>
      </c>
      <c r="F1477" s="9">
        <v>77.0</v>
      </c>
      <c r="G1477" s="9">
        <v>385.0</v>
      </c>
      <c r="H1477" s="9">
        <v>0.0</v>
      </c>
      <c r="I1477" s="9">
        <v>0.0</v>
      </c>
      <c r="J1477" s="9">
        <v>77.0</v>
      </c>
      <c r="K1477" s="9">
        <v>385.0</v>
      </c>
      <c r="L1477" s="9">
        <v>4.29</v>
      </c>
      <c r="M1477" s="9">
        <v>330.33</v>
      </c>
      <c r="N1477" s="9">
        <v>54.67</v>
      </c>
      <c r="O1477" s="12">
        <v>46082.0</v>
      </c>
      <c r="P1477" s="16"/>
    </row>
    <row r="1478">
      <c r="A1478" s="9">
        <v>2.411000046E9</v>
      </c>
      <c r="B1478" s="10" t="s">
        <v>21</v>
      </c>
      <c r="C1478" s="9">
        <v>14.0</v>
      </c>
      <c r="D1478" s="10" t="s">
        <v>138</v>
      </c>
      <c r="E1478" s="9">
        <v>8.0</v>
      </c>
      <c r="F1478" s="9">
        <v>44.0</v>
      </c>
      <c r="G1478" s="9">
        <v>396.0</v>
      </c>
      <c r="H1478" s="9">
        <v>0.0</v>
      </c>
      <c r="I1478" s="9">
        <v>0.0</v>
      </c>
      <c r="J1478" s="9">
        <v>44.0</v>
      </c>
      <c r="K1478" s="9">
        <v>396.0</v>
      </c>
      <c r="L1478" s="9">
        <v>7.0</v>
      </c>
      <c r="M1478" s="9">
        <v>308.0</v>
      </c>
      <c r="N1478" s="9">
        <v>88.0</v>
      </c>
      <c r="O1478" s="12">
        <v>46082.0</v>
      </c>
      <c r="P1478" s="16"/>
    </row>
    <row r="1479">
      <c r="A1479" s="9">
        <v>2.411000046E9</v>
      </c>
      <c r="B1479" s="10" t="s">
        <v>21</v>
      </c>
      <c r="C1479" s="9">
        <v>16.0</v>
      </c>
      <c r="D1479" s="10" t="s">
        <v>139</v>
      </c>
      <c r="E1479" s="9">
        <v>2.0</v>
      </c>
      <c r="F1479" s="9">
        <v>13.0</v>
      </c>
      <c r="G1479" s="9">
        <v>39.0</v>
      </c>
      <c r="H1479" s="9">
        <v>0.0</v>
      </c>
      <c r="I1479" s="9">
        <v>0.0</v>
      </c>
      <c r="J1479" s="9">
        <v>13.0</v>
      </c>
      <c r="K1479" s="9">
        <v>39.0</v>
      </c>
      <c r="L1479" s="9">
        <v>2.25</v>
      </c>
      <c r="M1479" s="9">
        <v>29.25</v>
      </c>
      <c r="N1479" s="9">
        <v>9.75</v>
      </c>
      <c r="O1479" s="12">
        <v>46082.0</v>
      </c>
      <c r="P1479" s="16"/>
    </row>
    <row r="1480">
      <c r="A1480" s="9">
        <v>2.411000046E9</v>
      </c>
      <c r="B1480" s="10" t="s">
        <v>21</v>
      </c>
      <c r="C1480" s="9">
        <v>19.0</v>
      </c>
      <c r="D1480" s="10" t="s">
        <v>72</v>
      </c>
      <c r="E1480" s="9">
        <v>3.0</v>
      </c>
      <c r="F1480" s="9">
        <v>52.0</v>
      </c>
      <c r="G1480" s="9">
        <v>156.0</v>
      </c>
      <c r="H1480" s="9">
        <v>0.0</v>
      </c>
      <c r="I1480" s="9">
        <v>0.0</v>
      </c>
      <c r="J1480" s="9">
        <v>52.0</v>
      </c>
      <c r="K1480" s="9">
        <v>156.0</v>
      </c>
      <c r="L1480" s="9">
        <v>1.79</v>
      </c>
      <c r="M1480" s="9">
        <v>93.08</v>
      </c>
      <c r="N1480" s="9">
        <v>62.92</v>
      </c>
      <c r="O1480" s="12">
        <v>46082.0</v>
      </c>
      <c r="P1480" s="16"/>
    </row>
    <row r="1481">
      <c r="A1481" s="9">
        <v>2.411000046E9</v>
      </c>
      <c r="B1481" s="10" t="s">
        <v>21</v>
      </c>
      <c r="C1481" s="9">
        <v>21.0</v>
      </c>
      <c r="D1481" s="10" t="s">
        <v>79</v>
      </c>
      <c r="E1481" s="9">
        <v>3.0</v>
      </c>
      <c r="F1481" s="9">
        <v>67.0</v>
      </c>
      <c r="G1481" s="9">
        <v>268.0</v>
      </c>
      <c r="H1481" s="9">
        <v>0.0</v>
      </c>
      <c r="I1481" s="9">
        <v>0.0</v>
      </c>
      <c r="J1481" s="9">
        <v>67.0</v>
      </c>
      <c r="K1481" s="9">
        <v>268.0</v>
      </c>
      <c r="L1481" s="9">
        <v>2.25</v>
      </c>
      <c r="M1481" s="9">
        <v>150.75</v>
      </c>
      <c r="N1481" s="9">
        <v>117.25</v>
      </c>
      <c r="O1481" s="12">
        <v>46082.0</v>
      </c>
      <c r="P1481" s="16"/>
    </row>
    <row r="1482">
      <c r="A1482" s="9">
        <v>2.411000046E9</v>
      </c>
      <c r="B1482" s="10" t="s">
        <v>21</v>
      </c>
      <c r="C1482" s="9">
        <v>23.0</v>
      </c>
      <c r="D1482" s="10" t="s">
        <v>143</v>
      </c>
      <c r="E1482" s="9">
        <v>5.0</v>
      </c>
      <c r="F1482" s="9">
        <v>4.0</v>
      </c>
      <c r="G1482" s="9">
        <v>24.0</v>
      </c>
      <c r="H1482" s="9">
        <v>0.0</v>
      </c>
      <c r="I1482" s="9">
        <v>0.0</v>
      </c>
      <c r="J1482" s="9">
        <v>4.0</v>
      </c>
      <c r="K1482" s="9">
        <v>24.0</v>
      </c>
      <c r="L1482" s="9">
        <v>3.41</v>
      </c>
      <c r="M1482" s="9">
        <v>13.64</v>
      </c>
      <c r="N1482" s="9">
        <v>10.36</v>
      </c>
      <c r="O1482" s="12">
        <v>46082.0</v>
      </c>
      <c r="P1482" s="16"/>
    </row>
    <row r="1483">
      <c r="A1483" s="9">
        <v>2.411000046E9</v>
      </c>
      <c r="B1483" s="10" t="s">
        <v>21</v>
      </c>
      <c r="C1483" s="9">
        <v>25.0</v>
      </c>
      <c r="D1483" s="10" t="s">
        <v>144</v>
      </c>
      <c r="E1483" s="9">
        <v>6.0</v>
      </c>
      <c r="F1483" s="9">
        <v>14.0</v>
      </c>
      <c r="G1483" s="9">
        <v>90.0</v>
      </c>
      <c r="H1483" s="9">
        <v>0.0</v>
      </c>
      <c r="I1483" s="9">
        <v>0.0</v>
      </c>
      <c r="J1483" s="9">
        <v>14.0</v>
      </c>
      <c r="K1483" s="9">
        <v>90.0</v>
      </c>
      <c r="L1483" s="9">
        <v>5.0</v>
      </c>
      <c r="M1483" s="9">
        <v>70.0</v>
      </c>
      <c r="N1483" s="9">
        <v>20.0</v>
      </c>
      <c r="O1483" s="12">
        <v>46082.0</v>
      </c>
      <c r="P1483" s="16"/>
    </row>
    <row r="1484">
      <c r="A1484" s="9">
        <v>2.411000046E9</v>
      </c>
      <c r="B1484" s="10" t="s">
        <v>21</v>
      </c>
      <c r="C1484" s="9">
        <v>27.0</v>
      </c>
      <c r="D1484" s="10" t="s">
        <v>73</v>
      </c>
      <c r="E1484" s="9">
        <v>6.0</v>
      </c>
      <c r="F1484" s="9">
        <v>49.0</v>
      </c>
      <c r="G1484" s="9">
        <v>294.0</v>
      </c>
      <c r="H1484" s="9">
        <v>0.0</v>
      </c>
      <c r="I1484" s="9">
        <v>0.0</v>
      </c>
      <c r="J1484" s="9">
        <v>49.0</v>
      </c>
      <c r="K1484" s="9">
        <v>294.0</v>
      </c>
      <c r="L1484" s="9">
        <v>5.5</v>
      </c>
      <c r="M1484" s="9">
        <v>269.5</v>
      </c>
      <c r="N1484" s="9">
        <v>24.5</v>
      </c>
      <c r="O1484" s="12">
        <v>46082.0</v>
      </c>
      <c r="P1484" s="16"/>
    </row>
    <row r="1485">
      <c r="A1485" s="9">
        <v>2.411000046E9</v>
      </c>
      <c r="B1485" s="10" t="s">
        <v>21</v>
      </c>
      <c r="C1485" s="9">
        <v>28.0</v>
      </c>
      <c r="D1485" s="10" t="s">
        <v>146</v>
      </c>
      <c r="E1485" s="9">
        <v>6.0</v>
      </c>
      <c r="F1485" s="9">
        <v>3.0</v>
      </c>
      <c r="G1485" s="9">
        <v>21.0</v>
      </c>
      <c r="H1485" s="9">
        <v>0.0</v>
      </c>
      <c r="I1485" s="9">
        <v>0.0</v>
      </c>
      <c r="J1485" s="9">
        <v>3.0</v>
      </c>
      <c r="K1485" s="9">
        <v>21.0</v>
      </c>
      <c r="L1485" s="9">
        <v>5.2</v>
      </c>
      <c r="M1485" s="9">
        <v>15.6</v>
      </c>
      <c r="N1485" s="9">
        <v>5.4</v>
      </c>
      <c r="O1485" s="12">
        <v>46082.0</v>
      </c>
      <c r="P1485" s="16"/>
    </row>
    <row r="1486">
      <c r="A1486" s="9">
        <v>2.411000046E9</v>
      </c>
      <c r="B1486" s="10" t="s">
        <v>21</v>
      </c>
      <c r="C1486" s="9">
        <v>29.0</v>
      </c>
      <c r="D1486" s="10" t="s">
        <v>147</v>
      </c>
      <c r="E1486" s="9">
        <v>3.0</v>
      </c>
      <c r="F1486" s="9">
        <v>57.0</v>
      </c>
      <c r="G1486" s="9">
        <v>171.0</v>
      </c>
      <c r="H1486" s="9">
        <v>0.0</v>
      </c>
      <c r="I1486" s="9">
        <v>0.0</v>
      </c>
      <c r="J1486" s="9">
        <v>57.0</v>
      </c>
      <c r="K1486" s="9">
        <v>171.0</v>
      </c>
      <c r="L1486" s="9">
        <v>2.25</v>
      </c>
      <c r="M1486" s="9">
        <v>128.25</v>
      </c>
      <c r="N1486" s="9">
        <v>42.75</v>
      </c>
      <c r="O1486" s="12">
        <v>46082.0</v>
      </c>
      <c r="P1486" s="16"/>
    </row>
    <row r="1487">
      <c r="A1487" s="9">
        <v>2.411000046E9</v>
      </c>
      <c r="B1487" s="10" t="s">
        <v>21</v>
      </c>
      <c r="C1487" s="9">
        <v>32.0</v>
      </c>
      <c r="D1487" s="10" t="s">
        <v>150</v>
      </c>
      <c r="E1487" s="9">
        <v>3.0</v>
      </c>
      <c r="F1487" s="9">
        <v>21.0</v>
      </c>
      <c r="G1487" s="9">
        <v>64.0</v>
      </c>
      <c r="H1487" s="9">
        <v>0.0</v>
      </c>
      <c r="I1487" s="9">
        <v>0.0</v>
      </c>
      <c r="J1487" s="9">
        <v>21.0</v>
      </c>
      <c r="K1487" s="9">
        <v>64.0</v>
      </c>
      <c r="L1487" s="9">
        <v>2.29</v>
      </c>
      <c r="M1487" s="9">
        <v>48.09</v>
      </c>
      <c r="N1487" s="9">
        <v>15.91</v>
      </c>
      <c r="O1487" s="12">
        <v>46082.0</v>
      </c>
      <c r="P1487" s="16"/>
    </row>
    <row r="1488">
      <c r="A1488" s="9">
        <v>2.411000046E9</v>
      </c>
      <c r="B1488" s="10" t="s">
        <v>21</v>
      </c>
      <c r="C1488" s="9">
        <v>33.0</v>
      </c>
      <c r="D1488" s="10" t="s">
        <v>151</v>
      </c>
      <c r="E1488" s="9">
        <v>4.0</v>
      </c>
      <c r="F1488" s="9">
        <v>27.0</v>
      </c>
      <c r="G1488" s="9">
        <v>104.0</v>
      </c>
      <c r="H1488" s="9">
        <v>0.0</v>
      </c>
      <c r="I1488" s="9">
        <v>0.0</v>
      </c>
      <c r="J1488" s="9">
        <v>27.0</v>
      </c>
      <c r="K1488" s="9">
        <v>104.0</v>
      </c>
      <c r="L1488" s="9">
        <v>3.13</v>
      </c>
      <c r="M1488" s="9">
        <v>84.51</v>
      </c>
      <c r="N1488" s="9">
        <v>19.49</v>
      </c>
      <c r="O1488" s="12">
        <v>46082.0</v>
      </c>
      <c r="P1488" s="16"/>
    </row>
    <row r="1489">
      <c r="A1489" s="9">
        <v>2.411000046E9</v>
      </c>
      <c r="B1489" s="10" t="s">
        <v>21</v>
      </c>
      <c r="C1489" s="9">
        <v>36.0</v>
      </c>
      <c r="D1489" s="10" t="s">
        <v>153</v>
      </c>
      <c r="E1489" s="9">
        <v>4.0</v>
      </c>
      <c r="F1489" s="9">
        <v>8.0</v>
      </c>
      <c r="G1489" s="9">
        <v>32.0</v>
      </c>
      <c r="H1489" s="9">
        <v>0.0</v>
      </c>
      <c r="I1489" s="9">
        <v>0.0</v>
      </c>
      <c r="J1489" s="9">
        <v>8.0</v>
      </c>
      <c r="K1489" s="9">
        <v>32.0</v>
      </c>
      <c r="L1489" s="9">
        <v>1.6</v>
      </c>
      <c r="M1489" s="9">
        <v>12.8</v>
      </c>
      <c r="N1489" s="9">
        <v>19.2</v>
      </c>
      <c r="O1489" s="12">
        <v>46082.0</v>
      </c>
      <c r="P1489" s="16"/>
    </row>
    <row r="1490">
      <c r="A1490" s="9">
        <v>2.411000046E9</v>
      </c>
      <c r="B1490" s="10" t="s">
        <v>21</v>
      </c>
      <c r="C1490" s="9">
        <v>36.0</v>
      </c>
      <c r="D1490" s="10" t="s">
        <v>252</v>
      </c>
      <c r="E1490" s="9">
        <v>4.0</v>
      </c>
      <c r="F1490" s="9">
        <v>26.0</v>
      </c>
      <c r="G1490" s="9">
        <v>98.0</v>
      </c>
      <c r="H1490" s="9">
        <v>0.0</v>
      </c>
      <c r="I1490" s="9">
        <v>0.0</v>
      </c>
      <c r="J1490" s="9">
        <v>26.0</v>
      </c>
      <c r="K1490" s="9">
        <v>98.0</v>
      </c>
      <c r="L1490" s="9">
        <v>1.6</v>
      </c>
      <c r="M1490" s="9">
        <v>41.6</v>
      </c>
      <c r="N1490" s="9">
        <v>56.4</v>
      </c>
      <c r="O1490" s="12">
        <v>46082.0</v>
      </c>
      <c r="P1490" s="16"/>
    </row>
    <row r="1491">
      <c r="A1491" s="9">
        <v>2.411000046E9</v>
      </c>
      <c r="B1491" s="10" t="s">
        <v>21</v>
      </c>
      <c r="C1491" s="9">
        <v>38.0</v>
      </c>
      <c r="D1491" s="10" t="s">
        <v>155</v>
      </c>
      <c r="E1491" s="9">
        <v>7.0</v>
      </c>
      <c r="F1491" s="9">
        <v>8.0</v>
      </c>
      <c r="G1491" s="9">
        <v>64.0</v>
      </c>
      <c r="H1491" s="9">
        <v>0.0</v>
      </c>
      <c r="I1491" s="9">
        <v>0.0</v>
      </c>
      <c r="J1491" s="9">
        <v>8.0</v>
      </c>
      <c r="K1491" s="9">
        <v>64.0</v>
      </c>
      <c r="L1491" s="9">
        <v>5.18</v>
      </c>
      <c r="M1491" s="9">
        <v>41.44</v>
      </c>
      <c r="N1491" s="9">
        <v>22.56</v>
      </c>
      <c r="O1491" s="12">
        <v>46082.0</v>
      </c>
      <c r="P1491" s="16"/>
    </row>
    <row r="1492">
      <c r="A1492" s="9">
        <v>2.411000046E9</v>
      </c>
      <c r="B1492" s="10" t="s">
        <v>21</v>
      </c>
      <c r="C1492" s="9">
        <v>44.0</v>
      </c>
      <c r="D1492" s="10" t="s">
        <v>160</v>
      </c>
      <c r="E1492" s="9">
        <v>5.0</v>
      </c>
      <c r="F1492" s="9">
        <v>11.0</v>
      </c>
      <c r="G1492" s="9">
        <v>55.0</v>
      </c>
      <c r="H1492" s="9">
        <v>0.0</v>
      </c>
      <c r="I1492" s="9">
        <v>0.0</v>
      </c>
      <c r="J1492" s="9">
        <v>11.0</v>
      </c>
      <c r="K1492" s="9">
        <v>55.0</v>
      </c>
      <c r="L1492" s="9">
        <v>4.13</v>
      </c>
      <c r="M1492" s="9">
        <v>45.43</v>
      </c>
      <c r="N1492" s="9">
        <v>9.57</v>
      </c>
      <c r="O1492" s="12">
        <v>46082.0</v>
      </c>
      <c r="P1492" s="16"/>
    </row>
    <row r="1493">
      <c r="A1493" s="9">
        <v>2.411000046E9</v>
      </c>
      <c r="B1493" s="10" t="s">
        <v>21</v>
      </c>
      <c r="C1493" s="9">
        <v>52.0</v>
      </c>
      <c r="D1493" s="10" t="s">
        <v>174</v>
      </c>
      <c r="E1493" s="9">
        <v>5.0</v>
      </c>
      <c r="F1493" s="9">
        <v>64.0</v>
      </c>
      <c r="G1493" s="9">
        <v>320.0</v>
      </c>
      <c r="H1493" s="9">
        <v>0.0</v>
      </c>
      <c r="I1493" s="9">
        <v>0.0</v>
      </c>
      <c r="J1493" s="9">
        <v>64.0</v>
      </c>
      <c r="K1493" s="9">
        <v>320.0</v>
      </c>
      <c r="L1493" s="9">
        <v>3.0</v>
      </c>
      <c r="M1493" s="9">
        <v>192.0</v>
      </c>
      <c r="N1493" s="9">
        <v>128.0</v>
      </c>
      <c r="O1493" s="12">
        <v>46082.0</v>
      </c>
      <c r="P1493" s="16"/>
    </row>
    <row r="1494">
      <c r="A1494" s="9">
        <v>2.411000046E9</v>
      </c>
      <c r="B1494" s="10" t="s">
        <v>21</v>
      </c>
      <c r="C1494" s="9">
        <v>53.0</v>
      </c>
      <c r="D1494" s="10" t="s">
        <v>167</v>
      </c>
      <c r="E1494" s="9">
        <v>3.0</v>
      </c>
      <c r="F1494" s="9">
        <v>3.0</v>
      </c>
      <c r="G1494" s="9">
        <v>9.0</v>
      </c>
      <c r="H1494" s="9">
        <v>0.0</v>
      </c>
      <c r="I1494" s="9">
        <v>0.0</v>
      </c>
      <c r="J1494" s="9">
        <v>3.0</v>
      </c>
      <c r="K1494" s="9">
        <v>9.0</v>
      </c>
      <c r="L1494" s="9">
        <v>2.25</v>
      </c>
      <c r="M1494" s="9">
        <v>6.75</v>
      </c>
      <c r="N1494" s="9">
        <v>2.25</v>
      </c>
      <c r="O1494" s="12">
        <v>46082.0</v>
      </c>
      <c r="P1494" s="16"/>
    </row>
    <row r="1495">
      <c r="A1495" s="9">
        <v>2.411000046E9</v>
      </c>
      <c r="B1495" s="10" t="s">
        <v>21</v>
      </c>
      <c r="C1495" s="9">
        <v>54.0</v>
      </c>
      <c r="D1495" s="10" t="s">
        <v>168</v>
      </c>
      <c r="E1495" s="9">
        <v>3.0</v>
      </c>
      <c r="F1495" s="9">
        <v>26.0</v>
      </c>
      <c r="G1495" s="9">
        <v>78.0</v>
      </c>
      <c r="H1495" s="9">
        <v>0.0</v>
      </c>
      <c r="I1495" s="9">
        <v>0.0</v>
      </c>
      <c r="J1495" s="9">
        <v>26.0</v>
      </c>
      <c r="K1495" s="9">
        <v>78.0</v>
      </c>
      <c r="L1495" s="9">
        <v>2.25</v>
      </c>
      <c r="M1495" s="9">
        <v>58.5</v>
      </c>
      <c r="N1495" s="9">
        <v>19.5</v>
      </c>
      <c r="O1495" s="12">
        <v>46082.0</v>
      </c>
      <c r="P1495" s="16"/>
    </row>
    <row r="1496">
      <c r="A1496" s="9">
        <v>2.411000046E9</v>
      </c>
      <c r="B1496" s="10" t="s">
        <v>21</v>
      </c>
      <c r="C1496" s="9">
        <v>64.0</v>
      </c>
      <c r="D1496" s="10" t="s">
        <v>173</v>
      </c>
      <c r="E1496" s="9">
        <v>3.0</v>
      </c>
      <c r="F1496" s="9">
        <v>31.0</v>
      </c>
      <c r="G1496" s="9">
        <v>98.0</v>
      </c>
      <c r="H1496" s="9">
        <v>0.0</v>
      </c>
      <c r="I1496" s="9">
        <v>0.0</v>
      </c>
      <c r="J1496" s="9">
        <v>31.0</v>
      </c>
      <c r="K1496" s="9">
        <v>98.0</v>
      </c>
      <c r="L1496" s="9">
        <v>2.29</v>
      </c>
      <c r="M1496" s="9">
        <v>70.99</v>
      </c>
      <c r="N1496" s="9">
        <v>27.01</v>
      </c>
      <c r="O1496" s="12">
        <v>46082.0</v>
      </c>
      <c r="P1496" s="16"/>
    </row>
    <row r="1497">
      <c r="A1497" s="9">
        <v>2.411000046E9</v>
      </c>
      <c r="B1497" s="10" t="s">
        <v>21</v>
      </c>
      <c r="C1497" s="9">
        <v>88.0</v>
      </c>
      <c r="D1497" s="10" t="s">
        <v>203</v>
      </c>
      <c r="E1497" s="9">
        <v>3.0</v>
      </c>
      <c r="F1497" s="9">
        <v>10.0</v>
      </c>
      <c r="G1497" s="9">
        <v>30.0</v>
      </c>
      <c r="H1497" s="9">
        <v>0.0</v>
      </c>
      <c r="I1497" s="9">
        <v>0.0</v>
      </c>
      <c r="J1497" s="9">
        <v>10.0</v>
      </c>
      <c r="K1497" s="9">
        <v>30.0</v>
      </c>
      <c r="L1497" s="9">
        <v>1.8</v>
      </c>
      <c r="M1497" s="9">
        <v>18.0</v>
      </c>
      <c r="N1497" s="9">
        <v>12.0</v>
      </c>
      <c r="O1497" s="12">
        <v>46082.0</v>
      </c>
      <c r="P1497" s="16"/>
    </row>
    <row r="1498">
      <c r="A1498" s="9">
        <v>2.411000046E9</v>
      </c>
      <c r="B1498" s="10" t="s">
        <v>21</v>
      </c>
      <c r="C1498" s="9">
        <v>96.0</v>
      </c>
      <c r="D1498" s="10" t="s">
        <v>212</v>
      </c>
      <c r="E1498" s="9">
        <v>5.0</v>
      </c>
      <c r="F1498" s="9">
        <v>1.0</v>
      </c>
      <c r="G1498" s="9">
        <v>5.0</v>
      </c>
      <c r="H1498" s="9">
        <v>0.0</v>
      </c>
      <c r="I1498" s="9">
        <v>0.0</v>
      </c>
      <c r="J1498" s="9">
        <v>1.0</v>
      </c>
      <c r="K1498" s="9">
        <v>5.0</v>
      </c>
      <c r="L1498" s="9">
        <v>2.93</v>
      </c>
      <c r="M1498" s="9">
        <v>2.93</v>
      </c>
      <c r="N1498" s="9">
        <v>2.07</v>
      </c>
      <c r="O1498" s="12">
        <v>46082.0</v>
      </c>
      <c r="P1498" s="16"/>
    </row>
    <row r="1499">
      <c r="A1499" s="9">
        <v>2.411000046E9</v>
      </c>
      <c r="B1499" s="10" t="s">
        <v>21</v>
      </c>
      <c r="C1499" s="9">
        <v>96.0</v>
      </c>
      <c r="D1499" s="10" t="s">
        <v>212</v>
      </c>
      <c r="E1499" s="9">
        <v>5.0</v>
      </c>
      <c r="F1499" s="9">
        <v>14.0</v>
      </c>
      <c r="G1499" s="9">
        <v>70.0</v>
      </c>
      <c r="H1499" s="9">
        <v>0.0</v>
      </c>
      <c r="I1499" s="9">
        <v>0.0</v>
      </c>
      <c r="J1499" s="9">
        <v>14.0</v>
      </c>
      <c r="K1499" s="9">
        <v>70.0</v>
      </c>
      <c r="L1499" s="9">
        <v>2.93</v>
      </c>
      <c r="M1499" s="9">
        <v>41.02</v>
      </c>
      <c r="N1499" s="9">
        <v>28.98</v>
      </c>
      <c r="O1499" s="12">
        <v>46082.0</v>
      </c>
      <c r="P1499" s="16"/>
    </row>
    <row r="1500">
      <c r="A1500" s="9">
        <v>2.411000046E9</v>
      </c>
      <c r="B1500" s="10" t="s">
        <v>21</v>
      </c>
      <c r="C1500" s="9">
        <v>97.0</v>
      </c>
      <c r="D1500" s="10" t="s">
        <v>115</v>
      </c>
      <c r="E1500" s="9">
        <v>5.0</v>
      </c>
      <c r="F1500" s="9">
        <v>52.0</v>
      </c>
      <c r="G1500" s="9">
        <v>260.0</v>
      </c>
      <c r="H1500" s="9">
        <v>0.0</v>
      </c>
      <c r="I1500" s="9">
        <v>0.0</v>
      </c>
      <c r="J1500" s="9">
        <v>52.0</v>
      </c>
      <c r="K1500" s="9">
        <v>260.0</v>
      </c>
      <c r="L1500" s="9">
        <v>2.93</v>
      </c>
      <c r="M1500" s="9">
        <v>152.36</v>
      </c>
      <c r="N1500" s="9">
        <v>107.64</v>
      </c>
      <c r="O1500" s="12">
        <v>46082.0</v>
      </c>
      <c r="P1500" s="16"/>
    </row>
    <row r="1501">
      <c r="A1501" s="9">
        <v>2.411000046E9</v>
      </c>
      <c r="B1501" s="10" t="s">
        <v>21</v>
      </c>
      <c r="C1501" s="9">
        <v>98.0</v>
      </c>
      <c r="D1501" s="10" t="s">
        <v>118</v>
      </c>
      <c r="E1501" s="9">
        <v>5.0</v>
      </c>
      <c r="F1501" s="9">
        <v>1.0</v>
      </c>
      <c r="G1501" s="9">
        <v>4.0</v>
      </c>
      <c r="H1501" s="9">
        <v>0.0</v>
      </c>
      <c r="I1501" s="9">
        <v>0.0</v>
      </c>
      <c r="J1501" s="9">
        <v>1.0</v>
      </c>
      <c r="K1501" s="9">
        <v>4.0</v>
      </c>
      <c r="L1501" s="9">
        <v>3.17</v>
      </c>
      <c r="M1501" s="9">
        <v>3.17</v>
      </c>
      <c r="N1501" s="9">
        <v>0.83</v>
      </c>
      <c r="O1501" s="12">
        <v>46082.0</v>
      </c>
      <c r="P1501" s="16"/>
    </row>
    <row r="1502">
      <c r="A1502" s="9">
        <v>2.411000046E9</v>
      </c>
      <c r="B1502" s="10" t="s">
        <v>21</v>
      </c>
      <c r="C1502" s="9">
        <v>99.0</v>
      </c>
      <c r="D1502" s="10" t="s">
        <v>213</v>
      </c>
      <c r="E1502" s="9">
        <v>3.0</v>
      </c>
      <c r="F1502" s="9">
        <v>10.0</v>
      </c>
      <c r="G1502" s="9">
        <v>30.0</v>
      </c>
      <c r="H1502" s="9">
        <v>0.0</v>
      </c>
      <c r="I1502" s="9">
        <v>0.0</v>
      </c>
      <c r="J1502" s="9">
        <v>10.0</v>
      </c>
      <c r="K1502" s="9">
        <v>30.0</v>
      </c>
      <c r="L1502" s="9">
        <v>2.25</v>
      </c>
      <c r="M1502" s="9">
        <v>22.5</v>
      </c>
      <c r="N1502" s="9">
        <v>7.5</v>
      </c>
      <c r="O1502" s="12">
        <v>46082.0</v>
      </c>
      <c r="P1502" s="16"/>
    </row>
    <row r="1503">
      <c r="A1503" s="9">
        <v>2.411000046E9</v>
      </c>
      <c r="B1503" s="10" t="s">
        <v>21</v>
      </c>
      <c r="C1503" s="9">
        <v>111.0</v>
      </c>
      <c r="D1503" s="10" t="s">
        <v>215</v>
      </c>
      <c r="E1503" s="9">
        <v>1.0</v>
      </c>
      <c r="F1503" s="9">
        <v>144.0</v>
      </c>
      <c r="G1503" s="9">
        <v>144.0</v>
      </c>
      <c r="H1503" s="9">
        <v>0.0</v>
      </c>
      <c r="I1503" s="9">
        <v>0.0</v>
      </c>
      <c r="J1503" s="9">
        <v>144.0</v>
      </c>
      <c r="K1503" s="9">
        <v>144.0</v>
      </c>
      <c r="L1503" s="9">
        <v>0.68</v>
      </c>
      <c r="M1503" s="9">
        <v>97.92</v>
      </c>
      <c r="N1503" s="9">
        <v>46.08</v>
      </c>
      <c r="O1503" s="12">
        <v>46082.0</v>
      </c>
      <c r="P1503" s="16"/>
    </row>
    <row r="1504">
      <c r="A1504" s="9">
        <v>2.411000046E9</v>
      </c>
      <c r="B1504" s="10" t="s">
        <v>21</v>
      </c>
      <c r="C1504" s="9">
        <v>114.0</v>
      </c>
      <c r="D1504" s="10" t="s">
        <v>218</v>
      </c>
      <c r="E1504" s="9">
        <v>5.0</v>
      </c>
      <c r="F1504" s="9">
        <v>39.0</v>
      </c>
      <c r="G1504" s="9">
        <v>195.0</v>
      </c>
      <c r="H1504" s="9">
        <v>0.0</v>
      </c>
      <c r="I1504" s="9">
        <v>0.0</v>
      </c>
      <c r="J1504" s="9">
        <v>39.0</v>
      </c>
      <c r="K1504" s="9">
        <v>195.0</v>
      </c>
      <c r="L1504" s="9">
        <v>2.25</v>
      </c>
      <c r="M1504" s="9">
        <v>87.75</v>
      </c>
      <c r="N1504" s="9">
        <v>107.25</v>
      </c>
      <c r="O1504" s="12">
        <v>46082.0</v>
      </c>
      <c r="P1504" s="16"/>
    </row>
    <row r="1505">
      <c r="A1505" s="9">
        <v>2.411000046E9</v>
      </c>
      <c r="B1505" s="10" t="s">
        <v>21</v>
      </c>
      <c r="C1505" s="9">
        <v>122.0</v>
      </c>
      <c r="D1505" s="10" t="s">
        <v>219</v>
      </c>
      <c r="E1505" s="9">
        <v>5.0</v>
      </c>
      <c r="F1505" s="9">
        <v>22.0</v>
      </c>
      <c r="G1505" s="9">
        <v>110.0</v>
      </c>
      <c r="H1505" s="9">
        <v>0.0</v>
      </c>
      <c r="I1505" s="9">
        <v>0.0</v>
      </c>
      <c r="J1505" s="9">
        <v>22.0</v>
      </c>
      <c r="K1505" s="9">
        <v>110.0</v>
      </c>
      <c r="L1505" s="9">
        <v>3.6</v>
      </c>
      <c r="M1505" s="9">
        <v>79.2</v>
      </c>
      <c r="N1505" s="9">
        <v>30.8</v>
      </c>
      <c r="O1505" s="12">
        <v>46082.0</v>
      </c>
      <c r="P1505" s="16"/>
    </row>
    <row r="1506">
      <c r="A1506" s="9">
        <v>2.411000046E9</v>
      </c>
      <c r="B1506" s="10" t="s">
        <v>21</v>
      </c>
      <c r="C1506" s="9">
        <v>130.0</v>
      </c>
      <c r="D1506" s="10" t="s">
        <v>243</v>
      </c>
      <c r="E1506" s="9">
        <v>3.0</v>
      </c>
      <c r="F1506" s="9">
        <v>12.0</v>
      </c>
      <c r="G1506" s="9">
        <v>36.0</v>
      </c>
      <c r="H1506" s="9">
        <v>0.0</v>
      </c>
      <c r="I1506" s="9">
        <v>0.0</v>
      </c>
      <c r="J1506" s="9">
        <v>12.0</v>
      </c>
      <c r="K1506" s="9">
        <v>36.0</v>
      </c>
      <c r="L1506" s="9">
        <v>1.75</v>
      </c>
      <c r="M1506" s="9">
        <v>21.0</v>
      </c>
      <c r="N1506" s="9">
        <v>15.0</v>
      </c>
      <c r="O1506" s="12">
        <v>46082.0</v>
      </c>
      <c r="P1506" s="16"/>
    </row>
    <row r="1507">
      <c r="A1507" s="9">
        <v>2.411000046E9</v>
      </c>
      <c r="B1507" s="10" t="s">
        <v>21</v>
      </c>
      <c r="C1507" s="9">
        <v>137.0</v>
      </c>
      <c r="D1507" s="10" t="s">
        <v>253</v>
      </c>
      <c r="E1507" s="9">
        <v>5.0</v>
      </c>
      <c r="F1507" s="9">
        <v>29.0</v>
      </c>
      <c r="G1507" s="9">
        <v>145.0</v>
      </c>
      <c r="H1507" s="9">
        <v>0.0</v>
      </c>
      <c r="I1507" s="9">
        <v>0.0</v>
      </c>
      <c r="J1507" s="9">
        <v>29.0</v>
      </c>
      <c r="K1507" s="9">
        <v>145.0</v>
      </c>
      <c r="L1507" s="9">
        <v>2.93</v>
      </c>
      <c r="M1507" s="9">
        <v>84.97</v>
      </c>
      <c r="N1507" s="9">
        <v>60.03</v>
      </c>
      <c r="O1507" s="12">
        <v>46082.0</v>
      </c>
      <c r="P1507" s="16"/>
    </row>
    <row r="1508">
      <c r="A1508" s="9">
        <v>2.411000046E9</v>
      </c>
      <c r="B1508" s="10" t="s">
        <v>21</v>
      </c>
      <c r="C1508" s="9">
        <v>137.0</v>
      </c>
      <c r="D1508" s="2" t="s">
        <v>129</v>
      </c>
      <c r="E1508" s="9">
        <v>5.0</v>
      </c>
      <c r="F1508" s="9">
        <v>1.0</v>
      </c>
      <c r="G1508" s="9">
        <v>5.0</v>
      </c>
      <c r="H1508" s="9">
        <v>0.0</v>
      </c>
      <c r="I1508" s="9">
        <v>0.0</v>
      </c>
      <c r="J1508" s="9">
        <v>1.0</v>
      </c>
      <c r="K1508" s="9">
        <v>5.0</v>
      </c>
      <c r="L1508" s="9">
        <v>2.93</v>
      </c>
      <c r="M1508" s="9">
        <v>2.93</v>
      </c>
      <c r="N1508" s="9">
        <v>2.07</v>
      </c>
      <c r="O1508" s="12">
        <v>46082.0</v>
      </c>
      <c r="P1508" s="16"/>
    </row>
    <row r="1509">
      <c r="A1509" s="9">
        <v>2.411000046E9</v>
      </c>
      <c r="B1509" s="10" t="s">
        <v>21</v>
      </c>
      <c r="C1509" s="9">
        <v>138.0</v>
      </c>
      <c r="D1509" s="10" t="s">
        <v>254</v>
      </c>
      <c r="E1509" s="9">
        <v>2.0</v>
      </c>
      <c r="F1509" s="9">
        <v>12.0</v>
      </c>
      <c r="G1509" s="9">
        <v>24.0</v>
      </c>
      <c r="H1509" s="9">
        <v>0.0</v>
      </c>
      <c r="I1509" s="9">
        <v>0.0</v>
      </c>
      <c r="J1509" s="9">
        <v>12.0</v>
      </c>
      <c r="K1509" s="9">
        <v>24.0</v>
      </c>
      <c r="L1509" s="9">
        <v>1.08</v>
      </c>
      <c r="M1509" s="9">
        <v>12.96</v>
      </c>
      <c r="N1509" s="9">
        <v>11.04</v>
      </c>
      <c r="O1509" s="12">
        <v>46082.0</v>
      </c>
      <c r="P1509" s="16"/>
    </row>
    <row r="1510">
      <c r="A1510" s="9">
        <v>2.411000046E9</v>
      </c>
      <c r="B1510" s="10" t="s">
        <v>21</v>
      </c>
      <c r="C1510" s="9">
        <v>139.0</v>
      </c>
      <c r="D1510" s="10" t="s">
        <v>255</v>
      </c>
      <c r="E1510" s="9">
        <v>2.0</v>
      </c>
      <c r="F1510" s="9">
        <v>27.0</v>
      </c>
      <c r="G1510" s="9">
        <v>54.0</v>
      </c>
      <c r="H1510" s="9">
        <v>0.0</v>
      </c>
      <c r="I1510" s="9">
        <v>0.0</v>
      </c>
      <c r="J1510" s="9">
        <v>27.0</v>
      </c>
      <c r="K1510" s="9">
        <v>54.0</v>
      </c>
      <c r="L1510" s="9">
        <v>1.08</v>
      </c>
      <c r="M1510" s="9">
        <v>29.16</v>
      </c>
      <c r="N1510" s="9">
        <v>24.84</v>
      </c>
      <c r="O1510" s="12">
        <v>46082.0</v>
      </c>
      <c r="P1510" s="16"/>
    </row>
    <row r="1511">
      <c r="A1511" s="9">
        <v>2.411000046E9</v>
      </c>
      <c r="B1511" s="10" t="s">
        <v>21</v>
      </c>
      <c r="C1511" s="9">
        <v>142.0</v>
      </c>
      <c r="D1511" s="10" t="s">
        <v>256</v>
      </c>
      <c r="E1511" s="9">
        <v>5.0</v>
      </c>
      <c r="F1511" s="9">
        <v>6.0</v>
      </c>
      <c r="G1511" s="9">
        <v>30.0</v>
      </c>
      <c r="H1511" s="9">
        <v>0.0</v>
      </c>
      <c r="I1511" s="9">
        <v>0.0</v>
      </c>
      <c r="J1511" s="9">
        <v>6.0</v>
      </c>
      <c r="K1511" s="9">
        <v>30.0</v>
      </c>
      <c r="L1511" s="9">
        <v>3.66</v>
      </c>
      <c r="M1511" s="9">
        <v>21.96</v>
      </c>
      <c r="N1511" s="9">
        <v>8.04</v>
      </c>
      <c r="O1511" s="12">
        <v>46082.0</v>
      </c>
      <c r="P1511" s="16"/>
    </row>
    <row r="1512">
      <c r="A1512" s="9">
        <v>2.411000046E9</v>
      </c>
      <c r="B1512" s="10" t="s">
        <v>21</v>
      </c>
      <c r="C1512" s="9">
        <v>145.0</v>
      </c>
      <c r="D1512" s="10" t="s">
        <v>257</v>
      </c>
      <c r="E1512" s="9">
        <v>2.0</v>
      </c>
      <c r="F1512" s="9">
        <v>16.0</v>
      </c>
      <c r="G1512" s="9">
        <v>32.0</v>
      </c>
      <c r="H1512" s="9">
        <v>0.0</v>
      </c>
      <c r="I1512" s="9">
        <v>0.0</v>
      </c>
      <c r="J1512" s="9">
        <v>16.0</v>
      </c>
      <c r="K1512" s="9">
        <v>32.0</v>
      </c>
      <c r="L1512" s="9">
        <v>1.12</v>
      </c>
      <c r="M1512" s="9">
        <v>17.92</v>
      </c>
      <c r="N1512" s="9">
        <v>14.08</v>
      </c>
      <c r="O1512" s="12">
        <v>46082.0</v>
      </c>
      <c r="P1512" s="16"/>
    </row>
    <row r="1513">
      <c r="A1513" s="9">
        <v>2.503000216E9</v>
      </c>
      <c r="B1513" s="10" t="s">
        <v>22</v>
      </c>
      <c r="C1513" s="9">
        <v>1.0</v>
      </c>
      <c r="D1513" s="10" t="s">
        <v>129</v>
      </c>
      <c r="E1513" s="9">
        <v>5.0</v>
      </c>
      <c r="F1513" s="9">
        <v>114.0</v>
      </c>
      <c r="G1513" s="9">
        <v>613.0</v>
      </c>
      <c r="H1513" s="9">
        <v>0.0</v>
      </c>
      <c r="I1513" s="9">
        <v>0.0</v>
      </c>
      <c r="J1513" s="9">
        <v>114.0</v>
      </c>
      <c r="K1513" s="9">
        <v>613.0</v>
      </c>
      <c r="L1513" s="9">
        <v>2.93</v>
      </c>
      <c r="M1513" s="9">
        <v>334.02</v>
      </c>
      <c r="N1513" s="9">
        <v>278.98</v>
      </c>
      <c r="O1513" s="12">
        <v>46082.0</v>
      </c>
      <c r="P1513" s="16"/>
    </row>
    <row r="1514">
      <c r="A1514" s="9">
        <v>2.503000216E9</v>
      </c>
      <c r="B1514" s="10" t="s">
        <v>22</v>
      </c>
      <c r="C1514" s="9">
        <v>2.0</v>
      </c>
      <c r="D1514" s="10" t="s">
        <v>74</v>
      </c>
      <c r="E1514" s="9">
        <v>1.0</v>
      </c>
      <c r="F1514" s="9">
        <v>459.0</v>
      </c>
      <c r="G1514" s="9">
        <v>486.0</v>
      </c>
      <c r="H1514" s="9">
        <v>0.0</v>
      </c>
      <c r="I1514" s="9">
        <v>0.0</v>
      </c>
      <c r="J1514" s="9">
        <v>459.0</v>
      </c>
      <c r="K1514" s="9">
        <v>486.0</v>
      </c>
      <c r="L1514" s="9">
        <v>0.28</v>
      </c>
      <c r="M1514" s="9">
        <v>128.52</v>
      </c>
      <c r="N1514" s="9">
        <v>357.48</v>
      </c>
      <c r="O1514" s="12">
        <v>46082.0</v>
      </c>
      <c r="P1514" s="16"/>
    </row>
    <row r="1515">
      <c r="A1515" s="9">
        <v>2.503000216E9</v>
      </c>
      <c r="B1515" s="10" t="s">
        <v>22</v>
      </c>
      <c r="C1515" s="9">
        <v>8.0</v>
      </c>
      <c r="D1515" s="10" t="s">
        <v>133</v>
      </c>
      <c r="E1515" s="9">
        <v>5.0</v>
      </c>
      <c r="F1515" s="9">
        <v>6.0</v>
      </c>
      <c r="G1515" s="9">
        <v>30.0</v>
      </c>
      <c r="H1515" s="9">
        <v>0.0</v>
      </c>
      <c r="I1515" s="9">
        <v>0.0</v>
      </c>
      <c r="J1515" s="9">
        <v>6.0</v>
      </c>
      <c r="K1515" s="9">
        <v>30.0</v>
      </c>
      <c r="L1515" s="9">
        <v>3.45</v>
      </c>
      <c r="M1515" s="9">
        <v>20.7</v>
      </c>
      <c r="N1515" s="9">
        <v>9.3</v>
      </c>
      <c r="O1515" s="12">
        <v>46082.0</v>
      </c>
      <c r="P1515" s="16"/>
    </row>
    <row r="1516">
      <c r="A1516" s="9">
        <v>2.503000216E9</v>
      </c>
      <c r="B1516" s="10" t="s">
        <v>22</v>
      </c>
      <c r="C1516" s="9">
        <v>10.0</v>
      </c>
      <c r="D1516" s="10" t="s">
        <v>135</v>
      </c>
      <c r="E1516" s="9">
        <v>8.0</v>
      </c>
      <c r="F1516" s="9">
        <v>9.0</v>
      </c>
      <c r="G1516" s="9">
        <v>72.0</v>
      </c>
      <c r="H1516" s="9">
        <v>0.0</v>
      </c>
      <c r="I1516" s="9">
        <v>0.0</v>
      </c>
      <c r="J1516" s="9">
        <v>9.0</v>
      </c>
      <c r="K1516" s="9">
        <v>72.0</v>
      </c>
      <c r="L1516" s="9">
        <v>5.83</v>
      </c>
      <c r="M1516" s="9">
        <v>52.47</v>
      </c>
      <c r="N1516" s="9">
        <v>19.53</v>
      </c>
      <c r="O1516" s="12">
        <v>46082.0</v>
      </c>
      <c r="P1516" s="16"/>
    </row>
    <row r="1517">
      <c r="A1517" s="9">
        <v>2.503000216E9</v>
      </c>
      <c r="B1517" s="10" t="s">
        <v>22</v>
      </c>
      <c r="C1517" s="9">
        <v>11.0</v>
      </c>
      <c r="D1517" s="10" t="s">
        <v>86</v>
      </c>
      <c r="E1517" s="9">
        <v>5.0</v>
      </c>
      <c r="F1517" s="9">
        <v>132.0</v>
      </c>
      <c r="G1517" s="9">
        <v>660.0</v>
      </c>
      <c r="H1517" s="9">
        <v>0.0</v>
      </c>
      <c r="I1517" s="9">
        <v>0.0</v>
      </c>
      <c r="J1517" s="9">
        <v>132.0</v>
      </c>
      <c r="K1517" s="9">
        <v>660.0</v>
      </c>
      <c r="L1517" s="9">
        <v>4.29</v>
      </c>
      <c r="M1517" s="9">
        <v>566.28</v>
      </c>
      <c r="N1517" s="9">
        <v>93.72</v>
      </c>
      <c r="O1517" s="12">
        <v>46082.0</v>
      </c>
      <c r="P1517" s="16"/>
    </row>
    <row r="1518">
      <c r="A1518" s="9">
        <v>2.503000216E9</v>
      </c>
      <c r="B1518" s="10" t="s">
        <v>22</v>
      </c>
      <c r="C1518" s="9">
        <v>14.0</v>
      </c>
      <c r="D1518" s="10" t="s">
        <v>138</v>
      </c>
      <c r="E1518" s="9">
        <v>8.0</v>
      </c>
      <c r="F1518" s="9">
        <v>1.0</v>
      </c>
      <c r="G1518" s="9">
        <v>4.0</v>
      </c>
      <c r="H1518" s="9">
        <v>0.0</v>
      </c>
      <c r="I1518" s="9">
        <v>0.0</v>
      </c>
      <c r="J1518" s="9">
        <v>1.0</v>
      </c>
      <c r="K1518" s="9">
        <v>4.0</v>
      </c>
      <c r="L1518" s="9">
        <v>7.0</v>
      </c>
      <c r="M1518" s="9">
        <v>7.0</v>
      </c>
      <c r="N1518" s="9">
        <v>-3.0</v>
      </c>
      <c r="O1518" s="12">
        <v>46082.0</v>
      </c>
      <c r="P1518" s="16"/>
    </row>
    <row r="1519">
      <c r="A1519" s="9">
        <v>2.503000216E9</v>
      </c>
      <c r="B1519" s="10" t="s">
        <v>22</v>
      </c>
      <c r="C1519" s="9">
        <v>19.0</v>
      </c>
      <c r="D1519" s="10" t="s">
        <v>72</v>
      </c>
      <c r="E1519" s="9">
        <v>3.0</v>
      </c>
      <c r="F1519" s="9">
        <v>105.0</v>
      </c>
      <c r="G1519" s="9">
        <v>315.0</v>
      </c>
      <c r="H1519" s="9">
        <v>0.0</v>
      </c>
      <c r="I1519" s="9">
        <v>0.0</v>
      </c>
      <c r="J1519" s="9">
        <v>105.0</v>
      </c>
      <c r="K1519" s="9">
        <v>315.0</v>
      </c>
      <c r="L1519" s="9">
        <v>1.79</v>
      </c>
      <c r="M1519" s="9">
        <v>187.95</v>
      </c>
      <c r="N1519" s="9">
        <v>127.05</v>
      </c>
      <c r="O1519" s="12">
        <v>46082.0</v>
      </c>
      <c r="P1519" s="16"/>
    </row>
    <row r="1520">
      <c r="A1520" s="9">
        <v>2.503000216E9</v>
      </c>
      <c r="B1520" s="10" t="s">
        <v>22</v>
      </c>
      <c r="C1520" s="9">
        <v>21.0</v>
      </c>
      <c r="D1520" s="10" t="s">
        <v>79</v>
      </c>
      <c r="E1520" s="9">
        <v>3.0</v>
      </c>
      <c r="F1520" s="9">
        <v>73.0</v>
      </c>
      <c r="G1520" s="9">
        <v>292.0</v>
      </c>
      <c r="H1520" s="9">
        <v>0.0</v>
      </c>
      <c r="I1520" s="9">
        <v>0.0</v>
      </c>
      <c r="J1520" s="9">
        <v>73.0</v>
      </c>
      <c r="K1520" s="9">
        <v>292.0</v>
      </c>
      <c r="L1520" s="9">
        <v>2.25</v>
      </c>
      <c r="M1520" s="9">
        <v>164.25</v>
      </c>
      <c r="N1520" s="9">
        <v>127.75</v>
      </c>
      <c r="O1520" s="12">
        <v>46082.0</v>
      </c>
      <c r="P1520" s="16"/>
    </row>
    <row r="1521">
      <c r="A1521" s="9">
        <v>2.503000216E9</v>
      </c>
      <c r="B1521" s="10" t="s">
        <v>22</v>
      </c>
      <c r="C1521" s="9">
        <v>28.0</v>
      </c>
      <c r="D1521" s="10" t="s">
        <v>146</v>
      </c>
      <c r="E1521" s="9">
        <v>6.0</v>
      </c>
      <c r="F1521" s="9">
        <v>12.0</v>
      </c>
      <c r="G1521" s="9">
        <v>24.0</v>
      </c>
      <c r="H1521" s="9">
        <v>0.0</v>
      </c>
      <c r="I1521" s="9">
        <v>0.0</v>
      </c>
      <c r="J1521" s="9">
        <v>12.0</v>
      </c>
      <c r="K1521" s="9">
        <v>24.0</v>
      </c>
      <c r="L1521" s="9">
        <v>5.2</v>
      </c>
      <c r="M1521" s="9">
        <v>62.4</v>
      </c>
      <c r="N1521" s="9">
        <v>-38.4</v>
      </c>
      <c r="O1521" s="12">
        <v>46082.0</v>
      </c>
      <c r="P1521" s="16"/>
    </row>
    <row r="1522">
      <c r="A1522" s="9">
        <v>2.503000216E9</v>
      </c>
      <c r="B1522" s="10" t="s">
        <v>22</v>
      </c>
      <c r="C1522" s="9">
        <v>29.0</v>
      </c>
      <c r="D1522" s="10" t="s">
        <v>147</v>
      </c>
      <c r="E1522" s="9">
        <v>3.0</v>
      </c>
      <c r="F1522" s="9">
        <v>64.0</v>
      </c>
      <c r="G1522" s="9">
        <v>192.0</v>
      </c>
      <c r="H1522" s="9">
        <v>0.0</v>
      </c>
      <c r="I1522" s="9">
        <v>0.0</v>
      </c>
      <c r="J1522" s="9">
        <v>64.0</v>
      </c>
      <c r="K1522" s="9">
        <v>192.0</v>
      </c>
      <c r="L1522" s="9">
        <v>2.25</v>
      </c>
      <c r="M1522" s="9">
        <v>144.0</v>
      </c>
      <c r="N1522" s="9">
        <v>48.0</v>
      </c>
      <c r="O1522" s="12">
        <v>46082.0</v>
      </c>
      <c r="P1522" s="16"/>
    </row>
    <row r="1523">
      <c r="A1523" s="9">
        <v>2.503000216E9</v>
      </c>
      <c r="B1523" s="10" t="s">
        <v>22</v>
      </c>
      <c r="C1523" s="9">
        <v>32.0</v>
      </c>
      <c r="D1523" s="10" t="s">
        <v>150</v>
      </c>
      <c r="E1523" s="9">
        <v>3.0</v>
      </c>
      <c r="F1523" s="9">
        <v>52.0</v>
      </c>
      <c r="G1523" s="9">
        <v>173.0</v>
      </c>
      <c r="H1523" s="9">
        <v>0.0</v>
      </c>
      <c r="I1523" s="9">
        <v>0.0</v>
      </c>
      <c r="J1523" s="9">
        <v>52.0</v>
      </c>
      <c r="K1523" s="9">
        <v>173.0</v>
      </c>
      <c r="L1523" s="9">
        <v>2.29</v>
      </c>
      <c r="M1523" s="9">
        <v>119.08</v>
      </c>
      <c r="N1523" s="9">
        <v>53.92</v>
      </c>
      <c r="O1523" s="12">
        <v>46082.0</v>
      </c>
      <c r="P1523" s="16"/>
    </row>
    <row r="1524">
      <c r="A1524" s="9">
        <v>2.503000216E9</v>
      </c>
      <c r="B1524" s="10" t="s">
        <v>22</v>
      </c>
      <c r="C1524" s="9">
        <v>49.0</v>
      </c>
      <c r="D1524" s="10" t="s">
        <v>165</v>
      </c>
      <c r="E1524" s="9">
        <v>3.0</v>
      </c>
      <c r="F1524" s="9">
        <v>41.0</v>
      </c>
      <c r="G1524" s="9">
        <v>123.0</v>
      </c>
      <c r="H1524" s="9">
        <v>0.0</v>
      </c>
      <c r="I1524" s="9">
        <v>0.0</v>
      </c>
      <c r="J1524" s="9">
        <v>41.0</v>
      </c>
      <c r="K1524" s="9">
        <v>123.0</v>
      </c>
      <c r="L1524" s="9">
        <v>2.04</v>
      </c>
      <c r="M1524" s="9">
        <v>83.64</v>
      </c>
      <c r="N1524" s="9">
        <v>39.36</v>
      </c>
      <c r="O1524" s="12">
        <v>46082.0</v>
      </c>
      <c r="P1524" s="16"/>
    </row>
    <row r="1525">
      <c r="A1525" s="9">
        <v>2.503000216E9</v>
      </c>
      <c r="B1525" s="10" t="s">
        <v>22</v>
      </c>
      <c r="C1525" s="9">
        <v>52.0</v>
      </c>
      <c r="D1525" s="10" t="s">
        <v>174</v>
      </c>
      <c r="E1525" s="9">
        <v>5.0</v>
      </c>
      <c r="F1525" s="9">
        <v>110.0</v>
      </c>
      <c r="G1525" s="9">
        <v>591.0</v>
      </c>
      <c r="H1525" s="9">
        <v>0.0</v>
      </c>
      <c r="I1525" s="9">
        <v>0.0</v>
      </c>
      <c r="J1525" s="9">
        <v>110.0</v>
      </c>
      <c r="K1525" s="9">
        <v>591.0</v>
      </c>
      <c r="L1525" s="9">
        <v>3.0</v>
      </c>
      <c r="M1525" s="9">
        <v>330.0</v>
      </c>
      <c r="N1525" s="9">
        <v>261.0</v>
      </c>
      <c r="O1525" s="12">
        <v>46082.0</v>
      </c>
      <c r="P1525" s="16"/>
    </row>
    <row r="1526">
      <c r="A1526" s="9">
        <v>2.503000216E9</v>
      </c>
      <c r="B1526" s="10" t="s">
        <v>22</v>
      </c>
      <c r="C1526" s="9">
        <v>53.0</v>
      </c>
      <c r="D1526" s="10" t="s">
        <v>167</v>
      </c>
      <c r="E1526" s="9">
        <v>3.0</v>
      </c>
      <c r="F1526" s="9">
        <v>15.0</v>
      </c>
      <c r="G1526" s="9">
        <v>45.0</v>
      </c>
      <c r="H1526" s="9">
        <v>0.0</v>
      </c>
      <c r="I1526" s="9">
        <v>0.0</v>
      </c>
      <c r="J1526" s="9">
        <v>15.0</v>
      </c>
      <c r="K1526" s="9">
        <v>45.0</v>
      </c>
      <c r="L1526" s="9">
        <v>2.25</v>
      </c>
      <c r="M1526" s="9">
        <v>33.75</v>
      </c>
      <c r="N1526" s="9">
        <v>11.25</v>
      </c>
      <c r="O1526" s="12">
        <v>46082.0</v>
      </c>
      <c r="P1526" s="16"/>
    </row>
    <row r="1527">
      <c r="A1527" s="9">
        <v>2.503000216E9</v>
      </c>
      <c r="B1527" s="10" t="s">
        <v>22</v>
      </c>
      <c r="C1527" s="9">
        <v>54.0</v>
      </c>
      <c r="D1527" s="10" t="s">
        <v>168</v>
      </c>
      <c r="E1527" s="9">
        <v>3.0</v>
      </c>
      <c r="F1527" s="9">
        <v>30.0</v>
      </c>
      <c r="G1527" s="9">
        <v>90.0</v>
      </c>
      <c r="H1527" s="9">
        <v>0.0</v>
      </c>
      <c r="I1527" s="9">
        <v>0.0</v>
      </c>
      <c r="J1527" s="9">
        <v>30.0</v>
      </c>
      <c r="K1527" s="9">
        <v>90.0</v>
      </c>
      <c r="L1527" s="9">
        <v>2.25</v>
      </c>
      <c r="M1527" s="9">
        <v>67.5</v>
      </c>
      <c r="N1527" s="9">
        <v>22.5</v>
      </c>
      <c r="O1527" s="12">
        <v>46082.0</v>
      </c>
      <c r="P1527" s="16"/>
    </row>
    <row r="1528">
      <c r="A1528" s="9">
        <v>2.503000216E9</v>
      </c>
      <c r="B1528" s="10" t="s">
        <v>22</v>
      </c>
      <c r="C1528" s="9">
        <v>64.0</v>
      </c>
      <c r="D1528" s="10" t="s">
        <v>173</v>
      </c>
      <c r="E1528" s="9">
        <v>3.0</v>
      </c>
      <c r="F1528" s="9">
        <v>11.0</v>
      </c>
      <c r="G1528" s="9">
        <v>33.0</v>
      </c>
      <c r="H1528" s="9">
        <v>0.0</v>
      </c>
      <c r="I1528" s="9">
        <v>0.0</v>
      </c>
      <c r="J1528" s="9">
        <v>11.0</v>
      </c>
      <c r="K1528" s="9">
        <v>33.0</v>
      </c>
      <c r="L1528" s="9">
        <v>2.29</v>
      </c>
      <c r="M1528" s="9">
        <v>25.19</v>
      </c>
      <c r="N1528" s="9">
        <v>7.81</v>
      </c>
      <c r="O1528" s="12">
        <v>46082.0</v>
      </c>
      <c r="P1528" s="16"/>
    </row>
    <row r="1529">
      <c r="A1529" s="9">
        <v>2.503000216E9</v>
      </c>
      <c r="B1529" s="10" t="s">
        <v>22</v>
      </c>
      <c r="C1529" s="9">
        <v>66.0</v>
      </c>
      <c r="D1529" s="10" t="s">
        <v>188</v>
      </c>
      <c r="E1529" s="9">
        <v>20.0</v>
      </c>
      <c r="F1529" s="9">
        <v>3.0</v>
      </c>
      <c r="G1529" s="9">
        <v>30.0</v>
      </c>
      <c r="H1529" s="9">
        <v>0.0</v>
      </c>
      <c r="I1529" s="9">
        <v>0.0</v>
      </c>
      <c r="J1529" s="9">
        <v>3.0</v>
      </c>
      <c r="K1529" s="9">
        <v>30.0</v>
      </c>
      <c r="L1529" s="9">
        <v>9.0</v>
      </c>
      <c r="M1529" s="9">
        <v>27.0</v>
      </c>
      <c r="N1529" s="9">
        <v>3.0</v>
      </c>
      <c r="O1529" s="12">
        <v>46082.0</v>
      </c>
      <c r="P1529" s="16"/>
    </row>
    <row r="1530">
      <c r="A1530" s="9">
        <v>2.503000216E9</v>
      </c>
      <c r="B1530" s="10" t="s">
        <v>22</v>
      </c>
      <c r="C1530" s="9">
        <v>91.0</v>
      </c>
      <c r="D1530" s="10" t="s">
        <v>208</v>
      </c>
      <c r="E1530" s="9">
        <v>5.0</v>
      </c>
      <c r="F1530" s="9">
        <v>9.0</v>
      </c>
      <c r="G1530" s="9">
        <v>48.0</v>
      </c>
      <c r="H1530" s="9">
        <v>0.0</v>
      </c>
      <c r="I1530" s="9">
        <v>0.0</v>
      </c>
      <c r="J1530" s="9">
        <v>9.0</v>
      </c>
      <c r="K1530" s="9">
        <v>48.0</v>
      </c>
      <c r="L1530" s="9">
        <v>3.5</v>
      </c>
      <c r="M1530" s="9">
        <v>31.5</v>
      </c>
      <c r="N1530" s="9">
        <v>16.5</v>
      </c>
      <c r="O1530" s="12">
        <v>46082.0</v>
      </c>
      <c r="P1530" s="16"/>
    </row>
    <row r="1531">
      <c r="A1531" s="9">
        <v>2.503000216E9</v>
      </c>
      <c r="B1531" s="10" t="s">
        <v>22</v>
      </c>
      <c r="C1531" s="9">
        <v>94.0</v>
      </c>
      <c r="D1531" s="10" t="s">
        <v>211</v>
      </c>
      <c r="E1531" s="9">
        <v>5.0</v>
      </c>
      <c r="F1531" s="9">
        <v>4.0</v>
      </c>
      <c r="G1531" s="9">
        <v>24.0</v>
      </c>
      <c r="H1531" s="9">
        <v>0.0</v>
      </c>
      <c r="I1531" s="9">
        <v>0.0</v>
      </c>
      <c r="J1531" s="9">
        <v>4.0</v>
      </c>
      <c r="K1531" s="9">
        <v>24.0</v>
      </c>
      <c r="L1531" s="9">
        <v>3.5</v>
      </c>
      <c r="M1531" s="9">
        <v>14.0</v>
      </c>
      <c r="N1531" s="9">
        <v>10.0</v>
      </c>
      <c r="O1531" s="12">
        <v>46082.0</v>
      </c>
      <c r="P1531" s="16"/>
    </row>
    <row r="1532">
      <c r="A1532" s="9">
        <v>2.503000216E9</v>
      </c>
      <c r="B1532" s="10" t="s">
        <v>22</v>
      </c>
      <c r="C1532" s="9">
        <v>96.0</v>
      </c>
      <c r="D1532" s="10" t="s">
        <v>212</v>
      </c>
      <c r="E1532" s="9">
        <v>5.0</v>
      </c>
      <c r="F1532" s="9">
        <v>27.0</v>
      </c>
      <c r="G1532" s="9">
        <v>135.0</v>
      </c>
      <c r="H1532" s="9">
        <v>0.0</v>
      </c>
      <c r="I1532" s="9">
        <v>0.0</v>
      </c>
      <c r="J1532" s="9">
        <v>27.0</v>
      </c>
      <c r="K1532" s="9">
        <v>135.0</v>
      </c>
      <c r="L1532" s="9">
        <v>2.93</v>
      </c>
      <c r="M1532" s="9">
        <v>79.11</v>
      </c>
      <c r="N1532" s="9">
        <v>55.89</v>
      </c>
      <c r="O1532" s="12">
        <v>46082.0</v>
      </c>
      <c r="P1532" s="16"/>
    </row>
    <row r="1533">
      <c r="A1533" s="9">
        <v>2.503000216E9</v>
      </c>
      <c r="B1533" s="10" t="s">
        <v>22</v>
      </c>
      <c r="C1533" s="9">
        <v>96.0</v>
      </c>
      <c r="D1533" s="10" t="s">
        <v>212</v>
      </c>
      <c r="E1533" s="9">
        <v>5.0</v>
      </c>
      <c r="F1533" s="9">
        <v>41.0</v>
      </c>
      <c r="G1533" s="9">
        <v>205.0</v>
      </c>
      <c r="H1533" s="9">
        <v>0.0</v>
      </c>
      <c r="I1533" s="9">
        <v>0.0</v>
      </c>
      <c r="J1533" s="9">
        <v>41.0</v>
      </c>
      <c r="K1533" s="9">
        <v>205.0</v>
      </c>
      <c r="L1533" s="9">
        <v>2.93</v>
      </c>
      <c r="M1533" s="9">
        <v>120.13</v>
      </c>
      <c r="N1533" s="9">
        <v>84.87</v>
      </c>
      <c r="O1533" s="12">
        <v>46082.0</v>
      </c>
      <c r="P1533" s="16"/>
    </row>
    <row r="1534">
      <c r="A1534" s="9">
        <v>2.503000216E9</v>
      </c>
      <c r="B1534" s="10" t="s">
        <v>22</v>
      </c>
      <c r="C1534" s="9">
        <v>97.0</v>
      </c>
      <c r="D1534" s="10" t="s">
        <v>115</v>
      </c>
      <c r="E1534" s="9">
        <v>5.0</v>
      </c>
      <c r="F1534" s="9">
        <v>97.0</v>
      </c>
      <c r="G1534" s="9">
        <v>514.0</v>
      </c>
      <c r="H1534" s="9">
        <v>0.0</v>
      </c>
      <c r="I1534" s="9">
        <v>0.0</v>
      </c>
      <c r="J1534" s="9">
        <v>97.0</v>
      </c>
      <c r="K1534" s="9">
        <v>514.0</v>
      </c>
      <c r="L1534" s="9">
        <v>2.93</v>
      </c>
      <c r="M1534" s="9">
        <v>284.21</v>
      </c>
      <c r="N1534" s="9">
        <v>229.79</v>
      </c>
      <c r="O1534" s="12">
        <v>46082.0</v>
      </c>
      <c r="P1534" s="16"/>
    </row>
    <row r="1535">
      <c r="A1535" s="9">
        <v>2.503000216E9</v>
      </c>
      <c r="B1535" s="10" t="s">
        <v>22</v>
      </c>
      <c r="C1535" s="9">
        <v>99.0</v>
      </c>
      <c r="D1535" s="10" t="s">
        <v>213</v>
      </c>
      <c r="E1535" s="9">
        <v>3.0</v>
      </c>
      <c r="F1535" s="9">
        <v>23.0</v>
      </c>
      <c r="G1535" s="9">
        <v>69.0</v>
      </c>
      <c r="H1535" s="9">
        <v>0.0</v>
      </c>
      <c r="I1535" s="9">
        <v>0.0</v>
      </c>
      <c r="J1535" s="9">
        <v>23.0</v>
      </c>
      <c r="K1535" s="9">
        <v>69.0</v>
      </c>
      <c r="L1535" s="9">
        <v>2.25</v>
      </c>
      <c r="M1535" s="9">
        <v>51.75</v>
      </c>
      <c r="N1535" s="9">
        <v>17.25</v>
      </c>
      <c r="O1535" s="12">
        <v>46082.0</v>
      </c>
      <c r="P1535" s="16"/>
    </row>
    <row r="1536">
      <c r="A1536" s="9">
        <v>2.503000216E9</v>
      </c>
      <c r="B1536" s="10" t="s">
        <v>22</v>
      </c>
      <c r="C1536" s="9">
        <v>100.0</v>
      </c>
      <c r="D1536" s="10" t="s">
        <v>230</v>
      </c>
      <c r="E1536" s="9">
        <v>5.0</v>
      </c>
      <c r="F1536" s="9">
        <v>25.0</v>
      </c>
      <c r="G1536" s="9">
        <v>125.0</v>
      </c>
      <c r="H1536" s="9">
        <v>0.0</v>
      </c>
      <c r="I1536" s="9">
        <v>0.0</v>
      </c>
      <c r="J1536" s="9">
        <v>25.0</v>
      </c>
      <c r="K1536" s="9">
        <v>125.0</v>
      </c>
      <c r="L1536" s="9">
        <v>2.44</v>
      </c>
      <c r="M1536" s="9">
        <v>61.0</v>
      </c>
      <c r="N1536" s="9">
        <v>64.0</v>
      </c>
      <c r="O1536" s="12">
        <v>46082.0</v>
      </c>
      <c r="P1536" s="16"/>
    </row>
    <row r="1537">
      <c r="A1537" s="9">
        <v>2.503000216E9</v>
      </c>
      <c r="B1537" s="10" t="s">
        <v>22</v>
      </c>
      <c r="C1537" s="9">
        <v>114.0</v>
      </c>
      <c r="D1537" s="10" t="s">
        <v>218</v>
      </c>
      <c r="E1537" s="9">
        <v>5.0</v>
      </c>
      <c r="F1537" s="9">
        <v>20.0</v>
      </c>
      <c r="G1537" s="9">
        <v>100.0</v>
      </c>
      <c r="H1537" s="9">
        <v>0.0</v>
      </c>
      <c r="I1537" s="9">
        <v>0.0</v>
      </c>
      <c r="J1537" s="9">
        <v>20.0</v>
      </c>
      <c r="K1537" s="9">
        <v>100.0</v>
      </c>
      <c r="L1537" s="9">
        <v>2.25</v>
      </c>
      <c r="M1537" s="9">
        <v>45.0</v>
      </c>
      <c r="N1537" s="9">
        <v>55.0</v>
      </c>
      <c r="O1537" s="12">
        <v>46082.0</v>
      </c>
      <c r="P1537" s="16"/>
    </row>
    <row r="1538">
      <c r="A1538" s="9">
        <v>2.503000216E9</v>
      </c>
      <c r="B1538" s="10" t="s">
        <v>22</v>
      </c>
      <c r="C1538" s="9">
        <v>119.0</v>
      </c>
      <c r="D1538" s="10" t="s">
        <v>224</v>
      </c>
      <c r="E1538" s="9">
        <v>5.0</v>
      </c>
      <c r="F1538" s="9">
        <v>29.0</v>
      </c>
      <c r="G1538" s="9">
        <v>174.0</v>
      </c>
      <c r="H1538" s="9">
        <v>0.0</v>
      </c>
      <c r="I1538" s="9">
        <v>0.0</v>
      </c>
      <c r="J1538" s="9">
        <v>29.0</v>
      </c>
      <c r="K1538" s="9">
        <v>174.0</v>
      </c>
      <c r="L1538" s="9">
        <v>4.08</v>
      </c>
      <c r="M1538" s="9">
        <v>118.32</v>
      </c>
      <c r="N1538" s="9">
        <v>55.68</v>
      </c>
      <c r="O1538" s="12">
        <v>46082.0</v>
      </c>
      <c r="P1538" s="16"/>
    </row>
    <row r="1539">
      <c r="A1539" s="9">
        <v>2.503000216E9</v>
      </c>
      <c r="B1539" s="10" t="s">
        <v>22</v>
      </c>
      <c r="C1539" s="9">
        <v>120.0</v>
      </c>
      <c r="D1539" s="10" t="s">
        <v>239</v>
      </c>
      <c r="E1539" s="9">
        <v>7.0</v>
      </c>
      <c r="F1539" s="9">
        <v>7.0</v>
      </c>
      <c r="G1539" s="9">
        <v>35.0</v>
      </c>
      <c r="H1539" s="9">
        <v>0.0</v>
      </c>
      <c r="I1539" s="9">
        <v>0.0</v>
      </c>
      <c r="J1539" s="9">
        <v>7.0</v>
      </c>
      <c r="K1539" s="9">
        <v>35.0</v>
      </c>
      <c r="L1539" s="9">
        <v>3.5</v>
      </c>
      <c r="M1539" s="9">
        <v>24.5</v>
      </c>
      <c r="N1539" s="9">
        <v>10.5</v>
      </c>
      <c r="O1539" s="12">
        <v>46082.0</v>
      </c>
      <c r="P1539" s="16"/>
    </row>
    <row r="1540">
      <c r="A1540" s="9">
        <v>2.503000216E9</v>
      </c>
      <c r="B1540" s="10" t="s">
        <v>22</v>
      </c>
      <c r="C1540" s="9">
        <v>126.0</v>
      </c>
      <c r="D1540" s="10" t="s">
        <v>227</v>
      </c>
      <c r="E1540" s="9">
        <v>1.0</v>
      </c>
      <c r="F1540" s="9">
        <v>200.0</v>
      </c>
      <c r="G1540" s="9">
        <v>200.0</v>
      </c>
      <c r="H1540" s="9">
        <v>0.0</v>
      </c>
      <c r="I1540" s="9">
        <v>0.0</v>
      </c>
      <c r="J1540" s="9">
        <v>200.0</v>
      </c>
      <c r="K1540" s="9">
        <v>200.0</v>
      </c>
      <c r="L1540" s="9">
        <v>0.45</v>
      </c>
      <c r="M1540" s="9">
        <v>90.0</v>
      </c>
      <c r="N1540" s="9">
        <v>110.0</v>
      </c>
      <c r="O1540" s="12">
        <v>46082.0</v>
      </c>
      <c r="P1540" s="16"/>
    </row>
    <row r="1541">
      <c r="A1541" s="9">
        <v>2.503000216E9</v>
      </c>
      <c r="B1541" s="10" t="s">
        <v>22</v>
      </c>
      <c r="C1541" s="9">
        <v>130.0</v>
      </c>
      <c r="D1541" s="10" t="s">
        <v>243</v>
      </c>
      <c r="E1541" s="9">
        <v>3.0</v>
      </c>
      <c r="F1541" s="9">
        <v>32.0</v>
      </c>
      <c r="G1541" s="9">
        <v>96.0</v>
      </c>
      <c r="H1541" s="9">
        <v>0.0</v>
      </c>
      <c r="I1541" s="9">
        <v>0.0</v>
      </c>
      <c r="J1541" s="9">
        <v>32.0</v>
      </c>
      <c r="K1541" s="9">
        <v>96.0</v>
      </c>
      <c r="L1541" s="9">
        <v>1.75</v>
      </c>
      <c r="M1541" s="9">
        <v>56.0</v>
      </c>
      <c r="N1541" s="9">
        <v>40.0</v>
      </c>
      <c r="O1541" s="12">
        <v>46082.0</v>
      </c>
      <c r="P1541" s="16"/>
    </row>
    <row r="1542">
      <c r="A1542" s="9">
        <v>2.503000216E9</v>
      </c>
      <c r="B1542" s="10" t="s">
        <v>22</v>
      </c>
      <c r="C1542" s="9">
        <v>136.0</v>
      </c>
      <c r="D1542" s="10" t="s">
        <v>245</v>
      </c>
      <c r="E1542" s="9">
        <v>10.0</v>
      </c>
      <c r="F1542" s="9">
        <v>12.0</v>
      </c>
      <c r="G1542" s="9">
        <v>120.0</v>
      </c>
      <c r="H1542" s="9">
        <v>0.0</v>
      </c>
      <c r="I1542" s="9">
        <v>0.0</v>
      </c>
      <c r="J1542" s="9">
        <v>12.0</v>
      </c>
      <c r="K1542" s="9">
        <v>120.0</v>
      </c>
      <c r="L1542" s="9">
        <v>7.2</v>
      </c>
      <c r="M1542" s="9">
        <v>86.4</v>
      </c>
      <c r="N1542" s="9">
        <v>33.6</v>
      </c>
      <c r="O1542" s="12">
        <v>46082.0</v>
      </c>
      <c r="P1542" s="16"/>
    </row>
    <row r="1543">
      <c r="A1543" s="9">
        <v>2.503000216E9</v>
      </c>
      <c r="B1543" s="10" t="s">
        <v>22</v>
      </c>
      <c r="C1543" s="9">
        <v>137.0</v>
      </c>
      <c r="D1543" s="10" t="s">
        <v>253</v>
      </c>
      <c r="E1543" s="9">
        <v>5.0</v>
      </c>
      <c r="F1543" s="9">
        <v>17.0</v>
      </c>
      <c r="G1543" s="9">
        <v>85.0</v>
      </c>
      <c r="H1543" s="9">
        <v>0.0</v>
      </c>
      <c r="I1543" s="9">
        <v>0.0</v>
      </c>
      <c r="J1543" s="9">
        <v>17.0</v>
      </c>
      <c r="K1543" s="9">
        <v>85.0</v>
      </c>
      <c r="L1543" s="9">
        <v>2.93</v>
      </c>
      <c r="M1543" s="9">
        <v>49.81</v>
      </c>
      <c r="N1543" s="9">
        <v>35.19</v>
      </c>
      <c r="O1543" s="12">
        <v>46082.0</v>
      </c>
      <c r="P1543" s="16"/>
    </row>
    <row r="1544">
      <c r="A1544" s="9">
        <v>2.503000216E9</v>
      </c>
      <c r="B1544" s="10" t="s">
        <v>22</v>
      </c>
      <c r="C1544" s="9">
        <v>137.0</v>
      </c>
      <c r="D1544" s="2" t="s">
        <v>129</v>
      </c>
      <c r="E1544" s="9">
        <v>5.0</v>
      </c>
      <c r="F1544" s="9">
        <v>17.0</v>
      </c>
      <c r="G1544" s="9">
        <v>85.0</v>
      </c>
      <c r="H1544" s="9">
        <v>0.0</v>
      </c>
      <c r="I1544" s="9">
        <v>0.0</v>
      </c>
      <c r="J1544" s="9">
        <v>17.0</v>
      </c>
      <c r="K1544" s="9">
        <v>85.0</v>
      </c>
      <c r="L1544" s="9">
        <v>2.93</v>
      </c>
      <c r="M1544" s="9">
        <v>49.81</v>
      </c>
      <c r="N1544" s="9">
        <v>35.19</v>
      </c>
      <c r="O1544" s="12">
        <v>46082.0</v>
      </c>
      <c r="P1544" s="16"/>
    </row>
    <row r="1545">
      <c r="A1545" s="9">
        <v>2.503000216E9</v>
      </c>
      <c r="B1545" s="10" t="s">
        <v>22</v>
      </c>
      <c r="C1545" s="9">
        <v>138.0</v>
      </c>
      <c r="D1545" s="10" t="s">
        <v>254</v>
      </c>
      <c r="E1545" s="9">
        <v>2.0</v>
      </c>
      <c r="F1545" s="9">
        <v>64.0</v>
      </c>
      <c r="G1545" s="9">
        <v>168.0</v>
      </c>
      <c r="H1545" s="9">
        <v>0.0</v>
      </c>
      <c r="I1545" s="9">
        <v>0.0</v>
      </c>
      <c r="J1545" s="9">
        <v>64.0</v>
      </c>
      <c r="K1545" s="9">
        <v>168.0</v>
      </c>
      <c r="L1545" s="9">
        <v>1.08</v>
      </c>
      <c r="M1545" s="9">
        <v>69.12</v>
      </c>
      <c r="N1545" s="9">
        <v>98.88</v>
      </c>
      <c r="O1545" s="12">
        <v>46082.0</v>
      </c>
      <c r="P1545" s="16"/>
    </row>
    <row r="1546">
      <c r="A1546" s="9">
        <v>2.503000216E9</v>
      </c>
      <c r="B1546" s="10" t="s">
        <v>22</v>
      </c>
      <c r="C1546" s="9">
        <v>139.0</v>
      </c>
      <c r="D1546" s="10" t="s">
        <v>255</v>
      </c>
      <c r="E1546" s="9">
        <v>2.0</v>
      </c>
      <c r="F1546" s="9">
        <v>49.0</v>
      </c>
      <c r="G1546" s="9">
        <v>98.0</v>
      </c>
      <c r="H1546" s="9">
        <v>0.0</v>
      </c>
      <c r="I1546" s="9">
        <v>0.0</v>
      </c>
      <c r="J1546" s="9">
        <v>49.0</v>
      </c>
      <c r="K1546" s="9">
        <v>98.0</v>
      </c>
      <c r="L1546" s="9">
        <v>1.08</v>
      </c>
      <c r="M1546" s="9">
        <v>52.92</v>
      </c>
      <c r="N1546" s="9">
        <v>45.08</v>
      </c>
      <c r="O1546" s="12">
        <v>46082.0</v>
      </c>
      <c r="P1546" s="16"/>
    </row>
    <row r="1547">
      <c r="A1547" s="9">
        <v>2.503000216E9</v>
      </c>
      <c r="B1547" s="10" t="s">
        <v>22</v>
      </c>
      <c r="C1547" s="9">
        <v>140.0</v>
      </c>
      <c r="D1547" s="10" t="s">
        <v>258</v>
      </c>
      <c r="E1547" s="9">
        <v>2.0</v>
      </c>
      <c r="F1547" s="9">
        <v>41.0</v>
      </c>
      <c r="G1547" s="9">
        <v>82.0</v>
      </c>
      <c r="H1547" s="9">
        <v>0.0</v>
      </c>
      <c r="I1547" s="9">
        <v>0.0</v>
      </c>
      <c r="J1547" s="9">
        <v>41.0</v>
      </c>
      <c r="K1547" s="9">
        <v>82.0</v>
      </c>
      <c r="L1547" s="9">
        <v>1.08</v>
      </c>
      <c r="M1547" s="9">
        <v>44.28</v>
      </c>
      <c r="N1547" s="9">
        <v>37.72</v>
      </c>
      <c r="O1547" s="12">
        <v>46082.0</v>
      </c>
      <c r="P1547" s="16"/>
    </row>
    <row r="1548">
      <c r="A1548" s="9">
        <v>2.503000216E9</v>
      </c>
      <c r="B1548" s="10" t="s">
        <v>22</v>
      </c>
      <c r="C1548" s="9">
        <v>141.0</v>
      </c>
      <c r="D1548" s="10" t="s">
        <v>259</v>
      </c>
      <c r="E1548" s="9">
        <v>3.0</v>
      </c>
      <c r="F1548" s="9">
        <v>15.0</v>
      </c>
      <c r="G1548" s="9">
        <v>75.0</v>
      </c>
      <c r="H1548" s="9">
        <v>0.0</v>
      </c>
      <c r="I1548" s="9">
        <v>0.0</v>
      </c>
      <c r="J1548" s="9">
        <v>15.0</v>
      </c>
      <c r="K1548" s="9">
        <v>75.0</v>
      </c>
      <c r="L1548" s="9">
        <v>1.91</v>
      </c>
      <c r="M1548" s="9">
        <v>28.65</v>
      </c>
      <c r="N1548" s="9">
        <v>46.35</v>
      </c>
      <c r="O1548" s="12">
        <v>46082.0</v>
      </c>
      <c r="P1548" s="16"/>
    </row>
    <row r="1549">
      <c r="A1549" s="9">
        <v>2.503000216E9</v>
      </c>
      <c r="B1549" s="10" t="s">
        <v>22</v>
      </c>
      <c r="C1549" s="9">
        <v>142.0</v>
      </c>
      <c r="D1549" s="10" t="s">
        <v>256</v>
      </c>
      <c r="E1549" s="9">
        <v>5.0</v>
      </c>
      <c r="F1549" s="9">
        <v>39.0</v>
      </c>
      <c r="G1549" s="9">
        <v>195.0</v>
      </c>
      <c r="H1549" s="9">
        <v>0.0</v>
      </c>
      <c r="I1549" s="9">
        <v>0.0</v>
      </c>
      <c r="J1549" s="9">
        <v>39.0</v>
      </c>
      <c r="K1549" s="9">
        <v>195.0</v>
      </c>
      <c r="L1549" s="9">
        <v>3.66</v>
      </c>
      <c r="M1549" s="9">
        <v>142.74</v>
      </c>
      <c r="N1549" s="9">
        <v>52.26</v>
      </c>
      <c r="O1549" s="12">
        <v>46082.0</v>
      </c>
      <c r="P1549" s="16"/>
    </row>
    <row r="1550">
      <c r="A1550" s="9">
        <v>2.503000216E9</v>
      </c>
      <c r="B1550" s="10" t="s">
        <v>22</v>
      </c>
      <c r="C1550" s="9">
        <v>143.0</v>
      </c>
      <c r="D1550" s="10" t="s">
        <v>260</v>
      </c>
      <c r="E1550" s="9">
        <v>5.0</v>
      </c>
      <c r="F1550" s="9">
        <v>15.0</v>
      </c>
      <c r="G1550" s="9">
        <v>75.0</v>
      </c>
      <c r="H1550" s="9">
        <v>0.0</v>
      </c>
      <c r="I1550" s="9">
        <v>0.0</v>
      </c>
      <c r="J1550" s="9">
        <v>15.0</v>
      </c>
      <c r="K1550" s="9">
        <v>75.0</v>
      </c>
      <c r="L1550" s="9">
        <v>2.93</v>
      </c>
      <c r="M1550" s="9">
        <v>43.95</v>
      </c>
      <c r="N1550" s="9">
        <v>31.05</v>
      </c>
      <c r="O1550" s="12">
        <v>46082.0</v>
      </c>
      <c r="P1550" s="16"/>
    </row>
    <row r="1551">
      <c r="A1551" s="9">
        <v>2.503000216E9</v>
      </c>
      <c r="B1551" s="10" t="s">
        <v>22</v>
      </c>
      <c r="C1551" s="9">
        <v>145.0</v>
      </c>
      <c r="D1551" s="10" t="s">
        <v>257</v>
      </c>
      <c r="E1551" s="9">
        <v>2.0</v>
      </c>
      <c r="F1551" s="9">
        <v>4.0</v>
      </c>
      <c r="G1551" s="9">
        <v>8.0</v>
      </c>
      <c r="H1551" s="9">
        <v>0.0</v>
      </c>
      <c r="I1551" s="9">
        <v>0.0</v>
      </c>
      <c r="J1551" s="9">
        <v>4.0</v>
      </c>
      <c r="K1551" s="9">
        <v>8.0</v>
      </c>
      <c r="L1551" s="9">
        <v>1.12</v>
      </c>
      <c r="M1551" s="9">
        <v>4.48</v>
      </c>
      <c r="N1551" s="9">
        <v>3.52</v>
      </c>
      <c r="O1551" s="12">
        <v>46082.0</v>
      </c>
      <c r="P1551" s="16"/>
    </row>
    <row r="1552">
      <c r="A1552" s="9">
        <v>2.509000369E9</v>
      </c>
      <c r="B1552" s="10" t="s">
        <v>24</v>
      </c>
      <c r="C1552" s="9">
        <v>1.0</v>
      </c>
      <c r="D1552" s="10" t="s">
        <v>129</v>
      </c>
      <c r="E1552" s="9">
        <v>5.0</v>
      </c>
      <c r="F1552" s="9">
        <v>49.0</v>
      </c>
      <c r="G1552" s="9">
        <v>245.0</v>
      </c>
      <c r="H1552" s="9">
        <v>0.0</v>
      </c>
      <c r="I1552" s="9">
        <v>0.0</v>
      </c>
      <c r="J1552" s="9">
        <v>49.0</v>
      </c>
      <c r="K1552" s="9">
        <v>245.0</v>
      </c>
      <c r="L1552" s="9">
        <v>2.93</v>
      </c>
      <c r="M1552" s="9">
        <v>143.57</v>
      </c>
      <c r="N1552" s="9">
        <v>101.43</v>
      </c>
      <c r="O1552" s="12">
        <v>46082.0</v>
      </c>
      <c r="P1552" s="16"/>
    </row>
    <row r="1553">
      <c r="A1553" s="9">
        <v>2.509000369E9</v>
      </c>
      <c r="B1553" s="10" t="s">
        <v>24</v>
      </c>
      <c r="C1553" s="9">
        <v>2.0</v>
      </c>
      <c r="D1553" s="10" t="s">
        <v>74</v>
      </c>
      <c r="E1553" s="9">
        <v>1.0</v>
      </c>
      <c r="F1553" s="9">
        <v>329.0</v>
      </c>
      <c r="G1553" s="9">
        <v>329.0</v>
      </c>
      <c r="H1553" s="9">
        <v>0.0</v>
      </c>
      <c r="I1553" s="9">
        <v>0.0</v>
      </c>
      <c r="J1553" s="9">
        <v>329.0</v>
      </c>
      <c r="K1553" s="9">
        <v>329.0</v>
      </c>
      <c r="L1553" s="9">
        <v>0.28</v>
      </c>
      <c r="M1553" s="9">
        <v>92.12</v>
      </c>
      <c r="N1553" s="9">
        <v>236.88</v>
      </c>
      <c r="O1553" s="12">
        <v>46082.0</v>
      </c>
      <c r="P1553" s="16"/>
    </row>
    <row r="1554">
      <c r="A1554" s="9">
        <v>2.509000369E9</v>
      </c>
      <c r="B1554" s="10" t="s">
        <v>24</v>
      </c>
      <c r="C1554" s="9">
        <v>3.0</v>
      </c>
      <c r="D1554" s="10" t="s">
        <v>125</v>
      </c>
      <c r="E1554" s="9">
        <v>8.0</v>
      </c>
      <c r="F1554" s="9">
        <v>8.0</v>
      </c>
      <c r="G1554" s="9">
        <v>68.0</v>
      </c>
      <c r="H1554" s="9">
        <v>0.0</v>
      </c>
      <c r="I1554" s="9">
        <v>0.0</v>
      </c>
      <c r="J1554" s="9">
        <v>8.0</v>
      </c>
      <c r="K1554" s="9">
        <v>68.0</v>
      </c>
      <c r="L1554" s="9">
        <v>7.5</v>
      </c>
      <c r="M1554" s="9">
        <v>60.0</v>
      </c>
      <c r="N1554" s="9">
        <v>8.0</v>
      </c>
      <c r="O1554" s="12">
        <v>46082.0</v>
      </c>
      <c r="P1554" s="16"/>
    </row>
    <row r="1555">
      <c r="A1555" s="9">
        <v>2.509000369E9</v>
      </c>
      <c r="B1555" s="10" t="s">
        <v>24</v>
      </c>
      <c r="C1555" s="9">
        <v>11.0</v>
      </c>
      <c r="D1555" s="10" t="s">
        <v>86</v>
      </c>
      <c r="E1555" s="9">
        <v>5.0</v>
      </c>
      <c r="F1555" s="9">
        <v>61.0</v>
      </c>
      <c r="G1555" s="9">
        <v>305.0</v>
      </c>
      <c r="H1555" s="9">
        <v>0.0</v>
      </c>
      <c r="I1555" s="9">
        <v>0.0</v>
      </c>
      <c r="J1555" s="9">
        <v>61.0</v>
      </c>
      <c r="K1555" s="9">
        <v>305.0</v>
      </c>
      <c r="L1555" s="9">
        <v>4.29</v>
      </c>
      <c r="M1555" s="9">
        <v>261.69</v>
      </c>
      <c r="N1555" s="9">
        <v>43.31</v>
      </c>
      <c r="O1555" s="12">
        <v>46082.0</v>
      </c>
      <c r="P1555" s="16"/>
    </row>
    <row r="1556">
      <c r="A1556" s="9">
        <v>2.509000369E9</v>
      </c>
      <c r="B1556" s="10" t="s">
        <v>24</v>
      </c>
      <c r="C1556" s="9">
        <v>14.0</v>
      </c>
      <c r="D1556" s="10" t="s">
        <v>138</v>
      </c>
      <c r="E1556" s="9">
        <v>8.0</v>
      </c>
      <c r="F1556" s="9">
        <v>26.0</v>
      </c>
      <c r="G1556" s="9">
        <v>212.0</v>
      </c>
      <c r="H1556" s="9">
        <v>0.0</v>
      </c>
      <c r="I1556" s="9">
        <v>0.0</v>
      </c>
      <c r="J1556" s="9">
        <v>26.0</v>
      </c>
      <c r="K1556" s="9">
        <v>212.0</v>
      </c>
      <c r="L1556" s="9">
        <v>7.0</v>
      </c>
      <c r="M1556" s="9">
        <v>182.0</v>
      </c>
      <c r="N1556" s="9">
        <v>30.0</v>
      </c>
      <c r="O1556" s="12">
        <v>46082.0</v>
      </c>
      <c r="P1556" s="16"/>
    </row>
    <row r="1557">
      <c r="A1557" s="9">
        <v>2.509000369E9</v>
      </c>
      <c r="B1557" s="10" t="s">
        <v>24</v>
      </c>
      <c r="C1557" s="9">
        <v>15.0</v>
      </c>
      <c r="D1557" s="10" t="s">
        <v>55</v>
      </c>
      <c r="E1557" s="9">
        <v>2.0</v>
      </c>
      <c r="F1557" s="9">
        <v>2.0</v>
      </c>
      <c r="G1557" s="9">
        <v>4.0</v>
      </c>
      <c r="H1557" s="9">
        <v>0.0</v>
      </c>
      <c r="I1557" s="9">
        <v>0.0</v>
      </c>
      <c r="J1557" s="9">
        <v>2.0</v>
      </c>
      <c r="K1557" s="9">
        <v>4.0</v>
      </c>
      <c r="L1557" s="9">
        <v>1.54</v>
      </c>
      <c r="M1557" s="9">
        <v>3.08</v>
      </c>
      <c r="N1557" s="9">
        <v>0.92</v>
      </c>
      <c r="O1557" s="12">
        <v>46082.0</v>
      </c>
      <c r="P1557" s="16"/>
    </row>
    <row r="1558">
      <c r="A1558" s="9">
        <v>2.509000369E9</v>
      </c>
      <c r="B1558" s="10" t="s">
        <v>24</v>
      </c>
      <c r="C1558" s="9">
        <v>16.0</v>
      </c>
      <c r="D1558" s="10" t="s">
        <v>139</v>
      </c>
      <c r="E1558" s="9">
        <v>2.0</v>
      </c>
      <c r="F1558" s="9">
        <v>7.0</v>
      </c>
      <c r="G1558" s="9">
        <v>21.0</v>
      </c>
      <c r="H1558" s="9">
        <v>0.0</v>
      </c>
      <c r="I1558" s="9">
        <v>0.0</v>
      </c>
      <c r="J1558" s="9">
        <v>7.0</v>
      </c>
      <c r="K1558" s="9">
        <v>21.0</v>
      </c>
      <c r="L1558" s="9">
        <v>2.25</v>
      </c>
      <c r="M1558" s="9">
        <v>15.75</v>
      </c>
      <c r="N1558" s="9">
        <v>5.25</v>
      </c>
      <c r="O1558" s="12">
        <v>46082.0</v>
      </c>
      <c r="P1558" s="16"/>
    </row>
    <row r="1559">
      <c r="A1559" s="9">
        <v>2.509000369E9</v>
      </c>
      <c r="B1559" s="10" t="s">
        <v>24</v>
      </c>
      <c r="C1559" s="9">
        <v>19.0</v>
      </c>
      <c r="D1559" s="10" t="s">
        <v>72</v>
      </c>
      <c r="E1559" s="9">
        <v>3.0</v>
      </c>
      <c r="F1559" s="9">
        <v>35.0</v>
      </c>
      <c r="G1559" s="9">
        <v>105.0</v>
      </c>
      <c r="H1559" s="9">
        <v>0.0</v>
      </c>
      <c r="I1559" s="9">
        <v>0.0</v>
      </c>
      <c r="J1559" s="9">
        <v>35.0</v>
      </c>
      <c r="K1559" s="9">
        <v>105.0</v>
      </c>
      <c r="L1559" s="9">
        <v>1.79</v>
      </c>
      <c r="M1559" s="9">
        <v>62.65</v>
      </c>
      <c r="N1559" s="9">
        <v>42.35</v>
      </c>
      <c r="O1559" s="12">
        <v>46082.0</v>
      </c>
      <c r="P1559" s="16"/>
    </row>
    <row r="1560">
      <c r="A1560" s="9">
        <v>2.509000369E9</v>
      </c>
      <c r="B1560" s="10" t="s">
        <v>24</v>
      </c>
      <c r="C1560" s="9">
        <v>21.0</v>
      </c>
      <c r="D1560" s="10" t="s">
        <v>79</v>
      </c>
      <c r="E1560" s="9">
        <v>3.0</v>
      </c>
      <c r="F1560" s="9">
        <v>52.0</v>
      </c>
      <c r="G1560" s="9">
        <v>186.5</v>
      </c>
      <c r="H1560" s="9">
        <v>0.0</v>
      </c>
      <c r="I1560" s="9">
        <v>0.0</v>
      </c>
      <c r="J1560" s="9">
        <v>52.0</v>
      </c>
      <c r="K1560" s="9">
        <v>186.5</v>
      </c>
      <c r="L1560" s="9">
        <v>2.25</v>
      </c>
      <c r="M1560" s="9">
        <v>117.0</v>
      </c>
      <c r="N1560" s="9">
        <v>69.5</v>
      </c>
      <c r="O1560" s="12">
        <v>46082.0</v>
      </c>
      <c r="P1560" s="16"/>
    </row>
    <row r="1561">
      <c r="A1561" s="9">
        <v>2.509000369E9</v>
      </c>
      <c r="B1561" s="10" t="s">
        <v>24</v>
      </c>
      <c r="C1561" s="9">
        <v>23.0</v>
      </c>
      <c r="D1561" s="10" t="s">
        <v>143</v>
      </c>
      <c r="E1561" s="9">
        <v>5.0</v>
      </c>
      <c r="F1561" s="9">
        <v>2.0</v>
      </c>
      <c r="G1561" s="9">
        <v>11.0</v>
      </c>
      <c r="H1561" s="9">
        <v>0.0</v>
      </c>
      <c r="I1561" s="9">
        <v>0.0</v>
      </c>
      <c r="J1561" s="9">
        <v>2.0</v>
      </c>
      <c r="K1561" s="9">
        <v>11.0</v>
      </c>
      <c r="L1561" s="9">
        <v>3.41</v>
      </c>
      <c r="M1561" s="9">
        <v>6.82</v>
      </c>
      <c r="N1561" s="9">
        <v>4.18</v>
      </c>
      <c r="O1561" s="12">
        <v>46082.0</v>
      </c>
      <c r="P1561" s="16"/>
    </row>
    <row r="1562">
      <c r="A1562" s="9">
        <v>2.509000369E9</v>
      </c>
      <c r="B1562" s="10" t="s">
        <v>24</v>
      </c>
      <c r="C1562" s="9">
        <v>25.0</v>
      </c>
      <c r="D1562" s="10" t="s">
        <v>144</v>
      </c>
      <c r="E1562" s="9">
        <v>6.0</v>
      </c>
      <c r="F1562" s="9">
        <v>7.0</v>
      </c>
      <c r="G1562" s="9">
        <v>42.0</v>
      </c>
      <c r="H1562" s="9">
        <v>0.0</v>
      </c>
      <c r="I1562" s="9">
        <v>0.0</v>
      </c>
      <c r="J1562" s="9">
        <v>7.0</v>
      </c>
      <c r="K1562" s="9">
        <v>42.0</v>
      </c>
      <c r="L1562" s="9">
        <v>5.0</v>
      </c>
      <c r="M1562" s="9">
        <v>35.0</v>
      </c>
      <c r="N1562" s="9">
        <v>7.0</v>
      </c>
      <c r="O1562" s="12">
        <v>46082.0</v>
      </c>
      <c r="P1562" s="16"/>
    </row>
    <row r="1563">
      <c r="A1563" s="9">
        <v>2.509000369E9</v>
      </c>
      <c r="B1563" s="10" t="s">
        <v>24</v>
      </c>
      <c r="C1563" s="9">
        <v>27.0</v>
      </c>
      <c r="D1563" s="10" t="s">
        <v>73</v>
      </c>
      <c r="E1563" s="9">
        <v>6.0</v>
      </c>
      <c r="F1563" s="9">
        <v>16.0</v>
      </c>
      <c r="G1563" s="9">
        <v>104.0</v>
      </c>
      <c r="H1563" s="9">
        <v>0.0</v>
      </c>
      <c r="I1563" s="9">
        <v>0.0</v>
      </c>
      <c r="J1563" s="9">
        <v>16.0</v>
      </c>
      <c r="K1563" s="9">
        <v>104.0</v>
      </c>
      <c r="L1563" s="9">
        <v>5.5</v>
      </c>
      <c r="M1563" s="9">
        <v>88.0</v>
      </c>
      <c r="N1563" s="9">
        <v>16.0</v>
      </c>
      <c r="O1563" s="12">
        <v>46082.0</v>
      </c>
      <c r="P1563" s="16"/>
    </row>
    <row r="1564">
      <c r="A1564" s="9">
        <v>2.509000369E9</v>
      </c>
      <c r="B1564" s="10" t="s">
        <v>24</v>
      </c>
      <c r="C1564" s="9">
        <v>29.0</v>
      </c>
      <c r="D1564" s="10" t="s">
        <v>147</v>
      </c>
      <c r="E1564" s="9">
        <v>3.0</v>
      </c>
      <c r="F1564" s="9">
        <v>84.0</v>
      </c>
      <c r="G1564" s="9">
        <v>252.0</v>
      </c>
      <c r="H1564" s="9">
        <v>0.0</v>
      </c>
      <c r="I1564" s="9">
        <v>0.0</v>
      </c>
      <c r="J1564" s="9">
        <v>84.0</v>
      </c>
      <c r="K1564" s="9">
        <v>252.0</v>
      </c>
      <c r="L1564" s="9">
        <v>2.25</v>
      </c>
      <c r="M1564" s="9">
        <v>189.0</v>
      </c>
      <c r="N1564" s="9">
        <v>63.0</v>
      </c>
      <c r="O1564" s="12">
        <v>46082.0</v>
      </c>
      <c r="P1564" s="16"/>
    </row>
    <row r="1565">
      <c r="A1565" s="9">
        <v>2.509000369E9</v>
      </c>
      <c r="B1565" s="10" t="s">
        <v>24</v>
      </c>
      <c r="C1565" s="9">
        <v>30.0</v>
      </c>
      <c r="D1565" s="10" t="s">
        <v>148</v>
      </c>
      <c r="E1565" s="9">
        <v>6.0</v>
      </c>
      <c r="F1565" s="9">
        <v>6.0</v>
      </c>
      <c r="G1565" s="9">
        <v>36.0</v>
      </c>
      <c r="H1565" s="9">
        <v>0.0</v>
      </c>
      <c r="I1565" s="9">
        <v>0.0</v>
      </c>
      <c r="J1565" s="9">
        <v>6.0</v>
      </c>
      <c r="K1565" s="9">
        <v>36.0</v>
      </c>
      <c r="L1565" s="9">
        <v>5.5</v>
      </c>
      <c r="M1565" s="9">
        <v>33.0</v>
      </c>
      <c r="N1565" s="9">
        <v>3.0</v>
      </c>
      <c r="O1565" s="12">
        <v>46082.0</v>
      </c>
      <c r="P1565" s="16"/>
    </row>
    <row r="1566">
      <c r="A1566" s="9">
        <v>2.509000369E9</v>
      </c>
      <c r="B1566" s="10" t="s">
        <v>24</v>
      </c>
      <c r="C1566" s="9">
        <v>32.0</v>
      </c>
      <c r="D1566" s="10" t="s">
        <v>150</v>
      </c>
      <c r="E1566" s="9">
        <v>3.0</v>
      </c>
      <c r="F1566" s="9">
        <v>15.0</v>
      </c>
      <c r="G1566" s="9">
        <v>52.5</v>
      </c>
      <c r="H1566" s="9">
        <v>0.0</v>
      </c>
      <c r="I1566" s="9">
        <v>0.0</v>
      </c>
      <c r="J1566" s="9">
        <v>15.0</v>
      </c>
      <c r="K1566" s="9">
        <v>52.5</v>
      </c>
      <c r="L1566" s="9">
        <v>2.29</v>
      </c>
      <c r="M1566" s="9">
        <v>34.35</v>
      </c>
      <c r="N1566" s="9">
        <v>18.15</v>
      </c>
      <c r="O1566" s="12">
        <v>46082.0</v>
      </c>
      <c r="P1566" s="16"/>
    </row>
    <row r="1567">
      <c r="A1567" s="9">
        <v>2.509000369E9</v>
      </c>
      <c r="B1567" s="10" t="s">
        <v>24</v>
      </c>
      <c r="C1567" s="9">
        <v>33.0</v>
      </c>
      <c r="D1567" s="10" t="s">
        <v>151</v>
      </c>
      <c r="E1567" s="9">
        <v>4.0</v>
      </c>
      <c r="F1567" s="9">
        <v>19.0</v>
      </c>
      <c r="G1567" s="9">
        <v>76.0</v>
      </c>
      <c r="H1567" s="9">
        <v>0.0</v>
      </c>
      <c r="I1567" s="9">
        <v>0.0</v>
      </c>
      <c r="J1567" s="9">
        <v>19.0</v>
      </c>
      <c r="K1567" s="9">
        <v>76.0</v>
      </c>
      <c r="L1567" s="9">
        <v>3.13</v>
      </c>
      <c r="M1567" s="9">
        <v>59.47</v>
      </c>
      <c r="N1567" s="9">
        <v>16.53</v>
      </c>
      <c r="O1567" s="12">
        <v>46082.0</v>
      </c>
      <c r="P1567" s="16"/>
    </row>
    <row r="1568">
      <c r="A1568" s="9">
        <v>2.509000369E9</v>
      </c>
      <c r="B1568" s="10" t="s">
        <v>24</v>
      </c>
      <c r="C1568" s="9">
        <v>36.0</v>
      </c>
      <c r="D1568" s="10" t="s">
        <v>252</v>
      </c>
      <c r="E1568" s="9">
        <v>4.0</v>
      </c>
      <c r="F1568" s="9">
        <v>18.0</v>
      </c>
      <c r="G1568" s="9">
        <v>90.0</v>
      </c>
      <c r="H1568" s="9">
        <v>0.0</v>
      </c>
      <c r="I1568" s="9">
        <v>0.0</v>
      </c>
      <c r="J1568" s="9">
        <v>18.0</v>
      </c>
      <c r="K1568" s="9">
        <v>90.0</v>
      </c>
      <c r="L1568" s="9">
        <v>1.6</v>
      </c>
      <c r="M1568" s="9">
        <v>28.8</v>
      </c>
      <c r="N1568" s="9">
        <v>61.2</v>
      </c>
      <c r="O1568" s="12">
        <v>46082.0</v>
      </c>
      <c r="P1568" s="16"/>
    </row>
    <row r="1569">
      <c r="A1569" s="9">
        <v>2.509000369E9</v>
      </c>
      <c r="B1569" s="10" t="s">
        <v>24</v>
      </c>
      <c r="C1569" s="9">
        <v>36.0</v>
      </c>
      <c r="D1569" s="10" t="s">
        <v>153</v>
      </c>
      <c r="E1569" s="9">
        <v>4.0</v>
      </c>
      <c r="F1569" s="9">
        <v>5.0</v>
      </c>
      <c r="G1569" s="9">
        <v>25.0</v>
      </c>
      <c r="H1569" s="9">
        <v>0.0</v>
      </c>
      <c r="I1569" s="9">
        <v>0.0</v>
      </c>
      <c r="J1569" s="9">
        <v>5.0</v>
      </c>
      <c r="K1569" s="9">
        <v>25.0</v>
      </c>
      <c r="L1569" s="9">
        <v>1.6</v>
      </c>
      <c r="M1569" s="9">
        <v>8.0</v>
      </c>
      <c r="N1569" s="9">
        <v>17.0</v>
      </c>
      <c r="O1569" s="12">
        <v>46082.0</v>
      </c>
      <c r="P1569" s="16"/>
    </row>
    <row r="1570">
      <c r="A1570" s="9">
        <v>2.509000369E9</v>
      </c>
      <c r="B1570" s="10" t="s">
        <v>24</v>
      </c>
      <c r="C1570" s="9">
        <v>38.0</v>
      </c>
      <c r="D1570" s="10" t="s">
        <v>155</v>
      </c>
      <c r="E1570" s="9">
        <v>7.0</v>
      </c>
      <c r="F1570" s="9">
        <v>13.0</v>
      </c>
      <c r="G1570" s="9">
        <v>98.5</v>
      </c>
      <c r="H1570" s="9">
        <v>0.0</v>
      </c>
      <c r="I1570" s="9">
        <v>0.0</v>
      </c>
      <c r="J1570" s="9">
        <v>13.0</v>
      </c>
      <c r="K1570" s="9">
        <v>98.5</v>
      </c>
      <c r="L1570" s="9">
        <v>5.18</v>
      </c>
      <c r="M1570" s="9">
        <v>67.34</v>
      </c>
      <c r="N1570" s="9">
        <v>31.16</v>
      </c>
      <c r="O1570" s="12">
        <v>46082.0</v>
      </c>
      <c r="P1570" s="16"/>
    </row>
    <row r="1571">
      <c r="A1571" s="9">
        <v>2.509000369E9</v>
      </c>
      <c r="B1571" s="10" t="s">
        <v>24</v>
      </c>
      <c r="C1571" s="9">
        <v>44.0</v>
      </c>
      <c r="D1571" s="10" t="s">
        <v>160</v>
      </c>
      <c r="E1571" s="9">
        <v>5.0</v>
      </c>
      <c r="F1571" s="9">
        <v>14.0</v>
      </c>
      <c r="G1571" s="9">
        <v>77.0</v>
      </c>
      <c r="H1571" s="9">
        <v>0.0</v>
      </c>
      <c r="I1571" s="9">
        <v>0.0</v>
      </c>
      <c r="J1571" s="9">
        <v>14.0</v>
      </c>
      <c r="K1571" s="9">
        <v>77.0</v>
      </c>
      <c r="L1571" s="9">
        <v>4.13</v>
      </c>
      <c r="M1571" s="9">
        <v>57.82</v>
      </c>
      <c r="N1571" s="9">
        <v>19.18</v>
      </c>
      <c r="O1571" s="12">
        <v>46082.0</v>
      </c>
      <c r="P1571" s="16"/>
    </row>
    <row r="1572">
      <c r="A1572" s="9">
        <v>2.509000369E9</v>
      </c>
      <c r="B1572" s="10" t="s">
        <v>24</v>
      </c>
      <c r="C1572" s="9">
        <v>52.0</v>
      </c>
      <c r="D1572" s="10" t="s">
        <v>174</v>
      </c>
      <c r="E1572" s="9">
        <v>5.0</v>
      </c>
      <c r="F1572" s="9">
        <v>72.0</v>
      </c>
      <c r="G1572" s="9">
        <v>360.0</v>
      </c>
      <c r="H1572" s="9">
        <v>0.0</v>
      </c>
      <c r="I1572" s="9">
        <v>0.0</v>
      </c>
      <c r="J1572" s="9">
        <v>72.0</v>
      </c>
      <c r="K1572" s="9">
        <v>360.0</v>
      </c>
      <c r="L1572" s="9">
        <v>3.0</v>
      </c>
      <c r="M1572" s="9">
        <v>216.0</v>
      </c>
      <c r="N1572" s="9">
        <v>144.0</v>
      </c>
      <c r="O1572" s="12">
        <v>46082.0</v>
      </c>
      <c r="P1572" s="16"/>
    </row>
    <row r="1573">
      <c r="A1573" s="9">
        <v>2.509000369E9</v>
      </c>
      <c r="B1573" s="10" t="s">
        <v>24</v>
      </c>
      <c r="C1573" s="9">
        <v>53.0</v>
      </c>
      <c r="D1573" s="10" t="s">
        <v>167</v>
      </c>
      <c r="E1573" s="9">
        <v>3.0</v>
      </c>
      <c r="F1573" s="9">
        <v>30.0</v>
      </c>
      <c r="G1573" s="9">
        <v>90.0</v>
      </c>
      <c r="H1573" s="9">
        <v>0.0</v>
      </c>
      <c r="I1573" s="9">
        <v>0.0</v>
      </c>
      <c r="J1573" s="9">
        <v>30.0</v>
      </c>
      <c r="K1573" s="9">
        <v>90.0</v>
      </c>
      <c r="L1573" s="9">
        <v>2.25</v>
      </c>
      <c r="M1573" s="9">
        <v>67.5</v>
      </c>
      <c r="N1573" s="9">
        <v>22.5</v>
      </c>
      <c r="O1573" s="12">
        <v>46082.0</v>
      </c>
      <c r="P1573" s="16"/>
    </row>
    <row r="1574">
      <c r="A1574" s="9">
        <v>2.509000369E9</v>
      </c>
      <c r="B1574" s="10" t="s">
        <v>24</v>
      </c>
      <c r="C1574" s="9">
        <v>54.0</v>
      </c>
      <c r="D1574" s="10" t="s">
        <v>168</v>
      </c>
      <c r="E1574" s="9">
        <v>3.0</v>
      </c>
      <c r="F1574" s="9">
        <v>26.0</v>
      </c>
      <c r="G1574" s="9">
        <v>78.0</v>
      </c>
      <c r="H1574" s="9">
        <v>0.0</v>
      </c>
      <c r="I1574" s="9">
        <v>0.0</v>
      </c>
      <c r="J1574" s="9">
        <v>26.0</v>
      </c>
      <c r="K1574" s="9">
        <v>78.0</v>
      </c>
      <c r="L1574" s="9">
        <v>2.25</v>
      </c>
      <c r="M1574" s="9">
        <v>58.5</v>
      </c>
      <c r="N1574" s="9">
        <v>19.5</v>
      </c>
      <c r="O1574" s="12">
        <v>46082.0</v>
      </c>
      <c r="P1574" s="16"/>
    </row>
    <row r="1575">
      <c r="A1575" s="9">
        <v>2.509000369E9</v>
      </c>
      <c r="B1575" s="10" t="s">
        <v>24</v>
      </c>
      <c r="C1575" s="9">
        <v>64.0</v>
      </c>
      <c r="D1575" s="10" t="s">
        <v>173</v>
      </c>
      <c r="E1575" s="9">
        <v>3.0</v>
      </c>
      <c r="F1575" s="9">
        <v>25.0</v>
      </c>
      <c r="G1575" s="9">
        <v>87.5</v>
      </c>
      <c r="H1575" s="9">
        <v>0.0</v>
      </c>
      <c r="I1575" s="9">
        <v>0.0</v>
      </c>
      <c r="J1575" s="9">
        <v>25.0</v>
      </c>
      <c r="K1575" s="9">
        <v>87.5</v>
      </c>
      <c r="L1575" s="9">
        <v>2.29</v>
      </c>
      <c r="M1575" s="9">
        <v>57.25</v>
      </c>
      <c r="N1575" s="9">
        <v>30.25</v>
      </c>
      <c r="O1575" s="12">
        <v>46082.0</v>
      </c>
      <c r="P1575" s="16"/>
    </row>
    <row r="1576">
      <c r="A1576" s="9">
        <v>2.509000369E9</v>
      </c>
      <c r="B1576" s="10" t="s">
        <v>24</v>
      </c>
      <c r="C1576" s="9">
        <v>87.0</v>
      </c>
      <c r="D1576" s="10" t="s">
        <v>202</v>
      </c>
      <c r="E1576" s="9">
        <v>4.0</v>
      </c>
      <c r="F1576" s="9">
        <v>1.0</v>
      </c>
      <c r="G1576" s="9">
        <v>3.0</v>
      </c>
      <c r="H1576" s="9">
        <v>0.0</v>
      </c>
      <c r="I1576" s="9">
        <v>0.0</v>
      </c>
      <c r="J1576" s="9">
        <v>1.0</v>
      </c>
      <c r="K1576" s="9">
        <v>3.0</v>
      </c>
      <c r="L1576" s="9">
        <v>1.87</v>
      </c>
      <c r="M1576" s="9">
        <v>1.87</v>
      </c>
      <c r="N1576" s="9">
        <v>1.13</v>
      </c>
      <c r="O1576" s="12">
        <v>46082.0</v>
      </c>
      <c r="P1576" s="16"/>
    </row>
    <row r="1577">
      <c r="A1577" s="9">
        <v>2.509000369E9</v>
      </c>
      <c r="B1577" s="10" t="s">
        <v>24</v>
      </c>
      <c r="C1577" s="9">
        <v>96.0</v>
      </c>
      <c r="D1577" s="10" t="s">
        <v>212</v>
      </c>
      <c r="E1577" s="9">
        <v>5.0</v>
      </c>
      <c r="F1577" s="9">
        <v>12.0</v>
      </c>
      <c r="G1577" s="9">
        <v>60.0</v>
      </c>
      <c r="H1577" s="9">
        <v>0.0</v>
      </c>
      <c r="I1577" s="9">
        <v>0.0</v>
      </c>
      <c r="J1577" s="9">
        <v>12.0</v>
      </c>
      <c r="K1577" s="9">
        <v>60.0</v>
      </c>
      <c r="L1577" s="9">
        <v>2.93</v>
      </c>
      <c r="M1577" s="9">
        <v>35.16</v>
      </c>
      <c r="N1577" s="9">
        <v>24.84</v>
      </c>
      <c r="O1577" s="12">
        <v>46082.0</v>
      </c>
      <c r="P1577" s="16"/>
    </row>
    <row r="1578">
      <c r="A1578" s="9">
        <v>2.509000369E9</v>
      </c>
      <c r="B1578" s="10" t="s">
        <v>24</v>
      </c>
      <c r="C1578" s="9">
        <v>96.0</v>
      </c>
      <c r="D1578" s="10" t="s">
        <v>212</v>
      </c>
      <c r="E1578" s="9">
        <v>5.0</v>
      </c>
      <c r="F1578" s="9">
        <v>3.0</v>
      </c>
      <c r="G1578" s="9">
        <v>15.0</v>
      </c>
      <c r="H1578" s="9">
        <v>0.0</v>
      </c>
      <c r="I1578" s="9">
        <v>0.0</v>
      </c>
      <c r="J1578" s="9">
        <v>3.0</v>
      </c>
      <c r="K1578" s="9">
        <v>15.0</v>
      </c>
      <c r="L1578" s="9">
        <v>2.93</v>
      </c>
      <c r="M1578" s="9">
        <v>8.79</v>
      </c>
      <c r="N1578" s="9">
        <v>6.21</v>
      </c>
      <c r="O1578" s="12">
        <v>46082.0</v>
      </c>
      <c r="P1578" s="16"/>
    </row>
    <row r="1579">
      <c r="A1579" s="9">
        <v>2.509000369E9</v>
      </c>
      <c r="B1579" s="10" t="s">
        <v>24</v>
      </c>
      <c r="C1579" s="9">
        <v>97.0</v>
      </c>
      <c r="D1579" s="10" t="s">
        <v>115</v>
      </c>
      <c r="E1579" s="9">
        <v>5.0</v>
      </c>
      <c r="F1579" s="9">
        <v>39.0</v>
      </c>
      <c r="G1579" s="9">
        <v>195.0</v>
      </c>
      <c r="H1579" s="9">
        <v>0.0</v>
      </c>
      <c r="I1579" s="9">
        <v>0.0</v>
      </c>
      <c r="J1579" s="9">
        <v>39.0</v>
      </c>
      <c r="K1579" s="9">
        <v>195.0</v>
      </c>
      <c r="L1579" s="9">
        <v>2.93</v>
      </c>
      <c r="M1579" s="9">
        <v>114.27</v>
      </c>
      <c r="N1579" s="9">
        <v>80.73</v>
      </c>
      <c r="O1579" s="12">
        <v>46082.0</v>
      </c>
      <c r="P1579" s="16"/>
    </row>
    <row r="1580">
      <c r="A1580" s="9">
        <v>2.509000369E9</v>
      </c>
      <c r="B1580" s="10" t="s">
        <v>24</v>
      </c>
      <c r="C1580" s="9">
        <v>98.0</v>
      </c>
      <c r="D1580" s="10" t="s">
        <v>118</v>
      </c>
      <c r="E1580" s="9">
        <v>5.0</v>
      </c>
      <c r="F1580" s="9">
        <v>14.0</v>
      </c>
      <c r="G1580" s="9">
        <v>70.0</v>
      </c>
      <c r="H1580" s="9">
        <v>0.0</v>
      </c>
      <c r="I1580" s="9">
        <v>0.0</v>
      </c>
      <c r="J1580" s="9">
        <v>14.0</v>
      </c>
      <c r="K1580" s="9">
        <v>70.0</v>
      </c>
      <c r="L1580" s="9">
        <v>3.17</v>
      </c>
      <c r="M1580" s="9">
        <v>44.38</v>
      </c>
      <c r="N1580" s="9">
        <v>25.62</v>
      </c>
      <c r="O1580" s="12">
        <v>46082.0</v>
      </c>
      <c r="P1580" s="16"/>
    </row>
    <row r="1581">
      <c r="A1581" s="9">
        <v>2.509000369E9</v>
      </c>
      <c r="B1581" s="10" t="s">
        <v>24</v>
      </c>
      <c r="C1581" s="9">
        <v>99.0</v>
      </c>
      <c r="D1581" s="10" t="s">
        <v>213</v>
      </c>
      <c r="E1581" s="9">
        <v>3.0</v>
      </c>
      <c r="F1581" s="9">
        <v>49.0</v>
      </c>
      <c r="G1581" s="9">
        <v>147.0</v>
      </c>
      <c r="H1581" s="9">
        <v>0.0</v>
      </c>
      <c r="I1581" s="9">
        <v>0.0</v>
      </c>
      <c r="J1581" s="9">
        <v>49.0</v>
      </c>
      <c r="K1581" s="9">
        <v>147.0</v>
      </c>
      <c r="L1581" s="9">
        <v>2.25</v>
      </c>
      <c r="M1581" s="9">
        <v>110.25</v>
      </c>
      <c r="N1581" s="9">
        <v>36.75</v>
      </c>
      <c r="O1581" s="12">
        <v>46082.0</v>
      </c>
      <c r="P1581" s="16"/>
    </row>
    <row r="1582">
      <c r="A1582" s="9">
        <v>2.509000369E9</v>
      </c>
      <c r="B1582" s="10" t="s">
        <v>24</v>
      </c>
      <c r="C1582" s="9">
        <v>106.0</v>
      </c>
      <c r="D1582" s="10" t="s">
        <v>214</v>
      </c>
      <c r="E1582" s="9">
        <v>7.0</v>
      </c>
      <c r="F1582" s="9">
        <v>5.0</v>
      </c>
      <c r="G1582" s="9">
        <v>20.0</v>
      </c>
      <c r="H1582" s="9">
        <v>0.0</v>
      </c>
      <c r="I1582" s="9">
        <v>0.0</v>
      </c>
      <c r="J1582" s="9">
        <v>5.0</v>
      </c>
      <c r="K1582" s="9">
        <v>20.0</v>
      </c>
      <c r="L1582" s="9">
        <v>4.79</v>
      </c>
      <c r="M1582" s="9">
        <v>23.95</v>
      </c>
      <c r="N1582" s="9">
        <v>-3.95</v>
      </c>
      <c r="O1582" s="12">
        <v>46082.0</v>
      </c>
      <c r="P1582" s="16"/>
    </row>
    <row r="1583">
      <c r="A1583" s="9">
        <v>2.509000369E9</v>
      </c>
      <c r="B1583" s="10" t="s">
        <v>24</v>
      </c>
      <c r="C1583" s="9">
        <v>108.0</v>
      </c>
      <c r="D1583" s="10" t="s">
        <v>235</v>
      </c>
      <c r="E1583" s="9">
        <v>2.0</v>
      </c>
      <c r="F1583" s="9">
        <v>5.0</v>
      </c>
      <c r="G1583" s="9">
        <v>12.5</v>
      </c>
      <c r="H1583" s="9">
        <v>0.0</v>
      </c>
      <c r="I1583" s="9">
        <v>0.0</v>
      </c>
      <c r="J1583" s="9">
        <v>5.0</v>
      </c>
      <c r="K1583" s="9">
        <v>12.5</v>
      </c>
      <c r="L1583" s="9">
        <v>1.41</v>
      </c>
      <c r="M1583" s="9">
        <v>7.05</v>
      </c>
      <c r="N1583" s="9">
        <v>5.45</v>
      </c>
      <c r="O1583" s="12">
        <v>46082.0</v>
      </c>
      <c r="P1583" s="16"/>
    </row>
    <row r="1584">
      <c r="A1584" s="9">
        <v>2.509000369E9</v>
      </c>
      <c r="B1584" s="10" t="s">
        <v>24</v>
      </c>
      <c r="C1584" s="9">
        <v>111.0</v>
      </c>
      <c r="D1584" s="10" t="s">
        <v>215</v>
      </c>
      <c r="E1584" s="9">
        <v>1.0</v>
      </c>
      <c r="F1584" s="9">
        <v>117.0</v>
      </c>
      <c r="G1584" s="9">
        <v>117.0</v>
      </c>
      <c r="H1584" s="9">
        <v>0.0</v>
      </c>
      <c r="I1584" s="9">
        <v>0.0</v>
      </c>
      <c r="J1584" s="9">
        <v>117.0</v>
      </c>
      <c r="K1584" s="9">
        <v>117.0</v>
      </c>
      <c r="L1584" s="9">
        <v>0.68</v>
      </c>
      <c r="M1584" s="9">
        <v>79.56</v>
      </c>
      <c r="N1584" s="9">
        <v>37.44</v>
      </c>
      <c r="O1584" s="12">
        <v>46082.0</v>
      </c>
      <c r="P1584" s="16"/>
    </row>
    <row r="1585">
      <c r="A1585" s="9">
        <v>2.509000369E9</v>
      </c>
      <c r="B1585" s="10" t="s">
        <v>24</v>
      </c>
      <c r="C1585" s="9">
        <v>114.0</v>
      </c>
      <c r="D1585" s="10" t="s">
        <v>218</v>
      </c>
      <c r="E1585" s="9">
        <v>5.0</v>
      </c>
      <c r="F1585" s="9">
        <v>13.0</v>
      </c>
      <c r="G1585" s="9">
        <v>65.0</v>
      </c>
      <c r="H1585" s="9">
        <v>0.0</v>
      </c>
      <c r="I1585" s="9">
        <v>0.0</v>
      </c>
      <c r="J1585" s="9">
        <v>13.0</v>
      </c>
      <c r="K1585" s="9">
        <v>65.0</v>
      </c>
      <c r="L1585" s="9">
        <v>2.25</v>
      </c>
      <c r="M1585" s="9">
        <v>29.25</v>
      </c>
      <c r="N1585" s="9">
        <v>35.75</v>
      </c>
      <c r="O1585" s="12">
        <v>46082.0</v>
      </c>
      <c r="P1585" s="16"/>
    </row>
    <row r="1586">
      <c r="A1586" s="9">
        <v>2.509000369E9</v>
      </c>
      <c r="B1586" s="10" t="s">
        <v>24</v>
      </c>
      <c r="C1586" s="9">
        <v>115.0</v>
      </c>
      <c r="D1586" s="10" t="s">
        <v>240</v>
      </c>
      <c r="E1586" s="9">
        <v>6.5</v>
      </c>
      <c r="F1586" s="9">
        <v>6.0</v>
      </c>
      <c r="G1586" s="9">
        <v>36.0</v>
      </c>
      <c r="H1586" s="9">
        <v>0.0</v>
      </c>
      <c r="I1586" s="9">
        <v>0.0</v>
      </c>
      <c r="J1586" s="9">
        <v>6.0</v>
      </c>
      <c r="K1586" s="9">
        <v>36.0</v>
      </c>
      <c r="L1586" s="9">
        <v>4.5</v>
      </c>
      <c r="M1586" s="9">
        <v>27.0</v>
      </c>
      <c r="N1586" s="9">
        <v>9.0</v>
      </c>
      <c r="O1586" s="12">
        <v>46082.0</v>
      </c>
      <c r="P1586" s="16"/>
    </row>
    <row r="1587">
      <c r="A1587" s="9">
        <v>2.509000369E9</v>
      </c>
      <c r="B1587" s="10" t="s">
        <v>24</v>
      </c>
      <c r="C1587" s="9">
        <v>122.0</v>
      </c>
      <c r="D1587" s="10" t="s">
        <v>219</v>
      </c>
      <c r="E1587" s="9">
        <v>5.0</v>
      </c>
      <c r="F1587" s="9">
        <v>9.0</v>
      </c>
      <c r="G1587" s="9">
        <v>45.0</v>
      </c>
      <c r="H1587" s="9">
        <v>0.0</v>
      </c>
      <c r="I1587" s="9">
        <v>0.0</v>
      </c>
      <c r="J1587" s="9">
        <v>9.0</v>
      </c>
      <c r="K1587" s="9">
        <v>45.0</v>
      </c>
      <c r="L1587" s="9">
        <v>3.6</v>
      </c>
      <c r="M1587" s="9">
        <v>32.4</v>
      </c>
      <c r="N1587" s="9">
        <v>12.6</v>
      </c>
      <c r="O1587" s="12">
        <v>46082.0</v>
      </c>
      <c r="P1587" s="16"/>
    </row>
    <row r="1588">
      <c r="A1588" s="9">
        <v>2.509000369E9</v>
      </c>
      <c r="B1588" s="10" t="s">
        <v>24</v>
      </c>
      <c r="C1588" s="9">
        <v>130.0</v>
      </c>
      <c r="D1588" s="10" t="s">
        <v>243</v>
      </c>
      <c r="E1588" s="9">
        <v>3.0</v>
      </c>
      <c r="F1588" s="9">
        <v>17.0</v>
      </c>
      <c r="G1588" s="9">
        <v>51.0</v>
      </c>
      <c r="H1588" s="9">
        <v>0.0</v>
      </c>
      <c r="I1588" s="9">
        <v>0.0</v>
      </c>
      <c r="J1588" s="9">
        <v>17.0</v>
      </c>
      <c r="K1588" s="9">
        <v>51.0</v>
      </c>
      <c r="L1588" s="9">
        <v>1.75</v>
      </c>
      <c r="M1588" s="9">
        <v>29.75</v>
      </c>
      <c r="N1588" s="9">
        <v>21.25</v>
      </c>
      <c r="O1588" s="12">
        <v>46082.0</v>
      </c>
      <c r="P1588" s="16"/>
    </row>
    <row r="1589">
      <c r="A1589" s="9">
        <v>2.509000369E9</v>
      </c>
      <c r="B1589" s="10" t="s">
        <v>24</v>
      </c>
      <c r="C1589" s="9">
        <v>131.0</v>
      </c>
      <c r="D1589" s="10" t="s">
        <v>246</v>
      </c>
      <c r="E1589" s="9">
        <v>8.0</v>
      </c>
      <c r="F1589" s="9">
        <v>3.0</v>
      </c>
      <c r="G1589" s="9">
        <v>21.0</v>
      </c>
      <c r="H1589" s="9">
        <v>0.0</v>
      </c>
      <c r="I1589" s="9">
        <v>0.0</v>
      </c>
      <c r="J1589" s="9">
        <v>3.0</v>
      </c>
      <c r="K1589" s="9">
        <v>21.0</v>
      </c>
      <c r="L1589" s="9">
        <v>4.5</v>
      </c>
      <c r="M1589" s="9">
        <v>13.5</v>
      </c>
      <c r="N1589" s="9">
        <v>7.5</v>
      </c>
      <c r="O1589" s="12">
        <v>46082.0</v>
      </c>
      <c r="P1589" s="16"/>
    </row>
    <row r="1590">
      <c r="A1590" s="9">
        <v>2.509000369E9</v>
      </c>
      <c r="B1590" s="10" t="s">
        <v>24</v>
      </c>
      <c r="C1590" s="9">
        <v>137.0</v>
      </c>
      <c r="D1590" s="10" t="s">
        <v>253</v>
      </c>
      <c r="E1590" s="9">
        <v>5.0</v>
      </c>
      <c r="F1590" s="9">
        <v>14.0</v>
      </c>
      <c r="G1590" s="9">
        <v>70.0</v>
      </c>
      <c r="H1590" s="9">
        <v>0.0</v>
      </c>
      <c r="I1590" s="9">
        <v>0.0</v>
      </c>
      <c r="J1590" s="9">
        <v>14.0</v>
      </c>
      <c r="K1590" s="9">
        <v>70.0</v>
      </c>
      <c r="L1590" s="9">
        <v>2.93</v>
      </c>
      <c r="M1590" s="9">
        <v>41.02</v>
      </c>
      <c r="N1590" s="9">
        <v>28.98</v>
      </c>
      <c r="O1590" s="12">
        <v>46082.0</v>
      </c>
      <c r="P1590" s="16"/>
    </row>
    <row r="1591">
      <c r="A1591" s="9">
        <v>2.509000369E9</v>
      </c>
      <c r="B1591" s="10" t="s">
        <v>24</v>
      </c>
      <c r="C1591" s="9">
        <v>137.0</v>
      </c>
      <c r="D1591" s="2" t="s">
        <v>129</v>
      </c>
      <c r="E1591" s="9">
        <v>5.0</v>
      </c>
      <c r="F1591" s="9">
        <v>3.0</v>
      </c>
      <c r="G1591" s="9">
        <v>15.0</v>
      </c>
      <c r="H1591" s="9">
        <v>0.0</v>
      </c>
      <c r="I1591" s="9">
        <v>0.0</v>
      </c>
      <c r="J1591" s="9">
        <v>3.0</v>
      </c>
      <c r="K1591" s="9">
        <v>15.0</v>
      </c>
      <c r="L1591" s="9">
        <v>2.93</v>
      </c>
      <c r="M1591" s="9">
        <v>8.79</v>
      </c>
      <c r="N1591" s="9">
        <v>6.21</v>
      </c>
      <c r="O1591" s="12">
        <v>46082.0</v>
      </c>
      <c r="P1591" s="16"/>
    </row>
    <row r="1592">
      <c r="A1592" s="9">
        <v>2.509000369E9</v>
      </c>
      <c r="B1592" s="10" t="s">
        <v>24</v>
      </c>
      <c r="C1592" s="9">
        <v>138.0</v>
      </c>
      <c r="D1592" s="10" t="s">
        <v>254</v>
      </c>
      <c r="E1592" s="9">
        <v>2.0</v>
      </c>
      <c r="F1592" s="9">
        <v>30.0</v>
      </c>
      <c r="G1592" s="9">
        <v>60.0</v>
      </c>
      <c r="H1592" s="9">
        <v>0.0</v>
      </c>
      <c r="I1592" s="9">
        <v>0.0</v>
      </c>
      <c r="J1592" s="9">
        <v>30.0</v>
      </c>
      <c r="K1592" s="9">
        <v>60.0</v>
      </c>
      <c r="L1592" s="9">
        <v>1.08</v>
      </c>
      <c r="M1592" s="9">
        <v>32.4</v>
      </c>
      <c r="N1592" s="9">
        <v>27.6</v>
      </c>
      <c r="O1592" s="12">
        <v>46082.0</v>
      </c>
      <c r="P1592" s="16"/>
    </row>
    <row r="1593">
      <c r="A1593" s="9">
        <v>2.509000369E9</v>
      </c>
      <c r="B1593" s="10" t="s">
        <v>24</v>
      </c>
      <c r="C1593" s="9">
        <v>139.0</v>
      </c>
      <c r="D1593" s="10" t="s">
        <v>255</v>
      </c>
      <c r="E1593" s="9">
        <v>2.0</v>
      </c>
      <c r="F1593" s="9">
        <v>48.0</v>
      </c>
      <c r="G1593" s="9">
        <v>96.0</v>
      </c>
      <c r="H1593" s="9">
        <v>0.0</v>
      </c>
      <c r="I1593" s="9">
        <v>0.0</v>
      </c>
      <c r="J1593" s="9">
        <v>48.0</v>
      </c>
      <c r="K1593" s="9">
        <v>96.0</v>
      </c>
      <c r="L1593" s="9">
        <v>1.08</v>
      </c>
      <c r="M1593" s="9">
        <v>51.84</v>
      </c>
      <c r="N1593" s="9">
        <v>44.16</v>
      </c>
      <c r="O1593" s="12">
        <v>46082.0</v>
      </c>
      <c r="P1593" s="16"/>
    </row>
    <row r="1594">
      <c r="A1594" s="9">
        <v>2.509000369E9</v>
      </c>
      <c r="B1594" s="10" t="s">
        <v>24</v>
      </c>
      <c r="C1594" s="9">
        <v>140.0</v>
      </c>
      <c r="D1594" s="10" t="s">
        <v>258</v>
      </c>
      <c r="E1594" s="9">
        <v>2.0</v>
      </c>
      <c r="F1594" s="9">
        <v>14.0</v>
      </c>
      <c r="G1594" s="9">
        <v>28.0</v>
      </c>
      <c r="H1594" s="9">
        <v>0.0</v>
      </c>
      <c r="I1594" s="9">
        <v>0.0</v>
      </c>
      <c r="J1594" s="9">
        <v>14.0</v>
      </c>
      <c r="K1594" s="9">
        <v>28.0</v>
      </c>
      <c r="L1594" s="9">
        <v>1.08</v>
      </c>
      <c r="M1594" s="9">
        <v>15.12</v>
      </c>
      <c r="N1594" s="9">
        <v>12.88</v>
      </c>
      <c r="O1594" s="12">
        <v>46082.0</v>
      </c>
      <c r="P1594" s="16"/>
    </row>
    <row r="1595">
      <c r="A1595" s="9">
        <v>2.509000369E9</v>
      </c>
      <c r="B1595" s="10" t="s">
        <v>24</v>
      </c>
      <c r="C1595" s="9">
        <v>142.0</v>
      </c>
      <c r="D1595" s="10" t="s">
        <v>256</v>
      </c>
      <c r="E1595" s="9">
        <v>5.0</v>
      </c>
      <c r="F1595" s="9">
        <v>3.0</v>
      </c>
      <c r="G1595" s="9">
        <v>15.0</v>
      </c>
      <c r="H1595" s="9">
        <v>0.0</v>
      </c>
      <c r="I1595" s="9">
        <v>0.0</v>
      </c>
      <c r="J1595" s="9">
        <v>3.0</v>
      </c>
      <c r="K1595" s="9">
        <v>15.0</v>
      </c>
      <c r="L1595" s="9">
        <v>3.66</v>
      </c>
      <c r="M1595" s="9">
        <v>10.98</v>
      </c>
      <c r="N1595" s="9">
        <v>4.02</v>
      </c>
      <c r="O1595" s="12">
        <v>46082.0</v>
      </c>
      <c r="P1595" s="16"/>
    </row>
    <row r="1596">
      <c r="A1596" s="9">
        <v>2.509000369E9</v>
      </c>
      <c r="B1596" s="10" t="s">
        <v>24</v>
      </c>
      <c r="C1596" s="9">
        <v>145.0</v>
      </c>
      <c r="D1596" s="10" t="s">
        <v>257</v>
      </c>
      <c r="E1596" s="9">
        <v>2.0</v>
      </c>
      <c r="F1596" s="9">
        <v>13.0</v>
      </c>
      <c r="G1596" s="9">
        <v>26.0</v>
      </c>
      <c r="H1596" s="9">
        <v>0.0</v>
      </c>
      <c r="I1596" s="9">
        <v>0.0</v>
      </c>
      <c r="J1596" s="9">
        <v>13.0</v>
      </c>
      <c r="K1596" s="9">
        <v>26.0</v>
      </c>
      <c r="L1596" s="9">
        <v>1.12</v>
      </c>
      <c r="M1596" s="9">
        <v>14.56</v>
      </c>
      <c r="N1596" s="9">
        <v>11.44</v>
      </c>
      <c r="O1596" s="12">
        <v>46082.0</v>
      </c>
      <c r="P1596" s="16"/>
    </row>
    <row r="1597">
      <c r="A1597" s="9">
        <v>2.50900037E9</v>
      </c>
      <c r="B1597" s="10" t="s">
        <v>17</v>
      </c>
      <c r="C1597" s="9">
        <v>1.0</v>
      </c>
      <c r="D1597" s="10" t="s">
        <v>129</v>
      </c>
      <c r="E1597" s="9">
        <v>5.0</v>
      </c>
      <c r="F1597" s="9">
        <v>13.0</v>
      </c>
      <c r="G1597" s="9">
        <v>66.0</v>
      </c>
      <c r="H1597" s="9">
        <v>0.0</v>
      </c>
      <c r="I1597" s="9">
        <v>0.0</v>
      </c>
      <c r="J1597" s="9">
        <v>13.0</v>
      </c>
      <c r="K1597" s="9">
        <v>66.0</v>
      </c>
      <c r="L1597" s="9">
        <v>2.93</v>
      </c>
      <c r="M1597" s="9">
        <v>38.09</v>
      </c>
      <c r="N1597" s="9">
        <v>27.91</v>
      </c>
      <c r="O1597" s="12">
        <v>46082.0</v>
      </c>
      <c r="P1597" s="16"/>
    </row>
    <row r="1598">
      <c r="A1598" s="9">
        <v>2.50900037E9</v>
      </c>
      <c r="B1598" s="10" t="s">
        <v>17</v>
      </c>
      <c r="C1598" s="9">
        <v>2.0</v>
      </c>
      <c r="D1598" s="10" t="s">
        <v>74</v>
      </c>
      <c r="E1598" s="9">
        <v>1.0</v>
      </c>
      <c r="F1598" s="9">
        <v>53.0</v>
      </c>
      <c r="G1598" s="9">
        <v>53.0</v>
      </c>
      <c r="H1598" s="9">
        <v>0.0</v>
      </c>
      <c r="I1598" s="9">
        <v>0.0</v>
      </c>
      <c r="J1598" s="9">
        <v>53.0</v>
      </c>
      <c r="K1598" s="9">
        <v>53.0</v>
      </c>
      <c r="L1598" s="9">
        <v>0.28</v>
      </c>
      <c r="M1598" s="9">
        <v>14.84</v>
      </c>
      <c r="N1598" s="9">
        <v>38.16</v>
      </c>
      <c r="O1598" s="12">
        <v>46082.0</v>
      </c>
      <c r="P1598" s="16"/>
    </row>
    <row r="1599">
      <c r="A1599" s="9">
        <v>2.50900037E9</v>
      </c>
      <c r="B1599" s="10" t="s">
        <v>17</v>
      </c>
      <c r="C1599" s="9">
        <v>3.0</v>
      </c>
      <c r="D1599" s="10" t="s">
        <v>125</v>
      </c>
      <c r="E1599" s="9">
        <v>8.0</v>
      </c>
      <c r="F1599" s="9">
        <v>3.0</v>
      </c>
      <c r="G1599" s="9">
        <v>25.5</v>
      </c>
      <c r="H1599" s="9">
        <v>0.0</v>
      </c>
      <c r="I1599" s="9">
        <v>0.0</v>
      </c>
      <c r="J1599" s="9">
        <v>3.0</v>
      </c>
      <c r="K1599" s="9">
        <v>25.5</v>
      </c>
      <c r="L1599" s="9">
        <v>7.5</v>
      </c>
      <c r="M1599" s="9">
        <v>22.5</v>
      </c>
      <c r="N1599" s="9">
        <v>3.0</v>
      </c>
      <c r="O1599" s="12">
        <v>46082.0</v>
      </c>
      <c r="P1599" s="16"/>
    </row>
    <row r="1600">
      <c r="A1600" s="9">
        <v>2.50900037E9</v>
      </c>
      <c r="B1600" s="10" t="s">
        <v>17</v>
      </c>
      <c r="C1600" s="9">
        <v>10.0</v>
      </c>
      <c r="D1600" s="10" t="s">
        <v>135</v>
      </c>
      <c r="E1600" s="9">
        <v>8.0</v>
      </c>
      <c r="F1600" s="9">
        <v>1.0</v>
      </c>
      <c r="G1600" s="9">
        <v>8.0</v>
      </c>
      <c r="H1600" s="9">
        <v>0.0</v>
      </c>
      <c r="I1600" s="9">
        <v>0.0</v>
      </c>
      <c r="J1600" s="9">
        <v>1.0</v>
      </c>
      <c r="K1600" s="9">
        <v>8.0</v>
      </c>
      <c r="L1600" s="9">
        <v>5.83</v>
      </c>
      <c r="M1600" s="9">
        <v>5.83</v>
      </c>
      <c r="N1600" s="9">
        <v>2.17</v>
      </c>
      <c r="O1600" s="12">
        <v>46082.0</v>
      </c>
      <c r="P1600" s="16"/>
    </row>
    <row r="1601">
      <c r="A1601" s="9">
        <v>2.50900037E9</v>
      </c>
      <c r="B1601" s="10" t="s">
        <v>17</v>
      </c>
      <c r="C1601" s="9">
        <v>11.0</v>
      </c>
      <c r="D1601" s="10" t="s">
        <v>86</v>
      </c>
      <c r="E1601" s="9">
        <v>5.0</v>
      </c>
      <c r="F1601" s="9">
        <v>21.0</v>
      </c>
      <c r="G1601" s="9">
        <v>105.0</v>
      </c>
      <c r="H1601" s="9">
        <v>0.0</v>
      </c>
      <c r="I1601" s="9">
        <v>0.0</v>
      </c>
      <c r="J1601" s="9">
        <v>21.0</v>
      </c>
      <c r="K1601" s="9">
        <v>105.0</v>
      </c>
      <c r="L1601" s="9">
        <v>4.29</v>
      </c>
      <c r="M1601" s="9">
        <v>90.09</v>
      </c>
      <c r="N1601" s="9">
        <v>14.91</v>
      </c>
      <c r="O1601" s="12">
        <v>46082.0</v>
      </c>
      <c r="P1601" s="16"/>
    </row>
    <row r="1602">
      <c r="A1602" s="9">
        <v>2.50900037E9</v>
      </c>
      <c r="B1602" s="10" t="s">
        <v>17</v>
      </c>
      <c r="C1602" s="9">
        <v>14.0</v>
      </c>
      <c r="D1602" s="10" t="s">
        <v>138</v>
      </c>
      <c r="E1602" s="9">
        <v>8.0</v>
      </c>
      <c r="F1602" s="9">
        <v>5.0</v>
      </c>
      <c r="G1602" s="9">
        <v>42.5</v>
      </c>
      <c r="H1602" s="9">
        <v>0.0</v>
      </c>
      <c r="I1602" s="9">
        <v>0.0</v>
      </c>
      <c r="J1602" s="9">
        <v>5.0</v>
      </c>
      <c r="K1602" s="9">
        <v>42.5</v>
      </c>
      <c r="L1602" s="9">
        <v>7.0</v>
      </c>
      <c r="M1602" s="9">
        <v>35.0</v>
      </c>
      <c r="N1602" s="9">
        <v>7.5</v>
      </c>
      <c r="O1602" s="12">
        <v>46082.0</v>
      </c>
      <c r="P1602" s="16"/>
    </row>
    <row r="1603">
      <c r="A1603" s="9">
        <v>2.50900037E9</v>
      </c>
      <c r="B1603" s="10" t="s">
        <v>17</v>
      </c>
      <c r="C1603" s="9">
        <v>18.0</v>
      </c>
      <c r="D1603" s="10" t="s">
        <v>53</v>
      </c>
      <c r="E1603" s="9">
        <v>25.0</v>
      </c>
      <c r="F1603" s="9">
        <v>1.0</v>
      </c>
      <c r="G1603" s="9">
        <v>35.0</v>
      </c>
      <c r="H1603" s="9">
        <v>0.0</v>
      </c>
      <c r="I1603" s="9">
        <v>0.0</v>
      </c>
      <c r="J1603" s="9">
        <v>1.0</v>
      </c>
      <c r="K1603" s="9">
        <v>35.0</v>
      </c>
      <c r="L1603" s="9">
        <v>15.0</v>
      </c>
      <c r="M1603" s="9">
        <v>15.0</v>
      </c>
      <c r="N1603" s="9">
        <v>20.0</v>
      </c>
      <c r="O1603" s="12">
        <v>46082.0</v>
      </c>
      <c r="P1603" s="16"/>
    </row>
    <row r="1604">
      <c r="A1604" s="9">
        <v>2.50900037E9</v>
      </c>
      <c r="B1604" s="10" t="s">
        <v>17</v>
      </c>
      <c r="C1604" s="9">
        <v>19.0</v>
      </c>
      <c r="D1604" s="10" t="s">
        <v>72</v>
      </c>
      <c r="E1604" s="9">
        <v>3.0</v>
      </c>
      <c r="F1604" s="9">
        <v>1.0</v>
      </c>
      <c r="G1604" s="9">
        <v>3.0</v>
      </c>
      <c r="H1604" s="9">
        <v>0.0</v>
      </c>
      <c r="I1604" s="9">
        <v>0.0</v>
      </c>
      <c r="J1604" s="9">
        <v>1.0</v>
      </c>
      <c r="K1604" s="9">
        <v>3.0</v>
      </c>
      <c r="L1604" s="9">
        <v>1.79</v>
      </c>
      <c r="M1604" s="9">
        <v>1.79</v>
      </c>
      <c r="N1604" s="9">
        <v>1.21</v>
      </c>
      <c r="O1604" s="12">
        <v>46082.0</v>
      </c>
      <c r="P1604" s="16"/>
    </row>
    <row r="1605">
      <c r="A1605" s="9">
        <v>2.50900037E9</v>
      </c>
      <c r="B1605" s="10" t="s">
        <v>17</v>
      </c>
      <c r="C1605" s="9">
        <v>21.0</v>
      </c>
      <c r="D1605" s="10" t="s">
        <v>79</v>
      </c>
      <c r="E1605" s="9">
        <v>3.0</v>
      </c>
      <c r="F1605" s="9">
        <v>7.0</v>
      </c>
      <c r="G1605" s="9">
        <v>28.0</v>
      </c>
      <c r="H1605" s="9">
        <v>0.0</v>
      </c>
      <c r="I1605" s="9">
        <v>0.0</v>
      </c>
      <c r="J1605" s="9">
        <v>7.0</v>
      </c>
      <c r="K1605" s="9">
        <v>28.0</v>
      </c>
      <c r="L1605" s="9">
        <v>2.25</v>
      </c>
      <c r="M1605" s="9">
        <v>15.75</v>
      </c>
      <c r="N1605" s="9">
        <v>12.25</v>
      </c>
      <c r="O1605" s="12">
        <v>46082.0</v>
      </c>
      <c r="P1605" s="16"/>
    </row>
    <row r="1606">
      <c r="A1606" s="9">
        <v>2.50900037E9</v>
      </c>
      <c r="B1606" s="10" t="s">
        <v>17</v>
      </c>
      <c r="C1606" s="9">
        <v>23.0</v>
      </c>
      <c r="D1606" s="10" t="s">
        <v>143</v>
      </c>
      <c r="E1606" s="9">
        <v>5.0</v>
      </c>
      <c r="F1606" s="9">
        <v>2.0</v>
      </c>
      <c r="G1606" s="9">
        <v>11.0</v>
      </c>
      <c r="H1606" s="9">
        <v>0.0</v>
      </c>
      <c r="I1606" s="9">
        <v>0.0</v>
      </c>
      <c r="J1606" s="9">
        <v>2.0</v>
      </c>
      <c r="K1606" s="9">
        <v>11.0</v>
      </c>
      <c r="L1606" s="9">
        <v>3.41</v>
      </c>
      <c r="M1606" s="9">
        <v>6.82</v>
      </c>
      <c r="N1606" s="9">
        <v>4.18</v>
      </c>
      <c r="O1606" s="12">
        <v>46082.0</v>
      </c>
      <c r="P1606" s="16"/>
    </row>
    <row r="1607">
      <c r="A1607" s="9">
        <v>2.50900037E9</v>
      </c>
      <c r="B1607" s="10" t="s">
        <v>17</v>
      </c>
      <c r="C1607" s="9">
        <v>24.0</v>
      </c>
      <c r="D1607" s="10" t="s">
        <v>158</v>
      </c>
      <c r="E1607" s="9">
        <v>3.0</v>
      </c>
      <c r="F1607" s="9">
        <v>6.0</v>
      </c>
      <c r="G1607" s="9">
        <v>30.0</v>
      </c>
      <c r="H1607" s="9">
        <v>0.0</v>
      </c>
      <c r="I1607" s="9">
        <v>0.0</v>
      </c>
      <c r="J1607" s="9">
        <v>6.0</v>
      </c>
      <c r="K1607" s="9">
        <v>30.0</v>
      </c>
      <c r="L1607" s="9">
        <v>2.4</v>
      </c>
      <c r="M1607" s="9">
        <v>14.4</v>
      </c>
      <c r="N1607" s="9">
        <v>15.6</v>
      </c>
      <c r="O1607" s="12">
        <v>46082.0</v>
      </c>
      <c r="P1607" s="16"/>
    </row>
    <row r="1608">
      <c r="A1608" s="9">
        <v>2.50900037E9</v>
      </c>
      <c r="B1608" s="10" t="s">
        <v>17</v>
      </c>
      <c r="C1608" s="9">
        <v>27.0</v>
      </c>
      <c r="D1608" s="10" t="s">
        <v>73</v>
      </c>
      <c r="E1608" s="9">
        <v>6.0</v>
      </c>
      <c r="F1608" s="9">
        <v>3.0</v>
      </c>
      <c r="G1608" s="9">
        <v>18.5</v>
      </c>
      <c r="H1608" s="9">
        <v>0.0</v>
      </c>
      <c r="I1608" s="9">
        <v>0.0</v>
      </c>
      <c r="J1608" s="9">
        <v>3.0</v>
      </c>
      <c r="K1608" s="9">
        <v>18.5</v>
      </c>
      <c r="L1608" s="9">
        <v>5.5</v>
      </c>
      <c r="M1608" s="9">
        <v>16.5</v>
      </c>
      <c r="N1608" s="9">
        <v>2.0</v>
      </c>
      <c r="O1608" s="12">
        <v>46082.0</v>
      </c>
      <c r="P1608" s="16"/>
    </row>
    <row r="1609">
      <c r="A1609" s="9">
        <v>2.50900037E9</v>
      </c>
      <c r="B1609" s="10" t="s">
        <v>17</v>
      </c>
      <c r="C1609" s="9">
        <v>29.0</v>
      </c>
      <c r="D1609" s="10" t="s">
        <v>147</v>
      </c>
      <c r="E1609" s="9">
        <v>3.0</v>
      </c>
      <c r="F1609" s="9">
        <v>8.0</v>
      </c>
      <c r="G1609" s="9">
        <v>24.0</v>
      </c>
      <c r="H1609" s="9">
        <v>0.0</v>
      </c>
      <c r="I1609" s="9">
        <v>0.0</v>
      </c>
      <c r="J1609" s="9">
        <v>8.0</v>
      </c>
      <c r="K1609" s="9">
        <v>24.0</v>
      </c>
      <c r="L1609" s="9">
        <v>2.25</v>
      </c>
      <c r="M1609" s="9">
        <v>18.0</v>
      </c>
      <c r="N1609" s="9">
        <v>6.0</v>
      </c>
      <c r="O1609" s="12">
        <v>46082.0</v>
      </c>
      <c r="P1609" s="16"/>
    </row>
    <row r="1610">
      <c r="A1610" s="9">
        <v>2.50900037E9</v>
      </c>
      <c r="B1610" s="10" t="s">
        <v>17</v>
      </c>
      <c r="C1610" s="9">
        <v>32.0</v>
      </c>
      <c r="D1610" s="10" t="s">
        <v>150</v>
      </c>
      <c r="E1610" s="9">
        <v>3.0</v>
      </c>
      <c r="F1610" s="9">
        <v>11.0</v>
      </c>
      <c r="G1610" s="9">
        <v>44.0</v>
      </c>
      <c r="H1610" s="9">
        <v>0.0</v>
      </c>
      <c r="I1610" s="9">
        <v>0.0</v>
      </c>
      <c r="J1610" s="9">
        <v>11.0</v>
      </c>
      <c r="K1610" s="9">
        <v>44.0</v>
      </c>
      <c r="L1610" s="9">
        <v>2.29</v>
      </c>
      <c r="M1610" s="9">
        <v>25.19</v>
      </c>
      <c r="N1610" s="9">
        <v>18.81</v>
      </c>
      <c r="O1610" s="12">
        <v>46082.0</v>
      </c>
      <c r="P1610" s="16"/>
    </row>
    <row r="1611">
      <c r="A1611" s="9">
        <v>2.50900037E9</v>
      </c>
      <c r="B1611" s="10" t="s">
        <v>17</v>
      </c>
      <c r="C1611" s="9">
        <v>33.0</v>
      </c>
      <c r="D1611" s="10" t="s">
        <v>151</v>
      </c>
      <c r="E1611" s="9">
        <v>4.0</v>
      </c>
      <c r="F1611" s="9">
        <v>5.0</v>
      </c>
      <c r="G1611" s="9">
        <v>20.0</v>
      </c>
      <c r="H1611" s="9">
        <v>0.0</v>
      </c>
      <c r="I1611" s="9">
        <v>0.0</v>
      </c>
      <c r="J1611" s="9">
        <v>5.0</v>
      </c>
      <c r="K1611" s="9">
        <v>20.0</v>
      </c>
      <c r="L1611" s="9">
        <v>3.13</v>
      </c>
      <c r="M1611" s="9">
        <v>15.65</v>
      </c>
      <c r="N1611" s="9">
        <v>4.35</v>
      </c>
      <c r="O1611" s="12">
        <v>46082.0</v>
      </c>
      <c r="P1611" s="16"/>
    </row>
    <row r="1612">
      <c r="A1612" s="9">
        <v>2.50900037E9</v>
      </c>
      <c r="B1612" s="10" t="s">
        <v>17</v>
      </c>
      <c r="C1612" s="9">
        <v>38.0</v>
      </c>
      <c r="D1612" s="10" t="s">
        <v>155</v>
      </c>
      <c r="E1612" s="9">
        <v>7.0</v>
      </c>
      <c r="F1612" s="9">
        <v>3.0</v>
      </c>
      <c r="G1612" s="9">
        <v>25.5</v>
      </c>
      <c r="H1612" s="9">
        <v>0.0</v>
      </c>
      <c r="I1612" s="9">
        <v>0.0</v>
      </c>
      <c r="J1612" s="9">
        <v>3.0</v>
      </c>
      <c r="K1612" s="9">
        <v>25.5</v>
      </c>
      <c r="L1612" s="9">
        <v>5.18</v>
      </c>
      <c r="M1612" s="9">
        <v>15.54</v>
      </c>
      <c r="N1612" s="9">
        <v>9.96</v>
      </c>
      <c r="O1612" s="12">
        <v>46082.0</v>
      </c>
      <c r="P1612" s="16"/>
    </row>
    <row r="1613">
      <c r="A1613" s="9">
        <v>2.50900037E9</v>
      </c>
      <c r="B1613" s="10" t="s">
        <v>17</v>
      </c>
      <c r="C1613" s="9">
        <v>49.0</v>
      </c>
      <c r="D1613" s="10" t="s">
        <v>165</v>
      </c>
      <c r="E1613" s="9">
        <v>3.0</v>
      </c>
      <c r="F1613" s="9">
        <v>3.0</v>
      </c>
      <c r="G1613" s="9">
        <v>10.0</v>
      </c>
      <c r="H1613" s="9">
        <v>0.0</v>
      </c>
      <c r="I1613" s="9">
        <v>0.0</v>
      </c>
      <c r="J1613" s="9">
        <v>3.0</v>
      </c>
      <c r="K1613" s="9">
        <v>10.0</v>
      </c>
      <c r="L1613" s="9">
        <v>2.04</v>
      </c>
      <c r="M1613" s="9">
        <v>6.12</v>
      </c>
      <c r="N1613" s="9">
        <v>3.88</v>
      </c>
      <c r="O1613" s="12">
        <v>46082.0</v>
      </c>
      <c r="P1613" s="16"/>
    </row>
    <row r="1614">
      <c r="A1614" s="9">
        <v>2.50900037E9</v>
      </c>
      <c r="B1614" s="10" t="s">
        <v>17</v>
      </c>
      <c r="C1614" s="9">
        <v>52.0</v>
      </c>
      <c r="D1614" s="10" t="s">
        <v>174</v>
      </c>
      <c r="E1614" s="9">
        <v>5.0</v>
      </c>
      <c r="F1614" s="9">
        <v>22.0</v>
      </c>
      <c r="G1614" s="9">
        <v>119.0</v>
      </c>
      <c r="H1614" s="9">
        <v>0.0</v>
      </c>
      <c r="I1614" s="9">
        <v>0.0</v>
      </c>
      <c r="J1614" s="9">
        <v>22.0</v>
      </c>
      <c r="K1614" s="9">
        <v>119.0</v>
      </c>
      <c r="L1614" s="9">
        <v>3.0</v>
      </c>
      <c r="M1614" s="9">
        <v>66.0</v>
      </c>
      <c r="N1614" s="9">
        <v>53.0</v>
      </c>
      <c r="O1614" s="12">
        <v>46082.0</v>
      </c>
      <c r="P1614" s="16"/>
    </row>
    <row r="1615">
      <c r="A1615" s="9">
        <v>2.50900037E9</v>
      </c>
      <c r="B1615" s="10" t="s">
        <v>17</v>
      </c>
      <c r="C1615" s="9">
        <v>64.0</v>
      </c>
      <c r="D1615" s="10" t="s">
        <v>173</v>
      </c>
      <c r="E1615" s="9">
        <v>3.0</v>
      </c>
      <c r="F1615" s="9">
        <v>13.0</v>
      </c>
      <c r="G1615" s="9">
        <v>51.5</v>
      </c>
      <c r="H1615" s="9">
        <v>0.0</v>
      </c>
      <c r="I1615" s="9">
        <v>0.0</v>
      </c>
      <c r="J1615" s="9">
        <v>13.0</v>
      </c>
      <c r="K1615" s="9">
        <v>51.5</v>
      </c>
      <c r="L1615" s="9">
        <v>2.29</v>
      </c>
      <c r="M1615" s="9">
        <v>29.77</v>
      </c>
      <c r="N1615" s="9">
        <v>21.73</v>
      </c>
      <c r="O1615" s="12">
        <v>46082.0</v>
      </c>
      <c r="P1615" s="16"/>
    </row>
    <row r="1616">
      <c r="A1616" s="9">
        <v>2.50900037E9</v>
      </c>
      <c r="B1616" s="10" t="s">
        <v>17</v>
      </c>
      <c r="C1616" s="9">
        <v>86.0</v>
      </c>
      <c r="D1616" s="10" t="s">
        <v>201</v>
      </c>
      <c r="E1616" s="9">
        <v>5.0</v>
      </c>
      <c r="F1616" s="9">
        <v>1.0</v>
      </c>
      <c r="G1616" s="9">
        <v>10.0</v>
      </c>
      <c r="H1616" s="9">
        <v>0.0</v>
      </c>
      <c r="I1616" s="9">
        <v>0.0</v>
      </c>
      <c r="J1616" s="9">
        <v>1.0</v>
      </c>
      <c r="K1616" s="9">
        <v>10.0</v>
      </c>
      <c r="L1616" s="9">
        <v>3.0</v>
      </c>
      <c r="M1616" s="9">
        <v>3.0</v>
      </c>
      <c r="N1616" s="9">
        <v>7.0</v>
      </c>
      <c r="O1616" s="12">
        <v>46082.0</v>
      </c>
      <c r="P1616" s="16"/>
    </row>
    <row r="1617">
      <c r="A1617" s="9">
        <v>2.50900037E9</v>
      </c>
      <c r="B1617" s="10" t="s">
        <v>17</v>
      </c>
      <c r="C1617" s="9">
        <v>96.0</v>
      </c>
      <c r="D1617" s="10" t="s">
        <v>212</v>
      </c>
      <c r="E1617" s="9">
        <v>5.0</v>
      </c>
      <c r="F1617" s="9">
        <v>9.0</v>
      </c>
      <c r="G1617" s="9">
        <v>50.0</v>
      </c>
      <c r="H1617" s="9">
        <v>0.0</v>
      </c>
      <c r="I1617" s="9">
        <v>0.0</v>
      </c>
      <c r="J1617" s="9">
        <v>9.0</v>
      </c>
      <c r="K1617" s="9">
        <v>50.0</v>
      </c>
      <c r="L1617" s="9">
        <v>2.93</v>
      </c>
      <c r="M1617" s="9">
        <v>26.37</v>
      </c>
      <c r="N1617" s="9">
        <v>23.63</v>
      </c>
      <c r="O1617" s="12">
        <v>46082.0</v>
      </c>
      <c r="P1617" s="16"/>
    </row>
    <row r="1618">
      <c r="A1618" s="9">
        <v>2.50900037E9</v>
      </c>
      <c r="B1618" s="10" t="s">
        <v>17</v>
      </c>
      <c r="C1618" s="9">
        <v>97.0</v>
      </c>
      <c r="D1618" s="10" t="s">
        <v>115</v>
      </c>
      <c r="E1618" s="9">
        <v>5.0</v>
      </c>
      <c r="F1618" s="9">
        <v>9.0</v>
      </c>
      <c r="G1618" s="9">
        <v>47.0</v>
      </c>
      <c r="H1618" s="9">
        <v>0.0</v>
      </c>
      <c r="I1618" s="9">
        <v>0.0</v>
      </c>
      <c r="J1618" s="9">
        <v>9.0</v>
      </c>
      <c r="K1618" s="9">
        <v>47.0</v>
      </c>
      <c r="L1618" s="9">
        <v>2.93</v>
      </c>
      <c r="M1618" s="9">
        <v>26.37</v>
      </c>
      <c r="N1618" s="9">
        <v>20.63</v>
      </c>
      <c r="O1618" s="12">
        <v>46082.0</v>
      </c>
      <c r="P1618" s="16"/>
    </row>
    <row r="1619">
      <c r="A1619" s="9">
        <v>2.50900037E9</v>
      </c>
      <c r="B1619" s="10" t="s">
        <v>17</v>
      </c>
      <c r="C1619" s="9">
        <v>114.0</v>
      </c>
      <c r="D1619" s="10" t="s">
        <v>218</v>
      </c>
      <c r="E1619" s="9">
        <v>5.0</v>
      </c>
      <c r="F1619" s="9">
        <v>16.0</v>
      </c>
      <c r="G1619" s="9">
        <v>81.0</v>
      </c>
      <c r="H1619" s="9">
        <v>0.0</v>
      </c>
      <c r="I1619" s="9">
        <v>0.0</v>
      </c>
      <c r="J1619" s="9">
        <v>16.0</v>
      </c>
      <c r="K1619" s="9">
        <v>81.0</v>
      </c>
      <c r="L1619" s="9">
        <v>2.25</v>
      </c>
      <c r="M1619" s="9">
        <v>36.0</v>
      </c>
      <c r="N1619" s="9">
        <v>45.0</v>
      </c>
      <c r="O1619" s="12">
        <v>46082.0</v>
      </c>
      <c r="P1619" s="16"/>
    </row>
    <row r="1620">
      <c r="A1620" s="9">
        <v>2.50900037E9</v>
      </c>
      <c r="B1620" s="10" t="s">
        <v>17</v>
      </c>
      <c r="C1620" s="9">
        <v>118.0</v>
      </c>
      <c r="D1620" s="10" t="s">
        <v>223</v>
      </c>
      <c r="E1620" s="9">
        <v>3.0</v>
      </c>
      <c r="F1620" s="9">
        <v>5.0</v>
      </c>
      <c r="G1620" s="9">
        <v>15.0</v>
      </c>
      <c r="H1620" s="9">
        <v>0.0</v>
      </c>
      <c r="I1620" s="9">
        <v>0.0</v>
      </c>
      <c r="J1620" s="9">
        <v>5.0</v>
      </c>
      <c r="K1620" s="9">
        <v>15.0</v>
      </c>
      <c r="L1620" s="9">
        <v>1.37</v>
      </c>
      <c r="M1620" s="9">
        <v>6.85</v>
      </c>
      <c r="N1620" s="9">
        <v>8.15</v>
      </c>
      <c r="O1620" s="12">
        <v>46082.0</v>
      </c>
      <c r="P1620" s="16"/>
    </row>
    <row r="1621">
      <c r="A1621" s="9">
        <v>2.50900037E9</v>
      </c>
      <c r="B1621" s="10" t="s">
        <v>17</v>
      </c>
      <c r="C1621" s="9">
        <v>119.0</v>
      </c>
      <c r="D1621" s="10" t="s">
        <v>224</v>
      </c>
      <c r="E1621" s="9">
        <v>5.0</v>
      </c>
      <c r="F1621" s="9">
        <v>7.0</v>
      </c>
      <c r="G1621" s="9">
        <v>42.0</v>
      </c>
      <c r="H1621" s="9">
        <v>0.0</v>
      </c>
      <c r="I1621" s="9">
        <v>0.0</v>
      </c>
      <c r="J1621" s="9">
        <v>7.0</v>
      </c>
      <c r="K1621" s="9">
        <v>42.0</v>
      </c>
      <c r="L1621" s="9">
        <v>4.08</v>
      </c>
      <c r="M1621" s="9">
        <v>28.56</v>
      </c>
      <c r="N1621" s="9">
        <v>13.44</v>
      </c>
      <c r="O1621" s="12">
        <v>46082.0</v>
      </c>
      <c r="P1621" s="16"/>
    </row>
    <row r="1622">
      <c r="A1622" s="9">
        <v>2.50900037E9</v>
      </c>
      <c r="B1622" s="10" t="s">
        <v>17</v>
      </c>
      <c r="C1622" s="9">
        <v>127.0</v>
      </c>
      <c r="D1622" s="10" t="s">
        <v>228</v>
      </c>
      <c r="E1622" s="9">
        <v>4.0</v>
      </c>
      <c r="F1622" s="9">
        <v>1.0</v>
      </c>
      <c r="G1622" s="9">
        <v>6.0</v>
      </c>
      <c r="H1622" s="9">
        <v>0.0</v>
      </c>
      <c r="I1622" s="9">
        <v>0.0</v>
      </c>
      <c r="J1622" s="9">
        <v>1.0</v>
      </c>
      <c r="K1622" s="9">
        <v>6.0</v>
      </c>
      <c r="L1622" s="9">
        <v>2.35</v>
      </c>
      <c r="M1622" s="9">
        <v>2.35</v>
      </c>
      <c r="N1622" s="9">
        <v>3.65</v>
      </c>
      <c r="O1622" s="12">
        <v>46082.0</v>
      </c>
      <c r="P1622" s="16"/>
    </row>
    <row r="1623">
      <c r="A1623" s="9">
        <v>2.50900037E9</v>
      </c>
      <c r="B1623" s="10" t="s">
        <v>17</v>
      </c>
      <c r="C1623" s="9">
        <v>130.0</v>
      </c>
      <c r="D1623" s="10" t="s">
        <v>243</v>
      </c>
      <c r="E1623" s="9">
        <v>3.0</v>
      </c>
      <c r="F1623" s="9">
        <v>3.0</v>
      </c>
      <c r="G1623" s="9">
        <v>9.0</v>
      </c>
      <c r="H1623" s="9">
        <v>0.0</v>
      </c>
      <c r="I1623" s="9">
        <v>0.0</v>
      </c>
      <c r="J1623" s="9">
        <v>3.0</v>
      </c>
      <c r="K1623" s="9">
        <v>9.0</v>
      </c>
      <c r="L1623" s="9">
        <v>1.75</v>
      </c>
      <c r="M1623" s="9">
        <v>5.25</v>
      </c>
      <c r="N1623" s="9">
        <v>3.75</v>
      </c>
      <c r="O1623" s="12">
        <v>46082.0</v>
      </c>
      <c r="P1623" s="16"/>
    </row>
    <row r="1624">
      <c r="A1624" s="9">
        <v>2.50900037E9</v>
      </c>
      <c r="B1624" s="10" t="s">
        <v>17</v>
      </c>
      <c r="C1624" s="9">
        <v>132.0</v>
      </c>
      <c r="D1624" s="10" t="s">
        <v>249</v>
      </c>
      <c r="E1624" s="9">
        <v>3.0</v>
      </c>
      <c r="F1624" s="9">
        <v>2.0</v>
      </c>
      <c r="G1624" s="9">
        <v>8.0</v>
      </c>
      <c r="H1624" s="9">
        <v>0.0</v>
      </c>
      <c r="I1624" s="9">
        <v>0.0</v>
      </c>
      <c r="J1624" s="9">
        <v>2.0</v>
      </c>
      <c r="K1624" s="9">
        <v>8.0</v>
      </c>
      <c r="L1624" s="9">
        <v>2.29</v>
      </c>
      <c r="M1624" s="9">
        <v>4.58</v>
      </c>
      <c r="N1624" s="9">
        <v>3.42</v>
      </c>
      <c r="O1624" s="12">
        <v>46082.0</v>
      </c>
      <c r="P1624" s="16"/>
    </row>
    <row r="1625">
      <c r="A1625" s="9">
        <v>2.50900037E9</v>
      </c>
      <c r="B1625" s="10" t="s">
        <v>17</v>
      </c>
      <c r="C1625" s="9">
        <v>134.0</v>
      </c>
      <c r="D1625" s="10" t="s">
        <v>251</v>
      </c>
      <c r="E1625" s="9">
        <v>7.0</v>
      </c>
      <c r="F1625" s="9">
        <v>4.0</v>
      </c>
      <c r="G1625" s="9">
        <v>31.0</v>
      </c>
      <c r="H1625" s="9">
        <v>0.0</v>
      </c>
      <c r="I1625" s="9">
        <v>0.0</v>
      </c>
      <c r="J1625" s="9">
        <v>4.0</v>
      </c>
      <c r="K1625" s="9">
        <v>31.0</v>
      </c>
      <c r="L1625" s="9">
        <v>4.5</v>
      </c>
      <c r="M1625" s="9">
        <v>18.0</v>
      </c>
      <c r="N1625" s="9">
        <v>13.0</v>
      </c>
      <c r="O1625" s="12">
        <v>46082.0</v>
      </c>
      <c r="P1625" s="16"/>
    </row>
    <row r="1626">
      <c r="A1626" s="9">
        <v>2.50900037E9</v>
      </c>
      <c r="B1626" s="10" t="s">
        <v>17</v>
      </c>
      <c r="C1626" s="9">
        <v>137.0</v>
      </c>
      <c r="D1626" s="10" t="s">
        <v>253</v>
      </c>
      <c r="E1626" s="9">
        <v>5.0</v>
      </c>
      <c r="F1626" s="9">
        <v>7.0</v>
      </c>
      <c r="G1626" s="9">
        <v>35.0</v>
      </c>
      <c r="H1626" s="9">
        <v>0.0</v>
      </c>
      <c r="I1626" s="9">
        <v>0.0</v>
      </c>
      <c r="J1626" s="9">
        <v>7.0</v>
      </c>
      <c r="K1626" s="9">
        <v>35.0</v>
      </c>
      <c r="L1626" s="9">
        <v>2.93</v>
      </c>
      <c r="M1626" s="9">
        <v>20.51</v>
      </c>
      <c r="N1626" s="9">
        <v>14.49</v>
      </c>
      <c r="O1626" s="12">
        <v>46082.0</v>
      </c>
      <c r="P1626" s="16"/>
    </row>
    <row r="1627">
      <c r="A1627" s="9">
        <v>2.50900037E9</v>
      </c>
      <c r="B1627" s="10" t="s">
        <v>17</v>
      </c>
      <c r="C1627" s="9">
        <v>139.0</v>
      </c>
      <c r="D1627" s="10" t="s">
        <v>255</v>
      </c>
      <c r="E1627" s="9">
        <v>2.0</v>
      </c>
      <c r="F1627" s="9">
        <v>3.0</v>
      </c>
      <c r="G1627" s="9">
        <v>6.0</v>
      </c>
      <c r="H1627" s="9">
        <v>0.0</v>
      </c>
      <c r="I1627" s="9">
        <v>0.0</v>
      </c>
      <c r="J1627" s="9">
        <v>3.0</v>
      </c>
      <c r="K1627" s="9">
        <v>6.0</v>
      </c>
      <c r="L1627" s="9">
        <v>1.08</v>
      </c>
      <c r="M1627" s="9">
        <v>3.24</v>
      </c>
      <c r="N1627" s="9">
        <v>2.76</v>
      </c>
      <c r="O1627" s="12">
        <v>46082.0</v>
      </c>
      <c r="P1627" s="16"/>
    </row>
    <row r="1628">
      <c r="A1628" s="9">
        <v>2.50900037E9</v>
      </c>
      <c r="B1628" s="10" t="s">
        <v>17</v>
      </c>
      <c r="C1628" s="9">
        <v>140.0</v>
      </c>
      <c r="D1628" s="10" t="s">
        <v>258</v>
      </c>
      <c r="E1628" s="9">
        <v>2.0</v>
      </c>
      <c r="F1628" s="9">
        <v>2.0</v>
      </c>
      <c r="G1628" s="9">
        <v>4.0</v>
      </c>
      <c r="H1628" s="9">
        <v>0.0</v>
      </c>
      <c r="I1628" s="9">
        <v>0.0</v>
      </c>
      <c r="J1628" s="9">
        <v>2.0</v>
      </c>
      <c r="K1628" s="9">
        <v>4.0</v>
      </c>
      <c r="L1628" s="9">
        <v>1.08</v>
      </c>
      <c r="M1628" s="9">
        <v>2.16</v>
      </c>
      <c r="N1628" s="9">
        <v>1.84</v>
      </c>
      <c r="O1628" s="12">
        <v>46082.0</v>
      </c>
      <c r="P1628" s="16"/>
    </row>
    <row r="1629">
      <c r="A1629" s="9">
        <v>2.50900037E9</v>
      </c>
      <c r="B1629" s="10" t="s">
        <v>17</v>
      </c>
      <c r="C1629" s="9">
        <v>142.0</v>
      </c>
      <c r="D1629" s="10" t="s">
        <v>256</v>
      </c>
      <c r="E1629" s="9">
        <v>5.0</v>
      </c>
      <c r="F1629" s="9">
        <v>5.0</v>
      </c>
      <c r="G1629" s="9">
        <v>25.0</v>
      </c>
      <c r="H1629" s="9">
        <v>0.0</v>
      </c>
      <c r="I1629" s="9">
        <v>0.0</v>
      </c>
      <c r="J1629" s="9">
        <v>5.0</v>
      </c>
      <c r="K1629" s="9">
        <v>25.0</v>
      </c>
      <c r="L1629" s="9">
        <v>3.66</v>
      </c>
      <c r="M1629" s="9">
        <v>18.3</v>
      </c>
      <c r="N1629" s="9">
        <v>6.7</v>
      </c>
      <c r="O1629" s="12">
        <v>46082.0</v>
      </c>
      <c r="P1629" s="16"/>
    </row>
    <row r="1630">
      <c r="A1630" s="9">
        <v>2.50900037E9</v>
      </c>
      <c r="B1630" s="10" t="s">
        <v>17</v>
      </c>
      <c r="C1630" s="9">
        <v>145.0</v>
      </c>
      <c r="D1630" s="10" t="s">
        <v>257</v>
      </c>
      <c r="E1630" s="9">
        <v>2.0</v>
      </c>
      <c r="F1630" s="9">
        <v>6.0</v>
      </c>
      <c r="G1630" s="9">
        <v>12.0</v>
      </c>
      <c r="H1630" s="9">
        <v>0.0</v>
      </c>
      <c r="I1630" s="9">
        <v>0.0</v>
      </c>
      <c r="J1630" s="9">
        <v>6.0</v>
      </c>
      <c r="K1630" s="9">
        <v>12.0</v>
      </c>
      <c r="L1630" s="9">
        <v>1.12</v>
      </c>
      <c r="M1630" s="9">
        <v>6.72</v>
      </c>
      <c r="N1630" s="9">
        <v>5.28</v>
      </c>
      <c r="O1630" s="12">
        <v>46082.0</v>
      </c>
      <c r="P1630" s="16"/>
    </row>
    <row r="1631">
      <c r="A1631" s="9">
        <v>2.509000371E9</v>
      </c>
      <c r="B1631" s="10" t="s">
        <v>23</v>
      </c>
      <c r="C1631" s="9">
        <v>0.0</v>
      </c>
      <c r="D1631" s="10" t="s">
        <v>247</v>
      </c>
      <c r="E1631" s="9">
        <v>0.0</v>
      </c>
      <c r="F1631" s="9">
        <v>57.0</v>
      </c>
      <c r="G1631" s="9">
        <v>114.0</v>
      </c>
      <c r="H1631" s="9">
        <v>0.0</v>
      </c>
      <c r="I1631" s="9">
        <v>0.0</v>
      </c>
      <c r="J1631" s="9">
        <v>57.0</v>
      </c>
      <c r="K1631" s="9">
        <v>114.0</v>
      </c>
      <c r="L1631" s="9">
        <v>0.0</v>
      </c>
      <c r="M1631" s="9">
        <v>0.0</v>
      </c>
      <c r="N1631" s="9">
        <v>114.0</v>
      </c>
      <c r="O1631" s="12">
        <v>46082.0</v>
      </c>
      <c r="P1631" s="16"/>
    </row>
    <row r="1632">
      <c r="A1632" s="9">
        <v>2.509000371E9</v>
      </c>
      <c r="B1632" s="10" t="s">
        <v>23</v>
      </c>
      <c r="C1632" s="9">
        <v>1.0</v>
      </c>
      <c r="D1632" s="10" t="s">
        <v>129</v>
      </c>
      <c r="E1632" s="9">
        <v>5.0</v>
      </c>
      <c r="F1632" s="9">
        <v>267.0</v>
      </c>
      <c r="G1632" s="9">
        <v>1380.0</v>
      </c>
      <c r="H1632" s="9">
        <v>0.0</v>
      </c>
      <c r="I1632" s="9">
        <v>0.0</v>
      </c>
      <c r="J1632" s="9">
        <v>267.0</v>
      </c>
      <c r="K1632" s="9">
        <v>1380.0</v>
      </c>
      <c r="L1632" s="9">
        <v>2.93</v>
      </c>
      <c r="M1632" s="9">
        <v>782.31</v>
      </c>
      <c r="N1632" s="9">
        <v>597.69</v>
      </c>
      <c r="O1632" s="12">
        <v>46082.0</v>
      </c>
      <c r="P1632" s="16"/>
    </row>
    <row r="1633">
      <c r="A1633" s="9">
        <v>2.509000371E9</v>
      </c>
      <c r="B1633" s="10" t="s">
        <v>23</v>
      </c>
      <c r="C1633" s="9">
        <v>2.0</v>
      </c>
      <c r="D1633" s="10" t="s">
        <v>74</v>
      </c>
      <c r="E1633" s="9">
        <v>1.0</v>
      </c>
      <c r="F1633" s="9">
        <v>1096.0</v>
      </c>
      <c r="G1633" s="9">
        <v>1096.0</v>
      </c>
      <c r="H1633" s="9">
        <v>0.0</v>
      </c>
      <c r="I1633" s="9">
        <v>0.0</v>
      </c>
      <c r="J1633" s="9">
        <v>1096.0</v>
      </c>
      <c r="K1633" s="9">
        <v>1096.0</v>
      </c>
      <c r="L1633" s="9">
        <v>0.28</v>
      </c>
      <c r="M1633" s="9">
        <v>306.88</v>
      </c>
      <c r="N1633" s="9">
        <v>789.12</v>
      </c>
      <c r="O1633" s="12">
        <v>46082.0</v>
      </c>
      <c r="P1633" s="16"/>
    </row>
    <row r="1634">
      <c r="A1634" s="9">
        <v>2.509000371E9</v>
      </c>
      <c r="B1634" s="10" t="s">
        <v>23</v>
      </c>
      <c r="C1634" s="9">
        <v>5.0</v>
      </c>
      <c r="D1634" s="10" t="s">
        <v>131</v>
      </c>
      <c r="E1634" s="9">
        <v>3.0</v>
      </c>
      <c r="F1634" s="9">
        <v>7.0</v>
      </c>
      <c r="G1634" s="9">
        <v>21.0</v>
      </c>
      <c r="H1634" s="9">
        <v>0.0</v>
      </c>
      <c r="I1634" s="9">
        <v>0.0</v>
      </c>
      <c r="J1634" s="9">
        <v>7.0</v>
      </c>
      <c r="K1634" s="9">
        <v>21.0</v>
      </c>
      <c r="L1634" s="9">
        <v>2.0</v>
      </c>
      <c r="M1634" s="9">
        <v>14.0</v>
      </c>
      <c r="N1634" s="9">
        <v>7.0</v>
      </c>
      <c r="O1634" s="12">
        <v>46082.0</v>
      </c>
      <c r="P1634" s="16"/>
    </row>
    <row r="1635">
      <c r="A1635" s="9">
        <v>2.509000371E9</v>
      </c>
      <c r="B1635" s="10" t="s">
        <v>23</v>
      </c>
      <c r="C1635" s="9">
        <v>11.0</v>
      </c>
      <c r="D1635" s="10" t="s">
        <v>86</v>
      </c>
      <c r="E1635" s="9">
        <v>5.0</v>
      </c>
      <c r="F1635" s="9">
        <v>276.0</v>
      </c>
      <c r="G1635" s="9">
        <v>1380.0</v>
      </c>
      <c r="H1635" s="9">
        <v>0.0</v>
      </c>
      <c r="I1635" s="9">
        <v>0.0</v>
      </c>
      <c r="J1635" s="9">
        <v>276.0</v>
      </c>
      <c r="K1635" s="9">
        <v>1380.0</v>
      </c>
      <c r="L1635" s="9">
        <v>4.29</v>
      </c>
      <c r="M1635" s="9">
        <v>1184.04</v>
      </c>
      <c r="N1635" s="9">
        <v>195.96</v>
      </c>
      <c r="O1635" s="12">
        <v>46082.0</v>
      </c>
      <c r="P1635" s="16"/>
    </row>
    <row r="1636">
      <c r="A1636" s="9">
        <v>2.509000371E9</v>
      </c>
      <c r="B1636" s="10" t="s">
        <v>23</v>
      </c>
      <c r="C1636" s="9">
        <v>14.0</v>
      </c>
      <c r="D1636" s="10" t="s">
        <v>138</v>
      </c>
      <c r="E1636" s="9">
        <v>8.0</v>
      </c>
      <c r="F1636" s="9">
        <v>4.0</v>
      </c>
      <c r="G1636" s="9">
        <v>34.0</v>
      </c>
      <c r="H1636" s="9">
        <v>0.0</v>
      </c>
      <c r="I1636" s="9">
        <v>0.0</v>
      </c>
      <c r="J1636" s="9">
        <v>4.0</v>
      </c>
      <c r="K1636" s="9">
        <v>34.0</v>
      </c>
      <c r="L1636" s="9">
        <v>7.0</v>
      </c>
      <c r="M1636" s="9">
        <v>28.0</v>
      </c>
      <c r="N1636" s="9">
        <v>6.0</v>
      </c>
      <c r="O1636" s="12">
        <v>46082.0</v>
      </c>
      <c r="P1636" s="16"/>
    </row>
    <row r="1637">
      <c r="A1637" s="9">
        <v>2.509000371E9</v>
      </c>
      <c r="B1637" s="10" t="s">
        <v>23</v>
      </c>
      <c r="C1637" s="9">
        <v>19.0</v>
      </c>
      <c r="D1637" s="10" t="s">
        <v>72</v>
      </c>
      <c r="E1637" s="9">
        <v>3.0</v>
      </c>
      <c r="F1637" s="9">
        <v>78.0</v>
      </c>
      <c r="G1637" s="9">
        <v>234.0</v>
      </c>
      <c r="H1637" s="9">
        <v>0.0</v>
      </c>
      <c r="I1637" s="9">
        <v>0.0</v>
      </c>
      <c r="J1637" s="9">
        <v>78.0</v>
      </c>
      <c r="K1637" s="9">
        <v>234.0</v>
      </c>
      <c r="L1637" s="9">
        <v>1.79</v>
      </c>
      <c r="M1637" s="9">
        <v>139.62</v>
      </c>
      <c r="N1637" s="9">
        <v>94.38</v>
      </c>
      <c r="O1637" s="12">
        <v>46082.0</v>
      </c>
      <c r="P1637" s="16"/>
    </row>
    <row r="1638">
      <c r="A1638" s="9">
        <v>2.509000371E9</v>
      </c>
      <c r="B1638" s="10" t="s">
        <v>23</v>
      </c>
      <c r="C1638" s="9">
        <v>21.0</v>
      </c>
      <c r="D1638" s="10" t="s">
        <v>79</v>
      </c>
      <c r="E1638" s="9">
        <v>3.0</v>
      </c>
      <c r="F1638" s="9">
        <v>128.0</v>
      </c>
      <c r="G1638" s="9">
        <v>451.0</v>
      </c>
      <c r="H1638" s="9">
        <v>0.0</v>
      </c>
      <c r="I1638" s="9">
        <v>0.0</v>
      </c>
      <c r="J1638" s="9">
        <v>128.0</v>
      </c>
      <c r="K1638" s="9">
        <v>451.0</v>
      </c>
      <c r="L1638" s="9">
        <v>2.25</v>
      </c>
      <c r="M1638" s="9">
        <v>288.0</v>
      </c>
      <c r="N1638" s="9">
        <v>163.0</v>
      </c>
      <c r="O1638" s="12">
        <v>46082.0</v>
      </c>
      <c r="P1638" s="16"/>
    </row>
    <row r="1639">
      <c r="A1639" s="9">
        <v>2.509000371E9</v>
      </c>
      <c r="B1639" s="10" t="s">
        <v>23</v>
      </c>
      <c r="C1639" s="9">
        <v>25.0</v>
      </c>
      <c r="D1639" s="10" t="s">
        <v>144</v>
      </c>
      <c r="E1639" s="9">
        <v>6.0</v>
      </c>
      <c r="F1639" s="9">
        <v>4.0</v>
      </c>
      <c r="G1639" s="9">
        <v>28.0</v>
      </c>
      <c r="H1639" s="9">
        <v>0.0</v>
      </c>
      <c r="I1639" s="9">
        <v>0.0</v>
      </c>
      <c r="J1639" s="9">
        <v>4.0</v>
      </c>
      <c r="K1639" s="9">
        <v>28.0</v>
      </c>
      <c r="L1639" s="9">
        <v>5.0</v>
      </c>
      <c r="M1639" s="9">
        <v>20.0</v>
      </c>
      <c r="N1639" s="9">
        <v>8.0</v>
      </c>
      <c r="O1639" s="12">
        <v>46082.0</v>
      </c>
      <c r="P1639" s="16"/>
    </row>
    <row r="1640">
      <c r="A1640" s="9">
        <v>2.509000371E9</v>
      </c>
      <c r="B1640" s="10" t="s">
        <v>23</v>
      </c>
      <c r="C1640" s="9">
        <v>27.0</v>
      </c>
      <c r="D1640" s="10" t="s">
        <v>73</v>
      </c>
      <c r="E1640" s="9">
        <v>6.0</v>
      </c>
      <c r="F1640" s="9">
        <v>17.0</v>
      </c>
      <c r="G1640" s="9">
        <v>81.5</v>
      </c>
      <c r="H1640" s="9">
        <v>0.0</v>
      </c>
      <c r="I1640" s="9">
        <v>0.0</v>
      </c>
      <c r="J1640" s="9">
        <v>17.0</v>
      </c>
      <c r="K1640" s="9">
        <v>81.5</v>
      </c>
      <c r="L1640" s="9">
        <v>5.5</v>
      </c>
      <c r="M1640" s="9">
        <v>93.5</v>
      </c>
      <c r="N1640" s="9">
        <v>-12.0</v>
      </c>
      <c r="O1640" s="12">
        <v>46082.0</v>
      </c>
      <c r="P1640" s="16"/>
    </row>
    <row r="1641">
      <c r="A1641" s="9">
        <v>2.509000371E9</v>
      </c>
      <c r="B1641" s="10" t="s">
        <v>23</v>
      </c>
      <c r="C1641" s="9">
        <v>28.0</v>
      </c>
      <c r="D1641" s="10" t="s">
        <v>146</v>
      </c>
      <c r="E1641" s="9">
        <v>6.0</v>
      </c>
      <c r="F1641" s="9">
        <v>4.0</v>
      </c>
      <c r="G1641" s="9">
        <v>27.0</v>
      </c>
      <c r="H1641" s="9">
        <v>0.0</v>
      </c>
      <c r="I1641" s="9">
        <v>0.0</v>
      </c>
      <c r="J1641" s="9">
        <v>4.0</v>
      </c>
      <c r="K1641" s="9">
        <v>27.0</v>
      </c>
      <c r="L1641" s="9">
        <v>5.2</v>
      </c>
      <c r="M1641" s="9">
        <v>20.8</v>
      </c>
      <c r="N1641" s="9">
        <v>6.2</v>
      </c>
      <c r="O1641" s="12">
        <v>46082.0</v>
      </c>
      <c r="P1641" s="16"/>
    </row>
    <row r="1642">
      <c r="A1642" s="9">
        <v>2.509000371E9</v>
      </c>
      <c r="B1642" s="10" t="s">
        <v>23</v>
      </c>
      <c r="C1642" s="9">
        <v>29.0</v>
      </c>
      <c r="D1642" s="10" t="s">
        <v>147</v>
      </c>
      <c r="E1642" s="9">
        <v>3.0</v>
      </c>
      <c r="F1642" s="9">
        <v>196.0</v>
      </c>
      <c r="G1642" s="9">
        <v>588.0</v>
      </c>
      <c r="H1642" s="9">
        <v>0.0</v>
      </c>
      <c r="I1642" s="9">
        <v>0.0</v>
      </c>
      <c r="J1642" s="9">
        <v>196.0</v>
      </c>
      <c r="K1642" s="9">
        <v>588.0</v>
      </c>
      <c r="L1642" s="9">
        <v>2.25</v>
      </c>
      <c r="M1642" s="9">
        <v>441.0</v>
      </c>
      <c r="N1642" s="9">
        <v>147.0</v>
      </c>
      <c r="O1642" s="12">
        <v>46082.0</v>
      </c>
      <c r="P1642" s="16"/>
    </row>
    <row r="1643">
      <c r="A1643" s="9">
        <v>2.509000371E9</v>
      </c>
      <c r="B1643" s="10" t="s">
        <v>23</v>
      </c>
      <c r="C1643" s="9">
        <v>30.0</v>
      </c>
      <c r="D1643" s="10" t="s">
        <v>148</v>
      </c>
      <c r="E1643" s="9">
        <v>6.0</v>
      </c>
      <c r="F1643" s="9">
        <v>1.0</v>
      </c>
      <c r="G1643" s="9">
        <v>2.0</v>
      </c>
      <c r="H1643" s="9">
        <v>0.0</v>
      </c>
      <c r="I1643" s="9">
        <v>0.0</v>
      </c>
      <c r="J1643" s="9">
        <v>1.0</v>
      </c>
      <c r="K1643" s="9">
        <v>2.0</v>
      </c>
      <c r="L1643" s="9">
        <v>5.5</v>
      </c>
      <c r="M1643" s="9">
        <v>5.5</v>
      </c>
      <c r="N1643" s="9">
        <v>-3.5</v>
      </c>
      <c r="O1643" s="12">
        <v>46082.0</v>
      </c>
      <c r="P1643" s="16"/>
    </row>
    <row r="1644">
      <c r="A1644" s="9">
        <v>2.509000371E9</v>
      </c>
      <c r="B1644" s="10" t="s">
        <v>23</v>
      </c>
      <c r="C1644" s="9">
        <v>32.0</v>
      </c>
      <c r="D1644" s="10" t="s">
        <v>150</v>
      </c>
      <c r="E1644" s="9">
        <v>3.0</v>
      </c>
      <c r="F1644" s="9">
        <v>104.0</v>
      </c>
      <c r="G1644" s="9">
        <v>363.5</v>
      </c>
      <c r="H1644" s="9">
        <v>0.0</v>
      </c>
      <c r="I1644" s="9">
        <v>0.0</v>
      </c>
      <c r="J1644" s="9">
        <v>104.0</v>
      </c>
      <c r="K1644" s="9">
        <v>363.5</v>
      </c>
      <c r="L1644" s="9">
        <v>2.29</v>
      </c>
      <c r="M1644" s="9">
        <v>238.16</v>
      </c>
      <c r="N1644" s="9">
        <v>125.34</v>
      </c>
      <c r="O1644" s="12">
        <v>46082.0</v>
      </c>
      <c r="P1644" s="16"/>
    </row>
    <row r="1645">
      <c r="A1645" s="9">
        <v>2.509000371E9</v>
      </c>
      <c r="B1645" s="10" t="s">
        <v>23</v>
      </c>
      <c r="C1645" s="9">
        <v>49.0</v>
      </c>
      <c r="D1645" s="10" t="s">
        <v>165</v>
      </c>
      <c r="E1645" s="9">
        <v>3.0</v>
      </c>
      <c r="F1645" s="9">
        <v>123.0</v>
      </c>
      <c r="G1645" s="9">
        <v>369.0</v>
      </c>
      <c r="H1645" s="9">
        <v>0.0</v>
      </c>
      <c r="I1645" s="9">
        <v>0.0</v>
      </c>
      <c r="J1645" s="9">
        <v>123.0</v>
      </c>
      <c r="K1645" s="9">
        <v>369.0</v>
      </c>
      <c r="L1645" s="9">
        <v>2.04</v>
      </c>
      <c r="M1645" s="9">
        <v>250.92</v>
      </c>
      <c r="N1645" s="9">
        <v>118.08</v>
      </c>
      <c r="O1645" s="12">
        <v>46082.0</v>
      </c>
      <c r="P1645" s="16"/>
    </row>
    <row r="1646">
      <c r="A1646" s="9">
        <v>2.509000371E9</v>
      </c>
      <c r="B1646" s="10" t="s">
        <v>23</v>
      </c>
      <c r="C1646" s="9">
        <v>52.0</v>
      </c>
      <c r="D1646" s="10" t="s">
        <v>174</v>
      </c>
      <c r="E1646" s="9">
        <v>5.0</v>
      </c>
      <c r="F1646" s="9">
        <v>189.0</v>
      </c>
      <c r="G1646" s="9">
        <v>975.0</v>
      </c>
      <c r="H1646" s="9">
        <v>0.0</v>
      </c>
      <c r="I1646" s="9">
        <v>0.0</v>
      </c>
      <c r="J1646" s="9">
        <v>189.0</v>
      </c>
      <c r="K1646" s="9">
        <v>975.0</v>
      </c>
      <c r="L1646" s="9">
        <v>3.0</v>
      </c>
      <c r="M1646" s="9">
        <v>567.0</v>
      </c>
      <c r="N1646" s="9">
        <v>408.0</v>
      </c>
      <c r="O1646" s="12">
        <v>46082.0</v>
      </c>
      <c r="P1646" s="16"/>
    </row>
    <row r="1647">
      <c r="A1647" s="9">
        <v>2.509000371E9</v>
      </c>
      <c r="B1647" s="10" t="s">
        <v>23</v>
      </c>
      <c r="C1647" s="9">
        <v>53.0</v>
      </c>
      <c r="D1647" s="10" t="s">
        <v>167</v>
      </c>
      <c r="E1647" s="9">
        <v>3.0</v>
      </c>
      <c r="F1647" s="9">
        <v>26.0</v>
      </c>
      <c r="G1647" s="9">
        <v>78.0</v>
      </c>
      <c r="H1647" s="9">
        <v>0.0</v>
      </c>
      <c r="I1647" s="9">
        <v>0.0</v>
      </c>
      <c r="J1647" s="9">
        <v>26.0</v>
      </c>
      <c r="K1647" s="9">
        <v>78.0</v>
      </c>
      <c r="L1647" s="9">
        <v>2.25</v>
      </c>
      <c r="M1647" s="9">
        <v>58.5</v>
      </c>
      <c r="N1647" s="9">
        <v>19.5</v>
      </c>
      <c r="O1647" s="12">
        <v>46082.0</v>
      </c>
      <c r="P1647" s="16"/>
    </row>
    <row r="1648">
      <c r="A1648" s="9">
        <v>2.509000371E9</v>
      </c>
      <c r="B1648" s="10" t="s">
        <v>23</v>
      </c>
      <c r="C1648" s="9">
        <v>54.0</v>
      </c>
      <c r="D1648" s="10" t="s">
        <v>168</v>
      </c>
      <c r="E1648" s="9">
        <v>3.0</v>
      </c>
      <c r="F1648" s="9">
        <v>100.0</v>
      </c>
      <c r="G1648" s="9">
        <v>300.0</v>
      </c>
      <c r="H1648" s="9">
        <v>0.0</v>
      </c>
      <c r="I1648" s="9">
        <v>0.0</v>
      </c>
      <c r="J1648" s="9">
        <v>100.0</v>
      </c>
      <c r="K1648" s="9">
        <v>300.0</v>
      </c>
      <c r="L1648" s="9">
        <v>2.25</v>
      </c>
      <c r="M1648" s="9">
        <v>225.0</v>
      </c>
      <c r="N1648" s="9">
        <v>75.0</v>
      </c>
      <c r="O1648" s="12">
        <v>46082.0</v>
      </c>
      <c r="P1648" s="16"/>
    </row>
    <row r="1649">
      <c r="A1649" s="9">
        <v>2.509000371E9</v>
      </c>
      <c r="B1649" s="10" t="s">
        <v>23</v>
      </c>
      <c r="C1649" s="9">
        <v>64.0</v>
      </c>
      <c r="D1649" s="10" t="s">
        <v>173</v>
      </c>
      <c r="E1649" s="9">
        <v>3.0</v>
      </c>
      <c r="F1649" s="9">
        <v>48.0</v>
      </c>
      <c r="G1649" s="9">
        <v>168.0</v>
      </c>
      <c r="H1649" s="9">
        <v>0.0</v>
      </c>
      <c r="I1649" s="9">
        <v>0.0</v>
      </c>
      <c r="J1649" s="9">
        <v>48.0</v>
      </c>
      <c r="K1649" s="9">
        <v>168.0</v>
      </c>
      <c r="L1649" s="9">
        <v>2.29</v>
      </c>
      <c r="M1649" s="9">
        <v>109.92</v>
      </c>
      <c r="N1649" s="9">
        <v>58.08</v>
      </c>
      <c r="O1649" s="12">
        <v>46082.0</v>
      </c>
      <c r="P1649" s="16"/>
    </row>
    <row r="1650">
      <c r="A1650" s="9">
        <v>2.509000371E9</v>
      </c>
      <c r="B1650" s="10" t="s">
        <v>23</v>
      </c>
      <c r="C1650" s="9">
        <v>65.0</v>
      </c>
      <c r="D1650" s="10" t="s">
        <v>187</v>
      </c>
      <c r="E1650" s="9">
        <v>3.0</v>
      </c>
      <c r="F1650" s="9">
        <v>34.0</v>
      </c>
      <c r="G1650" s="9">
        <v>102.0</v>
      </c>
      <c r="H1650" s="9">
        <v>0.0</v>
      </c>
      <c r="I1650" s="9">
        <v>0.0</v>
      </c>
      <c r="J1650" s="9">
        <v>34.0</v>
      </c>
      <c r="K1650" s="9">
        <v>102.0</v>
      </c>
      <c r="L1650" s="9">
        <v>0.91</v>
      </c>
      <c r="M1650" s="9">
        <v>30.94</v>
      </c>
      <c r="N1650" s="9">
        <v>71.06</v>
      </c>
      <c r="O1650" s="12">
        <v>46082.0</v>
      </c>
      <c r="P1650" s="16"/>
    </row>
    <row r="1651">
      <c r="A1651" s="9">
        <v>2.509000371E9</v>
      </c>
      <c r="B1651" s="10" t="s">
        <v>23</v>
      </c>
      <c r="C1651" s="9">
        <v>86.0</v>
      </c>
      <c r="D1651" s="10" t="s">
        <v>201</v>
      </c>
      <c r="E1651" s="9">
        <v>5.0</v>
      </c>
      <c r="F1651" s="9">
        <v>172.0</v>
      </c>
      <c r="G1651" s="9">
        <v>1720.0</v>
      </c>
      <c r="H1651" s="9">
        <v>0.0</v>
      </c>
      <c r="I1651" s="9">
        <v>0.0</v>
      </c>
      <c r="J1651" s="9">
        <v>172.0</v>
      </c>
      <c r="K1651" s="9">
        <v>1720.0</v>
      </c>
      <c r="L1651" s="9">
        <v>3.0</v>
      </c>
      <c r="M1651" s="9">
        <v>516.0</v>
      </c>
      <c r="N1651" s="9">
        <v>1204.0</v>
      </c>
      <c r="O1651" s="12">
        <v>46082.0</v>
      </c>
      <c r="P1651" s="16"/>
    </row>
    <row r="1652">
      <c r="A1652" s="9">
        <v>2.509000371E9</v>
      </c>
      <c r="B1652" s="10" t="s">
        <v>23</v>
      </c>
      <c r="C1652" s="9">
        <v>96.0</v>
      </c>
      <c r="D1652" s="10" t="s">
        <v>212</v>
      </c>
      <c r="E1652" s="9">
        <v>5.0</v>
      </c>
      <c r="F1652" s="9">
        <v>27.0</v>
      </c>
      <c r="G1652" s="9">
        <v>135.0</v>
      </c>
      <c r="H1652" s="9">
        <v>0.0</v>
      </c>
      <c r="I1652" s="9">
        <v>0.0</v>
      </c>
      <c r="J1652" s="9">
        <v>27.0</v>
      </c>
      <c r="K1652" s="9">
        <v>135.0</v>
      </c>
      <c r="L1652" s="9">
        <v>2.93</v>
      </c>
      <c r="M1652" s="9">
        <v>79.11</v>
      </c>
      <c r="N1652" s="9">
        <v>55.89</v>
      </c>
      <c r="O1652" s="12">
        <v>46082.0</v>
      </c>
      <c r="P1652" s="16"/>
    </row>
    <row r="1653">
      <c r="A1653" s="9">
        <v>2.509000371E9</v>
      </c>
      <c r="B1653" s="10" t="s">
        <v>23</v>
      </c>
      <c r="C1653" s="9">
        <v>96.0</v>
      </c>
      <c r="D1653" s="10" t="s">
        <v>212</v>
      </c>
      <c r="E1653" s="9">
        <v>5.0</v>
      </c>
      <c r="F1653" s="9">
        <v>53.0</v>
      </c>
      <c r="G1653" s="9">
        <v>265.0</v>
      </c>
      <c r="H1653" s="9">
        <v>0.0</v>
      </c>
      <c r="I1653" s="9">
        <v>0.0</v>
      </c>
      <c r="J1653" s="9">
        <v>53.0</v>
      </c>
      <c r="K1653" s="9">
        <v>265.0</v>
      </c>
      <c r="L1653" s="9">
        <v>2.93</v>
      </c>
      <c r="M1653" s="9">
        <v>155.29</v>
      </c>
      <c r="N1653" s="9">
        <v>109.71</v>
      </c>
      <c r="O1653" s="12">
        <v>46082.0</v>
      </c>
      <c r="P1653" s="16"/>
    </row>
    <row r="1654">
      <c r="A1654" s="9">
        <v>2.509000371E9</v>
      </c>
      <c r="B1654" s="10" t="s">
        <v>23</v>
      </c>
      <c r="C1654" s="9">
        <v>97.0</v>
      </c>
      <c r="D1654" s="10" t="s">
        <v>115</v>
      </c>
      <c r="E1654" s="9">
        <v>5.0</v>
      </c>
      <c r="F1654" s="9">
        <v>160.0</v>
      </c>
      <c r="G1654" s="9">
        <v>827.0</v>
      </c>
      <c r="H1654" s="9">
        <v>0.0</v>
      </c>
      <c r="I1654" s="9">
        <v>0.0</v>
      </c>
      <c r="J1654" s="9">
        <v>160.0</v>
      </c>
      <c r="K1654" s="9">
        <v>827.0</v>
      </c>
      <c r="L1654" s="9">
        <v>2.93</v>
      </c>
      <c r="M1654" s="9">
        <v>468.8</v>
      </c>
      <c r="N1654" s="9">
        <v>358.2</v>
      </c>
      <c r="O1654" s="12">
        <v>46082.0</v>
      </c>
      <c r="P1654" s="16"/>
    </row>
    <row r="1655">
      <c r="A1655" s="9">
        <v>2.509000371E9</v>
      </c>
      <c r="B1655" s="10" t="s">
        <v>23</v>
      </c>
      <c r="C1655" s="9">
        <v>99.0</v>
      </c>
      <c r="D1655" s="10" t="s">
        <v>213</v>
      </c>
      <c r="E1655" s="9">
        <v>3.0</v>
      </c>
      <c r="F1655" s="9">
        <v>76.0</v>
      </c>
      <c r="G1655" s="9">
        <v>228.0</v>
      </c>
      <c r="H1655" s="9">
        <v>0.0</v>
      </c>
      <c r="I1655" s="9">
        <v>0.0</v>
      </c>
      <c r="J1655" s="9">
        <v>76.0</v>
      </c>
      <c r="K1655" s="9">
        <v>228.0</v>
      </c>
      <c r="L1655" s="9">
        <v>2.25</v>
      </c>
      <c r="M1655" s="9">
        <v>171.0</v>
      </c>
      <c r="N1655" s="9">
        <v>57.0</v>
      </c>
      <c r="O1655" s="12">
        <v>46082.0</v>
      </c>
      <c r="P1655" s="16"/>
    </row>
    <row r="1656">
      <c r="A1656" s="9">
        <v>2.509000371E9</v>
      </c>
      <c r="B1656" s="10" t="s">
        <v>23</v>
      </c>
      <c r="C1656" s="9">
        <v>114.0</v>
      </c>
      <c r="D1656" s="10" t="s">
        <v>218</v>
      </c>
      <c r="E1656" s="9">
        <v>5.0</v>
      </c>
      <c r="F1656" s="9">
        <v>59.0</v>
      </c>
      <c r="G1656" s="9">
        <v>301.0</v>
      </c>
      <c r="H1656" s="9">
        <v>0.0</v>
      </c>
      <c r="I1656" s="9">
        <v>0.0</v>
      </c>
      <c r="J1656" s="9">
        <v>59.0</v>
      </c>
      <c r="K1656" s="9">
        <v>301.0</v>
      </c>
      <c r="L1656" s="9">
        <v>2.25</v>
      </c>
      <c r="M1656" s="9">
        <v>132.75</v>
      </c>
      <c r="N1656" s="9">
        <v>168.25</v>
      </c>
      <c r="O1656" s="12">
        <v>46082.0</v>
      </c>
      <c r="P1656" s="16"/>
    </row>
    <row r="1657">
      <c r="A1657" s="9">
        <v>2.509000371E9</v>
      </c>
      <c r="B1657" s="10" t="s">
        <v>23</v>
      </c>
      <c r="C1657" s="9">
        <v>119.0</v>
      </c>
      <c r="D1657" s="10" t="s">
        <v>224</v>
      </c>
      <c r="E1657" s="9">
        <v>5.0</v>
      </c>
      <c r="F1657" s="9">
        <v>84.0</v>
      </c>
      <c r="G1657" s="9">
        <v>429.0</v>
      </c>
      <c r="H1657" s="9">
        <v>0.0</v>
      </c>
      <c r="I1657" s="9">
        <v>0.0</v>
      </c>
      <c r="J1657" s="9">
        <v>84.0</v>
      </c>
      <c r="K1657" s="9">
        <v>429.0</v>
      </c>
      <c r="L1657" s="9">
        <v>4.08</v>
      </c>
      <c r="M1657" s="9">
        <v>342.72</v>
      </c>
      <c r="N1657" s="9">
        <v>86.28</v>
      </c>
      <c r="O1657" s="12">
        <v>46082.0</v>
      </c>
      <c r="P1657" s="16"/>
    </row>
    <row r="1658">
      <c r="A1658" s="9">
        <v>2.509000371E9</v>
      </c>
      <c r="B1658" s="10" t="s">
        <v>23</v>
      </c>
      <c r="C1658" s="9">
        <v>120.0</v>
      </c>
      <c r="D1658" s="10" t="s">
        <v>239</v>
      </c>
      <c r="E1658" s="9">
        <v>7.0</v>
      </c>
      <c r="F1658" s="9">
        <v>17.0</v>
      </c>
      <c r="G1658" s="9">
        <v>102.0</v>
      </c>
      <c r="H1658" s="9">
        <v>0.0</v>
      </c>
      <c r="I1658" s="9">
        <v>0.0</v>
      </c>
      <c r="J1658" s="9">
        <v>17.0</v>
      </c>
      <c r="K1658" s="9">
        <v>102.0</v>
      </c>
      <c r="L1658" s="9">
        <v>3.5</v>
      </c>
      <c r="M1658" s="9">
        <v>59.5</v>
      </c>
      <c r="N1658" s="9">
        <v>42.5</v>
      </c>
      <c r="O1658" s="12">
        <v>46082.0</v>
      </c>
      <c r="P1658" s="16"/>
    </row>
    <row r="1659">
      <c r="A1659" s="9">
        <v>2.509000371E9</v>
      </c>
      <c r="B1659" s="10" t="s">
        <v>23</v>
      </c>
      <c r="C1659" s="9">
        <v>126.0</v>
      </c>
      <c r="D1659" s="10" t="s">
        <v>227</v>
      </c>
      <c r="E1659" s="9">
        <v>1.0</v>
      </c>
      <c r="F1659" s="9">
        <v>205.0</v>
      </c>
      <c r="G1659" s="9">
        <v>209.0</v>
      </c>
      <c r="H1659" s="9">
        <v>0.0</v>
      </c>
      <c r="I1659" s="9">
        <v>0.0</v>
      </c>
      <c r="J1659" s="9">
        <v>205.0</v>
      </c>
      <c r="K1659" s="9">
        <v>209.0</v>
      </c>
      <c r="L1659" s="9">
        <v>0.45</v>
      </c>
      <c r="M1659" s="9">
        <v>92.25</v>
      </c>
      <c r="N1659" s="9">
        <v>116.75</v>
      </c>
      <c r="O1659" s="12">
        <v>46082.0</v>
      </c>
      <c r="P1659" s="16"/>
    </row>
    <row r="1660">
      <c r="A1660" s="9">
        <v>2.509000371E9</v>
      </c>
      <c r="B1660" s="10" t="s">
        <v>23</v>
      </c>
      <c r="C1660" s="9">
        <v>130.0</v>
      </c>
      <c r="D1660" s="10" t="s">
        <v>243</v>
      </c>
      <c r="E1660" s="9">
        <v>3.0</v>
      </c>
      <c r="F1660" s="9">
        <v>36.0</v>
      </c>
      <c r="G1660" s="9">
        <v>108.0</v>
      </c>
      <c r="H1660" s="9">
        <v>0.0</v>
      </c>
      <c r="I1660" s="9">
        <v>0.0</v>
      </c>
      <c r="J1660" s="9">
        <v>36.0</v>
      </c>
      <c r="K1660" s="9">
        <v>108.0</v>
      </c>
      <c r="L1660" s="9">
        <v>1.75</v>
      </c>
      <c r="M1660" s="9">
        <v>63.0</v>
      </c>
      <c r="N1660" s="9">
        <v>45.0</v>
      </c>
      <c r="O1660" s="12">
        <v>46082.0</v>
      </c>
      <c r="P1660" s="16"/>
    </row>
    <row r="1661">
      <c r="A1661" s="9">
        <v>2.509000371E9</v>
      </c>
      <c r="B1661" s="10" t="s">
        <v>23</v>
      </c>
      <c r="C1661" s="9">
        <v>135.0</v>
      </c>
      <c r="D1661" s="10" t="s">
        <v>244</v>
      </c>
      <c r="E1661" s="9">
        <v>3.0</v>
      </c>
      <c r="F1661" s="9">
        <v>38.0</v>
      </c>
      <c r="G1661" s="9">
        <v>114.0</v>
      </c>
      <c r="H1661" s="9">
        <v>0.0</v>
      </c>
      <c r="I1661" s="9">
        <v>0.0</v>
      </c>
      <c r="J1661" s="9">
        <v>38.0</v>
      </c>
      <c r="K1661" s="9">
        <v>114.0</v>
      </c>
      <c r="L1661" s="9">
        <v>1.79</v>
      </c>
      <c r="M1661" s="9">
        <v>68.02</v>
      </c>
      <c r="N1661" s="9">
        <v>45.98</v>
      </c>
      <c r="O1661" s="12">
        <v>46082.0</v>
      </c>
      <c r="P1661" s="16"/>
    </row>
    <row r="1662">
      <c r="A1662" s="9">
        <v>2.509000371E9</v>
      </c>
      <c r="B1662" s="10" t="s">
        <v>23</v>
      </c>
      <c r="C1662" s="9">
        <v>137.0</v>
      </c>
      <c r="D1662" s="2" t="s">
        <v>129</v>
      </c>
      <c r="E1662" s="9">
        <v>5.0</v>
      </c>
      <c r="F1662" s="9">
        <v>22.0</v>
      </c>
      <c r="G1662" s="9">
        <v>110.0</v>
      </c>
      <c r="H1662" s="9">
        <v>0.0</v>
      </c>
      <c r="I1662" s="9">
        <v>0.0</v>
      </c>
      <c r="J1662" s="9">
        <v>22.0</v>
      </c>
      <c r="K1662" s="9">
        <v>110.0</v>
      </c>
      <c r="L1662" s="9">
        <v>2.93</v>
      </c>
      <c r="M1662" s="9">
        <v>64.46</v>
      </c>
      <c r="N1662" s="9">
        <v>45.54</v>
      </c>
      <c r="O1662" s="12">
        <v>46082.0</v>
      </c>
      <c r="P1662" s="16"/>
    </row>
    <row r="1663">
      <c r="A1663" s="9">
        <v>2.509000371E9</v>
      </c>
      <c r="B1663" s="10" t="s">
        <v>23</v>
      </c>
      <c r="C1663" s="9">
        <v>137.0</v>
      </c>
      <c r="D1663" s="10" t="s">
        <v>253</v>
      </c>
      <c r="E1663" s="9">
        <v>5.0</v>
      </c>
      <c r="F1663" s="9">
        <v>62.0</v>
      </c>
      <c r="G1663" s="9">
        <v>310.0</v>
      </c>
      <c r="H1663" s="9">
        <v>0.0</v>
      </c>
      <c r="I1663" s="9">
        <v>0.0</v>
      </c>
      <c r="J1663" s="9">
        <v>62.0</v>
      </c>
      <c r="K1663" s="9">
        <v>310.0</v>
      </c>
      <c r="L1663" s="9">
        <v>2.93</v>
      </c>
      <c r="M1663" s="9">
        <v>181.66</v>
      </c>
      <c r="N1663" s="9">
        <v>128.34</v>
      </c>
      <c r="O1663" s="12">
        <v>46082.0</v>
      </c>
      <c r="P1663" s="16"/>
    </row>
    <row r="1664">
      <c r="A1664" s="9">
        <v>2.509000371E9</v>
      </c>
      <c r="B1664" s="10" t="s">
        <v>23</v>
      </c>
      <c r="C1664" s="9">
        <v>138.0</v>
      </c>
      <c r="D1664" s="10" t="s">
        <v>254</v>
      </c>
      <c r="E1664" s="9">
        <v>2.0</v>
      </c>
      <c r="F1664" s="9">
        <v>83.0</v>
      </c>
      <c r="G1664" s="9">
        <v>166.0</v>
      </c>
      <c r="H1664" s="9">
        <v>0.0</v>
      </c>
      <c r="I1664" s="9">
        <v>0.0</v>
      </c>
      <c r="J1664" s="9">
        <v>83.0</v>
      </c>
      <c r="K1664" s="9">
        <v>166.0</v>
      </c>
      <c r="L1664" s="9">
        <v>1.08</v>
      </c>
      <c r="M1664" s="9">
        <v>89.64</v>
      </c>
      <c r="N1664" s="9">
        <v>76.36</v>
      </c>
      <c r="O1664" s="12">
        <v>46082.0</v>
      </c>
      <c r="P1664" s="16"/>
    </row>
    <row r="1665">
      <c r="A1665" s="9">
        <v>2.509000371E9</v>
      </c>
      <c r="B1665" s="10" t="s">
        <v>23</v>
      </c>
      <c r="C1665" s="9">
        <v>139.0</v>
      </c>
      <c r="D1665" s="10" t="s">
        <v>255</v>
      </c>
      <c r="E1665" s="9">
        <v>2.0</v>
      </c>
      <c r="F1665" s="9">
        <v>150.0</v>
      </c>
      <c r="G1665" s="9">
        <v>300.0</v>
      </c>
      <c r="H1665" s="9">
        <v>0.0</v>
      </c>
      <c r="I1665" s="9">
        <v>0.0</v>
      </c>
      <c r="J1665" s="9">
        <v>150.0</v>
      </c>
      <c r="K1665" s="9">
        <v>300.0</v>
      </c>
      <c r="L1665" s="9">
        <v>1.08</v>
      </c>
      <c r="M1665" s="9">
        <v>162.0</v>
      </c>
      <c r="N1665" s="9">
        <v>138.0</v>
      </c>
      <c r="O1665" s="12">
        <v>46082.0</v>
      </c>
      <c r="P1665" s="16"/>
    </row>
    <row r="1666">
      <c r="A1666" s="9">
        <v>2.509000371E9</v>
      </c>
      <c r="B1666" s="10" t="s">
        <v>23</v>
      </c>
      <c r="C1666" s="9">
        <v>140.0</v>
      </c>
      <c r="D1666" s="10" t="s">
        <v>258</v>
      </c>
      <c r="E1666" s="9">
        <v>2.0</v>
      </c>
      <c r="F1666" s="9">
        <v>69.0</v>
      </c>
      <c r="G1666" s="9">
        <v>138.0</v>
      </c>
      <c r="H1666" s="9">
        <v>0.0</v>
      </c>
      <c r="I1666" s="9">
        <v>0.0</v>
      </c>
      <c r="J1666" s="9">
        <v>69.0</v>
      </c>
      <c r="K1666" s="9">
        <v>138.0</v>
      </c>
      <c r="L1666" s="9">
        <v>1.08</v>
      </c>
      <c r="M1666" s="9">
        <v>74.52</v>
      </c>
      <c r="N1666" s="9">
        <v>63.48</v>
      </c>
      <c r="O1666" s="12">
        <v>46082.0</v>
      </c>
      <c r="P1666" s="16"/>
    </row>
    <row r="1667">
      <c r="A1667" s="9">
        <v>2.509000371E9</v>
      </c>
      <c r="B1667" s="10" t="s">
        <v>23</v>
      </c>
      <c r="C1667" s="9">
        <v>141.0</v>
      </c>
      <c r="D1667" s="10" t="s">
        <v>259</v>
      </c>
      <c r="E1667" s="9">
        <v>3.0</v>
      </c>
      <c r="F1667" s="9">
        <v>36.0</v>
      </c>
      <c r="G1667" s="9">
        <v>154.0</v>
      </c>
      <c r="H1667" s="9">
        <v>0.0</v>
      </c>
      <c r="I1667" s="9">
        <v>0.0</v>
      </c>
      <c r="J1667" s="9">
        <v>36.0</v>
      </c>
      <c r="K1667" s="9">
        <v>154.0</v>
      </c>
      <c r="L1667" s="9">
        <v>1.91</v>
      </c>
      <c r="M1667" s="9">
        <v>68.76</v>
      </c>
      <c r="N1667" s="9">
        <v>85.24</v>
      </c>
      <c r="O1667" s="12">
        <v>46082.0</v>
      </c>
      <c r="P1667" s="16"/>
    </row>
    <row r="1668">
      <c r="A1668" s="9">
        <v>2.509000371E9</v>
      </c>
      <c r="B1668" s="10" t="s">
        <v>23</v>
      </c>
      <c r="C1668" s="9">
        <v>142.0</v>
      </c>
      <c r="D1668" s="10" t="s">
        <v>256</v>
      </c>
      <c r="E1668" s="9">
        <v>5.0</v>
      </c>
      <c r="F1668" s="9">
        <v>165.0</v>
      </c>
      <c r="G1668" s="9">
        <v>832.0</v>
      </c>
      <c r="H1668" s="9">
        <v>0.0</v>
      </c>
      <c r="I1668" s="9">
        <v>0.0</v>
      </c>
      <c r="J1668" s="9">
        <v>165.0</v>
      </c>
      <c r="K1668" s="9">
        <v>832.0</v>
      </c>
      <c r="L1668" s="9">
        <v>3.66</v>
      </c>
      <c r="M1668" s="9">
        <v>603.9</v>
      </c>
      <c r="N1668" s="9">
        <v>228.1</v>
      </c>
      <c r="O1668" s="12">
        <v>46082.0</v>
      </c>
      <c r="P1668" s="16"/>
    </row>
    <row r="1669">
      <c r="A1669" s="9">
        <v>2.509000371E9</v>
      </c>
      <c r="B1669" s="10" t="s">
        <v>23</v>
      </c>
      <c r="C1669" s="9">
        <v>143.0</v>
      </c>
      <c r="D1669" s="2" t="s">
        <v>129</v>
      </c>
      <c r="E1669" s="9">
        <v>5.0</v>
      </c>
      <c r="F1669" s="9">
        <v>11.0</v>
      </c>
      <c r="G1669" s="9">
        <v>55.0</v>
      </c>
      <c r="H1669" s="9">
        <v>0.0</v>
      </c>
      <c r="I1669" s="9">
        <v>0.0</v>
      </c>
      <c r="J1669" s="9">
        <v>11.0</v>
      </c>
      <c r="K1669" s="9">
        <v>55.0</v>
      </c>
      <c r="L1669" s="9">
        <v>2.93</v>
      </c>
      <c r="M1669" s="9">
        <v>32.23</v>
      </c>
      <c r="N1669" s="9">
        <v>22.77</v>
      </c>
      <c r="O1669" s="12">
        <v>46082.0</v>
      </c>
      <c r="P1669" s="16"/>
    </row>
    <row r="1670">
      <c r="A1670" s="9">
        <v>2.509000371E9</v>
      </c>
      <c r="B1670" s="10" t="s">
        <v>23</v>
      </c>
      <c r="C1670" s="9">
        <v>143.0</v>
      </c>
      <c r="D1670" s="10" t="s">
        <v>260</v>
      </c>
      <c r="E1670" s="9">
        <v>5.0</v>
      </c>
      <c r="F1670" s="9">
        <v>42.0</v>
      </c>
      <c r="G1670" s="9">
        <v>210.0</v>
      </c>
      <c r="H1670" s="9">
        <v>0.0</v>
      </c>
      <c r="I1670" s="9">
        <v>0.0</v>
      </c>
      <c r="J1670" s="9">
        <v>42.0</v>
      </c>
      <c r="K1670" s="9">
        <v>210.0</v>
      </c>
      <c r="L1670" s="9">
        <v>2.93</v>
      </c>
      <c r="M1670" s="9">
        <v>123.06</v>
      </c>
      <c r="N1670" s="9">
        <v>86.94</v>
      </c>
      <c r="O1670" s="12">
        <v>46082.0</v>
      </c>
      <c r="P1670" s="16"/>
    </row>
    <row r="1671">
      <c r="A1671" s="9">
        <v>2.509000371E9</v>
      </c>
      <c r="B1671" s="10" t="s">
        <v>23</v>
      </c>
      <c r="C1671" s="9">
        <v>144.0</v>
      </c>
      <c r="D1671" s="10" t="s">
        <v>261</v>
      </c>
      <c r="E1671" s="9">
        <v>2.0</v>
      </c>
      <c r="F1671" s="9">
        <v>100.0</v>
      </c>
      <c r="G1671" s="9">
        <v>206.0</v>
      </c>
      <c r="H1671" s="9">
        <v>0.0</v>
      </c>
      <c r="I1671" s="9">
        <v>0.0</v>
      </c>
      <c r="J1671" s="9">
        <v>100.0</v>
      </c>
      <c r="K1671" s="9">
        <v>206.0</v>
      </c>
      <c r="L1671" s="9">
        <v>0.4</v>
      </c>
      <c r="M1671" s="9">
        <v>40.0</v>
      </c>
      <c r="N1671" s="9">
        <v>166.0</v>
      </c>
      <c r="O1671" s="12">
        <v>46082.0</v>
      </c>
      <c r="P1671" s="16"/>
    </row>
    <row r="1672">
      <c r="A1672" s="9">
        <v>2.509000371E9</v>
      </c>
      <c r="B1672" s="10" t="s">
        <v>23</v>
      </c>
      <c r="C1672" s="9">
        <v>145.0</v>
      </c>
      <c r="D1672" s="10" t="s">
        <v>257</v>
      </c>
      <c r="E1672" s="9">
        <v>2.0</v>
      </c>
      <c r="F1672" s="9">
        <v>99.0</v>
      </c>
      <c r="G1672" s="9">
        <v>198.0</v>
      </c>
      <c r="H1672" s="9">
        <v>0.0</v>
      </c>
      <c r="I1672" s="9">
        <v>0.0</v>
      </c>
      <c r="J1672" s="9">
        <v>99.0</v>
      </c>
      <c r="K1672" s="9">
        <v>198.0</v>
      </c>
      <c r="L1672" s="9">
        <v>1.12</v>
      </c>
      <c r="M1672" s="9">
        <v>110.88</v>
      </c>
      <c r="N1672" s="9">
        <v>87.12</v>
      </c>
      <c r="O1672" s="12">
        <v>46082.0</v>
      </c>
      <c r="P1672" s="16"/>
    </row>
    <row r="1673">
      <c r="A1673" s="9">
        <v>2.510001719E9</v>
      </c>
      <c r="B1673" s="10" t="s">
        <v>25</v>
      </c>
      <c r="C1673" s="9">
        <v>1.0</v>
      </c>
      <c r="D1673" s="10" t="s">
        <v>129</v>
      </c>
      <c r="E1673" s="9">
        <v>5.0</v>
      </c>
      <c r="F1673" s="9">
        <v>14.0</v>
      </c>
      <c r="G1673" s="9">
        <v>98.0</v>
      </c>
      <c r="H1673" s="9">
        <v>0.0</v>
      </c>
      <c r="I1673" s="9">
        <v>0.0</v>
      </c>
      <c r="J1673" s="9">
        <v>14.0</v>
      </c>
      <c r="K1673" s="9">
        <v>98.0</v>
      </c>
      <c r="L1673" s="9">
        <v>2.93</v>
      </c>
      <c r="M1673" s="9">
        <v>41.02</v>
      </c>
      <c r="N1673" s="9">
        <v>56.98</v>
      </c>
      <c r="O1673" s="12">
        <v>46082.0</v>
      </c>
      <c r="P1673" s="16"/>
    </row>
    <row r="1674">
      <c r="A1674" s="9">
        <v>2.510001719E9</v>
      </c>
      <c r="B1674" s="10" t="s">
        <v>25</v>
      </c>
      <c r="C1674" s="9">
        <v>2.0</v>
      </c>
      <c r="D1674" s="10" t="s">
        <v>74</v>
      </c>
      <c r="E1674" s="9">
        <v>1.0</v>
      </c>
      <c r="F1674" s="9">
        <v>31.0</v>
      </c>
      <c r="G1674" s="9">
        <v>31.0</v>
      </c>
      <c r="H1674" s="9">
        <v>0.0</v>
      </c>
      <c r="I1674" s="9">
        <v>0.0</v>
      </c>
      <c r="J1674" s="9">
        <v>31.0</v>
      </c>
      <c r="K1674" s="9">
        <v>31.0</v>
      </c>
      <c r="L1674" s="9">
        <v>0.28</v>
      </c>
      <c r="M1674" s="9">
        <v>8.68</v>
      </c>
      <c r="N1674" s="9">
        <v>22.32</v>
      </c>
      <c r="O1674" s="12">
        <v>46082.0</v>
      </c>
      <c r="P1674" s="16"/>
    </row>
    <row r="1675">
      <c r="A1675" s="9">
        <v>2.510001719E9</v>
      </c>
      <c r="B1675" s="10" t="s">
        <v>25</v>
      </c>
      <c r="C1675" s="9">
        <v>16.0</v>
      </c>
      <c r="D1675" s="10" t="s">
        <v>139</v>
      </c>
      <c r="E1675" s="9">
        <v>2.0</v>
      </c>
      <c r="F1675" s="9">
        <v>2.0</v>
      </c>
      <c r="G1675" s="9">
        <v>8.0</v>
      </c>
      <c r="H1675" s="9">
        <v>0.0</v>
      </c>
      <c r="I1675" s="9">
        <v>0.0</v>
      </c>
      <c r="J1675" s="9">
        <v>2.0</v>
      </c>
      <c r="K1675" s="9">
        <v>8.0</v>
      </c>
      <c r="L1675" s="9">
        <v>2.25</v>
      </c>
      <c r="M1675" s="9">
        <v>4.5</v>
      </c>
      <c r="N1675" s="9">
        <v>3.5</v>
      </c>
      <c r="O1675" s="12">
        <v>46082.0</v>
      </c>
      <c r="P1675" s="16"/>
    </row>
    <row r="1676">
      <c r="A1676" s="9">
        <v>2.510001719E9</v>
      </c>
      <c r="B1676" s="10" t="s">
        <v>25</v>
      </c>
      <c r="C1676" s="9">
        <v>19.0</v>
      </c>
      <c r="D1676" s="10" t="s">
        <v>72</v>
      </c>
      <c r="E1676" s="9">
        <v>3.0</v>
      </c>
      <c r="F1676" s="9">
        <v>11.0</v>
      </c>
      <c r="G1676" s="9">
        <v>33.0</v>
      </c>
      <c r="H1676" s="9">
        <v>0.0</v>
      </c>
      <c r="I1676" s="9">
        <v>0.0</v>
      </c>
      <c r="J1676" s="9">
        <v>11.0</v>
      </c>
      <c r="K1676" s="9">
        <v>33.0</v>
      </c>
      <c r="L1676" s="9">
        <v>1.79</v>
      </c>
      <c r="M1676" s="9">
        <v>19.69</v>
      </c>
      <c r="N1676" s="9">
        <v>13.31</v>
      </c>
      <c r="O1676" s="12">
        <v>46082.0</v>
      </c>
      <c r="P1676" s="16"/>
    </row>
    <row r="1677">
      <c r="A1677" s="9">
        <v>2.510001719E9</v>
      </c>
      <c r="B1677" s="10" t="s">
        <v>25</v>
      </c>
      <c r="C1677" s="9">
        <v>21.0</v>
      </c>
      <c r="D1677" s="10" t="s">
        <v>79</v>
      </c>
      <c r="E1677" s="9">
        <v>3.0</v>
      </c>
      <c r="F1677" s="9">
        <v>16.0</v>
      </c>
      <c r="G1677" s="9">
        <v>64.0</v>
      </c>
      <c r="H1677" s="9">
        <v>0.0</v>
      </c>
      <c r="I1677" s="9">
        <v>0.0</v>
      </c>
      <c r="J1677" s="9">
        <v>16.0</v>
      </c>
      <c r="K1677" s="9">
        <v>64.0</v>
      </c>
      <c r="L1677" s="9">
        <v>2.25</v>
      </c>
      <c r="M1677" s="9">
        <v>36.0</v>
      </c>
      <c r="N1677" s="9">
        <v>28.0</v>
      </c>
      <c r="O1677" s="12">
        <v>46082.0</v>
      </c>
      <c r="P1677" s="16"/>
    </row>
    <row r="1678">
      <c r="A1678" s="9">
        <v>2.510001719E9</v>
      </c>
      <c r="B1678" s="10" t="s">
        <v>25</v>
      </c>
      <c r="C1678" s="9">
        <v>29.0</v>
      </c>
      <c r="D1678" s="10" t="s">
        <v>147</v>
      </c>
      <c r="E1678" s="9">
        <v>3.0</v>
      </c>
      <c r="F1678" s="9">
        <v>9.0</v>
      </c>
      <c r="G1678" s="9">
        <v>36.0</v>
      </c>
      <c r="H1678" s="9">
        <v>0.0</v>
      </c>
      <c r="I1678" s="9">
        <v>0.0</v>
      </c>
      <c r="J1678" s="9">
        <v>9.0</v>
      </c>
      <c r="K1678" s="9">
        <v>36.0</v>
      </c>
      <c r="L1678" s="9">
        <v>2.25</v>
      </c>
      <c r="M1678" s="9">
        <v>20.25</v>
      </c>
      <c r="N1678" s="9">
        <v>15.75</v>
      </c>
      <c r="O1678" s="12">
        <v>46082.0</v>
      </c>
      <c r="P1678" s="16"/>
    </row>
    <row r="1679">
      <c r="A1679" s="9">
        <v>2.510001719E9</v>
      </c>
      <c r="B1679" s="10" t="s">
        <v>25</v>
      </c>
      <c r="C1679" s="9">
        <v>32.0</v>
      </c>
      <c r="D1679" s="10" t="s">
        <v>150</v>
      </c>
      <c r="E1679" s="9">
        <v>3.0</v>
      </c>
      <c r="F1679" s="9">
        <v>1.0</v>
      </c>
      <c r="G1679" s="9">
        <v>4.0</v>
      </c>
      <c r="H1679" s="9">
        <v>0.0</v>
      </c>
      <c r="I1679" s="9">
        <v>0.0</v>
      </c>
      <c r="J1679" s="9">
        <v>1.0</v>
      </c>
      <c r="K1679" s="9">
        <v>4.0</v>
      </c>
      <c r="L1679" s="9">
        <v>2.29</v>
      </c>
      <c r="M1679" s="9">
        <v>2.29</v>
      </c>
      <c r="N1679" s="9">
        <v>1.71</v>
      </c>
      <c r="O1679" s="12">
        <v>46082.0</v>
      </c>
      <c r="P1679" s="16"/>
    </row>
    <row r="1680">
      <c r="A1680" s="9">
        <v>2.510001719E9</v>
      </c>
      <c r="B1680" s="10" t="s">
        <v>25</v>
      </c>
      <c r="C1680" s="9">
        <v>38.0</v>
      </c>
      <c r="D1680" s="10" t="s">
        <v>155</v>
      </c>
      <c r="E1680" s="9">
        <v>7.0</v>
      </c>
      <c r="F1680" s="9">
        <v>1.0</v>
      </c>
      <c r="G1680" s="9">
        <v>8.0</v>
      </c>
      <c r="H1680" s="9">
        <v>0.0</v>
      </c>
      <c r="I1680" s="9">
        <v>0.0</v>
      </c>
      <c r="J1680" s="9">
        <v>1.0</v>
      </c>
      <c r="K1680" s="9">
        <v>8.0</v>
      </c>
      <c r="L1680" s="9">
        <v>5.18</v>
      </c>
      <c r="M1680" s="9">
        <v>5.18</v>
      </c>
      <c r="N1680" s="9">
        <v>2.82</v>
      </c>
      <c r="O1680" s="12">
        <v>46082.0</v>
      </c>
      <c r="P1680" s="16"/>
    </row>
    <row r="1681">
      <c r="A1681" s="9">
        <v>2.510001719E9</v>
      </c>
      <c r="B1681" s="10" t="s">
        <v>25</v>
      </c>
      <c r="C1681" s="9">
        <v>44.0</v>
      </c>
      <c r="D1681" s="10" t="s">
        <v>160</v>
      </c>
      <c r="E1681" s="9">
        <v>5.0</v>
      </c>
      <c r="F1681" s="9">
        <v>2.0</v>
      </c>
      <c r="G1681" s="9">
        <v>12.0</v>
      </c>
      <c r="H1681" s="9">
        <v>0.0</v>
      </c>
      <c r="I1681" s="9">
        <v>0.0</v>
      </c>
      <c r="J1681" s="9">
        <v>2.0</v>
      </c>
      <c r="K1681" s="9">
        <v>12.0</v>
      </c>
      <c r="L1681" s="9">
        <v>4.13</v>
      </c>
      <c r="M1681" s="9">
        <v>8.26</v>
      </c>
      <c r="N1681" s="9">
        <v>3.74</v>
      </c>
      <c r="O1681" s="12">
        <v>46082.0</v>
      </c>
      <c r="P1681" s="16"/>
    </row>
    <row r="1682">
      <c r="A1682" s="9">
        <v>2.510001719E9</v>
      </c>
      <c r="B1682" s="10" t="s">
        <v>25</v>
      </c>
      <c r="C1682" s="9">
        <v>54.0</v>
      </c>
      <c r="D1682" s="10" t="s">
        <v>168</v>
      </c>
      <c r="E1682" s="9">
        <v>3.0</v>
      </c>
      <c r="F1682" s="9">
        <v>3.0</v>
      </c>
      <c r="G1682" s="9">
        <v>12.0</v>
      </c>
      <c r="H1682" s="9">
        <v>0.0</v>
      </c>
      <c r="I1682" s="9">
        <v>0.0</v>
      </c>
      <c r="J1682" s="9">
        <v>3.0</v>
      </c>
      <c r="K1682" s="9">
        <v>12.0</v>
      </c>
      <c r="L1682" s="9">
        <v>2.25</v>
      </c>
      <c r="M1682" s="9">
        <v>6.75</v>
      </c>
      <c r="N1682" s="9">
        <v>5.25</v>
      </c>
      <c r="O1682" s="12">
        <v>46082.0</v>
      </c>
      <c r="P1682" s="16"/>
    </row>
    <row r="1683">
      <c r="A1683" s="9">
        <v>2.510001719E9</v>
      </c>
      <c r="B1683" s="10" t="s">
        <v>25</v>
      </c>
      <c r="C1683" s="9">
        <v>64.0</v>
      </c>
      <c r="D1683" s="10" t="s">
        <v>173</v>
      </c>
      <c r="E1683" s="9">
        <v>3.0</v>
      </c>
      <c r="F1683" s="9">
        <v>2.0</v>
      </c>
      <c r="G1683" s="9">
        <v>8.0</v>
      </c>
      <c r="H1683" s="9">
        <v>0.0</v>
      </c>
      <c r="I1683" s="9">
        <v>0.0</v>
      </c>
      <c r="J1683" s="9">
        <v>2.0</v>
      </c>
      <c r="K1683" s="9">
        <v>8.0</v>
      </c>
      <c r="L1683" s="9">
        <v>2.29</v>
      </c>
      <c r="M1683" s="9">
        <v>4.58</v>
      </c>
      <c r="N1683" s="9">
        <v>3.42</v>
      </c>
      <c r="O1683" s="12">
        <v>46082.0</v>
      </c>
      <c r="P1683" s="16"/>
    </row>
    <row r="1684">
      <c r="A1684" s="9">
        <v>2.510001719E9</v>
      </c>
      <c r="B1684" s="10" t="s">
        <v>25</v>
      </c>
      <c r="C1684" s="9">
        <v>65.0</v>
      </c>
      <c r="D1684" s="10" t="s">
        <v>187</v>
      </c>
      <c r="E1684" s="9">
        <v>3.0</v>
      </c>
      <c r="F1684" s="9">
        <v>7.0</v>
      </c>
      <c r="G1684" s="9">
        <v>21.0</v>
      </c>
      <c r="H1684" s="9">
        <v>0.0</v>
      </c>
      <c r="I1684" s="9">
        <v>0.0</v>
      </c>
      <c r="J1684" s="9">
        <v>7.0</v>
      </c>
      <c r="K1684" s="9">
        <v>21.0</v>
      </c>
      <c r="L1684" s="9">
        <v>0.91</v>
      </c>
      <c r="M1684" s="9">
        <v>6.37</v>
      </c>
      <c r="N1684" s="9">
        <v>14.63</v>
      </c>
      <c r="O1684" s="12">
        <v>46082.0</v>
      </c>
      <c r="P1684" s="16"/>
    </row>
    <row r="1685">
      <c r="A1685" s="9">
        <v>2.510001719E9</v>
      </c>
      <c r="B1685" s="10" t="s">
        <v>25</v>
      </c>
      <c r="C1685" s="9">
        <v>88.0</v>
      </c>
      <c r="D1685" s="10" t="s">
        <v>203</v>
      </c>
      <c r="E1685" s="9">
        <v>3.0</v>
      </c>
      <c r="F1685" s="9">
        <v>9.0</v>
      </c>
      <c r="G1685" s="9">
        <v>36.0</v>
      </c>
      <c r="H1685" s="9">
        <v>0.0</v>
      </c>
      <c r="I1685" s="9">
        <v>0.0</v>
      </c>
      <c r="J1685" s="9">
        <v>9.0</v>
      </c>
      <c r="K1685" s="9">
        <v>36.0</v>
      </c>
      <c r="L1685" s="9">
        <v>1.8</v>
      </c>
      <c r="M1685" s="9">
        <v>16.2</v>
      </c>
      <c r="N1685" s="9">
        <v>19.8</v>
      </c>
      <c r="O1685" s="12">
        <v>46082.0</v>
      </c>
      <c r="P1685" s="16"/>
    </row>
    <row r="1686">
      <c r="A1686" s="9">
        <v>2.510001719E9</v>
      </c>
      <c r="B1686" s="10" t="s">
        <v>25</v>
      </c>
      <c r="C1686" s="9">
        <v>97.0</v>
      </c>
      <c r="D1686" s="10" t="s">
        <v>115</v>
      </c>
      <c r="E1686" s="9">
        <v>5.0</v>
      </c>
      <c r="F1686" s="9">
        <v>19.0</v>
      </c>
      <c r="G1686" s="9">
        <v>133.0</v>
      </c>
      <c r="H1686" s="9">
        <v>0.0</v>
      </c>
      <c r="I1686" s="9">
        <v>0.0</v>
      </c>
      <c r="J1686" s="9">
        <v>19.0</v>
      </c>
      <c r="K1686" s="9">
        <v>133.0</v>
      </c>
      <c r="L1686" s="9">
        <v>2.93</v>
      </c>
      <c r="M1686" s="9">
        <v>55.67</v>
      </c>
      <c r="N1686" s="9">
        <v>77.33</v>
      </c>
      <c r="O1686" s="12">
        <v>46082.0</v>
      </c>
      <c r="P1686" s="16"/>
    </row>
    <row r="1687">
      <c r="A1687" s="9">
        <v>2.510001719E9</v>
      </c>
      <c r="B1687" s="10" t="s">
        <v>25</v>
      </c>
      <c r="C1687" s="9">
        <v>99.0</v>
      </c>
      <c r="D1687" s="10" t="s">
        <v>213</v>
      </c>
      <c r="E1687" s="9">
        <v>3.0</v>
      </c>
      <c r="F1687" s="9">
        <v>1.0</v>
      </c>
      <c r="G1687" s="9">
        <v>4.0</v>
      </c>
      <c r="H1687" s="9">
        <v>0.0</v>
      </c>
      <c r="I1687" s="9">
        <v>0.0</v>
      </c>
      <c r="J1687" s="9">
        <v>1.0</v>
      </c>
      <c r="K1687" s="9">
        <v>4.0</v>
      </c>
      <c r="L1687" s="9">
        <v>2.25</v>
      </c>
      <c r="M1687" s="9">
        <v>2.25</v>
      </c>
      <c r="N1687" s="9">
        <v>1.75</v>
      </c>
      <c r="O1687" s="12">
        <v>46082.0</v>
      </c>
      <c r="P1687" s="16"/>
    </row>
    <row r="1688">
      <c r="A1688" s="9">
        <v>2.510001719E9</v>
      </c>
      <c r="B1688" s="10" t="s">
        <v>25</v>
      </c>
      <c r="C1688" s="9">
        <v>100.0</v>
      </c>
      <c r="D1688" s="10" t="s">
        <v>230</v>
      </c>
      <c r="E1688" s="9">
        <v>5.0</v>
      </c>
      <c r="F1688" s="9">
        <v>7.0</v>
      </c>
      <c r="G1688" s="9">
        <v>42.0</v>
      </c>
      <c r="H1688" s="9">
        <v>0.0</v>
      </c>
      <c r="I1688" s="9">
        <v>0.0</v>
      </c>
      <c r="J1688" s="9">
        <v>7.0</v>
      </c>
      <c r="K1688" s="9">
        <v>42.0</v>
      </c>
      <c r="L1688" s="9">
        <v>2.44</v>
      </c>
      <c r="M1688" s="9">
        <v>17.08</v>
      </c>
      <c r="N1688" s="9">
        <v>24.92</v>
      </c>
      <c r="O1688" s="12">
        <v>46082.0</v>
      </c>
      <c r="P1688" s="1">
        <f>IFERROR(__xludf.DUMMYFUNCTION("SORT(UNIQUE(FILTER(VMS_Sales!$C$2:$C2695,VMS_Sales!$C$2:$C2695&lt;&gt;"""",VMS_Sales!$C$2:$C2695&lt;&gt;0)))"),1.0)</f>
        <v>1</v>
      </c>
    </row>
    <row r="1689">
      <c r="A1689" s="9">
        <v>2.510001719E9</v>
      </c>
      <c r="B1689" s="10" t="s">
        <v>25</v>
      </c>
      <c r="C1689" s="9">
        <v>120.0</v>
      </c>
      <c r="D1689" s="10" t="s">
        <v>239</v>
      </c>
      <c r="E1689" s="9">
        <v>7.0</v>
      </c>
      <c r="F1689" s="9">
        <v>12.0</v>
      </c>
      <c r="G1689" s="9">
        <v>96.0</v>
      </c>
      <c r="H1689" s="9">
        <v>0.0</v>
      </c>
      <c r="I1689" s="9">
        <v>0.0</v>
      </c>
      <c r="J1689" s="9">
        <v>12.0</v>
      </c>
      <c r="K1689" s="9">
        <v>96.0</v>
      </c>
      <c r="L1689" s="9">
        <v>3.5</v>
      </c>
      <c r="M1689" s="9">
        <v>42.0</v>
      </c>
      <c r="N1689" s="9">
        <v>54.0</v>
      </c>
      <c r="O1689" s="12">
        <v>46082.0</v>
      </c>
      <c r="P1689" s="16">
        <f>IFERROR(__xludf.DUMMYFUNCTION("""COMPUTED_VALUE"""),2.0)</f>
        <v>2</v>
      </c>
    </row>
    <row r="1690">
      <c r="A1690" s="9">
        <v>2.510001719E9</v>
      </c>
      <c r="B1690" s="10" t="s">
        <v>25</v>
      </c>
      <c r="C1690" s="9">
        <v>126.0</v>
      </c>
      <c r="D1690" s="10" t="s">
        <v>227</v>
      </c>
      <c r="E1690" s="9">
        <v>1.0</v>
      </c>
      <c r="F1690" s="9">
        <v>7.0</v>
      </c>
      <c r="G1690" s="9">
        <v>14.0</v>
      </c>
      <c r="H1690" s="9">
        <v>0.0</v>
      </c>
      <c r="I1690" s="9">
        <v>0.0</v>
      </c>
      <c r="J1690" s="9">
        <v>7.0</v>
      </c>
      <c r="K1690" s="9">
        <v>14.0</v>
      </c>
      <c r="L1690" s="9">
        <v>0.45</v>
      </c>
      <c r="M1690" s="9">
        <v>3.15</v>
      </c>
      <c r="N1690" s="9">
        <v>10.85</v>
      </c>
      <c r="O1690" s="12">
        <v>46082.0</v>
      </c>
      <c r="P1690" s="16">
        <f>IFERROR(__xludf.DUMMYFUNCTION("""COMPUTED_VALUE"""),3.0)</f>
        <v>3</v>
      </c>
    </row>
    <row r="1691">
      <c r="A1691" s="9">
        <v>2.510001719E9</v>
      </c>
      <c r="B1691" s="10" t="s">
        <v>25</v>
      </c>
      <c r="C1691" s="9">
        <v>130.0</v>
      </c>
      <c r="D1691" s="10" t="s">
        <v>243</v>
      </c>
      <c r="E1691" s="9">
        <v>3.0</v>
      </c>
      <c r="F1691" s="9">
        <v>1.0</v>
      </c>
      <c r="G1691" s="9">
        <v>4.0</v>
      </c>
      <c r="H1691" s="9">
        <v>0.0</v>
      </c>
      <c r="I1691" s="9">
        <v>0.0</v>
      </c>
      <c r="J1691" s="9">
        <v>1.0</v>
      </c>
      <c r="K1691" s="9">
        <v>4.0</v>
      </c>
      <c r="L1691" s="9">
        <v>1.75</v>
      </c>
      <c r="M1691" s="9">
        <v>1.75</v>
      </c>
      <c r="N1691" s="9">
        <v>2.25</v>
      </c>
      <c r="O1691" s="12">
        <v>46082.0</v>
      </c>
      <c r="P1691" s="16">
        <f>IFERROR(__xludf.DUMMYFUNCTION("""COMPUTED_VALUE"""),4.0)</f>
        <v>4</v>
      </c>
    </row>
    <row r="1692">
      <c r="A1692" s="9">
        <v>2.510001719E9</v>
      </c>
      <c r="B1692" s="10" t="s">
        <v>25</v>
      </c>
      <c r="C1692" s="9">
        <v>137.0</v>
      </c>
      <c r="D1692" s="2" t="s">
        <v>129</v>
      </c>
      <c r="E1692" s="9">
        <v>5.0</v>
      </c>
      <c r="F1692" s="9">
        <v>12.0</v>
      </c>
      <c r="G1692" s="9">
        <v>84.0</v>
      </c>
      <c r="H1692" s="9">
        <v>0.0</v>
      </c>
      <c r="I1692" s="9">
        <v>0.0</v>
      </c>
      <c r="J1692" s="9">
        <v>12.0</v>
      </c>
      <c r="K1692" s="9">
        <v>84.0</v>
      </c>
      <c r="L1692" s="9">
        <v>2.93</v>
      </c>
      <c r="M1692" s="9">
        <v>35.16</v>
      </c>
      <c r="N1692" s="9">
        <v>48.84</v>
      </c>
      <c r="O1692" s="12">
        <v>46082.0</v>
      </c>
      <c r="P1692" s="16">
        <f>IFERROR(__xludf.DUMMYFUNCTION("""COMPUTED_VALUE"""),5.0)</f>
        <v>5</v>
      </c>
    </row>
    <row r="1693">
      <c r="A1693" s="9">
        <v>2.510001719E9</v>
      </c>
      <c r="B1693" s="10" t="s">
        <v>25</v>
      </c>
      <c r="C1693" s="9">
        <v>137.0</v>
      </c>
      <c r="D1693" s="10" t="s">
        <v>253</v>
      </c>
      <c r="E1693" s="9">
        <v>5.0</v>
      </c>
      <c r="F1693" s="9">
        <v>9.0</v>
      </c>
      <c r="G1693" s="9">
        <v>63.0</v>
      </c>
      <c r="H1693" s="9">
        <v>0.0</v>
      </c>
      <c r="I1693" s="9">
        <v>0.0</v>
      </c>
      <c r="J1693" s="9">
        <v>9.0</v>
      </c>
      <c r="K1693" s="9">
        <v>63.0</v>
      </c>
      <c r="L1693" s="9">
        <v>2.93</v>
      </c>
      <c r="M1693" s="9">
        <v>26.37</v>
      </c>
      <c r="N1693" s="9">
        <v>36.63</v>
      </c>
      <c r="O1693" s="12">
        <v>46082.0</v>
      </c>
      <c r="P1693" s="16">
        <f>IFERROR(__xludf.DUMMYFUNCTION("""COMPUTED_VALUE"""),6.0)</f>
        <v>6</v>
      </c>
    </row>
    <row r="1694">
      <c r="A1694" s="25"/>
      <c r="B1694" s="26"/>
      <c r="C1694" s="14"/>
      <c r="D1694" s="23"/>
      <c r="E1694" s="14"/>
      <c r="F1694" s="23"/>
      <c r="G1694" s="23"/>
      <c r="H1694" s="14"/>
      <c r="I1694" s="14"/>
      <c r="J1694" s="23"/>
      <c r="K1694" s="23"/>
      <c r="L1694" s="14"/>
      <c r="M1694" s="14"/>
      <c r="N1694" s="23"/>
      <c r="O1694" s="12"/>
      <c r="P1694" s="16">
        <f>IFERROR(__xludf.DUMMYFUNCTION("""COMPUTED_VALUE"""),7.0)</f>
        <v>7</v>
      </c>
    </row>
    <row r="1695">
      <c r="A1695" s="25">
        <v>2.404120076E9</v>
      </c>
      <c r="B1695" s="26" t="s">
        <v>19</v>
      </c>
      <c r="C1695" s="14"/>
      <c r="D1695" s="23" t="s">
        <v>89</v>
      </c>
      <c r="E1695" s="14"/>
      <c r="F1695" s="24">
        <v>6.0</v>
      </c>
      <c r="G1695" s="24">
        <v>18.0</v>
      </c>
      <c r="H1695" s="14"/>
      <c r="I1695" s="14"/>
      <c r="J1695" s="24">
        <v>6.0</v>
      </c>
      <c r="K1695" s="24">
        <v>18.0</v>
      </c>
      <c r="L1695" s="14"/>
      <c r="M1695" s="14"/>
      <c r="N1695" s="24">
        <v>7.02</v>
      </c>
      <c r="O1695" s="12">
        <v>46082.0</v>
      </c>
      <c r="P1695" s="16">
        <f>IFERROR(__xludf.DUMMYFUNCTION("""COMPUTED_VALUE"""),8.0)</f>
        <v>8</v>
      </c>
    </row>
    <row r="1696">
      <c r="A1696" s="25">
        <v>2.404120076E9</v>
      </c>
      <c r="B1696" s="26" t="s">
        <v>19</v>
      </c>
      <c r="C1696" s="14"/>
      <c r="D1696" s="23" t="s">
        <v>55</v>
      </c>
      <c r="E1696" s="14"/>
      <c r="F1696" s="24">
        <v>5.0</v>
      </c>
      <c r="G1696" s="24">
        <v>15.0</v>
      </c>
      <c r="H1696" s="14"/>
      <c r="I1696" s="14"/>
      <c r="J1696" s="24">
        <v>5.0</v>
      </c>
      <c r="K1696" s="24">
        <v>15.0</v>
      </c>
      <c r="L1696" s="14"/>
      <c r="M1696" s="14"/>
      <c r="N1696" s="24">
        <v>8.7</v>
      </c>
      <c r="O1696" s="19">
        <v>46082.0</v>
      </c>
      <c r="P1696" s="1">
        <f>IFERROR(__xludf.DUMMYFUNCTION("""COMPUTED_VALUE"""),9.0)</f>
        <v>9</v>
      </c>
    </row>
    <row r="1697">
      <c r="A1697" s="25">
        <v>2.404120076E9</v>
      </c>
      <c r="B1697" s="26" t="s">
        <v>19</v>
      </c>
      <c r="C1697" s="14"/>
      <c r="D1697" s="23" t="s">
        <v>241</v>
      </c>
      <c r="E1697" s="14"/>
      <c r="F1697" s="24">
        <v>241.0</v>
      </c>
      <c r="G1697" s="24">
        <v>1235.0</v>
      </c>
      <c r="H1697" s="14"/>
      <c r="I1697" s="14"/>
      <c r="J1697" s="24">
        <v>241.0</v>
      </c>
      <c r="K1697" s="24">
        <v>1235.0</v>
      </c>
      <c r="L1697" s="14"/>
      <c r="M1697" s="14"/>
      <c r="N1697" s="24">
        <v>512.0</v>
      </c>
      <c r="O1697" s="19">
        <v>46082.0</v>
      </c>
      <c r="P1697" s="1">
        <f>IFERROR(__xludf.DUMMYFUNCTION("""COMPUTED_VALUE"""),10.0)</f>
        <v>10</v>
      </c>
    </row>
    <row r="1698">
      <c r="A1698" s="25">
        <v>2.404120076E9</v>
      </c>
      <c r="B1698" s="26" t="s">
        <v>19</v>
      </c>
      <c r="C1698" s="14"/>
      <c r="D1698" s="23" t="s">
        <v>58</v>
      </c>
      <c r="E1698" s="14"/>
      <c r="F1698" s="24">
        <v>3.0</v>
      </c>
      <c r="G1698" s="24">
        <v>15.0</v>
      </c>
      <c r="H1698" s="14"/>
      <c r="I1698" s="14"/>
      <c r="J1698" s="24">
        <v>3.0</v>
      </c>
      <c r="K1698" s="24">
        <v>15.0</v>
      </c>
      <c r="L1698" s="14"/>
      <c r="M1698" s="14"/>
      <c r="N1698" s="24">
        <v>10.35</v>
      </c>
      <c r="O1698" s="19">
        <v>46082.0</v>
      </c>
      <c r="P1698" s="1">
        <f>IFERROR(__xludf.DUMMYFUNCTION("""COMPUTED_VALUE"""),11.0)</f>
        <v>11</v>
      </c>
    </row>
    <row r="1699">
      <c r="A1699" s="25">
        <v>2.404120076E9</v>
      </c>
      <c r="B1699" s="26" t="s">
        <v>19</v>
      </c>
      <c r="C1699" s="14"/>
      <c r="D1699" s="23" t="s">
        <v>199</v>
      </c>
      <c r="E1699" s="14"/>
      <c r="F1699" s="24">
        <v>4.0</v>
      </c>
      <c r="G1699" s="24">
        <v>20.0</v>
      </c>
      <c r="H1699" s="14"/>
      <c r="I1699" s="14"/>
      <c r="J1699" s="24">
        <v>4.0</v>
      </c>
      <c r="K1699" s="24">
        <v>20.0</v>
      </c>
      <c r="L1699" s="14"/>
      <c r="M1699" s="14"/>
      <c r="N1699" s="24">
        <v>11.2</v>
      </c>
      <c r="O1699" s="19">
        <v>46082.0</v>
      </c>
      <c r="P1699" s="1">
        <f>IFERROR(__xludf.DUMMYFUNCTION("""COMPUTED_VALUE"""),12.0)</f>
        <v>12</v>
      </c>
    </row>
    <row r="1700">
      <c r="A1700" s="25">
        <v>2.404120076E9</v>
      </c>
      <c r="B1700" s="26" t="s">
        <v>19</v>
      </c>
      <c r="C1700" s="14"/>
      <c r="D1700" s="23" t="s">
        <v>120</v>
      </c>
      <c r="E1700" s="14"/>
      <c r="F1700" s="24">
        <v>45.0</v>
      </c>
      <c r="G1700" s="24">
        <v>130.0</v>
      </c>
      <c r="H1700" s="14"/>
      <c r="I1700" s="14"/>
      <c r="J1700" s="24">
        <v>45.0</v>
      </c>
      <c r="K1700" s="24">
        <v>130.0</v>
      </c>
      <c r="L1700" s="14"/>
      <c r="M1700" s="14"/>
      <c r="N1700" s="24"/>
      <c r="O1700" s="19">
        <v>46082.0</v>
      </c>
      <c r="P1700" s="1">
        <f>IFERROR(__xludf.DUMMYFUNCTION("""COMPUTED_VALUE"""),13.0)</f>
        <v>13</v>
      </c>
    </row>
    <row r="1701">
      <c r="A1701" s="25">
        <v>2.404120076E9</v>
      </c>
      <c r="B1701" s="26" t="s">
        <v>19</v>
      </c>
      <c r="C1701" s="14"/>
      <c r="D1701" s="23" t="s">
        <v>71</v>
      </c>
      <c r="E1701" s="14"/>
      <c r="F1701" s="24">
        <v>244.0</v>
      </c>
      <c r="G1701" s="24">
        <v>375.0</v>
      </c>
      <c r="H1701" s="14"/>
      <c r="I1701" s="14"/>
      <c r="J1701" s="24">
        <v>244.0</v>
      </c>
      <c r="K1701" s="24">
        <v>375.0</v>
      </c>
      <c r="L1701" s="14"/>
      <c r="M1701" s="14"/>
      <c r="N1701" s="24">
        <v>218.84</v>
      </c>
      <c r="O1701" s="19">
        <v>46082.0</v>
      </c>
      <c r="P1701" s="1">
        <f>IFERROR(__xludf.DUMMYFUNCTION("""COMPUTED_VALUE"""),14.0)</f>
        <v>14</v>
      </c>
    </row>
    <row r="1702">
      <c r="A1702" s="25">
        <v>2.404120076E9</v>
      </c>
      <c r="B1702" s="26" t="s">
        <v>19</v>
      </c>
      <c r="C1702" s="14"/>
      <c r="D1702" s="23" t="s">
        <v>72</v>
      </c>
      <c r="E1702" s="14"/>
      <c r="F1702" s="24">
        <v>60.0</v>
      </c>
      <c r="G1702" s="24">
        <v>180.0</v>
      </c>
      <c r="H1702" s="14"/>
      <c r="I1702" s="14"/>
      <c r="J1702" s="24">
        <v>60.0</v>
      </c>
      <c r="K1702" s="24">
        <v>180.0</v>
      </c>
      <c r="L1702" s="14"/>
      <c r="M1702" s="14"/>
      <c r="N1702" s="24">
        <v>105.0</v>
      </c>
      <c r="O1702" s="19">
        <v>46082.0</v>
      </c>
      <c r="P1702" s="1">
        <f>IFERROR(__xludf.DUMMYFUNCTION("""COMPUTED_VALUE"""),15.0)</f>
        <v>15</v>
      </c>
    </row>
    <row r="1703">
      <c r="A1703" s="25">
        <v>2.404120076E9</v>
      </c>
      <c r="B1703" s="26" t="s">
        <v>19</v>
      </c>
      <c r="C1703" s="14"/>
      <c r="D1703" s="23" t="s">
        <v>97</v>
      </c>
      <c r="E1703" s="14"/>
      <c r="F1703" s="24">
        <v>71.0</v>
      </c>
      <c r="G1703" s="24">
        <v>710.0</v>
      </c>
      <c r="H1703" s="14"/>
      <c r="I1703" s="14"/>
      <c r="J1703" s="24">
        <v>71.0</v>
      </c>
      <c r="K1703" s="24">
        <v>710.0</v>
      </c>
      <c r="L1703" s="14"/>
      <c r="M1703" s="14"/>
      <c r="N1703" s="24">
        <v>284.0</v>
      </c>
      <c r="O1703" s="19">
        <v>46082.0</v>
      </c>
      <c r="P1703" s="1">
        <f>IFERROR(__xludf.DUMMYFUNCTION("""COMPUTED_VALUE"""),16.0)</f>
        <v>16</v>
      </c>
    </row>
    <row r="1704">
      <c r="A1704" s="25">
        <v>2.404120076E9</v>
      </c>
      <c r="B1704" s="26" t="s">
        <v>19</v>
      </c>
      <c r="C1704" s="14"/>
      <c r="D1704" s="23" t="s">
        <v>73</v>
      </c>
      <c r="E1704" s="14"/>
      <c r="F1704" s="24">
        <v>22.0</v>
      </c>
      <c r="G1704" s="24">
        <v>188.0</v>
      </c>
      <c r="H1704" s="14"/>
      <c r="I1704" s="14"/>
      <c r="J1704" s="24">
        <v>22.0</v>
      </c>
      <c r="K1704" s="24">
        <v>188.0</v>
      </c>
      <c r="L1704" s="14"/>
      <c r="M1704" s="14"/>
      <c r="N1704" s="24">
        <v>127.5</v>
      </c>
      <c r="O1704" s="19">
        <v>46082.0</v>
      </c>
      <c r="P1704" s="1">
        <f>IFERROR(__xludf.DUMMYFUNCTION("""COMPUTED_VALUE"""),17.0)</f>
        <v>17</v>
      </c>
    </row>
    <row r="1705">
      <c r="A1705" s="25">
        <v>2.404120076E9</v>
      </c>
      <c r="B1705" s="26" t="s">
        <v>19</v>
      </c>
      <c r="C1705" s="14"/>
      <c r="D1705" s="23" t="s">
        <v>74</v>
      </c>
      <c r="E1705" s="14"/>
      <c r="F1705" s="24">
        <v>541.0</v>
      </c>
      <c r="G1705" s="24">
        <v>541.0</v>
      </c>
      <c r="H1705" s="14"/>
      <c r="I1705" s="14"/>
      <c r="J1705" s="24">
        <v>541.0</v>
      </c>
      <c r="K1705" s="24">
        <v>541.0</v>
      </c>
      <c r="L1705" s="14"/>
      <c r="M1705" s="14"/>
      <c r="N1705" s="24">
        <v>384.11</v>
      </c>
      <c r="O1705" s="19">
        <v>46082.0</v>
      </c>
      <c r="P1705" s="1">
        <f>IFERROR(__xludf.DUMMYFUNCTION("""COMPUTED_VALUE"""),18.0)</f>
        <v>18</v>
      </c>
    </row>
    <row r="1706">
      <c r="A1706" s="25">
        <v>2.404120076E9</v>
      </c>
      <c r="B1706" s="26" t="s">
        <v>19</v>
      </c>
      <c r="C1706" s="14"/>
      <c r="D1706" s="23" t="s">
        <v>100</v>
      </c>
      <c r="E1706" s="14"/>
      <c r="F1706" s="24">
        <v>22.0</v>
      </c>
      <c r="G1706" s="24">
        <v>98.0</v>
      </c>
      <c r="H1706" s="14"/>
      <c r="I1706" s="14"/>
      <c r="J1706" s="24">
        <v>22.0</v>
      </c>
      <c r="K1706" s="24">
        <v>98.0</v>
      </c>
      <c r="L1706" s="14"/>
      <c r="M1706" s="14"/>
      <c r="N1706" s="24">
        <v>54.0</v>
      </c>
      <c r="O1706" s="19">
        <v>46082.0</v>
      </c>
      <c r="P1706" s="1">
        <f>IFERROR(__xludf.DUMMYFUNCTION("""COMPUTED_VALUE"""),19.0)</f>
        <v>19</v>
      </c>
    </row>
    <row r="1707">
      <c r="A1707" s="25">
        <v>2.404120076E9</v>
      </c>
      <c r="B1707" s="26" t="s">
        <v>19</v>
      </c>
      <c r="C1707" s="14"/>
      <c r="D1707" s="23" t="s">
        <v>79</v>
      </c>
      <c r="E1707" s="14"/>
      <c r="F1707" s="24">
        <v>30.0</v>
      </c>
      <c r="G1707" s="24">
        <v>120.0</v>
      </c>
      <c r="H1707" s="14"/>
      <c r="I1707" s="14"/>
      <c r="J1707" s="24">
        <v>30.0</v>
      </c>
      <c r="K1707" s="24">
        <v>120.0</v>
      </c>
      <c r="L1707" s="14"/>
      <c r="M1707" s="14"/>
      <c r="N1707" s="24">
        <v>57.6</v>
      </c>
      <c r="O1707" s="19">
        <v>46082.0</v>
      </c>
      <c r="P1707" s="1">
        <f>IFERROR(__xludf.DUMMYFUNCTION("""COMPUTED_VALUE"""),20.0)</f>
        <v>20</v>
      </c>
    </row>
    <row r="1708">
      <c r="A1708" s="25">
        <v>2.404120076E9</v>
      </c>
      <c r="B1708" s="26" t="s">
        <v>19</v>
      </c>
      <c r="C1708" s="14"/>
      <c r="D1708" s="2" t="s">
        <v>129</v>
      </c>
      <c r="E1708" s="14"/>
      <c r="F1708" s="24">
        <v>371.0</v>
      </c>
      <c r="G1708" s="24">
        <v>1902.0</v>
      </c>
      <c r="H1708" s="14"/>
      <c r="I1708" s="14"/>
      <c r="J1708" s="24">
        <v>371.0</v>
      </c>
      <c r="K1708" s="24">
        <v>1902.0</v>
      </c>
      <c r="L1708" s="14"/>
      <c r="M1708" s="14"/>
      <c r="N1708" s="24">
        <v>915.14</v>
      </c>
      <c r="O1708" s="19">
        <v>46082.0</v>
      </c>
      <c r="P1708" s="1">
        <f>IFERROR(__xludf.DUMMYFUNCTION("""COMPUTED_VALUE"""),21.0)</f>
        <v>21</v>
      </c>
    </row>
    <row r="1709">
      <c r="A1709" s="25">
        <v>2.404120076E9</v>
      </c>
      <c r="B1709" s="26" t="s">
        <v>19</v>
      </c>
      <c r="C1709" s="14"/>
      <c r="D1709" s="23" t="s">
        <v>173</v>
      </c>
      <c r="E1709" s="14"/>
      <c r="F1709" s="24">
        <v>79.0</v>
      </c>
      <c r="G1709" s="24">
        <v>287.0</v>
      </c>
      <c r="H1709" s="14"/>
      <c r="I1709" s="14"/>
      <c r="J1709" s="24">
        <v>79.0</v>
      </c>
      <c r="K1709" s="24">
        <v>287.0</v>
      </c>
      <c r="L1709" s="14"/>
      <c r="M1709" s="14"/>
      <c r="N1709" s="24">
        <v>122.68</v>
      </c>
      <c r="O1709" s="19">
        <v>46082.0</v>
      </c>
      <c r="P1709" s="1">
        <f>IFERROR(__xludf.DUMMYFUNCTION("""COMPUTED_VALUE"""),22.0)</f>
        <v>22</v>
      </c>
    </row>
    <row r="1710">
      <c r="A1710" s="25">
        <v>2.404120076E9</v>
      </c>
      <c r="B1710" s="26" t="s">
        <v>19</v>
      </c>
      <c r="C1710" s="14"/>
      <c r="D1710" s="23" t="s">
        <v>147</v>
      </c>
      <c r="E1710" s="14"/>
      <c r="F1710" s="24">
        <v>81.0</v>
      </c>
      <c r="G1710" s="24">
        <v>243.0</v>
      </c>
      <c r="H1710" s="14"/>
      <c r="I1710" s="14"/>
      <c r="J1710" s="24">
        <v>81.0</v>
      </c>
      <c r="K1710" s="24">
        <v>243.0</v>
      </c>
      <c r="L1710" s="14"/>
      <c r="M1710" s="14"/>
      <c r="N1710" s="24">
        <v>60.75</v>
      </c>
      <c r="O1710" s="19">
        <v>46082.0</v>
      </c>
      <c r="P1710" s="1">
        <f>IFERROR(__xludf.DUMMYFUNCTION("""COMPUTED_VALUE"""),23.0)</f>
        <v>23</v>
      </c>
    </row>
    <row r="1711">
      <c r="A1711" s="25">
        <v>2.404120076E9</v>
      </c>
      <c r="B1711" s="26" t="s">
        <v>19</v>
      </c>
      <c r="C1711" s="14"/>
      <c r="D1711" s="23" t="s">
        <v>125</v>
      </c>
      <c r="E1711" s="14"/>
      <c r="F1711" s="24">
        <v>71.0</v>
      </c>
      <c r="G1711" s="24">
        <v>265.0</v>
      </c>
      <c r="H1711" s="14"/>
      <c r="I1711" s="14"/>
      <c r="J1711" s="24">
        <v>71.0</v>
      </c>
      <c r="K1711" s="24">
        <v>265.0</v>
      </c>
      <c r="L1711" s="14"/>
      <c r="M1711" s="14"/>
      <c r="N1711" s="24"/>
      <c r="O1711" s="19">
        <v>46082.0</v>
      </c>
      <c r="P1711" s="1">
        <f>IFERROR(__xludf.DUMMYFUNCTION("""COMPUTED_VALUE"""),24.0)</f>
        <v>24</v>
      </c>
    </row>
    <row r="1712">
      <c r="A1712" s="25">
        <v>2.404120076E9</v>
      </c>
      <c r="B1712" s="26" t="s">
        <v>19</v>
      </c>
      <c r="C1712" s="14"/>
      <c r="D1712" s="22" t="s">
        <v>150</v>
      </c>
      <c r="E1712" s="14"/>
      <c r="F1712" s="24">
        <v>21.0</v>
      </c>
      <c r="G1712" s="24">
        <v>67.0</v>
      </c>
      <c r="H1712" s="14"/>
      <c r="I1712" s="14"/>
      <c r="J1712" s="24">
        <v>21.0</v>
      </c>
      <c r="K1712" s="24">
        <v>67.0</v>
      </c>
      <c r="L1712" s="14"/>
      <c r="M1712" s="14"/>
      <c r="N1712" s="24">
        <v>23.32</v>
      </c>
      <c r="O1712" s="19">
        <v>46082.0</v>
      </c>
      <c r="P1712" s="1">
        <f>IFERROR(__xludf.DUMMYFUNCTION("""COMPUTED_VALUE"""),25.0)</f>
        <v>25</v>
      </c>
    </row>
    <row r="1713">
      <c r="A1713" s="25">
        <v>2.404120076E9</v>
      </c>
      <c r="B1713" s="26" t="s">
        <v>19</v>
      </c>
      <c r="C1713" s="14"/>
      <c r="D1713" s="23" t="s">
        <v>205</v>
      </c>
      <c r="E1713" s="14"/>
      <c r="F1713" s="24">
        <v>31.0</v>
      </c>
      <c r="G1713" s="24">
        <v>75.0</v>
      </c>
      <c r="H1713" s="14"/>
      <c r="I1713" s="14"/>
      <c r="J1713" s="24">
        <v>31.0</v>
      </c>
      <c r="K1713" s="24">
        <v>75.0</v>
      </c>
      <c r="L1713" s="14"/>
      <c r="M1713" s="14"/>
      <c r="N1713" s="24">
        <v>-11.8</v>
      </c>
      <c r="O1713" s="19">
        <v>46082.0</v>
      </c>
      <c r="P1713" s="1">
        <f>IFERROR(__xludf.DUMMYFUNCTION("""COMPUTED_VALUE"""),26.0)</f>
        <v>26</v>
      </c>
    </row>
    <row r="1714">
      <c r="A1714" s="25">
        <v>2.404120076E9</v>
      </c>
      <c r="B1714" s="26" t="s">
        <v>19</v>
      </c>
      <c r="C1714" s="14"/>
      <c r="D1714" s="23" t="s">
        <v>165</v>
      </c>
      <c r="E1714" s="14"/>
      <c r="F1714" s="24">
        <v>133.0</v>
      </c>
      <c r="G1714" s="24">
        <v>484.0</v>
      </c>
      <c r="H1714" s="14"/>
      <c r="I1714" s="14"/>
      <c r="J1714" s="24">
        <v>133.0</v>
      </c>
      <c r="K1714" s="24">
        <v>484.0</v>
      </c>
      <c r="L1714" s="14"/>
      <c r="M1714" s="14"/>
      <c r="N1714" s="24">
        <v>251.25</v>
      </c>
      <c r="O1714" s="19">
        <v>46082.0</v>
      </c>
      <c r="P1714" s="1">
        <f>IFERROR(__xludf.DUMMYFUNCTION("""COMPUTED_VALUE"""),27.0)</f>
        <v>27</v>
      </c>
    </row>
    <row r="1715">
      <c r="A1715" s="25">
        <v>2.404120076E9</v>
      </c>
      <c r="B1715" s="26" t="s">
        <v>19</v>
      </c>
      <c r="C1715" s="14"/>
      <c r="D1715" s="23" t="s">
        <v>167</v>
      </c>
      <c r="E1715" s="14"/>
      <c r="F1715" s="24">
        <v>38.0</v>
      </c>
      <c r="G1715" s="24">
        <v>114.0</v>
      </c>
      <c r="H1715" s="14"/>
      <c r="I1715" s="14"/>
      <c r="J1715" s="24">
        <v>38.0</v>
      </c>
      <c r="K1715" s="24">
        <v>114.0</v>
      </c>
      <c r="L1715" s="14"/>
      <c r="M1715" s="14"/>
      <c r="N1715" s="24">
        <v>28.5</v>
      </c>
      <c r="O1715" s="19">
        <v>46082.0</v>
      </c>
      <c r="P1715" s="1">
        <f>IFERROR(__xludf.DUMMYFUNCTION("""COMPUTED_VALUE"""),28.0)</f>
        <v>28</v>
      </c>
    </row>
    <row r="1716">
      <c r="A1716" s="25">
        <v>2.404120076E9</v>
      </c>
      <c r="B1716" s="26" t="s">
        <v>19</v>
      </c>
      <c r="C1716" s="14"/>
      <c r="D1716" s="23" t="s">
        <v>86</v>
      </c>
      <c r="E1716" s="14"/>
      <c r="F1716" s="24">
        <v>173.0</v>
      </c>
      <c r="G1716" s="24">
        <v>865.0</v>
      </c>
      <c r="H1716" s="14"/>
      <c r="I1716" s="14"/>
      <c r="J1716" s="24">
        <v>173.0</v>
      </c>
      <c r="K1716" s="24">
        <v>865.0</v>
      </c>
      <c r="L1716" s="14"/>
      <c r="M1716" s="14"/>
      <c r="N1716" s="24">
        <v>295.83</v>
      </c>
      <c r="O1716" s="19">
        <v>46082.0</v>
      </c>
      <c r="P1716" s="1">
        <f>IFERROR(__xludf.DUMMYFUNCTION("""COMPUTED_VALUE"""),29.0)</f>
        <v>29</v>
      </c>
    </row>
    <row r="1717">
      <c r="A1717" s="25">
        <v>2.404120076E9</v>
      </c>
      <c r="B1717" s="26" t="s">
        <v>19</v>
      </c>
      <c r="C1717" s="14"/>
      <c r="D1717" s="23" t="s">
        <v>200</v>
      </c>
      <c r="E1717" s="14"/>
      <c r="F1717" s="24">
        <v>43.0</v>
      </c>
      <c r="G1717" s="24">
        <v>86.0</v>
      </c>
      <c r="H1717" s="14"/>
      <c r="I1717" s="14"/>
      <c r="J1717" s="24">
        <v>43.0</v>
      </c>
      <c r="K1717" s="24">
        <v>86.0</v>
      </c>
      <c r="L1717" s="14"/>
      <c r="M1717" s="14"/>
      <c r="N1717" s="24">
        <v>-43.0</v>
      </c>
      <c r="O1717" s="19">
        <v>46082.0</v>
      </c>
      <c r="P1717" s="1">
        <f>IFERROR(__xludf.DUMMYFUNCTION("""COMPUTED_VALUE"""),30.0)</f>
        <v>30</v>
      </c>
    </row>
    <row r="1718">
      <c r="A1718" s="25">
        <v>2.404120076E9</v>
      </c>
      <c r="B1718" s="26" t="s">
        <v>19</v>
      </c>
      <c r="C1718" s="14"/>
      <c r="D1718" s="23" t="s">
        <v>168</v>
      </c>
      <c r="E1718" s="14"/>
      <c r="F1718" s="24">
        <v>35.0</v>
      </c>
      <c r="G1718" s="24">
        <v>105.0</v>
      </c>
      <c r="H1718" s="14"/>
      <c r="I1718" s="14"/>
      <c r="J1718" s="24">
        <v>35.0</v>
      </c>
      <c r="K1718" s="24">
        <v>105.0</v>
      </c>
      <c r="L1718" s="14"/>
      <c r="M1718" s="14"/>
      <c r="N1718" s="24">
        <v>26.25</v>
      </c>
      <c r="O1718" s="19">
        <v>46082.0</v>
      </c>
      <c r="P1718" s="1">
        <f>IFERROR(__xludf.DUMMYFUNCTION("""COMPUTED_VALUE"""),31.0)</f>
        <v>31</v>
      </c>
    </row>
    <row r="1719">
      <c r="A1719" s="14"/>
      <c r="B1719" s="14"/>
      <c r="C1719" s="14"/>
      <c r="D1719" s="27"/>
      <c r="E1719" s="14"/>
      <c r="F1719" s="24"/>
      <c r="G1719" s="24"/>
      <c r="H1719" s="14"/>
      <c r="I1719" s="14"/>
      <c r="J1719" s="24"/>
      <c r="K1719" s="24"/>
      <c r="L1719" s="14"/>
      <c r="M1719" s="14"/>
      <c r="N1719" s="24"/>
      <c r="O1719" s="19"/>
      <c r="P1719" s="1">
        <f>IFERROR(__xludf.DUMMYFUNCTION("""COMPUTED_VALUE"""),32.0)</f>
        <v>32</v>
      </c>
    </row>
    <row r="1720">
      <c r="A1720" s="14"/>
      <c r="B1720" s="14"/>
      <c r="C1720" s="14"/>
      <c r="D1720" s="14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P1720" s="1">
        <f>IFERROR(__xludf.DUMMYFUNCTION("""COMPUTED_VALUE"""),33.0)</f>
        <v>33</v>
      </c>
    </row>
    <row r="1721">
      <c r="A1721" s="14"/>
      <c r="B1721" s="14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P1721" s="1">
        <f>IFERROR(__xludf.DUMMYFUNCTION("""COMPUTED_VALUE"""),35.0)</f>
        <v>35</v>
      </c>
    </row>
    <row r="1722">
      <c r="A1722" s="14"/>
      <c r="B1722" s="14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P1722" s="1">
        <f>IFERROR(__xludf.DUMMYFUNCTION("""COMPUTED_VALUE"""),36.0)</f>
        <v>36</v>
      </c>
    </row>
    <row r="1723">
      <c r="A1723" s="14"/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P1723" s="1">
        <f>IFERROR(__xludf.DUMMYFUNCTION("""COMPUTED_VALUE"""),37.0)</f>
        <v>37</v>
      </c>
    </row>
    <row r="1724">
      <c r="A1724" s="14"/>
      <c r="B1724" s="14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P1724" s="1">
        <f>IFERROR(__xludf.DUMMYFUNCTION("""COMPUTED_VALUE"""),38.0)</f>
        <v>38</v>
      </c>
    </row>
    <row r="1725">
      <c r="A1725" s="14"/>
      <c r="B1725" s="14"/>
      <c r="C1725" s="14"/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P1725" s="1">
        <f>IFERROR(__xludf.DUMMYFUNCTION("""COMPUTED_VALUE"""),40.0)</f>
        <v>40</v>
      </c>
    </row>
    <row r="1726">
      <c r="A1726" s="14"/>
      <c r="B1726" s="14"/>
      <c r="C1726" s="14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P1726" s="1">
        <f>IFERROR(__xludf.DUMMYFUNCTION("""COMPUTED_VALUE"""),41.0)</f>
        <v>41</v>
      </c>
    </row>
    <row r="1727">
      <c r="A1727" s="14"/>
      <c r="B1727" s="14"/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P1727" s="1">
        <f>IFERROR(__xludf.DUMMYFUNCTION("""COMPUTED_VALUE"""),42.0)</f>
        <v>42</v>
      </c>
    </row>
    <row r="1728">
      <c r="A1728" s="14"/>
      <c r="B1728" s="14"/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P1728" s="1">
        <f>IFERROR(__xludf.DUMMYFUNCTION("""COMPUTED_VALUE"""),43.0)</f>
        <v>43</v>
      </c>
    </row>
    <row r="1729">
      <c r="A1729" s="14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P1729" s="1">
        <f>IFERROR(__xludf.DUMMYFUNCTION("""COMPUTED_VALUE"""),44.0)</f>
        <v>44</v>
      </c>
    </row>
    <row r="1730">
      <c r="A1730" s="14"/>
      <c r="B1730" s="14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P1730" s="1">
        <f>IFERROR(__xludf.DUMMYFUNCTION("""COMPUTED_VALUE"""),45.0)</f>
        <v>45</v>
      </c>
    </row>
    <row r="1731">
      <c r="A1731" s="14"/>
      <c r="B1731" s="14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P1731" s="1">
        <f>IFERROR(__xludf.DUMMYFUNCTION("""COMPUTED_VALUE"""),47.0)</f>
        <v>47</v>
      </c>
    </row>
    <row r="1732">
      <c r="A1732" s="14"/>
      <c r="B1732" s="14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P1732" s="1">
        <f>IFERROR(__xludf.DUMMYFUNCTION("""COMPUTED_VALUE"""),48.0)</f>
        <v>48</v>
      </c>
    </row>
    <row r="1733">
      <c r="A1733" s="14"/>
      <c r="B1733" s="14"/>
      <c r="C1733" s="14"/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P1733" s="1">
        <f>IFERROR(__xludf.DUMMYFUNCTION("""COMPUTED_VALUE"""),49.0)</f>
        <v>49</v>
      </c>
    </row>
    <row r="1734">
      <c r="A1734" s="14"/>
      <c r="B1734" s="14"/>
      <c r="C1734" s="14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P1734" s="1">
        <f>IFERROR(__xludf.DUMMYFUNCTION("""COMPUTED_VALUE"""),50.0)</f>
        <v>50</v>
      </c>
    </row>
    <row r="1735">
      <c r="A1735" s="14"/>
      <c r="B1735" s="14"/>
      <c r="C1735" s="14"/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P1735" s="1">
        <f>IFERROR(__xludf.DUMMYFUNCTION("""COMPUTED_VALUE"""),51.0)</f>
        <v>51</v>
      </c>
    </row>
    <row r="1736">
      <c r="A1736" s="14"/>
      <c r="B1736" s="14"/>
      <c r="C1736" s="14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P1736" s="1">
        <f>IFERROR(__xludf.DUMMYFUNCTION("""COMPUTED_VALUE"""),52.0)</f>
        <v>52</v>
      </c>
    </row>
    <row r="1737">
      <c r="A1737" s="14"/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P1737" s="1">
        <f>IFERROR(__xludf.DUMMYFUNCTION("""COMPUTED_VALUE"""),53.0)</f>
        <v>53</v>
      </c>
    </row>
    <row r="1738">
      <c r="A1738" s="14"/>
      <c r="B1738" s="14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P1738" s="1">
        <f>IFERROR(__xludf.DUMMYFUNCTION("""COMPUTED_VALUE"""),54.0)</f>
        <v>54</v>
      </c>
    </row>
    <row r="1739">
      <c r="A1739" s="14"/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P1739" s="1">
        <f>IFERROR(__xludf.DUMMYFUNCTION("""COMPUTED_VALUE"""),55.0)</f>
        <v>55</v>
      </c>
    </row>
    <row r="1740">
      <c r="A1740" s="14"/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P1740" s="1">
        <f>IFERROR(__xludf.DUMMYFUNCTION("""COMPUTED_VALUE"""),56.0)</f>
        <v>56</v>
      </c>
    </row>
    <row r="1741">
      <c r="A1741" s="14"/>
      <c r="B1741" s="14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P1741" s="1">
        <f>IFERROR(__xludf.DUMMYFUNCTION("""COMPUTED_VALUE"""),57.0)</f>
        <v>57</v>
      </c>
    </row>
    <row r="1742">
      <c r="A1742" s="14"/>
      <c r="B1742" s="14"/>
      <c r="C1742" s="14"/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P1742" s="1">
        <f>IFERROR(__xludf.DUMMYFUNCTION("""COMPUTED_VALUE"""),58.0)</f>
        <v>58</v>
      </c>
    </row>
    <row r="1743">
      <c r="A1743" s="14"/>
      <c r="B1743" s="14"/>
      <c r="C1743" s="14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P1743" s="1">
        <f>IFERROR(__xludf.DUMMYFUNCTION("""COMPUTED_VALUE"""),59.0)</f>
        <v>59</v>
      </c>
    </row>
    <row r="1744">
      <c r="A1744" s="14"/>
      <c r="B1744" s="14"/>
      <c r="C1744" s="14"/>
      <c r="D1744" s="14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P1744" s="1">
        <f>IFERROR(__xludf.DUMMYFUNCTION("""COMPUTED_VALUE"""),60.0)</f>
        <v>60</v>
      </c>
    </row>
    <row r="1745">
      <c r="A1745" s="14"/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P1745" s="1">
        <f>IFERROR(__xludf.DUMMYFUNCTION("""COMPUTED_VALUE"""),61.0)</f>
        <v>61</v>
      </c>
    </row>
    <row r="1746">
      <c r="A1746" s="14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P1746" s="1">
        <f>IFERROR(__xludf.DUMMYFUNCTION("""COMPUTED_VALUE"""),62.0)</f>
        <v>62</v>
      </c>
    </row>
    <row r="1747">
      <c r="A1747" s="14"/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P1747" s="1">
        <f>IFERROR(__xludf.DUMMYFUNCTION("""COMPUTED_VALUE"""),63.0)</f>
        <v>63</v>
      </c>
    </row>
    <row r="1748">
      <c r="A1748" s="14"/>
      <c r="B1748" s="14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P1748" s="1">
        <f>IFERROR(__xludf.DUMMYFUNCTION("""COMPUTED_VALUE"""),64.0)</f>
        <v>64</v>
      </c>
    </row>
    <row r="1749">
      <c r="A1749" s="14"/>
      <c r="B1749" s="14"/>
      <c r="C1749" s="14"/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P1749" s="1">
        <f>IFERROR(__xludf.DUMMYFUNCTION("""COMPUTED_VALUE"""),65.0)</f>
        <v>65</v>
      </c>
    </row>
    <row r="1750">
      <c r="A1750" s="14"/>
      <c r="B1750" s="14"/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P1750" s="1">
        <f>IFERROR(__xludf.DUMMYFUNCTION("""COMPUTED_VALUE"""),66.0)</f>
        <v>66</v>
      </c>
    </row>
    <row r="1751">
      <c r="A1751" s="14"/>
      <c r="B1751" s="14"/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P1751" s="1">
        <f>IFERROR(__xludf.DUMMYFUNCTION("""COMPUTED_VALUE"""),67.0)</f>
        <v>67</v>
      </c>
    </row>
    <row r="1752">
      <c r="A1752" s="14"/>
      <c r="B1752" s="14"/>
      <c r="C1752" s="14"/>
      <c r="D1752" s="14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P1752" s="1">
        <f>IFERROR(__xludf.DUMMYFUNCTION("""COMPUTED_VALUE"""),68.0)</f>
        <v>68</v>
      </c>
    </row>
    <row r="1753">
      <c r="A1753" s="14"/>
      <c r="B1753" s="14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P1753" s="1">
        <f>IFERROR(__xludf.DUMMYFUNCTION("""COMPUTED_VALUE"""),70.0)</f>
        <v>70</v>
      </c>
    </row>
    <row r="1754">
      <c r="A1754" s="14"/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P1754" s="1">
        <f>IFERROR(__xludf.DUMMYFUNCTION("""COMPUTED_VALUE"""),71.0)</f>
        <v>71</v>
      </c>
    </row>
    <row r="1755">
      <c r="A1755" s="14"/>
      <c r="B1755" s="14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P1755" s="1">
        <f>IFERROR(__xludf.DUMMYFUNCTION("""COMPUTED_VALUE"""),72.0)</f>
        <v>72</v>
      </c>
    </row>
    <row r="1756">
      <c r="A1756" s="14"/>
      <c r="B1756" s="14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P1756" s="1">
        <f>IFERROR(__xludf.DUMMYFUNCTION("""COMPUTED_VALUE"""),73.0)</f>
        <v>73</v>
      </c>
    </row>
    <row r="1757">
      <c r="A1757" s="14"/>
      <c r="B1757" s="14"/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P1757" s="1">
        <f>IFERROR(__xludf.DUMMYFUNCTION("""COMPUTED_VALUE"""),74.0)</f>
        <v>74</v>
      </c>
    </row>
    <row r="1758">
      <c r="A1758" s="14"/>
      <c r="B1758" s="14"/>
      <c r="C1758" s="14"/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P1758" s="1">
        <f>IFERROR(__xludf.DUMMYFUNCTION("""COMPUTED_VALUE"""),75.0)</f>
        <v>75</v>
      </c>
    </row>
    <row r="1759">
      <c r="A1759" s="14"/>
      <c r="B1759" s="14"/>
      <c r="C1759" s="14"/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P1759" s="1">
        <f>IFERROR(__xludf.DUMMYFUNCTION("""COMPUTED_VALUE"""),76.0)</f>
        <v>76</v>
      </c>
    </row>
    <row r="1760">
      <c r="A1760" s="14"/>
      <c r="B1760" s="14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P1760" s="1">
        <f>IFERROR(__xludf.DUMMYFUNCTION("""COMPUTED_VALUE"""),77.0)</f>
        <v>77</v>
      </c>
    </row>
    <row r="1761">
      <c r="A1761" s="14"/>
      <c r="B1761" s="14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P1761" s="1">
        <f>IFERROR(__xludf.DUMMYFUNCTION("""COMPUTED_VALUE"""),78.0)</f>
        <v>78</v>
      </c>
    </row>
    <row r="1762">
      <c r="A1762" s="14"/>
      <c r="B1762" s="14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P1762" s="1">
        <f>IFERROR(__xludf.DUMMYFUNCTION("""COMPUTED_VALUE"""),79.0)</f>
        <v>79</v>
      </c>
    </row>
    <row r="1763">
      <c r="A1763" s="14"/>
      <c r="B1763" s="14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P1763" s="1">
        <f>IFERROR(__xludf.DUMMYFUNCTION("""COMPUTED_VALUE"""),80.0)</f>
        <v>80</v>
      </c>
    </row>
    <row r="1764">
      <c r="A1764" s="14"/>
      <c r="B1764" s="14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P1764" s="1">
        <f>IFERROR(__xludf.DUMMYFUNCTION("""COMPUTED_VALUE"""),81.0)</f>
        <v>81</v>
      </c>
    </row>
    <row r="1765">
      <c r="A1765" s="14"/>
      <c r="B1765" s="14"/>
      <c r="C1765" s="14"/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P1765" s="1">
        <f>IFERROR(__xludf.DUMMYFUNCTION("""COMPUTED_VALUE"""),82.0)</f>
        <v>82</v>
      </c>
    </row>
    <row r="1766">
      <c r="A1766" s="14"/>
      <c r="B1766" s="14"/>
      <c r="C1766" s="14"/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P1766" s="1">
        <f>IFERROR(__xludf.DUMMYFUNCTION("""COMPUTED_VALUE"""),83.0)</f>
        <v>83</v>
      </c>
    </row>
    <row r="1767">
      <c r="A1767" s="14"/>
      <c r="B1767" s="14"/>
      <c r="C1767" s="14"/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P1767" s="1">
        <f>IFERROR(__xludf.DUMMYFUNCTION("""COMPUTED_VALUE"""),84.0)</f>
        <v>84</v>
      </c>
    </row>
    <row r="1768">
      <c r="A1768" s="14"/>
      <c r="B1768" s="14"/>
      <c r="C1768" s="14"/>
      <c r="D1768" s="14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P1768" s="1">
        <f>IFERROR(__xludf.DUMMYFUNCTION("""COMPUTED_VALUE"""),86.0)</f>
        <v>86</v>
      </c>
    </row>
    <row r="1769">
      <c r="A1769" s="14"/>
      <c r="B1769" s="14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P1769" s="1">
        <f>IFERROR(__xludf.DUMMYFUNCTION("""COMPUTED_VALUE"""),87.0)</f>
        <v>87</v>
      </c>
    </row>
    <row r="1770">
      <c r="A1770" s="14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P1770" s="1">
        <f>IFERROR(__xludf.DUMMYFUNCTION("""COMPUTED_VALUE"""),88.0)</f>
        <v>88</v>
      </c>
    </row>
    <row r="1771">
      <c r="A1771" s="14"/>
      <c r="B1771" s="14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P1771" s="1">
        <f>IFERROR(__xludf.DUMMYFUNCTION("""COMPUTED_VALUE"""),89.0)</f>
        <v>89</v>
      </c>
    </row>
    <row r="1772">
      <c r="A1772" s="14"/>
      <c r="B1772" s="14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P1772" s="1">
        <f>IFERROR(__xludf.DUMMYFUNCTION("""COMPUTED_VALUE"""),90.0)</f>
        <v>90</v>
      </c>
    </row>
    <row r="1773">
      <c r="A1773" s="14"/>
      <c r="B1773" s="14"/>
      <c r="C1773" s="14"/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P1773" s="1">
        <f>IFERROR(__xludf.DUMMYFUNCTION("""COMPUTED_VALUE"""),91.0)</f>
        <v>91</v>
      </c>
    </row>
    <row r="1774">
      <c r="A1774" s="14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P1774" s="1">
        <f>IFERROR(__xludf.DUMMYFUNCTION("""COMPUTED_VALUE"""),92.0)</f>
        <v>92</v>
      </c>
    </row>
    <row r="1775">
      <c r="A1775" s="14"/>
      <c r="B1775" s="14"/>
      <c r="C1775" s="14"/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P1775" s="1">
        <f>IFERROR(__xludf.DUMMYFUNCTION("""COMPUTED_VALUE"""),93.0)</f>
        <v>93</v>
      </c>
    </row>
    <row r="1776">
      <c r="A1776" s="14"/>
      <c r="B1776" s="14"/>
      <c r="C1776" s="14"/>
      <c r="D1776" s="14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P1776" s="1">
        <f>IFERROR(__xludf.DUMMYFUNCTION("""COMPUTED_VALUE"""),94.0)</f>
        <v>94</v>
      </c>
    </row>
    <row r="1777">
      <c r="A1777" s="14"/>
      <c r="B1777" s="14"/>
      <c r="C1777" s="14"/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P1777" s="1">
        <f>IFERROR(__xludf.DUMMYFUNCTION("""COMPUTED_VALUE"""),95.0)</f>
        <v>95</v>
      </c>
    </row>
    <row r="1778">
      <c r="A1778" s="14"/>
      <c r="B1778" s="14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P1778" s="1">
        <f>IFERROR(__xludf.DUMMYFUNCTION("""COMPUTED_VALUE"""),96.0)</f>
        <v>96</v>
      </c>
    </row>
    <row r="1779">
      <c r="A1779" s="14"/>
      <c r="B1779" s="14"/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P1779" s="1">
        <f>IFERROR(__xludf.DUMMYFUNCTION("""COMPUTED_VALUE"""),97.0)</f>
        <v>97</v>
      </c>
    </row>
    <row r="1780">
      <c r="A1780" s="14"/>
      <c r="B1780" s="14"/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P1780" s="1">
        <f>IFERROR(__xludf.DUMMYFUNCTION("""COMPUTED_VALUE"""),98.0)</f>
        <v>98</v>
      </c>
    </row>
    <row r="1781">
      <c r="A1781" s="14"/>
      <c r="B1781" s="14"/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P1781" s="1">
        <f>IFERROR(__xludf.DUMMYFUNCTION("""COMPUTED_VALUE"""),99.0)</f>
        <v>99</v>
      </c>
    </row>
    <row r="1782">
      <c r="A1782" s="14"/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P1782" s="1">
        <f>IFERROR(__xludf.DUMMYFUNCTION("""COMPUTED_VALUE"""),100.0)</f>
        <v>100</v>
      </c>
    </row>
    <row r="1783">
      <c r="A1783" s="14"/>
      <c r="B1783" s="14"/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P1783" s="1">
        <f>IFERROR(__xludf.DUMMYFUNCTION("""COMPUTED_VALUE"""),101.0)</f>
        <v>101</v>
      </c>
    </row>
    <row r="1784">
      <c r="A1784" s="14"/>
      <c r="B1784" s="14"/>
      <c r="C1784" s="14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P1784" s="1">
        <f>IFERROR(__xludf.DUMMYFUNCTION("""COMPUTED_VALUE"""),102.0)</f>
        <v>102</v>
      </c>
    </row>
    <row r="1785">
      <c r="A1785" s="14"/>
      <c r="B1785" s="14"/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P1785" s="1">
        <f>IFERROR(__xludf.DUMMYFUNCTION("""COMPUTED_VALUE"""),103.0)</f>
        <v>103</v>
      </c>
    </row>
    <row r="1786">
      <c r="A1786" s="14"/>
      <c r="B1786" s="14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P1786" s="1">
        <f>IFERROR(__xludf.DUMMYFUNCTION("""COMPUTED_VALUE"""),104.0)</f>
        <v>104</v>
      </c>
    </row>
    <row r="1787">
      <c r="A1787" s="14"/>
      <c r="B1787" s="14"/>
      <c r="C1787" s="14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P1787" s="1">
        <f>IFERROR(__xludf.DUMMYFUNCTION("""COMPUTED_VALUE"""),105.0)</f>
        <v>105</v>
      </c>
    </row>
    <row r="1788">
      <c r="A1788" s="14"/>
      <c r="B1788" s="14"/>
      <c r="C1788" s="14"/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P1788" s="1">
        <f>IFERROR(__xludf.DUMMYFUNCTION("""COMPUTED_VALUE"""),106.0)</f>
        <v>106</v>
      </c>
    </row>
    <row r="1789">
      <c r="A1789" s="14"/>
      <c r="B1789" s="14"/>
      <c r="C1789" s="14"/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P1789" s="1">
        <f>IFERROR(__xludf.DUMMYFUNCTION("""COMPUTED_VALUE"""),108.0)</f>
        <v>108</v>
      </c>
    </row>
    <row r="1790">
      <c r="A1790" s="14"/>
      <c r="B1790" s="14"/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P1790" s="1">
        <f>IFERROR(__xludf.DUMMYFUNCTION("""COMPUTED_VALUE"""),109.0)</f>
        <v>109</v>
      </c>
    </row>
    <row r="1791">
      <c r="A1791" s="14"/>
      <c r="B1791" s="14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P1791" s="1">
        <f>IFERROR(__xludf.DUMMYFUNCTION("""COMPUTED_VALUE"""),111.0)</f>
        <v>111</v>
      </c>
    </row>
    <row r="1792">
      <c r="A1792" s="14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P1792" s="1">
        <f>IFERROR(__xludf.DUMMYFUNCTION("""COMPUTED_VALUE"""),112.0)</f>
        <v>112</v>
      </c>
    </row>
    <row r="1793">
      <c r="A1793" s="14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P1793" s="1">
        <f>IFERROR(__xludf.DUMMYFUNCTION("""COMPUTED_VALUE"""),113.0)</f>
        <v>113</v>
      </c>
    </row>
    <row r="1794">
      <c r="A1794" s="14"/>
      <c r="B1794" s="14"/>
      <c r="C1794" s="14"/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P1794" s="1">
        <f>IFERROR(__xludf.DUMMYFUNCTION("""COMPUTED_VALUE"""),114.0)</f>
        <v>114</v>
      </c>
    </row>
    <row r="1795">
      <c r="A1795" s="14"/>
      <c r="B1795" s="14"/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P1795" s="1">
        <f>IFERROR(__xludf.DUMMYFUNCTION("""COMPUTED_VALUE"""),115.0)</f>
        <v>115</v>
      </c>
    </row>
    <row r="1796">
      <c r="A1796" s="14"/>
      <c r="B1796" s="14"/>
      <c r="C1796" s="14"/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P1796" s="1">
        <f>IFERROR(__xludf.DUMMYFUNCTION("""COMPUTED_VALUE"""),116.0)</f>
        <v>116</v>
      </c>
    </row>
    <row r="1797">
      <c r="A1797" s="14"/>
      <c r="B1797" s="14"/>
      <c r="C1797" s="14"/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P1797" s="1">
        <f>IFERROR(__xludf.DUMMYFUNCTION("""COMPUTED_VALUE"""),117.0)</f>
        <v>117</v>
      </c>
    </row>
    <row r="1798">
      <c r="A1798" s="14"/>
      <c r="B1798" s="14"/>
      <c r="C1798" s="14"/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P1798" s="1">
        <f>IFERROR(__xludf.DUMMYFUNCTION("""COMPUTED_VALUE"""),118.0)</f>
        <v>118</v>
      </c>
    </row>
    <row r="1799">
      <c r="A1799" s="14"/>
      <c r="B1799" s="14"/>
      <c r="C1799" s="14"/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P1799" s="1">
        <f>IFERROR(__xludf.DUMMYFUNCTION("""COMPUTED_VALUE"""),119.0)</f>
        <v>119</v>
      </c>
    </row>
    <row r="1800">
      <c r="A1800" s="14"/>
      <c r="B1800" s="14"/>
      <c r="C1800" s="14"/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P1800" s="1">
        <f>IFERROR(__xludf.DUMMYFUNCTION("""COMPUTED_VALUE"""),120.0)</f>
        <v>120</v>
      </c>
    </row>
    <row r="1801">
      <c r="A1801" s="14"/>
      <c r="B1801" s="14"/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P1801" s="1">
        <f>IFERROR(__xludf.DUMMYFUNCTION("""COMPUTED_VALUE"""),121.0)</f>
        <v>121</v>
      </c>
    </row>
    <row r="1802">
      <c r="A1802" s="14"/>
      <c r="B1802" s="14"/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P1802" s="1">
        <f>IFERROR(__xludf.DUMMYFUNCTION("""COMPUTED_VALUE"""),122.0)</f>
        <v>122</v>
      </c>
    </row>
    <row r="1803">
      <c r="A1803" s="14"/>
      <c r="B1803" s="14"/>
      <c r="C1803" s="14"/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P1803" s="1">
        <f>IFERROR(__xludf.DUMMYFUNCTION("""COMPUTED_VALUE"""),123.0)</f>
        <v>123</v>
      </c>
    </row>
    <row r="1804">
      <c r="A1804" s="14"/>
      <c r="B1804" s="14"/>
      <c r="C1804" s="14"/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P1804" s="1">
        <f>IFERROR(__xludf.DUMMYFUNCTION("""COMPUTED_VALUE"""),124.0)</f>
        <v>124</v>
      </c>
    </row>
    <row r="1805">
      <c r="A1805" s="14"/>
      <c r="B1805" s="14"/>
      <c r="C1805" s="14"/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P1805" s="1">
        <f>IFERROR(__xludf.DUMMYFUNCTION("""COMPUTED_VALUE"""),126.0)</f>
        <v>126</v>
      </c>
    </row>
    <row r="1806">
      <c r="A1806" s="14"/>
      <c r="B1806" s="14"/>
      <c r="C1806" s="14"/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P1806" s="1">
        <f>IFERROR(__xludf.DUMMYFUNCTION("""COMPUTED_VALUE"""),127.0)</f>
        <v>127</v>
      </c>
    </row>
    <row r="1807">
      <c r="A1807" s="14"/>
      <c r="B1807" s="14"/>
      <c r="C1807" s="14"/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P1807" s="1">
        <f>IFERROR(__xludf.DUMMYFUNCTION("""COMPUTED_VALUE"""),128.0)</f>
        <v>128</v>
      </c>
    </row>
    <row r="1808">
      <c r="A1808" s="14"/>
      <c r="B1808" s="14"/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P1808" s="1">
        <f>IFERROR(__xludf.DUMMYFUNCTION("""COMPUTED_VALUE"""),129.0)</f>
        <v>129</v>
      </c>
    </row>
    <row r="1809">
      <c r="A1809" s="14"/>
      <c r="B1809" s="14"/>
      <c r="C1809" s="14"/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P1809" s="1">
        <f>IFERROR(__xludf.DUMMYFUNCTION("""COMPUTED_VALUE"""),130.0)</f>
        <v>130</v>
      </c>
    </row>
    <row r="1810">
      <c r="A1810" s="14"/>
      <c r="B1810" s="14"/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P1810" s="1">
        <f>IFERROR(__xludf.DUMMYFUNCTION("""COMPUTED_VALUE"""),131.0)</f>
        <v>131</v>
      </c>
    </row>
    <row r="1811">
      <c r="A1811" s="14"/>
      <c r="B1811" s="14"/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P1811" s="1">
        <f>IFERROR(__xludf.DUMMYFUNCTION("""COMPUTED_VALUE"""),132.0)</f>
        <v>132</v>
      </c>
    </row>
    <row r="1812">
      <c r="A1812" s="14"/>
      <c r="B1812" s="14"/>
      <c r="C1812" s="14"/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P1812" s="1">
        <f>IFERROR(__xludf.DUMMYFUNCTION("""COMPUTED_VALUE"""),133.0)</f>
        <v>133</v>
      </c>
    </row>
    <row r="1813">
      <c r="A1813" s="14"/>
      <c r="B1813" s="14"/>
      <c r="C1813" s="1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P1813" s="1">
        <f>IFERROR(__xludf.DUMMYFUNCTION("""COMPUTED_VALUE"""),134.0)</f>
        <v>134</v>
      </c>
    </row>
    <row r="1814">
      <c r="A1814" s="14"/>
      <c r="B1814" s="14"/>
      <c r="C1814" s="14"/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P1814" s="1">
        <f>IFERROR(__xludf.DUMMYFUNCTION("""COMPUTED_VALUE"""),135.0)</f>
        <v>135</v>
      </c>
    </row>
    <row r="1815">
      <c r="A1815" s="14"/>
      <c r="B1815" s="14"/>
      <c r="C1815" s="14"/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P1815" s="1">
        <f>IFERROR(__xludf.DUMMYFUNCTION("""COMPUTED_VALUE"""),136.0)</f>
        <v>136</v>
      </c>
    </row>
    <row r="1816">
      <c r="A1816" s="14"/>
      <c r="B1816" s="14"/>
      <c r="C1816" s="14"/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P1816" s="1">
        <f>IFERROR(__xludf.DUMMYFUNCTION("""COMPUTED_VALUE"""),137.0)</f>
        <v>137</v>
      </c>
    </row>
    <row r="1817">
      <c r="A1817" s="14"/>
      <c r="B1817" s="14"/>
      <c r="C1817" s="14"/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P1817" s="1">
        <f>IFERROR(__xludf.DUMMYFUNCTION("""COMPUTED_VALUE"""),138.0)</f>
        <v>138</v>
      </c>
    </row>
    <row r="1818">
      <c r="A1818" s="14"/>
      <c r="B1818" s="14"/>
      <c r="C1818" s="14"/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P1818" s="1">
        <f>IFERROR(__xludf.DUMMYFUNCTION("""COMPUTED_VALUE"""),139.0)</f>
        <v>139</v>
      </c>
    </row>
    <row r="1819">
      <c r="A1819" s="14"/>
      <c r="B1819" s="14"/>
      <c r="C1819" s="14"/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P1819" s="1">
        <f>IFERROR(__xludf.DUMMYFUNCTION("""COMPUTED_VALUE"""),140.0)</f>
        <v>140</v>
      </c>
    </row>
    <row r="1820">
      <c r="A1820" s="14"/>
      <c r="B1820" s="14"/>
      <c r="C1820" s="14"/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P1820" s="1">
        <f>IFERROR(__xludf.DUMMYFUNCTION("""COMPUTED_VALUE"""),141.0)</f>
        <v>141</v>
      </c>
    </row>
    <row r="1821">
      <c r="A1821" s="14"/>
      <c r="B1821" s="14"/>
      <c r="C1821" s="14"/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P1821" s="1">
        <f>IFERROR(__xludf.DUMMYFUNCTION("""COMPUTED_VALUE"""),142.0)</f>
        <v>142</v>
      </c>
    </row>
    <row r="1822">
      <c r="A1822" s="14"/>
      <c r="B1822" s="14"/>
      <c r="C1822" s="14"/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P1822" s="1">
        <f>IFERROR(__xludf.DUMMYFUNCTION("""COMPUTED_VALUE"""),143.0)</f>
        <v>143</v>
      </c>
    </row>
    <row r="1823">
      <c r="A1823" s="14"/>
      <c r="B1823" s="14"/>
      <c r="C1823" s="14"/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P1823" s="1">
        <f>IFERROR(__xludf.DUMMYFUNCTION("""COMPUTED_VALUE"""),144.0)</f>
        <v>144</v>
      </c>
    </row>
    <row r="1824">
      <c r="A1824" s="14"/>
      <c r="B1824" s="14"/>
      <c r="C1824" s="14"/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P1824" s="1">
        <f>IFERROR(__xludf.DUMMYFUNCTION("""COMPUTED_VALUE"""),145.0)</f>
        <v>145</v>
      </c>
    </row>
    <row r="1825">
      <c r="A1825" s="14"/>
      <c r="B1825" s="14"/>
      <c r="C1825" s="14"/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</row>
    <row r="1826">
      <c r="A1826" s="14"/>
      <c r="B1826" s="14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</row>
    <row r="1827">
      <c r="A1827" s="14"/>
      <c r="B1827" s="14"/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</row>
    <row r="1828">
      <c r="A1828" s="14"/>
      <c r="B1828" s="14"/>
      <c r="C1828" s="14"/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</row>
    <row r="1829">
      <c r="A1829" s="14"/>
      <c r="B1829" s="14"/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</row>
    <row r="1830">
      <c r="A1830" s="14"/>
      <c r="B1830" s="14"/>
      <c r="C1830" s="14"/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</row>
    <row r="1831">
      <c r="A1831" s="14"/>
      <c r="B1831" s="14"/>
      <c r="C1831" s="14"/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</row>
    <row r="1832">
      <c r="A1832" s="14"/>
      <c r="B1832" s="14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</row>
    <row r="1833">
      <c r="A1833" s="14"/>
      <c r="B1833" s="14"/>
      <c r="C1833" s="14"/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</row>
    <row r="1834">
      <c r="A1834" s="14"/>
      <c r="B1834" s="14"/>
      <c r="C1834" s="14"/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</row>
    <row r="1835">
      <c r="A1835" s="14"/>
      <c r="B1835" s="14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</row>
    <row r="1836">
      <c r="A1836" s="14"/>
      <c r="B1836" s="14"/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</row>
    <row r="1837">
      <c r="A1837" s="14"/>
      <c r="B1837" s="14"/>
      <c r="C1837" s="14"/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</row>
    <row r="1838">
      <c r="A1838" s="14"/>
      <c r="B1838" s="14"/>
      <c r="C1838" s="14"/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</row>
    <row r="1839">
      <c r="A1839" s="14"/>
      <c r="B1839" s="14"/>
      <c r="C1839" s="14"/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</row>
    <row r="1840">
      <c r="A1840" s="14"/>
      <c r="B1840" s="14"/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</row>
    <row r="1841">
      <c r="A1841" s="14"/>
      <c r="B1841" s="14"/>
      <c r="C1841" s="14"/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</row>
    <row r="1842">
      <c r="A1842" s="14"/>
      <c r="B1842" s="14"/>
      <c r="C1842" s="14"/>
      <c r="D1842" s="14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</row>
    <row r="1843">
      <c r="A1843" s="14"/>
      <c r="B1843" s="14"/>
      <c r="C1843" s="14"/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</row>
    <row r="1844">
      <c r="A1844" s="14"/>
      <c r="B1844" s="14"/>
      <c r="C1844" s="14"/>
      <c r="D1844" s="14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</row>
    <row r="1845">
      <c r="A1845" s="14"/>
      <c r="B1845" s="14"/>
      <c r="C1845" s="14"/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</row>
    <row r="1846">
      <c r="A1846" s="14"/>
      <c r="B1846" s="14"/>
      <c r="C1846" s="14"/>
      <c r="D1846" s="14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</row>
    <row r="1847">
      <c r="A1847" s="14"/>
      <c r="B1847" s="14"/>
      <c r="C1847" s="14"/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</row>
    <row r="1848">
      <c r="A1848" s="14"/>
      <c r="B1848" s="14"/>
      <c r="C1848" s="14"/>
      <c r="D1848" s="14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</row>
    <row r="1849">
      <c r="A1849" s="14"/>
      <c r="B1849" s="14"/>
      <c r="C1849" s="14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</row>
    <row r="1850">
      <c r="A1850" s="14"/>
      <c r="B1850" s="14"/>
      <c r="C1850" s="14"/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</row>
    <row r="1851">
      <c r="A1851" s="14"/>
      <c r="B1851" s="14"/>
      <c r="C1851" s="14"/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</row>
    <row r="1852">
      <c r="A1852" s="14"/>
      <c r="B1852" s="14"/>
      <c r="C1852" s="14"/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</row>
    <row r="1853">
      <c r="A1853" s="14"/>
      <c r="B1853" s="14"/>
      <c r="C1853" s="14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</row>
    <row r="1854">
      <c r="A1854" s="14"/>
      <c r="B1854" s="14"/>
      <c r="C1854" s="14"/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</row>
    <row r="1855">
      <c r="A1855" s="14"/>
      <c r="B1855" s="14"/>
      <c r="C1855" s="14"/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</row>
    <row r="1856">
      <c r="A1856" s="14"/>
      <c r="B1856" s="14"/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</row>
    <row r="1857">
      <c r="A1857" s="14"/>
      <c r="B1857" s="14"/>
      <c r="C1857" s="14"/>
      <c r="D1857" s="14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</row>
    <row r="1858">
      <c r="A1858" s="14"/>
      <c r="B1858" s="14"/>
      <c r="C1858" s="14"/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</row>
    <row r="1859">
      <c r="A1859" s="14"/>
      <c r="B1859" s="14"/>
      <c r="C1859" s="14"/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</row>
    <row r="1860">
      <c r="A1860" s="14"/>
      <c r="B1860" s="14"/>
      <c r="C1860" s="14"/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</row>
    <row r="1861">
      <c r="A1861" s="14"/>
      <c r="B1861" s="14"/>
      <c r="C1861" s="14"/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</row>
    <row r="1862">
      <c r="A1862" s="14"/>
      <c r="B1862" s="14"/>
      <c r="C1862" s="14"/>
      <c r="D1862" s="14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</row>
    <row r="1863">
      <c r="A1863" s="14"/>
      <c r="B1863" s="14"/>
      <c r="C1863" s="14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</row>
    <row r="1864">
      <c r="A1864" s="14"/>
      <c r="B1864" s="14"/>
      <c r="C1864" s="14"/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</row>
    <row r="1865">
      <c r="A1865" s="14"/>
      <c r="B1865" s="14"/>
      <c r="C1865" s="14"/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</row>
    <row r="1866">
      <c r="A1866" s="14"/>
      <c r="B1866" s="14"/>
      <c r="C1866" s="14"/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</row>
    <row r="1867">
      <c r="A1867" s="14"/>
      <c r="B1867" s="14"/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</row>
    <row r="1868">
      <c r="A1868" s="14"/>
      <c r="B1868" s="14"/>
      <c r="C1868" s="14"/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</row>
    <row r="1869">
      <c r="A1869" s="14"/>
      <c r="B1869" s="14"/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</row>
    <row r="1870">
      <c r="A1870" s="14"/>
      <c r="B1870" s="14"/>
      <c r="C1870" s="14"/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</row>
    <row r="1871">
      <c r="A1871" s="14"/>
      <c r="B1871" s="14"/>
      <c r="C1871" s="14"/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</row>
    <row r="1872">
      <c r="A1872" s="14"/>
      <c r="B1872" s="14"/>
      <c r="C1872" s="14"/>
      <c r="D1872" s="14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</row>
    <row r="1873">
      <c r="A1873" s="14"/>
      <c r="B1873" s="14"/>
      <c r="C1873" s="14"/>
      <c r="D1873" s="14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</row>
    <row r="1874">
      <c r="A1874" s="14"/>
      <c r="B1874" s="14"/>
      <c r="C1874" s="14"/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</row>
    <row r="1875">
      <c r="A1875" s="14"/>
      <c r="B1875" s="14"/>
      <c r="C1875" s="14"/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</row>
    <row r="1876">
      <c r="A1876" s="14"/>
      <c r="B1876" s="14"/>
      <c r="C1876" s="14"/>
      <c r="D1876" s="14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</row>
    <row r="1877">
      <c r="A1877" s="14"/>
      <c r="B1877" s="14"/>
      <c r="C1877" s="14"/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</row>
    <row r="1878">
      <c r="A1878" s="14"/>
      <c r="B1878" s="14"/>
      <c r="C1878" s="14"/>
      <c r="D1878" s="14"/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</row>
    <row r="1879">
      <c r="A1879" s="14"/>
      <c r="B1879" s="14"/>
      <c r="C1879" s="14"/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</row>
    <row r="1880">
      <c r="A1880" s="14"/>
      <c r="B1880" s="14"/>
      <c r="C1880" s="14"/>
      <c r="D1880" s="14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</row>
    <row r="1881">
      <c r="A1881" s="14"/>
      <c r="B1881" s="14"/>
      <c r="C1881" s="14"/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</row>
    <row r="1882">
      <c r="A1882" s="14"/>
      <c r="B1882" s="14"/>
      <c r="C1882" s="14"/>
      <c r="D1882" s="14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</row>
    <row r="1883">
      <c r="A1883" s="14"/>
      <c r="B1883" s="14"/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</row>
    <row r="1884">
      <c r="A1884" s="14"/>
      <c r="B1884" s="14"/>
      <c r="C1884" s="14"/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</row>
    <row r="1885">
      <c r="A1885" s="14"/>
      <c r="B1885" s="14"/>
      <c r="C1885" s="14"/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</row>
    <row r="1886">
      <c r="A1886" s="14"/>
      <c r="B1886" s="14"/>
      <c r="C1886" s="14"/>
      <c r="D1886" s="14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</row>
    <row r="1887">
      <c r="A1887" s="14"/>
      <c r="B1887" s="14"/>
      <c r="C1887" s="14"/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</row>
    <row r="1888">
      <c r="A1888" s="14"/>
      <c r="B1888" s="14"/>
      <c r="C1888" s="14"/>
      <c r="D1888" s="14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</row>
    <row r="1889">
      <c r="A1889" s="14"/>
      <c r="B1889" s="14"/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</row>
    <row r="1890">
      <c r="A1890" s="14"/>
      <c r="B1890" s="14"/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</row>
    <row r="1891">
      <c r="A1891" s="14"/>
      <c r="B1891" s="14"/>
      <c r="C1891" s="14"/>
      <c r="D1891" s="14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</row>
    <row r="1892">
      <c r="A1892" s="14"/>
      <c r="B1892" s="14"/>
      <c r="C1892" s="14"/>
      <c r="D1892" s="14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</row>
    <row r="1893">
      <c r="A1893" s="14"/>
      <c r="B1893" s="14"/>
      <c r="C1893" s="14"/>
      <c r="D1893" s="14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</row>
    <row r="1894">
      <c r="A1894" s="14"/>
      <c r="B1894" s="14"/>
      <c r="C1894" s="14"/>
      <c r="D1894" s="14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</row>
    <row r="1895">
      <c r="A1895" s="14"/>
      <c r="B1895" s="14"/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</row>
    <row r="1896">
      <c r="A1896" s="14"/>
      <c r="B1896" s="14"/>
      <c r="C1896" s="14"/>
      <c r="D1896" s="14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</row>
    <row r="1897">
      <c r="A1897" s="14"/>
      <c r="B1897" s="14"/>
      <c r="C1897" s="14"/>
      <c r="D1897" s="14"/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</row>
    <row r="1898">
      <c r="A1898" s="14"/>
      <c r="B1898" s="14"/>
      <c r="C1898" s="14"/>
      <c r="D1898" s="14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</row>
    <row r="1899">
      <c r="A1899" s="14"/>
      <c r="B1899" s="14"/>
      <c r="C1899" s="14"/>
      <c r="D1899" s="14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</row>
    <row r="1900">
      <c r="A1900" s="14"/>
      <c r="B1900" s="14"/>
      <c r="C1900" s="14"/>
      <c r="D1900" s="14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</row>
    <row r="1901">
      <c r="A1901" s="14"/>
      <c r="B1901" s="14"/>
      <c r="C1901" s="14"/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</row>
    <row r="1902">
      <c r="A1902" s="14"/>
      <c r="B1902" s="14"/>
      <c r="C1902" s="14"/>
      <c r="D1902" s="14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</row>
    <row r="1903">
      <c r="A1903" s="14"/>
      <c r="B1903" s="14"/>
      <c r="C1903" s="14"/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</row>
    <row r="1904">
      <c r="A1904" s="14"/>
      <c r="B1904" s="14"/>
      <c r="C1904" s="14"/>
      <c r="D1904" s="14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</row>
    <row r="1905">
      <c r="A1905" s="14"/>
      <c r="B1905" s="14"/>
      <c r="C1905" s="14"/>
      <c r="D1905" s="14"/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</row>
    <row r="1906">
      <c r="A1906" s="14"/>
      <c r="B1906" s="14"/>
      <c r="C1906" s="14"/>
      <c r="D1906" s="14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</row>
    <row r="1907">
      <c r="A1907" s="14"/>
      <c r="B1907" s="14"/>
      <c r="C1907" s="14"/>
      <c r="D1907" s="14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</row>
    <row r="1908">
      <c r="A1908" s="14"/>
      <c r="B1908" s="14"/>
      <c r="C1908" s="14"/>
      <c r="D1908" s="14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</row>
    <row r="1909">
      <c r="A1909" s="14"/>
      <c r="B1909" s="14"/>
      <c r="C1909" s="14"/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</row>
    <row r="1910">
      <c r="A1910" s="14"/>
      <c r="B1910" s="14"/>
      <c r="C1910" s="14"/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</row>
    <row r="1911">
      <c r="A1911" s="14"/>
      <c r="B1911" s="14"/>
      <c r="C1911" s="14"/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</row>
    <row r="1912">
      <c r="A1912" s="14"/>
      <c r="B1912" s="14"/>
      <c r="C1912" s="14"/>
      <c r="D1912" s="14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</row>
    <row r="1913">
      <c r="A1913" s="14"/>
      <c r="B1913" s="14"/>
      <c r="C1913" s="14"/>
      <c r="D1913" s="14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</row>
    <row r="1914">
      <c r="A1914" s="14"/>
      <c r="B1914" s="14"/>
      <c r="C1914" s="14"/>
      <c r="D1914" s="14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</row>
    <row r="1915">
      <c r="A1915" s="14"/>
      <c r="B1915" s="14"/>
      <c r="C1915" s="14"/>
      <c r="D1915" s="14"/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</row>
    <row r="1916">
      <c r="A1916" s="14"/>
      <c r="B1916" s="14"/>
      <c r="C1916" s="14"/>
      <c r="D1916" s="14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</row>
    <row r="1917">
      <c r="A1917" s="14"/>
      <c r="B1917" s="14"/>
      <c r="C1917" s="14"/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</row>
    <row r="1918">
      <c r="A1918" s="14"/>
      <c r="B1918" s="14"/>
      <c r="C1918" s="14"/>
      <c r="D1918" s="14"/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</row>
    <row r="1919">
      <c r="A1919" s="14"/>
      <c r="B1919" s="14"/>
      <c r="C1919" s="14"/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</row>
    <row r="1920">
      <c r="A1920" s="14"/>
      <c r="B1920" s="14"/>
      <c r="C1920" s="14"/>
      <c r="D1920" s="14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</row>
    <row r="1921">
      <c r="A1921" s="14"/>
      <c r="B1921" s="14"/>
      <c r="C1921" s="14"/>
      <c r="D1921" s="14"/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</row>
    <row r="1922">
      <c r="A1922" s="14"/>
      <c r="B1922" s="14"/>
      <c r="C1922" s="14"/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</row>
    <row r="1923">
      <c r="A1923" s="14"/>
      <c r="B1923" s="14"/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</row>
    <row r="1924">
      <c r="A1924" s="14"/>
      <c r="B1924" s="14"/>
      <c r="C1924" s="14"/>
      <c r="D1924" s="14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</row>
    <row r="1925">
      <c r="A1925" s="14"/>
      <c r="B1925" s="14"/>
      <c r="C1925" s="14"/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</row>
    <row r="1926">
      <c r="A1926" s="14"/>
      <c r="B1926" s="14"/>
      <c r="C1926" s="14"/>
      <c r="D1926" s="14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</row>
    <row r="1927">
      <c r="A1927" s="14"/>
      <c r="B1927" s="14"/>
      <c r="C1927" s="14"/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</row>
    <row r="1928">
      <c r="A1928" s="14"/>
      <c r="B1928" s="14"/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</row>
    <row r="1929">
      <c r="A1929" s="14"/>
      <c r="B1929" s="14"/>
      <c r="C1929" s="14"/>
      <c r="D1929" s="14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</row>
    <row r="1930">
      <c r="A1930" s="14"/>
      <c r="B1930" s="14"/>
      <c r="C1930" s="14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</row>
    <row r="1931">
      <c r="A1931" s="14"/>
      <c r="B1931" s="14"/>
      <c r="C1931" s="14"/>
      <c r="D1931" s="14"/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</row>
    <row r="1932">
      <c r="A1932" s="14"/>
      <c r="B1932" s="14"/>
      <c r="C1932" s="14"/>
      <c r="D1932" s="14"/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</row>
    <row r="1933">
      <c r="A1933" s="14"/>
      <c r="B1933" s="14"/>
      <c r="C1933" s="14"/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</row>
    <row r="1934">
      <c r="A1934" s="14"/>
      <c r="B1934" s="14"/>
      <c r="C1934" s="14"/>
      <c r="D1934" s="14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</row>
    <row r="1935">
      <c r="A1935" s="14"/>
      <c r="B1935" s="14"/>
      <c r="C1935" s="14"/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</row>
    <row r="1936">
      <c r="A1936" s="14"/>
      <c r="B1936" s="14"/>
      <c r="C1936" s="14"/>
      <c r="D1936" s="14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</row>
    <row r="1937">
      <c r="A1937" s="14"/>
      <c r="B1937" s="14"/>
      <c r="C1937" s="14"/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</row>
    <row r="1938">
      <c r="A1938" s="14"/>
      <c r="B1938" s="14"/>
      <c r="C1938" s="14"/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</row>
    <row r="1939">
      <c r="A1939" s="14"/>
      <c r="B1939" s="14"/>
      <c r="C1939" s="14"/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</row>
    <row r="1940">
      <c r="A1940" s="14"/>
      <c r="B1940" s="14"/>
      <c r="C1940" s="14"/>
      <c r="D1940" s="14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</row>
    <row r="1941">
      <c r="A1941" s="14"/>
      <c r="B1941" s="14"/>
      <c r="C1941" s="14"/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</row>
    <row r="1942">
      <c r="A1942" s="14"/>
      <c r="B1942" s="14"/>
      <c r="C1942" s="14"/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</row>
    <row r="1943">
      <c r="A1943" s="14"/>
      <c r="B1943" s="14"/>
      <c r="C1943" s="14"/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</row>
    <row r="1944">
      <c r="A1944" s="14"/>
      <c r="B1944" s="14"/>
      <c r="C1944" s="14"/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</row>
    <row r="1945">
      <c r="A1945" s="14"/>
      <c r="B1945" s="14"/>
      <c r="C1945" s="14"/>
      <c r="D1945" s="14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</row>
    <row r="1946">
      <c r="A1946" s="14"/>
      <c r="B1946" s="14"/>
      <c r="C1946" s="14"/>
      <c r="D1946" s="14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</row>
    <row r="1947">
      <c r="A1947" s="14"/>
      <c r="B1947" s="14"/>
      <c r="C1947" s="14"/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</row>
    <row r="1948">
      <c r="A1948" s="14"/>
      <c r="B1948" s="14"/>
      <c r="C1948" s="14"/>
      <c r="D1948" s="14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</row>
    <row r="1949">
      <c r="A1949" s="14"/>
      <c r="B1949" s="14"/>
      <c r="C1949" s="14"/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</row>
    <row r="1950">
      <c r="A1950" s="14"/>
      <c r="B1950" s="14"/>
      <c r="C1950" s="14"/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</row>
    <row r="1951">
      <c r="A1951" s="14"/>
      <c r="B1951" s="14"/>
      <c r="C1951" s="14"/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</row>
    <row r="1952">
      <c r="A1952" s="14"/>
      <c r="B1952" s="14"/>
      <c r="C1952" s="14"/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</row>
    <row r="1953">
      <c r="A1953" s="14"/>
      <c r="B1953" s="14"/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</row>
    <row r="1954">
      <c r="A1954" s="14"/>
      <c r="B1954" s="14"/>
      <c r="C1954" s="14"/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</row>
    <row r="1955">
      <c r="A1955" s="14"/>
      <c r="B1955" s="14"/>
      <c r="C1955" s="14"/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</row>
    <row r="1956">
      <c r="A1956" s="14"/>
      <c r="B1956" s="14"/>
      <c r="C1956" s="14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</row>
    <row r="1957">
      <c r="A1957" s="14"/>
      <c r="B1957" s="14"/>
      <c r="C1957" s="14"/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</row>
    <row r="1958">
      <c r="A1958" s="14"/>
      <c r="B1958" s="14"/>
      <c r="C1958" s="14"/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</row>
    <row r="1959">
      <c r="A1959" s="14"/>
      <c r="B1959" s="14"/>
      <c r="C1959" s="14"/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</row>
    <row r="1960">
      <c r="A1960" s="14"/>
      <c r="B1960" s="14"/>
      <c r="C1960" s="14"/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</row>
    <row r="1961">
      <c r="A1961" s="14"/>
      <c r="B1961" s="14"/>
      <c r="C1961" s="14"/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</row>
    <row r="1962">
      <c r="A1962" s="14"/>
      <c r="B1962" s="14"/>
      <c r="C1962" s="14"/>
      <c r="D1962" s="14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</row>
    <row r="1963">
      <c r="A1963" s="14"/>
      <c r="B1963" s="14"/>
      <c r="C1963" s="14"/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</row>
    <row r="1964">
      <c r="A1964" s="14"/>
      <c r="B1964" s="14"/>
      <c r="C1964" s="14"/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</row>
    <row r="1965">
      <c r="A1965" s="14"/>
      <c r="B1965" s="14"/>
      <c r="C1965" s="14"/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</row>
    <row r="1966">
      <c r="A1966" s="14"/>
      <c r="B1966" s="14"/>
      <c r="C1966" s="14"/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</row>
    <row r="1967">
      <c r="A1967" s="14"/>
      <c r="B1967" s="14"/>
      <c r="C1967" s="14"/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</row>
    <row r="1968">
      <c r="A1968" s="14"/>
      <c r="B1968" s="14"/>
      <c r="C1968" s="14"/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</row>
    <row r="1969">
      <c r="A1969" s="14"/>
      <c r="B1969" s="14"/>
      <c r="C1969" s="14"/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</row>
    <row r="1970">
      <c r="A1970" s="14"/>
      <c r="B1970" s="14"/>
      <c r="C1970" s="14"/>
      <c r="D1970" s="14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</row>
    <row r="1971">
      <c r="A1971" s="14"/>
      <c r="B1971" s="14"/>
      <c r="C1971" s="14"/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</row>
    <row r="1972">
      <c r="A1972" s="14"/>
      <c r="B1972" s="14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</row>
    <row r="1973">
      <c r="A1973" s="14"/>
      <c r="B1973" s="14"/>
      <c r="C1973" s="14"/>
      <c r="D1973" s="14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</row>
    <row r="1974">
      <c r="A1974" s="14"/>
      <c r="B1974" s="14"/>
      <c r="C1974" s="14"/>
      <c r="D1974" s="14"/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</row>
    <row r="1975">
      <c r="A1975" s="14"/>
      <c r="B1975" s="14"/>
      <c r="C1975" s="14"/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</row>
    <row r="1976">
      <c r="A1976" s="14"/>
      <c r="B1976" s="14"/>
      <c r="C1976" s="14"/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</row>
    <row r="1977">
      <c r="A1977" s="14"/>
      <c r="B1977" s="14"/>
      <c r="C1977" s="14"/>
      <c r="D1977" s="14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</row>
    <row r="1978">
      <c r="A1978" s="14"/>
      <c r="B1978" s="14"/>
      <c r="C1978" s="14"/>
      <c r="D1978" s="14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</row>
    <row r="1979">
      <c r="A1979" s="14"/>
      <c r="B1979" s="14"/>
      <c r="C1979" s="14"/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</row>
    <row r="1980">
      <c r="A1980" s="14"/>
      <c r="B1980" s="14"/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</row>
    <row r="1981">
      <c r="A1981" s="14"/>
      <c r="B1981" s="14"/>
      <c r="C1981" s="14"/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</row>
    <row r="1982">
      <c r="A1982" s="14"/>
      <c r="B1982" s="14"/>
      <c r="C1982" s="14"/>
      <c r="D1982" s="14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</row>
    <row r="1983">
      <c r="A1983" s="14"/>
      <c r="B1983" s="14"/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</row>
    <row r="1984">
      <c r="A1984" s="14"/>
      <c r="B1984" s="14"/>
      <c r="C1984" s="14"/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</row>
    <row r="1985">
      <c r="A1985" s="14"/>
      <c r="B1985" s="14"/>
      <c r="C1985" s="14"/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</row>
    <row r="1986">
      <c r="A1986" s="14"/>
      <c r="B1986" s="14"/>
      <c r="C1986" s="14"/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</row>
    <row r="1987">
      <c r="A1987" s="14"/>
      <c r="B1987" s="14"/>
      <c r="C1987" s="14"/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</row>
    <row r="1988">
      <c r="A1988" s="14"/>
      <c r="B1988" s="14"/>
      <c r="C1988" s="14"/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</row>
    <row r="1989">
      <c r="A1989" s="14"/>
      <c r="B1989" s="14"/>
      <c r="C1989" s="14"/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</row>
    <row r="1990">
      <c r="A1990" s="14"/>
      <c r="B1990" s="14"/>
      <c r="C1990" s="14"/>
      <c r="D1990" s="14"/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</row>
    <row r="1991">
      <c r="A1991" s="14"/>
      <c r="B1991" s="14"/>
      <c r="C1991" s="14"/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</row>
    <row r="1992">
      <c r="A1992" s="14"/>
      <c r="B1992" s="14"/>
      <c r="C1992" s="14"/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</row>
    <row r="1993">
      <c r="A1993" s="14"/>
      <c r="B1993" s="14"/>
      <c r="C1993" s="14"/>
      <c r="D1993" s="14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</row>
    <row r="1994">
      <c r="A1994" s="14"/>
      <c r="B1994" s="14"/>
      <c r="C1994" s="14"/>
      <c r="D1994" s="14"/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</row>
    <row r="1995">
      <c r="A1995" s="14"/>
      <c r="B1995" s="14"/>
      <c r="C1995" s="14"/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</row>
    <row r="1996">
      <c r="A1996" s="14"/>
      <c r="B1996" s="14"/>
      <c r="C1996" s="14"/>
      <c r="D1996" s="14"/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</row>
    <row r="1997">
      <c r="A1997" s="14"/>
      <c r="B1997" s="14"/>
      <c r="C1997" s="14"/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</row>
    <row r="1998">
      <c r="A1998" s="14"/>
      <c r="B1998" s="14"/>
      <c r="C1998" s="14"/>
      <c r="D1998" s="14"/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</row>
    <row r="1999">
      <c r="A1999" s="14"/>
      <c r="B1999" s="14"/>
      <c r="C1999" s="14"/>
      <c r="D1999" s="14"/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</row>
    <row r="2000">
      <c r="A2000" s="14"/>
      <c r="B2000" s="14"/>
      <c r="C2000" s="14"/>
      <c r="D2000" s="14"/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</row>
    <row r="2001">
      <c r="A2001" s="14"/>
      <c r="B2001" s="14"/>
      <c r="C2001" s="14"/>
      <c r="D2001" s="14"/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</row>
    <row r="2002">
      <c r="A2002" s="14"/>
      <c r="B2002" s="14"/>
      <c r="C2002" s="14"/>
      <c r="D2002" s="14"/>
      <c r="E2002" s="14"/>
      <c r="F2002" s="14"/>
      <c r="G2002" s="14"/>
      <c r="H2002" s="14"/>
      <c r="I2002" s="14"/>
      <c r="J2002" s="14"/>
      <c r="K2002" s="14"/>
      <c r="L2002" s="14"/>
      <c r="M2002" s="14"/>
      <c r="N2002" s="14"/>
    </row>
    <row r="2003">
      <c r="A2003" s="14"/>
      <c r="B2003" s="14"/>
      <c r="C2003" s="14"/>
      <c r="D2003" s="14"/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</row>
    <row r="2004">
      <c r="A2004" s="14"/>
      <c r="B2004" s="14"/>
      <c r="C2004" s="14"/>
      <c r="D2004" s="14"/>
      <c r="E2004" s="14"/>
      <c r="F2004" s="14"/>
      <c r="G2004" s="14"/>
      <c r="H2004" s="14"/>
      <c r="I2004" s="14"/>
      <c r="J2004" s="14"/>
      <c r="K2004" s="14"/>
      <c r="L2004" s="14"/>
      <c r="M2004" s="14"/>
      <c r="N2004" s="14"/>
    </row>
    <row r="2005">
      <c r="A2005" s="14"/>
      <c r="B2005" s="14"/>
      <c r="C2005" s="14"/>
      <c r="D2005" s="14"/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</row>
    <row r="2006">
      <c r="A2006" s="14"/>
      <c r="B2006" s="14"/>
      <c r="C2006" s="14"/>
      <c r="D2006" s="14"/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</row>
    <row r="2007">
      <c r="A2007" s="14"/>
      <c r="B2007" s="14"/>
      <c r="C2007" s="14"/>
      <c r="D2007" s="14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</row>
    <row r="2008">
      <c r="A2008" s="14"/>
      <c r="B2008" s="14"/>
      <c r="C2008" s="14"/>
      <c r="D2008" s="14"/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</row>
    <row r="2009">
      <c r="A2009" s="14"/>
      <c r="B2009" s="14"/>
      <c r="C2009" s="14"/>
      <c r="D2009" s="14"/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</row>
    <row r="2010">
      <c r="A2010" s="14"/>
      <c r="B2010" s="14"/>
      <c r="C2010" s="14"/>
      <c r="D2010" s="14"/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</row>
    <row r="2011">
      <c r="A2011" s="14"/>
      <c r="B2011" s="14"/>
      <c r="C2011" s="14"/>
      <c r="D2011" s="14"/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</row>
    <row r="2012">
      <c r="A2012" s="14"/>
      <c r="B2012" s="14"/>
      <c r="C2012" s="14"/>
      <c r="D2012" s="14"/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</row>
    <row r="2013">
      <c r="A2013" s="14"/>
      <c r="B2013" s="14"/>
      <c r="C2013" s="14"/>
      <c r="D2013" s="14"/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</row>
    <row r="2014">
      <c r="A2014" s="14"/>
      <c r="B2014" s="14"/>
      <c r="C2014" s="14"/>
      <c r="D2014" s="14"/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</row>
    <row r="2015">
      <c r="A2015" s="14"/>
      <c r="B2015" s="14"/>
      <c r="C2015" s="14"/>
      <c r="D2015" s="14"/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</row>
    <row r="2016">
      <c r="A2016" s="14"/>
      <c r="B2016" s="14"/>
      <c r="C2016" s="14"/>
      <c r="D2016" s="14"/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</row>
    <row r="2017">
      <c r="A2017" s="14"/>
      <c r="B2017" s="14"/>
      <c r="C2017" s="14"/>
      <c r="D2017" s="14"/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</row>
    <row r="2018">
      <c r="A2018" s="14"/>
      <c r="B2018" s="14"/>
      <c r="C2018" s="14"/>
      <c r="D2018" s="14"/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</row>
    <row r="2019">
      <c r="A2019" s="14"/>
      <c r="B2019" s="14"/>
      <c r="C2019" s="14"/>
      <c r="D2019" s="14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</row>
    <row r="2020">
      <c r="A2020" s="14"/>
      <c r="B2020" s="14"/>
      <c r="C2020" s="14"/>
      <c r="D2020" s="14"/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</row>
    <row r="2021">
      <c r="A2021" s="14"/>
      <c r="B2021" s="14"/>
      <c r="C2021" s="14"/>
      <c r="D2021" s="14"/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</row>
    <row r="2022">
      <c r="A2022" s="14"/>
      <c r="B2022" s="14"/>
      <c r="C2022" s="14"/>
      <c r="D2022" s="14"/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</row>
    <row r="2023">
      <c r="A2023" s="14"/>
      <c r="B2023" s="14"/>
      <c r="C2023" s="14"/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</row>
    <row r="2024">
      <c r="A2024" s="14"/>
      <c r="B2024" s="14"/>
      <c r="C2024" s="14"/>
      <c r="D2024" s="14"/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</row>
    <row r="2025">
      <c r="A2025" s="14"/>
      <c r="B2025" s="14"/>
      <c r="C2025" s="14"/>
      <c r="D2025" s="14"/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</row>
    <row r="2026">
      <c r="A2026" s="14"/>
      <c r="B2026" s="14"/>
      <c r="C2026" s="14"/>
      <c r="D2026" s="14"/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</row>
    <row r="2027">
      <c r="A2027" s="14"/>
      <c r="B2027" s="14"/>
      <c r="C2027" s="14"/>
      <c r="D2027" s="14"/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</row>
    <row r="2028">
      <c r="A2028" s="14"/>
      <c r="B2028" s="14"/>
      <c r="C2028" s="14"/>
      <c r="D2028" s="14"/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</row>
    <row r="2029">
      <c r="A2029" s="14"/>
      <c r="B2029" s="14"/>
      <c r="C2029" s="14"/>
      <c r="D2029" s="14"/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</row>
    <row r="2030">
      <c r="A2030" s="14"/>
      <c r="B2030" s="14"/>
      <c r="C2030" s="14"/>
      <c r="D2030" s="14"/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</row>
    <row r="2031">
      <c r="A2031" s="14"/>
      <c r="B2031" s="14"/>
      <c r="C2031" s="14"/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</row>
    <row r="2032">
      <c r="A2032" s="14"/>
      <c r="B2032" s="14"/>
      <c r="C2032" s="14"/>
      <c r="D2032" s="14"/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</row>
    <row r="2033">
      <c r="A2033" s="14"/>
      <c r="B2033" s="14"/>
      <c r="C2033" s="14"/>
      <c r="D2033" s="14"/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</row>
    <row r="2034">
      <c r="A2034" s="14"/>
      <c r="B2034" s="14"/>
      <c r="C2034" s="14"/>
      <c r="D2034" s="14"/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</row>
    <row r="2035">
      <c r="A2035" s="14"/>
      <c r="B2035" s="14"/>
      <c r="C2035" s="14"/>
      <c r="D2035" s="14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</row>
    <row r="2036">
      <c r="A2036" s="14"/>
      <c r="B2036" s="14"/>
      <c r="C2036" s="14"/>
      <c r="D2036" s="14"/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</row>
    <row r="2037">
      <c r="A2037" s="14"/>
      <c r="B2037" s="14"/>
      <c r="C2037" s="14"/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</row>
    <row r="2038">
      <c r="A2038" s="14"/>
      <c r="B2038" s="14"/>
      <c r="C2038" s="14"/>
      <c r="D2038" s="14"/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</row>
    <row r="2039">
      <c r="A2039" s="14"/>
      <c r="B2039" s="14"/>
      <c r="C2039" s="14"/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</row>
    <row r="2040">
      <c r="A2040" s="14"/>
      <c r="B2040" s="14"/>
      <c r="C2040" s="14"/>
      <c r="D2040" s="14"/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</row>
    <row r="2041">
      <c r="A2041" s="14"/>
      <c r="B2041" s="14"/>
      <c r="C2041" s="14"/>
      <c r="D2041" s="14"/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</row>
    <row r="2042">
      <c r="A2042" s="14"/>
      <c r="B2042" s="14"/>
      <c r="C2042" s="14"/>
      <c r="D2042" s="14"/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</row>
    <row r="2043">
      <c r="A2043" s="14"/>
      <c r="B2043" s="14"/>
      <c r="C2043" s="14"/>
      <c r="D2043" s="14"/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</row>
    <row r="2044">
      <c r="A2044" s="14"/>
      <c r="B2044" s="14"/>
      <c r="C2044" s="14"/>
      <c r="D2044" s="14"/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</row>
    <row r="2045">
      <c r="A2045" s="14"/>
      <c r="B2045" s="14"/>
      <c r="C2045" s="14"/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</row>
    <row r="2046">
      <c r="A2046" s="14"/>
      <c r="B2046" s="14"/>
      <c r="C2046" s="14"/>
      <c r="D2046" s="14"/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</row>
    <row r="2047">
      <c r="A2047" s="14"/>
      <c r="B2047" s="14"/>
      <c r="C2047" s="14"/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</row>
    <row r="2048">
      <c r="A2048" s="14"/>
      <c r="B2048" s="14"/>
      <c r="C2048" s="14"/>
      <c r="D2048" s="14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</row>
    <row r="2049">
      <c r="A2049" s="14"/>
      <c r="B2049" s="14"/>
      <c r="C2049" s="14"/>
      <c r="D2049" s="14"/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</row>
    <row r="2050">
      <c r="A2050" s="14"/>
      <c r="B2050" s="14"/>
      <c r="C2050" s="14"/>
      <c r="D2050" s="14"/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</row>
    <row r="2051">
      <c r="A2051" s="14"/>
      <c r="B2051" s="14"/>
      <c r="C2051" s="14"/>
      <c r="D2051" s="14"/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</row>
    <row r="2052">
      <c r="A2052" s="14"/>
      <c r="B2052" s="14"/>
      <c r="C2052" s="14"/>
      <c r="D2052" s="14"/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</row>
    <row r="2053">
      <c r="A2053" s="14"/>
      <c r="B2053" s="14"/>
      <c r="C2053" s="14"/>
      <c r="D2053" s="14"/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</row>
    <row r="2054">
      <c r="A2054" s="14"/>
      <c r="B2054" s="14"/>
      <c r="C2054" s="14"/>
      <c r="D2054" s="14"/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</row>
    <row r="2055">
      <c r="A2055" s="14"/>
      <c r="B2055" s="14"/>
      <c r="C2055" s="14"/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</row>
    <row r="2056">
      <c r="A2056" s="14"/>
      <c r="B2056" s="14"/>
      <c r="C2056" s="14"/>
      <c r="D2056" s="14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</row>
    <row r="2057">
      <c r="A2057" s="14"/>
      <c r="B2057" s="14"/>
      <c r="C2057" s="14"/>
      <c r="D2057" s="14"/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</row>
    <row r="2058">
      <c r="A2058" s="14"/>
      <c r="B2058" s="14"/>
      <c r="C2058" s="14"/>
      <c r="D2058" s="14"/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</row>
    <row r="2059">
      <c r="A2059" s="14"/>
      <c r="B2059" s="14"/>
      <c r="C2059" s="14"/>
      <c r="D2059" s="14"/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</row>
    <row r="2060">
      <c r="A2060" s="14"/>
      <c r="B2060" s="14"/>
      <c r="C2060" s="14"/>
      <c r="D2060" s="14"/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</row>
    <row r="2061">
      <c r="A2061" s="14"/>
      <c r="B2061" s="14"/>
      <c r="C2061" s="14"/>
      <c r="D2061" s="14"/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</row>
    <row r="2062">
      <c r="A2062" s="14"/>
      <c r="B2062" s="14"/>
      <c r="C2062" s="14"/>
      <c r="D2062" s="14"/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</row>
    <row r="2063">
      <c r="A2063" s="14"/>
      <c r="B2063" s="14"/>
      <c r="C2063" s="14"/>
      <c r="D2063" s="14"/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</row>
    <row r="2064">
      <c r="A2064" s="14"/>
      <c r="B2064" s="14"/>
      <c r="C2064" s="14"/>
      <c r="D2064" s="14"/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</row>
    <row r="2065">
      <c r="A2065" s="14"/>
      <c r="B2065" s="14"/>
      <c r="C2065" s="14"/>
      <c r="D2065" s="14"/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</row>
    <row r="2066">
      <c r="A2066" s="14"/>
      <c r="B2066" s="14"/>
      <c r="C2066" s="14"/>
      <c r="D2066" s="14"/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</row>
    <row r="2067">
      <c r="A2067" s="14"/>
      <c r="B2067" s="14"/>
      <c r="C2067" s="14"/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</row>
    <row r="2068">
      <c r="A2068" s="14"/>
      <c r="B2068" s="14"/>
      <c r="C2068" s="14"/>
      <c r="D2068" s="14"/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</row>
    <row r="2069">
      <c r="A2069" s="14"/>
      <c r="B2069" s="14"/>
      <c r="C2069" s="14"/>
      <c r="D2069" s="14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</row>
    <row r="2070">
      <c r="A2070" s="14"/>
      <c r="B2070" s="14"/>
      <c r="C2070" s="14"/>
      <c r="D2070" s="14"/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</row>
    <row r="2071">
      <c r="A2071" s="14"/>
      <c r="B2071" s="14"/>
      <c r="C2071" s="14"/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</row>
    <row r="2072">
      <c r="A2072" s="14"/>
      <c r="B2072" s="14"/>
      <c r="C2072" s="14"/>
      <c r="D2072" s="14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</row>
    <row r="2073">
      <c r="A2073" s="14"/>
      <c r="B2073" s="14"/>
      <c r="C2073" s="14"/>
      <c r="D2073" s="14"/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</row>
    <row r="2074">
      <c r="A2074" s="14"/>
      <c r="B2074" s="14"/>
      <c r="C2074" s="14"/>
      <c r="D2074" s="14"/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</row>
    <row r="2075">
      <c r="A2075" s="14"/>
      <c r="B2075" s="14"/>
      <c r="C2075" s="14"/>
      <c r="D2075" s="14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</row>
    <row r="2076">
      <c r="A2076" s="14"/>
      <c r="B2076" s="14"/>
      <c r="C2076" s="14"/>
      <c r="D2076" s="14"/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</row>
    <row r="2077">
      <c r="A2077" s="14"/>
      <c r="B2077" s="14"/>
      <c r="C2077" s="14"/>
      <c r="D2077" s="14"/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</row>
    <row r="2078">
      <c r="A2078" s="14"/>
      <c r="B2078" s="14"/>
      <c r="C2078" s="14"/>
      <c r="D2078" s="14"/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</row>
    <row r="2079">
      <c r="A2079" s="14"/>
      <c r="B2079" s="14"/>
      <c r="C2079" s="14"/>
      <c r="D2079" s="14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</row>
    <row r="2080">
      <c r="A2080" s="14"/>
      <c r="B2080" s="14"/>
      <c r="C2080" s="14"/>
      <c r="D2080" s="14"/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</row>
    <row r="2081">
      <c r="A2081" s="14"/>
      <c r="B2081" s="14"/>
      <c r="C2081" s="14"/>
      <c r="D2081" s="14"/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</row>
    <row r="2082">
      <c r="A2082" s="14"/>
      <c r="B2082" s="14"/>
      <c r="C2082" s="14"/>
      <c r="D2082" s="14"/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</row>
    <row r="2083">
      <c r="A2083" s="14"/>
      <c r="B2083" s="14"/>
      <c r="C2083" s="14"/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</row>
    <row r="2084">
      <c r="A2084" s="14"/>
      <c r="B2084" s="14"/>
      <c r="C2084" s="14"/>
      <c r="D2084" s="14"/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</row>
    <row r="2085">
      <c r="A2085" s="14"/>
      <c r="B2085" s="14"/>
      <c r="C2085" s="14"/>
      <c r="D2085" s="14"/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</row>
    <row r="2086">
      <c r="A2086" s="14"/>
      <c r="B2086" s="14"/>
      <c r="C2086" s="14"/>
      <c r="D2086" s="14"/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</row>
    <row r="2087">
      <c r="A2087" s="14"/>
      <c r="B2087" s="14"/>
      <c r="C2087" s="14"/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</row>
    <row r="2088">
      <c r="A2088" s="14"/>
      <c r="B2088" s="14"/>
      <c r="C2088" s="14"/>
      <c r="D2088" s="14"/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</row>
    <row r="2089">
      <c r="A2089" s="14"/>
      <c r="B2089" s="14"/>
      <c r="C2089" s="14"/>
      <c r="D2089" s="14"/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</row>
    <row r="2090">
      <c r="A2090" s="14"/>
      <c r="B2090" s="14"/>
      <c r="C2090" s="14"/>
      <c r="D2090" s="14"/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</row>
    <row r="2091">
      <c r="A2091" s="14"/>
      <c r="B2091" s="14"/>
      <c r="C2091" s="14"/>
      <c r="D2091" s="14"/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</row>
    <row r="2092">
      <c r="A2092" s="14"/>
      <c r="B2092" s="14"/>
      <c r="C2092" s="14"/>
      <c r="D2092" s="14"/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</row>
    <row r="2093">
      <c r="A2093" s="14"/>
      <c r="B2093" s="14"/>
      <c r="C2093" s="14"/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</row>
    <row r="2094">
      <c r="A2094" s="14"/>
      <c r="B2094" s="14"/>
      <c r="C2094" s="14"/>
      <c r="D2094" s="14"/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</row>
    <row r="2095">
      <c r="A2095" s="14"/>
      <c r="B2095" s="14"/>
      <c r="C2095" s="14"/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</row>
    <row r="2096">
      <c r="A2096" s="14"/>
      <c r="B2096" s="14"/>
      <c r="C2096" s="14"/>
      <c r="D2096" s="14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</row>
    <row r="2097">
      <c r="A2097" s="14"/>
      <c r="B2097" s="14"/>
      <c r="C2097" s="14"/>
      <c r="D2097" s="14"/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</row>
    <row r="2098">
      <c r="A2098" s="14"/>
      <c r="B2098" s="14"/>
      <c r="C2098" s="14"/>
      <c r="D2098" s="14"/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</row>
    <row r="2099">
      <c r="A2099" s="14"/>
      <c r="B2099" s="14"/>
      <c r="C2099" s="14"/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</row>
    <row r="2100">
      <c r="A2100" s="14"/>
      <c r="B2100" s="14"/>
      <c r="C2100" s="14"/>
      <c r="D2100" s="14"/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</row>
    <row r="2101">
      <c r="A2101" s="14"/>
      <c r="B2101" s="14"/>
      <c r="C2101" s="14"/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</row>
    <row r="2102">
      <c r="A2102" s="14"/>
      <c r="B2102" s="14"/>
      <c r="C2102" s="14"/>
      <c r="D2102" s="14"/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</row>
    <row r="2103">
      <c r="A2103" s="14"/>
      <c r="B2103" s="14"/>
      <c r="C2103" s="14"/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</row>
    <row r="2104">
      <c r="A2104" s="14"/>
      <c r="B2104" s="14"/>
      <c r="C2104" s="14"/>
      <c r="D2104" s="14"/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</row>
    <row r="2105">
      <c r="A2105" s="14"/>
      <c r="B2105" s="14"/>
      <c r="C2105" s="14"/>
      <c r="D2105" s="14"/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</row>
    <row r="2106">
      <c r="A2106" s="14"/>
      <c r="B2106" s="14"/>
      <c r="C2106" s="14"/>
      <c r="D2106" s="14"/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</row>
    <row r="2107">
      <c r="A2107" s="14"/>
      <c r="B2107" s="14"/>
      <c r="C2107" s="14"/>
      <c r="D2107" s="14"/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</row>
    <row r="2108">
      <c r="A2108" s="14"/>
      <c r="B2108" s="14"/>
      <c r="C2108" s="14"/>
      <c r="D2108" s="14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</row>
    <row r="2109">
      <c r="A2109" s="14"/>
      <c r="B2109" s="14"/>
      <c r="C2109" s="14"/>
      <c r="D2109" s="14"/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</row>
    <row r="2110">
      <c r="A2110" s="14"/>
      <c r="B2110" s="14"/>
      <c r="C2110" s="14"/>
      <c r="D2110" s="14"/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</row>
    <row r="2111">
      <c r="A2111" s="14"/>
      <c r="B2111" s="14"/>
      <c r="C2111" s="14"/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</row>
    <row r="2112">
      <c r="A2112" s="14"/>
      <c r="B2112" s="14"/>
      <c r="C2112" s="14"/>
      <c r="D2112" s="14"/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</row>
    <row r="2113">
      <c r="A2113" s="14"/>
      <c r="B2113" s="14"/>
      <c r="C2113" s="14"/>
      <c r="D2113" s="14"/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</row>
    <row r="2114">
      <c r="A2114" s="14"/>
      <c r="B2114" s="14"/>
      <c r="C2114" s="14"/>
      <c r="D2114" s="14"/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</row>
    <row r="2115">
      <c r="A2115" s="14"/>
      <c r="B2115" s="14"/>
      <c r="C2115" s="14"/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</row>
    <row r="2116">
      <c r="A2116" s="14"/>
      <c r="B2116" s="14"/>
      <c r="C2116" s="14"/>
      <c r="D2116" s="14"/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</row>
    <row r="2117">
      <c r="A2117" s="14"/>
      <c r="B2117" s="14"/>
      <c r="C2117" s="14"/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</row>
    <row r="2118">
      <c r="A2118" s="14"/>
      <c r="B2118" s="14"/>
      <c r="C2118" s="14"/>
      <c r="D2118" s="14"/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</row>
    <row r="2119">
      <c r="A2119" s="14"/>
      <c r="B2119" s="14"/>
      <c r="C2119" s="14"/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</row>
    <row r="2120">
      <c r="A2120" s="14"/>
      <c r="B2120" s="14"/>
      <c r="C2120" s="14"/>
      <c r="D2120" s="14"/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</row>
    <row r="2121">
      <c r="A2121" s="14"/>
      <c r="B2121" s="14"/>
      <c r="C2121" s="14"/>
      <c r="D2121" s="14"/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</row>
    <row r="2122">
      <c r="A2122" s="14"/>
      <c r="B2122" s="14"/>
      <c r="C2122" s="14"/>
      <c r="D2122" s="14"/>
      <c r="E2122" s="14"/>
      <c r="F2122" s="14"/>
      <c r="G2122" s="14"/>
      <c r="H2122" s="14"/>
      <c r="I2122" s="14"/>
      <c r="J2122" s="14"/>
      <c r="K2122" s="14"/>
      <c r="L2122" s="14"/>
      <c r="M2122" s="14"/>
      <c r="N2122" s="14"/>
    </row>
    <row r="2123">
      <c r="A2123" s="14"/>
      <c r="B2123" s="14"/>
      <c r="C2123" s="14"/>
      <c r="D2123" s="14"/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</row>
    <row r="2124">
      <c r="A2124" s="14"/>
      <c r="B2124" s="14"/>
      <c r="C2124" s="14"/>
      <c r="D2124" s="14"/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</row>
    <row r="2125">
      <c r="A2125" s="14"/>
      <c r="B2125" s="14"/>
      <c r="C2125" s="14"/>
      <c r="D2125" s="14"/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</row>
    <row r="2126">
      <c r="A2126" s="14"/>
      <c r="B2126" s="14"/>
      <c r="C2126" s="14"/>
      <c r="D2126" s="14"/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</row>
    <row r="2127">
      <c r="A2127" s="14"/>
      <c r="B2127" s="14"/>
      <c r="C2127" s="14"/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</row>
    <row r="2128">
      <c r="A2128" s="14"/>
      <c r="B2128" s="14"/>
      <c r="C2128" s="14"/>
      <c r="D2128" s="14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</row>
    <row r="2129">
      <c r="A2129" s="14"/>
      <c r="B2129" s="14"/>
      <c r="C2129" s="14"/>
      <c r="D2129" s="14"/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</row>
    <row r="2130">
      <c r="A2130" s="14"/>
      <c r="B2130" s="14"/>
      <c r="C2130" s="14"/>
      <c r="D2130" s="14"/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</row>
    <row r="2131">
      <c r="A2131" s="14"/>
      <c r="B2131" s="14"/>
      <c r="C2131" s="14"/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</row>
    <row r="2132">
      <c r="A2132" s="14"/>
      <c r="B2132" s="14"/>
      <c r="C2132" s="14"/>
      <c r="D2132" s="14"/>
      <c r="E2132" s="14"/>
      <c r="F2132" s="14"/>
      <c r="G2132" s="14"/>
      <c r="H2132" s="14"/>
      <c r="I2132" s="14"/>
      <c r="J2132" s="14"/>
      <c r="K2132" s="14"/>
      <c r="L2132" s="14"/>
      <c r="M2132" s="14"/>
      <c r="N2132" s="14"/>
    </row>
    <row r="2133">
      <c r="A2133" s="14"/>
      <c r="B2133" s="14"/>
      <c r="C2133" s="14"/>
      <c r="D2133" s="14"/>
      <c r="E2133" s="14"/>
      <c r="F2133" s="14"/>
      <c r="G2133" s="14"/>
      <c r="H2133" s="14"/>
      <c r="I2133" s="14"/>
      <c r="J2133" s="14"/>
      <c r="K2133" s="14"/>
      <c r="L2133" s="14"/>
      <c r="M2133" s="14"/>
      <c r="N2133" s="14"/>
    </row>
    <row r="2134">
      <c r="A2134" s="14"/>
      <c r="B2134" s="14"/>
      <c r="C2134" s="14"/>
      <c r="D2134" s="14"/>
      <c r="E2134" s="14"/>
      <c r="F2134" s="14"/>
      <c r="G2134" s="14"/>
      <c r="H2134" s="14"/>
      <c r="I2134" s="14"/>
      <c r="J2134" s="14"/>
      <c r="K2134" s="14"/>
      <c r="L2134" s="14"/>
      <c r="M2134" s="14"/>
      <c r="N2134" s="14"/>
    </row>
    <row r="2135">
      <c r="A2135" s="14"/>
      <c r="B2135" s="14"/>
      <c r="C2135" s="14"/>
      <c r="D2135" s="14"/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</row>
    <row r="2136">
      <c r="A2136" s="14"/>
      <c r="B2136" s="14"/>
      <c r="C2136" s="14"/>
      <c r="D2136" s="14"/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</row>
    <row r="2137">
      <c r="A2137" s="14"/>
      <c r="B2137" s="14"/>
      <c r="C2137" s="14"/>
      <c r="D2137" s="14"/>
      <c r="E2137" s="14"/>
      <c r="F2137" s="14"/>
      <c r="G2137" s="14"/>
      <c r="H2137" s="14"/>
      <c r="I2137" s="14"/>
      <c r="J2137" s="14"/>
      <c r="K2137" s="14"/>
      <c r="L2137" s="14"/>
      <c r="M2137" s="14"/>
      <c r="N2137" s="14"/>
    </row>
    <row r="2138">
      <c r="A2138" s="14"/>
      <c r="B2138" s="14"/>
      <c r="C2138" s="14"/>
      <c r="D2138" s="14"/>
      <c r="E2138" s="14"/>
      <c r="F2138" s="14"/>
      <c r="G2138" s="14"/>
      <c r="H2138" s="14"/>
      <c r="I2138" s="14"/>
      <c r="J2138" s="14"/>
      <c r="K2138" s="14"/>
      <c r="L2138" s="14"/>
      <c r="M2138" s="14"/>
      <c r="N2138" s="14"/>
    </row>
    <row r="2139">
      <c r="A2139" s="14"/>
      <c r="B2139" s="14"/>
      <c r="C2139" s="14"/>
      <c r="D2139" s="14"/>
      <c r="E2139" s="14"/>
      <c r="F2139" s="14"/>
      <c r="G2139" s="14"/>
      <c r="H2139" s="14"/>
      <c r="I2139" s="14"/>
      <c r="J2139" s="14"/>
      <c r="K2139" s="14"/>
      <c r="L2139" s="14"/>
      <c r="M2139" s="14"/>
      <c r="N2139" s="14"/>
    </row>
    <row r="2140">
      <c r="A2140" s="14"/>
      <c r="B2140" s="14"/>
      <c r="C2140" s="14"/>
      <c r="D2140" s="14"/>
      <c r="E2140" s="14"/>
      <c r="F2140" s="14"/>
      <c r="G2140" s="14"/>
      <c r="H2140" s="14"/>
      <c r="I2140" s="14"/>
      <c r="J2140" s="14"/>
      <c r="K2140" s="14"/>
      <c r="L2140" s="14"/>
      <c r="M2140" s="14"/>
      <c r="N2140" s="14"/>
    </row>
    <row r="2141">
      <c r="A2141" s="14"/>
      <c r="B2141" s="14"/>
      <c r="C2141" s="14"/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</row>
    <row r="2142">
      <c r="A2142" s="14"/>
      <c r="B2142" s="14"/>
      <c r="C2142" s="14"/>
      <c r="D2142" s="14"/>
      <c r="E2142" s="14"/>
      <c r="F2142" s="14"/>
      <c r="G2142" s="14"/>
      <c r="H2142" s="14"/>
      <c r="I2142" s="14"/>
      <c r="J2142" s="14"/>
      <c r="K2142" s="14"/>
      <c r="L2142" s="14"/>
      <c r="M2142" s="14"/>
      <c r="N2142" s="14"/>
    </row>
    <row r="2143">
      <c r="A2143" s="14"/>
      <c r="B2143" s="14"/>
      <c r="C2143" s="14"/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</row>
    <row r="2144">
      <c r="A2144" s="14"/>
      <c r="B2144" s="14"/>
      <c r="C2144" s="14"/>
      <c r="D2144" s="14"/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</row>
    <row r="2145">
      <c r="A2145" s="14"/>
      <c r="B2145" s="14"/>
      <c r="C2145" s="14"/>
      <c r="D2145" s="14"/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</row>
    <row r="2146">
      <c r="A2146" s="14"/>
      <c r="B2146" s="14"/>
      <c r="C2146" s="14"/>
      <c r="D2146" s="14"/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</row>
    <row r="2147">
      <c r="A2147" s="14"/>
      <c r="B2147" s="14"/>
      <c r="C2147" s="14"/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</row>
    <row r="2148">
      <c r="A2148" s="14"/>
      <c r="B2148" s="14"/>
      <c r="C2148" s="14"/>
      <c r="D2148" s="14"/>
      <c r="E2148" s="14"/>
      <c r="F2148" s="14"/>
      <c r="G2148" s="14"/>
      <c r="H2148" s="14"/>
      <c r="I2148" s="14"/>
      <c r="J2148" s="14"/>
      <c r="K2148" s="14"/>
      <c r="L2148" s="14"/>
      <c r="M2148" s="14"/>
      <c r="N2148" s="14"/>
    </row>
    <row r="2149">
      <c r="A2149" s="14"/>
      <c r="B2149" s="14"/>
      <c r="C2149" s="14"/>
      <c r="D2149" s="14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</row>
    <row r="2150">
      <c r="A2150" s="14"/>
      <c r="B2150" s="14"/>
      <c r="C2150" s="14"/>
      <c r="D2150" s="14"/>
      <c r="E2150" s="14"/>
      <c r="F2150" s="14"/>
      <c r="G2150" s="14"/>
      <c r="H2150" s="14"/>
      <c r="I2150" s="14"/>
      <c r="J2150" s="14"/>
      <c r="K2150" s="14"/>
      <c r="L2150" s="14"/>
      <c r="M2150" s="14"/>
      <c r="N2150" s="14"/>
    </row>
    <row r="2151">
      <c r="A2151" s="14"/>
      <c r="B2151" s="14"/>
      <c r="C2151" s="14"/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</row>
    <row r="2152">
      <c r="A2152" s="14"/>
      <c r="B2152" s="14"/>
      <c r="C2152" s="14"/>
      <c r="D2152" s="14"/>
      <c r="E2152" s="14"/>
      <c r="F2152" s="14"/>
      <c r="G2152" s="14"/>
      <c r="H2152" s="14"/>
      <c r="I2152" s="14"/>
      <c r="J2152" s="14"/>
      <c r="K2152" s="14"/>
      <c r="L2152" s="14"/>
      <c r="M2152" s="14"/>
      <c r="N2152" s="14"/>
    </row>
    <row r="2153">
      <c r="A2153" s="14"/>
      <c r="B2153" s="14"/>
      <c r="C2153" s="14"/>
      <c r="D2153" s="14"/>
      <c r="E2153" s="14"/>
      <c r="F2153" s="14"/>
      <c r="G2153" s="14"/>
      <c r="H2153" s="14"/>
      <c r="I2153" s="14"/>
      <c r="J2153" s="14"/>
      <c r="K2153" s="14"/>
      <c r="L2153" s="14"/>
      <c r="M2153" s="14"/>
      <c r="N2153" s="14"/>
    </row>
    <row r="2154">
      <c r="A2154" s="14"/>
      <c r="B2154" s="14"/>
      <c r="C2154" s="14"/>
      <c r="D2154" s="14"/>
      <c r="E2154" s="14"/>
      <c r="F2154" s="14"/>
      <c r="G2154" s="14"/>
      <c r="H2154" s="14"/>
      <c r="I2154" s="14"/>
      <c r="J2154" s="14"/>
      <c r="K2154" s="14"/>
      <c r="L2154" s="14"/>
      <c r="M2154" s="14"/>
      <c r="N2154" s="14"/>
    </row>
    <row r="2155">
      <c r="A2155" s="14"/>
      <c r="B2155" s="14"/>
      <c r="C2155" s="14"/>
      <c r="D2155" s="14"/>
      <c r="E2155" s="14"/>
      <c r="F2155" s="14"/>
      <c r="G2155" s="14"/>
      <c r="H2155" s="14"/>
      <c r="I2155" s="14"/>
      <c r="J2155" s="14"/>
      <c r="K2155" s="14"/>
      <c r="L2155" s="14"/>
      <c r="M2155" s="14"/>
      <c r="N2155" s="14"/>
    </row>
    <row r="2156">
      <c r="A2156" s="14"/>
      <c r="B2156" s="14"/>
      <c r="C2156" s="14"/>
      <c r="D2156" s="14"/>
      <c r="E2156" s="14"/>
      <c r="F2156" s="14"/>
      <c r="G2156" s="14"/>
      <c r="H2156" s="14"/>
      <c r="I2156" s="14"/>
      <c r="J2156" s="14"/>
      <c r="K2156" s="14"/>
      <c r="L2156" s="14"/>
      <c r="M2156" s="14"/>
      <c r="N2156" s="14"/>
    </row>
    <row r="2157">
      <c r="A2157" s="14"/>
      <c r="B2157" s="14"/>
      <c r="C2157" s="14"/>
      <c r="D2157" s="14"/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</row>
    <row r="2158">
      <c r="A2158" s="14"/>
      <c r="B2158" s="14"/>
      <c r="C2158" s="14"/>
      <c r="D2158" s="14"/>
      <c r="E2158" s="14"/>
      <c r="F2158" s="14"/>
      <c r="G2158" s="14"/>
      <c r="H2158" s="14"/>
      <c r="I2158" s="14"/>
      <c r="J2158" s="14"/>
      <c r="K2158" s="14"/>
      <c r="L2158" s="14"/>
      <c r="M2158" s="14"/>
      <c r="N2158" s="14"/>
    </row>
    <row r="2159">
      <c r="A2159" s="14"/>
      <c r="B2159" s="14"/>
      <c r="C2159" s="14"/>
      <c r="D2159" s="14"/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</row>
    <row r="2160">
      <c r="A2160" s="14"/>
      <c r="B2160" s="14"/>
      <c r="C2160" s="14"/>
      <c r="D2160" s="14"/>
      <c r="E2160" s="14"/>
      <c r="F2160" s="14"/>
      <c r="G2160" s="14"/>
      <c r="H2160" s="14"/>
      <c r="I2160" s="14"/>
      <c r="J2160" s="14"/>
      <c r="K2160" s="14"/>
      <c r="L2160" s="14"/>
      <c r="M2160" s="14"/>
      <c r="N2160" s="14"/>
    </row>
    <row r="2161">
      <c r="A2161" s="14"/>
      <c r="B2161" s="14"/>
      <c r="C2161" s="14"/>
      <c r="D2161" s="14"/>
      <c r="E2161" s="14"/>
      <c r="F2161" s="14"/>
      <c r="G2161" s="14"/>
      <c r="H2161" s="14"/>
      <c r="I2161" s="14"/>
      <c r="J2161" s="14"/>
      <c r="K2161" s="14"/>
      <c r="L2161" s="14"/>
      <c r="M2161" s="14"/>
      <c r="N2161" s="14"/>
    </row>
    <row r="2162">
      <c r="A2162" s="14"/>
      <c r="B2162" s="14"/>
      <c r="C2162" s="14"/>
      <c r="D2162" s="14"/>
      <c r="E2162" s="14"/>
      <c r="F2162" s="14"/>
      <c r="G2162" s="14"/>
      <c r="H2162" s="14"/>
      <c r="I2162" s="14"/>
      <c r="J2162" s="14"/>
      <c r="K2162" s="14"/>
      <c r="L2162" s="14"/>
      <c r="M2162" s="14"/>
      <c r="N2162" s="14"/>
    </row>
    <row r="2163">
      <c r="A2163" s="14"/>
      <c r="B2163" s="14"/>
      <c r="C2163" s="14"/>
      <c r="D2163" s="14"/>
      <c r="E2163" s="14"/>
      <c r="F2163" s="14"/>
      <c r="G2163" s="14"/>
      <c r="H2163" s="14"/>
      <c r="I2163" s="14"/>
      <c r="J2163" s="14"/>
      <c r="K2163" s="14"/>
      <c r="L2163" s="14"/>
      <c r="M2163" s="14"/>
      <c r="N2163" s="14"/>
    </row>
    <row r="2164">
      <c r="A2164" s="14"/>
      <c r="B2164" s="14"/>
      <c r="C2164" s="14"/>
      <c r="D2164" s="14"/>
      <c r="E2164" s="14"/>
      <c r="F2164" s="14"/>
      <c r="G2164" s="14"/>
      <c r="H2164" s="14"/>
      <c r="I2164" s="14"/>
      <c r="J2164" s="14"/>
      <c r="K2164" s="14"/>
      <c r="L2164" s="14"/>
      <c r="M2164" s="14"/>
      <c r="N2164" s="14"/>
    </row>
    <row r="2165">
      <c r="A2165" s="14"/>
      <c r="B2165" s="14"/>
      <c r="C2165" s="14"/>
      <c r="D2165" s="14"/>
      <c r="E2165" s="14"/>
      <c r="F2165" s="14"/>
      <c r="G2165" s="14"/>
      <c r="H2165" s="14"/>
      <c r="I2165" s="14"/>
      <c r="J2165" s="14"/>
      <c r="K2165" s="14"/>
      <c r="L2165" s="14"/>
      <c r="M2165" s="14"/>
      <c r="N2165" s="14"/>
    </row>
    <row r="2166">
      <c r="A2166" s="14"/>
      <c r="B2166" s="14"/>
      <c r="C2166" s="14"/>
      <c r="D2166" s="14"/>
      <c r="E2166" s="14"/>
      <c r="F2166" s="14"/>
      <c r="G2166" s="14"/>
      <c r="H2166" s="14"/>
      <c r="I2166" s="14"/>
      <c r="J2166" s="14"/>
      <c r="K2166" s="14"/>
      <c r="L2166" s="14"/>
      <c r="M2166" s="14"/>
      <c r="N2166" s="14"/>
    </row>
    <row r="2167">
      <c r="A2167" s="14"/>
      <c r="B2167" s="14"/>
      <c r="C2167" s="14"/>
      <c r="D2167" s="14"/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</row>
    <row r="2168">
      <c r="A2168" s="14"/>
      <c r="B2168" s="14"/>
      <c r="C2168" s="14"/>
      <c r="D2168" s="14"/>
      <c r="E2168" s="14"/>
      <c r="F2168" s="14"/>
      <c r="G2168" s="14"/>
      <c r="H2168" s="14"/>
      <c r="I2168" s="14"/>
      <c r="J2168" s="14"/>
      <c r="K2168" s="14"/>
      <c r="L2168" s="14"/>
      <c r="M2168" s="14"/>
      <c r="N2168" s="14"/>
    </row>
    <row r="2169">
      <c r="A2169" s="14"/>
      <c r="B2169" s="14"/>
      <c r="C2169" s="14"/>
      <c r="D2169" s="14"/>
      <c r="E2169" s="14"/>
      <c r="F2169" s="14"/>
      <c r="G2169" s="14"/>
      <c r="H2169" s="14"/>
      <c r="I2169" s="14"/>
      <c r="J2169" s="14"/>
      <c r="K2169" s="14"/>
      <c r="L2169" s="14"/>
      <c r="M2169" s="14"/>
      <c r="N2169" s="14"/>
    </row>
    <row r="2170">
      <c r="A2170" s="14"/>
      <c r="B2170" s="14"/>
      <c r="C2170" s="14"/>
      <c r="D2170" s="14"/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</row>
    <row r="2171">
      <c r="A2171" s="14"/>
      <c r="B2171" s="14"/>
      <c r="C2171" s="14"/>
      <c r="D2171" s="14"/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</row>
    <row r="2172">
      <c r="A2172" s="14"/>
      <c r="B2172" s="14"/>
      <c r="C2172" s="14"/>
      <c r="D2172" s="14"/>
      <c r="E2172" s="14"/>
      <c r="F2172" s="14"/>
      <c r="G2172" s="14"/>
      <c r="H2172" s="14"/>
      <c r="I2172" s="14"/>
      <c r="J2172" s="14"/>
      <c r="K2172" s="14"/>
      <c r="L2172" s="14"/>
      <c r="M2172" s="14"/>
      <c r="N2172" s="14"/>
    </row>
    <row r="2173">
      <c r="A2173" s="14"/>
      <c r="B2173" s="14"/>
      <c r="C2173" s="14"/>
      <c r="D2173" s="14"/>
      <c r="E2173" s="14"/>
      <c r="F2173" s="14"/>
      <c r="G2173" s="14"/>
      <c r="H2173" s="14"/>
      <c r="I2173" s="14"/>
      <c r="J2173" s="14"/>
      <c r="K2173" s="14"/>
      <c r="L2173" s="14"/>
      <c r="M2173" s="14"/>
      <c r="N2173" s="14"/>
    </row>
    <row r="2174">
      <c r="A2174" s="14"/>
      <c r="B2174" s="14"/>
      <c r="C2174" s="14"/>
      <c r="D2174" s="14"/>
      <c r="E2174" s="14"/>
      <c r="F2174" s="14"/>
      <c r="G2174" s="14"/>
      <c r="H2174" s="14"/>
      <c r="I2174" s="14"/>
      <c r="J2174" s="14"/>
      <c r="K2174" s="14"/>
      <c r="L2174" s="14"/>
      <c r="M2174" s="14"/>
      <c r="N2174" s="14"/>
    </row>
    <row r="2175">
      <c r="A2175" s="14"/>
      <c r="B2175" s="14"/>
      <c r="C2175" s="14"/>
      <c r="D2175" s="14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</row>
    <row r="2176">
      <c r="A2176" s="14"/>
      <c r="B2176" s="14"/>
      <c r="C2176" s="14"/>
      <c r="D2176" s="14"/>
      <c r="E2176" s="14"/>
      <c r="F2176" s="14"/>
      <c r="G2176" s="14"/>
      <c r="H2176" s="14"/>
      <c r="I2176" s="14"/>
      <c r="J2176" s="14"/>
      <c r="K2176" s="14"/>
      <c r="L2176" s="14"/>
      <c r="M2176" s="14"/>
      <c r="N2176" s="14"/>
    </row>
    <row r="2177">
      <c r="A2177" s="14"/>
      <c r="B2177" s="14"/>
      <c r="C2177" s="14"/>
      <c r="D2177" s="14"/>
      <c r="E2177" s="14"/>
      <c r="F2177" s="14"/>
      <c r="G2177" s="14"/>
      <c r="H2177" s="14"/>
      <c r="I2177" s="14"/>
      <c r="J2177" s="14"/>
      <c r="K2177" s="14"/>
      <c r="L2177" s="14"/>
      <c r="M2177" s="14"/>
      <c r="N2177" s="14"/>
    </row>
    <row r="2178">
      <c r="A2178" s="14"/>
      <c r="B2178" s="14"/>
      <c r="C2178" s="14"/>
      <c r="D2178" s="14"/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</row>
    <row r="2179">
      <c r="A2179" s="14"/>
      <c r="B2179" s="14"/>
      <c r="C2179" s="14"/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</row>
    <row r="2180">
      <c r="A2180" s="14"/>
      <c r="B2180" s="14"/>
      <c r="C2180" s="14"/>
      <c r="D2180" s="14"/>
      <c r="E2180" s="14"/>
      <c r="F2180" s="14"/>
      <c r="G2180" s="14"/>
      <c r="H2180" s="14"/>
      <c r="I2180" s="14"/>
      <c r="J2180" s="14"/>
      <c r="K2180" s="14"/>
      <c r="L2180" s="14"/>
      <c r="M2180" s="14"/>
      <c r="N2180" s="14"/>
    </row>
    <row r="2181">
      <c r="A2181" s="14"/>
      <c r="B2181" s="14"/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</row>
    <row r="2182">
      <c r="A2182" s="14"/>
      <c r="B2182" s="14"/>
      <c r="C2182" s="14"/>
      <c r="D2182" s="14"/>
      <c r="E2182" s="14"/>
      <c r="F2182" s="14"/>
      <c r="G2182" s="14"/>
      <c r="H2182" s="14"/>
      <c r="I2182" s="14"/>
      <c r="J2182" s="14"/>
      <c r="K2182" s="14"/>
      <c r="L2182" s="14"/>
      <c r="M2182" s="14"/>
      <c r="N2182" s="14"/>
    </row>
    <row r="2183">
      <c r="A2183" s="14"/>
      <c r="B2183" s="14"/>
      <c r="C2183" s="14"/>
      <c r="D2183" s="14"/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</row>
    <row r="2184">
      <c r="A2184" s="14"/>
      <c r="B2184" s="14"/>
      <c r="C2184" s="14"/>
      <c r="D2184" s="14"/>
      <c r="E2184" s="14"/>
      <c r="F2184" s="14"/>
      <c r="G2184" s="14"/>
      <c r="H2184" s="14"/>
      <c r="I2184" s="14"/>
      <c r="J2184" s="14"/>
      <c r="K2184" s="14"/>
      <c r="L2184" s="14"/>
      <c r="M2184" s="14"/>
      <c r="N2184" s="14"/>
    </row>
    <row r="2185">
      <c r="A2185" s="14"/>
      <c r="B2185" s="14"/>
      <c r="C2185" s="14"/>
      <c r="D2185" s="14"/>
      <c r="E2185" s="14"/>
      <c r="F2185" s="14"/>
      <c r="G2185" s="14"/>
      <c r="H2185" s="14"/>
      <c r="I2185" s="14"/>
      <c r="J2185" s="14"/>
      <c r="K2185" s="14"/>
      <c r="L2185" s="14"/>
      <c r="M2185" s="14"/>
      <c r="N2185" s="14"/>
    </row>
    <row r="2186">
      <c r="A2186" s="14"/>
      <c r="B2186" s="14"/>
      <c r="C2186" s="14"/>
      <c r="D2186" s="14"/>
      <c r="E2186" s="14"/>
      <c r="F2186" s="14"/>
      <c r="G2186" s="14"/>
      <c r="H2186" s="14"/>
      <c r="I2186" s="14"/>
      <c r="J2186" s="14"/>
      <c r="K2186" s="14"/>
      <c r="L2186" s="14"/>
      <c r="M2186" s="14"/>
      <c r="N2186" s="14"/>
    </row>
    <row r="2187">
      <c r="A2187" s="14"/>
      <c r="B2187" s="14"/>
      <c r="C2187" s="14"/>
      <c r="D2187" s="14"/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</row>
    <row r="2188">
      <c r="A2188" s="14"/>
      <c r="B2188" s="14"/>
      <c r="C2188" s="14"/>
      <c r="D2188" s="14"/>
      <c r="E2188" s="14"/>
      <c r="F2188" s="14"/>
      <c r="G2188" s="14"/>
      <c r="H2188" s="14"/>
      <c r="I2188" s="14"/>
      <c r="J2188" s="14"/>
      <c r="K2188" s="14"/>
      <c r="L2188" s="14"/>
      <c r="M2188" s="14"/>
      <c r="N2188" s="14"/>
    </row>
    <row r="2189">
      <c r="A2189" s="14"/>
      <c r="B2189" s="14"/>
      <c r="C2189" s="14"/>
      <c r="D2189" s="14"/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</row>
    <row r="2190">
      <c r="A2190" s="14"/>
      <c r="B2190" s="14"/>
      <c r="C2190" s="14"/>
      <c r="D2190" s="14"/>
      <c r="E2190" s="14"/>
      <c r="F2190" s="14"/>
      <c r="G2190" s="14"/>
      <c r="H2190" s="14"/>
      <c r="I2190" s="14"/>
      <c r="J2190" s="14"/>
      <c r="K2190" s="14"/>
      <c r="L2190" s="14"/>
      <c r="M2190" s="14"/>
      <c r="N2190" s="14"/>
    </row>
    <row r="2191">
      <c r="A2191" s="14"/>
      <c r="B2191" s="14"/>
      <c r="C2191" s="14"/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</row>
    <row r="2192">
      <c r="A2192" s="14"/>
      <c r="B2192" s="14"/>
      <c r="C2192" s="14"/>
      <c r="D2192" s="14"/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</row>
    <row r="2193">
      <c r="A2193" s="14"/>
      <c r="B2193" s="14"/>
      <c r="C2193" s="14"/>
      <c r="D2193" s="14"/>
      <c r="E2193" s="14"/>
      <c r="F2193" s="14"/>
      <c r="G2193" s="14"/>
      <c r="H2193" s="14"/>
      <c r="I2193" s="14"/>
      <c r="J2193" s="14"/>
      <c r="K2193" s="14"/>
      <c r="L2193" s="14"/>
      <c r="M2193" s="14"/>
      <c r="N2193" s="14"/>
    </row>
    <row r="2194">
      <c r="A2194" s="14"/>
      <c r="B2194" s="14"/>
      <c r="C2194" s="14"/>
      <c r="D2194" s="14"/>
      <c r="E2194" s="14"/>
      <c r="F2194" s="14"/>
      <c r="G2194" s="14"/>
      <c r="H2194" s="14"/>
      <c r="I2194" s="14"/>
      <c r="J2194" s="14"/>
      <c r="K2194" s="14"/>
      <c r="L2194" s="14"/>
      <c r="M2194" s="14"/>
      <c r="N2194" s="14"/>
    </row>
    <row r="2195">
      <c r="A2195" s="14"/>
      <c r="B2195" s="14"/>
      <c r="C2195" s="14"/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</row>
    <row r="2196">
      <c r="A2196" s="14"/>
      <c r="B2196" s="14"/>
      <c r="C2196" s="14"/>
      <c r="D2196" s="14"/>
      <c r="E2196" s="14"/>
      <c r="F2196" s="14"/>
      <c r="G2196" s="14"/>
      <c r="H2196" s="14"/>
      <c r="I2196" s="14"/>
      <c r="J2196" s="14"/>
      <c r="K2196" s="14"/>
      <c r="L2196" s="14"/>
      <c r="M2196" s="14"/>
      <c r="N2196" s="14"/>
    </row>
    <row r="2197">
      <c r="A2197" s="14"/>
      <c r="B2197" s="14"/>
      <c r="C2197" s="14"/>
      <c r="D2197" s="14"/>
      <c r="E2197" s="14"/>
      <c r="F2197" s="14"/>
      <c r="G2197" s="14"/>
      <c r="H2197" s="14"/>
      <c r="I2197" s="14"/>
      <c r="J2197" s="14"/>
      <c r="K2197" s="14"/>
      <c r="L2197" s="14"/>
      <c r="M2197" s="14"/>
      <c r="N2197" s="14"/>
    </row>
    <row r="2198">
      <c r="A2198" s="14"/>
      <c r="B2198" s="14"/>
      <c r="C2198" s="14"/>
      <c r="D2198" s="14"/>
      <c r="E2198" s="14"/>
      <c r="F2198" s="14"/>
      <c r="G2198" s="14"/>
      <c r="H2198" s="14"/>
      <c r="I2198" s="14"/>
      <c r="J2198" s="14"/>
      <c r="K2198" s="14"/>
      <c r="L2198" s="14"/>
      <c r="M2198" s="14"/>
      <c r="N2198" s="14"/>
    </row>
    <row r="2199">
      <c r="A2199" s="14"/>
      <c r="B2199" s="14"/>
      <c r="C2199" s="14"/>
      <c r="D2199" s="14"/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</row>
    <row r="2200">
      <c r="A2200" s="14"/>
      <c r="B2200" s="14"/>
      <c r="C2200" s="14"/>
      <c r="D2200" s="14"/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</row>
    <row r="2201">
      <c r="A2201" s="14"/>
      <c r="B2201" s="14"/>
      <c r="C2201" s="14"/>
      <c r="D2201" s="14"/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</row>
    <row r="2202">
      <c r="A2202" s="14"/>
      <c r="B2202" s="14"/>
      <c r="C2202" s="14"/>
      <c r="D2202" s="14"/>
      <c r="E2202" s="14"/>
      <c r="F2202" s="14"/>
      <c r="G2202" s="14"/>
      <c r="H2202" s="14"/>
      <c r="I2202" s="14"/>
      <c r="J2202" s="14"/>
      <c r="K2202" s="14"/>
      <c r="L2202" s="14"/>
      <c r="M2202" s="14"/>
      <c r="N2202" s="14"/>
    </row>
    <row r="2203">
      <c r="A2203" s="14"/>
      <c r="B2203" s="14"/>
      <c r="C2203" s="14"/>
      <c r="D2203" s="14"/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</row>
    <row r="2204">
      <c r="A2204" s="14"/>
      <c r="B2204" s="14"/>
      <c r="C2204" s="14"/>
      <c r="D2204" s="14"/>
      <c r="E2204" s="14"/>
      <c r="F2204" s="14"/>
      <c r="G2204" s="14"/>
      <c r="H2204" s="14"/>
      <c r="I2204" s="14"/>
      <c r="J2204" s="14"/>
      <c r="K2204" s="14"/>
      <c r="L2204" s="14"/>
      <c r="M2204" s="14"/>
      <c r="N2204" s="14"/>
    </row>
    <row r="2205">
      <c r="A2205" s="14"/>
      <c r="B2205" s="14"/>
      <c r="C2205" s="14"/>
      <c r="D2205" s="14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</row>
    <row r="2206">
      <c r="A2206" s="14"/>
      <c r="B2206" s="14"/>
      <c r="C2206" s="14"/>
      <c r="D2206" s="14"/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</row>
    <row r="2207">
      <c r="A2207" s="14"/>
      <c r="B2207" s="14"/>
      <c r="C2207" s="14"/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</row>
    <row r="2208">
      <c r="A2208" s="14"/>
      <c r="B2208" s="14"/>
      <c r="C2208" s="14"/>
      <c r="D2208" s="14"/>
      <c r="E2208" s="14"/>
      <c r="F2208" s="14"/>
      <c r="G2208" s="14"/>
      <c r="H2208" s="14"/>
      <c r="I2208" s="14"/>
      <c r="J2208" s="14"/>
      <c r="K2208" s="14"/>
      <c r="L2208" s="14"/>
      <c r="M2208" s="14"/>
      <c r="N2208" s="14"/>
    </row>
    <row r="2209">
      <c r="A2209" s="14"/>
      <c r="B2209" s="14"/>
      <c r="C2209" s="14"/>
      <c r="D2209" s="14"/>
      <c r="E2209" s="14"/>
      <c r="F2209" s="14"/>
      <c r="G2209" s="14"/>
      <c r="H2209" s="14"/>
      <c r="I2209" s="14"/>
      <c r="J2209" s="14"/>
      <c r="K2209" s="14"/>
      <c r="L2209" s="14"/>
      <c r="M2209" s="14"/>
      <c r="N2209" s="14"/>
    </row>
    <row r="2210">
      <c r="A2210" s="14"/>
      <c r="B2210" s="14"/>
      <c r="C2210" s="14"/>
      <c r="D2210" s="14"/>
      <c r="E2210" s="14"/>
      <c r="F2210" s="14"/>
      <c r="G2210" s="14"/>
      <c r="H2210" s="14"/>
      <c r="I2210" s="14"/>
      <c r="J2210" s="14"/>
      <c r="K2210" s="14"/>
      <c r="L2210" s="14"/>
      <c r="M2210" s="14"/>
      <c r="N2210" s="14"/>
    </row>
    <row r="2211">
      <c r="A2211" s="14"/>
      <c r="B2211" s="14"/>
      <c r="C2211" s="14"/>
      <c r="D2211" s="14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</row>
    <row r="2212">
      <c r="A2212" s="14"/>
      <c r="B2212" s="14"/>
      <c r="C2212" s="14"/>
      <c r="D2212" s="14"/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</row>
    <row r="2213">
      <c r="A2213" s="14"/>
      <c r="B2213" s="14"/>
      <c r="C2213" s="14"/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</row>
    <row r="2214">
      <c r="A2214" s="14"/>
      <c r="B2214" s="14"/>
      <c r="C2214" s="14"/>
      <c r="D2214" s="14"/>
      <c r="E2214" s="14"/>
      <c r="F2214" s="14"/>
      <c r="G2214" s="14"/>
      <c r="H2214" s="14"/>
      <c r="I2214" s="14"/>
      <c r="J2214" s="14"/>
      <c r="K2214" s="14"/>
      <c r="L2214" s="14"/>
      <c r="M2214" s="14"/>
      <c r="N2214" s="14"/>
    </row>
    <row r="2215">
      <c r="A2215" s="14"/>
      <c r="B2215" s="14"/>
      <c r="C2215" s="14"/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</row>
    <row r="2216">
      <c r="A2216" s="14"/>
      <c r="B2216" s="14"/>
      <c r="C2216" s="14"/>
      <c r="D2216" s="14"/>
      <c r="E2216" s="14"/>
      <c r="F2216" s="14"/>
      <c r="G2216" s="14"/>
      <c r="H2216" s="14"/>
      <c r="I2216" s="14"/>
      <c r="J2216" s="14"/>
      <c r="K2216" s="14"/>
      <c r="L2216" s="14"/>
      <c r="M2216" s="14"/>
      <c r="N2216" s="14"/>
    </row>
    <row r="2217">
      <c r="A2217" s="14"/>
      <c r="B2217" s="14"/>
      <c r="C2217" s="14"/>
      <c r="D2217" s="14"/>
      <c r="E2217" s="14"/>
      <c r="F2217" s="14"/>
      <c r="G2217" s="14"/>
      <c r="H2217" s="14"/>
      <c r="I2217" s="14"/>
      <c r="J2217" s="14"/>
      <c r="K2217" s="14"/>
      <c r="L2217" s="14"/>
      <c r="M2217" s="14"/>
      <c r="N2217" s="14"/>
    </row>
    <row r="2218">
      <c r="A2218" s="14"/>
      <c r="B2218" s="14"/>
      <c r="C2218" s="14"/>
      <c r="D2218" s="14"/>
      <c r="E2218" s="14"/>
      <c r="F2218" s="14"/>
      <c r="G2218" s="14"/>
      <c r="H2218" s="14"/>
      <c r="I2218" s="14"/>
      <c r="J2218" s="14"/>
      <c r="K2218" s="14"/>
      <c r="L2218" s="14"/>
      <c r="M2218" s="14"/>
      <c r="N2218" s="14"/>
    </row>
    <row r="2219">
      <c r="A2219" s="14"/>
      <c r="B2219" s="14"/>
      <c r="C2219" s="14"/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</row>
    <row r="2220">
      <c r="A2220" s="14"/>
      <c r="B2220" s="14"/>
      <c r="C2220" s="14"/>
      <c r="D2220" s="14"/>
      <c r="E2220" s="14"/>
      <c r="F2220" s="14"/>
      <c r="G2220" s="14"/>
      <c r="H2220" s="14"/>
      <c r="I2220" s="14"/>
      <c r="J2220" s="14"/>
      <c r="K2220" s="14"/>
      <c r="L2220" s="14"/>
      <c r="M2220" s="14"/>
      <c r="N2220" s="14"/>
    </row>
    <row r="2221">
      <c r="A2221" s="14"/>
      <c r="B2221" s="14"/>
      <c r="C2221" s="14"/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</row>
    <row r="2222">
      <c r="A2222" s="14"/>
      <c r="B2222" s="14"/>
      <c r="C2222" s="14"/>
      <c r="D2222" s="14"/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</row>
    <row r="2223">
      <c r="A2223" s="14"/>
      <c r="B2223" s="14"/>
      <c r="C2223" s="14"/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</row>
    <row r="2224">
      <c r="A2224" s="14"/>
      <c r="B2224" s="14"/>
      <c r="C2224" s="14"/>
      <c r="D2224" s="14"/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</row>
    <row r="2225">
      <c r="A2225" s="14"/>
      <c r="B2225" s="14"/>
      <c r="C2225" s="14"/>
      <c r="D2225" s="14"/>
      <c r="E2225" s="14"/>
      <c r="F2225" s="14"/>
      <c r="G2225" s="14"/>
      <c r="H2225" s="14"/>
      <c r="I2225" s="14"/>
      <c r="J2225" s="14"/>
      <c r="K2225" s="14"/>
      <c r="L2225" s="14"/>
      <c r="M2225" s="14"/>
      <c r="N2225" s="14"/>
    </row>
    <row r="2226">
      <c r="A2226" s="14"/>
      <c r="B2226" s="14"/>
      <c r="C2226" s="14"/>
      <c r="D2226" s="14"/>
      <c r="E2226" s="14"/>
      <c r="F2226" s="14"/>
      <c r="G2226" s="14"/>
      <c r="H2226" s="14"/>
      <c r="I2226" s="14"/>
      <c r="J2226" s="14"/>
      <c r="K2226" s="14"/>
      <c r="L2226" s="14"/>
      <c r="M2226" s="14"/>
      <c r="N2226" s="14"/>
    </row>
    <row r="2227">
      <c r="A2227" s="14"/>
      <c r="B2227" s="14"/>
      <c r="C2227" s="14"/>
      <c r="D2227" s="14"/>
      <c r="E2227" s="14"/>
      <c r="F2227" s="14"/>
      <c r="G2227" s="14"/>
      <c r="H2227" s="14"/>
      <c r="I2227" s="14"/>
      <c r="J2227" s="14"/>
      <c r="K2227" s="14"/>
      <c r="L2227" s="14"/>
      <c r="M2227" s="14"/>
      <c r="N2227" s="14"/>
    </row>
    <row r="2228">
      <c r="A2228" s="14"/>
      <c r="B2228" s="14"/>
      <c r="C2228" s="14"/>
      <c r="D2228" s="14"/>
      <c r="E2228" s="14"/>
      <c r="F2228" s="14"/>
      <c r="G2228" s="14"/>
      <c r="H2228" s="14"/>
      <c r="I2228" s="14"/>
      <c r="J2228" s="14"/>
      <c r="K2228" s="14"/>
      <c r="L2228" s="14"/>
      <c r="M2228" s="14"/>
      <c r="N2228" s="14"/>
    </row>
    <row r="2229">
      <c r="A2229" s="14"/>
      <c r="B2229" s="14"/>
      <c r="C2229" s="14"/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</row>
    <row r="2230">
      <c r="A2230" s="14"/>
      <c r="B2230" s="14"/>
      <c r="C2230" s="14"/>
      <c r="D2230" s="14"/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</row>
    <row r="2231">
      <c r="A2231" s="14"/>
      <c r="B2231" s="14"/>
      <c r="C2231" s="14"/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</row>
    <row r="2232">
      <c r="A2232" s="14"/>
      <c r="B2232" s="14"/>
      <c r="C2232" s="14"/>
      <c r="D2232" s="14"/>
      <c r="E2232" s="14"/>
      <c r="F2232" s="14"/>
      <c r="G2232" s="14"/>
      <c r="H2232" s="14"/>
      <c r="I2232" s="14"/>
      <c r="J2232" s="14"/>
      <c r="K2232" s="14"/>
      <c r="L2232" s="14"/>
      <c r="M2232" s="14"/>
      <c r="N2232" s="14"/>
    </row>
    <row r="2233">
      <c r="A2233" s="14"/>
      <c r="B2233" s="14"/>
      <c r="C2233" s="14"/>
      <c r="D2233" s="14"/>
      <c r="E2233" s="14"/>
      <c r="F2233" s="14"/>
      <c r="G2233" s="14"/>
      <c r="H2233" s="14"/>
      <c r="I2233" s="14"/>
      <c r="J2233" s="14"/>
      <c r="K2233" s="14"/>
      <c r="L2233" s="14"/>
      <c r="M2233" s="14"/>
      <c r="N2233" s="14"/>
    </row>
    <row r="2234">
      <c r="A2234" s="14"/>
      <c r="B2234" s="14"/>
      <c r="C2234" s="14"/>
      <c r="D2234" s="14"/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</row>
    <row r="2235">
      <c r="A2235" s="14"/>
      <c r="B2235" s="14"/>
      <c r="C2235" s="14"/>
      <c r="D2235" s="14"/>
      <c r="E2235" s="14"/>
      <c r="F2235" s="14"/>
      <c r="G2235" s="14"/>
      <c r="H2235" s="14"/>
      <c r="I2235" s="14"/>
      <c r="J2235" s="14"/>
      <c r="K2235" s="14"/>
      <c r="L2235" s="14"/>
      <c r="M2235" s="14"/>
      <c r="N2235" s="14"/>
    </row>
    <row r="2236">
      <c r="A2236" s="14"/>
      <c r="B2236" s="14"/>
      <c r="C2236" s="14"/>
      <c r="D2236" s="14"/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</row>
    <row r="2237">
      <c r="A2237" s="14"/>
      <c r="B2237" s="14"/>
      <c r="C2237" s="14"/>
      <c r="D2237" s="14"/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</row>
    <row r="2238">
      <c r="A2238" s="14"/>
      <c r="B2238" s="14"/>
      <c r="C2238" s="14"/>
      <c r="D2238" s="14"/>
      <c r="E2238" s="14"/>
      <c r="F2238" s="14"/>
      <c r="G2238" s="14"/>
      <c r="H2238" s="14"/>
      <c r="I2238" s="14"/>
      <c r="J2238" s="14"/>
      <c r="K2238" s="14"/>
      <c r="L2238" s="14"/>
      <c r="M2238" s="14"/>
      <c r="N2238" s="14"/>
    </row>
    <row r="2239">
      <c r="A2239" s="14"/>
      <c r="B2239" s="14"/>
      <c r="C2239" s="14"/>
      <c r="D2239" s="14"/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</row>
    <row r="2240">
      <c r="A2240" s="14"/>
      <c r="B2240" s="14"/>
      <c r="C2240" s="14"/>
      <c r="D2240" s="14"/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</row>
    <row r="2241">
      <c r="A2241" s="14"/>
      <c r="B2241" s="14"/>
      <c r="C2241" s="14"/>
      <c r="D2241" s="14"/>
      <c r="E2241" s="14"/>
      <c r="F2241" s="14"/>
      <c r="G2241" s="14"/>
      <c r="H2241" s="14"/>
      <c r="I2241" s="14"/>
      <c r="J2241" s="14"/>
      <c r="K2241" s="14"/>
      <c r="L2241" s="14"/>
      <c r="M2241" s="14"/>
      <c r="N2241" s="14"/>
    </row>
    <row r="2242">
      <c r="A2242" s="14"/>
      <c r="B2242" s="14"/>
      <c r="C2242" s="14"/>
      <c r="D2242" s="14"/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</row>
    <row r="2243">
      <c r="A2243" s="14"/>
      <c r="B2243" s="14"/>
      <c r="C2243" s="14"/>
      <c r="D2243" s="14"/>
      <c r="E2243" s="14"/>
      <c r="F2243" s="14"/>
      <c r="G2243" s="14"/>
      <c r="H2243" s="14"/>
      <c r="I2243" s="14"/>
      <c r="J2243" s="14"/>
      <c r="K2243" s="14"/>
      <c r="L2243" s="14"/>
      <c r="M2243" s="14"/>
      <c r="N2243" s="14"/>
    </row>
    <row r="2244">
      <c r="A2244" s="14"/>
      <c r="B2244" s="14"/>
      <c r="C2244" s="14"/>
      <c r="D2244" s="14"/>
      <c r="E2244" s="14"/>
      <c r="F2244" s="14"/>
      <c r="G2244" s="14"/>
      <c r="H2244" s="14"/>
      <c r="I2244" s="14"/>
      <c r="J2244" s="14"/>
      <c r="K2244" s="14"/>
      <c r="L2244" s="14"/>
      <c r="M2244" s="14"/>
      <c r="N2244" s="14"/>
    </row>
    <row r="2245">
      <c r="A2245" s="14"/>
      <c r="B2245" s="14"/>
      <c r="C2245" s="14"/>
      <c r="D2245" s="14"/>
      <c r="E2245" s="14"/>
      <c r="F2245" s="14"/>
      <c r="G2245" s="14"/>
      <c r="H2245" s="14"/>
      <c r="I2245" s="14"/>
      <c r="J2245" s="14"/>
      <c r="K2245" s="14"/>
      <c r="L2245" s="14"/>
      <c r="M2245" s="14"/>
      <c r="N2245" s="14"/>
    </row>
    <row r="2246">
      <c r="A2246" s="14"/>
      <c r="B2246" s="14"/>
      <c r="C2246" s="14"/>
      <c r="D2246" s="14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</row>
    <row r="2247">
      <c r="A2247" s="14"/>
      <c r="B2247" s="14"/>
      <c r="C2247" s="14"/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</row>
    <row r="2248">
      <c r="A2248" s="14"/>
      <c r="B2248" s="14"/>
      <c r="C2248" s="14"/>
      <c r="D2248" s="14"/>
      <c r="E2248" s="14"/>
      <c r="F2248" s="14"/>
      <c r="G2248" s="14"/>
      <c r="H2248" s="14"/>
      <c r="I2248" s="14"/>
      <c r="J2248" s="14"/>
      <c r="K2248" s="14"/>
      <c r="L2248" s="14"/>
      <c r="M2248" s="14"/>
      <c r="N2248" s="14"/>
    </row>
    <row r="2249">
      <c r="A2249" s="14"/>
      <c r="B2249" s="14"/>
      <c r="C2249" s="14"/>
      <c r="D2249" s="14"/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</row>
    <row r="2250">
      <c r="A2250" s="14"/>
      <c r="B2250" s="14"/>
      <c r="C2250" s="14"/>
      <c r="D2250" s="14"/>
      <c r="E2250" s="14"/>
      <c r="F2250" s="14"/>
      <c r="G2250" s="14"/>
      <c r="H2250" s="14"/>
      <c r="I2250" s="14"/>
      <c r="J2250" s="14"/>
      <c r="K2250" s="14"/>
      <c r="L2250" s="14"/>
      <c r="M2250" s="14"/>
      <c r="N2250" s="14"/>
    </row>
    <row r="2251">
      <c r="A2251" s="14"/>
      <c r="B2251" s="14"/>
      <c r="C2251" s="14"/>
      <c r="D2251" s="14"/>
      <c r="E2251" s="14"/>
      <c r="F2251" s="14"/>
      <c r="G2251" s="14"/>
      <c r="H2251" s="14"/>
      <c r="I2251" s="14"/>
      <c r="J2251" s="14"/>
      <c r="K2251" s="14"/>
      <c r="L2251" s="14"/>
      <c r="M2251" s="14"/>
      <c r="N2251" s="14"/>
    </row>
    <row r="2252">
      <c r="A2252" s="14"/>
      <c r="B2252" s="14"/>
      <c r="C2252" s="14"/>
      <c r="D2252" s="14"/>
      <c r="E2252" s="14"/>
      <c r="F2252" s="14"/>
      <c r="G2252" s="14"/>
      <c r="H2252" s="14"/>
      <c r="I2252" s="14"/>
      <c r="J2252" s="14"/>
      <c r="K2252" s="14"/>
      <c r="L2252" s="14"/>
      <c r="M2252" s="14"/>
      <c r="N2252" s="14"/>
    </row>
    <row r="2253">
      <c r="A2253" s="14"/>
      <c r="B2253" s="14"/>
      <c r="C2253" s="14"/>
      <c r="D2253" s="14"/>
      <c r="E2253" s="14"/>
      <c r="F2253" s="14"/>
      <c r="G2253" s="14"/>
      <c r="H2253" s="14"/>
      <c r="I2253" s="14"/>
      <c r="J2253" s="14"/>
      <c r="K2253" s="14"/>
      <c r="L2253" s="14"/>
      <c r="M2253" s="14"/>
      <c r="N2253" s="14"/>
    </row>
    <row r="2254">
      <c r="A2254" s="14"/>
      <c r="B2254" s="14"/>
      <c r="C2254" s="14"/>
      <c r="D2254" s="14"/>
      <c r="E2254" s="14"/>
      <c r="F2254" s="14"/>
      <c r="G2254" s="14"/>
      <c r="H2254" s="14"/>
      <c r="I2254" s="14"/>
      <c r="J2254" s="14"/>
      <c r="K2254" s="14"/>
      <c r="L2254" s="14"/>
      <c r="M2254" s="14"/>
      <c r="N2254" s="14"/>
    </row>
    <row r="2255">
      <c r="A2255" s="14"/>
      <c r="B2255" s="14"/>
      <c r="C2255" s="14"/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</row>
    <row r="2256">
      <c r="A2256" s="14"/>
      <c r="B2256" s="14"/>
      <c r="C2256" s="14"/>
      <c r="D2256" s="14"/>
      <c r="E2256" s="14"/>
      <c r="F2256" s="14"/>
      <c r="G2256" s="14"/>
      <c r="H2256" s="14"/>
      <c r="I2256" s="14"/>
      <c r="J2256" s="14"/>
      <c r="K2256" s="14"/>
      <c r="L2256" s="14"/>
      <c r="M2256" s="14"/>
      <c r="N2256" s="14"/>
    </row>
    <row r="2257">
      <c r="A2257" s="14"/>
      <c r="B2257" s="14"/>
      <c r="C2257" s="14"/>
      <c r="D2257" s="14"/>
      <c r="E2257" s="14"/>
      <c r="F2257" s="14"/>
      <c r="G2257" s="14"/>
      <c r="H2257" s="14"/>
      <c r="I2257" s="14"/>
      <c r="J2257" s="14"/>
      <c r="K2257" s="14"/>
      <c r="L2257" s="14"/>
      <c r="M2257" s="14"/>
      <c r="N2257" s="14"/>
    </row>
    <row r="2258">
      <c r="A2258" s="14"/>
      <c r="B2258" s="14"/>
      <c r="C2258" s="14"/>
      <c r="D2258" s="14"/>
      <c r="E2258" s="14"/>
      <c r="F2258" s="14"/>
      <c r="G2258" s="14"/>
      <c r="H2258" s="14"/>
      <c r="I2258" s="14"/>
      <c r="J2258" s="14"/>
      <c r="K2258" s="14"/>
      <c r="L2258" s="14"/>
      <c r="M2258" s="14"/>
      <c r="N2258" s="14"/>
    </row>
    <row r="2259">
      <c r="A2259" s="14"/>
      <c r="B2259" s="14"/>
      <c r="C2259" s="14"/>
      <c r="D2259" s="14"/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</row>
    <row r="2260">
      <c r="A2260" s="14"/>
      <c r="B2260" s="14"/>
      <c r="C2260" s="14"/>
      <c r="D2260" s="14"/>
      <c r="E2260" s="14"/>
      <c r="F2260" s="14"/>
      <c r="G2260" s="14"/>
      <c r="H2260" s="14"/>
      <c r="I2260" s="14"/>
      <c r="J2260" s="14"/>
      <c r="K2260" s="14"/>
      <c r="L2260" s="14"/>
      <c r="M2260" s="14"/>
      <c r="N2260" s="14"/>
    </row>
    <row r="2261">
      <c r="A2261" s="14"/>
      <c r="B2261" s="14"/>
      <c r="C2261" s="14"/>
      <c r="D2261" s="14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</row>
    <row r="2262">
      <c r="A2262" s="14"/>
      <c r="B2262" s="14"/>
      <c r="C2262" s="14"/>
      <c r="D2262" s="14"/>
      <c r="E2262" s="14"/>
      <c r="F2262" s="14"/>
      <c r="G2262" s="14"/>
      <c r="H2262" s="14"/>
      <c r="I2262" s="14"/>
      <c r="J2262" s="14"/>
      <c r="K2262" s="14"/>
      <c r="L2262" s="14"/>
      <c r="M2262" s="14"/>
      <c r="N2262" s="14"/>
    </row>
    <row r="2263">
      <c r="A2263" s="14"/>
      <c r="B2263" s="14"/>
      <c r="C2263" s="14"/>
      <c r="D2263" s="14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</row>
    <row r="2264">
      <c r="A2264" s="14"/>
      <c r="B2264" s="14"/>
      <c r="C2264" s="14"/>
      <c r="D2264" s="14"/>
      <c r="E2264" s="14"/>
      <c r="F2264" s="14"/>
      <c r="G2264" s="14"/>
      <c r="H2264" s="14"/>
      <c r="I2264" s="14"/>
      <c r="J2264" s="14"/>
      <c r="K2264" s="14"/>
      <c r="L2264" s="14"/>
      <c r="M2264" s="14"/>
      <c r="N2264" s="14"/>
    </row>
    <row r="2265">
      <c r="A2265" s="14"/>
      <c r="B2265" s="14"/>
      <c r="C2265" s="14"/>
      <c r="D2265" s="14"/>
      <c r="E2265" s="14"/>
      <c r="F2265" s="14"/>
      <c r="G2265" s="14"/>
      <c r="H2265" s="14"/>
      <c r="I2265" s="14"/>
      <c r="J2265" s="14"/>
      <c r="K2265" s="14"/>
      <c r="L2265" s="14"/>
      <c r="M2265" s="14"/>
      <c r="N2265" s="14"/>
    </row>
    <row r="2266">
      <c r="A2266" s="14"/>
      <c r="B2266" s="14"/>
      <c r="C2266" s="14"/>
      <c r="D2266" s="14"/>
      <c r="E2266" s="14"/>
      <c r="F2266" s="14"/>
      <c r="G2266" s="14"/>
      <c r="H2266" s="14"/>
      <c r="I2266" s="14"/>
      <c r="J2266" s="14"/>
      <c r="K2266" s="14"/>
      <c r="L2266" s="14"/>
      <c r="M2266" s="14"/>
      <c r="N2266" s="14"/>
    </row>
    <row r="2267">
      <c r="A2267" s="14"/>
      <c r="B2267" s="14"/>
      <c r="C2267" s="14"/>
      <c r="D2267" s="14"/>
      <c r="E2267" s="14"/>
      <c r="F2267" s="14"/>
      <c r="G2267" s="14"/>
      <c r="H2267" s="14"/>
      <c r="I2267" s="14"/>
      <c r="J2267" s="14"/>
      <c r="K2267" s="14"/>
      <c r="L2267" s="14"/>
      <c r="M2267" s="14"/>
      <c r="N2267" s="14"/>
    </row>
    <row r="2268">
      <c r="A2268" s="14"/>
      <c r="B2268" s="14"/>
      <c r="C2268" s="14"/>
      <c r="D2268" s="14"/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</row>
    <row r="2269">
      <c r="A2269" s="14"/>
      <c r="B2269" s="14"/>
      <c r="C2269" s="14"/>
      <c r="D2269" s="14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</row>
    <row r="2270">
      <c r="A2270" s="14"/>
      <c r="B2270" s="14"/>
      <c r="C2270" s="14"/>
      <c r="D2270" s="14"/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</row>
    <row r="2271">
      <c r="A2271" s="14"/>
      <c r="B2271" s="14"/>
      <c r="C2271" s="14"/>
      <c r="D2271" s="14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</row>
    <row r="2272">
      <c r="A2272" s="14"/>
      <c r="B2272" s="14"/>
      <c r="C2272" s="14"/>
      <c r="D2272" s="14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</row>
    <row r="2273">
      <c r="A2273" s="14"/>
      <c r="B2273" s="14"/>
      <c r="C2273" s="14"/>
      <c r="D2273" s="14"/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</row>
    <row r="2274">
      <c r="A2274" s="14"/>
      <c r="B2274" s="14"/>
      <c r="C2274" s="14"/>
      <c r="D2274" s="14"/>
      <c r="E2274" s="14"/>
      <c r="F2274" s="14"/>
      <c r="G2274" s="14"/>
      <c r="H2274" s="14"/>
      <c r="I2274" s="14"/>
      <c r="J2274" s="14"/>
      <c r="K2274" s="14"/>
      <c r="L2274" s="14"/>
      <c r="M2274" s="14"/>
      <c r="N2274" s="14"/>
    </row>
    <row r="2275">
      <c r="A2275" s="14"/>
      <c r="B2275" s="14"/>
      <c r="C2275" s="14"/>
      <c r="D2275" s="14"/>
      <c r="E2275" s="14"/>
      <c r="F2275" s="14"/>
      <c r="G2275" s="14"/>
      <c r="H2275" s="14"/>
      <c r="I2275" s="14"/>
      <c r="J2275" s="14"/>
      <c r="K2275" s="14"/>
      <c r="L2275" s="14"/>
      <c r="M2275" s="14"/>
      <c r="N2275" s="14"/>
    </row>
    <row r="2276">
      <c r="A2276" s="14"/>
      <c r="B2276" s="14"/>
      <c r="C2276" s="14"/>
      <c r="D2276" s="14"/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</row>
    <row r="2277">
      <c r="A2277" s="14"/>
      <c r="B2277" s="14"/>
      <c r="C2277" s="14"/>
      <c r="D2277" s="14"/>
      <c r="E2277" s="14"/>
      <c r="F2277" s="14"/>
      <c r="G2277" s="14"/>
      <c r="H2277" s="14"/>
      <c r="I2277" s="14"/>
      <c r="J2277" s="14"/>
      <c r="K2277" s="14"/>
      <c r="L2277" s="14"/>
      <c r="M2277" s="14"/>
      <c r="N2277" s="14"/>
    </row>
    <row r="2278">
      <c r="A2278" s="14"/>
      <c r="B2278" s="14"/>
      <c r="C2278" s="14"/>
      <c r="D2278" s="14"/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</row>
    <row r="2279">
      <c r="A2279" s="14"/>
      <c r="B2279" s="14"/>
      <c r="C2279" s="14"/>
      <c r="D2279" s="14"/>
      <c r="E2279" s="14"/>
      <c r="F2279" s="14"/>
      <c r="G2279" s="14"/>
      <c r="H2279" s="14"/>
      <c r="I2279" s="14"/>
      <c r="J2279" s="14"/>
      <c r="K2279" s="14"/>
      <c r="L2279" s="14"/>
      <c r="M2279" s="14"/>
      <c r="N2279" s="14"/>
    </row>
    <row r="2280">
      <c r="A2280" s="14"/>
      <c r="B2280" s="14"/>
      <c r="C2280" s="14"/>
      <c r="D2280" s="14"/>
      <c r="E2280" s="14"/>
      <c r="F2280" s="14"/>
      <c r="G2280" s="14"/>
      <c r="H2280" s="14"/>
      <c r="I2280" s="14"/>
      <c r="J2280" s="14"/>
      <c r="K2280" s="14"/>
      <c r="L2280" s="14"/>
      <c r="M2280" s="14"/>
      <c r="N2280" s="14"/>
    </row>
    <row r="2281">
      <c r="A2281" s="14"/>
      <c r="B2281" s="14"/>
      <c r="C2281" s="14"/>
      <c r="D2281" s="14"/>
      <c r="E2281" s="14"/>
      <c r="F2281" s="14"/>
      <c r="G2281" s="14"/>
      <c r="H2281" s="14"/>
      <c r="I2281" s="14"/>
      <c r="J2281" s="14"/>
      <c r="K2281" s="14"/>
      <c r="L2281" s="14"/>
      <c r="M2281" s="14"/>
      <c r="N2281" s="14"/>
    </row>
    <row r="2282">
      <c r="A2282" s="14"/>
      <c r="B2282" s="14"/>
      <c r="C2282" s="14"/>
      <c r="D2282" s="14"/>
      <c r="E2282" s="14"/>
      <c r="F2282" s="14"/>
      <c r="G2282" s="14"/>
      <c r="H2282" s="14"/>
      <c r="I2282" s="14"/>
      <c r="J2282" s="14"/>
      <c r="K2282" s="14"/>
      <c r="L2282" s="14"/>
      <c r="M2282" s="14"/>
      <c r="N2282" s="14"/>
    </row>
    <row r="2283">
      <c r="A2283" s="14"/>
      <c r="B2283" s="14"/>
      <c r="C2283" s="14"/>
      <c r="D2283" s="14"/>
      <c r="E2283" s="14"/>
      <c r="F2283" s="14"/>
      <c r="G2283" s="14"/>
      <c r="H2283" s="14"/>
      <c r="I2283" s="14"/>
      <c r="J2283" s="14"/>
      <c r="K2283" s="14"/>
      <c r="L2283" s="14"/>
      <c r="M2283" s="14"/>
      <c r="N2283" s="14"/>
    </row>
    <row r="2284">
      <c r="A2284" s="14"/>
      <c r="B2284" s="14"/>
      <c r="C2284" s="14"/>
      <c r="D2284" s="14"/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</row>
    <row r="2285">
      <c r="A2285" s="14"/>
      <c r="B2285" s="14"/>
      <c r="C2285" s="14"/>
      <c r="D2285" s="14"/>
      <c r="E2285" s="14"/>
      <c r="F2285" s="14"/>
      <c r="G2285" s="14"/>
      <c r="H2285" s="14"/>
      <c r="I2285" s="14"/>
      <c r="J2285" s="14"/>
      <c r="K2285" s="14"/>
      <c r="L2285" s="14"/>
      <c r="M2285" s="14"/>
      <c r="N2285" s="14"/>
    </row>
    <row r="2286">
      <c r="A2286" s="14"/>
      <c r="B2286" s="14"/>
      <c r="C2286" s="14"/>
      <c r="D2286" s="14"/>
      <c r="E2286" s="14"/>
      <c r="F2286" s="14"/>
      <c r="G2286" s="14"/>
      <c r="H2286" s="14"/>
      <c r="I2286" s="14"/>
      <c r="J2286" s="14"/>
      <c r="K2286" s="14"/>
      <c r="L2286" s="14"/>
      <c r="M2286" s="14"/>
      <c r="N2286" s="14"/>
    </row>
    <row r="2287">
      <c r="A2287" s="14"/>
      <c r="B2287" s="14"/>
      <c r="C2287" s="14"/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</row>
    <row r="2288">
      <c r="A2288" s="14"/>
      <c r="B2288" s="14"/>
      <c r="C2288" s="14"/>
      <c r="D2288" s="14"/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</row>
    <row r="2289">
      <c r="A2289" s="14"/>
      <c r="B2289" s="14"/>
      <c r="C2289" s="14"/>
      <c r="D2289" s="14"/>
      <c r="E2289" s="14"/>
      <c r="F2289" s="14"/>
      <c r="G2289" s="14"/>
      <c r="H2289" s="14"/>
      <c r="I2289" s="14"/>
      <c r="J2289" s="14"/>
      <c r="K2289" s="14"/>
      <c r="L2289" s="14"/>
      <c r="M2289" s="14"/>
      <c r="N2289" s="14"/>
    </row>
    <row r="2290">
      <c r="A2290" s="14"/>
      <c r="B2290" s="14"/>
      <c r="C2290" s="14"/>
      <c r="D2290" s="14"/>
      <c r="E2290" s="14"/>
      <c r="F2290" s="14"/>
      <c r="G2290" s="14"/>
      <c r="H2290" s="14"/>
      <c r="I2290" s="14"/>
      <c r="J2290" s="14"/>
      <c r="K2290" s="14"/>
      <c r="L2290" s="14"/>
      <c r="M2290" s="14"/>
      <c r="N2290" s="14"/>
    </row>
    <row r="2291">
      <c r="A2291" s="14"/>
      <c r="B2291" s="14"/>
      <c r="C2291" s="14"/>
      <c r="D2291" s="14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/>
    </row>
    <row r="2292">
      <c r="A2292" s="14"/>
      <c r="B2292" s="14"/>
      <c r="C2292" s="14"/>
      <c r="D2292" s="14"/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</row>
    <row r="2293">
      <c r="A2293" s="14"/>
      <c r="B2293" s="14"/>
      <c r="C2293" s="14"/>
      <c r="D2293" s="14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</row>
    <row r="2294">
      <c r="A2294" s="14"/>
      <c r="B2294" s="14"/>
      <c r="C2294" s="14"/>
      <c r="D2294" s="14"/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</row>
    <row r="2295">
      <c r="A2295" s="14"/>
      <c r="B2295" s="14"/>
      <c r="C2295" s="14"/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</row>
    <row r="2296">
      <c r="A2296" s="14"/>
      <c r="B2296" s="14"/>
      <c r="C2296" s="14"/>
      <c r="D2296" s="14"/>
      <c r="E2296" s="14"/>
      <c r="F2296" s="14"/>
      <c r="G2296" s="14"/>
      <c r="H2296" s="14"/>
      <c r="I2296" s="14"/>
      <c r="J2296" s="14"/>
      <c r="K2296" s="14"/>
      <c r="L2296" s="14"/>
      <c r="M2296" s="14"/>
      <c r="N2296" s="14"/>
    </row>
    <row r="2297">
      <c r="A2297" s="14"/>
      <c r="B2297" s="14"/>
      <c r="C2297" s="14"/>
      <c r="D2297" s="14"/>
      <c r="E2297" s="14"/>
      <c r="F2297" s="14"/>
      <c r="G2297" s="14"/>
      <c r="H2297" s="14"/>
      <c r="I2297" s="14"/>
      <c r="J2297" s="14"/>
      <c r="K2297" s="14"/>
      <c r="L2297" s="14"/>
      <c r="M2297" s="14"/>
      <c r="N2297" s="14"/>
    </row>
    <row r="2298">
      <c r="A2298" s="14"/>
      <c r="B2298" s="14"/>
      <c r="C2298" s="14"/>
      <c r="D2298" s="14"/>
      <c r="E2298" s="14"/>
      <c r="F2298" s="14"/>
      <c r="G2298" s="14"/>
      <c r="H2298" s="14"/>
      <c r="I2298" s="14"/>
      <c r="J2298" s="14"/>
      <c r="K2298" s="14"/>
      <c r="L2298" s="14"/>
      <c r="M2298" s="14"/>
      <c r="N2298" s="14"/>
    </row>
    <row r="2299">
      <c r="A2299" s="14"/>
      <c r="B2299" s="14"/>
      <c r="C2299" s="14"/>
      <c r="D2299" s="14"/>
      <c r="E2299" s="14"/>
      <c r="F2299" s="14"/>
      <c r="G2299" s="14"/>
      <c r="H2299" s="14"/>
      <c r="I2299" s="14"/>
      <c r="J2299" s="14"/>
      <c r="K2299" s="14"/>
      <c r="L2299" s="14"/>
      <c r="M2299" s="14"/>
      <c r="N2299" s="14"/>
    </row>
    <row r="2300">
      <c r="A2300" s="14"/>
      <c r="B2300" s="14"/>
      <c r="C2300" s="14"/>
      <c r="D2300" s="14"/>
      <c r="E2300" s="14"/>
      <c r="F2300" s="14"/>
      <c r="G2300" s="14"/>
      <c r="H2300" s="14"/>
      <c r="I2300" s="14"/>
      <c r="J2300" s="14"/>
      <c r="K2300" s="14"/>
      <c r="L2300" s="14"/>
      <c r="M2300" s="14"/>
      <c r="N2300" s="14"/>
    </row>
    <row r="2301">
      <c r="A2301" s="14"/>
      <c r="B2301" s="14"/>
      <c r="C2301" s="14"/>
      <c r="D2301" s="14"/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</row>
    <row r="2302">
      <c r="A2302" s="14"/>
      <c r="B2302" s="14"/>
      <c r="C2302" s="14"/>
      <c r="D2302" s="14"/>
      <c r="E2302" s="14"/>
      <c r="F2302" s="14"/>
      <c r="G2302" s="14"/>
      <c r="H2302" s="14"/>
      <c r="I2302" s="14"/>
      <c r="J2302" s="14"/>
      <c r="K2302" s="14"/>
      <c r="L2302" s="14"/>
      <c r="M2302" s="14"/>
      <c r="N2302" s="14"/>
    </row>
    <row r="2303">
      <c r="A2303" s="14"/>
      <c r="B2303" s="14"/>
      <c r="C2303" s="14"/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</row>
    <row r="2304">
      <c r="A2304" s="14"/>
      <c r="B2304" s="14"/>
      <c r="C2304" s="14"/>
      <c r="D2304" s="14"/>
      <c r="E2304" s="14"/>
      <c r="F2304" s="14"/>
      <c r="G2304" s="14"/>
      <c r="H2304" s="14"/>
      <c r="I2304" s="14"/>
      <c r="J2304" s="14"/>
      <c r="K2304" s="14"/>
      <c r="L2304" s="14"/>
      <c r="M2304" s="14"/>
      <c r="N2304" s="14"/>
    </row>
    <row r="2305">
      <c r="A2305" s="14"/>
      <c r="B2305" s="14"/>
      <c r="C2305" s="14"/>
      <c r="D2305" s="14"/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</row>
    <row r="2306">
      <c r="A2306" s="14"/>
      <c r="B2306" s="14"/>
      <c r="C2306" s="14"/>
      <c r="D2306" s="14"/>
      <c r="E2306" s="14"/>
      <c r="F2306" s="14"/>
      <c r="G2306" s="14"/>
      <c r="H2306" s="14"/>
      <c r="I2306" s="14"/>
      <c r="J2306" s="14"/>
      <c r="K2306" s="14"/>
      <c r="L2306" s="14"/>
      <c r="M2306" s="14"/>
      <c r="N2306" s="14"/>
    </row>
    <row r="2307">
      <c r="A2307" s="14"/>
      <c r="B2307" s="14"/>
      <c r="C2307" s="14"/>
      <c r="D2307" s="14"/>
      <c r="E2307" s="14"/>
      <c r="F2307" s="14"/>
      <c r="G2307" s="14"/>
      <c r="H2307" s="14"/>
      <c r="I2307" s="14"/>
      <c r="J2307" s="14"/>
      <c r="K2307" s="14"/>
      <c r="L2307" s="14"/>
      <c r="M2307" s="14"/>
      <c r="N2307" s="14"/>
    </row>
    <row r="2308">
      <c r="A2308" s="14"/>
      <c r="B2308" s="14"/>
      <c r="C2308" s="14"/>
      <c r="D2308" s="14"/>
      <c r="E2308" s="14"/>
      <c r="F2308" s="14"/>
      <c r="G2308" s="14"/>
      <c r="H2308" s="14"/>
      <c r="I2308" s="14"/>
      <c r="J2308" s="14"/>
      <c r="K2308" s="14"/>
      <c r="L2308" s="14"/>
      <c r="M2308" s="14"/>
      <c r="N2308" s="14"/>
    </row>
    <row r="2309">
      <c r="A2309" s="14"/>
      <c r="B2309" s="14"/>
      <c r="C2309" s="14"/>
      <c r="D2309" s="14"/>
      <c r="E2309" s="14"/>
      <c r="F2309" s="14"/>
      <c r="G2309" s="14"/>
      <c r="H2309" s="14"/>
      <c r="I2309" s="14"/>
      <c r="J2309" s="14"/>
      <c r="K2309" s="14"/>
      <c r="L2309" s="14"/>
      <c r="M2309" s="14"/>
      <c r="N2309" s="14"/>
    </row>
    <row r="2310">
      <c r="A2310" s="14"/>
      <c r="B2310" s="14"/>
      <c r="C2310" s="14"/>
      <c r="D2310" s="14"/>
      <c r="E2310" s="14"/>
      <c r="F2310" s="14"/>
      <c r="G2310" s="14"/>
      <c r="H2310" s="14"/>
      <c r="I2310" s="14"/>
      <c r="J2310" s="14"/>
      <c r="K2310" s="14"/>
      <c r="L2310" s="14"/>
      <c r="M2310" s="14"/>
      <c r="N2310" s="14"/>
    </row>
    <row r="2311">
      <c r="A2311" s="14"/>
      <c r="B2311" s="14"/>
      <c r="C2311" s="14"/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</row>
    <row r="2312">
      <c r="A2312" s="14"/>
      <c r="B2312" s="14"/>
      <c r="C2312" s="14"/>
      <c r="D2312" s="14"/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</row>
    <row r="2313">
      <c r="A2313" s="14"/>
      <c r="B2313" s="14"/>
      <c r="C2313" s="14"/>
      <c r="D2313" s="14"/>
      <c r="E2313" s="14"/>
      <c r="F2313" s="14"/>
      <c r="G2313" s="14"/>
      <c r="H2313" s="14"/>
      <c r="I2313" s="14"/>
      <c r="J2313" s="14"/>
      <c r="K2313" s="14"/>
      <c r="L2313" s="14"/>
      <c r="M2313" s="14"/>
      <c r="N2313" s="14"/>
    </row>
    <row r="2314">
      <c r="A2314" s="14"/>
      <c r="B2314" s="14"/>
      <c r="C2314" s="14"/>
      <c r="D2314" s="14"/>
      <c r="E2314" s="14"/>
      <c r="F2314" s="14"/>
      <c r="G2314" s="14"/>
      <c r="H2314" s="14"/>
      <c r="I2314" s="14"/>
      <c r="J2314" s="14"/>
      <c r="K2314" s="14"/>
      <c r="L2314" s="14"/>
      <c r="M2314" s="14"/>
      <c r="N2314" s="14"/>
    </row>
    <row r="2315">
      <c r="A2315" s="14"/>
      <c r="B2315" s="14"/>
      <c r="C2315" s="14"/>
      <c r="D2315" s="14"/>
      <c r="E2315" s="14"/>
      <c r="F2315" s="14"/>
      <c r="G2315" s="14"/>
      <c r="H2315" s="14"/>
      <c r="I2315" s="14"/>
      <c r="J2315" s="14"/>
      <c r="K2315" s="14"/>
      <c r="L2315" s="14"/>
      <c r="M2315" s="14"/>
      <c r="N2315" s="14"/>
    </row>
    <row r="2316">
      <c r="A2316" s="14"/>
      <c r="B2316" s="14"/>
      <c r="C2316" s="14"/>
      <c r="D2316" s="14"/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</row>
    <row r="2317">
      <c r="A2317" s="14"/>
      <c r="B2317" s="14"/>
      <c r="C2317" s="14"/>
      <c r="D2317" s="14"/>
      <c r="E2317" s="14"/>
      <c r="F2317" s="14"/>
      <c r="G2317" s="14"/>
      <c r="H2317" s="14"/>
      <c r="I2317" s="14"/>
      <c r="J2317" s="14"/>
      <c r="K2317" s="14"/>
      <c r="L2317" s="14"/>
      <c r="M2317" s="14"/>
      <c r="N2317" s="14"/>
    </row>
    <row r="2318">
      <c r="A2318" s="14"/>
      <c r="B2318" s="14"/>
      <c r="C2318" s="14"/>
      <c r="D2318" s="14"/>
      <c r="E2318" s="14"/>
      <c r="F2318" s="14"/>
      <c r="G2318" s="14"/>
      <c r="H2318" s="14"/>
      <c r="I2318" s="14"/>
      <c r="J2318" s="14"/>
      <c r="K2318" s="14"/>
      <c r="L2318" s="14"/>
      <c r="M2318" s="14"/>
      <c r="N2318" s="14"/>
    </row>
    <row r="2319">
      <c r="A2319" s="14"/>
      <c r="B2319" s="14"/>
      <c r="C2319" s="14"/>
      <c r="D2319" s="14"/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</row>
    <row r="2320">
      <c r="A2320" s="14"/>
      <c r="B2320" s="14"/>
      <c r="C2320" s="14"/>
      <c r="D2320" s="14"/>
      <c r="E2320" s="14"/>
      <c r="F2320" s="14"/>
      <c r="G2320" s="14"/>
      <c r="H2320" s="14"/>
      <c r="I2320" s="14"/>
      <c r="J2320" s="14"/>
      <c r="K2320" s="14"/>
      <c r="L2320" s="14"/>
      <c r="M2320" s="14"/>
      <c r="N2320" s="14"/>
    </row>
    <row r="2321">
      <c r="A2321" s="14"/>
      <c r="B2321" s="14"/>
      <c r="C2321" s="14"/>
      <c r="D2321" s="14"/>
      <c r="E2321" s="14"/>
      <c r="F2321" s="14"/>
      <c r="G2321" s="14"/>
      <c r="H2321" s="14"/>
      <c r="I2321" s="14"/>
      <c r="J2321" s="14"/>
      <c r="K2321" s="14"/>
      <c r="L2321" s="14"/>
      <c r="M2321" s="14"/>
      <c r="N2321" s="14"/>
    </row>
    <row r="2322">
      <c r="A2322" s="14"/>
      <c r="B2322" s="14"/>
      <c r="C2322" s="14"/>
      <c r="D2322" s="14"/>
      <c r="E2322" s="14"/>
      <c r="F2322" s="14"/>
      <c r="G2322" s="14"/>
      <c r="H2322" s="14"/>
      <c r="I2322" s="14"/>
      <c r="J2322" s="14"/>
      <c r="K2322" s="14"/>
      <c r="L2322" s="14"/>
      <c r="M2322" s="14"/>
      <c r="N2322" s="14"/>
    </row>
    <row r="2323">
      <c r="A2323" s="14"/>
      <c r="B2323" s="14"/>
      <c r="C2323" s="14"/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</row>
    <row r="2324">
      <c r="A2324" s="14"/>
      <c r="B2324" s="14"/>
      <c r="C2324" s="14"/>
      <c r="D2324" s="14"/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</row>
    <row r="2325">
      <c r="A2325" s="14"/>
      <c r="B2325" s="14"/>
      <c r="C2325" s="14"/>
      <c r="D2325" s="14"/>
      <c r="E2325" s="14"/>
      <c r="F2325" s="14"/>
      <c r="G2325" s="14"/>
      <c r="H2325" s="14"/>
      <c r="I2325" s="14"/>
      <c r="J2325" s="14"/>
      <c r="K2325" s="14"/>
      <c r="L2325" s="14"/>
      <c r="M2325" s="14"/>
      <c r="N2325" s="14"/>
    </row>
    <row r="2326">
      <c r="A2326" s="14"/>
      <c r="B2326" s="14"/>
      <c r="C2326" s="14"/>
      <c r="D2326" s="14"/>
      <c r="E2326" s="14"/>
      <c r="F2326" s="14"/>
      <c r="G2326" s="14"/>
      <c r="H2326" s="14"/>
      <c r="I2326" s="14"/>
      <c r="J2326" s="14"/>
      <c r="K2326" s="14"/>
      <c r="L2326" s="14"/>
      <c r="M2326" s="14"/>
      <c r="N2326" s="14"/>
    </row>
    <row r="2327">
      <c r="A2327" s="14"/>
      <c r="B2327" s="14"/>
      <c r="C2327" s="14"/>
      <c r="D2327" s="14"/>
      <c r="E2327" s="14"/>
      <c r="F2327" s="14"/>
      <c r="G2327" s="14"/>
      <c r="H2327" s="14"/>
      <c r="I2327" s="14"/>
      <c r="J2327" s="14"/>
      <c r="K2327" s="14"/>
      <c r="L2327" s="14"/>
      <c r="M2327" s="14"/>
      <c r="N2327" s="14"/>
    </row>
    <row r="2328">
      <c r="A2328" s="14"/>
      <c r="B2328" s="14"/>
      <c r="C2328" s="14"/>
      <c r="D2328" s="14"/>
      <c r="E2328" s="14"/>
      <c r="F2328" s="14"/>
      <c r="G2328" s="14"/>
      <c r="H2328" s="14"/>
      <c r="I2328" s="14"/>
      <c r="J2328" s="14"/>
      <c r="K2328" s="14"/>
      <c r="L2328" s="14"/>
      <c r="M2328" s="14"/>
      <c r="N2328" s="14"/>
    </row>
    <row r="2329">
      <c r="A2329" s="14"/>
      <c r="B2329" s="14"/>
      <c r="C2329" s="14"/>
      <c r="D2329" s="14"/>
      <c r="E2329" s="14"/>
      <c r="F2329" s="14"/>
      <c r="G2329" s="14"/>
      <c r="H2329" s="14"/>
      <c r="I2329" s="14"/>
      <c r="J2329" s="14"/>
      <c r="K2329" s="14"/>
      <c r="L2329" s="14"/>
      <c r="M2329" s="14"/>
      <c r="N2329" s="14"/>
    </row>
    <row r="2330">
      <c r="A2330" s="14"/>
      <c r="B2330" s="14"/>
      <c r="C2330" s="14"/>
      <c r="D2330" s="14"/>
      <c r="E2330" s="14"/>
      <c r="F2330" s="14"/>
      <c r="G2330" s="14"/>
      <c r="H2330" s="14"/>
      <c r="I2330" s="14"/>
      <c r="J2330" s="14"/>
      <c r="K2330" s="14"/>
      <c r="L2330" s="14"/>
      <c r="M2330" s="14"/>
      <c r="N2330" s="14"/>
    </row>
    <row r="2331">
      <c r="A2331" s="14"/>
      <c r="B2331" s="14"/>
      <c r="C2331" s="14"/>
      <c r="D2331" s="14"/>
      <c r="E2331" s="14"/>
      <c r="F2331" s="14"/>
      <c r="G2331" s="14"/>
      <c r="H2331" s="14"/>
      <c r="I2331" s="14"/>
      <c r="J2331" s="14"/>
      <c r="K2331" s="14"/>
      <c r="L2331" s="14"/>
      <c r="M2331" s="14"/>
      <c r="N2331" s="14"/>
    </row>
    <row r="2332">
      <c r="A2332" s="14"/>
      <c r="B2332" s="14"/>
      <c r="C2332" s="14"/>
      <c r="D2332" s="14"/>
      <c r="E2332" s="14"/>
      <c r="F2332" s="14"/>
      <c r="G2332" s="14"/>
      <c r="H2332" s="14"/>
      <c r="I2332" s="14"/>
      <c r="J2332" s="14"/>
      <c r="K2332" s="14"/>
      <c r="L2332" s="14"/>
      <c r="M2332" s="14"/>
      <c r="N2332" s="14"/>
    </row>
    <row r="2333">
      <c r="A2333" s="14"/>
      <c r="B2333" s="14"/>
      <c r="C2333" s="14"/>
      <c r="D2333" s="14"/>
      <c r="E2333" s="14"/>
      <c r="F2333" s="14"/>
      <c r="G2333" s="14"/>
      <c r="H2333" s="14"/>
      <c r="I2333" s="14"/>
      <c r="J2333" s="14"/>
      <c r="K2333" s="14"/>
      <c r="L2333" s="14"/>
      <c r="M2333" s="14"/>
      <c r="N2333" s="14"/>
    </row>
    <row r="2334">
      <c r="A2334" s="14"/>
      <c r="B2334" s="14"/>
      <c r="C2334" s="14"/>
      <c r="D2334" s="14"/>
      <c r="E2334" s="14"/>
      <c r="F2334" s="14"/>
      <c r="G2334" s="14"/>
      <c r="H2334" s="14"/>
      <c r="I2334" s="14"/>
      <c r="J2334" s="14"/>
      <c r="K2334" s="14"/>
      <c r="L2334" s="14"/>
      <c r="M2334" s="14"/>
      <c r="N2334" s="14"/>
    </row>
    <row r="2335">
      <c r="A2335" s="14"/>
      <c r="B2335" s="14"/>
      <c r="C2335" s="14"/>
      <c r="D2335" s="14"/>
      <c r="E2335" s="14"/>
      <c r="F2335" s="14"/>
      <c r="G2335" s="14"/>
      <c r="H2335" s="14"/>
      <c r="I2335" s="14"/>
      <c r="J2335" s="14"/>
      <c r="K2335" s="14"/>
      <c r="L2335" s="14"/>
      <c r="M2335" s="14"/>
      <c r="N2335" s="14"/>
    </row>
    <row r="2336">
      <c r="A2336" s="14"/>
      <c r="B2336" s="14"/>
      <c r="C2336" s="14"/>
      <c r="D2336" s="14"/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</row>
    <row r="2337">
      <c r="A2337" s="14"/>
      <c r="B2337" s="14"/>
      <c r="C2337" s="14"/>
      <c r="D2337" s="14"/>
      <c r="E2337" s="14"/>
      <c r="F2337" s="14"/>
      <c r="G2337" s="14"/>
      <c r="H2337" s="14"/>
      <c r="I2337" s="14"/>
      <c r="J2337" s="14"/>
      <c r="K2337" s="14"/>
      <c r="L2337" s="14"/>
      <c r="M2337" s="14"/>
      <c r="N2337" s="14"/>
    </row>
    <row r="2338">
      <c r="A2338" s="14"/>
      <c r="B2338" s="14"/>
      <c r="C2338" s="14"/>
      <c r="D2338" s="14"/>
      <c r="E2338" s="14"/>
      <c r="F2338" s="14"/>
      <c r="G2338" s="14"/>
      <c r="H2338" s="14"/>
      <c r="I2338" s="14"/>
      <c r="J2338" s="14"/>
      <c r="K2338" s="14"/>
      <c r="L2338" s="14"/>
      <c r="M2338" s="14"/>
      <c r="N2338" s="14"/>
    </row>
    <row r="2339">
      <c r="A2339" s="14"/>
      <c r="B2339" s="14"/>
      <c r="C2339" s="14"/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/>
    </row>
    <row r="2340">
      <c r="A2340" s="14"/>
      <c r="B2340" s="14"/>
      <c r="C2340" s="14"/>
      <c r="D2340" s="14"/>
      <c r="E2340" s="14"/>
      <c r="F2340" s="14"/>
      <c r="G2340" s="14"/>
      <c r="H2340" s="14"/>
      <c r="I2340" s="14"/>
      <c r="J2340" s="14"/>
      <c r="K2340" s="14"/>
      <c r="L2340" s="14"/>
      <c r="M2340" s="14"/>
      <c r="N2340" s="14"/>
    </row>
    <row r="2341">
      <c r="A2341" s="14"/>
      <c r="B2341" s="14"/>
      <c r="C2341" s="14"/>
      <c r="D2341" s="14"/>
      <c r="E2341" s="14"/>
      <c r="F2341" s="14"/>
      <c r="G2341" s="14"/>
      <c r="H2341" s="14"/>
      <c r="I2341" s="14"/>
      <c r="J2341" s="14"/>
      <c r="K2341" s="14"/>
      <c r="L2341" s="14"/>
      <c r="M2341" s="14"/>
      <c r="N2341" s="14"/>
    </row>
    <row r="2342">
      <c r="A2342" s="14"/>
      <c r="B2342" s="14"/>
      <c r="C2342" s="14"/>
      <c r="D2342" s="14"/>
      <c r="E2342" s="14"/>
      <c r="F2342" s="14"/>
      <c r="G2342" s="14"/>
      <c r="H2342" s="14"/>
      <c r="I2342" s="14"/>
      <c r="J2342" s="14"/>
      <c r="K2342" s="14"/>
      <c r="L2342" s="14"/>
      <c r="M2342" s="14"/>
      <c r="N2342" s="14"/>
    </row>
    <row r="2343">
      <c r="A2343" s="14"/>
      <c r="B2343" s="14"/>
      <c r="C2343" s="14"/>
      <c r="D2343" s="14"/>
      <c r="E2343" s="14"/>
      <c r="F2343" s="14"/>
      <c r="G2343" s="14"/>
      <c r="H2343" s="14"/>
      <c r="I2343" s="14"/>
      <c r="J2343" s="14"/>
      <c r="K2343" s="14"/>
      <c r="L2343" s="14"/>
      <c r="M2343" s="14"/>
      <c r="N2343" s="14"/>
    </row>
    <row r="2344">
      <c r="A2344" s="14"/>
      <c r="B2344" s="14"/>
      <c r="C2344" s="14"/>
      <c r="D2344" s="14"/>
      <c r="E2344" s="14"/>
      <c r="F2344" s="14"/>
      <c r="G2344" s="14"/>
      <c r="H2344" s="14"/>
      <c r="I2344" s="14"/>
      <c r="J2344" s="14"/>
      <c r="K2344" s="14"/>
      <c r="L2344" s="14"/>
      <c r="M2344" s="14"/>
      <c r="N2344" s="14"/>
    </row>
    <row r="2345">
      <c r="A2345" s="14"/>
      <c r="B2345" s="14"/>
      <c r="C2345" s="14"/>
      <c r="D2345" s="14"/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</row>
    <row r="2346">
      <c r="A2346" s="14"/>
      <c r="B2346" s="14"/>
      <c r="C2346" s="14"/>
      <c r="D2346" s="14"/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</row>
    <row r="2347">
      <c r="A2347" s="14"/>
      <c r="B2347" s="14"/>
      <c r="C2347" s="14"/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</row>
    <row r="2348">
      <c r="A2348" s="14"/>
      <c r="B2348" s="14"/>
      <c r="C2348" s="14"/>
      <c r="D2348" s="14"/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</row>
    <row r="2349">
      <c r="A2349" s="14"/>
      <c r="B2349" s="14"/>
      <c r="C2349" s="14"/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</row>
    <row r="2350">
      <c r="A2350" s="14"/>
      <c r="B2350" s="14"/>
      <c r="C2350" s="14"/>
      <c r="D2350" s="14"/>
      <c r="E2350" s="14"/>
      <c r="F2350" s="14"/>
      <c r="G2350" s="14"/>
      <c r="H2350" s="14"/>
      <c r="I2350" s="14"/>
      <c r="J2350" s="14"/>
      <c r="K2350" s="14"/>
      <c r="L2350" s="14"/>
      <c r="M2350" s="14"/>
      <c r="N2350" s="14"/>
    </row>
    <row r="2351">
      <c r="A2351" s="14"/>
      <c r="B2351" s="14"/>
      <c r="C2351" s="14"/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</row>
    <row r="2352">
      <c r="A2352" s="14"/>
      <c r="B2352" s="14"/>
      <c r="C2352" s="14"/>
      <c r="D2352" s="14"/>
      <c r="E2352" s="14"/>
      <c r="F2352" s="14"/>
      <c r="G2352" s="14"/>
      <c r="H2352" s="14"/>
      <c r="I2352" s="14"/>
      <c r="J2352" s="14"/>
      <c r="K2352" s="14"/>
      <c r="L2352" s="14"/>
      <c r="M2352" s="14"/>
      <c r="N2352" s="14"/>
    </row>
    <row r="2353">
      <c r="A2353" s="14"/>
      <c r="B2353" s="14"/>
      <c r="C2353" s="14"/>
      <c r="D2353" s="14"/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</row>
    <row r="2354">
      <c r="A2354" s="14"/>
      <c r="B2354" s="14"/>
      <c r="C2354" s="14"/>
      <c r="D2354" s="14"/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</row>
    <row r="2355">
      <c r="A2355" s="14"/>
      <c r="B2355" s="14"/>
      <c r="C2355" s="14"/>
      <c r="D2355" s="14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</row>
    <row r="2356">
      <c r="A2356" s="14"/>
      <c r="B2356" s="14"/>
      <c r="C2356" s="14"/>
      <c r="D2356" s="14"/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</row>
    <row r="2357">
      <c r="A2357" s="14"/>
      <c r="B2357" s="14"/>
      <c r="C2357" s="14"/>
      <c r="D2357" s="14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</row>
    <row r="2358">
      <c r="A2358" s="14"/>
      <c r="B2358" s="14"/>
      <c r="C2358" s="14"/>
      <c r="D2358" s="14"/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</row>
    <row r="2359">
      <c r="A2359" s="14"/>
      <c r="B2359" s="14"/>
      <c r="C2359" s="14"/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</row>
    <row r="2360">
      <c r="A2360" s="14"/>
      <c r="B2360" s="14"/>
      <c r="C2360" s="14"/>
      <c r="D2360" s="14"/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</row>
    <row r="2361">
      <c r="A2361" s="14"/>
      <c r="B2361" s="14"/>
      <c r="C2361" s="14"/>
      <c r="D2361" s="14"/>
      <c r="E2361" s="14"/>
      <c r="F2361" s="14"/>
      <c r="G2361" s="14"/>
      <c r="H2361" s="14"/>
      <c r="I2361" s="14"/>
      <c r="J2361" s="14"/>
      <c r="K2361" s="14"/>
      <c r="L2361" s="14"/>
      <c r="M2361" s="14"/>
      <c r="N2361" s="14"/>
    </row>
    <row r="2362">
      <c r="A2362" s="14"/>
      <c r="B2362" s="14"/>
      <c r="C2362" s="14"/>
      <c r="D2362" s="14"/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</row>
    <row r="2363">
      <c r="A2363" s="14"/>
      <c r="B2363" s="14"/>
      <c r="C2363" s="14"/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</row>
    <row r="2364">
      <c r="A2364" s="14"/>
      <c r="B2364" s="14"/>
      <c r="C2364" s="14"/>
      <c r="D2364" s="14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</row>
    <row r="2365">
      <c r="A2365" s="14"/>
      <c r="B2365" s="14"/>
      <c r="C2365" s="14"/>
      <c r="D2365" s="14"/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</row>
    <row r="2366">
      <c r="A2366" s="14"/>
      <c r="B2366" s="14"/>
      <c r="C2366" s="14"/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</row>
    <row r="2367">
      <c r="A2367" s="14"/>
      <c r="B2367" s="14"/>
      <c r="C2367" s="14"/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</row>
    <row r="2368">
      <c r="A2368" s="14"/>
      <c r="B2368" s="14"/>
      <c r="C2368" s="14"/>
      <c r="D2368" s="14"/>
      <c r="E2368" s="14"/>
      <c r="F2368" s="14"/>
      <c r="G2368" s="14"/>
      <c r="H2368" s="14"/>
      <c r="I2368" s="14"/>
      <c r="J2368" s="14"/>
      <c r="K2368" s="14"/>
      <c r="L2368" s="14"/>
      <c r="M2368" s="14"/>
      <c r="N2368" s="14"/>
    </row>
    <row r="2369">
      <c r="A2369" s="14"/>
      <c r="B2369" s="14"/>
      <c r="C2369" s="14"/>
      <c r="D2369" s="14"/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</row>
    <row r="2370">
      <c r="A2370" s="14"/>
      <c r="B2370" s="14"/>
      <c r="C2370" s="14"/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</row>
    <row r="2371">
      <c r="A2371" s="14"/>
      <c r="B2371" s="14"/>
      <c r="C2371" s="14"/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</row>
    <row r="2372">
      <c r="A2372" s="14"/>
      <c r="B2372" s="14"/>
      <c r="C2372" s="14"/>
      <c r="D2372" s="14"/>
      <c r="E2372" s="14"/>
      <c r="F2372" s="14"/>
      <c r="G2372" s="14"/>
      <c r="H2372" s="14"/>
      <c r="I2372" s="14"/>
      <c r="J2372" s="14"/>
      <c r="K2372" s="14"/>
      <c r="L2372" s="14"/>
      <c r="M2372" s="14"/>
      <c r="N2372" s="14"/>
    </row>
    <row r="2373">
      <c r="A2373" s="14"/>
      <c r="B2373" s="14"/>
      <c r="C2373" s="14"/>
      <c r="D2373" s="14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</row>
    <row r="2374">
      <c r="A2374" s="14"/>
      <c r="B2374" s="14"/>
      <c r="C2374" s="14"/>
      <c r="D2374" s="14"/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</row>
    <row r="2375">
      <c r="A2375" s="14"/>
      <c r="B2375" s="14"/>
      <c r="C2375" s="14"/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</row>
    <row r="2376">
      <c r="A2376" s="14"/>
      <c r="B2376" s="14"/>
      <c r="C2376" s="14"/>
      <c r="D2376" s="14"/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</row>
    <row r="2377">
      <c r="A2377" s="14"/>
      <c r="B2377" s="14"/>
      <c r="C2377" s="14"/>
      <c r="D2377" s="14"/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</row>
    <row r="2378">
      <c r="A2378" s="14"/>
      <c r="B2378" s="14"/>
      <c r="C2378" s="14"/>
      <c r="D2378" s="14"/>
      <c r="E2378" s="14"/>
      <c r="F2378" s="14"/>
      <c r="G2378" s="14"/>
      <c r="H2378" s="14"/>
      <c r="I2378" s="14"/>
      <c r="J2378" s="14"/>
      <c r="K2378" s="14"/>
      <c r="L2378" s="14"/>
      <c r="M2378" s="14"/>
      <c r="N2378" s="14"/>
    </row>
    <row r="2379">
      <c r="A2379" s="14"/>
      <c r="B2379" s="14"/>
      <c r="C2379" s="14"/>
      <c r="D2379" s="14"/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</row>
    <row r="2380">
      <c r="A2380" s="14"/>
      <c r="B2380" s="14"/>
      <c r="C2380" s="14"/>
      <c r="D2380" s="14"/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</row>
    <row r="2381">
      <c r="A2381" s="14"/>
      <c r="B2381" s="14"/>
      <c r="C2381" s="14"/>
      <c r="D2381" s="14"/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</row>
    <row r="2382">
      <c r="A2382" s="14"/>
      <c r="B2382" s="14"/>
      <c r="C2382" s="14"/>
      <c r="D2382" s="14"/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</row>
    <row r="2383">
      <c r="A2383" s="14"/>
      <c r="B2383" s="14"/>
      <c r="C2383" s="14"/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</row>
    <row r="2384">
      <c r="A2384" s="14"/>
      <c r="B2384" s="14"/>
      <c r="C2384" s="14"/>
      <c r="D2384" s="14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</row>
    <row r="2385">
      <c r="A2385" s="14"/>
      <c r="B2385" s="14"/>
      <c r="C2385" s="14"/>
      <c r="D2385" s="14"/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</row>
    <row r="2386">
      <c r="A2386" s="14"/>
      <c r="B2386" s="14"/>
      <c r="C2386" s="14"/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</row>
    <row r="2387">
      <c r="A2387" s="14"/>
      <c r="B2387" s="14"/>
      <c r="C2387" s="14"/>
      <c r="D2387" s="14"/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</row>
    <row r="2388">
      <c r="A2388" s="14"/>
      <c r="B2388" s="14"/>
      <c r="C2388" s="14"/>
      <c r="D2388" s="14"/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</row>
    <row r="2389">
      <c r="A2389" s="14"/>
      <c r="B2389" s="14"/>
      <c r="C2389" s="14"/>
      <c r="D2389" s="14"/>
      <c r="E2389" s="14"/>
      <c r="F2389" s="14"/>
      <c r="G2389" s="14"/>
      <c r="H2389" s="14"/>
      <c r="I2389" s="14"/>
      <c r="J2389" s="14"/>
      <c r="K2389" s="14"/>
      <c r="L2389" s="14"/>
      <c r="M2389" s="14"/>
      <c r="N2389" s="14"/>
    </row>
    <row r="2390">
      <c r="A2390" s="14"/>
      <c r="B2390" s="14"/>
      <c r="C2390" s="14"/>
      <c r="D2390" s="14"/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</row>
    <row r="2391">
      <c r="A2391" s="14"/>
      <c r="B2391" s="14"/>
      <c r="C2391" s="14"/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</row>
    <row r="2392">
      <c r="A2392" s="14"/>
      <c r="B2392" s="14"/>
      <c r="C2392" s="14"/>
      <c r="D2392" s="14"/>
      <c r="E2392" s="14"/>
      <c r="F2392" s="14"/>
      <c r="G2392" s="14"/>
      <c r="H2392" s="14"/>
      <c r="I2392" s="14"/>
      <c r="J2392" s="14"/>
      <c r="K2392" s="14"/>
      <c r="L2392" s="14"/>
      <c r="M2392" s="14"/>
      <c r="N2392" s="14"/>
    </row>
    <row r="2393">
      <c r="A2393" s="14"/>
      <c r="B2393" s="14"/>
      <c r="C2393" s="14"/>
      <c r="D2393" s="14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</row>
    <row r="2394">
      <c r="A2394" s="14"/>
      <c r="B2394" s="14"/>
      <c r="C2394" s="14"/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</row>
    <row r="2395">
      <c r="A2395" s="14"/>
      <c r="B2395" s="14"/>
      <c r="C2395" s="14"/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</row>
    <row r="2396">
      <c r="A2396" s="14"/>
      <c r="B2396" s="14"/>
      <c r="C2396" s="14"/>
      <c r="D2396" s="14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</row>
    <row r="2397">
      <c r="A2397" s="14"/>
      <c r="B2397" s="14"/>
      <c r="C2397" s="14"/>
      <c r="D2397" s="14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</row>
    <row r="2398">
      <c r="A2398" s="14"/>
      <c r="B2398" s="14"/>
      <c r="C2398" s="14"/>
      <c r="D2398" s="14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</row>
    <row r="2399">
      <c r="A2399" s="14"/>
      <c r="B2399" s="14"/>
      <c r="C2399" s="14"/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</row>
    <row r="2400">
      <c r="A2400" s="14"/>
      <c r="B2400" s="14"/>
      <c r="C2400" s="14"/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</row>
    <row r="2401">
      <c r="A2401" s="14"/>
      <c r="B2401" s="14"/>
      <c r="C2401" s="14"/>
      <c r="D2401" s="14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</row>
    <row r="2402">
      <c r="A2402" s="14"/>
      <c r="B2402" s="14"/>
      <c r="C2402" s="14"/>
      <c r="D2402" s="14"/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</row>
    <row r="2403">
      <c r="A2403" s="14"/>
      <c r="B2403" s="14"/>
      <c r="C2403" s="14"/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</row>
    <row r="2404">
      <c r="A2404" s="14"/>
      <c r="B2404" s="14"/>
      <c r="C2404" s="14"/>
      <c r="D2404" s="14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</row>
    <row r="2405">
      <c r="A2405" s="14"/>
      <c r="B2405" s="14"/>
      <c r="C2405" s="14"/>
      <c r="D2405" s="14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</row>
    <row r="2406">
      <c r="A2406" s="14"/>
      <c r="B2406" s="14"/>
      <c r="C2406" s="14"/>
      <c r="D2406" s="14"/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</row>
    <row r="2407">
      <c r="A2407" s="14"/>
      <c r="B2407" s="14"/>
      <c r="C2407" s="14"/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</row>
    <row r="2408">
      <c r="A2408" s="14"/>
      <c r="B2408" s="14"/>
      <c r="C2408" s="14"/>
      <c r="D2408" s="14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</row>
    <row r="2409">
      <c r="A2409" s="14"/>
      <c r="B2409" s="14"/>
      <c r="C2409" s="14"/>
      <c r="D2409" s="14"/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</row>
    <row r="2410">
      <c r="A2410" s="14"/>
      <c r="B2410" s="14"/>
      <c r="C2410" s="14"/>
      <c r="D2410" s="14"/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</row>
    <row r="2411">
      <c r="A2411" s="14"/>
      <c r="B2411" s="14"/>
      <c r="C2411" s="14"/>
      <c r="D2411" s="14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</row>
    <row r="2412">
      <c r="A2412" s="14"/>
      <c r="B2412" s="14"/>
      <c r="C2412" s="14"/>
      <c r="D2412" s="14"/>
      <c r="E2412" s="14"/>
      <c r="F2412" s="14"/>
      <c r="G2412" s="14"/>
      <c r="H2412" s="14"/>
      <c r="I2412" s="14"/>
      <c r="J2412" s="14"/>
      <c r="K2412" s="14"/>
      <c r="L2412" s="14"/>
      <c r="M2412" s="14"/>
      <c r="N2412" s="14"/>
    </row>
    <row r="2413">
      <c r="A2413" s="14"/>
      <c r="B2413" s="14"/>
      <c r="C2413" s="14"/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</row>
    <row r="2414">
      <c r="A2414" s="14"/>
      <c r="B2414" s="14"/>
      <c r="C2414" s="14"/>
      <c r="D2414" s="14"/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</row>
    <row r="2415">
      <c r="A2415" s="14"/>
      <c r="B2415" s="14"/>
      <c r="C2415" s="14"/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</row>
    <row r="2416">
      <c r="A2416" s="14"/>
      <c r="B2416" s="14"/>
      <c r="C2416" s="14"/>
      <c r="D2416" s="14"/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</row>
    <row r="2417">
      <c r="A2417" s="14"/>
      <c r="B2417" s="14"/>
      <c r="C2417" s="14"/>
      <c r="D2417" s="14"/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</row>
    <row r="2418">
      <c r="A2418" s="14"/>
      <c r="B2418" s="14"/>
      <c r="C2418" s="14"/>
      <c r="D2418" s="14"/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</row>
    <row r="2419">
      <c r="A2419" s="14"/>
      <c r="B2419" s="14"/>
      <c r="C2419" s="14"/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</row>
    <row r="2420">
      <c r="A2420" s="14"/>
      <c r="B2420" s="14"/>
      <c r="C2420" s="14"/>
      <c r="D2420" s="14"/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</row>
    <row r="2421">
      <c r="A2421" s="14"/>
      <c r="B2421" s="14"/>
      <c r="C2421" s="14"/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</row>
    <row r="2422">
      <c r="A2422" s="14"/>
      <c r="B2422" s="14"/>
      <c r="C2422" s="14"/>
      <c r="D2422" s="14"/>
      <c r="E2422" s="14"/>
      <c r="F2422" s="14"/>
      <c r="G2422" s="14"/>
      <c r="H2422" s="14"/>
      <c r="I2422" s="14"/>
      <c r="J2422" s="14"/>
      <c r="K2422" s="14"/>
      <c r="L2422" s="14"/>
      <c r="M2422" s="14"/>
      <c r="N2422" s="14"/>
    </row>
    <row r="2423">
      <c r="A2423" s="14"/>
      <c r="B2423" s="14"/>
      <c r="C2423" s="14"/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</row>
    <row r="2424">
      <c r="A2424" s="14"/>
      <c r="B2424" s="14"/>
      <c r="C2424" s="14"/>
      <c r="D2424" s="14"/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</row>
    <row r="2425">
      <c r="A2425" s="14"/>
      <c r="B2425" s="14"/>
      <c r="C2425" s="14"/>
      <c r="D2425" s="14"/>
      <c r="E2425" s="14"/>
      <c r="F2425" s="14"/>
      <c r="G2425" s="14"/>
      <c r="H2425" s="14"/>
      <c r="I2425" s="14"/>
      <c r="J2425" s="14"/>
      <c r="K2425" s="14"/>
      <c r="L2425" s="14"/>
      <c r="M2425" s="14"/>
      <c r="N2425" s="14"/>
    </row>
    <row r="2426">
      <c r="A2426" s="14"/>
      <c r="B2426" s="14"/>
      <c r="C2426" s="14"/>
      <c r="D2426" s="14"/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</row>
    <row r="2427">
      <c r="A2427" s="14"/>
      <c r="B2427" s="14"/>
      <c r="C2427" s="14"/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</row>
    <row r="2428">
      <c r="A2428" s="14"/>
      <c r="B2428" s="14"/>
      <c r="C2428" s="14"/>
      <c r="D2428" s="14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</row>
    <row r="2429">
      <c r="A2429" s="14"/>
      <c r="B2429" s="14"/>
      <c r="C2429" s="14"/>
      <c r="D2429" s="14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</row>
    <row r="2430">
      <c r="A2430" s="14"/>
      <c r="B2430" s="14"/>
      <c r="C2430" s="14"/>
      <c r="D2430" s="14"/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</row>
    <row r="2431">
      <c r="A2431" s="14"/>
      <c r="B2431" s="14"/>
      <c r="C2431" s="14"/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</row>
    <row r="2432">
      <c r="A2432" s="14"/>
      <c r="B2432" s="14"/>
      <c r="C2432" s="14"/>
      <c r="D2432" s="14"/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</row>
    <row r="2433">
      <c r="A2433" s="14"/>
      <c r="B2433" s="14"/>
      <c r="C2433" s="14"/>
      <c r="D2433" s="14"/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</row>
    <row r="2434">
      <c r="A2434" s="14"/>
      <c r="B2434" s="14"/>
      <c r="C2434" s="14"/>
      <c r="D2434" s="14"/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</row>
    <row r="2435">
      <c r="A2435" s="14"/>
      <c r="B2435" s="14"/>
      <c r="C2435" s="14"/>
      <c r="D2435" s="14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</row>
    <row r="2436">
      <c r="A2436" s="14"/>
      <c r="B2436" s="14"/>
      <c r="C2436" s="14"/>
      <c r="D2436" s="14"/>
      <c r="E2436" s="14"/>
      <c r="F2436" s="14"/>
      <c r="G2436" s="14"/>
      <c r="H2436" s="14"/>
      <c r="I2436" s="14"/>
      <c r="J2436" s="14"/>
      <c r="K2436" s="14"/>
      <c r="L2436" s="14"/>
      <c r="M2436" s="14"/>
      <c r="N2436" s="14"/>
    </row>
    <row r="2437">
      <c r="A2437" s="14"/>
      <c r="B2437" s="14"/>
      <c r="C2437" s="14"/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</row>
    <row r="2438">
      <c r="A2438" s="14"/>
      <c r="B2438" s="14"/>
      <c r="C2438" s="14"/>
      <c r="D2438" s="14"/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</row>
    <row r="2439">
      <c r="A2439" s="14"/>
      <c r="B2439" s="14"/>
      <c r="C2439" s="14"/>
      <c r="D2439" s="14"/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</row>
    <row r="2440">
      <c r="A2440" s="14"/>
      <c r="B2440" s="14"/>
      <c r="C2440" s="14"/>
      <c r="D2440" s="14"/>
      <c r="E2440" s="14"/>
      <c r="F2440" s="14"/>
      <c r="G2440" s="14"/>
      <c r="H2440" s="14"/>
      <c r="I2440" s="14"/>
      <c r="J2440" s="14"/>
      <c r="K2440" s="14"/>
      <c r="L2440" s="14"/>
      <c r="M2440" s="14"/>
      <c r="N2440" s="14"/>
    </row>
    <row r="2441">
      <c r="A2441" s="14"/>
      <c r="B2441" s="14"/>
      <c r="C2441" s="14"/>
      <c r="D2441" s="14"/>
      <c r="E2441" s="14"/>
      <c r="F2441" s="14"/>
      <c r="G2441" s="14"/>
      <c r="H2441" s="14"/>
      <c r="I2441" s="14"/>
      <c r="J2441" s="14"/>
      <c r="K2441" s="14"/>
      <c r="L2441" s="14"/>
      <c r="M2441" s="14"/>
      <c r="N2441" s="14"/>
    </row>
    <row r="2442">
      <c r="A2442" s="14"/>
      <c r="B2442" s="14"/>
      <c r="C2442" s="14"/>
      <c r="D2442" s="14"/>
      <c r="E2442" s="14"/>
      <c r="F2442" s="14"/>
      <c r="G2442" s="14"/>
      <c r="H2442" s="14"/>
      <c r="I2442" s="14"/>
      <c r="J2442" s="14"/>
      <c r="K2442" s="14"/>
      <c r="L2442" s="14"/>
      <c r="M2442" s="14"/>
      <c r="N2442" s="14"/>
    </row>
    <row r="2443">
      <c r="A2443" s="14"/>
      <c r="B2443" s="14"/>
      <c r="C2443" s="14"/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</row>
    <row r="2444">
      <c r="A2444" s="14"/>
      <c r="B2444" s="14"/>
      <c r="C2444" s="14"/>
      <c r="D2444" s="14"/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</row>
    <row r="2445">
      <c r="A2445" s="14"/>
      <c r="B2445" s="14"/>
      <c r="C2445" s="14"/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</row>
    <row r="2446">
      <c r="A2446" s="14"/>
      <c r="B2446" s="14"/>
      <c r="C2446" s="14"/>
      <c r="D2446" s="14"/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</row>
    <row r="2447">
      <c r="A2447" s="14"/>
      <c r="B2447" s="14"/>
      <c r="C2447" s="14"/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</row>
    <row r="2448">
      <c r="A2448" s="14"/>
      <c r="B2448" s="14"/>
      <c r="C2448" s="14"/>
      <c r="D2448" s="14"/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</row>
    <row r="2449">
      <c r="A2449" s="14"/>
      <c r="B2449" s="14"/>
      <c r="C2449" s="14"/>
      <c r="D2449" s="14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</row>
    <row r="2450">
      <c r="A2450" s="14"/>
      <c r="B2450" s="14"/>
      <c r="C2450" s="14"/>
      <c r="D2450" s="14"/>
      <c r="E2450" s="14"/>
      <c r="F2450" s="14"/>
      <c r="G2450" s="14"/>
      <c r="H2450" s="14"/>
      <c r="I2450" s="14"/>
      <c r="J2450" s="14"/>
      <c r="K2450" s="14"/>
      <c r="L2450" s="14"/>
      <c r="M2450" s="14"/>
      <c r="N2450" s="14"/>
    </row>
    <row r="2451">
      <c r="A2451" s="14"/>
      <c r="B2451" s="14"/>
      <c r="C2451" s="14"/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</row>
    <row r="2452">
      <c r="A2452" s="14"/>
      <c r="B2452" s="14"/>
      <c r="C2452" s="14"/>
      <c r="D2452" s="14"/>
      <c r="E2452" s="14"/>
      <c r="F2452" s="14"/>
      <c r="G2452" s="14"/>
      <c r="H2452" s="14"/>
      <c r="I2452" s="14"/>
      <c r="J2452" s="14"/>
      <c r="K2452" s="14"/>
      <c r="L2452" s="14"/>
      <c r="M2452" s="14"/>
      <c r="N2452" s="14"/>
    </row>
    <row r="2453">
      <c r="A2453" s="14"/>
      <c r="B2453" s="14"/>
      <c r="C2453" s="14"/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</row>
    <row r="2454">
      <c r="A2454" s="14"/>
      <c r="B2454" s="14"/>
      <c r="C2454" s="14"/>
      <c r="D2454" s="14"/>
      <c r="E2454" s="14"/>
      <c r="F2454" s="14"/>
      <c r="G2454" s="14"/>
      <c r="H2454" s="14"/>
      <c r="I2454" s="14"/>
      <c r="J2454" s="14"/>
      <c r="K2454" s="14"/>
      <c r="L2454" s="14"/>
      <c r="M2454" s="14"/>
      <c r="N2454" s="14"/>
    </row>
    <row r="2455">
      <c r="A2455" s="14"/>
      <c r="B2455" s="14"/>
      <c r="C2455" s="14"/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</row>
    <row r="2456">
      <c r="A2456" s="14"/>
      <c r="B2456" s="14"/>
      <c r="C2456" s="14"/>
      <c r="D2456" s="14"/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</row>
    <row r="2457">
      <c r="A2457" s="14"/>
      <c r="B2457" s="14"/>
      <c r="C2457" s="14"/>
      <c r="D2457" s="14"/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</row>
    <row r="2458">
      <c r="A2458" s="14"/>
      <c r="B2458" s="14"/>
      <c r="C2458" s="14"/>
      <c r="D2458" s="14"/>
      <c r="E2458" s="14"/>
      <c r="F2458" s="14"/>
      <c r="G2458" s="14"/>
      <c r="H2458" s="14"/>
      <c r="I2458" s="14"/>
      <c r="J2458" s="14"/>
      <c r="K2458" s="14"/>
      <c r="L2458" s="14"/>
      <c r="M2458" s="14"/>
      <c r="N2458" s="14"/>
    </row>
    <row r="2459">
      <c r="A2459" s="14"/>
      <c r="B2459" s="14"/>
      <c r="C2459" s="14"/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</row>
    <row r="2460">
      <c r="A2460" s="14"/>
      <c r="B2460" s="14"/>
      <c r="C2460" s="14"/>
      <c r="D2460" s="14"/>
      <c r="E2460" s="14"/>
      <c r="F2460" s="14"/>
      <c r="G2460" s="14"/>
      <c r="H2460" s="14"/>
      <c r="I2460" s="14"/>
      <c r="J2460" s="14"/>
      <c r="K2460" s="14"/>
      <c r="L2460" s="14"/>
      <c r="M2460" s="14"/>
      <c r="N2460" s="14"/>
    </row>
    <row r="2461">
      <c r="A2461" s="14"/>
      <c r="B2461" s="14"/>
      <c r="C2461" s="14"/>
      <c r="D2461" s="14"/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</row>
    <row r="2462">
      <c r="A2462" s="14"/>
      <c r="B2462" s="14"/>
      <c r="C2462" s="14"/>
      <c r="D2462" s="14"/>
      <c r="E2462" s="14"/>
      <c r="F2462" s="14"/>
      <c r="G2462" s="14"/>
      <c r="H2462" s="14"/>
      <c r="I2462" s="14"/>
      <c r="J2462" s="14"/>
      <c r="K2462" s="14"/>
      <c r="L2462" s="14"/>
      <c r="M2462" s="14"/>
      <c r="N2462" s="14"/>
    </row>
    <row r="2463">
      <c r="A2463" s="14"/>
      <c r="B2463" s="14"/>
      <c r="C2463" s="14"/>
      <c r="D2463" s="14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</row>
    <row r="2464">
      <c r="A2464" s="14"/>
      <c r="B2464" s="14"/>
      <c r="C2464" s="14"/>
      <c r="D2464" s="14"/>
      <c r="E2464" s="14"/>
      <c r="F2464" s="14"/>
      <c r="G2464" s="14"/>
      <c r="H2464" s="14"/>
      <c r="I2464" s="14"/>
      <c r="J2464" s="14"/>
      <c r="K2464" s="14"/>
      <c r="L2464" s="14"/>
      <c r="M2464" s="14"/>
      <c r="N2464" s="14"/>
    </row>
    <row r="2465">
      <c r="A2465" s="14"/>
      <c r="B2465" s="14"/>
      <c r="C2465" s="14"/>
      <c r="D2465" s="14"/>
      <c r="E2465" s="14"/>
      <c r="F2465" s="14"/>
      <c r="G2465" s="14"/>
      <c r="H2465" s="14"/>
      <c r="I2465" s="14"/>
      <c r="J2465" s="14"/>
      <c r="K2465" s="14"/>
      <c r="L2465" s="14"/>
      <c r="M2465" s="14"/>
      <c r="N2465" s="14"/>
    </row>
    <row r="2466">
      <c r="A2466" s="14"/>
      <c r="B2466" s="14"/>
      <c r="C2466" s="14"/>
      <c r="D2466" s="14"/>
      <c r="E2466" s="14"/>
      <c r="F2466" s="14"/>
      <c r="G2466" s="14"/>
      <c r="H2466" s="14"/>
      <c r="I2466" s="14"/>
      <c r="J2466" s="14"/>
      <c r="K2466" s="14"/>
      <c r="L2466" s="14"/>
      <c r="M2466" s="14"/>
      <c r="N2466" s="14"/>
    </row>
    <row r="2467">
      <c r="A2467" s="14"/>
      <c r="B2467" s="14"/>
      <c r="C2467" s="14"/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</row>
    <row r="2468">
      <c r="A2468" s="14"/>
      <c r="B2468" s="14"/>
      <c r="C2468" s="14"/>
      <c r="D2468" s="14"/>
      <c r="E2468" s="14"/>
      <c r="F2468" s="14"/>
      <c r="G2468" s="14"/>
      <c r="H2468" s="14"/>
      <c r="I2468" s="14"/>
      <c r="J2468" s="14"/>
      <c r="K2468" s="14"/>
      <c r="L2468" s="14"/>
      <c r="M2468" s="14"/>
      <c r="N2468" s="14"/>
    </row>
    <row r="2469">
      <c r="A2469" s="14"/>
      <c r="B2469" s="14"/>
      <c r="C2469" s="14"/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</row>
    <row r="2470">
      <c r="A2470" s="14"/>
      <c r="B2470" s="14"/>
      <c r="C2470" s="14"/>
      <c r="D2470" s="14"/>
      <c r="E2470" s="14"/>
      <c r="F2470" s="14"/>
      <c r="G2470" s="14"/>
      <c r="H2470" s="14"/>
      <c r="I2470" s="14"/>
      <c r="J2470" s="14"/>
      <c r="K2470" s="14"/>
      <c r="L2470" s="14"/>
      <c r="M2470" s="14"/>
      <c r="N2470" s="14"/>
    </row>
    <row r="2471">
      <c r="A2471" s="14"/>
      <c r="B2471" s="14"/>
      <c r="C2471" s="14"/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</row>
    <row r="2472">
      <c r="A2472" s="14"/>
      <c r="B2472" s="14"/>
      <c r="C2472" s="14"/>
      <c r="D2472" s="14"/>
      <c r="E2472" s="14"/>
      <c r="F2472" s="14"/>
      <c r="G2472" s="14"/>
      <c r="H2472" s="14"/>
      <c r="I2472" s="14"/>
      <c r="J2472" s="14"/>
      <c r="K2472" s="14"/>
      <c r="L2472" s="14"/>
      <c r="M2472" s="14"/>
      <c r="N2472" s="14"/>
    </row>
    <row r="2473">
      <c r="A2473" s="14"/>
      <c r="B2473" s="14"/>
      <c r="C2473" s="14"/>
      <c r="D2473" s="14"/>
      <c r="E2473" s="14"/>
      <c r="F2473" s="14"/>
      <c r="G2473" s="14"/>
      <c r="H2473" s="14"/>
      <c r="I2473" s="14"/>
      <c r="J2473" s="14"/>
      <c r="K2473" s="14"/>
      <c r="L2473" s="14"/>
      <c r="M2473" s="14"/>
      <c r="N2473" s="14"/>
    </row>
    <row r="2474">
      <c r="A2474" s="14"/>
      <c r="B2474" s="14"/>
      <c r="C2474" s="14"/>
      <c r="D2474" s="14"/>
      <c r="E2474" s="14"/>
      <c r="F2474" s="14"/>
      <c r="G2474" s="14"/>
      <c r="H2474" s="14"/>
      <c r="I2474" s="14"/>
      <c r="J2474" s="14"/>
      <c r="K2474" s="14"/>
      <c r="L2474" s="14"/>
      <c r="M2474" s="14"/>
      <c r="N2474" s="14"/>
    </row>
    <row r="2475">
      <c r="A2475" s="14"/>
      <c r="B2475" s="14"/>
      <c r="C2475" s="14"/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</row>
    <row r="2476">
      <c r="A2476" s="14"/>
      <c r="B2476" s="14"/>
      <c r="C2476" s="14"/>
      <c r="D2476" s="14"/>
      <c r="E2476" s="14"/>
      <c r="F2476" s="14"/>
      <c r="G2476" s="14"/>
      <c r="H2476" s="14"/>
      <c r="I2476" s="14"/>
      <c r="J2476" s="14"/>
      <c r="K2476" s="14"/>
      <c r="L2476" s="14"/>
      <c r="M2476" s="14"/>
      <c r="N2476" s="14"/>
    </row>
    <row r="2477">
      <c r="A2477" s="14"/>
      <c r="B2477" s="14"/>
      <c r="C2477" s="14"/>
      <c r="D2477" s="14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</row>
    <row r="2478">
      <c r="A2478" s="14"/>
      <c r="B2478" s="14"/>
      <c r="C2478" s="14"/>
      <c r="D2478" s="14"/>
      <c r="E2478" s="14"/>
      <c r="F2478" s="14"/>
      <c r="G2478" s="14"/>
      <c r="H2478" s="14"/>
      <c r="I2478" s="14"/>
      <c r="J2478" s="14"/>
      <c r="K2478" s="14"/>
      <c r="L2478" s="14"/>
      <c r="M2478" s="14"/>
      <c r="N2478" s="14"/>
    </row>
    <row r="2479">
      <c r="A2479" s="14"/>
      <c r="B2479" s="14"/>
      <c r="C2479" s="14"/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</row>
    <row r="2480">
      <c r="A2480" s="14"/>
      <c r="B2480" s="14"/>
      <c r="C2480" s="14"/>
      <c r="D2480" s="14"/>
      <c r="E2480" s="14"/>
      <c r="F2480" s="14"/>
      <c r="G2480" s="14"/>
      <c r="H2480" s="14"/>
      <c r="I2480" s="14"/>
      <c r="J2480" s="14"/>
      <c r="K2480" s="14"/>
      <c r="L2480" s="14"/>
      <c r="M2480" s="14"/>
      <c r="N2480" s="14"/>
    </row>
    <row r="2481">
      <c r="A2481" s="14"/>
      <c r="B2481" s="14"/>
      <c r="C2481" s="14"/>
      <c r="D2481" s="14"/>
      <c r="E2481" s="14"/>
      <c r="F2481" s="14"/>
      <c r="G2481" s="14"/>
      <c r="H2481" s="14"/>
      <c r="I2481" s="14"/>
      <c r="J2481" s="14"/>
      <c r="K2481" s="14"/>
      <c r="L2481" s="14"/>
      <c r="M2481" s="14"/>
      <c r="N2481" s="14"/>
    </row>
    <row r="2482">
      <c r="A2482" s="14"/>
      <c r="B2482" s="14"/>
      <c r="C2482" s="14"/>
      <c r="D2482" s="14"/>
      <c r="E2482" s="14"/>
      <c r="F2482" s="14"/>
      <c r="G2482" s="14"/>
      <c r="H2482" s="14"/>
      <c r="I2482" s="14"/>
      <c r="J2482" s="14"/>
      <c r="K2482" s="14"/>
      <c r="L2482" s="14"/>
      <c r="M2482" s="14"/>
      <c r="N2482" s="14"/>
    </row>
    <row r="2483">
      <c r="A2483" s="14"/>
      <c r="B2483" s="14"/>
      <c r="C2483" s="14"/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</row>
    <row r="2484">
      <c r="A2484" s="14"/>
      <c r="B2484" s="14"/>
      <c r="C2484" s="14"/>
      <c r="D2484" s="14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</row>
    <row r="2485">
      <c r="A2485" s="14"/>
      <c r="B2485" s="14"/>
      <c r="C2485" s="14"/>
      <c r="D2485" s="14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</row>
    <row r="2486">
      <c r="A2486" s="14"/>
      <c r="B2486" s="14"/>
      <c r="C2486" s="14"/>
      <c r="D2486" s="14"/>
      <c r="E2486" s="14"/>
      <c r="F2486" s="14"/>
      <c r="G2486" s="14"/>
      <c r="H2486" s="14"/>
      <c r="I2486" s="14"/>
      <c r="J2486" s="14"/>
      <c r="K2486" s="14"/>
      <c r="L2486" s="14"/>
      <c r="M2486" s="14"/>
      <c r="N2486" s="14"/>
    </row>
    <row r="2487">
      <c r="A2487" s="14"/>
      <c r="B2487" s="14"/>
      <c r="C2487" s="14"/>
      <c r="D2487" s="14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</row>
    <row r="2488">
      <c r="A2488" s="14"/>
      <c r="B2488" s="14"/>
      <c r="C2488" s="14"/>
      <c r="D2488" s="14"/>
      <c r="E2488" s="14"/>
      <c r="F2488" s="14"/>
      <c r="G2488" s="14"/>
      <c r="H2488" s="14"/>
      <c r="I2488" s="14"/>
      <c r="J2488" s="14"/>
      <c r="K2488" s="14"/>
      <c r="L2488" s="14"/>
      <c r="M2488" s="14"/>
      <c r="N2488" s="14"/>
    </row>
    <row r="2489">
      <c r="A2489" s="14"/>
      <c r="B2489" s="14"/>
      <c r="C2489" s="14"/>
      <c r="D2489" s="14"/>
      <c r="E2489" s="14"/>
      <c r="F2489" s="14"/>
      <c r="G2489" s="14"/>
      <c r="H2489" s="14"/>
      <c r="I2489" s="14"/>
      <c r="J2489" s="14"/>
      <c r="K2489" s="14"/>
      <c r="L2489" s="14"/>
      <c r="M2489" s="14"/>
      <c r="N2489" s="14"/>
    </row>
    <row r="2490">
      <c r="A2490" s="14"/>
      <c r="B2490" s="14"/>
      <c r="C2490" s="14"/>
      <c r="D2490" s="14"/>
      <c r="E2490" s="14"/>
      <c r="F2490" s="14"/>
      <c r="G2490" s="14"/>
      <c r="H2490" s="14"/>
      <c r="I2490" s="14"/>
      <c r="J2490" s="14"/>
      <c r="K2490" s="14"/>
      <c r="L2490" s="14"/>
      <c r="M2490" s="14"/>
      <c r="N2490" s="14"/>
    </row>
    <row r="2491">
      <c r="A2491" s="14"/>
      <c r="B2491" s="14"/>
      <c r="C2491" s="14"/>
      <c r="D2491" s="14"/>
      <c r="E2491" s="14"/>
      <c r="F2491" s="14"/>
      <c r="G2491" s="14"/>
      <c r="H2491" s="14"/>
      <c r="I2491" s="14"/>
      <c r="J2491" s="14"/>
      <c r="K2491" s="14"/>
      <c r="L2491" s="14"/>
      <c r="M2491" s="14"/>
      <c r="N2491" s="14"/>
    </row>
    <row r="2492">
      <c r="A2492" s="14"/>
      <c r="B2492" s="14"/>
      <c r="C2492" s="14"/>
      <c r="D2492" s="14"/>
      <c r="E2492" s="14"/>
      <c r="F2492" s="14"/>
      <c r="G2492" s="14"/>
      <c r="H2492" s="14"/>
      <c r="I2492" s="14"/>
      <c r="J2492" s="14"/>
      <c r="K2492" s="14"/>
      <c r="L2492" s="14"/>
      <c r="M2492" s="14"/>
      <c r="N2492" s="14"/>
    </row>
    <row r="2493">
      <c r="A2493" s="14"/>
      <c r="B2493" s="14"/>
      <c r="C2493" s="14"/>
      <c r="D2493" s="14"/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</row>
    <row r="2494">
      <c r="A2494" s="14"/>
      <c r="B2494" s="14"/>
      <c r="C2494" s="14"/>
      <c r="D2494" s="14"/>
      <c r="E2494" s="14"/>
      <c r="F2494" s="14"/>
      <c r="G2494" s="14"/>
      <c r="H2494" s="14"/>
      <c r="I2494" s="14"/>
      <c r="J2494" s="14"/>
      <c r="K2494" s="14"/>
      <c r="L2494" s="14"/>
      <c r="M2494" s="14"/>
      <c r="N2494" s="14"/>
    </row>
    <row r="2495">
      <c r="A2495" s="14"/>
      <c r="B2495" s="14"/>
      <c r="C2495" s="14"/>
      <c r="D2495" s="14"/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</row>
    <row r="2496">
      <c r="A2496" s="14"/>
      <c r="B2496" s="14"/>
      <c r="C2496" s="14"/>
      <c r="D2496" s="14"/>
      <c r="E2496" s="14"/>
      <c r="F2496" s="14"/>
      <c r="G2496" s="14"/>
      <c r="H2496" s="14"/>
      <c r="I2496" s="14"/>
      <c r="J2496" s="14"/>
      <c r="K2496" s="14"/>
      <c r="L2496" s="14"/>
      <c r="M2496" s="14"/>
      <c r="N2496" s="14"/>
    </row>
    <row r="2497">
      <c r="A2497" s="14"/>
      <c r="B2497" s="14"/>
      <c r="C2497" s="14"/>
      <c r="D2497" s="14"/>
      <c r="E2497" s="14"/>
      <c r="F2497" s="14"/>
      <c r="G2497" s="14"/>
      <c r="H2497" s="14"/>
      <c r="I2497" s="14"/>
      <c r="J2497" s="14"/>
      <c r="K2497" s="14"/>
      <c r="L2497" s="14"/>
      <c r="M2497" s="14"/>
      <c r="N2497" s="14"/>
    </row>
    <row r="2498">
      <c r="A2498" s="14"/>
      <c r="B2498" s="14"/>
      <c r="C2498" s="14"/>
      <c r="D2498" s="14"/>
      <c r="E2498" s="14"/>
      <c r="F2498" s="14"/>
      <c r="G2498" s="14"/>
      <c r="H2498" s="14"/>
      <c r="I2498" s="14"/>
      <c r="J2498" s="14"/>
      <c r="K2498" s="14"/>
      <c r="L2498" s="14"/>
      <c r="M2498" s="14"/>
      <c r="N2498" s="14"/>
    </row>
    <row r="2499">
      <c r="A2499" s="14"/>
      <c r="B2499" s="14"/>
      <c r="C2499" s="14"/>
      <c r="D2499" s="14"/>
      <c r="E2499" s="14"/>
      <c r="F2499" s="14"/>
      <c r="G2499" s="14"/>
      <c r="H2499" s="14"/>
      <c r="I2499" s="14"/>
      <c r="J2499" s="14"/>
      <c r="K2499" s="14"/>
      <c r="L2499" s="14"/>
      <c r="M2499" s="14"/>
      <c r="N2499" s="14"/>
    </row>
    <row r="2500">
      <c r="A2500" s="14"/>
      <c r="B2500" s="14"/>
      <c r="C2500" s="14"/>
      <c r="D2500" s="14"/>
      <c r="E2500" s="14"/>
      <c r="F2500" s="14"/>
      <c r="G2500" s="14"/>
      <c r="H2500" s="14"/>
      <c r="I2500" s="14"/>
      <c r="J2500" s="14"/>
      <c r="K2500" s="14"/>
      <c r="L2500" s="14"/>
      <c r="M2500" s="14"/>
      <c r="N2500" s="14"/>
    </row>
    <row r="2501">
      <c r="A2501" s="14"/>
      <c r="B2501" s="14"/>
      <c r="C2501" s="14"/>
      <c r="D2501" s="14"/>
      <c r="E2501" s="14"/>
      <c r="F2501" s="14"/>
      <c r="G2501" s="14"/>
      <c r="H2501" s="14"/>
      <c r="I2501" s="14"/>
      <c r="J2501" s="14"/>
      <c r="K2501" s="14"/>
      <c r="L2501" s="14"/>
      <c r="M2501" s="14"/>
      <c r="N2501" s="14"/>
    </row>
    <row r="2502">
      <c r="A2502" s="14"/>
      <c r="B2502" s="14"/>
      <c r="C2502" s="14"/>
      <c r="D2502" s="14"/>
      <c r="E2502" s="14"/>
      <c r="F2502" s="14"/>
      <c r="G2502" s="14"/>
      <c r="H2502" s="14"/>
      <c r="I2502" s="14"/>
      <c r="J2502" s="14"/>
      <c r="K2502" s="14"/>
      <c r="L2502" s="14"/>
      <c r="M2502" s="14"/>
      <c r="N2502" s="14"/>
    </row>
    <row r="2503">
      <c r="A2503" s="14"/>
      <c r="B2503" s="14"/>
      <c r="C2503" s="14"/>
      <c r="D2503" s="14"/>
      <c r="E2503" s="14"/>
      <c r="F2503" s="14"/>
      <c r="G2503" s="14"/>
      <c r="H2503" s="14"/>
      <c r="I2503" s="14"/>
      <c r="J2503" s="14"/>
      <c r="K2503" s="14"/>
      <c r="L2503" s="14"/>
      <c r="M2503" s="14"/>
      <c r="N2503" s="14"/>
    </row>
    <row r="2504">
      <c r="A2504" s="14"/>
      <c r="B2504" s="14"/>
      <c r="C2504" s="14"/>
      <c r="D2504" s="14"/>
      <c r="E2504" s="14"/>
      <c r="F2504" s="14"/>
      <c r="G2504" s="14"/>
      <c r="H2504" s="14"/>
      <c r="I2504" s="14"/>
      <c r="J2504" s="14"/>
      <c r="K2504" s="14"/>
      <c r="L2504" s="14"/>
      <c r="M2504" s="14"/>
      <c r="N2504" s="14"/>
    </row>
    <row r="2505">
      <c r="A2505" s="14"/>
      <c r="B2505" s="14"/>
      <c r="C2505" s="14"/>
      <c r="D2505" s="14"/>
      <c r="E2505" s="14"/>
      <c r="F2505" s="14"/>
      <c r="G2505" s="14"/>
      <c r="H2505" s="14"/>
      <c r="I2505" s="14"/>
      <c r="J2505" s="14"/>
      <c r="K2505" s="14"/>
      <c r="L2505" s="14"/>
      <c r="M2505" s="14"/>
      <c r="N2505" s="14"/>
    </row>
    <row r="2506">
      <c r="A2506" s="14"/>
      <c r="B2506" s="14"/>
      <c r="C2506" s="14"/>
      <c r="D2506" s="14"/>
      <c r="E2506" s="14"/>
      <c r="F2506" s="14"/>
      <c r="G2506" s="14"/>
      <c r="H2506" s="14"/>
      <c r="I2506" s="14"/>
      <c r="J2506" s="14"/>
      <c r="K2506" s="14"/>
      <c r="L2506" s="14"/>
      <c r="M2506" s="14"/>
      <c r="N2506" s="14"/>
    </row>
    <row r="2507">
      <c r="A2507" s="14"/>
      <c r="B2507" s="14"/>
      <c r="C2507" s="14"/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</row>
    <row r="2508">
      <c r="A2508" s="14"/>
      <c r="B2508" s="14"/>
      <c r="C2508" s="14"/>
      <c r="D2508" s="14"/>
      <c r="E2508" s="14"/>
      <c r="F2508" s="14"/>
      <c r="G2508" s="14"/>
      <c r="H2508" s="14"/>
      <c r="I2508" s="14"/>
      <c r="J2508" s="14"/>
      <c r="K2508" s="14"/>
      <c r="L2508" s="14"/>
      <c r="M2508" s="14"/>
      <c r="N2508" s="14"/>
    </row>
    <row r="2509">
      <c r="A2509" s="14"/>
      <c r="B2509" s="14"/>
      <c r="C2509" s="14"/>
      <c r="D2509" s="14"/>
      <c r="E2509" s="14"/>
      <c r="F2509" s="14"/>
      <c r="G2509" s="14"/>
      <c r="H2509" s="14"/>
      <c r="I2509" s="14"/>
      <c r="J2509" s="14"/>
      <c r="K2509" s="14"/>
      <c r="L2509" s="14"/>
      <c r="M2509" s="14"/>
      <c r="N2509" s="14"/>
    </row>
    <row r="2510">
      <c r="A2510" s="14"/>
      <c r="B2510" s="14"/>
      <c r="C2510" s="14"/>
      <c r="D2510" s="14"/>
      <c r="E2510" s="14"/>
      <c r="F2510" s="14"/>
      <c r="G2510" s="14"/>
      <c r="H2510" s="14"/>
      <c r="I2510" s="14"/>
      <c r="J2510" s="14"/>
      <c r="K2510" s="14"/>
      <c r="L2510" s="14"/>
      <c r="M2510" s="14"/>
      <c r="N2510" s="14"/>
    </row>
    <row r="2511">
      <c r="A2511" s="14"/>
      <c r="B2511" s="14"/>
      <c r="C2511" s="14"/>
      <c r="D2511" s="14"/>
      <c r="E2511" s="14"/>
      <c r="F2511" s="14"/>
      <c r="G2511" s="14"/>
      <c r="H2511" s="14"/>
      <c r="I2511" s="14"/>
      <c r="J2511" s="14"/>
      <c r="K2511" s="14"/>
      <c r="L2511" s="14"/>
      <c r="M2511" s="14"/>
      <c r="N2511" s="14"/>
    </row>
    <row r="2512">
      <c r="A2512" s="14"/>
      <c r="B2512" s="14"/>
      <c r="C2512" s="14"/>
      <c r="D2512" s="14"/>
      <c r="E2512" s="14"/>
      <c r="F2512" s="14"/>
      <c r="G2512" s="14"/>
      <c r="H2512" s="14"/>
      <c r="I2512" s="14"/>
      <c r="J2512" s="14"/>
      <c r="K2512" s="14"/>
      <c r="L2512" s="14"/>
      <c r="M2512" s="14"/>
      <c r="N2512" s="14"/>
    </row>
    <row r="2513">
      <c r="A2513" s="14"/>
      <c r="B2513" s="14"/>
      <c r="C2513" s="14"/>
      <c r="D2513" s="14"/>
      <c r="E2513" s="14"/>
      <c r="F2513" s="14"/>
      <c r="G2513" s="14"/>
      <c r="H2513" s="14"/>
      <c r="I2513" s="14"/>
      <c r="J2513" s="14"/>
      <c r="K2513" s="14"/>
      <c r="L2513" s="14"/>
      <c r="M2513" s="14"/>
      <c r="N2513" s="14"/>
    </row>
    <row r="2514">
      <c r="A2514" s="14"/>
      <c r="B2514" s="14"/>
      <c r="C2514" s="14"/>
      <c r="D2514" s="14"/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</row>
    <row r="2515">
      <c r="A2515" s="14"/>
      <c r="B2515" s="14"/>
      <c r="C2515" s="14"/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</row>
    <row r="2516">
      <c r="A2516" s="14"/>
      <c r="B2516" s="14"/>
      <c r="C2516" s="14"/>
      <c r="D2516" s="14"/>
      <c r="E2516" s="14"/>
      <c r="F2516" s="14"/>
      <c r="G2516" s="14"/>
      <c r="H2516" s="14"/>
      <c r="I2516" s="14"/>
      <c r="J2516" s="14"/>
      <c r="K2516" s="14"/>
      <c r="L2516" s="14"/>
      <c r="M2516" s="14"/>
      <c r="N2516" s="14"/>
    </row>
    <row r="2517">
      <c r="A2517" s="14"/>
      <c r="B2517" s="14"/>
      <c r="C2517" s="14"/>
      <c r="D2517" s="14"/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</row>
    <row r="2518">
      <c r="A2518" s="14"/>
      <c r="B2518" s="14"/>
      <c r="C2518" s="14"/>
      <c r="D2518" s="14"/>
      <c r="E2518" s="14"/>
      <c r="F2518" s="14"/>
      <c r="G2518" s="14"/>
      <c r="H2518" s="14"/>
      <c r="I2518" s="14"/>
      <c r="J2518" s="14"/>
      <c r="K2518" s="14"/>
      <c r="L2518" s="14"/>
      <c r="M2518" s="14"/>
      <c r="N2518" s="14"/>
    </row>
    <row r="2519">
      <c r="A2519" s="14"/>
      <c r="B2519" s="14"/>
      <c r="C2519" s="14"/>
      <c r="D2519" s="14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</row>
    <row r="2520">
      <c r="A2520" s="14"/>
      <c r="B2520" s="14"/>
      <c r="C2520" s="14"/>
      <c r="D2520" s="14"/>
      <c r="E2520" s="14"/>
      <c r="F2520" s="14"/>
      <c r="G2520" s="14"/>
      <c r="H2520" s="14"/>
      <c r="I2520" s="14"/>
      <c r="J2520" s="14"/>
      <c r="K2520" s="14"/>
      <c r="L2520" s="14"/>
      <c r="M2520" s="14"/>
      <c r="N2520" s="14"/>
    </row>
    <row r="2521">
      <c r="A2521" s="14"/>
      <c r="B2521" s="14"/>
      <c r="C2521" s="14"/>
      <c r="D2521" s="14"/>
      <c r="E2521" s="14"/>
      <c r="F2521" s="14"/>
      <c r="G2521" s="14"/>
      <c r="H2521" s="14"/>
      <c r="I2521" s="14"/>
      <c r="J2521" s="14"/>
      <c r="K2521" s="14"/>
      <c r="L2521" s="14"/>
      <c r="M2521" s="14"/>
      <c r="N2521" s="14"/>
    </row>
    <row r="2522">
      <c r="A2522" s="14"/>
      <c r="B2522" s="14"/>
      <c r="C2522" s="14"/>
      <c r="D2522" s="14"/>
      <c r="E2522" s="14"/>
      <c r="F2522" s="14"/>
      <c r="G2522" s="14"/>
      <c r="H2522" s="14"/>
      <c r="I2522" s="14"/>
      <c r="J2522" s="14"/>
      <c r="K2522" s="14"/>
      <c r="L2522" s="14"/>
      <c r="M2522" s="14"/>
      <c r="N2522" s="14"/>
    </row>
    <row r="2523">
      <c r="A2523" s="14"/>
      <c r="B2523" s="14"/>
      <c r="C2523" s="14"/>
      <c r="D2523" s="14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</row>
    <row r="2524">
      <c r="A2524" s="14"/>
      <c r="B2524" s="14"/>
      <c r="C2524" s="14"/>
      <c r="D2524" s="14"/>
      <c r="E2524" s="14"/>
      <c r="F2524" s="14"/>
      <c r="G2524" s="14"/>
      <c r="H2524" s="14"/>
      <c r="I2524" s="14"/>
      <c r="J2524" s="14"/>
      <c r="K2524" s="14"/>
      <c r="L2524" s="14"/>
      <c r="M2524" s="14"/>
      <c r="N2524" s="14"/>
    </row>
    <row r="2525">
      <c r="A2525" s="14"/>
      <c r="B2525" s="14"/>
      <c r="C2525" s="14"/>
      <c r="D2525" s="14"/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</row>
    <row r="2526">
      <c r="A2526" s="14"/>
      <c r="B2526" s="14"/>
      <c r="C2526" s="14"/>
      <c r="D2526" s="14"/>
      <c r="E2526" s="14"/>
      <c r="F2526" s="14"/>
      <c r="G2526" s="14"/>
      <c r="H2526" s="14"/>
      <c r="I2526" s="14"/>
      <c r="J2526" s="14"/>
      <c r="K2526" s="14"/>
      <c r="L2526" s="14"/>
      <c r="M2526" s="14"/>
      <c r="N2526" s="14"/>
    </row>
    <row r="2527">
      <c r="A2527" s="14"/>
      <c r="B2527" s="14"/>
      <c r="C2527" s="14"/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</row>
    <row r="2528">
      <c r="A2528" s="14"/>
      <c r="B2528" s="14"/>
      <c r="C2528" s="14"/>
      <c r="D2528" s="14"/>
      <c r="E2528" s="14"/>
      <c r="F2528" s="14"/>
      <c r="G2528" s="14"/>
      <c r="H2528" s="14"/>
      <c r="I2528" s="14"/>
      <c r="J2528" s="14"/>
      <c r="K2528" s="14"/>
      <c r="L2528" s="14"/>
      <c r="M2528" s="14"/>
      <c r="N2528" s="14"/>
    </row>
    <row r="2529">
      <c r="A2529" s="14"/>
      <c r="B2529" s="14"/>
      <c r="C2529" s="14"/>
      <c r="D2529" s="14"/>
      <c r="E2529" s="14"/>
      <c r="F2529" s="14"/>
      <c r="G2529" s="14"/>
      <c r="H2529" s="14"/>
      <c r="I2529" s="14"/>
      <c r="J2529" s="14"/>
      <c r="K2529" s="14"/>
      <c r="L2529" s="14"/>
      <c r="M2529" s="14"/>
      <c r="N2529" s="14"/>
    </row>
    <row r="2530">
      <c r="A2530" s="14"/>
      <c r="B2530" s="14"/>
      <c r="C2530" s="14"/>
      <c r="D2530" s="14"/>
      <c r="E2530" s="14"/>
      <c r="F2530" s="14"/>
      <c r="G2530" s="14"/>
      <c r="H2530" s="14"/>
      <c r="I2530" s="14"/>
      <c r="J2530" s="14"/>
      <c r="K2530" s="14"/>
      <c r="L2530" s="14"/>
      <c r="M2530" s="14"/>
      <c r="N2530" s="14"/>
    </row>
    <row r="2531">
      <c r="A2531" s="14"/>
      <c r="B2531" s="14"/>
      <c r="C2531" s="14"/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</row>
    <row r="2532">
      <c r="A2532" s="14"/>
      <c r="B2532" s="14"/>
      <c r="C2532" s="14"/>
      <c r="D2532" s="14"/>
      <c r="E2532" s="14"/>
      <c r="F2532" s="14"/>
      <c r="G2532" s="14"/>
      <c r="H2532" s="14"/>
      <c r="I2532" s="14"/>
      <c r="J2532" s="14"/>
      <c r="K2532" s="14"/>
      <c r="L2532" s="14"/>
      <c r="M2532" s="14"/>
      <c r="N2532" s="14"/>
    </row>
    <row r="2533">
      <c r="A2533" s="14"/>
      <c r="B2533" s="14"/>
      <c r="C2533" s="14"/>
      <c r="D2533" s="14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</row>
    <row r="2534">
      <c r="A2534" s="14"/>
      <c r="B2534" s="14"/>
      <c r="C2534" s="14"/>
      <c r="D2534" s="14"/>
      <c r="E2534" s="14"/>
      <c r="F2534" s="14"/>
      <c r="G2534" s="14"/>
      <c r="H2534" s="14"/>
      <c r="I2534" s="14"/>
      <c r="J2534" s="14"/>
      <c r="K2534" s="14"/>
      <c r="L2534" s="14"/>
      <c r="M2534" s="14"/>
      <c r="N2534" s="14"/>
    </row>
    <row r="2535">
      <c r="A2535" s="14"/>
      <c r="B2535" s="14"/>
      <c r="C2535" s="14"/>
      <c r="D2535" s="14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</row>
    <row r="2536">
      <c r="A2536" s="14"/>
      <c r="B2536" s="14"/>
      <c r="C2536" s="14"/>
      <c r="D2536" s="14"/>
      <c r="E2536" s="14"/>
      <c r="F2536" s="14"/>
      <c r="G2536" s="14"/>
      <c r="H2536" s="14"/>
      <c r="I2536" s="14"/>
      <c r="J2536" s="14"/>
      <c r="K2536" s="14"/>
      <c r="L2536" s="14"/>
      <c r="M2536" s="14"/>
      <c r="N2536" s="14"/>
    </row>
    <row r="2537">
      <c r="A2537" s="14"/>
      <c r="B2537" s="14"/>
      <c r="C2537" s="14"/>
      <c r="D2537" s="14"/>
      <c r="E2537" s="14"/>
      <c r="F2537" s="14"/>
      <c r="G2537" s="14"/>
      <c r="H2537" s="14"/>
      <c r="I2537" s="14"/>
      <c r="J2537" s="14"/>
      <c r="K2537" s="14"/>
      <c r="L2537" s="14"/>
      <c r="M2537" s="14"/>
      <c r="N2537" s="14"/>
    </row>
    <row r="2538">
      <c r="A2538" s="14"/>
      <c r="B2538" s="14"/>
      <c r="C2538" s="14"/>
      <c r="D2538" s="14"/>
      <c r="E2538" s="14"/>
      <c r="F2538" s="14"/>
      <c r="G2538" s="14"/>
      <c r="H2538" s="14"/>
      <c r="I2538" s="14"/>
      <c r="J2538" s="14"/>
      <c r="K2538" s="14"/>
      <c r="L2538" s="14"/>
      <c r="M2538" s="14"/>
      <c r="N2538" s="14"/>
    </row>
    <row r="2539">
      <c r="A2539" s="14"/>
      <c r="B2539" s="14"/>
      <c r="C2539" s="14"/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/>
    </row>
    <row r="2540">
      <c r="A2540" s="14"/>
      <c r="B2540" s="14"/>
      <c r="C2540" s="14"/>
      <c r="D2540" s="14"/>
      <c r="E2540" s="14"/>
      <c r="F2540" s="14"/>
      <c r="G2540" s="14"/>
      <c r="H2540" s="14"/>
      <c r="I2540" s="14"/>
      <c r="J2540" s="14"/>
      <c r="K2540" s="14"/>
      <c r="L2540" s="14"/>
      <c r="M2540" s="14"/>
      <c r="N2540" s="14"/>
    </row>
    <row r="2541">
      <c r="A2541" s="14"/>
      <c r="B2541" s="14"/>
      <c r="C2541" s="14"/>
      <c r="D2541" s="14"/>
      <c r="E2541" s="14"/>
      <c r="F2541" s="14"/>
      <c r="G2541" s="14"/>
      <c r="H2541" s="14"/>
      <c r="I2541" s="14"/>
      <c r="J2541" s="14"/>
      <c r="K2541" s="14"/>
      <c r="L2541" s="14"/>
      <c r="M2541" s="14"/>
      <c r="N2541" s="14"/>
    </row>
    <row r="2542">
      <c r="A2542" s="14"/>
      <c r="B2542" s="14"/>
      <c r="C2542" s="14"/>
      <c r="D2542" s="14"/>
      <c r="E2542" s="14"/>
      <c r="F2542" s="14"/>
      <c r="G2542" s="14"/>
      <c r="H2542" s="14"/>
      <c r="I2542" s="14"/>
      <c r="J2542" s="14"/>
      <c r="K2542" s="14"/>
      <c r="L2542" s="14"/>
      <c r="M2542" s="14"/>
      <c r="N2542" s="14"/>
    </row>
    <row r="2543">
      <c r="A2543" s="14"/>
      <c r="B2543" s="14"/>
      <c r="C2543" s="14"/>
      <c r="D2543" s="14"/>
      <c r="E2543" s="14"/>
      <c r="F2543" s="14"/>
      <c r="G2543" s="14"/>
      <c r="H2543" s="14"/>
      <c r="I2543" s="14"/>
      <c r="J2543" s="14"/>
      <c r="K2543" s="14"/>
      <c r="L2543" s="14"/>
      <c r="M2543" s="14"/>
      <c r="N2543" s="14"/>
    </row>
    <row r="2544">
      <c r="A2544" s="14"/>
      <c r="B2544" s="14"/>
      <c r="C2544" s="14"/>
      <c r="D2544" s="14"/>
      <c r="E2544" s="14"/>
      <c r="F2544" s="14"/>
      <c r="G2544" s="14"/>
      <c r="H2544" s="14"/>
      <c r="I2544" s="14"/>
      <c r="J2544" s="14"/>
      <c r="K2544" s="14"/>
      <c r="L2544" s="14"/>
      <c r="M2544" s="14"/>
      <c r="N2544" s="14"/>
    </row>
    <row r="2545">
      <c r="A2545" s="14"/>
      <c r="B2545" s="14"/>
      <c r="C2545" s="14"/>
      <c r="D2545" s="14"/>
      <c r="E2545" s="14"/>
      <c r="F2545" s="14"/>
      <c r="G2545" s="14"/>
      <c r="H2545" s="14"/>
      <c r="I2545" s="14"/>
      <c r="J2545" s="14"/>
      <c r="K2545" s="14"/>
      <c r="L2545" s="14"/>
      <c r="M2545" s="14"/>
      <c r="N2545" s="14"/>
    </row>
    <row r="2546">
      <c r="A2546" s="14"/>
      <c r="B2546" s="14"/>
      <c r="C2546" s="14"/>
      <c r="D2546" s="14"/>
      <c r="E2546" s="14"/>
      <c r="F2546" s="14"/>
      <c r="G2546" s="14"/>
      <c r="H2546" s="14"/>
      <c r="I2546" s="14"/>
      <c r="J2546" s="14"/>
      <c r="K2546" s="14"/>
      <c r="L2546" s="14"/>
      <c r="M2546" s="14"/>
      <c r="N2546" s="14"/>
    </row>
    <row r="2547">
      <c r="A2547" s="14"/>
      <c r="B2547" s="14"/>
      <c r="C2547" s="14"/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</row>
    <row r="2548">
      <c r="A2548" s="14"/>
      <c r="B2548" s="14"/>
      <c r="C2548" s="14"/>
      <c r="D2548" s="14"/>
      <c r="E2548" s="14"/>
      <c r="F2548" s="14"/>
      <c r="G2548" s="14"/>
      <c r="H2548" s="14"/>
      <c r="I2548" s="14"/>
      <c r="J2548" s="14"/>
      <c r="K2548" s="14"/>
      <c r="L2548" s="14"/>
      <c r="M2548" s="14"/>
      <c r="N2548" s="14"/>
    </row>
    <row r="2549">
      <c r="A2549" s="14"/>
      <c r="B2549" s="14"/>
      <c r="C2549" s="14"/>
      <c r="D2549" s="14"/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</row>
    <row r="2550">
      <c r="A2550" s="14"/>
      <c r="B2550" s="14"/>
      <c r="C2550" s="14"/>
      <c r="D2550" s="14"/>
      <c r="E2550" s="14"/>
      <c r="F2550" s="14"/>
      <c r="G2550" s="14"/>
      <c r="H2550" s="14"/>
      <c r="I2550" s="14"/>
      <c r="J2550" s="14"/>
      <c r="K2550" s="14"/>
      <c r="L2550" s="14"/>
      <c r="M2550" s="14"/>
      <c r="N2550" s="14"/>
    </row>
    <row r="2551">
      <c r="A2551" s="14"/>
      <c r="B2551" s="14"/>
      <c r="C2551" s="14"/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</row>
    <row r="2552">
      <c r="A2552" s="14"/>
      <c r="B2552" s="14"/>
      <c r="C2552" s="14"/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</row>
    <row r="2553">
      <c r="A2553" s="14"/>
      <c r="B2553" s="14"/>
      <c r="C2553" s="14"/>
      <c r="D2553" s="14"/>
      <c r="E2553" s="14"/>
      <c r="F2553" s="14"/>
      <c r="G2553" s="14"/>
      <c r="H2553" s="14"/>
      <c r="I2553" s="14"/>
      <c r="J2553" s="14"/>
      <c r="K2553" s="14"/>
      <c r="L2553" s="14"/>
      <c r="M2553" s="14"/>
      <c r="N2553" s="14"/>
    </row>
    <row r="2554">
      <c r="A2554" s="14"/>
      <c r="B2554" s="14"/>
      <c r="C2554" s="14"/>
      <c r="D2554" s="14"/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</row>
    <row r="2555">
      <c r="A2555" s="14"/>
      <c r="B2555" s="14"/>
      <c r="C2555" s="14"/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</row>
    <row r="2556">
      <c r="A2556" s="14"/>
      <c r="B2556" s="14"/>
      <c r="C2556" s="14"/>
      <c r="D2556" s="14"/>
      <c r="E2556" s="14"/>
      <c r="F2556" s="14"/>
      <c r="G2556" s="14"/>
      <c r="H2556" s="14"/>
      <c r="I2556" s="14"/>
      <c r="J2556" s="14"/>
      <c r="K2556" s="14"/>
      <c r="L2556" s="14"/>
      <c r="M2556" s="14"/>
      <c r="N2556" s="14"/>
    </row>
    <row r="2557">
      <c r="A2557" s="14"/>
      <c r="B2557" s="14"/>
      <c r="C2557" s="14"/>
      <c r="D2557" s="14"/>
      <c r="E2557" s="14"/>
      <c r="F2557" s="14"/>
      <c r="G2557" s="14"/>
      <c r="H2557" s="14"/>
      <c r="I2557" s="14"/>
      <c r="J2557" s="14"/>
      <c r="K2557" s="14"/>
      <c r="L2557" s="14"/>
      <c r="M2557" s="14"/>
      <c r="N2557" s="14"/>
    </row>
    <row r="2558">
      <c r="A2558" s="14"/>
      <c r="B2558" s="14"/>
      <c r="C2558" s="14"/>
      <c r="D2558" s="14"/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</row>
    <row r="2559">
      <c r="A2559" s="14"/>
      <c r="B2559" s="14"/>
      <c r="C2559" s="14"/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</row>
    <row r="2560">
      <c r="A2560" s="14"/>
      <c r="B2560" s="14"/>
      <c r="C2560" s="14"/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</row>
    <row r="2561">
      <c r="A2561" s="14"/>
      <c r="B2561" s="14"/>
      <c r="C2561" s="14"/>
      <c r="D2561" s="14"/>
      <c r="E2561" s="14"/>
      <c r="F2561" s="14"/>
      <c r="G2561" s="14"/>
      <c r="H2561" s="14"/>
      <c r="I2561" s="14"/>
      <c r="J2561" s="14"/>
      <c r="K2561" s="14"/>
      <c r="L2561" s="14"/>
      <c r="M2561" s="14"/>
      <c r="N2561" s="14"/>
    </row>
    <row r="2562">
      <c r="A2562" s="14"/>
      <c r="B2562" s="14"/>
      <c r="C2562" s="14"/>
      <c r="D2562" s="14"/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</row>
    <row r="2563">
      <c r="A2563" s="14"/>
      <c r="B2563" s="14"/>
      <c r="C2563" s="14"/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</row>
    <row r="2564">
      <c r="A2564" s="14"/>
      <c r="B2564" s="14"/>
      <c r="C2564" s="14"/>
      <c r="D2564" s="14"/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</row>
    <row r="2565">
      <c r="A2565" s="14"/>
      <c r="B2565" s="14"/>
      <c r="C2565" s="14"/>
      <c r="D2565" s="14"/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</row>
    <row r="2566">
      <c r="A2566" s="14"/>
      <c r="B2566" s="14"/>
      <c r="C2566" s="14"/>
      <c r="D2566" s="14"/>
      <c r="E2566" s="14"/>
      <c r="F2566" s="14"/>
      <c r="G2566" s="14"/>
      <c r="H2566" s="14"/>
      <c r="I2566" s="14"/>
      <c r="J2566" s="14"/>
      <c r="K2566" s="14"/>
      <c r="L2566" s="14"/>
      <c r="M2566" s="14"/>
      <c r="N2566" s="14"/>
    </row>
    <row r="2567">
      <c r="A2567" s="14"/>
      <c r="B2567" s="14"/>
      <c r="C2567" s="14"/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</row>
    <row r="2568">
      <c r="A2568" s="14"/>
      <c r="B2568" s="14"/>
      <c r="C2568" s="14"/>
      <c r="D2568" s="14"/>
      <c r="E2568" s="14"/>
      <c r="F2568" s="14"/>
      <c r="G2568" s="14"/>
      <c r="H2568" s="14"/>
      <c r="I2568" s="14"/>
      <c r="J2568" s="14"/>
      <c r="K2568" s="14"/>
      <c r="L2568" s="14"/>
      <c r="M2568" s="14"/>
      <c r="N2568" s="14"/>
    </row>
    <row r="2569">
      <c r="A2569" s="14"/>
      <c r="B2569" s="14"/>
      <c r="C2569" s="14"/>
      <c r="D2569" s="14"/>
      <c r="E2569" s="14"/>
      <c r="F2569" s="14"/>
      <c r="G2569" s="14"/>
      <c r="H2569" s="14"/>
      <c r="I2569" s="14"/>
      <c r="J2569" s="14"/>
      <c r="K2569" s="14"/>
      <c r="L2569" s="14"/>
      <c r="M2569" s="14"/>
      <c r="N2569" s="14"/>
    </row>
    <row r="2570">
      <c r="A2570" s="14"/>
      <c r="B2570" s="14"/>
      <c r="C2570" s="14"/>
      <c r="D2570" s="14"/>
      <c r="E2570" s="14"/>
      <c r="F2570" s="14"/>
      <c r="G2570" s="14"/>
      <c r="H2570" s="14"/>
      <c r="I2570" s="14"/>
      <c r="J2570" s="14"/>
      <c r="K2570" s="14"/>
      <c r="L2570" s="14"/>
      <c r="M2570" s="14"/>
      <c r="N2570" s="14"/>
    </row>
    <row r="2571">
      <c r="A2571" s="14"/>
      <c r="B2571" s="14"/>
      <c r="C2571" s="14"/>
      <c r="D2571" s="14"/>
      <c r="E2571" s="14"/>
      <c r="F2571" s="14"/>
      <c r="G2571" s="14"/>
      <c r="H2571" s="14"/>
      <c r="I2571" s="14"/>
      <c r="J2571" s="14"/>
      <c r="K2571" s="14"/>
      <c r="L2571" s="14"/>
      <c r="M2571" s="14"/>
      <c r="N2571" s="14"/>
    </row>
    <row r="2572">
      <c r="A2572" s="14"/>
      <c r="B2572" s="14"/>
      <c r="C2572" s="14"/>
      <c r="D2572" s="14"/>
      <c r="E2572" s="14"/>
      <c r="F2572" s="14"/>
      <c r="G2572" s="14"/>
      <c r="H2572" s="14"/>
      <c r="I2572" s="14"/>
      <c r="J2572" s="14"/>
      <c r="K2572" s="14"/>
      <c r="L2572" s="14"/>
      <c r="M2572" s="14"/>
      <c r="N2572" s="14"/>
    </row>
    <row r="2573">
      <c r="A2573" s="14"/>
      <c r="B2573" s="14"/>
      <c r="C2573" s="14"/>
      <c r="D2573" s="14"/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</row>
    <row r="2574">
      <c r="A2574" s="14"/>
      <c r="B2574" s="14"/>
      <c r="C2574" s="14"/>
      <c r="D2574" s="14"/>
      <c r="E2574" s="14"/>
      <c r="F2574" s="14"/>
      <c r="G2574" s="14"/>
      <c r="H2574" s="14"/>
      <c r="I2574" s="14"/>
      <c r="J2574" s="14"/>
      <c r="K2574" s="14"/>
      <c r="L2574" s="14"/>
      <c r="M2574" s="14"/>
      <c r="N2574" s="14"/>
    </row>
    <row r="2575">
      <c r="A2575" s="14"/>
      <c r="B2575" s="14"/>
      <c r="C2575" s="14"/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</row>
    <row r="2576">
      <c r="A2576" s="14"/>
      <c r="B2576" s="14"/>
      <c r="C2576" s="14"/>
      <c r="D2576" s="14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</row>
    <row r="2577">
      <c r="A2577" s="14"/>
      <c r="B2577" s="14"/>
      <c r="C2577" s="14"/>
      <c r="D2577" s="14"/>
      <c r="E2577" s="14"/>
      <c r="F2577" s="14"/>
      <c r="G2577" s="14"/>
      <c r="H2577" s="14"/>
      <c r="I2577" s="14"/>
      <c r="J2577" s="14"/>
      <c r="K2577" s="14"/>
      <c r="L2577" s="14"/>
      <c r="M2577" s="14"/>
      <c r="N2577" s="14"/>
    </row>
    <row r="2578">
      <c r="A2578" s="14"/>
      <c r="B2578" s="14"/>
      <c r="C2578" s="14"/>
      <c r="D2578" s="14"/>
      <c r="E2578" s="14"/>
      <c r="F2578" s="14"/>
      <c r="G2578" s="14"/>
      <c r="H2578" s="14"/>
      <c r="I2578" s="14"/>
      <c r="J2578" s="14"/>
      <c r="K2578" s="14"/>
      <c r="L2578" s="14"/>
      <c r="M2578" s="14"/>
      <c r="N2578" s="14"/>
    </row>
    <row r="2579">
      <c r="A2579" s="14"/>
      <c r="B2579" s="14"/>
      <c r="C2579" s="14"/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</row>
    <row r="2580">
      <c r="A2580" s="14"/>
      <c r="B2580" s="14"/>
      <c r="C2580" s="14"/>
      <c r="D2580" s="14"/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</row>
    <row r="2581">
      <c r="A2581" s="14"/>
      <c r="B2581" s="14"/>
      <c r="C2581" s="14"/>
      <c r="D2581" s="14"/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</row>
    <row r="2582">
      <c r="A2582" s="14"/>
      <c r="B2582" s="14"/>
      <c r="C2582" s="14"/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</row>
    <row r="2583">
      <c r="A2583" s="14"/>
      <c r="B2583" s="14"/>
      <c r="C2583" s="14"/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</row>
    <row r="2584">
      <c r="A2584" s="14"/>
      <c r="B2584" s="14"/>
      <c r="C2584" s="14"/>
      <c r="D2584" s="14"/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</row>
    <row r="2585">
      <c r="A2585" s="14"/>
      <c r="B2585" s="14"/>
      <c r="C2585" s="14"/>
      <c r="D2585" s="14"/>
      <c r="E2585" s="14"/>
      <c r="F2585" s="14"/>
      <c r="G2585" s="14"/>
      <c r="H2585" s="14"/>
      <c r="I2585" s="14"/>
      <c r="J2585" s="14"/>
      <c r="K2585" s="14"/>
      <c r="L2585" s="14"/>
      <c r="M2585" s="14"/>
      <c r="N2585" s="14"/>
    </row>
    <row r="2586">
      <c r="A2586" s="14"/>
      <c r="B2586" s="14"/>
      <c r="C2586" s="14"/>
      <c r="D2586" s="14"/>
      <c r="E2586" s="14"/>
      <c r="F2586" s="14"/>
      <c r="G2586" s="14"/>
      <c r="H2586" s="14"/>
      <c r="I2586" s="14"/>
      <c r="J2586" s="14"/>
      <c r="K2586" s="14"/>
      <c r="L2586" s="14"/>
      <c r="M2586" s="14"/>
      <c r="N2586" s="14"/>
    </row>
    <row r="2587">
      <c r="A2587" s="14"/>
      <c r="B2587" s="14"/>
      <c r="C2587" s="14"/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</row>
    <row r="2588">
      <c r="A2588" s="14"/>
      <c r="B2588" s="14"/>
      <c r="C2588" s="14"/>
      <c r="D2588" s="14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</row>
    <row r="2589">
      <c r="A2589" s="14"/>
      <c r="B2589" s="14"/>
      <c r="C2589" s="14"/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</row>
    <row r="2590">
      <c r="A2590" s="14"/>
      <c r="B2590" s="14"/>
      <c r="C2590" s="14"/>
      <c r="D2590" s="14"/>
      <c r="E2590" s="14"/>
      <c r="F2590" s="14"/>
      <c r="G2590" s="14"/>
      <c r="H2590" s="14"/>
      <c r="I2590" s="14"/>
      <c r="J2590" s="14"/>
      <c r="K2590" s="14"/>
      <c r="L2590" s="14"/>
      <c r="M2590" s="14"/>
      <c r="N2590" s="14"/>
    </row>
    <row r="2591">
      <c r="A2591" s="14"/>
      <c r="B2591" s="14"/>
      <c r="C2591" s="14"/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</row>
    <row r="2592">
      <c r="A2592" s="14"/>
      <c r="B2592" s="14"/>
      <c r="C2592" s="14"/>
      <c r="D2592" s="14"/>
      <c r="E2592" s="14"/>
      <c r="F2592" s="14"/>
      <c r="G2592" s="14"/>
      <c r="H2592" s="14"/>
      <c r="I2592" s="14"/>
      <c r="J2592" s="14"/>
      <c r="K2592" s="14"/>
      <c r="L2592" s="14"/>
      <c r="M2592" s="14"/>
      <c r="N2592" s="14"/>
    </row>
    <row r="2593">
      <c r="A2593" s="14"/>
      <c r="B2593" s="14"/>
      <c r="C2593" s="14"/>
      <c r="D2593" s="14"/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</row>
    <row r="2594">
      <c r="A2594" s="14"/>
      <c r="B2594" s="14"/>
      <c r="C2594" s="14"/>
      <c r="D2594" s="14"/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</row>
    <row r="2595">
      <c r="A2595" s="14"/>
      <c r="B2595" s="14"/>
      <c r="C2595" s="14"/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</row>
    <row r="2596">
      <c r="A2596" s="14"/>
      <c r="B2596" s="14"/>
      <c r="C2596" s="14"/>
      <c r="D2596" s="14"/>
      <c r="E2596" s="14"/>
      <c r="F2596" s="14"/>
      <c r="G2596" s="14"/>
      <c r="H2596" s="14"/>
      <c r="I2596" s="14"/>
      <c r="J2596" s="14"/>
      <c r="K2596" s="14"/>
      <c r="L2596" s="14"/>
      <c r="M2596" s="14"/>
      <c r="N2596" s="14"/>
    </row>
    <row r="2597">
      <c r="A2597" s="14"/>
      <c r="B2597" s="14"/>
      <c r="C2597" s="14"/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</row>
    <row r="2598">
      <c r="A2598" s="14"/>
      <c r="B2598" s="14"/>
      <c r="C2598" s="14"/>
      <c r="D2598" s="14"/>
      <c r="E2598" s="14"/>
      <c r="F2598" s="14"/>
      <c r="G2598" s="14"/>
      <c r="H2598" s="14"/>
      <c r="I2598" s="14"/>
      <c r="J2598" s="14"/>
      <c r="K2598" s="14"/>
      <c r="L2598" s="14"/>
      <c r="M2598" s="14"/>
      <c r="N2598" s="14"/>
    </row>
    <row r="2599">
      <c r="A2599" s="14"/>
      <c r="B2599" s="14"/>
      <c r="C2599" s="14"/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</row>
    <row r="2600">
      <c r="A2600" s="14"/>
      <c r="B2600" s="14"/>
      <c r="C2600" s="14"/>
      <c r="D2600" s="14"/>
      <c r="E2600" s="14"/>
      <c r="F2600" s="14"/>
      <c r="G2600" s="14"/>
      <c r="H2600" s="14"/>
      <c r="I2600" s="14"/>
      <c r="J2600" s="14"/>
      <c r="K2600" s="14"/>
      <c r="L2600" s="14"/>
      <c r="M2600" s="14"/>
      <c r="N2600" s="14"/>
    </row>
    <row r="2601">
      <c r="A2601" s="14"/>
      <c r="B2601" s="14"/>
      <c r="C2601" s="14"/>
      <c r="D2601" s="14"/>
      <c r="E2601" s="14"/>
      <c r="F2601" s="14"/>
      <c r="G2601" s="14"/>
      <c r="H2601" s="14"/>
      <c r="I2601" s="14"/>
      <c r="J2601" s="14"/>
      <c r="K2601" s="14"/>
      <c r="L2601" s="14"/>
      <c r="M2601" s="14"/>
      <c r="N2601" s="14"/>
    </row>
    <row r="2602">
      <c r="A2602" s="14"/>
      <c r="B2602" s="14"/>
      <c r="C2602" s="14"/>
      <c r="D2602" s="14"/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</row>
    <row r="2603">
      <c r="A2603" s="14"/>
      <c r="B2603" s="14"/>
      <c r="C2603" s="14"/>
      <c r="D2603" s="14"/>
      <c r="E2603" s="14"/>
      <c r="F2603" s="14"/>
      <c r="G2603" s="14"/>
      <c r="H2603" s="14"/>
      <c r="I2603" s="14"/>
      <c r="J2603" s="14"/>
      <c r="K2603" s="14"/>
      <c r="L2603" s="14"/>
      <c r="M2603" s="14"/>
      <c r="N2603" s="14"/>
    </row>
    <row r="2604">
      <c r="A2604" s="14"/>
      <c r="B2604" s="14"/>
      <c r="C2604" s="14"/>
      <c r="D2604" s="14"/>
      <c r="E2604" s="14"/>
      <c r="F2604" s="14"/>
      <c r="G2604" s="14"/>
      <c r="H2604" s="14"/>
      <c r="I2604" s="14"/>
      <c r="J2604" s="14"/>
      <c r="K2604" s="14"/>
      <c r="L2604" s="14"/>
      <c r="M2604" s="14"/>
      <c r="N2604" s="14"/>
    </row>
    <row r="2605">
      <c r="A2605" s="14"/>
      <c r="B2605" s="14"/>
      <c r="C2605" s="14"/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</row>
    <row r="2606">
      <c r="A2606" s="14"/>
      <c r="B2606" s="14"/>
      <c r="C2606" s="14"/>
      <c r="D2606" s="14"/>
      <c r="E2606" s="14"/>
      <c r="F2606" s="14"/>
      <c r="G2606" s="14"/>
      <c r="H2606" s="14"/>
      <c r="I2606" s="14"/>
      <c r="J2606" s="14"/>
      <c r="K2606" s="14"/>
      <c r="L2606" s="14"/>
      <c r="M2606" s="14"/>
      <c r="N2606" s="14"/>
    </row>
    <row r="2607">
      <c r="A2607" s="14"/>
      <c r="B2607" s="14"/>
      <c r="C2607" s="14"/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</row>
    <row r="2608">
      <c r="A2608" s="14"/>
      <c r="B2608" s="14"/>
      <c r="C2608" s="14"/>
      <c r="D2608" s="14"/>
      <c r="E2608" s="14"/>
      <c r="F2608" s="14"/>
      <c r="G2608" s="14"/>
      <c r="H2608" s="14"/>
      <c r="I2608" s="14"/>
      <c r="J2608" s="14"/>
      <c r="K2608" s="14"/>
      <c r="L2608" s="14"/>
      <c r="M2608" s="14"/>
      <c r="N2608" s="14"/>
    </row>
    <row r="2609">
      <c r="A2609" s="14"/>
      <c r="B2609" s="14"/>
      <c r="C2609" s="14"/>
      <c r="D2609" s="14"/>
      <c r="E2609" s="14"/>
      <c r="F2609" s="14"/>
      <c r="G2609" s="14"/>
      <c r="H2609" s="14"/>
      <c r="I2609" s="14"/>
      <c r="J2609" s="14"/>
      <c r="K2609" s="14"/>
      <c r="L2609" s="14"/>
      <c r="M2609" s="14"/>
      <c r="N2609" s="14"/>
    </row>
    <row r="2610">
      <c r="A2610" s="14"/>
      <c r="B2610" s="14"/>
      <c r="C2610" s="14"/>
      <c r="D2610" s="14"/>
      <c r="E2610" s="14"/>
      <c r="F2610" s="14"/>
      <c r="G2610" s="14"/>
      <c r="H2610" s="14"/>
      <c r="I2610" s="14"/>
      <c r="J2610" s="14"/>
      <c r="K2610" s="14"/>
      <c r="L2610" s="14"/>
      <c r="M2610" s="14"/>
      <c r="N2610" s="14"/>
    </row>
    <row r="2611">
      <c r="A2611" s="14"/>
      <c r="B2611" s="14"/>
      <c r="C2611" s="14"/>
      <c r="D2611" s="14"/>
      <c r="E2611" s="14"/>
      <c r="F2611" s="14"/>
      <c r="G2611" s="14"/>
      <c r="H2611" s="14"/>
      <c r="I2611" s="14"/>
      <c r="J2611" s="14"/>
      <c r="K2611" s="14"/>
      <c r="L2611" s="14"/>
      <c r="M2611" s="14"/>
      <c r="N2611" s="14"/>
    </row>
    <row r="2612">
      <c r="A2612" s="14"/>
      <c r="B2612" s="14"/>
      <c r="C2612" s="14"/>
      <c r="D2612" s="14"/>
      <c r="E2612" s="14"/>
      <c r="F2612" s="14"/>
      <c r="G2612" s="14"/>
      <c r="H2612" s="14"/>
      <c r="I2612" s="14"/>
      <c r="J2612" s="14"/>
      <c r="K2612" s="14"/>
      <c r="L2612" s="14"/>
      <c r="M2612" s="14"/>
      <c r="N2612" s="14"/>
    </row>
    <row r="2613">
      <c r="A2613" s="14"/>
      <c r="B2613" s="14"/>
      <c r="C2613" s="14"/>
      <c r="D2613" s="14"/>
      <c r="E2613" s="14"/>
      <c r="F2613" s="14"/>
      <c r="G2613" s="14"/>
      <c r="H2613" s="14"/>
      <c r="I2613" s="14"/>
      <c r="J2613" s="14"/>
      <c r="K2613" s="14"/>
      <c r="L2613" s="14"/>
      <c r="M2613" s="14"/>
      <c r="N2613" s="14"/>
    </row>
    <row r="2614">
      <c r="A2614" s="14"/>
      <c r="B2614" s="14"/>
      <c r="C2614" s="14"/>
      <c r="D2614" s="14"/>
      <c r="E2614" s="14"/>
      <c r="F2614" s="14"/>
      <c r="G2614" s="14"/>
      <c r="H2614" s="14"/>
      <c r="I2614" s="14"/>
      <c r="J2614" s="14"/>
      <c r="K2614" s="14"/>
      <c r="L2614" s="14"/>
      <c r="M2614" s="14"/>
      <c r="N2614" s="14"/>
    </row>
    <row r="2615">
      <c r="A2615" s="14"/>
      <c r="B2615" s="14"/>
      <c r="C2615" s="14"/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</row>
    <row r="2616">
      <c r="A2616" s="14"/>
      <c r="B2616" s="14"/>
      <c r="C2616" s="14"/>
      <c r="D2616" s="14"/>
      <c r="E2616" s="14"/>
      <c r="F2616" s="14"/>
      <c r="G2616" s="14"/>
      <c r="H2616" s="14"/>
      <c r="I2616" s="14"/>
      <c r="J2616" s="14"/>
      <c r="K2616" s="14"/>
      <c r="L2616" s="14"/>
      <c r="M2616" s="14"/>
      <c r="N2616" s="14"/>
    </row>
    <row r="2617">
      <c r="A2617" s="14"/>
      <c r="B2617" s="14"/>
      <c r="C2617" s="14"/>
      <c r="D2617" s="14"/>
      <c r="E2617" s="14"/>
      <c r="F2617" s="14"/>
      <c r="G2617" s="14"/>
      <c r="H2617" s="14"/>
      <c r="I2617" s="14"/>
      <c r="J2617" s="14"/>
      <c r="K2617" s="14"/>
      <c r="L2617" s="14"/>
      <c r="M2617" s="14"/>
      <c r="N2617" s="14"/>
    </row>
    <row r="2618">
      <c r="A2618" s="14"/>
      <c r="B2618" s="14"/>
      <c r="C2618" s="14"/>
      <c r="D2618" s="14"/>
      <c r="E2618" s="14"/>
      <c r="F2618" s="14"/>
      <c r="G2618" s="14"/>
      <c r="H2618" s="14"/>
      <c r="I2618" s="14"/>
      <c r="J2618" s="14"/>
      <c r="K2618" s="14"/>
      <c r="L2618" s="14"/>
      <c r="M2618" s="14"/>
      <c r="N2618" s="14"/>
    </row>
    <row r="2619">
      <c r="A2619" s="14"/>
      <c r="B2619" s="14"/>
      <c r="C2619" s="14"/>
      <c r="D2619" s="14"/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</row>
    <row r="2620">
      <c r="A2620" s="14"/>
      <c r="B2620" s="14"/>
      <c r="C2620" s="14"/>
      <c r="D2620" s="14"/>
      <c r="E2620" s="14"/>
      <c r="F2620" s="14"/>
      <c r="G2620" s="14"/>
      <c r="H2620" s="14"/>
      <c r="I2620" s="14"/>
      <c r="J2620" s="14"/>
      <c r="K2620" s="14"/>
      <c r="L2620" s="14"/>
      <c r="M2620" s="14"/>
      <c r="N2620" s="14"/>
    </row>
    <row r="2621">
      <c r="A2621" s="14"/>
      <c r="B2621" s="14"/>
      <c r="C2621" s="14"/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</row>
    <row r="2622">
      <c r="A2622" s="14"/>
      <c r="B2622" s="14"/>
      <c r="C2622" s="14"/>
      <c r="D2622" s="14"/>
      <c r="E2622" s="14"/>
      <c r="F2622" s="14"/>
      <c r="G2622" s="14"/>
      <c r="H2622" s="14"/>
      <c r="I2622" s="14"/>
      <c r="J2622" s="14"/>
      <c r="K2622" s="14"/>
      <c r="L2622" s="14"/>
      <c r="M2622" s="14"/>
      <c r="N2622" s="14"/>
    </row>
    <row r="2623">
      <c r="A2623" s="14"/>
      <c r="B2623" s="14"/>
      <c r="C2623" s="14"/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</row>
    <row r="2624">
      <c r="A2624" s="14"/>
      <c r="B2624" s="14"/>
      <c r="C2624" s="14"/>
      <c r="D2624" s="14"/>
      <c r="E2624" s="14"/>
      <c r="F2624" s="14"/>
      <c r="G2624" s="14"/>
      <c r="H2624" s="14"/>
      <c r="I2624" s="14"/>
      <c r="J2624" s="14"/>
      <c r="K2624" s="14"/>
      <c r="L2624" s="14"/>
      <c r="M2624" s="14"/>
      <c r="N2624" s="14"/>
    </row>
    <row r="2625">
      <c r="A2625" s="14"/>
      <c r="B2625" s="14"/>
      <c r="C2625" s="14"/>
      <c r="D2625" s="14"/>
      <c r="E2625" s="14"/>
      <c r="F2625" s="14"/>
      <c r="G2625" s="14"/>
      <c r="H2625" s="14"/>
      <c r="I2625" s="14"/>
      <c r="J2625" s="14"/>
      <c r="K2625" s="14"/>
      <c r="L2625" s="14"/>
      <c r="M2625" s="14"/>
      <c r="N2625" s="14"/>
    </row>
    <row r="2626">
      <c r="A2626" s="14"/>
      <c r="B2626" s="14"/>
      <c r="C2626" s="14"/>
      <c r="D2626" s="14"/>
      <c r="E2626" s="14"/>
      <c r="F2626" s="14"/>
      <c r="G2626" s="14"/>
      <c r="H2626" s="14"/>
      <c r="I2626" s="14"/>
      <c r="J2626" s="14"/>
      <c r="K2626" s="14"/>
      <c r="L2626" s="14"/>
      <c r="M2626" s="14"/>
      <c r="N2626" s="14"/>
    </row>
    <row r="2627">
      <c r="A2627" s="14"/>
      <c r="B2627" s="14"/>
      <c r="C2627" s="14"/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</row>
    <row r="2628">
      <c r="A2628" s="14"/>
      <c r="B2628" s="14"/>
      <c r="C2628" s="14"/>
      <c r="D2628" s="14"/>
      <c r="E2628" s="14"/>
      <c r="F2628" s="14"/>
      <c r="G2628" s="14"/>
      <c r="H2628" s="14"/>
      <c r="I2628" s="14"/>
      <c r="J2628" s="14"/>
      <c r="K2628" s="14"/>
      <c r="L2628" s="14"/>
      <c r="M2628" s="14"/>
      <c r="N2628" s="14"/>
    </row>
    <row r="2629">
      <c r="A2629" s="14"/>
      <c r="B2629" s="14"/>
      <c r="C2629" s="14"/>
      <c r="D2629" s="14"/>
      <c r="E2629" s="14"/>
      <c r="F2629" s="14"/>
      <c r="G2629" s="14"/>
      <c r="H2629" s="14"/>
      <c r="I2629" s="14"/>
      <c r="J2629" s="14"/>
      <c r="K2629" s="14"/>
      <c r="L2629" s="14"/>
      <c r="M2629" s="14"/>
      <c r="N2629" s="14"/>
    </row>
    <row r="2630">
      <c r="A2630" s="14"/>
      <c r="B2630" s="14"/>
      <c r="C2630" s="14"/>
      <c r="D2630" s="14"/>
      <c r="E2630" s="14"/>
      <c r="F2630" s="14"/>
      <c r="G2630" s="14"/>
      <c r="H2630" s="14"/>
      <c r="I2630" s="14"/>
      <c r="J2630" s="14"/>
      <c r="K2630" s="14"/>
      <c r="L2630" s="14"/>
      <c r="M2630" s="14"/>
      <c r="N2630" s="14"/>
    </row>
    <row r="2631">
      <c r="A2631" s="14"/>
      <c r="B2631" s="14"/>
      <c r="C2631" s="14"/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</row>
    <row r="2632">
      <c r="A2632" s="14"/>
      <c r="B2632" s="14"/>
      <c r="C2632" s="14"/>
      <c r="D2632" s="14"/>
      <c r="E2632" s="14"/>
      <c r="F2632" s="14"/>
      <c r="G2632" s="14"/>
      <c r="H2632" s="14"/>
      <c r="I2632" s="14"/>
      <c r="J2632" s="14"/>
      <c r="K2632" s="14"/>
      <c r="L2632" s="14"/>
      <c r="M2632" s="14"/>
      <c r="N2632" s="14"/>
    </row>
    <row r="2633">
      <c r="A2633" s="14"/>
      <c r="B2633" s="14"/>
      <c r="C2633" s="14"/>
      <c r="D2633" s="14"/>
      <c r="E2633" s="14"/>
      <c r="F2633" s="14"/>
      <c r="G2633" s="14"/>
      <c r="H2633" s="14"/>
      <c r="I2633" s="14"/>
      <c r="J2633" s="14"/>
      <c r="K2633" s="14"/>
      <c r="L2633" s="14"/>
      <c r="M2633" s="14"/>
      <c r="N2633" s="14"/>
    </row>
    <row r="2634">
      <c r="A2634" s="14"/>
      <c r="B2634" s="14"/>
      <c r="C2634" s="14"/>
      <c r="D2634" s="14"/>
      <c r="E2634" s="14"/>
      <c r="F2634" s="14"/>
      <c r="G2634" s="14"/>
      <c r="H2634" s="14"/>
      <c r="I2634" s="14"/>
      <c r="J2634" s="14"/>
      <c r="K2634" s="14"/>
      <c r="L2634" s="14"/>
      <c r="M2634" s="14"/>
      <c r="N2634" s="14"/>
    </row>
    <row r="2635">
      <c r="A2635" s="14"/>
      <c r="B2635" s="14"/>
      <c r="C2635" s="14"/>
      <c r="D2635" s="14"/>
      <c r="E2635" s="14"/>
      <c r="F2635" s="14"/>
      <c r="G2635" s="14"/>
      <c r="H2635" s="14"/>
      <c r="I2635" s="14"/>
      <c r="J2635" s="14"/>
      <c r="K2635" s="14"/>
      <c r="L2635" s="14"/>
      <c r="M2635" s="14"/>
      <c r="N2635" s="14"/>
    </row>
    <row r="2636">
      <c r="A2636" s="14"/>
      <c r="B2636" s="14"/>
      <c r="C2636" s="14"/>
      <c r="D2636" s="14"/>
      <c r="E2636" s="14"/>
      <c r="F2636" s="14"/>
      <c r="G2636" s="14"/>
      <c r="H2636" s="14"/>
      <c r="I2636" s="14"/>
      <c r="J2636" s="14"/>
      <c r="K2636" s="14"/>
      <c r="L2636" s="14"/>
      <c r="M2636" s="14"/>
      <c r="N2636" s="14"/>
    </row>
    <row r="2637">
      <c r="A2637" s="14"/>
      <c r="B2637" s="14"/>
      <c r="C2637" s="14"/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</row>
    <row r="2638">
      <c r="A2638" s="14"/>
      <c r="B2638" s="14"/>
      <c r="C2638" s="14"/>
      <c r="D2638" s="14"/>
      <c r="E2638" s="14"/>
      <c r="F2638" s="14"/>
      <c r="G2638" s="14"/>
      <c r="H2638" s="14"/>
      <c r="I2638" s="14"/>
      <c r="J2638" s="14"/>
      <c r="K2638" s="14"/>
      <c r="L2638" s="14"/>
      <c r="M2638" s="14"/>
      <c r="N2638" s="14"/>
    </row>
    <row r="2639">
      <c r="A2639" s="14"/>
      <c r="B2639" s="14"/>
      <c r="C2639" s="14"/>
      <c r="D2639" s="14"/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</row>
    <row r="2640">
      <c r="A2640" s="14"/>
      <c r="B2640" s="14"/>
      <c r="C2640" s="14"/>
      <c r="D2640" s="14"/>
      <c r="E2640" s="14"/>
      <c r="F2640" s="14"/>
      <c r="G2640" s="14"/>
      <c r="H2640" s="14"/>
      <c r="I2640" s="14"/>
      <c r="J2640" s="14"/>
      <c r="K2640" s="14"/>
      <c r="L2640" s="14"/>
      <c r="M2640" s="14"/>
      <c r="N2640" s="14"/>
    </row>
    <row r="2641">
      <c r="A2641" s="14"/>
      <c r="B2641" s="14"/>
      <c r="C2641" s="14"/>
      <c r="D2641" s="14"/>
      <c r="E2641" s="14"/>
      <c r="F2641" s="14"/>
      <c r="G2641" s="14"/>
      <c r="H2641" s="14"/>
      <c r="I2641" s="14"/>
      <c r="J2641" s="14"/>
      <c r="K2641" s="14"/>
      <c r="L2641" s="14"/>
      <c r="M2641" s="14"/>
      <c r="N2641" s="14"/>
    </row>
    <row r="2642">
      <c r="A2642" s="14"/>
      <c r="B2642" s="14"/>
      <c r="C2642" s="14"/>
      <c r="D2642" s="14"/>
      <c r="E2642" s="14"/>
      <c r="F2642" s="14"/>
      <c r="G2642" s="14"/>
      <c r="H2642" s="14"/>
      <c r="I2642" s="14"/>
      <c r="J2642" s="14"/>
      <c r="K2642" s="14"/>
      <c r="L2642" s="14"/>
      <c r="M2642" s="14"/>
      <c r="N2642" s="14"/>
    </row>
    <row r="2643">
      <c r="A2643" s="14"/>
      <c r="B2643" s="14"/>
      <c r="C2643" s="14"/>
      <c r="D2643" s="14"/>
      <c r="E2643" s="14"/>
      <c r="F2643" s="14"/>
      <c r="G2643" s="14"/>
      <c r="H2643" s="14"/>
      <c r="I2643" s="14"/>
      <c r="J2643" s="14"/>
      <c r="K2643" s="14"/>
      <c r="L2643" s="14"/>
      <c r="M2643" s="14"/>
      <c r="N2643" s="14"/>
    </row>
    <row r="2644">
      <c r="A2644" s="14"/>
      <c r="B2644" s="14"/>
      <c r="C2644" s="14"/>
      <c r="D2644" s="14"/>
      <c r="E2644" s="14"/>
      <c r="F2644" s="14"/>
      <c r="G2644" s="14"/>
      <c r="H2644" s="14"/>
      <c r="I2644" s="14"/>
      <c r="J2644" s="14"/>
      <c r="K2644" s="14"/>
      <c r="L2644" s="14"/>
      <c r="M2644" s="14"/>
      <c r="N2644" s="14"/>
    </row>
    <row r="2645">
      <c r="A2645" s="14"/>
      <c r="B2645" s="14"/>
      <c r="C2645" s="14"/>
      <c r="D2645" s="14"/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</row>
    <row r="2646">
      <c r="A2646" s="14"/>
      <c r="B2646" s="14"/>
      <c r="C2646" s="14"/>
      <c r="D2646" s="14"/>
      <c r="E2646" s="14"/>
      <c r="F2646" s="14"/>
      <c r="G2646" s="14"/>
      <c r="H2646" s="14"/>
      <c r="I2646" s="14"/>
      <c r="J2646" s="14"/>
      <c r="K2646" s="14"/>
      <c r="L2646" s="14"/>
      <c r="M2646" s="14"/>
      <c r="N2646" s="14"/>
    </row>
    <row r="2647">
      <c r="A2647" s="14"/>
      <c r="B2647" s="14"/>
      <c r="C2647" s="14"/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</row>
    <row r="2648">
      <c r="A2648" s="14"/>
      <c r="B2648" s="14"/>
      <c r="C2648" s="14"/>
      <c r="D2648" s="14"/>
      <c r="E2648" s="14"/>
      <c r="F2648" s="14"/>
      <c r="G2648" s="14"/>
      <c r="H2648" s="14"/>
      <c r="I2648" s="14"/>
      <c r="J2648" s="14"/>
      <c r="K2648" s="14"/>
      <c r="L2648" s="14"/>
      <c r="M2648" s="14"/>
      <c r="N2648" s="14"/>
    </row>
    <row r="2649">
      <c r="A2649" s="14"/>
      <c r="B2649" s="14"/>
      <c r="C2649" s="14"/>
      <c r="D2649" s="14"/>
      <c r="E2649" s="14"/>
      <c r="F2649" s="14"/>
      <c r="G2649" s="14"/>
      <c r="H2649" s="14"/>
      <c r="I2649" s="14"/>
      <c r="J2649" s="14"/>
      <c r="K2649" s="14"/>
      <c r="L2649" s="14"/>
      <c r="M2649" s="14"/>
      <c r="N2649" s="14"/>
    </row>
    <row r="2650">
      <c r="A2650" s="14"/>
      <c r="B2650" s="14"/>
      <c r="C2650" s="14"/>
      <c r="D2650" s="14"/>
      <c r="E2650" s="14"/>
      <c r="F2650" s="14"/>
      <c r="G2650" s="14"/>
      <c r="H2650" s="14"/>
      <c r="I2650" s="14"/>
      <c r="J2650" s="14"/>
      <c r="K2650" s="14"/>
      <c r="L2650" s="14"/>
      <c r="M2650" s="14"/>
      <c r="N2650" s="14"/>
    </row>
    <row r="2651">
      <c r="A2651" s="14"/>
      <c r="B2651" s="14"/>
      <c r="C2651" s="14"/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</row>
    <row r="2652">
      <c r="A2652" s="14"/>
      <c r="B2652" s="14"/>
      <c r="C2652" s="14"/>
      <c r="D2652" s="14"/>
      <c r="E2652" s="14"/>
      <c r="F2652" s="14"/>
      <c r="G2652" s="14"/>
      <c r="H2652" s="14"/>
      <c r="I2652" s="14"/>
      <c r="J2652" s="14"/>
      <c r="K2652" s="14"/>
      <c r="L2652" s="14"/>
      <c r="M2652" s="14"/>
      <c r="N2652" s="14"/>
    </row>
    <row r="2653">
      <c r="A2653" s="14"/>
      <c r="B2653" s="14"/>
      <c r="C2653" s="14"/>
      <c r="D2653" s="14"/>
      <c r="E2653" s="14"/>
      <c r="F2653" s="14"/>
      <c r="G2653" s="14"/>
      <c r="H2653" s="14"/>
      <c r="I2653" s="14"/>
      <c r="J2653" s="14"/>
      <c r="K2653" s="14"/>
      <c r="L2653" s="14"/>
      <c r="M2653" s="14"/>
      <c r="N2653" s="14"/>
    </row>
    <row r="2654">
      <c r="A2654" s="14"/>
      <c r="B2654" s="14"/>
      <c r="C2654" s="14"/>
      <c r="D2654" s="14"/>
      <c r="E2654" s="14"/>
      <c r="F2654" s="14"/>
      <c r="G2654" s="14"/>
      <c r="H2654" s="14"/>
      <c r="I2654" s="14"/>
      <c r="J2654" s="14"/>
      <c r="K2654" s="14"/>
      <c r="L2654" s="14"/>
      <c r="M2654" s="14"/>
      <c r="N2654" s="14"/>
    </row>
    <row r="2655">
      <c r="A2655" s="14"/>
      <c r="B2655" s="14"/>
      <c r="C2655" s="14"/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</row>
    <row r="2656">
      <c r="A2656" s="14"/>
      <c r="B2656" s="14"/>
      <c r="C2656" s="14"/>
      <c r="D2656" s="14"/>
      <c r="E2656" s="14"/>
      <c r="F2656" s="14"/>
      <c r="G2656" s="14"/>
      <c r="H2656" s="14"/>
      <c r="I2656" s="14"/>
      <c r="J2656" s="14"/>
      <c r="K2656" s="14"/>
      <c r="L2656" s="14"/>
      <c r="M2656" s="14"/>
      <c r="N2656" s="14"/>
    </row>
    <row r="2657">
      <c r="A2657" s="14"/>
      <c r="B2657" s="14"/>
      <c r="C2657" s="14"/>
      <c r="D2657" s="14"/>
      <c r="E2657" s="14"/>
      <c r="F2657" s="14"/>
      <c r="G2657" s="14"/>
      <c r="H2657" s="14"/>
      <c r="I2657" s="14"/>
      <c r="J2657" s="14"/>
      <c r="K2657" s="14"/>
      <c r="L2657" s="14"/>
      <c r="M2657" s="14"/>
      <c r="N2657" s="14"/>
    </row>
    <row r="2658">
      <c r="A2658" s="14"/>
      <c r="B2658" s="14"/>
      <c r="C2658" s="14"/>
      <c r="D2658" s="14"/>
      <c r="E2658" s="14"/>
      <c r="F2658" s="14"/>
      <c r="G2658" s="14"/>
      <c r="H2658" s="14"/>
      <c r="I2658" s="14"/>
      <c r="J2658" s="14"/>
      <c r="K2658" s="14"/>
      <c r="L2658" s="14"/>
      <c r="M2658" s="14"/>
      <c r="N2658" s="14"/>
    </row>
    <row r="2659">
      <c r="A2659" s="14"/>
      <c r="B2659" s="14"/>
      <c r="C2659" s="14"/>
      <c r="D2659" s="14"/>
      <c r="E2659" s="14"/>
      <c r="F2659" s="14"/>
      <c r="G2659" s="14"/>
      <c r="H2659" s="14"/>
      <c r="I2659" s="14"/>
      <c r="J2659" s="14"/>
      <c r="K2659" s="14"/>
      <c r="L2659" s="14"/>
      <c r="M2659" s="14"/>
      <c r="N2659" s="14"/>
    </row>
    <row r="2660">
      <c r="A2660" s="14"/>
      <c r="B2660" s="14"/>
      <c r="C2660" s="14"/>
      <c r="D2660" s="14"/>
      <c r="E2660" s="14"/>
      <c r="F2660" s="14"/>
      <c r="G2660" s="14"/>
      <c r="H2660" s="14"/>
      <c r="I2660" s="14"/>
      <c r="J2660" s="14"/>
      <c r="K2660" s="14"/>
      <c r="L2660" s="14"/>
      <c r="M2660" s="14"/>
      <c r="N2660" s="14"/>
    </row>
    <row r="2661">
      <c r="A2661" s="14"/>
      <c r="B2661" s="14"/>
      <c r="C2661" s="14"/>
      <c r="D2661" s="14"/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</row>
    <row r="2662">
      <c r="A2662" s="14"/>
      <c r="B2662" s="14"/>
      <c r="C2662" s="14"/>
      <c r="D2662" s="14"/>
      <c r="E2662" s="14"/>
      <c r="F2662" s="14"/>
      <c r="G2662" s="14"/>
      <c r="H2662" s="14"/>
      <c r="I2662" s="14"/>
      <c r="J2662" s="14"/>
      <c r="K2662" s="14"/>
      <c r="L2662" s="14"/>
      <c r="M2662" s="14"/>
      <c r="N2662" s="14"/>
    </row>
    <row r="2663">
      <c r="A2663" s="14"/>
      <c r="B2663" s="14"/>
      <c r="C2663" s="14"/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</row>
    <row r="2664">
      <c r="A2664" s="14"/>
      <c r="B2664" s="14"/>
      <c r="C2664" s="14"/>
      <c r="D2664" s="14"/>
      <c r="E2664" s="14"/>
      <c r="F2664" s="14"/>
      <c r="G2664" s="14"/>
      <c r="H2664" s="14"/>
      <c r="I2664" s="14"/>
      <c r="J2664" s="14"/>
      <c r="K2664" s="14"/>
      <c r="L2664" s="14"/>
      <c r="M2664" s="14"/>
      <c r="N2664" s="14"/>
    </row>
    <row r="2665">
      <c r="A2665" s="14"/>
      <c r="B2665" s="14"/>
      <c r="C2665" s="14"/>
      <c r="D2665" s="14"/>
      <c r="E2665" s="14"/>
      <c r="F2665" s="14"/>
      <c r="G2665" s="14"/>
      <c r="H2665" s="14"/>
      <c r="I2665" s="14"/>
      <c r="J2665" s="14"/>
      <c r="K2665" s="14"/>
      <c r="L2665" s="14"/>
      <c r="M2665" s="14"/>
      <c r="N2665" s="14"/>
    </row>
    <row r="2666">
      <c r="A2666" s="14"/>
      <c r="B2666" s="14"/>
      <c r="C2666" s="14"/>
      <c r="D2666" s="14"/>
      <c r="E2666" s="14"/>
      <c r="F2666" s="14"/>
      <c r="G2666" s="14"/>
      <c r="H2666" s="14"/>
      <c r="I2666" s="14"/>
      <c r="J2666" s="14"/>
      <c r="K2666" s="14"/>
      <c r="L2666" s="14"/>
      <c r="M2666" s="14"/>
      <c r="N2666" s="14"/>
    </row>
    <row r="2667">
      <c r="A2667" s="14"/>
      <c r="B2667" s="14"/>
      <c r="C2667" s="14"/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</row>
    <row r="2668">
      <c r="A2668" s="14"/>
      <c r="B2668" s="14"/>
      <c r="C2668" s="14"/>
      <c r="D2668" s="14"/>
      <c r="E2668" s="14"/>
      <c r="F2668" s="14"/>
      <c r="G2668" s="14"/>
      <c r="H2668" s="14"/>
      <c r="I2668" s="14"/>
      <c r="J2668" s="14"/>
      <c r="K2668" s="14"/>
      <c r="L2668" s="14"/>
      <c r="M2668" s="14"/>
      <c r="N2668" s="14"/>
    </row>
    <row r="2669">
      <c r="A2669" s="14"/>
      <c r="B2669" s="14"/>
      <c r="C2669" s="14"/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</row>
    <row r="2670">
      <c r="A2670" s="14"/>
      <c r="B2670" s="14"/>
      <c r="C2670" s="14"/>
      <c r="D2670" s="14"/>
      <c r="E2670" s="14"/>
      <c r="F2670" s="14"/>
      <c r="G2670" s="14"/>
      <c r="H2670" s="14"/>
      <c r="I2670" s="14"/>
      <c r="J2670" s="14"/>
      <c r="K2670" s="14"/>
      <c r="L2670" s="14"/>
      <c r="M2670" s="14"/>
      <c r="N2670" s="14"/>
    </row>
    <row r="2671">
      <c r="A2671" s="14"/>
      <c r="B2671" s="14"/>
      <c r="C2671" s="14"/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</row>
    <row r="2672">
      <c r="A2672" s="14"/>
      <c r="B2672" s="14"/>
      <c r="C2672" s="14"/>
      <c r="D2672" s="14"/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</row>
    <row r="2673">
      <c r="A2673" s="14"/>
      <c r="B2673" s="14"/>
      <c r="C2673" s="14"/>
      <c r="D2673" s="14"/>
      <c r="E2673" s="14"/>
      <c r="F2673" s="14"/>
      <c r="G2673" s="14"/>
      <c r="H2673" s="14"/>
      <c r="I2673" s="14"/>
      <c r="J2673" s="14"/>
      <c r="K2673" s="14"/>
      <c r="L2673" s="14"/>
      <c r="M2673" s="14"/>
      <c r="N2673" s="14"/>
    </row>
    <row r="2674">
      <c r="A2674" s="14"/>
      <c r="B2674" s="14"/>
      <c r="C2674" s="14"/>
      <c r="D2674" s="14"/>
      <c r="E2674" s="14"/>
      <c r="F2674" s="14"/>
      <c r="G2674" s="14"/>
      <c r="H2674" s="14"/>
      <c r="I2674" s="14"/>
      <c r="J2674" s="14"/>
      <c r="K2674" s="14"/>
      <c r="L2674" s="14"/>
      <c r="M2674" s="14"/>
      <c r="N2674" s="14"/>
    </row>
    <row r="2675">
      <c r="A2675" s="14"/>
      <c r="B2675" s="14"/>
      <c r="C2675" s="14"/>
      <c r="D2675" s="14"/>
      <c r="E2675" s="14"/>
      <c r="F2675" s="14"/>
      <c r="G2675" s="14"/>
      <c r="H2675" s="14"/>
      <c r="I2675" s="14"/>
      <c r="J2675" s="14"/>
      <c r="K2675" s="14"/>
      <c r="L2675" s="14"/>
      <c r="M2675" s="14"/>
      <c r="N2675" s="14"/>
    </row>
    <row r="2676">
      <c r="A2676" s="14"/>
      <c r="B2676" s="14"/>
      <c r="C2676" s="14"/>
      <c r="D2676" s="14"/>
      <c r="E2676" s="14"/>
      <c r="F2676" s="14"/>
      <c r="G2676" s="14"/>
      <c r="H2676" s="14"/>
      <c r="I2676" s="14"/>
      <c r="J2676" s="14"/>
      <c r="K2676" s="14"/>
      <c r="L2676" s="14"/>
      <c r="M2676" s="14"/>
      <c r="N2676" s="14"/>
    </row>
    <row r="2677">
      <c r="A2677" s="14"/>
      <c r="B2677" s="14"/>
      <c r="C2677" s="14"/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</row>
    <row r="2678">
      <c r="A2678" s="14"/>
      <c r="B2678" s="14"/>
      <c r="C2678" s="14"/>
      <c r="D2678" s="14"/>
      <c r="E2678" s="14"/>
      <c r="F2678" s="14"/>
      <c r="G2678" s="14"/>
      <c r="H2678" s="14"/>
      <c r="I2678" s="14"/>
      <c r="J2678" s="14"/>
      <c r="K2678" s="14"/>
      <c r="L2678" s="14"/>
      <c r="M2678" s="14"/>
      <c r="N2678" s="14"/>
    </row>
    <row r="2679">
      <c r="A2679" s="14"/>
      <c r="B2679" s="14"/>
      <c r="C2679" s="14"/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</row>
    <row r="2680">
      <c r="A2680" s="14"/>
      <c r="B2680" s="14"/>
      <c r="C2680" s="14"/>
      <c r="D2680" s="14"/>
      <c r="E2680" s="14"/>
      <c r="F2680" s="14"/>
      <c r="G2680" s="14"/>
      <c r="H2680" s="14"/>
      <c r="I2680" s="14"/>
      <c r="J2680" s="14"/>
      <c r="K2680" s="14"/>
      <c r="L2680" s="14"/>
      <c r="M2680" s="14"/>
      <c r="N2680" s="14"/>
    </row>
    <row r="2681">
      <c r="A2681" s="14"/>
      <c r="B2681" s="14"/>
      <c r="C2681" s="14"/>
      <c r="D2681" s="14"/>
      <c r="E2681" s="14"/>
      <c r="F2681" s="14"/>
      <c r="G2681" s="14"/>
      <c r="H2681" s="14"/>
      <c r="I2681" s="14"/>
      <c r="J2681" s="14"/>
      <c r="K2681" s="14"/>
      <c r="L2681" s="14"/>
      <c r="M2681" s="14"/>
      <c r="N2681" s="14"/>
    </row>
    <row r="2682">
      <c r="A2682" s="14"/>
      <c r="B2682" s="14"/>
      <c r="C2682" s="14"/>
      <c r="D2682" s="14"/>
      <c r="E2682" s="14"/>
      <c r="F2682" s="14"/>
      <c r="G2682" s="14"/>
      <c r="H2682" s="14"/>
      <c r="I2682" s="14"/>
      <c r="J2682" s="14"/>
      <c r="K2682" s="14"/>
      <c r="L2682" s="14"/>
      <c r="M2682" s="14"/>
      <c r="N2682" s="14"/>
    </row>
    <row r="2683">
      <c r="A2683" s="14"/>
      <c r="B2683" s="14"/>
      <c r="C2683" s="14"/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</row>
    <row r="2684">
      <c r="A2684" s="14"/>
      <c r="B2684" s="14"/>
      <c r="C2684" s="14"/>
      <c r="D2684" s="14"/>
      <c r="E2684" s="14"/>
      <c r="F2684" s="14"/>
      <c r="G2684" s="14"/>
      <c r="H2684" s="14"/>
      <c r="I2684" s="14"/>
      <c r="J2684" s="14"/>
      <c r="K2684" s="14"/>
      <c r="L2684" s="14"/>
      <c r="M2684" s="14"/>
      <c r="N2684" s="14"/>
    </row>
    <row r="2685">
      <c r="A2685" s="14"/>
      <c r="B2685" s="14"/>
      <c r="C2685" s="14"/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</row>
    <row r="2686">
      <c r="A2686" s="14"/>
      <c r="B2686" s="14"/>
      <c r="C2686" s="14"/>
      <c r="D2686" s="14"/>
      <c r="E2686" s="14"/>
      <c r="F2686" s="14"/>
      <c r="G2686" s="14"/>
      <c r="H2686" s="14"/>
      <c r="I2686" s="14"/>
      <c r="J2686" s="14"/>
      <c r="K2686" s="14"/>
      <c r="L2686" s="14"/>
      <c r="M2686" s="14"/>
      <c r="N2686" s="14"/>
    </row>
    <row r="2687">
      <c r="A2687" s="14"/>
      <c r="B2687" s="14"/>
      <c r="C2687" s="14"/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</row>
    <row r="2688">
      <c r="A2688" s="14"/>
      <c r="B2688" s="14"/>
      <c r="C2688" s="14"/>
      <c r="D2688" s="14"/>
      <c r="E2688" s="14"/>
      <c r="F2688" s="14"/>
      <c r="G2688" s="14"/>
      <c r="H2688" s="14"/>
      <c r="I2688" s="14"/>
      <c r="J2688" s="14"/>
      <c r="K2688" s="14"/>
      <c r="L2688" s="14"/>
      <c r="M2688" s="14"/>
      <c r="N2688" s="14"/>
    </row>
    <row r="2689">
      <c r="A2689" s="14"/>
      <c r="B2689" s="14"/>
      <c r="C2689" s="14"/>
      <c r="D2689" s="14"/>
      <c r="E2689" s="14"/>
      <c r="F2689" s="14"/>
      <c r="G2689" s="14"/>
      <c r="H2689" s="14"/>
      <c r="I2689" s="14"/>
      <c r="J2689" s="14"/>
      <c r="K2689" s="14"/>
      <c r="L2689" s="14"/>
      <c r="M2689" s="14"/>
      <c r="N2689" s="14"/>
    </row>
    <row r="2690">
      <c r="A2690" s="14"/>
      <c r="B2690" s="14"/>
      <c r="C2690" s="14"/>
      <c r="D2690" s="14"/>
      <c r="E2690" s="14"/>
      <c r="F2690" s="14"/>
      <c r="G2690" s="14"/>
      <c r="H2690" s="14"/>
      <c r="I2690" s="14"/>
      <c r="J2690" s="14"/>
      <c r="K2690" s="14"/>
      <c r="L2690" s="14"/>
      <c r="M2690" s="14"/>
      <c r="N2690" s="14"/>
    </row>
    <row r="2691">
      <c r="A2691" s="14"/>
      <c r="B2691" s="14"/>
      <c r="C2691" s="14"/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</row>
    <row r="2692">
      <c r="A2692" s="14"/>
      <c r="B2692" s="14"/>
      <c r="C2692" s="14"/>
      <c r="D2692" s="14"/>
      <c r="E2692" s="14"/>
      <c r="F2692" s="14"/>
      <c r="G2692" s="14"/>
      <c r="H2692" s="14"/>
      <c r="I2692" s="14"/>
      <c r="J2692" s="14"/>
      <c r="K2692" s="14"/>
      <c r="L2692" s="14"/>
      <c r="M2692" s="14"/>
      <c r="N2692" s="14"/>
    </row>
    <row r="2693">
      <c r="A2693" s="14"/>
      <c r="B2693" s="14"/>
      <c r="C2693" s="14"/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262</v>
      </c>
      <c r="B1" s="2" t="s">
        <v>263</v>
      </c>
      <c r="C1" s="2" t="s">
        <v>264</v>
      </c>
      <c r="D1" s="2" t="s">
        <v>265</v>
      </c>
      <c r="E1" s="2" t="s">
        <v>266</v>
      </c>
      <c r="F1" s="2" t="s">
        <v>267</v>
      </c>
      <c r="G1" s="2" t="s">
        <v>268</v>
      </c>
      <c r="H1" s="2" t="s">
        <v>269</v>
      </c>
      <c r="I1" s="2" t="s">
        <v>270</v>
      </c>
      <c r="J1" s="2" t="s">
        <v>271</v>
      </c>
      <c r="L1" s="28">
        <v>46113.0</v>
      </c>
      <c r="N1" s="1" t="str">
        <f>IFERROR(__xludf.DUMMYFUNCTION("QUERY(A1:J1497,""select * where A is not null and D &gt; 0 order by J desc"",1)"),"Product Name")</f>
        <v>Product Name</v>
      </c>
      <c r="O1" s="1" t="str">
        <f>IFERROR(__xludf.DUMMYFUNCTION("""COMPUTED_VALUE"""),"Last Month")</f>
        <v>Last Month</v>
      </c>
      <c r="P1" s="1" t="str">
        <f>IFERROR(__xludf.DUMMYFUNCTION("""COMPUTED_VALUE"""),"Avg 3M")</f>
        <v>Avg 3M</v>
      </c>
      <c r="Q1" s="1" t="str">
        <f>IFERROR(__xludf.DUMMYFUNCTION("""COMPUTED_VALUE"""),"Forecast")</f>
        <v>Forecast</v>
      </c>
      <c r="R1" s="1" t="str">
        <f>IFERROR(__xludf.DUMMYFUNCTION("""COMPUTED_VALUE"""),"Cost")</f>
        <v>Cost</v>
      </c>
      <c r="S1" s="1" t="str">
        <f>IFERROR(__xludf.DUMMYFUNCTION("""COMPUTED_VALUE"""),"Forecast Cost")</f>
        <v>Forecast Cost</v>
      </c>
      <c r="T1" s="1" t="str">
        <f>IFERROR(__xludf.DUMMYFUNCTION("""COMPUTED_VALUE"""),"Purchased This Month")</f>
        <v>Purchased This Month</v>
      </c>
      <c r="U1" s="1" t="str">
        <f>IFERROR(__xludf.DUMMYFUNCTION("""COMPUTED_VALUE"""),"Current Stock")</f>
        <v>Current Stock</v>
      </c>
      <c r="V1" s="1" t="str">
        <f>IFERROR(__xludf.DUMMYFUNCTION("""COMPUTED_VALUE"""),"Need to Buy")</f>
        <v>Need to Buy</v>
      </c>
      <c r="W1" s="1" t="str">
        <f>IFERROR(__xludf.DUMMYFUNCTION("""COMPUTED_VALUE"""),"Buy Cost")</f>
        <v>Buy Cost</v>
      </c>
    </row>
    <row r="2">
      <c r="A2" s="1" t="str">
        <f>IFERROR(__xludf.DUMMYFUNCTION("UNIQUE(FILTER(
VMS_Sales!D2:D1497,
VMS_Sales!D2:D1497&lt;&gt;"""",
VMS_Sales!D2:D1497&lt;&gt;""æœ•àë®¾ç½®"",
VMS_Sales!O2:O1497&gt;=EDATE($L$1,-2),
VMS_Sales!B2:B1497&lt;&gt;""DPMall""
))"),"Doritos cool ranc")</f>
        <v>Doritos cool ranc</v>
      </c>
      <c r="B2" s="1">
        <f>IF(A2="","",SUMIFS(VMS_Sales!F:F,VMS_Sales!D:D,A2,VMS_Sales!O:O,$L$2))</f>
        <v>974</v>
      </c>
      <c r="C2" s="1">
        <f>IF(A2="","",ROUND((
SUMIFS(VMS_Sales!F:F,VMS_Sales!D:D,A2,VMS_Sales!O:O,$L$1)+
SUMIFS(VMS_Sales!F:F,VMS_Sales!D:D,A2,VMS_Sales!O:O,$L$2)+
SUMIFS(VMS_Sales!F:F,VMS_Sales!D:D,A2,VMS_Sales!O:O,$L$3)
)/3,2))</f>
        <v>471</v>
      </c>
      <c r="D2" s="1">
        <f t="shared" ref="D2:D215" si="1">IF(C2="","",ROUND(C2*1.15,0))</f>
        <v>542</v>
      </c>
      <c r="E2" s="1">
        <f>IFERROR(__xludf.DUMMYFUNCTION("IFERROR(XLOOKUP(A2,FILTER(VMS_Sales!$D:$D,VMS_Sales!$O:$O=$L$2),FILTER(VMS_Sales!$L:$L,VMS_Sales!$O:$O=$L$2),""""),"""")"),2.93)</f>
        <v>2.93</v>
      </c>
      <c r="F2" s="1">
        <f t="shared" ref="F2:F215" si="2">IF(OR(D2="",E2=""),"",ROUND(D2*E2,2))</f>
        <v>1588.06</v>
      </c>
      <c r="G2" s="1">
        <f t="array" ref="G2">IFERROR(
SUMIFS(
PurchaseLines_Import!$I:$I,
PurchaseLines_Import!$C:$C, TEXT(XLOOKUP(A2,Map!$A:$A,Map!$B:$B,""),"0000"),
PurchaseLines_Import!$H:$H, $L$1
),
0)</f>
        <v>750</v>
      </c>
      <c r="H2" s="1">
        <f t="array" ref="H2">IFERROR(
SUMIFS(
Inventory_Import!$D:$D,
Inventory_Import!$B:$B, TEXT(XLOOKUP(A2,Map!$A:$A,Map!$B:$B,""),"0000")
),
0)</f>
        <v>148</v>
      </c>
      <c r="I2" s="1">
        <f t="shared" ref="I2:I97" si="3">IF(A2="","",MAX(D2-H2,0))</f>
        <v>394</v>
      </c>
      <c r="J2" s="1">
        <f t="shared" ref="J2:J118" si="4">IF(OR(I2="",E2=""),"",ROUND(I2*E2,2))</f>
        <v>1154.42</v>
      </c>
      <c r="L2" s="29">
        <f>EDATE(L1,-1)</f>
        <v>46082</v>
      </c>
      <c r="N2" s="1" t="str">
        <f>IFERROR(__xludf.DUMMYFUNCTION("""COMPUTED_VALUE"""),"X!R")</f>
        <v>X!R</v>
      </c>
      <c r="O2" s="1">
        <f>IFERROR(__xludf.DUMMYFUNCTION("""COMPUTED_VALUE"""),740.0)</f>
        <v>740</v>
      </c>
      <c r="P2" s="1">
        <f>IFERROR(__xludf.DUMMYFUNCTION("""COMPUTED_VALUE"""),383.0)</f>
        <v>383</v>
      </c>
      <c r="Q2" s="1">
        <f>IFERROR(__xludf.DUMMYFUNCTION("""COMPUTED_VALUE"""),440.0)</f>
        <v>440</v>
      </c>
      <c r="R2" s="1">
        <f>IFERROR(__xludf.DUMMYFUNCTION("""COMPUTED_VALUE"""),4.29)</f>
        <v>4.29</v>
      </c>
      <c r="S2" s="1">
        <f>IFERROR(__xludf.DUMMYFUNCTION("""COMPUTED_VALUE"""),1887.6)</f>
        <v>1887.6</v>
      </c>
      <c r="T2" s="1">
        <f>IFERROR(__xludf.DUMMYFUNCTION("""COMPUTED_VALUE"""),360.0)</f>
        <v>360</v>
      </c>
      <c r="U2" s="1">
        <f>IFERROR(__xludf.DUMMYFUNCTION("""COMPUTED_VALUE"""),59.0)</f>
        <v>59</v>
      </c>
      <c r="V2" s="1">
        <f>IFERROR(__xludf.DUMMYFUNCTION("""COMPUTED_VALUE"""),381.0)</f>
        <v>381</v>
      </c>
      <c r="W2" s="1">
        <f>IFERROR(__xludf.DUMMYFUNCTION("""COMPUTED_VALUE"""),1634.49)</f>
        <v>1634.49</v>
      </c>
    </row>
    <row r="3">
      <c r="A3" s="1" t="str">
        <f>IFERROR(__xludf.DUMMYFUNCTION("""COMPUTED_VALUE"""),"Water")</f>
        <v>Water</v>
      </c>
      <c r="B3" s="1">
        <f>IF(A3="","",SUMIFS(VMS_Sales!F:F,VMS_Sales!D:D,A3,VMS_Sales!O:O,$L$2))</f>
        <v>2806</v>
      </c>
      <c r="C3" s="1">
        <f>IF(A3="","",ROUND((
SUMIFS(VMS_Sales!F:F,VMS_Sales!D:D,A3,VMS_Sales!O:O,$L$1)+
SUMIFS(VMS_Sales!F:F,VMS_Sales!D:D,A3,VMS_Sales!O:O,$L$2)+
SUMIFS(VMS_Sales!F:F,VMS_Sales!D:D,A3,VMS_Sales!O:O,$L$3)
)/3,2))</f>
        <v>1785.67</v>
      </c>
      <c r="D3" s="1">
        <f t="shared" si="1"/>
        <v>2054</v>
      </c>
      <c r="E3" s="1">
        <f>IFERROR(__xludf.DUMMYFUNCTION("IFERROR(XLOOKUP(A3,FILTER(VMS_Sales!$D:$D,VMS_Sales!$O:$O=$L$2),FILTER(VMS_Sales!$L:$L,VMS_Sales!$O:$O=$L$2),""""),"""")"),0.28)</f>
        <v>0.28</v>
      </c>
      <c r="F3" s="1">
        <f t="shared" si="2"/>
        <v>575.12</v>
      </c>
      <c r="G3" s="1">
        <f t="array" ref="G3">IFERROR(
SUMIFS(
PurchaseLines_Import!$I:$I,
PurchaseLines_Import!$C:$C, TEXT(XLOOKUP(A3,Map!$A:$A,Map!$B:$B,""),"0000"),
PurchaseLines_Import!$H:$H, $L$1
),
0)</f>
        <v>2328</v>
      </c>
      <c r="H3" s="1">
        <f t="array" ref="H3">IFERROR(
SUMIFS(
Inventory_Import!$D:$D,
Inventory_Import!$B:$B, TEXT(XLOOKUP(A3,Map!$A:$A,Map!$B:$B,""),"0000")
),
0)</f>
        <v>84</v>
      </c>
      <c r="I3" s="1">
        <f t="shared" si="3"/>
        <v>1970</v>
      </c>
      <c r="J3" s="1">
        <f t="shared" si="4"/>
        <v>551.6</v>
      </c>
      <c r="L3" s="29">
        <f>EDATE(L1,-2)</f>
        <v>46054</v>
      </c>
      <c r="N3" s="1" t="str">
        <f>IFERROR(__xludf.DUMMYFUNCTION("""COMPUTED_VALUE"""),"Doritos cool ranc")</f>
        <v>Doritos cool ranc</v>
      </c>
      <c r="O3" s="1">
        <f>IFERROR(__xludf.DUMMYFUNCTION("""COMPUTED_VALUE"""),974.0)</f>
        <v>974</v>
      </c>
      <c r="P3" s="1">
        <f>IFERROR(__xludf.DUMMYFUNCTION("""COMPUTED_VALUE"""),471.0)</f>
        <v>471</v>
      </c>
      <c r="Q3" s="1">
        <f>IFERROR(__xludf.DUMMYFUNCTION("""COMPUTED_VALUE"""),542.0)</f>
        <v>542</v>
      </c>
      <c r="R3" s="1">
        <f>IFERROR(__xludf.DUMMYFUNCTION("""COMPUTED_VALUE"""),2.93)</f>
        <v>2.93</v>
      </c>
      <c r="S3" s="1">
        <f>IFERROR(__xludf.DUMMYFUNCTION("""COMPUTED_VALUE"""),1588.06)</f>
        <v>1588.06</v>
      </c>
      <c r="T3" s="1">
        <f>IFERROR(__xludf.DUMMYFUNCTION("""COMPUTED_VALUE"""),750.0)</f>
        <v>750</v>
      </c>
      <c r="U3" s="1">
        <f>IFERROR(__xludf.DUMMYFUNCTION("""COMPUTED_VALUE"""),148.0)</f>
        <v>148</v>
      </c>
      <c r="V3" s="1">
        <f>IFERROR(__xludf.DUMMYFUNCTION("""COMPUTED_VALUE"""),394.0)</f>
        <v>394</v>
      </c>
      <c r="W3" s="1">
        <f>IFERROR(__xludf.DUMMYFUNCTION("""COMPUTED_VALUE"""),1154.42)</f>
        <v>1154.42</v>
      </c>
    </row>
    <row r="4">
      <c r="A4" s="1" t="str">
        <f>IFERROR(__xludf.DUMMYFUNCTION("""COMPUTED_VALUE"""),"Maltesers")</f>
        <v>Maltesers</v>
      </c>
      <c r="B4" s="1">
        <f>IF(A4="","",SUMIFS(VMS_Sales!F:F,VMS_Sales!D:D,A4,VMS_Sales!O:O,$L$2))</f>
        <v>90</v>
      </c>
      <c r="C4" s="1">
        <f>IF(A4="","",ROUND((
SUMIFS(VMS_Sales!F:F,VMS_Sales!D:D,A4,VMS_Sales!O:O,$L$1)+
SUMIFS(VMS_Sales!F:F,VMS_Sales!D:D,A4,VMS_Sales!O:O,$L$2)+
SUMIFS(VMS_Sales!F:F,VMS_Sales!D:D,A4,VMS_Sales!O:O,$L$3)
)/3,2))</f>
        <v>49.67</v>
      </c>
      <c r="D4" s="1">
        <f t="shared" si="1"/>
        <v>57</v>
      </c>
      <c r="E4" s="1">
        <f>IFERROR(__xludf.DUMMYFUNCTION("IFERROR(XLOOKUP(A4,FILTER(VMS_Sales!$D:$D,VMS_Sales!$O:$O=$L$2),FILTER(VMS_Sales!$L:$L,VMS_Sales!$O:$O=$L$2),""""),"""")"),7.5)</f>
        <v>7.5</v>
      </c>
      <c r="F4" s="1">
        <f t="shared" si="2"/>
        <v>427.5</v>
      </c>
      <c r="G4" s="1">
        <f t="array" ref="G4">IFERROR(
SUMIFS(
PurchaseLines_Import!$I:$I,
PurchaseLines_Import!$C:$C, TEXT(XLOOKUP(A4,Map!$A:$A,Map!$B:$B,""),"0000"),
PurchaseLines_Import!$H:$H, $L$1
),
0)</f>
        <v>0</v>
      </c>
      <c r="H4" s="1">
        <f t="array" ref="H4">IFERROR(
SUMIFS(
Inventory_Import!$D:$D,
Inventory_Import!$B:$B, TEXT(XLOOKUP(A4,Map!$A:$A,Map!$B:$B,""),"0000")
),
0)</f>
        <v>0</v>
      </c>
      <c r="I4" s="1">
        <f t="shared" si="3"/>
        <v>57</v>
      </c>
      <c r="J4" s="1">
        <f t="shared" si="4"/>
        <v>427.5</v>
      </c>
      <c r="N4" s="1" t="str">
        <f>IFERROR(__xludf.DUMMYFUNCTION("""COMPUTED_VALUE"""),"MR Crunch")</f>
        <v>MR Crunch</v>
      </c>
      <c r="O4" s="1">
        <f>IFERROR(__xludf.DUMMYFUNCTION("""COMPUTED_VALUE"""),457.0)</f>
        <v>457</v>
      </c>
      <c r="P4" s="1">
        <f>IFERROR(__xludf.DUMMYFUNCTION("""COMPUTED_VALUE"""),355.0)</f>
        <v>355</v>
      </c>
      <c r="Q4" s="1">
        <f>IFERROR(__xludf.DUMMYFUNCTION("""COMPUTED_VALUE"""),408.0)</f>
        <v>408</v>
      </c>
      <c r="R4" s="1">
        <f>IFERROR(__xludf.DUMMYFUNCTION("""COMPUTED_VALUE"""),3.0)</f>
        <v>3</v>
      </c>
      <c r="S4" s="1">
        <f>IFERROR(__xludf.DUMMYFUNCTION("""COMPUTED_VALUE"""),1224.0)</f>
        <v>1224</v>
      </c>
      <c r="T4" s="1">
        <f>IFERROR(__xludf.DUMMYFUNCTION("""COMPUTED_VALUE"""),450.0)</f>
        <v>450</v>
      </c>
      <c r="U4" s="1">
        <f>IFERROR(__xludf.DUMMYFUNCTION("""COMPUTED_VALUE"""),95.0)</f>
        <v>95</v>
      </c>
      <c r="V4" s="1">
        <f>IFERROR(__xludf.DUMMYFUNCTION("""COMPUTED_VALUE"""),313.0)</f>
        <v>313</v>
      </c>
      <c r="W4" s="1">
        <f>IFERROR(__xludf.DUMMYFUNCTION("""COMPUTED_VALUE"""),939.0)</f>
        <v>939</v>
      </c>
    </row>
    <row r="5">
      <c r="A5" s="1" t="str">
        <f>IFERROR(__xludf.DUMMYFUNCTION("""COMPUTED_VALUE"""),"Schweppes")</f>
        <v>Schweppes</v>
      </c>
      <c r="B5" s="1">
        <f>IF(A5="","",SUMIFS(VMS_Sales!F:F,VMS_Sales!D:D,A5,VMS_Sales!O:O,$L$2))</f>
        <v>8</v>
      </c>
      <c r="C5" s="1">
        <f>IF(A5="","",ROUND((
SUMIFS(VMS_Sales!F:F,VMS_Sales!D:D,A5,VMS_Sales!O:O,$L$1)+
SUMIFS(VMS_Sales!F:F,VMS_Sales!D:D,A5,VMS_Sales!O:O,$L$2)+
SUMIFS(VMS_Sales!F:F,VMS_Sales!D:D,A5,VMS_Sales!O:O,$L$3)
)/3,2))</f>
        <v>7.67</v>
      </c>
      <c r="D5" s="1">
        <f t="shared" si="1"/>
        <v>9</v>
      </c>
      <c r="E5" s="1">
        <f>IFERROR(__xludf.DUMMYFUNCTION("IFERROR(XLOOKUP(A5,FILTER(VMS_Sales!$D:$D,VMS_Sales!$O:$O=$L$2),FILTER(VMS_Sales!$L:$L,VMS_Sales!$O:$O=$L$2),""""),"""")"),2.0)</f>
        <v>2</v>
      </c>
      <c r="F5" s="1">
        <f t="shared" si="2"/>
        <v>18</v>
      </c>
      <c r="G5" s="1">
        <f t="array" ref="G5">IFERROR(
SUMIFS(
PurchaseLines_Import!$I:$I,
PurchaseLines_Import!$C:$C, TEXT(XLOOKUP(A5,Map!$A:$A,Map!$B:$B,""),"0000"),
PurchaseLines_Import!$H:$H, $L$1
),
0)</f>
        <v>0</v>
      </c>
      <c r="H5" s="1">
        <f t="array" ref="H5">IFERROR(
SUMIFS(
Inventory_Import!$D:$D,
Inventory_Import!$B:$B, TEXT(XLOOKUP(A5,Map!$A:$A,Map!$B:$B,""),"0000")
),
0)</f>
        <v>0</v>
      </c>
      <c r="I5" s="1">
        <f t="shared" si="3"/>
        <v>9</v>
      </c>
      <c r="J5" s="1">
        <f t="shared" si="4"/>
        <v>18</v>
      </c>
      <c r="N5" s="1" t="str">
        <f>IFERROR(__xludf.DUMMYFUNCTION("""COMPUTED_VALUE"""),"Pepsi")</f>
        <v>Pepsi</v>
      </c>
      <c r="O5" s="1">
        <f>IFERROR(__xludf.DUMMYFUNCTION("""COMPUTED_VALUE"""),499.0)</f>
        <v>499</v>
      </c>
      <c r="P5" s="1">
        <f>IFERROR(__xludf.DUMMYFUNCTION("""COMPUTED_VALUE"""),279.67)</f>
        <v>279.67</v>
      </c>
      <c r="Q5" s="1">
        <f>IFERROR(__xludf.DUMMYFUNCTION("""COMPUTED_VALUE"""),322.0)</f>
        <v>322</v>
      </c>
      <c r="R5" s="1">
        <f>IFERROR(__xludf.DUMMYFUNCTION("""COMPUTED_VALUE"""),2.25)</f>
        <v>2.25</v>
      </c>
      <c r="S5" s="1">
        <f>IFERROR(__xludf.DUMMYFUNCTION("""COMPUTED_VALUE"""),724.5)</f>
        <v>724.5</v>
      </c>
      <c r="T5" s="1">
        <f>IFERROR(__xludf.DUMMYFUNCTION("""COMPUTED_VALUE"""),408.0)</f>
        <v>408</v>
      </c>
      <c r="U5" s="1">
        <f>IFERROR(__xludf.DUMMYFUNCTION("""COMPUTED_VALUE"""),-5.0)</f>
        <v>-5</v>
      </c>
      <c r="V5" s="1">
        <f>IFERROR(__xludf.DUMMYFUNCTION("""COMPUTED_VALUE"""),327.0)</f>
        <v>327</v>
      </c>
      <c r="W5" s="1">
        <f>IFERROR(__xludf.DUMMYFUNCTION("""COMPUTED_VALUE"""),735.75)</f>
        <v>735.75</v>
      </c>
    </row>
    <row r="6">
      <c r="A6" s="1" t="str">
        <f>IFERROR(__xludf.DUMMYFUNCTION("""COMPUTED_VALUE"""),"Xo Energy")</f>
        <v>Xo Energy</v>
      </c>
      <c r="B6" s="1">
        <f>IF(A6="","",SUMIFS(VMS_Sales!F:F,VMS_Sales!D:D,A6,VMS_Sales!O:O,$L$2))</f>
        <v>6</v>
      </c>
      <c r="C6" s="1">
        <f>IF(A6="","",ROUND((
SUMIFS(VMS_Sales!F:F,VMS_Sales!D:D,A6,VMS_Sales!O:O,$L$1)+
SUMIFS(VMS_Sales!F:F,VMS_Sales!D:D,A6,VMS_Sales!O:O,$L$2)+
SUMIFS(VMS_Sales!F:F,VMS_Sales!D:D,A6,VMS_Sales!O:O,$L$3)
)/3,2))</f>
        <v>16</v>
      </c>
      <c r="D6" s="1">
        <f t="shared" si="1"/>
        <v>18</v>
      </c>
      <c r="E6" s="1">
        <f>IFERROR(__xludf.DUMMYFUNCTION("IFERROR(XLOOKUP(A6,FILTER(VMS_Sales!$D:$D,VMS_Sales!$O:$O=$L$2),FILTER(VMS_Sales!$L:$L,VMS_Sales!$O:$O=$L$2),""""),"""")"),3.45)</f>
        <v>3.45</v>
      </c>
      <c r="F6" s="1">
        <f t="shared" si="2"/>
        <v>62.1</v>
      </c>
      <c r="G6" s="1">
        <f t="array" ref="G6">IFERROR(
SUMIFS(
PurchaseLines_Import!$I:$I,
PurchaseLines_Import!$C:$C, TEXT(XLOOKUP(A6,Map!$A:$A,Map!$B:$B,""),"0000"),
PurchaseLines_Import!$H:$H, $L$1
),
0)</f>
        <v>0</v>
      </c>
      <c r="H6" s="1">
        <f t="array" ref="H6">IFERROR(
SUMIFS(
Inventory_Import!$D:$D,
Inventory_Import!$B:$B, TEXT(XLOOKUP(A6,Map!$A:$A,Map!$B:$B,""),"0000")
),
0)</f>
        <v>0</v>
      </c>
      <c r="I6" s="1">
        <f t="shared" si="3"/>
        <v>18</v>
      </c>
      <c r="J6" s="1">
        <f t="shared" si="4"/>
        <v>62.1</v>
      </c>
      <c r="N6" s="1" t="str">
        <f>IFERROR(__xludf.DUMMYFUNCTION("""COMPUTED_VALUE"""),"Kinder Bueno")</f>
        <v>Kinder Bueno</v>
      </c>
      <c r="O6" s="1">
        <f>IFERROR(__xludf.DUMMYFUNCTION("""COMPUTED_VALUE"""),151.0)</f>
        <v>151</v>
      </c>
      <c r="P6" s="1">
        <f>IFERROR(__xludf.DUMMYFUNCTION("""COMPUTED_VALUE"""),90.0)</f>
        <v>90</v>
      </c>
      <c r="Q6" s="1">
        <f>IFERROR(__xludf.DUMMYFUNCTION("""COMPUTED_VALUE"""),104.0)</f>
        <v>104</v>
      </c>
      <c r="R6" s="1">
        <f>IFERROR(__xludf.DUMMYFUNCTION("""COMPUTED_VALUE"""),7.0)</f>
        <v>7</v>
      </c>
      <c r="S6" s="1">
        <f>IFERROR(__xludf.DUMMYFUNCTION("""COMPUTED_VALUE"""),728.0)</f>
        <v>728</v>
      </c>
      <c r="T6" s="1">
        <f>IFERROR(__xludf.DUMMYFUNCTION("""COMPUTED_VALUE"""),205.0)</f>
        <v>205</v>
      </c>
      <c r="U6" s="1">
        <f>IFERROR(__xludf.DUMMYFUNCTION("""COMPUTED_VALUE"""),7.0)</f>
        <v>7</v>
      </c>
      <c r="V6" s="1">
        <f>IFERROR(__xludf.DUMMYFUNCTION("""COMPUTED_VALUE"""),97.0)</f>
        <v>97</v>
      </c>
      <c r="W6" s="1">
        <f>IFERROR(__xludf.DUMMYFUNCTION("""COMPUTED_VALUE"""),679.0)</f>
        <v>679</v>
      </c>
    </row>
    <row r="7">
      <c r="A7" s="1" t="str">
        <f>IFERROR(__xludf.DUMMYFUNCTION("""COMPUTED_VALUE"""),"X!R")</f>
        <v>X!R</v>
      </c>
      <c r="B7" s="1">
        <f>IF(A7="","",SUMIFS(VMS_Sales!F:F,VMS_Sales!D:D,A7,VMS_Sales!O:O,$L$2))</f>
        <v>740</v>
      </c>
      <c r="C7" s="1">
        <f>IF(A7="","",ROUND((
SUMIFS(VMS_Sales!F:F,VMS_Sales!D:D,A7,VMS_Sales!O:O,$L$1)+
SUMIFS(VMS_Sales!F:F,VMS_Sales!D:D,A7,VMS_Sales!O:O,$L$2)+
SUMIFS(VMS_Sales!F:F,VMS_Sales!D:D,A7,VMS_Sales!O:O,$L$3)
)/3,2))</f>
        <v>383</v>
      </c>
      <c r="D7" s="1">
        <f t="shared" si="1"/>
        <v>440</v>
      </c>
      <c r="E7" s="1">
        <f>IFERROR(__xludf.DUMMYFUNCTION("IFERROR(XLOOKUP(A7,FILTER(VMS_Sales!$D:$D,VMS_Sales!$O:$O=$L$2),FILTER(VMS_Sales!$L:$L,VMS_Sales!$O:$O=$L$2),""""),"""")"),4.29)</f>
        <v>4.29</v>
      </c>
      <c r="F7" s="1">
        <f t="shared" si="2"/>
        <v>1887.6</v>
      </c>
      <c r="G7" s="1">
        <f t="array" ref="G7">IFERROR(
SUMIFS(
PurchaseLines_Import!$I:$I,
PurchaseLines_Import!$C:$C, TEXT(XLOOKUP(A7,Map!$A:$A,Map!$B:$B,""),"0000"),
PurchaseLines_Import!$H:$H, $L$1
),
0)</f>
        <v>360</v>
      </c>
      <c r="H7" s="1">
        <f t="array" ref="H7">IFERROR(
SUMIFS(
Inventory_Import!$D:$D,
Inventory_Import!$B:$B, TEXT(XLOOKUP(A7,Map!$A:$A,Map!$B:$B,""),"0000")
),
0)</f>
        <v>59</v>
      </c>
      <c r="I7" s="1">
        <f t="shared" si="3"/>
        <v>381</v>
      </c>
      <c r="J7" s="1">
        <f t="shared" si="4"/>
        <v>1634.49</v>
      </c>
      <c r="N7" s="1" t="str">
        <f>IFERROR(__xludf.DUMMYFUNCTION("""COMPUTED_VALUE"""),"Laviva")</f>
        <v>Laviva</v>
      </c>
      <c r="O7" s="1">
        <f>IFERROR(__xludf.DUMMYFUNCTION("""COMPUTED_VALUE"""),373.0)</f>
        <v>373</v>
      </c>
      <c r="P7" s="1">
        <f>IFERROR(__xludf.DUMMYFUNCTION("""COMPUTED_VALUE"""),236.0)</f>
        <v>236</v>
      </c>
      <c r="Q7" s="1">
        <f>IFERROR(__xludf.DUMMYFUNCTION("""COMPUTED_VALUE"""),271.0)</f>
        <v>271</v>
      </c>
      <c r="R7" s="1">
        <f>IFERROR(__xludf.DUMMYFUNCTION("""COMPUTED_VALUE"""),2.25)</f>
        <v>2.25</v>
      </c>
      <c r="S7" s="1">
        <f>IFERROR(__xludf.DUMMYFUNCTION("""COMPUTED_VALUE"""),609.75)</f>
        <v>609.75</v>
      </c>
      <c r="T7" s="1">
        <f>IFERROR(__xludf.DUMMYFUNCTION("""COMPUTED_VALUE"""),168.0)</f>
        <v>168</v>
      </c>
      <c r="U7" s="1">
        <f>IFERROR(__xludf.DUMMYFUNCTION("""COMPUTED_VALUE"""),7.0)</f>
        <v>7</v>
      </c>
      <c r="V7" s="1">
        <f>IFERROR(__xludf.DUMMYFUNCTION("""COMPUTED_VALUE"""),264.0)</f>
        <v>264</v>
      </c>
      <c r="W7" s="1">
        <f>IFERROR(__xludf.DUMMYFUNCTION("""COMPUTED_VALUE"""),594.0)</f>
        <v>594</v>
      </c>
    </row>
    <row r="8">
      <c r="A8" s="1" t="str">
        <f>IFERROR(__xludf.DUMMYFUNCTION("""COMPUTED_VALUE"""),"Kinder Bueno")</f>
        <v>Kinder Bueno</v>
      </c>
      <c r="B8" s="1">
        <f>IF(A8="","",SUMIFS(VMS_Sales!F:F,VMS_Sales!D:D,A8,VMS_Sales!O:O,$L$2))</f>
        <v>151</v>
      </c>
      <c r="C8" s="1">
        <f>IF(A8="","",ROUND((
SUMIFS(VMS_Sales!F:F,VMS_Sales!D:D,A8,VMS_Sales!O:O,$L$1)+
SUMIFS(VMS_Sales!F:F,VMS_Sales!D:D,A8,VMS_Sales!O:O,$L$2)+
SUMIFS(VMS_Sales!F:F,VMS_Sales!D:D,A8,VMS_Sales!O:O,$L$3)
)/3,2))</f>
        <v>90</v>
      </c>
      <c r="D8" s="1">
        <f t="shared" si="1"/>
        <v>104</v>
      </c>
      <c r="E8" s="1">
        <f>IFERROR(__xludf.DUMMYFUNCTION("IFERROR(XLOOKUP(A8,FILTER(VMS_Sales!$D:$D,VMS_Sales!$O:$O=$L$2),FILTER(VMS_Sales!$L:$L,VMS_Sales!$O:$O=$L$2),""""),"""")"),7.0)</f>
        <v>7</v>
      </c>
      <c r="F8" s="1">
        <f t="shared" si="2"/>
        <v>728</v>
      </c>
      <c r="G8" s="1">
        <f t="array" ref="G8">IFERROR(
SUMIFS(
PurchaseLines_Import!$I:$I,
PurchaseLines_Import!$C:$C, TEXT(XLOOKUP(A8,Map!$A:$A,Map!$B:$B,""),"0000"),
PurchaseLines_Import!$H:$H, $L$1
),
0)</f>
        <v>205</v>
      </c>
      <c r="H8" s="1">
        <f t="array" ref="H8">IFERROR(
SUMIFS(
Inventory_Import!$D:$D,
Inventory_Import!$B:$B, TEXT(XLOOKUP(A8,Map!$A:$A,Map!$B:$B,""),"0000")
),
0)</f>
        <v>7</v>
      </c>
      <c r="I8" s="1">
        <f t="shared" si="3"/>
        <v>97</v>
      </c>
      <c r="J8" s="1">
        <f t="shared" si="4"/>
        <v>679</v>
      </c>
      <c r="N8" s="1" t="str">
        <f>IFERROR(__xludf.DUMMYFUNCTION("""COMPUTED_VALUE"""),"Turbo strips")</f>
        <v>Turbo strips</v>
      </c>
      <c r="O8" s="1">
        <f>IFERROR(__xludf.DUMMYFUNCTION("""COMPUTED_VALUE"""),120.0)</f>
        <v>120</v>
      </c>
      <c r="P8" s="1">
        <f>IFERROR(__xludf.DUMMYFUNCTION("""COMPUTED_VALUE"""),121.0)</f>
        <v>121</v>
      </c>
      <c r="Q8" s="1">
        <f>IFERROR(__xludf.DUMMYFUNCTION("""COMPUTED_VALUE"""),139.0)</f>
        <v>139</v>
      </c>
      <c r="R8" s="1">
        <f>IFERROR(__xludf.DUMMYFUNCTION("""COMPUTED_VALUE"""),4.08)</f>
        <v>4.08</v>
      </c>
      <c r="S8" s="1">
        <f>IFERROR(__xludf.DUMMYFUNCTION("""COMPUTED_VALUE"""),567.12)</f>
        <v>567.12</v>
      </c>
      <c r="T8" s="1">
        <f>IFERROR(__xludf.DUMMYFUNCTION("""COMPUTED_VALUE"""),138.0)</f>
        <v>138</v>
      </c>
      <c r="U8" s="1">
        <f>IFERROR(__xludf.DUMMYFUNCTION("""COMPUTED_VALUE"""),0.0)</f>
        <v>0</v>
      </c>
      <c r="V8" s="1">
        <f>IFERROR(__xludf.DUMMYFUNCTION("""COMPUTED_VALUE"""),139.0)</f>
        <v>139</v>
      </c>
      <c r="W8" s="1">
        <f>IFERROR(__xludf.DUMMYFUNCTION("""COMPUTED_VALUE"""),567.12)</f>
        <v>567.12</v>
      </c>
    </row>
    <row r="9">
      <c r="A9" s="1" t="str">
        <f>IFERROR(__xludf.DUMMYFUNCTION("""COMPUTED_VALUE"""),"mr bite")</f>
        <v>mr bite</v>
      </c>
      <c r="B9" s="1">
        <f>IF(A9="","",SUMIFS(VMS_Sales!F:F,VMS_Sales!D:D,A9,VMS_Sales!O:O,$L$2))</f>
        <v>342</v>
      </c>
      <c r="C9" s="1">
        <f>IF(A9="","",ROUND((
SUMIFS(VMS_Sales!F:F,VMS_Sales!D:D,A9,VMS_Sales!O:O,$L$1)+
SUMIFS(VMS_Sales!F:F,VMS_Sales!D:D,A9,VMS_Sales!O:O,$L$2)+
SUMIFS(VMS_Sales!F:F,VMS_Sales!D:D,A9,VMS_Sales!O:O,$L$3)
)/3,2))</f>
        <v>188</v>
      </c>
      <c r="D9" s="1">
        <f t="shared" si="1"/>
        <v>216</v>
      </c>
      <c r="E9" s="1">
        <f>IFERROR(__xludf.DUMMYFUNCTION("IFERROR(XLOOKUP(A9,FILTER(VMS_Sales!$D:$D,VMS_Sales!$O:$O=$L$2),FILTER(VMS_Sales!$L:$L,VMS_Sales!$O:$O=$L$2),""""),"""")"),1.79)</f>
        <v>1.79</v>
      </c>
      <c r="F9" s="1">
        <f t="shared" si="2"/>
        <v>386.64</v>
      </c>
      <c r="G9" s="1">
        <f t="array" ref="G9">IFERROR(
SUMIFS(
PurchaseLines_Import!$I:$I,
PurchaseLines_Import!$C:$C, TEXT(XLOOKUP(A9,Map!$A:$A,Map!$B:$B,""),"0000"),
PurchaseLines_Import!$H:$H, $L$1
),
0)</f>
        <v>48</v>
      </c>
      <c r="H9" s="1">
        <f t="array" ref="H9">IFERROR(
SUMIFS(
Inventory_Import!$D:$D,
Inventory_Import!$B:$B, TEXT(XLOOKUP(A9,Map!$A:$A,Map!$B:$B,""),"0000")
),
0)</f>
        <v>6</v>
      </c>
      <c r="I9" s="1">
        <f t="shared" si="3"/>
        <v>210</v>
      </c>
      <c r="J9" s="1">
        <f t="shared" si="4"/>
        <v>375.9</v>
      </c>
      <c r="N9" s="1" t="str">
        <f>IFERROR(__xludf.DUMMYFUNCTION("""COMPUTED_VALUE"""),"Water")</f>
        <v>Water</v>
      </c>
      <c r="O9" s="1">
        <f>IFERROR(__xludf.DUMMYFUNCTION("""COMPUTED_VALUE"""),2806.0)</f>
        <v>2806</v>
      </c>
      <c r="P9" s="1">
        <f>IFERROR(__xludf.DUMMYFUNCTION("""COMPUTED_VALUE"""),1785.67)</f>
        <v>1785.67</v>
      </c>
      <c r="Q9" s="1">
        <f>IFERROR(__xludf.DUMMYFUNCTION("""COMPUTED_VALUE"""),2054.0)</f>
        <v>2054</v>
      </c>
      <c r="R9" s="1">
        <f>IFERROR(__xludf.DUMMYFUNCTION("""COMPUTED_VALUE"""),0.28)</f>
        <v>0.28</v>
      </c>
      <c r="S9" s="1">
        <f>IFERROR(__xludf.DUMMYFUNCTION("""COMPUTED_VALUE"""),575.12)</f>
        <v>575.12</v>
      </c>
      <c r="T9" s="1">
        <f>IFERROR(__xludf.DUMMYFUNCTION("""COMPUTED_VALUE"""),2328.0)</f>
        <v>2328</v>
      </c>
      <c r="U9" s="1">
        <f>IFERROR(__xludf.DUMMYFUNCTION("""COMPUTED_VALUE"""),84.0)</f>
        <v>84</v>
      </c>
      <c r="V9" s="1">
        <f>IFERROR(__xludf.DUMMYFUNCTION("""COMPUTED_VALUE"""),1970.0)</f>
        <v>1970</v>
      </c>
      <c r="W9" s="1">
        <f>IFERROR(__xludf.DUMMYFUNCTION("""COMPUTED_VALUE"""),551.6)</f>
        <v>551.6</v>
      </c>
    </row>
    <row r="10">
      <c r="A10" s="1" t="str">
        <f>IFERROR(__xludf.DUMMYFUNCTION("""COMPUTED_VALUE"""),"Laviva")</f>
        <v>Laviva</v>
      </c>
      <c r="B10" s="1">
        <f>IF(A10="","",SUMIFS(VMS_Sales!F:F,VMS_Sales!D:D,A10,VMS_Sales!O:O,$L$2))</f>
        <v>373</v>
      </c>
      <c r="C10" s="1">
        <f>IF(A10="","",ROUND((
SUMIFS(VMS_Sales!F:F,VMS_Sales!D:D,A10,VMS_Sales!O:O,$L$1)+
SUMIFS(VMS_Sales!F:F,VMS_Sales!D:D,A10,VMS_Sales!O:O,$L$2)+
SUMIFS(VMS_Sales!F:F,VMS_Sales!D:D,A10,VMS_Sales!O:O,$L$3)
)/3,2))</f>
        <v>236</v>
      </c>
      <c r="D10" s="1">
        <f t="shared" si="1"/>
        <v>271</v>
      </c>
      <c r="E10" s="1">
        <f>IFERROR(__xludf.DUMMYFUNCTION("IFERROR(XLOOKUP(A10,FILTER(VMS_Sales!$D:$D,VMS_Sales!$O:$O=$L$2),FILTER(VMS_Sales!$L:$L,VMS_Sales!$O:$O=$L$2),""""),"""")"),2.25)</f>
        <v>2.25</v>
      </c>
      <c r="F10" s="1">
        <f t="shared" si="2"/>
        <v>609.75</v>
      </c>
      <c r="G10" s="1">
        <f t="array" ref="G10">IFERROR(
SUMIFS(
PurchaseLines_Import!$I:$I,
PurchaseLines_Import!$C:$C, TEXT(XLOOKUP(A10,Map!$A:$A,Map!$B:$B,""),"0000"),
PurchaseLines_Import!$H:$H, $L$1
),
0)</f>
        <v>168</v>
      </c>
      <c r="H10" s="1">
        <f t="array" ref="H10">IFERROR(
SUMIFS(
Inventory_Import!$D:$D,
Inventory_Import!$B:$B, TEXT(XLOOKUP(A10,Map!$A:$A,Map!$B:$B,""),"0000")
),
0)</f>
        <v>7</v>
      </c>
      <c r="I10" s="1">
        <f t="shared" si="3"/>
        <v>264</v>
      </c>
      <c r="J10" s="1">
        <f t="shared" si="4"/>
        <v>594</v>
      </c>
      <c r="N10" s="1" t="str">
        <f>IFERROR(__xludf.DUMMYFUNCTION("""COMPUTED_VALUE"""),"Doritos green hot")</f>
        <v>Doritos green hot</v>
      </c>
      <c r="O10" s="1">
        <f>IFERROR(__xludf.DUMMYFUNCTION("""COMPUTED_VALUE"""),187.0)</f>
        <v>187</v>
      </c>
      <c r="P10" s="1">
        <f>IFERROR(__xludf.DUMMYFUNCTION("""COMPUTED_VALUE"""),191.0)</f>
        <v>191</v>
      </c>
      <c r="Q10" s="1">
        <f>IFERROR(__xludf.DUMMYFUNCTION("""COMPUTED_VALUE"""),220.0)</f>
        <v>220</v>
      </c>
      <c r="R10" s="1">
        <f>IFERROR(__xludf.DUMMYFUNCTION("""COMPUTED_VALUE"""),2.93)</f>
        <v>2.93</v>
      </c>
      <c r="S10" s="1">
        <f>IFERROR(__xludf.DUMMYFUNCTION("""COMPUTED_VALUE"""),644.6)</f>
        <v>644.6</v>
      </c>
      <c r="T10" s="1">
        <f>IFERROR(__xludf.DUMMYFUNCTION("""COMPUTED_VALUE"""),0.0)</f>
        <v>0</v>
      </c>
      <c r="U10" s="1">
        <f>IFERROR(__xludf.DUMMYFUNCTION("""COMPUTED_VALUE"""),73.0)</f>
        <v>73</v>
      </c>
      <c r="V10" s="1">
        <f>IFERROR(__xludf.DUMMYFUNCTION("""COMPUTED_VALUE"""),147.0)</f>
        <v>147</v>
      </c>
      <c r="W10" s="1">
        <f>IFERROR(__xludf.DUMMYFUNCTION("""COMPUTED_VALUE"""),430.71)</f>
        <v>430.71</v>
      </c>
    </row>
    <row r="11">
      <c r="A11" s="1" t="str">
        <f>IFERROR(__xludf.DUMMYFUNCTION("""COMPUTED_VALUE"""),"Freez")</f>
        <v>Freez</v>
      </c>
      <c r="B11" s="1">
        <f>IF(A11="","",SUMIFS(VMS_Sales!F:F,VMS_Sales!D:D,A11,VMS_Sales!O:O,$L$2))</f>
        <v>8</v>
      </c>
      <c r="C11" s="1">
        <f>IF(A11="","",ROUND((
SUMIFS(VMS_Sales!F:F,VMS_Sales!D:D,A11,VMS_Sales!O:O,$L$1)+
SUMIFS(VMS_Sales!F:F,VMS_Sales!D:D,A11,VMS_Sales!O:O,$L$2)+
SUMIFS(VMS_Sales!F:F,VMS_Sales!D:D,A11,VMS_Sales!O:O,$L$3)
)/3,2))</f>
        <v>4.67</v>
      </c>
      <c r="D11" s="1">
        <f t="shared" si="1"/>
        <v>5</v>
      </c>
      <c r="E11" s="1">
        <f>IFERROR(__xludf.DUMMYFUNCTION("IFERROR(XLOOKUP(A11,FILTER(VMS_Sales!$D:$D,VMS_Sales!$O:$O=$L$2),FILTER(VMS_Sales!$L:$L,VMS_Sales!$O:$O=$L$2),""""),"""")"),3.41)</f>
        <v>3.41</v>
      </c>
      <c r="F11" s="1">
        <f t="shared" si="2"/>
        <v>17.05</v>
      </c>
      <c r="G11" s="1">
        <f t="array" ref="G11">IFERROR(
SUMIFS(
PurchaseLines_Import!$I:$I,
PurchaseLines_Import!$C:$C, TEXT(XLOOKUP(A11,Map!$A:$A,Map!$B:$B,""),"0000"),
PurchaseLines_Import!$H:$H, $L$1
),
0)</f>
        <v>0</v>
      </c>
      <c r="H11" s="1">
        <f t="array" ref="H11">IFERROR(
SUMIFS(
Inventory_Import!$D:$D,
Inventory_Import!$B:$B, TEXT(XLOOKUP(A11,Map!$A:$A,Map!$B:$B,""),"0000")
),
0)</f>
        <v>0</v>
      </c>
      <c r="I11" s="1">
        <f t="shared" si="3"/>
        <v>5</v>
      </c>
      <c r="J11" s="1">
        <f t="shared" si="4"/>
        <v>17.05</v>
      </c>
      <c r="N11" s="1" t="str">
        <f>IFERROR(__xludf.DUMMYFUNCTION("""COMPUTED_VALUE"""),"Maltesers")</f>
        <v>Maltesers</v>
      </c>
      <c r="O11" s="1">
        <f>IFERROR(__xludf.DUMMYFUNCTION("""COMPUTED_VALUE"""),90.0)</f>
        <v>90</v>
      </c>
      <c r="P11" s="1">
        <f>IFERROR(__xludf.DUMMYFUNCTION("""COMPUTED_VALUE"""),49.67)</f>
        <v>49.67</v>
      </c>
      <c r="Q11" s="1">
        <f>IFERROR(__xludf.DUMMYFUNCTION("""COMPUTED_VALUE"""),57.0)</f>
        <v>57</v>
      </c>
      <c r="R11" s="1">
        <f>IFERROR(__xludf.DUMMYFUNCTION("""COMPUTED_VALUE"""),7.5)</f>
        <v>7.5</v>
      </c>
      <c r="S11" s="1">
        <f>IFERROR(__xludf.DUMMYFUNCTION("""COMPUTED_VALUE"""),427.5)</f>
        <v>427.5</v>
      </c>
      <c r="T11" s="1">
        <f>IFERROR(__xludf.DUMMYFUNCTION("""COMPUTED_VALUE"""),0.0)</f>
        <v>0</v>
      </c>
      <c r="U11" s="1">
        <f>IFERROR(__xludf.DUMMYFUNCTION("""COMPUTED_VALUE"""),0.0)</f>
        <v>0</v>
      </c>
      <c r="V11" s="1">
        <f>IFERROR(__xludf.DUMMYFUNCTION("""COMPUTED_VALUE"""),57.0)</f>
        <v>57</v>
      </c>
      <c r="W11" s="1">
        <f>IFERROR(__xludf.DUMMYFUNCTION("""COMPUTED_VALUE"""),427.5)</f>
        <v>427.5</v>
      </c>
    </row>
    <row r="12">
      <c r="A12" s="1" t="str">
        <f>IFERROR(__xludf.DUMMYFUNCTION("""COMPUTED_VALUE"""),"Twix")</f>
        <v>Twix</v>
      </c>
      <c r="B12" s="1">
        <f>IF(A12="","",SUMIFS(VMS_Sales!F:F,VMS_Sales!D:D,A12,VMS_Sales!O:O,$L$2))</f>
        <v>25</v>
      </c>
      <c r="C12" s="1">
        <f>IF(A12="","",ROUND((
SUMIFS(VMS_Sales!F:F,VMS_Sales!D:D,A12,VMS_Sales!O:O,$L$1)+
SUMIFS(VMS_Sales!F:F,VMS_Sales!D:D,A12,VMS_Sales!O:O,$L$2)+
SUMIFS(VMS_Sales!F:F,VMS_Sales!D:D,A12,VMS_Sales!O:O,$L$3)
)/3,2))</f>
        <v>17.67</v>
      </c>
      <c r="D12" s="1">
        <f t="shared" si="1"/>
        <v>20</v>
      </c>
      <c r="E12" s="1">
        <f>IFERROR(__xludf.DUMMYFUNCTION("IFERROR(XLOOKUP(A12,FILTER(VMS_Sales!$D:$D,VMS_Sales!$O:$O=$L$2),FILTER(VMS_Sales!$L:$L,VMS_Sales!$O:$O=$L$2),""""),"""")"),5.0)</f>
        <v>5</v>
      </c>
      <c r="F12" s="1">
        <f t="shared" si="2"/>
        <v>100</v>
      </c>
      <c r="G12" s="1">
        <f t="array" ref="G12">IFERROR(
SUMIFS(
PurchaseLines_Import!$I:$I,
PurchaseLines_Import!$C:$C, TEXT(XLOOKUP(A12,Map!$A:$A,Map!$B:$B,""),"0000"),
PurchaseLines_Import!$H:$H, $L$1
),
0)</f>
        <v>0</v>
      </c>
      <c r="H12" s="1">
        <f t="array" ref="H12">IFERROR(
SUMIFS(
Inventory_Import!$D:$D,
Inventory_Import!$B:$B, TEXT(XLOOKUP(A12,Map!$A:$A,Map!$B:$B,""),"0000")
),
0)</f>
        <v>0</v>
      </c>
      <c r="I12" s="1">
        <f t="shared" si="3"/>
        <v>20</v>
      </c>
      <c r="J12" s="1">
        <f t="shared" si="4"/>
        <v>100</v>
      </c>
      <c r="N12" s="1" t="str">
        <f>IFERROR(__xludf.DUMMYFUNCTION("""COMPUTED_VALUE"""),"Mrbeast")</f>
        <v>Mrbeast</v>
      </c>
      <c r="O12" s="1">
        <f>IFERROR(__xludf.DUMMYFUNCTION("""COMPUTED_VALUE"""),173.0)</f>
        <v>173</v>
      </c>
      <c r="P12" s="1">
        <f>IFERROR(__xludf.DUMMYFUNCTION("""COMPUTED_VALUE"""),108.67)</f>
        <v>108.67</v>
      </c>
      <c r="Q12" s="1">
        <f>IFERROR(__xludf.DUMMYFUNCTION("""COMPUTED_VALUE"""),125.0)</f>
        <v>125</v>
      </c>
      <c r="R12" s="1">
        <f>IFERROR(__xludf.DUMMYFUNCTION("""COMPUTED_VALUE"""),3.0)</f>
        <v>3</v>
      </c>
      <c r="S12" s="1">
        <f>IFERROR(__xludf.DUMMYFUNCTION("""COMPUTED_VALUE"""),375.0)</f>
        <v>375</v>
      </c>
      <c r="T12" s="1">
        <f>IFERROR(__xludf.DUMMYFUNCTION("""COMPUTED_VALUE"""),100.0)</f>
        <v>100</v>
      </c>
      <c r="U12" s="1">
        <f>IFERROR(__xludf.DUMMYFUNCTION("""COMPUTED_VALUE"""),-4.0)</f>
        <v>-4</v>
      </c>
      <c r="V12" s="1">
        <f>IFERROR(__xludf.DUMMYFUNCTION("""COMPUTED_VALUE"""),129.0)</f>
        <v>129</v>
      </c>
      <c r="W12" s="1">
        <f>IFERROR(__xludf.DUMMYFUNCTION("""COMPUTED_VALUE"""),387.0)</f>
        <v>387</v>
      </c>
    </row>
    <row r="13">
      <c r="A13" s="1" t="str">
        <f>IFERROR(__xludf.DUMMYFUNCTION("""COMPUTED_VALUE"""),"Gardena")</f>
        <v>Gardena</v>
      </c>
      <c r="B13" s="1">
        <f>IF(A13="","",SUMIFS(VMS_Sales!F:F,VMS_Sales!D:D,A13,VMS_Sales!O:O,$L$2))</f>
        <v>107</v>
      </c>
      <c r="C13" s="1">
        <f>IF(A13="","",ROUND((
SUMIFS(VMS_Sales!F:F,VMS_Sales!D:D,A13,VMS_Sales!O:O,$L$1)+
SUMIFS(VMS_Sales!F:F,VMS_Sales!D:D,A13,VMS_Sales!O:O,$L$2)+
SUMIFS(VMS_Sales!F:F,VMS_Sales!D:D,A13,VMS_Sales!O:O,$L$3)
)/3,2))</f>
        <v>48</v>
      </c>
      <c r="D13" s="1">
        <f t="shared" si="1"/>
        <v>55</v>
      </c>
      <c r="E13" s="1">
        <f>IFERROR(__xludf.DUMMYFUNCTION("IFERROR(XLOOKUP(A13,FILTER(VMS_Sales!$D:$D,VMS_Sales!$O:$O=$L$2),FILTER(VMS_Sales!$L:$L,VMS_Sales!$O:$O=$L$2),""""),"""")"),5.5)</f>
        <v>5.5</v>
      </c>
      <c r="F13" s="1">
        <f t="shared" si="2"/>
        <v>302.5</v>
      </c>
      <c r="G13" s="1">
        <f t="array" ref="G13">IFERROR(
SUMIFS(
PurchaseLines_Import!$I:$I,
PurchaseLines_Import!$C:$C, TEXT(XLOOKUP(A13,Map!$A:$A,Map!$B:$B,""),"0000"),
PurchaseLines_Import!$H:$H, $L$1
),
0)</f>
        <v>125</v>
      </c>
      <c r="H13" s="1">
        <f t="array" ref="H13">IFERROR(
SUMIFS(
Inventory_Import!$D:$D,
Inventory_Import!$B:$B, TEXT(XLOOKUP(A13,Map!$A:$A,Map!$B:$B,""),"0000")
),
0)</f>
        <v>24</v>
      </c>
      <c r="I13" s="1">
        <f t="shared" si="3"/>
        <v>31</v>
      </c>
      <c r="J13" s="1">
        <f t="shared" si="4"/>
        <v>170.5</v>
      </c>
      <c r="N13" s="1" t="str">
        <f>IFERROR(__xludf.DUMMYFUNCTION("""COMPUTED_VALUE"""),"mr bite")</f>
        <v>mr bite</v>
      </c>
      <c r="O13" s="1">
        <f>IFERROR(__xludf.DUMMYFUNCTION("""COMPUTED_VALUE"""),342.0)</f>
        <v>342</v>
      </c>
      <c r="P13" s="1">
        <f>IFERROR(__xludf.DUMMYFUNCTION("""COMPUTED_VALUE"""),188.0)</f>
        <v>188</v>
      </c>
      <c r="Q13" s="1">
        <f>IFERROR(__xludf.DUMMYFUNCTION("""COMPUTED_VALUE"""),216.0)</f>
        <v>216</v>
      </c>
      <c r="R13" s="1">
        <f>IFERROR(__xludf.DUMMYFUNCTION("""COMPUTED_VALUE"""),1.79)</f>
        <v>1.79</v>
      </c>
      <c r="S13" s="1">
        <f>IFERROR(__xludf.DUMMYFUNCTION("""COMPUTED_VALUE"""),386.64)</f>
        <v>386.64</v>
      </c>
      <c r="T13" s="1">
        <f>IFERROR(__xludf.DUMMYFUNCTION("""COMPUTED_VALUE"""),48.0)</f>
        <v>48</v>
      </c>
      <c r="U13" s="1">
        <f>IFERROR(__xludf.DUMMYFUNCTION("""COMPUTED_VALUE"""),6.0)</f>
        <v>6</v>
      </c>
      <c r="V13" s="1">
        <f>IFERROR(__xludf.DUMMYFUNCTION("""COMPUTED_VALUE"""),210.0)</f>
        <v>210</v>
      </c>
      <c r="W13" s="1">
        <f>IFERROR(__xludf.DUMMYFUNCTION("""COMPUTED_VALUE"""),375.9)</f>
        <v>375.9</v>
      </c>
    </row>
    <row r="14">
      <c r="A14" s="1" t="str">
        <f>IFERROR(__xludf.DUMMYFUNCTION("""COMPUTED_VALUE"""),"Snickers")</f>
        <v>Snickers</v>
      </c>
      <c r="B14" s="1">
        <f>IF(A14="","",SUMIFS(VMS_Sales!F:F,VMS_Sales!D:D,A14,VMS_Sales!O:O,$L$2))</f>
        <v>64</v>
      </c>
      <c r="C14" s="1">
        <f>IF(A14="","",ROUND((
SUMIFS(VMS_Sales!F:F,VMS_Sales!D:D,A14,VMS_Sales!O:O,$L$1)+
SUMIFS(VMS_Sales!F:F,VMS_Sales!D:D,A14,VMS_Sales!O:O,$L$2)+
SUMIFS(VMS_Sales!F:F,VMS_Sales!D:D,A14,VMS_Sales!O:O,$L$3)
)/3,2))</f>
        <v>33</v>
      </c>
      <c r="D14" s="1">
        <f t="shared" si="1"/>
        <v>38</v>
      </c>
      <c r="E14" s="1">
        <f>IFERROR(__xludf.DUMMYFUNCTION("IFERROR(XLOOKUP(A14,FILTER(VMS_Sales!$D:$D,VMS_Sales!$O:$O=$L$2),FILTER(VMS_Sales!$L:$L,VMS_Sales!$O:$O=$L$2),""""),"""")"),5.2)</f>
        <v>5.2</v>
      </c>
      <c r="F14" s="1">
        <f t="shared" si="2"/>
        <v>197.6</v>
      </c>
      <c r="G14" s="1">
        <f t="array" ref="G14">IFERROR(
SUMIFS(
PurchaseLines_Import!$I:$I,
PurchaseLines_Import!$C:$C, TEXT(XLOOKUP(A14,Map!$A:$A,Map!$B:$B,""),"0000"),
PurchaseLines_Import!$H:$H, $L$1
),
0)</f>
        <v>0</v>
      </c>
      <c r="H14" s="1">
        <f t="array" ref="H14">IFERROR(
SUMIFS(
Inventory_Import!$D:$D,
Inventory_Import!$B:$B, TEXT(XLOOKUP(A14,Map!$A:$A,Map!$B:$B,""),"0000")
),
0)</f>
        <v>0</v>
      </c>
      <c r="I14" s="1">
        <f t="shared" si="3"/>
        <v>38</v>
      </c>
      <c r="J14" s="1">
        <f t="shared" si="4"/>
        <v>197.6</v>
      </c>
      <c r="N14" s="1" t="str">
        <f>IFERROR(__xludf.DUMMYFUNCTION("""COMPUTED_VALUE"""),"Haribo")</f>
        <v>Haribo</v>
      </c>
      <c r="O14" s="1">
        <f>IFERROR(__xludf.DUMMYFUNCTION("""COMPUTED_VALUE"""),300.0)</f>
        <v>300</v>
      </c>
      <c r="P14" s="1">
        <f>IFERROR(__xludf.DUMMYFUNCTION("""COMPUTED_VALUE"""),163.67)</f>
        <v>163.67</v>
      </c>
      <c r="Q14" s="1">
        <f>IFERROR(__xludf.DUMMYFUNCTION("""COMPUTED_VALUE"""),188.0)</f>
        <v>188</v>
      </c>
      <c r="R14" s="1">
        <f>IFERROR(__xludf.DUMMYFUNCTION("""COMPUTED_VALUE"""),2.04)</f>
        <v>2.04</v>
      </c>
      <c r="S14" s="1">
        <f>IFERROR(__xludf.DUMMYFUNCTION("""COMPUTED_VALUE"""),383.52)</f>
        <v>383.52</v>
      </c>
      <c r="T14" s="1">
        <f>IFERROR(__xludf.DUMMYFUNCTION("""COMPUTED_VALUE"""),144.0)</f>
        <v>144</v>
      </c>
      <c r="U14" s="1">
        <f>IFERROR(__xludf.DUMMYFUNCTION("""COMPUTED_VALUE"""),21.0)</f>
        <v>21</v>
      </c>
      <c r="V14" s="1">
        <f>IFERROR(__xludf.DUMMYFUNCTION("""COMPUTED_VALUE"""),167.0)</f>
        <v>167</v>
      </c>
      <c r="W14" s="1">
        <f>IFERROR(__xludf.DUMMYFUNCTION("""COMPUTED_VALUE"""),340.68)</f>
        <v>340.68</v>
      </c>
    </row>
    <row r="15">
      <c r="A15" s="1" t="str">
        <f>IFERROR(__xludf.DUMMYFUNCTION("""COMPUTED_VALUE"""),"Pepsi")</f>
        <v>Pepsi</v>
      </c>
      <c r="B15" s="1">
        <f>IF(A15="","",SUMIFS(VMS_Sales!F:F,VMS_Sales!D:D,A15,VMS_Sales!O:O,$L$2))</f>
        <v>499</v>
      </c>
      <c r="C15" s="1">
        <f>IF(A15="","",ROUND((
SUMIFS(VMS_Sales!F:F,VMS_Sales!D:D,A15,VMS_Sales!O:O,$L$1)+
SUMIFS(VMS_Sales!F:F,VMS_Sales!D:D,A15,VMS_Sales!O:O,$L$2)+
SUMIFS(VMS_Sales!F:F,VMS_Sales!D:D,A15,VMS_Sales!O:O,$L$3)
)/3,2))</f>
        <v>279.67</v>
      </c>
      <c r="D15" s="1">
        <f t="shared" si="1"/>
        <v>322</v>
      </c>
      <c r="E15" s="1">
        <f>IFERROR(__xludf.DUMMYFUNCTION("IFERROR(XLOOKUP(A15,FILTER(VMS_Sales!$D:$D,VMS_Sales!$O:$O=$L$2),FILTER(VMS_Sales!$L:$L,VMS_Sales!$O:$O=$L$2),""""),"""")"),2.25)</f>
        <v>2.25</v>
      </c>
      <c r="F15" s="1">
        <f t="shared" si="2"/>
        <v>724.5</v>
      </c>
      <c r="G15" s="1">
        <f t="array" ref="G15">IFERROR(
SUMIFS(
PurchaseLines_Import!$I:$I,
PurchaseLines_Import!$C:$C, TEXT(XLOOKUP(A15,Map!$A:$A,Map!$B:$B,""),"0000"),
PurchaseLines_Import!$H:$H, $L$1
),
0)</f>
        <v>408</v>
      </c>
      <c r="H15" s="1">
        <f t="array" ref="H15">IFERROR(
SUMIFS(
Inventory_Import!$D:$D,
Inventory_Import!$B:$B, TEXT(XLOOKUP(A15,Map!$A:$A,Map!$B:$B,""),"0000")
),
0)</f>
        <v>-5</v>
      </c>
      <c r="I15" s="1">
        <f t="shared" si="3"/>
        <v>327</v>
      </c>
      <c r="J15" s="1">
        <f t="shared" si="4"/>
        <v>735.75</v>
      </c>
      <c r="N15" s="1" t="str">
        <f>IFERROR(__xludf.DUMMYFUNCTION("""COMPUTED_VALUE"""),"Almarai Strawberry")</f>
        <v>Almarai Strawberry</v>
      </c>
      <c r="O15" s="1">
        <f>IFERROR(__xludf.DUMMYFUNCTION("""COMPUTED_VALUE"""),209.0)</f>
        <v>209</v>
      </c>
      <c r="P15" s="1">
        <f>IFERROR(__xludf.DUMMYFUNCTION("""COMPUTED_VALUE"""),152.67)</f>
        <v>152.67</v>
      </c>
      <c r="Q15" s="1">
        <f>IFERROR(__xludf.DUMMYFUNCTION("""COMPUTED_VALUE"""),176.0)</f>
        <v>176</v>
      </c>
      <c r="R15" s="1">
        <f>IFERROR(__xludf.DUMMYFUNCTION("""COMPUTED_VALUE"""),2.29)</f>
        <v>2.29</v>
      </c>
      <c r="S15" s="1">
        <f>IFERROR(__xludf.DUMMYFUNCTION("""COMPUTED_VALUE"""),403.04)</f>
        <v>403.04</v>
      </c>
      <c r="T15" s="1">
        <f>IFERROR(__xludf.DUMMYFUNCTION("""COMPUTED_VALUE"""),135.0)</f>
        <v>135</v>
      </c>
      <c r="U15" s="1">
        <f>IFERROR(__xludf.DUMMYFUNCTION("""COMPUTED_VALUE"""),30.0)</f>
        <v>30</v>
      </c>
      <c r="V15" s="1">
        <f>IFERROR(__xludf.DUMMYFUNCTION("""COMPUTED_VALUE"""),146.0)</f>
        <v>146</v>
      </c>
      <c r="W15" s="1">
        <f>IFERROR(__xludf.DUMMYFUNCTION("""COMPUTED_VALUE"""),334.34)</f>
        <v>334.34</v>
      </c>
    </row>
    <row r="16">
      <c r="A16" s="1" t="str">
        <f>IFERROR(__xludf.DUMMYFUNCTION("""COMPUTED_VALUE"""),"Mars")</f>
        <v>Mars</v>
      </c>
      <c r="B16" s="1">
        <f>IF(A16="","",SUMIFS(VMS_Sales!F:F,VMS_Sales!D:D,A16,VMS_Sales!O:O,$L$2))</f>
        <v>38</v>
      </c>
      <c r="C16" s="1">
        <f>IF(A16="","",ROUND((
SUMIFS(VMS_Sales!F:F,VMS_Sales!D:D,A16,VMS_Sales!O:O,$L$1)+
SUMIFS(VMS_Sales!F:F,VMS_Sales!D:D,A16,VMS_Sales!O:O,$L$2)+
SUMIFS(VMS_Sales!F:F,VMS_Sales!D:D,A16,VMS_Sales!O:O,$L$3)
)/3,2))</f>
        <v>32</v>
      </c>
      <c r="D16" s="1">
        <f t="shared" si="1"/>
        <v>37</v>
      </c>
      <c r="E16" s="1">
        <f>IFERROR(__xludf.DUMMYFUNCTION("IFERROR(XLOOKUP(A16,FILTER(VMS_Sales!$D:$D,VMS_Sales!$O:$O=$L$2),FILTER(VMS_Sales!$L:$L,VMS_Sales!$O:$O=$L$2),""""),"""")"),5.5)</f>
        <v>5.5</v>
      </c>
      <c r="F16" s="1">
        <f t="shared" si="2"/>
        <v>203.5</v>
      </c>
      <c r="G16" s="1">
        <f t="array" ref="G16">IFERROR(
SUMIFS(
PurchaseLines_Import!$I:$I,
PurchaseLines_Import!$C:$C, TEXT(XLOOKUP(A16,Map!$A:$A,Map!$B:$B,""),"0000"),
PurchaseLines_Import!$H:$H, $L$1
),
0)</f>
        <v>0</v>
      </c>
      <c r="H16" s="1">
        <f t="array" ref="H16">IFERROR(
SUMIFS(
Inventory_Import!$D:$D,
Inventory_Import!$B:$B, TEXT(XLOOKUP(A16,Map!$A:$A,Map!$B:$B,""),"0000")
),
0)</f>
        <v>0</v>
      </c>
      <c r="I16" s="1">
        <f t="shared" si="3"/>
        <v>37</v>
      </c>
      <c r="J16" s="1">
        <f t="shared" si="4"/>
        <v>203.5</v>
      </c>
      <c r="N16" s="1" t="str">
        <f>IFERROR(__xludf.DUMMYFUNCTION("""COMPUTED_VALUE"""),"Doritos nacho")</f>
        <v>Doritos nacho</v>
      </c>
      <c r="O16" s="1">
        <f>IFERROR(__xludf.DUMMYFUNCTION("""COMPUTED_VALUE"""),376.0)</f>
        <v>376</v>
      </c>
      <c r="P16" s="1">
        <f>IFERROR(__xludf.DUMMYFUNCTION("""COMPUTED_VALUE"""),175.0)</f>
        <v>175</v>
      </c>
      <c r="Q16" s="1">
        <f>IFERROR(__xludf.DUMMYFUNCTION("""COMPUTED_VALUE"""),201.0)</f>
        <v>201</v>
      </c>
      <c r="R16" s="1">
        <f>IFERROR(__xludf.DUMMYFUNCTION("""COMPUTED_VALUE"""),2.93)</f>
        <v>2.93</v>
      </c>
      <c r="S16" s="1">
        <f>IFERROR(__xludf.DUMMYFUNCTION("""COMPUTED_VALUE"""),588.93)</f>
        <v>588.93</v>
      </c>
      <c r="T16" s="1">
        <f>IFERROR(__xludf.DUMMYFUNCTION("""COMPUTED_VALUE"""),165.0)</f>
        <v>165</v>
      </c>
      <c r="U16" s="1">
        <f>IFERROR(__xludf.DUMMYFUNCTION("""COMPUTED_VALUE"""),89.0)</f>
        <v>89</v>
      </c>
      <c r="V16" s="1">
        <f>IFERROR(__xludf.DUMMYFUNCTION("""COMPUTED_VALUE"""),112.0)</f>
        <v>112</v>
      </c>
      <c r="W16" s="1">
        <f>IFERROR(__xludf.DUMMYFUNCTION("""COMPUTED_VALUE"""),328.16)</f>
        <v>328.16</v>
      </c>
    </row>
    <row r="17">
      <c r="A17" s="1" t="str">
        <f>IFERROR(__xludf.DUMMYFUNCTION("""COMPUTED_VALUE"""),"Almarai Chocolate")</f>
        <v>Almarai Chocolate</v>
      </c>
      <c r="B17" s="1">
        <f>IF(A17="","",SUMIFS(VMS_Sales!F:F,VMS_Sales!D:D,A17,VMS_Sales!O:O,$L$2))</f>
        <v>225</v>
      </c>
      <c r="C17" s="1">
        <f>IF(A17="","",ROUND((
SUMIFS(VMS_Sales!F:F,VMS_Sales!D:D,A17,VMS_Sales!O:O,$L$1)+
SUMIFS(VMS_Sales!F:F,VMS_Sales!D:D,A17,VMS_Sales!O:O,$L$2)+
SUMIFS(VMS_Sales!F:F,VMS_Sales!D:D,A17,VMS_Sales!O:O,$L$3)
)/3,2))</f>
        <v>150.33</v>
      </c>
      <c r="D17" s="1">
        <f t="shared" si="1"/>
        <v>173</v>
      </c>
      <c r="E17" s="1">
        <f>IFERROR(__xludf.DUMMYFUNCTION("IFERROR(XLOOKUP(A17,FILTER(VMS_Sales!$D:$D,VMS_Sales!$O:$O=$L$2),FILTER(VMS_Sales!$L:$L,VMS_Sales!$O:$O=$L$2),""""),"""")"),2.29)</f>
        <v>2.29</v>
      </c>
      <c r="F17" s="1">
        <f t="shared" si="2"/>
        <v>396.17</v>
      </c>
      <c r="G17" s="1">
        <f t="array" ref="G17">IFERROR(
SUMIFS(
PurchaseLines_Import!$I:$I,
PurchaseLines_Import!$C:$C, TEXT(XLOOKUP(A17,Map!$A:$A,Map!$B:$B,""),"0000"),
PurchaseLines_Import!$H:$H, $L$1
),
0)</f>
        <v>216</v>
      </c>
      <c r="H17" s="1">
        <f t="array" ref="H17">IFERROR(
SUMIFS(
Inventory_Import!$D:$D,
Inventory_Import!$B:$B, TEXT(XLOOKUP(A17,Map!$A:$A,Map!$B:$B,""),"0000")
),
0)</f>
        <v>39</v>
      </c>
      <c r="I17" s="1">
        <f t="shared" si="3"/>
        <v>134</v>
      </c>
      <c r="J17" s="1">
        <f t="shared" si="4"/>
        <v>306.86</v>
      </c>
      <c r="N17" s="1" t="str">
        <f>IFERROR(__xludf.DUMMYFUNCTION("""COMPUTED_VALUE"""),"Sweeto jelly")</f>
        <v>Sweeto jelly</v>
      </c>
      <c r="O17" s="1">
        <f>IFERROR(__xludf.DUMMYFUNCTION("""COMPUTED_VALUE"""),218.0)</f>
        <v>218</v>
      </c>
      <c r="P17" s="1">
        <f>IFERROR(__xludf.DUMMYFUNCTION("""COMPUTED_VALUE"""),72.67)</f>
        <v>72.67</v>
      </c>
      <c r="Q17" s="1">
        <f>IFERROR(__xludf.DUMMYFUNCTION("""COMPUTED_VALUE"""),84.0)</f>
        <v>84</v>
      </c>
      <c r="R17" s="1">
        <f>IFERROR(__xludf.DUMMYFUNCTION("""COMPUTED_VALUE"""),3.66)</f>
        <v>3.66</v>
      </c>
      <c r="S17" s="1">
        <f>IFERROR(__xludf.DUMMYFUNCTION("""COMPUTED_VALUE"""),307.44)</f>
        <v>307.44</v>
      </c>
      <c r="T17" s="1">
        <f>IFERROR(__xludf.DUMMYFUNCTION("""COMPUTED_VALUE"""),240.0)</f>
        <v>240</v>
      </c>
      <c r="U17" s="1">
        <f>IFERROR(__xludf.DUMMYFUNCTION("""COMPUTED_VALUE"""),0.0)</f>
        <v>0</v>
      </c>
      <c r="V17" s="1">
        <f>IFERROR(__xludf.DUMMYFUNCTION("""COMPUTED_VALUE"""),84.0)</f>
        <v>84</v>
      </c>
      <c r="W17" s="1">
        <f>IFERROR(__xludf.DUMMYFUNCTION("""COMPUTED_VALUE"""),307.44)</f>
        <v>307.44</v>
      </c>
    </row>
    <row r="18">
      <c r="A18" s="1" t="str">
        <f>IFERROR(__xludf.DUMMYFUNCTION("""COMPUTED_VALUE"""),"Corissant Karuzo")</f>
        <v>Corissant Karuzo</v>
      </c>
      <c r="B18" s="1">
        <f>IF(A18="","",SUMIFS(VMS_Sales!F:F,VMS_Sales!D:D,A18,VMS_Sales!O:O,$L$2))</f>
        <v>51</v>
      </c>
      <c r="C18" s="1">
        <f>IF(A18="","",ROUND((
SUMIFS(VMS_Sales!F:F,VMS_Sales!D:D,A18,VMS_Sales!O:O,$L$1)+
SUMIFS(VMS_Sales!F:F,VMS_Sales!D:D,A18,VMS_Sales!O:O,$L$2)+
SUMIFS(VMS_Sales!F:F,VMS_Sales!D:D,A18,VMS_Sales!O:O,$L$3)
)/3,2))</f>
        <v>33</v>
      </c>
      <c r="D18" s="1">
        <f t="shared" si="1"/>
        <v>38</v>
      </c>
      <c r="E18" s="1">
        <f>IFERROR(__xludf.DUMMYFUNCTION("IFERROR(XLOOKUP(A18,FILTER(VMS_Sales!$D:$D,VMS_Sales!$O:$O=$L$2),FILTER(VMS_Sales!$L:$L,VMS_Sales!$O:$O=$L$2),""""),"""")"),3.13)</f>
        <v>3.13</v>
      </c>
      <c r="F18" s="1">
        <f t="shared" si="2"/>
        <v>118.94</v>
      </c>
      <c r="G18" s="1">
        <f t="array" ref="G18">IFERROR(
SUMIFS(
PurchaseLines_Import!$I:$I,
PurchaseLines_Import!$C:$C, XLOOKUP(A18,Map!$A:$A,Map!$B:$B,""),
PurchaseLines_Import!$H:$H, $L$1
),
"")</f>
        <v>72</v>
      </c>
      <c r="H18" s="1">
        <f t="array" ref="H18">IFERROR(
SUMIFS(
Inventory_Import!$D:$D,
Inventory_Import!$B:$B, TEXT(XLOOKUP(A18,Map!$A:$A,Map!$B:$B,""),"0000")
),
0)</f>
        <v>4</v>
      </c>
      <c r="I18" s="1">
        <f t="shared" si="3"/>
        <v>34</v>
      </c>
      <c r="J18" s="1">
        <f t="shared" si="4"/>
        <v>106.42</v>
      </c>
      <c r="N18" s="1" t="str">
        <f>IFERROR(__xludf.DUMMYFUNCTION("""COMPUTED_VALUE"""),"Almarai Chocolate")</f>
        <v>Almarai Chocolate</v>
      </c>
      <c r="O18" s="1">
        <f>IFERROR(__xludf.DUMMYFUNCTION("""COMPUTED_VALUE"""),225.0)</f>
        <v>225</v>
      </c>
      <c r="P18" s="1">
        <f>IFERROR(__xludf.DUMMYFUNCTION("""COMPUTED_VALUE"""),150.33)</f>
        <v>150.33</v>
      </c>
      <c r="Q18" s="1">
        <f>IFERROR(__xludf.DUMMYFUNCTION("""COMPUTED_VALUE"""),173.0)</f>
        <v>173</v>
      </c>
      <c r="R18" s="1">
        <f>IFERROR(__xludf.DUMMYFUNCTION("""COMPUTED_VALUE"""),2.29)</f>
        <v>2.29</v>
      </c>
      <c r="S18" s="1">
        <f>IFERROR(__xludf.DUMMYFUNCTION("""COMPUTED_VALUE"""),396.17)</f>
        <v>396.17</v>
      </c>
      <c r="T18" s="1">
        <f>IFERROR(__xludf.DUMMYFUNCTION("""COMPUTED_VALUE"""),216.0)</f>
        <v>216</v>
      </c>
      <c r="U18" s="1">
        <f>IFERROR(__xludf.DUMMYFUNCTION("""COMPUTED_VALUE"""),39.0)</f>
        <v>39</v>
      </c>
      <c r="V18" s="1">
        <f>IFERROR(__xludf.DUMMYFUNCTION("""COMPUTED_VALUE"""),134.0)</f>
        <v>134</v>
      </c>
      <c r="W18" s="1">
        <f>IFERROR(__xludf.DUMMYFUNCTION("""COMPUTED_VALUE"""),306.86)</f>
        <v>306.86</v>
      </c>
    </row>
    <row r="19">
      <c r="A19" s="1" t="str">
        <f>IFERROR(__xludf.DUMMYFUNCTION("""COMPUTED_VALUE"""),"Kunuz Juice")</f>
        <v>Kunuz Juice</v>
      </c>
      <c r="B19" s="1">
        <f>IF(A19="","",SUMIFS(VMS_Sales!F:F,VMS_Sales!D:D,A19,VMS_Sales!O:O,$L$2))</f>
        <v>13</v>
      </c>
      <c r="C19" s="1">
        <f>IF(A19="","",ROUND((
SUMIFS(VMS_Sales!F:F,VMS_Sales!D:D,A19,VMS_Sales!O:O,$L$1)+
SUMIFS(VMS_Sales!F:F,VMS_Sales!D:D,A19,VMS_Sales!O:O,$L$2)+
SUMIFS(VMS_Sales!F:F,VMS_Sales!D:D,A19,VMS_Sales!O:O,$L$3)
)/3,2))</f>
        <v>18.33</v>
      </c>
      <c r="D19" s="1">
        <f t="shared" si="1"/>
        <v>21</v>
      </c>
      <c r="E19" s="1">
        <f>IFERROR(__xludf.DUMMYFUNCTION("IFERROR(XLOOKUP(A19,FILTER(VMS_Sales!$D:$D,VMS_Sales!$O:$O=$L$2),FILTER(VMS_Sales!$L:$L,VMS_Sales!$O:$O=$L$2),""""),"""")"),1.6)</f>
        <v>1.6</v>
      </c>
      <c r="F19" s="1">
        <f t="shared" si="2"/>
        <v>33.6</v>
      </c>
      <c r="G19" s="1">
        <f t="array" ref="G19">IFERROR(
SUMIFS(
PurchaseLines_Import!$I:$I,
PurchaseLines_Import!$C:$C, XLOOKUP(A19,Map!$A:$A,Map!$B:$B,""),
PurchaseLines_Import!$H:$H, $L$1
),
"")</f>
        <v>0</v>
      </c>
      <c r="H19" s="1">
        <f t="array" ref="H19">IFERROR(
SUMIFS(
Inventory_Import!$D:$D,
Inventory_Import!$B:$B, TEXT(XLOOKUP(A19,Map!$A:$A,Map!$B:$B,""),"0000")
),
0)</f>
        <v>0</v>
      </c>
      <c r="I19" s="1">
        <f t="shared" si="3"/>
        <v>21</v>
      </c>
      <c r="J19" s="1">
        <f t="shared" si="4"/>
        <v>33.6</v>
      </c>
      <c r="N19" s="1" t="str">
        <f>IFERROR(__xludf.DUMMYFUNCTION("""COMPUTED_VALUE"""),"Mirinda")</f>
        <v>Mirinda</v>
      </c>
      <c r="O19" s="1">
        <f>IFERROR(__xludf.DUMMYFUNCTION("""COMPUTED_VALUE"""),220.0)</f>
        <v>220</v>
      </c>
      <c r="P19" s="1">
        <f>IFERROR(__xludf.DUMMYFUNCTION("""COMPUTED_VALUE"""),107.33)</f>
        <v>107.33</v>
      </c>
      <c r="Q19" s="1">
        <f>IFERROR(__xludf.DUMMYFUNCTION("""COMPUTED_VALUE"""),123.0)</f>
        <v>123</v>
      </c>
      <c r="R19" s="1">
        <f>IFERROR(__xludf.DUMMYFUNCTION("""COMPUTED_VALUE"""),2.25)</f>
        <v>2.25</v>
      </c>
      <c r="S19" s="1">
        <f>IFERROR(__xludf.DUMMYFUNCTION("""COMPUTED_VALUE"""),276.75)</f>
        <v>276.75</v>
      </c>
      <c r="T19" s="1">
        <f>IFERROR(__xludf.DUMMYFUNCTION("""COMPUTED_VALUE"""),24.0)</f>
        <v>24</v>
      </c>
      <c r="U19" s="1">
        <f>IFERROR(__xludf.DUMMYFUNCTION("""COMPUTED_VALUE"""),0.0)</f>
        <v>0</v>
      </c>
      <c r="V19" s="1">
        <f>IFERROR(__xludf.DUMMYFUNCTION("""COMPUTED_VALUE"""),123.0)</f>
        <v>123</v>
      </c>
      <c r="W19" s="1">
        <f>IFERROR(__xludf.DUMMYFUNCTION("""COMPUTED_VALUE"""),276.75)</f>
        <v>276.75</v>
      </c>
    </row>
    <row r="20">
      <c r="A20" s="1" t="str">
        <f>IFERROR(__xludf.DUMMYFUNCTION("""COMPUTED_VALUE"""),"Digestive")</f>
        <v>Digestive</v>
      </c>
      <c r="B20" s="1">
        <f>IF(A20="","",SUMIFS(VMS_Sales!F:F,VMS_Sales!D:D,A20,VMS_Sales!O:O,$L$2))</f>
        <v>0</v>
      </c>
      <c r="C20" s="1">
        <f>IF(A20="","",ROUND((
SUMIFS(VMS_Sales!F:F,VMS_Sales!D:D,A20,VMS_Sales!O:O,$L$1)+
SUMIFS(VMS_Sales!F:F,VMS_Sales!D:D,A20,VMS_Sales!O:O,$L$2)+
SUMIFS(VMS_Sales!F:F,VMS_Sales!D:D,A20,VMS_Sales!O:O,$L$3)
)/3,2))</f>
        <v>9.67</v>
      </c>
      <c r="D20" s="1">
        <f t="shared" si="1"/>
        <v>11</v>
      </c>
      <c r="E20" s="1" t="str">
        <f>IFERROR(__xludf.DUMMYFUNCTION("IFERROR(XLOOKUP(A20,FILTER(VMS_Sales!$D:$D,VMS_Sales!$O:$O=$L$2),FILTER(VMS_Sales!$L:$L,VMS_Sales!$O:$O=$L$2),""""),"""")"),"")</f>
        <v/>
      </c>
      <c r="F20" s="1" t="str">
        <f t="shared" si="2"/>
        <v/>
      </c>
      <c r="G20" s="1">
        <f t="array" ref="G20">IFERROR(
SUMIFS(
PurchaseLines_Import!$I:$I,
PurchaseLines_Import!$C:$C, XLOOKUP(A20,Map!$A:$A,Map!$B:$B,""),
PurchaseLines_Import!$H:$H, $L$1
),
"")</f>
        <v>0</v>
      </c>
      <c r="H20" s="1">
        <f t="array" ref="H20">IFERROR(
SUMIFS(
Inventory_Import!$D:$D,
Inventory_Import!$B:$B, TEXT(XLOOKUP(A20,Map!$A:$A,Map!$B:$B,""),"0000")
),
0)</f>
        <v>0</v>
      </c>
      <c r="I20" s="1">
        <f t="shared" si="3"/>
        <v>11</v>
      </c>
      <c r="J20" s="1" t="str">
        <f t="shared" si="4"/>
        <v/>
      </c>
      <c r="N20" s="1" t="str">
        <f>IFERROR(__xludf.DUMMYFUNCTION("""COMPUTED_VALUE"""),"Tiger excellence")</f>
        <v>Tiger excellence</v>
      </c>
      <c r="O20" s="1">
        <f>IFERROR(__xludf.DUMMYFUNCTION("""COMPUTED_VALUE"""),147.0)</f>
        <v>147</v>
      </c>
      <c r="P20" s="1">
        <f>IFERROR(__xludf.DUMMYFUNCTION("""COMPUTED_VALUE"""),99.0)</f>
        <v>99</v>
      </c>
      <c r="Q20" s="1">
        <f>IFERROR(__xludf.DUMMYFUNCTION("""COMPUTED_VALUE"""),114.0)</f>
        <v>114</v>
      </c>
      <c r="R20" s="1">
        <f>IFERROR(__xludf.DUMMYFUNCTION("""COMPUTED_VALUE"""),2.25)</f>
        <v>2.25</v>
      </c>
      <c r="S20" s="1">
        <f>IFERROR(__xludf.DUMMYFUNCTION("""COMPUTED_VALUE"""),256.5)</f>
        <v>256.5</v>
      </c>
      <c r="T20" s="1">
        <f>IFERROR(__xludf.DUMMYFUNCTION("""COMPUTED_VALUE"""),200.0)</f>
        <v>200</v>
      </c>
      <c r="U20" s="1">
        <f>IFERROR(__xludf.DUMMYFUNCTION("""COMPUTED_VALUE"""),0.0)</f>
        <v>0</v>
      </c>
      <c r="V20" s="1">
        <f>IFERROR(__xludf.DUMMYFUNCTION("""COMPUTED_VALUE"""),114.0)</f>
        <v>114</v>
      </c>
      <c r="W20" s="1">
        <f>IFERROR(__xludf.DUMMYFUNCTION("""COMPUTED_VALUE"""),256.5)</f>
        <v>256.5</v>
      </c>
    </row>
    <row r="21">
      <c r="A21" s="1" t="str">
        <f>IFERROR(__xludf.DUMMYFUNCTION("""COMPUTED_VALUE"""),"Lovita cookies")</f>
        <v>Lovita cookies</v>
      </c>
      <c r="B21" s="1">
        <f>IF(A21="","",SUMIFS(VMS_Sales!F:F,VMS_Sales!D:D,A21,VMS_Sales!O:O,$L$2))</f>
        <v>25</v>
      </c>
      <c r="C21" s="1">
        <f>IF(A21="","",ROUND((
SUMIFS(VMS_Sales!F:F,VMS_Sales!D:D,A21,VMS_Sales!O:O,$L$1)+
SUMIFS(VMS_Sales!F:F,VMS_Sales!D:D,A21,VMS_Sales!O:O,$L$2)+
SUMIFS(VMS_Sales!F:F,VMS_Sales!D:D,A21,VMS_Sales!O:O,$L$3)
)/3,2))</f>
        <v>19.67</v>
      </c>
      <c r="D21" s="1">
        <f t="shared" si="1"/>
        <v>23</v>
      </c>
      <c r="E21" s="1">
        <f>IFERROR(__xludf.DUMMYFUNCTION("IFERROR(XLOOKUP(A21,FILTER(VMS_Sales!$D:$D,VMS_Sales!$O:$O=$L$2),FILTER(VMS_Sales!$L:$L,VMS_Sales!$O:$O=$L$2),""""),"""")"),5.18)</f>
        <v>5.18</v>
      </c>
      <c r="F21" s="1">
        <f t="shared" si="2"/>
        <v>119.14</v>
      </c>
      <c r="G21" s="1">
        <f t="array" ref="G21">IFERROR(
SUMIFS(
PurchaseLines_Import!$I:$I,
PurchaseLines_Import!$C:$C, XLOOKUP(A21,Map!$A:$A,Map!$B:$B,""),
PurchaseLines_Import!$H:$H, $L$1
),
"")</f>
        <v>34</v>
      </c>
      <c r="H21" s="1">
        <f t="array" ref="H21">IFERROR(
SUMIFS(
Inventory_Import!$D:$D,
Inventory_Import!$B:$B, TEXT(XLOOKUP(A21,Map!$A:$A,Map!$B:$B,""),"0000")
),
0)</f>
        <v>0</v>
      </c>
      <c r="I21" s="1">
        <f t="shared" si="3"/>
        <v>23</v>
      </c>
      <c r="J21" s="1">
        <f t="shared" si="4"/>
        <v>119.14</v>
      </c>
      <c r="N21" s="1" t="str">
        <f>IFERROR(__xludf.DUMMYFUNCTION("""COMPUTED_VALUE"""),"Shani")</f>
        <v>Shani</v>
      </c>
      <c r="O21" s="1">
        <f>IFERROR(__xludf.DUMMYFUNCTION("""COMPUTED_VALUE"""),159.0)</f>
        <v>159</v>
      </c>
      <c r="P21" s="1">
        <f>IFERROR(__xludf.DUMMYFUNCTION("""COMPUTED_VALUE"""),89.67)</f>
        <v>89.67</v>
      </c>
      <c r="Q21" s="1">
        <f>IFERROR(__xludf.DUMMYFUNCTION("""COMPUTED_VALUE"""),103.0)</f>
        <v>103</v>
      </c>
      <c r="R21" s="1">
        <f>IFERROR(__xludf.DUMMYFUNCTION("""COMPUTED_VALUE"""),2.25)</f>
        <v>2.25</v>
      </c>
      <c r="S21" s="1">
        <f>IFERROR(__xludf.DUMMYFUNCTION("""COMPUTED_VALUE"""),231.75)</f>
        <v>231.75</v>
      </c>
      <c r="T21" s="1">
        <f>IFERROR(__xludf.DUMMYFUNCTION("""COMPUTED_VALUE"""),0.0)</f>
        <v>0</v>
      </c>
      <c r="U21" s="1">
        <f>IFERROR(__xludf.DUMMYFUNCTION("""COMPUTED_VALUE"""),0.0)</f>
        <v>0</v>
      </c>
      <c r="V21" s="1">
        <f>IFERROR(__xludf.DUMMYFUNCTION("""COMPUTED_VALUE"""),103.0)</f>
        <v>103</v>
      </c>
      <c r="W21" s="1">
        <f>IFERROR(__xludf.DUMMYFUNCTION("""COMPUTED_VALUE"""),231.75)</f>
        <v>231.75</v>
      </c>
    </row>
    <row r="22">
      <c r="A22" s="1" t="str">
        <f>IFERROR(__xludf.DUMMYFUNCTION("""COMPUTED_VALUE"""),"Caser Juice")</f>
        <v>Caser Juice</v>
      </c>
      <c r="B22" s="1">
        <f>IF(A22="","",SUMIFS(VMS_Sales!F:F,VMS_Sales!D:D,A22,VMS_Sales!O:O,$L$2))</f>
        <v>27</v>
      </c>
      <c r="C22" s="1">
        <f>IF(A22="","",ROUND((
SUMIFS(VMS_Sales!F:F,VMS_Sales!D:D,A22,VMS_Sales!O:O,$L$1)+
SUMIFS(VMS_Sales!F:F,VMS_Sales!D:D,A22,VMS_Sales!O:O,$L$2)+
SUMIFS(VMS_Sales!F:F,VMS_Sales!D:D,A22,VMS_Sales!O:O,$L$3)
)/3,2))</f>
        <v>17.67</v>
      </c>
      <c r="D22" s="1">
        <f t="shared" si="1"/>
        <v>20</v>
      </c>
      <c r="E22" s="1">
        <f>IFERROR(__xludf.DUMMYFUNCTION("IFERROR(XLOOKUP(A22,FILTER(VMS_Sales!$D:$D,VMS_Sales!$O:$O=$L$2),FILTER(VMS_Sales!$L:$L,VMS_Sales!$O:$O=$L$2),""""),"""")"),4.13)</f>
        <v>4.13</v>
      </c>
      <c r="F22" s="1">
        <f t="shared" si="2"/>
        <v>82.6</v>
      </c>
      <c r="G22" s="1">
        <f t="array" ref="G22">IFERROR(
SUMIFS(
PurchaseLines_Import!$I:$I,
PurchaseLines_Import!$C:$C, XLOOKUP(A22,Map!$A:$A,Map!$B:$B,""),
PurchaseLines_Import!$H:$H, $L$1
),
"")</f>
        <v>0</v>
      </c>
      <c r="H22" s="1">
        <f t="array" ref="H22">IFERROR(
SUMIFS(
Inventory_Import!$D:$D,
Inventory_Import!$B:$B, TEXT(XLOOKUP(A22,Map!$A:$A,Map!$B:$B,""),"0000")
),
0)</f>
        <v>0</v>
      </c>
      <c r="I22" s="1">
        <f t="shared" si="3"/>
        <v>20</v>
      </c>
      <c r="J22" s="1">
        <f t="shared" si="4"/>
        <v>82.6</v>
      </c>
      <c r="N22" s="1" t="str">
        <f>IFERROR(__xludf.DUMMYFUNCTION("""COMPUTED_VALUE"""),"Mars")</f>
        <v>Mars</v>
      </c>
      <c r="O22" s="1">
        <f>IFERROR(__xludf.DUMMYFUNCTION("""COMPUTED_VALUE"""),38.0)</f>
        <v>38</v>
      </c>
      <c r="P22" s="1">
        <f>IFERROR(__xludf.DUMMYFUNCTION("""COMPUTED_VALUE"""),32.0)</f>
        <v>32</v>
      </c>
      <c r="Q22" s="1">
        <f>IFERROR(__xludf.DUMMYFUNCTION("""COMPUTED_VALUE"""),37.0)</f>
        <v>37</v>
      </c>
      <c r="R22" s="1">
        <f>IFERROR(__xludf.DUMMYFUNCTION("""COMPUTED_VALUE"""),5.5)</f>
        <v>5.5</v>
      </c>
      <c r="S22" s="1">
        <f>IFERROR(__xludf.DUMMYFUNCTION("""COMPUTED_VALUE"""),203.5)</f>
        <v>203.5</v>
      </c>
      <c r="T22" s="1">
        <f>IFERROR(__xludf.DUMMYFUNCTION("""COMPUTED_VALUE"""),0.0)</f>
        <v>0</v>
      </c>
      <c r="U22" s="1">
        <f>IFERROR(__xludf.DUMMYFUNCTION("""COMPUTED_VALUE"""),0.0)</f>
        <v>0</v>
      </c>
      <c r="V22" s="1">
        <f>IFERROR(__xludf.DUMMYFUNCTION("""COMPUTED_VALUE"""),37.0)</f>
        <v>37</v>
      </c>
      <c r="W22" s="1">
        <f>IFERROR(__xludf.DUMMYFUNCTION("""COMPUTED_VALUE"""),203.5)</f>
        <v>203.5</v>
      </c>
    </row>
    <row r="23">
      <c r="A23" s="1" t="str">
        <f>IFERROR(__xludf.DUMMYFUNCTION("""COMPUTED_VALUE"""),"MR Crunch")</f>
        <v>MR Crunch</v>
      </c>
      <c r="B23" s="1">
        <f>IF(A23="","",SUMIFS(VMS_Sales!F:F,VMS_Sales!D:D,A23,VMS_Sales!O:O,$L$2))</f>
        <v>457</v>
      </c>
      <c r="C23" s="1">
        <f>IF(A23="","",ROUND((
SUMIFS(VMS_Sales!F:F,VMS_Sales!D:D,A23,VMS_Sales!O:O,$L$1)+
SUMIFS(VMS_Sales!F:F,VMS_Sales!D:D,A23,VMS_Sales!O:O,$L$2)+
SUMIFS(VMS_Sales!F:F,VMS_Sales!D:D,A23,VMS_Sales!O:O,$L$3)
)/3,2))</f>
        <v>355</v>
      </c>
      <c r="D23" s="1">
        <f t="shared" si="1"/>
        <v>408</v>
      </c>
      <c r="E23" s="1">
        <f>IFERROR(__xludf.DUMMYFUNCTION("IFERROR(XLOOKUP(A23,FILTER(VMS_Sales!$D:$D,VMS_Sales!$O:$O=$L$2),FILTER(VMS_Sales!$L:$L,VMS_Sales!$O:$O=$L$2),""""),"""")"),3.0)</f>
        <v>3</v>
      </c>
      <c r="F23" s="1">
        <f t="shared" si="2"/>
        <v>1224</v>
      </c>
      <c r="G23" s="1">
        <f t="array" ref="G23">IFERROR(
SUMIFS(
PurchaseLines_Import!$I:$I,
PurchaseLines_Import!$C:$C, XLOOKUP(A23,Map!$A:$A,Map!$B:$B,""),
PurchaseLines_Import!$H:$H, $L$1
),
"")</f>
        <v>450</v>
      </c>
      <c r="H23" s="1">
        <f t="array" ref="H23">IFERROR(
SUMIFS(
Inventory_Import!$D:$D,
Inventory_Import!$B:$B, TEXT(XLOOKUP(A23,Map!$A:$A,Map!$B:$B,""),"0000")
),
0)</f>
        <v>95</v>
      </c>
      <c r="I23" s="1">
        <f t="shared" si="3"/>
        <v>313</v>
      </c>
      <c r="J23" s="1">
        <f t="shared" si="4"/>
        <v>939</v>
      </c>
      <c r="N23" s="1" t="str">
        <f>IFERROR(__xludf.DUMMYFUNCTION("""COMPUTED_VALUE"""),"Snickers")</f>
        <v>Snickers</v>
      </c>
      <c r="O23" s="1">
        <f>IFERROR(__xludf.DUMMYFUNCTION("""COMPUTED_VALUE"""),64.0)</f>
        <v>64</v>
      </c>
      <c r="P23" s="1">
        <f>IFERROR(__xludf.DUMMYFUNCTION("""COMPUTED_VALUE"""),33.0)</f>
        <v>33</v>
      </c>
      <c r="Q23" s="1">
        <f>IFERROR(__xludf.DUMMYFUNCTION("""COMPUTED_VALUE"""),38.0)</f>
        <v>38</v>
      </c>
      <c r="R23" s="1">
        <f>IFERROR(__xludf.DUMMYFUNCTION("""COMPUTED_VALUE"""),5.2)</f>
        <v>5.2</v>
      </c>
      <c r="S23" s="1">
        <f>IFERROR(__xludf.DUMMYFUNCTION("""COMPUTED_VALUE"""),197.6)</f>
        <v>197.6</v>
      </c>
      <c r="T23" s="1">
        <f>IFERROR(__xludf.DUMMYFUNCTION("""COMPUTED_VALUE"""),0.0)</f>
        <v>0</v>
      </c>
      <c r="U23" s="1">
        <f>IFERROR(__xludf.DUMMYFUNCTION("""COMPUTED_VALUE"""),0.0)</f>
        <v>0</v>
      </c>
      <c r="V23" s="1">
        <f>IFERROR(__xludf.DUMMYFUNCTION("""COMPUTED_VALUE"""),38.0)</f>
        <v>38</v>
      </c>
      <c r="W23" s="1">
        <f>IFERROR(__xludf.DUMMYFUNCTION("""COMPUTED_VALUE"""),197.6)</f>
        <v>197.6</v>
      </c>
    </row>
    <row r="24">
      <c r="A24" s="1" t="str">
        <f>IFERROR(__xludf.DUMMYFUNCTION("""COMPUTED_VALUE"""),"Mirinda")</f>
        <v>Mirinda</v>
      </c>
      <c r="B24" s="1">
        <f>IF(A24="","",SUMIFS(VMS_Sales!F:F,VMS_Sales!D:D,A24,VMS_Sales!O:O,$L$2))</f>
        <v>220</v>
      </c>
      <c r="C24" s="1">
        <f>IF(A24="","",ROUND((
SUMIFS(VMS_Sales!F:F,VMS_Sales!D:D,A24,VMS_Sales!O:O,$L$1)+
SUMIFS(VMS_Sales!F:F,VMS_Sales!D:D,A24,VMS_Sales!O:O,$L$2)+
SUMIFS(VMS_Sales!F:F,VMS_Sales!D:D,A24,VMS_Sales!O:O,$L$3)
)/3,2))</f>
        <v>107.33</v>
      </c>
      <c r="D24" s="1">
        <f t="shared" si="1"/>
        <v>123</v>
      </c>
      <c r="E24" s="1">
        <f>IFERROR(__xludf.DUMMYFUNCTION("IFERROR(XLOOKUP(A24,FILTER(VMS_Sales!$D:$D,VMS_Sales!$O:$O=$L$2),FILTER(VMS_Sales!$L:$L,VMS_Sales!$O:$O=$L$2),""""),"""")"),2.25)</f>
        <v>2.25</v>
      </c>
      <c r="F24" s="1">
        <f t="shared" si="2"/>
        <v>276.75</v>
      </c>
      <c r="G24" s="1">
        <f t="array" ref="G24">IFERROR(
SUMIFS(
PurchaseLines_Import!$I:$I,
PurchaseLines_Import!$C:$C, XLOOKUP(A24,Map!$A:$A,Map!$B:$B,""),
PurchaseLines_Import!$H:$H, $L$1
),
"")</f>
        <v>24</v>
      </c>
      <c r="H24" s="1">
        <f t="array" ref="H24">IFERROR(
SUMIFS(
Inventory_Import!$D:$D,
Inventory_Import!$B:$B, TEXT(XLOOKUP(A24,Map!$A:$A,Map!$B:$B,""),"0000")
),
0)</f>
        <v>0</v>
      </c>
      <c r="I24" s="1">
        <f t="shared" si="3"/>
        <v>123</v>
      </c>
      <c r="J24" s="1">
        <f t="shared" si="4"/>
        <v>276.75</v>
      </c>
      <c r="N24" s="1" t="str">
        <f>IFERROR(__xludf.DUMMYFUNCTION("""COMPUTED_VALUE"""),"Gardena")</f>
        <v>Gardena</v>
      </c>
      <c r="O24" s="1">
        <f>IFERROR(__xludf.DUMMYFUNCTION("""COMPUTED_VALUE"""),107.0)</f>
        <v>107</v>
      </c>
      <c r="P24" s="1">
        <f>IFERROR(__xludf.DUMMYFUNCTION("""COMPUTED_VALUE"""),48.0)</f>
        <v>48</v>
      </c>
      <c r="Q24" s="1">
        <f>IFERROR(__xludf.DUMMYFUNCTION("""COMPUTED_VALUE"""),55.0)</f>
        <v>55</v>
      </c>
      <c r="R24" s="1">
        <f>IFERROR(__xludf.DUMMYFUNCTION("""COMPUTED_VALUE"""),5.5)</f>
        <v>5.5</v>
      </c>
      <c r="S24" s="1">
        <f>IFERROR(__xludf.DUMMYFUNCTION("""COMPUTED_VALUE"""),302.5)</f>
        <v>302.5</v>
      </c>
      <c r="T24" s="1">
        <f>IFERROR(__xludf.DUMMYFUNCTION("""COMPUTED_VALUE"""),125.0)</f>
        <v>125</v>
      </c>
      <c r="U24" s="1">
        <f>IFERROR(__xludf.DUMMYFUNCTION("""COMPUTED_VALUE"""),24.0)</f>
        <v>24</v>
      </c>
      <c r="V24" s="1">
        <f>IFERROR(__xludf.DUMMYFUNCTION("""COMPUTED_VALUE"""),31.0)</f>
        <v>31</v>
      </c>
      <c r="W24" s="1">
        <f>IFERROR(__xludf.DUMMYFUNCTION("""COMPUTED_VALUE"""),170.5)</f>
        <v>170.5</v>
      </c>
    </row>
    <row r="25">
      <c r="A25" s="1" t="str">
        <f>IFERROR(__xludf.DUMMYFUNCTION("""COMPUTED_VALUE"""),"Almarai Strawberry")</f>
        <v>Almarai Strawberry</v>
      </c>
      <c r="B25" s="1">
        <f>IF(A25="","",SUMIFS(VMS_Sales!F:F,VMS_Sales!D:D,A25,VMS_Sales!O:O,$L$2))</f>
        <v>209</v>
      </c>
      <c r="C25" s="1">
        <f>IF(A25="","",ROUND((
SUMIFS(VMS_Sales!F:F,VMS_Sales!D:D,A25,VMS_Sales!O:O,$L$1)+
SUMIFS(VMS_Sales!F:F,VMS_Sales!D:D,A25,VMS_Sales!O:O,$L$2)+
SUMIFS(VMS_Sales!F:F,VMS_Sales!D:D,A25,VMS_Sales!O:O,$L$3)
)/3,2))</f>
        <v>152.67</v>
      </c>
      <c r="D25" s="1">
        <f t="shared" si="1"/>
        <v>176</v>
      </c>
      <c r="E25" s="1">
        <f>IFERROR(__xludf.DUMMYFUNCTION("IFERROR(XLOOKUP(A25,FILTER(VMS_Sales!$D:$D,VMS_Sales!$O:$O=$L$2),FILTER(VMS_Sales!$L:$L,VMS_Sales!$O:$O=$L$2),""""),"""")"),2.29)</f>
        <v>2.29</v>
      </c>
      <c r="F25" s="1">
        <f t="shared" si="2"/>
        <v>403.04</v>
      </c>
      <c r="G25" s="1">
        <f t="array" ref="G25">IFERROR(
SUMIFS(
PurchaseLines_Import!$I:$I,
PurchaseLines_Import!$C:$C, XLOOKUP(A25,Map!$A:$A,Map!$B:$B,""),
PurchaseLines_Import!$H:$H, $L$1
),
"")</f>
        <v>135</v>
      </c>
      <c r="H25" s="1">
        <f t="array" ref="H25">IFERROR(
SUMIFS(
Inventory_Import!$D:$D,
Inventory_Import!$B:$B, TEXT(XLOOKUP(A25,Map!$A:$A,Map!$B:$B,""),"0000")
),
0)</f>
        <v>30</v>
      </c>
      <c r="I25" s="1">
        <f t="shared" si="3"/>
        <v>146</v>
      </c>
      <c r="J25" s="1">
        <f t="shared" si="4"/>
        <v>334.34</v>
      </c>
      <c r="N25" s="1" t="str">
        <f>IFERROR(__xludf.DUMMYFUNCTION("""COMPUTED_VALUE"""),"Doritos red hot")</f>
        <v>Doritos red hot</v>
      </c>
      <c r="O25" s="1">
        <f>IFERROR(__xludf.DUMMYFUNCTION("""COMPUTED_VALUE"""),138.0)</f>
        <v>138</v>
      </c>
      <c r="P25" s="1">
        <f>IFERROR(__xludf.DUMMYFUNCTION("""COMPUTED_VALUE"""),46.0)</f>
        <v>46</v>
      </c>
      <c r="Q25" s="1">
        <f>IFERROR(__xludf.DUMMYFUNCTION("""COMPUTED_VALUE"""),53.0)</f>
        <v>53</v>
      </c>
      <c r="R25" s="1">
        <f>IFERROR(__xludf.DUMMYFUNCTION("""COMPUTED_VALUE"""),2.93)</f>
        <v>2.93</v>
      </c>
      <c r="S25" s="1">
        <f>IFERROR(__xludf.DUMMYFUNCTION("""COMPUTED_VALUE"""),155.29)</f>
        <v>155.29</v>
      </c>
      <c r="T25" s="1">
        <f>IFERROR(__xludf.DUMMYFUNCTION("""COMPUTED_VALUE"""),150.0)</f>
        <v>150</v>
      </c>
      <c r="U25" s="1">
        <f>IFERROR(__xludf.DUMMYFUNCTION("""COMPUTED_VALUE"""),0.0)</f>
        <v>0</v>
      </c>
      <c r="V25" s="1">
        <f>IFERROR(__xludf.DUMMYFUNCTION("""COMPUTED_VALUE"""),53.0)</f>
        <v>53</v>
      </c>
      <c r="W25" s="1">
        <f>IFERROR(__xludf.DUMMYFUNCTION("""COMPUTED_VALUE"""),155.29)</f>
        <v>155.29</v>
      </c>
    </row>
    <row r="26">
      <c r="A26" s="1" t="str">
        <f>IFERROR(__xludf.DUMMYFUNCTION("""COMPUTED_VALUE"""),"Indomie")</f>
        <v>Indomie</v>
      </c>
      <c r="B26" s="1">
        <f>IF(A26="","",SUMIFS(VMS_Sales!F:F,VMS_Sales!D:D,A26,VMS_Sales!O:O,$L$2))</f>
        <v>0</v>
      </c>
      <c r="C26" s="1">
        <f>IF(A26="","",ROUND((
SUMIFS(VMS_Sales!F:F,VMS_Sales!D:D,A26,VMS_Sales!O:O,$L$1)+
SUMIFS(VMS_Sales!F:F,VMS_Sales!D:D,A26,VMS_Sales!O:O,$L$2)+
SUMIFS(VMS_Sales!F:F,VMS_Sales!D:D,A26,VMS_Sales!O:O,$L$3)
)/3,2))</f>
        <v>0.67</v>
      </c>
      <c r="D26" s="1">
        <f t="shared" si="1"/>
        <v>1</v>
      </c>
      <c r="E26" s="1" t="str">
        <f>IFERROR(__xludf.DUMMYFUNCTION("IFERROR(XLOOKUP(A26,FILTER(VMS_Sales!$D:$D,VMS_Sales!$O:$O=$L$2),FILTER(VMS_Sales!$L:$L,VMS_Sales!$O:$O=$L$2),""""),"""")"),"")</f>
        <v/>
      </c>
      <c r="F26" s="1" t="str">
        <f t="shared" si="2"/>
        <v/>
      </c>
      <c r="G26" s="1">
        <f t="array" ref="G26">IFERROR(
SUMIFS(
PurchaseLines_Import!$I:$I,
PurchaseLines_Import!$C:$C, XLOOKUP(A26,Map!$A:$A,Map!$B:$B,""),
PurchaseLines_Import!$H:$H, $L$1
),
"")</f>
        <v>0</v>
      </c>
      <c r="H26" s="1">
        <f t="array" ref="H26">IFERROR(
SUMIFS(
Inventory_Import!$D:$D,
Inventory_Import!$B:$B, TEXT(XLOOKUP(A26,Map!$A:$A,Map!$B:$B,""),"0000")
),
0)</f>
        <v>0</v>
      </c>
      <c r="I26" s="1">
        <f t="shared" si="3"/>
        <v>1</v>
      </c>
      <c r="J26" s="1" t="str">
        <f t="shared" si="4"/>
        <v/>
      </c>
      <c r="N26" s="1" t="str">
        <f>IFERROR(__xludf.DUMMYFUNCTION("""COMPUTED_VALUE"""),"Rayhan suntop")</f>
        <v>Rayhan suntop</v>
      </c>
      <c r="O26" s="1">
        <f>IFERROR(__xludf.DUMMYFUNCTION("""COMPUTED_VALUE"""),261.0)</f>
        <v>261</v>
      </c>
      <c r="P26" s="1">
        <f>IFERROR(__xludf.DUMMYFUNCTION("""COMPUTED_VALUE"""),197.0)</f>
        <v>197</v>
      </c>
      <c r="Q26" s="1">
        <f>IFERROR(__xludf.DUMMYFUNCTION("""COMPUTED_VALUE"""),227.0)</f>
        <v>227</v>
      </c>
      <c r="R26" s="1">
        <f>IFERROR(__xludf.DUMMYFUNCTION("""COMPUTED_VALUE"""),0.68)</f>
        <v>0.68</v>
      </c>
      <c r="S26" s="1">
        <f>IFERROR(__xludf.DUMMYFUNCTION("""COMPUTED_VALUE"""),154.36)</f>
        <v>154.36</v>
      </c>
      <c r="T26" s="1">
        <f>IFERROR(__xludf.DUMMYFUNCTION("""COMPUTED_VALUE"""),120.0)</f>
        <v>120</v>
      </c>
      <c r="U26" s="1">
        <f>IFERROR(__xludf.DUMMYFUNCTION("""COMPUTED_VALUE"""),0.0)</f>
        <v>0</v>
      </c>
      <c r="V26" s="1">
        <f>IFERROR(__xludf.DUMMYFUNCTION("""COMPUTED_VALUE"""),227.0)</f>
        <v>227</v>
      </c>
      <c r="W26" s="1">
        <f>IFERROR(__xludf.DUMMYFUNCTION("""COMPUTED_VALUE"""),154.36)</f>
        <v>154.36</v>
      </c>
    </row>
    <row r="27">
      <c r="A27" s="1" t="str">
        <f>IFERROR(__xludf.DUMMYFUNCTION("""COMPUTED_VALUE"""),"Doritos green hot")</f>
        <v>Doritos green hot</v>
      </c>
      <c r="B27" s="1">
        <f>IF(A27="","",SUMIFS(VMS_Sales!F:F,VMS_Sales!D:D,A27,VMS_Sales!O:O,$L$2))</f>
        <v>187</v>
      </c>
      <c r="C27" s="1">
        <f>IF(A27="","",ROUND((
SUMIFS(VMS_Sales!F:F,VMS_Sales!D:D,A27,VMS_Sales!O:O,$L$1)+
SUMIFS(VMS_Sales!F:F,VMS_Sales!D:D,A27,VMS_Sales!O:O,$L$2)+
SUMIFS(VMS_Sales!F:F,VMS_Sales!D:D,A27,VMS_Sales!O:O,$L$3)
)/3,2))</f>
        <v>191</v>
      </c>
      <c r="D27" s="1">
        <f t="shared" si="1"/>
        <v>220</v>
      </c>
      <c r="E27" s="1">
        <f>IFERROR(__xludf.DUMMYFUNCTION("IFERROR(XLOOKUP(A27,FILTER(VMS_Sales!$D:$D,VMS_Sales!$O:$O=$L$2),FILTER(VMS_Sales!$L:$L,VMS_Sales!$O:$O=$L$2),""""),"""")"),2.93)</f>
        <v>2.93</v>
      </c>
      <c r="F27" s="1">
        <f t="shared" si="2"/>
        <v>644.6</v>
      </c>
      <c r="G27" s="1">
        <f t="array" ref="G27">IFERROR(
SUMIFS(
PurchaseLines_Import!$I:$I,
PurchaseLines_Import!$C:$C, XLOOKUP(A27,Map!$A:$A,Map!$B:$B,""),
PurchaseLines_Import!$H:$H, $L$1
),
"")</f>
        <v>0</v>
      </c>
      <c r="H27" s="1">
        <f t="array" ref="H27">IFERROR(
SUMIFS(
Inventory_Import!$D:$D,
Inventory_Import!$B:$B, TEXT(XLOOKUP(A27,Map!$A:$A,Map!$B:$B,""),"0000")
),
0)</f>
        <v>73</v>
      </c>
      <c r="I27" s="1">
        <f t="shared" si="3"/>
        <v>147</v>
      </c>
      <c r="J27" s="1">
        <f t="shared" si="4"/>
        <v>430.71</v>
      </c>
      <c r="N27" s="1" t="str">
        <f>IFERROR(__xludf.DUMMYFUNCTION("""COMPUTED_VALUE"""),"Toblerone")</f>
        <v>Toblerone</v>
      </c>
      <c r="O27" s="1">
        <f>IFERROR(__xludf.DUMMYFUNCTION("""COMPUTED_VALUE"""),5.0)</f>
        <v>5</v>
      </c>
      <c r="P27" s="1">
        <f>IFERROR(__xludf.DUMMYFUNCTION("""COMPUTED_VALUE"""),26.0)</f>
        <v>26</v>
      </c>
      <c r="Q27" s="1">
        <f>IFERROR(__xludf.DUMMYFUNCTION("""COMPUTED_VALUE"""),30.0)</f>
        <v>30</v>
      </c>
      <c r="R27" s="1">
        <f>IFERROR(__xludf.DUMMYFUNCTION("""COMPUTED_VALUE"""),4.79)</f>
        <v>4.79</v>
      </c>
      <c r="S27" s="1">
        <f>IFERROR(__xludf.DUMMYFUNCTION("""COMPUTED_VALUE"""),143.7)</f>
        <v>143.7</v>
      </c>
      <c r="T27" s="1">
        <f>IFERROR(__xludf.DUMMYFUNCTION("""COMPUTED_VALUE"""),0.0)</f>
        <v>0</v>
      </c>
      <c r="U27" s="1">
        <f>IFERROR(__xludf.DUMMYFUNCTION("""COMPUTED_VALUE"""),0.0)</f>
        <v>0</v>
      </c>
      <c r="V27" s="1">
        <f>IFERROR(__xludf.DUMMYFUNCTION("""COMPUTED_VALUE"""),30.0)</f>
        <v>30</v>
      </c>
      <c r="W27" s="1">
        <f>IFERROR(__xludf.DUMMYFUNCTION("""COMPUTED_VALUE"""),143.7)</f>
        <v>143.7</v>
      </c>
    </row>
    <row r="28">
      <c r="A28" s="1" t="str">
        <f>IFERROR(__xludf.DUMMYFUNCTION("""COMPUTED_VALUE"""),"Doritos nacho")</f>
        <v>Doritos nacho</v>
      </c>
      <c r="B28" s="1">
        <f>IF(A28="","",SUMIFS(VMS_Sales!F:F,VMS_Sales!D:D,A28,VMS_Sales!O:O,$L$2))</f>
        <v>376</v>
      </c>
      <c r="C28" s="1">
        <f>IF(A28="","",ROUND((
SUMIFS(VMS_Sales!F:F,VMS_Sales!D:D,A28,VMS_Sales!O:O,$L$1)+
SUMIFS(VMS_Sales!F:F,VMS_Sales!D:D,A28,VMS_Sales!O:O,$L$2)+
SUMIFS(VMS_Sales!F:F,VMS_Sales!D:D,A28,VMS_Sales!O:O,$L$3)
)/3,2))</f>
        <v>175</v>
      </c>
      <c r="D28" s="1">
        <f t="shared" si="1"/>
        <v>201</v>
      </c>
      <c r="E28" s="1">
        <f>IFERROR(__xludf.DUMMYFUNCTION("IFERROR(XLOOKUP(A28,FILTER(VMS_Sales!$D:$D,VMS_Sales!$O:$O=$L$2),FILTER(VMS_Sales!$L:$L,VMS_Sales!$O:$O=$L$2),""""),"""")"),2.93)</f>
        <v>2.93</v>
      </c>
      <c r="F28" s="1">
        <f t="shared" si="2"/>
        <v>588.93</v>
      </c>
      <c r="G28" s="1">
        <f t="array" ref="G28">IFERROR(
SUMIFS(
PurchaseLines_Import!$I:$I,
PurchaseLines_Import!$C:$C, XLOOKUP(A28,Map!$A:$A,Map!$B:$B,""),
PurchaseLines_Import!$H:$H, $L$1
),
"")</f>
        <v>165</v>
      </c>
      <c r="H28" s="1">
        <f t="array" ref="H28">IFERROR(
SUMIFS(
Inventory_Import!$D:$D,
Inventory_Import!$B:$B, TEXT(XLOOKUP(A28,Map!$A:$A,Map!$B:$B,""),"0000")
),
0)</f>
        <v>89</v>
      </c>
      <c r="I28" s="1">
        <f t="shared" si="3"/>
        <v>112</v>
      </c>
      <c r="J28" s="1">
        <f t="shared" si="4"/>
        <v>328.16</v>
      </c>
      <c r="N28" s="1" t="str">
        <f>IFERROR(__xludf.DUMMYFUNCTION("""COMPUTED_VALUE"""),"Schweppes bullet")</f>
        <v>Schweppes bullet</v>
      </c>
      <c r="O28" s="1">
        <f>IFERROR(__xludf.DUMMYFUNCTION("""COMPUTED_VALUE"""),101.0)</f>
        <v>101</v>
      </c>
      <c r="P28" s="1">
        <f>IFERROR(__xludf.DUMMYFUNCTION("""COMPUTED_VALUE"""),63.33)</f>
        <v>63.33</v>
      </c>
      <c r="Q28" s="1">
        <f>IFERROR(__xludf.DUMMYFUNCTION("""COMPUTED_VALUE"""),73.0)</f>
        <v>73</v>
      </c>
      <c r="R28" s="1">
        <f>IFERROR(__xludf.DUMMYFUNCTION("""COMPUTED_VALUE"""),1.75)</f>
        <v>1.75</v>
      </c>
      <c r="S28" s="1">
        <f>IFERROR(__xludf.DUMMYFUNCTION("""COMPUTED_VALUE"""),127.75)</f>
        <v>127.75</v>
      </c>
      <c r="T28" s="1">
        <f>IFERROR(__xludf.DUMMYFUNCTION("""COMPUTED_VALUE"""),0.0)</f>
        <v>0</v>
      </c>
      <c r="U28" s="1">
        <f>IFERROR(__xludf.DUMMYFUNCTION("""COMPUTED_VALUE"""),0.0)</f>
        <v>0</v>
      </c>
      <c r="V28" s="1">
        <f>IFERROR(__xludf.DUMMYFUNCTION("""COMPUTED_VALUE"""),73.0)</f>
        <v>73</v>
      </c>
      <c r="W28" s="1">
        <f>IFERROR(__xludf.DUMMYFUNCTION("""COMPUTED_VALUE"""),127.75)</f>
        <v>127.75</v>
      </c>
    </row>
    <row r="29">
      <c r="A29" s="1" t="str">
        <f>IFERROR(__xludf.DUMMYFUNCTION("""COMPUTED_VALUE"""),"Barbican")</f>
        <v>Barbican</v>
      </c>
      <c r="B29" s="1">
        <f>IF(A29="","",SUMIFS(VMS_Sales!F:F,VMS_Sales!D:D,A29,VMS_Sales!O:O,$L$2))</f>
        <v>15</v>
      </c>
      <c r="C29" s="1">
        <f>IF(A29="","",ROUND((
SUMIFS(VMS_Sales!F:F,VMS_Sales!D:D,A29,VMS_Sales!O:O,$L$1)+
SUMIFS(VMS_Sales!F:F,VMS_Sales!D:D,A29,VMS_Sales!O:O,$L$2)+
SUMIFS(VMS_Sales!F:F,VMS_Sales!D:D,A29,VMS_Sales!O:O,$L$3)
)/3,2))</f>
        <v>10.67</v>
      </c>
      <c r="D29" s="1">
        <f t="shared" si="1"/>
        <v>12</v>
      </c>
      <c r="E29" s="1">
        <f>IFERROR(__xludf.DUMMYFUNCTION("IFERROR(XLOOKUP(A29,FILTER(VMS_Sales!$D:$D,VMS_Sales!$O:$O=$L$2),FILTER(VMS_Sales!$L:$L,VMS_Sales!$O:$O=$L$2),""""),"""")"),3.17)</f>
        <v>3.17</v>
      </c>
      <c r="F29" s="1">
        <f t="shared" si="2"/>
        <v>38.04</v>
      </c>
      <c r="G29" s="1">
        <f t="array" ref="G29">IFERROR(
SUMIFS(
PurchaseLines_Import!$I:$I,
PurchaseLines_Import!$C:$C, XLOOKUP(A29,Map!$A:$A,Map!$B:$B,""),
PurchaseLines_Import!$H:$H, $L$1
),
"")</f>
        <v>0</v>
      </c>
      <c r="H29" s="1">
        <f t="array" ref="H29">IFERROR(
SUMIFS(
Inventory_Import!$D:$D,
Inventory_Import!$B:$B, TEXT(XLOOKUP(A29,Map!$A:$A,Map!$B:$B,""),"0000")
),
0)</f>
        <v>0</v>
      </c>
      <c r="I29" s="1">
        <f t="shared" si="3"/>
        <v>12</v>
      </c>
      <c r="J29" s="1">
        <f t="shared" si="4"/>
        <v>38.04</v>
      </c>
      <c r="N29" s="1" t="str">
        <f>IFERROR(__xludf.DUMMYFUNCTION("""COMPUTED_VALUE"""),"Chillax chips")</f>
        <v>Chillax chips</v>
      </c>
      <c r="O29" s="1">
        <f>IFERROR(__xludf.DUMMYFUNCTION("""COMPUTED_VALUE"""),36.0)</f>
        <v>36</v>
      </c>
      <c r="P29" s="1">
        <f>IFERROR(__xludf.DUMMYFUNCTION("""COMPUTED_VALUE"""),31.0)</f>
        <v>31</v>
      </c>
      <c r="Q29" s="1">
        <f>IFERROR(__xludf.DUMMYFUNCTION("""COMPUTED_VALUE"""),36.0)</f>
        <v>36</v>
      </c>
      <c r="R29" s="1">
        <f>IFERROR(__xludf.DUMMYFUNCTION("""COMPUTED_VALUE"""),3.5)</f>
        <v>3.5</v>
      </c>
      <c r="S29" s="1">
        <f>IFERROR(__xludf.DUMMYFUNCTION("""COMPUTED_VALUE"""),126.0)</f>
        <v>126</v>
      </c>
      <c r="T29" s="1">
        <f>IFERROR(__xludf.DUMMYFUNCTION("""COMPUTED_VALUE"""),0.0)</f>
        <v>0</v>
      </c>
      <c r="U29" s="1">
        <f>IFERROR(__xludf.DUMMYFUNCTION("""COMPUTED_VALUE"""),0.0)</f>
        <v>0</v>
      </c>
      <c r="V29" s="1">
        <f>IFERROR(__xludf.DUMMYFUNCTION("""COMPUTED_VALUE"""),36.0)</f>
        <v>36</v>
      </c>
      <c r="W29" s="1">
        <f>IFERROR(__xludf.DUMMYFUNCTION("""COMPUTED_VALUE"""),126.0)</f>
        <v>126</v>
      </c>
    </row>
    <row r="30">
      <c r="A30" s="1" t="str">
        <f>IFERROR(__xludf.DUMMYFUNCTION("""COMPUTED_VALUE"""),"Shani")</f>
        <v>Shani</v>
      </c>
      <c r="B30" s="1">
        <f>IF(A30="","",SUMIFS(VMS_Sales!F:F,VMS_Sales!D:D,A30,VMS_Sales!O:O,$L$2))</f>
        <v>159</v>
      </c>
      <c r="C30" s="1">
        <f>IF(A30="","",ROUND((
SUMIFS(VMS_Sales!F:F,VMS_Sales!D:D,A30,VMS_Sales!O:O,$L$1)+
SUMIFS(VMS_Sales!F:F,VMS_Sales!D:D,A30,VMS_Sales!O:O,$L$2)+
SUMIFS(VMS_Sales!F:F,VMS_Sales!D:D,A30,VMS_Sales!O:O,$L$3)
)/3,2))</f>
        <v>89.67</v>
      </c>
      <c r="D30" s="1">
        <f t="shared" si="1"/>
        <v>103</v>
      </c>
      <c r="E30" s="1">
        <f>IFERROR(__xludf.DUMMYFUNCTION("IFERROR(XLOOKUP(A30,FILTER(VMS_Sales!$D:$D,VMS_Sales!$O:$O=$L$2),FILTER(VMS_Sales!$L:$L,VMS_Sales!$O:$O=$L$2),""""),"""")"),2.25)</f>
        <v>2.25</v>
      </c>
      <c r="F30" s="1">
        <f t="shared" si="2"/>
        <v>231.75</v>
      </c>
      <c r="G30" s="1">
        <f t="array" ref="G30">IFERROR(
SUMIFS(
PurchaseLines_Import!$I:$I,
PurchaseLines_Import!$C:$C, XLOOKUP(A30,Map!$A:$A,Map!$B:$B,""),
PurchaseLines_Import!$H:$H, $L$1
),
"")</f>
        <v>0</v>
      </c>
      <c r="H30" s="1">
        <f t="array" ref="H30">IFERROR(
SUMIFS(
Inventory_Import!$D:$D,
Inventory_Import!$B:$B, TEXT(XLOOKUP(A30,Map!$A:$A,Map!$B:$B,""),"0000")
),
0)</f>
        <v>0</v>
      </c>
      <c r="I30" s="1">
        <f t="shared" si="3"/>
        <v>103</v>
      </c>
      <c r="J30" s="1">
        <f t="shared" si="4"/>
        <v>231.75</v>
      </c>
      <c r="N30" s="1" t="str">
        <f>IFERROR(__xludf.DUMMYFUNCTION("""COMPUTED_VALUE"""),"Coach Suntop")</f>
        <v>Coach Suntop</v>
      </c>
      <c r="O30" s="1">
        <f>IFERROR(__xludf.DUMMYFUNCTION("""COMPUTED_VALUE"""),412.0)</f>
        <v>412</v>
      </c>
      <c r="P30" s="1">
        <f>IFERROR(__xludf.DUMMYFUNCTION("""COMPUTED_VALUE"""),234.67)</f>
        <v>234.67</v>
      </c>
      <c r="Q30" s="1">
        <f>IFERROR(__xludf.DUMMYFUNCTION("""COMPUTED_VALUE"""),270.0)</f>
        <v>270</v>
      </c>
      <c r="R30" s="1">
        <f>IFERROR(__xludf.DUMMYFUNCTION("""COMPUTED_VALUE"""),0.45)</f>
        <v>0.45</v>
      </c>
      <c r="S30" s="1">
        <f>IFERROR(__xludf.DUMMYFUNCTION("""COMPUTED_VALUE"""),121.5)</f>
        <v>121.5</v>
      </c>
      <c r="T30" s="1">
        <f>IFERROR(__xludf.DUMMYFUNCTION("""COMPUTED_VALUE"""),0.0)</f>
        <v>0</v>
      </c>
      <c r="U30" s="1">
        <f>IFERROR(__xludf.DUMMYFUNCTION("""COMPUTED_VALUE"""),-1.0)</f>
        <v>-1</v>
      </c>
      <c r="V30" s="1">
        <f>IFERROR(__xludf.DUMMYFUNCTION("""COMPUTED_VALUE"""),271.0)</f>
        <v>271</v>
      </c>
      <c r="W30" s="1">
        <f>IFERROR(__xludf.DUMMYFUNCTION("""COMPUTED_VALUE"""),121.95)</f>
        <v>121.95</v>
      </c>
    </row>
    <row r="31">
      <c r="A31" s="1" t="str">
        <f>IFERROR(__xludf.DUMMYFUNCTION("""COMPUTED_VALUE"""),"Toblerone")</f>
        <v>Toblerone</v>
      </c>
      <c r="B31" s="1">
        <f>IF(A31="","",SUMIFS(VMS_Sales!F:F,VMS_Sales!D:D,A31,VMS_Sales!O:O,$L$2))</f>
        <v>5</v>
      </c>
      <c r="C31" s="1">
        <f>IF(A31="","",ROUND((
SUMIFS(VMS_Sales!F:F,VMS_Sales!D:D,A31,VMS_Sales!O:O,$L$1)+
SUMIFS(VMS_Sales!F:F,VMS_Sales!D:D,A31,VMS_Sales!O:O,$L$2)+
SUMIFS(VMS_Sales!F:F,VMS_Sales!D:D,A31,VMS_Sales!O:O,$L$3)
)/3,2))</f>
        <v>26</v>
      </c>
      <c r="D31" s="1">
        <f t="shared" si="1"/>
        <v>30</v>
      </c>
      <c r="E31" s="1">
        <f>IFERROR(__xludf.DUMMYFUNCTION("IFERROR(XLOOKUP(A31,FILTER(VMS_Sales!$D:$D,VMS_Sales!$O:$O=$L$2),FILTER(VMS_Sales!$L:$L,VMS_Sales!$O:$O=$L$2),""""),"""")"),4.79)</f>
        <v>4.79</v>
      </c>
      <c r="F31" s="1">
        <f t="shared" si="2"/>
        <v>143.7</v>
      </c>
      <c r="G31" s="1">
        <f t="array" ref="G31">IFERROR(
SUMIFS(
PurchaseLines_Import!$I:$I,
PurchaseLines_Import!$C:$C, XLOOKUP(A31,Map!$A:$A,Map!$B:$B,""),
PurchaseLines_Import!$H:$H, $L$1
),
"")</f>
        <v>0</v>
      </c>
      <c r="H31" s="1">
        <f t="array" ref="H31">IFERROR(
SUMIFS(
Inventory_Import!$D:$D,
Inventory_Import!$B:$B, TEXT(XLOOKUP(A31,Map!$A:$A,Map!$B:$B,""),"0000")
),
0)</f>
        <v>0</v>
      </c>
      <c r="I31" s="1">
        <f t="shared" si="3"/>
        <v>30</v>
      </c>
      <c r="J31" s="1">
        <f t="shared" si="4"/>
        <v>143.7</v>
      </c>
      <c r="N31" s="1" t="str">
        <f>IFERROR(__xludf.DUMMYFUNCTION("""COMPUTED_VALUE"""),"Lovita cookies")</f>
        <v>Lovita cookies</v>
      </c>
      <c r="O31" s="1">
        <f>IFERROR(__xludf.DUMMYFUNCTION("""COMPUTED_VALUE"""),25.0)</f>
        <v>25</v>
      </c>
      <c r="P31" s="1">
        <f>IFERROR(__xludf.DUMMYFUNCTION("""COMPUTED_VALUE"""),19.67)</f>
        <v>19.67</v>
      </c>
      <c r="Q31" s="1">
        <f>IFERROR(__xludf.DUMMYFUNCTION("""COMPUTED_VALUE"""),23.0)</f>
        <v>23</v>
      </c>
      <c r="R31" s="1">
        <f>IFERROR(__xludf.DUMMYFUNCTION("""COMPUTED_VALUE"""),5.18)</f>
        <v>5.18</v>
      </c>
      <c r="S31" s="1">
        <f>IFERROR(__xludf.DUMMYFUNCTION("""COMPUTED_VALUE"""),119.14)</f>
        <v>119.14</v>
      </c>
      <c r="T31" s="1">
        <f>IFERROR(__xludf.DUMMYFUNCTION("""COMPUTED_VALUE"""),34.0)</f>
        <v>34</v>
      </c>
      <c r="U31" s="1">
        <f>IFERROR(__xludf.DUMMYFUNCTION("""COMPUTED_VALUE"""),0.0)</f>
        <v>0</v>
      </c>
      <c r="V31" s="1">
        <f>IFERROR(__xludf.DUMMYFUNCTION("""COMPUTED_VALUE"""),23.0)</f>
        <v>23</v>
      </c>
      <c r="W31" s="1">
        <f>IFERROR(__xludf.DUMMYFUNCTION("""COMPUTED_VALUE"""),119.14)</f>
        <v>119.14</v>
      </c>
    </row>
    <row r="32">
      <c r="A32" s="1" t="str">
        <f>IFERROR(__xludf.DUMMYFUNCTION("""COMPUTED_VALUE"""),"Rayhan suntop")</f>
        <v>Rayhan suntop</v>
      </c>
      <c r="B32" s="1">
        <f>IF(A32="","",SUMIFS(VMS_Sales!F:F,VMS_Sales!D:D,A32,VMS_Sales!O:O,$L$2))</f>
        <v>261</v>
      </c>
      <c r="C32" s="1">
        <f>IF(A32="","",ROUND((
SUMIFS(VMS_Sales!F:F,VMS_Sales!D:D,A32,VMS_Sales!O:O,$L$1)+
SUMIFS(VMS_Sales!F:F,VMS_Sales!D:D,A32,VMS_Sales!O:O,$L$2)+
SUMIFS(VMS_Sales!F:F,VMS_Sales!D:D,A32,VMS_Sales!O:O,$L$3)
)/3,2))</f>
        <v>197</v>
      </c>
      <c r="D32" s="1">
        <f t="shared" si="1"/>
        <v>227</v>
      </c>
      <c r="E32" s="1">
        <f>IFERROR(__xludf.DUMMYFUNCTION("IFERROR(XLOOKUP(A32,FILTER(VMS_Sales!$D:$D,VMS_Sales!$O:$O=$L$2),FILTER(VMS_Sales!$L:$L,VMS_Sales!$O:$O=$L$2),""""),"""")"),0.68)</f>
        <v>0.68</v>
      </c>
      <c r="F32" s="1">
        <f t="shared" si="2"/>
        <v>154.36</v>
      </c>
      <c r="G32" s="1">
        <f t="array" ref="G32">IFERROR(
SUMIFS(
PurchaseLines_Import!$I:$I,
PurchaseLines_Import!$C:$C, XLOOKUP(A32,Map!$A:$A,Map!$B:$B,""),
PurchaseLines_Import!$H:$H, $L$1
),
"")</f>
        <v>120</v>
      </c>
      <c r="H32" s="1">
        <f t="array" ref="H32">IFERROR(
SUMIFS(
Inventory_Import!$D:$D,
Inventory_Import!$B:$B, TEXT(XLOOKUP(A32,Map!$A:$A,Map!$B:$B,""),"0000")
),
0)</f>
        <v>0</v>
      </c>
      <c r="I32" s="1">
        <f t="shared" si="3"/>
        <v>227</v>
      </c>
      <c r="J32" s="1">
        <f t="shared" si="4"/>
        <v>154.36</v>
      </c>
      <c r="N32" s="1" t="str">
        <f>IFERROR(__xludf.DUMMYFUNCTION("""COMPUTED_VALUE"""),"7up")</f>
        <v>7up</v>
      </c>
      <c r="O32" s="1">
        <f>IFERROR(__xludf.DUMMYFUNCTION("""COMPUTED_VALUE"""),112.0)</f>
        <v>112</v>
      </c>
      <c r="P32" s="1">
        <f>IFERROR(__xludf.DUMMYFUNCTION("""COMPUTED_VALUE"""),44.33)</f>
        <v>44.33</v>
      </c>
      <c r="Q32" s="1">
        <f>IFERROR(__xludf.DUMMYFUNCTION("""COMPUTED_VALUE"""),51.0)</f>
        <v>51</v>
      </c>
      <c r="R32" s="1">
        <f>IFERROR(__xludf.DUMMYFUNCTION("""COMPUTED_VALUE"""),2.25)</f>
        <v>2.25</v>
      </c>
      <c r="S32" s="1">
        <f>IFERROR(__xludf.DUMMYFUNCTION("""COMPUTED_VALUE"""),114.75)</f>
        <v>114.75</v>
      </c>
      <c r="T32" s="1">
        <f>IFERROR(__xludf.DUMMYFUNCTION("""COMPUTED_VALUE"""),0.0)</f>
        <v>0</v>
      </c>
      <c r="U32" s="1">
        <f>IFERROR(__xludf.DUMMYFUNCTION("""COMPUTED_VALUE"""),0.0)</f>
        <v>0</v>
      </c>
      <c r="V32" s="1">
        <f>IFERROR(__xludf.DUMMYFUNCTION("""COMPUTED_VALUE"""),51.0)</f>
        <v>51</v>
      </c>
      <c r="W32" s="1">
        <f>IFERROR(__xludf.DUMMYFUNCTION("""COMPUTED_VALUE"""),114.75)</f>
        <v>114.75</v>
      </c>
    </row>
    <row r="33">
      <c r="A33" s="1" t="str">
        <f>IFERROR(__xludf.DUMMYFUNCTION("""COMPUTED_VALUE"""),"Tiger excellence")</f>
        <v>Tiger excellence</v>
      </c>
      <c r="B33" s="1">
        <f>IF(A33="","",SUMIFS(VMS_Sales!F:F,VMS_Sales!D:D,A33,VMS_Sales!O:O,$L$2))</f>
        <v>147</v>
      </c>
      <c r="C33" s="1">
        <f>IF(A33="","",ROUND((
SUMIFS(VMS_Sales!F:F,VMS_Sales!D:D,A33,VMS_Sales!O:O,$L$1)+
SUMIFS(VMS_Sales!F:F,VMS_Sales!D:D,A33,VMS_Sales!O:O,$L$2)+
SUMIFS(VMS_Sales!F:F,VMS_Sales!D:D,A33,VMS_Sales!O:O,$L$3)
)/3,2))</f>
        <v>99</v>
      </c>
      <c r="D33" s="1">
        <f t="shared" si="1"/>
        <v>114</v>
      </c>
      <c r="E33" s="1">
        <f>IFERROR(__xludf.DUMMYFUNCTION("IFERROR(XLOOKUP(A33,FILTER(VMS_Sales!$D:$D,VMS_Sales!$O:$O=$L$2),FILTER(VMS_Sales!$L:$L,VMS_Sales!$O:$O=$L$2),""""),"""")"),2.25)</f>
        <v>2.25</v>
      </c>
      <c r="F33" s="1">
        <f t="shared" si="2"/>
        <v>256.5</v>
      </c>
      <c r="G33" s="1">
        <f t="array" ref="G33">IFERROR(
SUMIFS(
PurchaseLines_Import!$I:$I,
PurchaseLines_Import!$C:$C, XLOOKUP(A33,Map!$A:$A,Map!$B:$B,""),
PurchaseLines_Import!$H:$H, $L$1
),
"")</f>
        <v>200</v>
      </c>
      <c r="H33" s="1">
        <f t="array" ref="H33">IFERROR(
SUMIFS(
Inventory_Import!$D:$D,
Inventory_Import!$B:$B, TEXT(XLOOKUP(A33,Map!$A:$A,Map!$B:$B,""),"0000")
),
0)</f>
        <v>0</v>
      </c>
      <c r="I33" s="1">
        <f t="shared" si="3"/>
        <v>114</v>
      </c>
      <c r="J33" s="1">
        <f t="shared" si="4"/>
        <v>256.5</v>
      </c>
      <c r="N33" s="1" t="str">
        <f>IFERROR(__xludf.DUMMYFUNCTION("""COMPUTED_VALUE"""),"Galaxy wafer roll")</f>
        <v>Galaxy wafer roll</v>
      </c>
      <c r="O33" s="1">
        <f>IFERROR(__xludf.DUMMYFUNCTION("""COMPUTED_VALUE"""),277.0)</f>
        <v>277</v>
      </c>
      <c r="P33" s="1">
        <f>IFERROR(__xludf.DUMMYFUNCTION("""COMPUTED_VALUE"""),92.33)</f>
        <v>92.33</v>
      </c>
      <c r="Q33" s="1">
        <f>IFERROR(__xludf.DUMMYFUNCTION("""COMPUTED_VALUE"""),106.0)</f>
        <v>106</v>
      </c>
      <c r="R33" s="1">
        <f>IFERROR(__xludf.DUMMYFUNCTION("""COMPUTED_VALUE"""),1.08)</f>
        <v>1.08</v>
      </c>
      <c r="S33" s="1">
        <f>IFERROR(__xludf.DUMMYFUNCTION("""COMPUTED_VALUE"""),114.48)</f>
        <v>114.48</v>
      </c>
      <c r="T33" s="1">
        <f>IFERROR(__xludf.DUMMYFUNCTION("""COMPUTED_VALUE"""),240.0)</f>
        <v>240</v>
      </c>
      <c r="U33" s="1">
        <f>IFERROR(__xludf.DUMMYFUNCTION("""COMPUTED_VALUE"""),5.0)</f>
        <v>5</v>
      </c>
      <c r="V33" s="1">
        <f>IFERROR(__xludf.DUMMYFUNCTION("""COMPUTED_VALUE"""),101.0)</f>
        <v>101</v>
      </c>
      <c r="W33" s="1">
        <f>IFERROR(__xludf.DUMMYFUNCTION("""COMPUTED_VALUE"""),109.08)</f>
        <v>109.08</v>
      </c>
    </row>
    <row r="34">
      <c r="A34" s="1" t="str">
        <f>IFERROR(__xludf.DUMMYFUNCTION("""COMPUTED_VALUE"""),"Savi stix")</f>
        <v>Savi stix</v>
      </c>
      <c r="B34" s="1">
        <f>IF(A34="","",SUMIFS(VMS_Sales!F:F,VMS_Sales!D:D,A34,VMS_Sales!O:O,$L$2))</f>
        <v>31</v>
      </c>
      <c r="C34" s="1">
        <f>IF(A34="","",ROUND((
SUMIFS(VMS_Sales!F:F,VMS_Sales!D:D,A34,VMS_Sales!O:O,$L$1)+
SUMIFS(VMS_Sales!F:F,VMS_Sales!D:D,A34,VMS_Sales!O:O,$L$2)+
SUMIFS(VMS_Sales!F:F,VMS_Sales!D:D,A34,VMS_Sales!O:O,$L$3)
)/3,2))</f>
        <v>16</v>
      </c>
      <c r="D34" s="1">
        <f t="shared" si="1"/>
        <v>18</v>
      </c>
      <c r="E34" s="1">
        <f>IFERROR(__xludf.DUMMYFUNCTION("IFERROR(XLOOKUP(A34,FILTER(VMS_Sales!$D:$D,VMS_Sales!$O:$O=$L$2),FILTER(VMS_Sales!$L:$L,VMS_Sales!$O:$O=$L$2),""""),"""")"),3.6)</f>
        <v>3.6</v>
      </c>
      <c r="F34" s="1">
        <f t="shared" si="2"/>
        <v>64.8</v>
      </c>
      <c r="G34" s="1">
        <f t="array" ref="G34">IFERROR(
SUMIFS(
PurchaseLines_Import!$I:$I,
PurchaseLines_Import!$C:$C, XLOOKUP(A34,Map!$A:$A,Map!$B:$B,""),
PurchaseLines_Import!$H:$H, $L$1
),
"")</f>
        <v>0</v>
      </c>
      <c r="H34" s="1">
        <f t="array" ref="H34">IFERROR(
SUMIFS(
Inventory_Import!$D:$D,
Inventory_Import!$B:$B, TEXT(XLOOKUP(A34,Map!$A:$A,Map!$B:$B,""),"0000")
),
0)</f>
        <v>0</v>
      </c>
      <c r="I34" s="1">
        <f t="shared" si="3"/>
        <v>18</v>
      </c>
      <c r="J34" s="1">
        <f t="shared" si="4"/>
        <v>64.8</v>
      </c>
      <c r="N34" s="1" t="str">
        <f>IFERROR(__xludf.DUMMYFUNCTION("""COMPUTED_VALUE"""),"Corissant Karuzo")</f>
        <v>Corissant Karuzo</v>
      </c>
      <c r="O34" s="1">
        <f>IFERROR(__xludf.DUMMYFUNCTION("""COMPUTED_VALUE"""),51.0)</f>
        <v>51</v>
      </c>
      <c r="P34" s="1">
        <f>IFERROR(__xludf.DUMMYFUNCTION("""COMPUTED_VALUE"""),33.0)</f>
        <v>33</v>
      </c>
      <c r="Q34" s="1">
        <f>IFERROR(__xludf.DUMMYFUNCTION("""COMPUTED_VALUE"""),38.0)</f>
        <v>38</v>
      </c>
      <c r="R34" s="1">
        <f>IFERROR(__xludf.DUMMYFUNCTION("""COMPUTED_VALUE"""),3.13)</f>
        <v>3.13</v>
      </c>
      <c r="S34" s="1">
        <f>IFERROR(__xludf.DUMMYFUNCTION("""COMPUTED_VALUE"""),118.94)</f>
        <v>118.94</v>
      </c>
      <c r="T34" s="1">
        <f>IFERROR(__xludf.DUMMYFUNCTION("""COMPUTED_VALUE"""),72.0)</f>
        <v>72</v>
      </c>
      <c r="U34" s="1">
        <f>IFERROR(__xludf.DUMMYFUNCTION("""COMPUTED_VALUE"""),4.0)</f>
        <v>4</v>
      </c>
      <c r="V34" s="1">
        <f>IFERROR(__xludf.DUMMYFUNCTION("""COMPUTED_VALUE"""),34.0)</f>
        <v>34</v>
      </c>
      <c r="W34" s="1">
        <f>IFERROR(__xludf.DUMMYFUNCTION("""COMPUTED_VALUE"""),106.42)</f>
        <v>106.42</v>
      </c>
    </row>
    <row r="35">
      <c r="A35" s="1" t="str">
        <f>IFERROR(__xludf.DUMMYFUNCTION("""COMPUTED_VALUE"""),"Lexus")</f>
        <v>Lexus</v>
      </c>
      <c r="B35" s="1">
        <f>IF(A35="","",SUMIFS(VMS_Sales!F:F,VMS_Sales!D:D,A35,VMS_Sales!O:O,$L$2))</f>
        <v>0</v>
      </c>
      <c r="C35" s="1">
        <f>IF(A35="","",ROUND((
SUMIFS(VMS_Sales!F:F,VMS_Sales!D:D,A35,VMS_Sales!O:O,$L$1)+
SUMIFS(VMS_Sales!F:F,VMS_Sales!D:D,A35,VMS_Sales!O:O,$L$2)+
SUMIFS(VMS_Sales!F:F,VMS_Sales!D:D,A35,VMS_Sales!O:O,$L$3)
)/3,2))</f>
        <v>16</v>
      </c>
      <c r="D35" s="1">
        <f t="shared" si="1"/>
        <v>18</v>
      </c>
      <c r="E35" s="1" t="str">
        <f>IFERROR(__xludf.DUMMYFUNCTION("IFERROR(XLOOKUP(A35,FILTER(VMS_Sales!$D:$D,VMS_Sales!$O:$O=$L$2),FILTER(VMS_Sales!$L:$L,VMS_Sales!$O:$O=$L$2),""""),"""")"),"")</f>
        <v/>
      </c>
      <c r="F35" s="1" t="str">
        <f t="shared" si="2"/>
        <v/>
      </c>
      <c r="G35" s="1">
        <f t="array" ref="G35">IFERROR(
SUMIFS(
PurchaseLines_Import!$I:$I,
PurchaseLines_Import!$C:$C, XLOOKUP(A35,Map!$A:$A,Map!$B:$B,""),
PurchaseLines_Import!$H:$H, $L$1
),
"")</f>
        <v>0</v>
      </c>
      <c r="H35" s="1">
        <f t="array" ref="H35">IFERROR(
SUMIFS(
Inventory_Import!$D:$D,
Inventory_Import!$B:$B, TEXT(XLOOKUP(A35,Map!$A:$A,Map!$B:$B,""),"0000")
),
0)</f>
        <v>0</v>
      </c>
      <c r="I35" s="1">
        <f t="shared" si="3"/>
        <v>18</v>
      </c>
      <c r="J35" s="1" t="str">
        <f t="shared" si="4"/>
        <v/>
      </c>
      <c r="N35" s="1" t="str">
        <f>IFERROR(__xludf.DUMMYFUNCTION("""COMPUTED_VALUE"""),"Twix")</f>
        <v>Twix</v>
      </c>
      <c r="O35" s="1">
        <f>IFERROR(__xludf.DUMMYFUNCTION("""COMPUTED_VALUE"""),25.0)</f>
        <v>25</v>
      </c>
      <c r="P35" s="1">
        <f>IFERROR(__xludf.DUMMYFUNCTION("""COMPUTED_VALUE"""),17.67)</f>
        <v>17.67</v>
      </c>
      <c r="Q35" s="1">
        <f>IFERROR(__xludf.DUMMYFUNCTION("""COMPUTED_VALUE"""),20.0)</f>
        <v>20</v>
      </c>
      <c r="R35" s="1">
        <f>IFERROR(__xludf.DUMMYFUNCTION("""COMPUTED_VALUE"""),5.0)</f>
        <v>5</v>
      </c>
      <c r="S35" s="1">
        <f>IFERROR(__xludf.DUMMYFUNCTION("""COMPUTED_VALUE"""),100.0)</f>
        <v>100</v>
      </c>
      <c r="T35" s="1">
        <f>IFERROR(__xludf.DUMMYFUNCTION("""COMPUTED_VALUE"""),0.0)</f>
        <v>0</v>
      </c>
      <c r="U35" s="1">
        <f>IFERROR(__xludf.DUMMYFUNCTION("""COMPUTED_VALUE"""),0.0)</f>
        <v>0</v>
      </c>
      <c r="V35" s="1">
        <f>IFERROR(__xludf.DUMMYFUNCTION("""COMPUTED_VALUE"""),20.0)</f>
        <v>20</v>
      </c>
      <c r="W35" s="1">
        <f>IFERROR(__xludf.DUMMYFUNCTION("""COMPUTED_VALUE"""),100.0)</f>
        <v>100</v>
      </c>
    </row>
    <row r="36">
      <c r="A36" s="1" t="str">
        <f>IFERROR(__xludf.DUMMYFUNCTION("""COMPUTED_VALUE"""),"Kitkat 2 fingers")</f>
        <v>Kitkat 2 fingers</v>
      </c>
      <c r="B36" s="1">
        <f>IF(A36="","",SUMIFS(VMS_Sales!F:F,VMS_Sales!D:D,A36,VMS_Sales!O:O,$L$2))</f>
        <v>0</v>
      </c>
      <c r="C36" s="1">
        <f>IF(A36="","",ROUND((
SUMIFS(VMS_Sales!F:F,VMS_Sales!D:D,A36,VMS_Sales!O:O,$L$1)+
SUMIFS(VMS_Sales!F:F,VMS_Sales!D:D,A36,VMS_Sales!O:O,$L$2)+
SUMIFS(VMS_Sales!F:F,VMS_Sales!D:D,A36,VMS_Sales!O:O,$L$3)
)/3,2))</f>
        <v>8.33</v>
      </c>
      <c r="D36" s="1">
        <f t="shared" si="1"/>
        <v>10</v>
      </c>
      <c r="E36" s="1" t="str">
        <f>IFERROR(__xludf.DUMMYFUNCTION("IFERROR(XLOOKUP(A36,FILTER(VMS_Sales!$D:$D,VMS_Sales!$O:$O=$L$2),FILTER(VMS_Sales!$L:$L,VMS_Sales!$O:$O=$L$2),""""),"""")"),"")</f>
        <v/>
      </c>
      <c r="F36" s="1" t="str">
        <f t="shared" si="2"/>
        <v/>
      </c>
      <c r="G36" s="1">
        <f t="array" ref="G36">IFERROR(
SUMIFS(
PurchaseLines_Import!$I:$I,
PurchaseLines_Import!$C:$C, XLOOKUP(A36,Map!$A:$A,Map!$B:$B,""),
PurchaseLines_Import!$H:$H, $L$1
),
"")</f>
        <v>0</v>
      </c>
      <c r="H36" s="1">
        <f t="array" ref="H36">IFERROR(
SUMIFS(
Inventory_Import!$D:$D,
Inventory_Import!$B:$B, TEXT(XLOOKUP(A36,Map!$A:$A,Map!$B:$B,""),"0000")
),
0)</f>
        <v>0</v>
      </c>
      <c r="I36" s="1">
        <f t="shared" si="3"/>
        <v>10</v>
      </c>
      <c r="J36" s="1" t="str">
        <f t="shared" si="4"/>
        <v/>
      </c>
      <c r="N36" s="1" t="str">
        <f>IFERROR(__xludf.DUMMYFUNCTION("""COMPUTED_VALUE"""),"Caser Juice")</f>
        <v>Caser Juice</v>
      </c>
      <c r="O36" s="1">
        <f>IFERROR(__xludf.DUMMYFUNCTION("""COMPUTED_VALUE"""),27.0)</f>
        <v>27</v>
      </c>
      <c r="P36" s="1">
        <f>IFERROR(__xludf.DUMMYFUNCTION("""COMPUTED_VALUE"""),17.67)</f>
        <v>17.67</v>
      </c>
      <c r="Q36" s="1">
        <f>IFERROR(__xludf.DUMMYFUNCTION("""COMPUTED_VALUE"""),20.0)</f>
        <v>20</v>
      </c>
      <c r="R36" s="1">
        <f>IFERROR(__xludf.DUMMYFUNCTION("""COMPUTED_VALUE"""),4.13)</f>
        <v>4.13</v>
      </c>
      <c r="S36" s="1">
        <f>IFERROR(__xludf.DUMMYFUNCTION("""COMPUTED_VALUE"""),82.6)</f>
        <v>82.6</v>
      </c>
      <c r="T36" s="1">
        <f>IFERROR(__xludf.DUMMYFUNCTION("""COMPUTED_VALUE"""),0.0)</f>
        <v>0</v>
      </c>
      <c r="U36" s="1">
        <f>IFERROR(__xludf.DUMMYFUNCTION("""COMPUTED_VALUE"""),0.0)</f>
        <v>0</v>
      </c>
      <c r="V36" s="1">
        <f>IFERROR(__xludf.DUMMYFUNCTION("""COMPUTED_VALUE"""),20.0)</f>
        <v>20</v>
      </c>
      <c r="W36" s="1">
        <f>IFERROR(__xludf.DUMMYFUNCTION("""COMPUTED_VALUE"""),82.6)</f>
        <v>82.6</v>
      </c>
    </row>
    <row r="37">
      <c r="A37" s="1" t="str">
        <f>IFERROR(__xludf.DUMMYFUNCTION("""COMPUTED_VALUE"""),"Schweppes bullet")</f>
        <v>Schweppes bullet</v>
      </c>
      <c r="B37" s="1">
        <f>IF(A37="","",SUMIFS(VMS_Sales!F:F,VMS_Sales!D:D,A37,VMS_Sales!O:O,$L$2))</f>
        <v>101</v>
      </c>
      <c r="C37" s="1">
        <f>IF(A37="","",ROUND((
SUMIFS(VMS_Sales!F:F,VMS_Sales!D:D,A37,VMS_Sales!O:O,$L$1)+
SUMIFS(VMS_Sales!F:F,VMS_Sales!D:D,A37,VMS_Sales!O:O,$L$2)+
SUMIFS(VMS_Sales!F:F,VMS_Sales!D:D,A37,VMS_Sales!O:O,$L$3)
)/3,2))</f>
        <v>63.33</v>
      </c>
      <c r="D37" s="1">
        <f t="shared" si="1"/>
        <v>73</v>
      </c>
      <c r="E37" s="1">
        <f>IFERROR(__xludf.DUMMYFUNCTION("IFERROR(XLOOKUP(A37,FILTER(VMS_Sales!$D:$D,VMS_Sales!$O:$O=$L$2),FILTER(VMS_Sales!$L:$L,VMS_Sales!$O:$O=$L$2),""""),"""")"),1.75)</f>
        <v>1.75</v>
      </c>
      <c r="F37" s="1">
        <f t="shared" si="2"/>
        <v>127.75</v>
      </c>
      <c r="G37" s="1">
        <f t="array" ref="G37">IFERROR(
SUMIFS(
PurchaseLines_Import!$I:$I,
PurchaseLines_Import!$C:$C, XLOOKUP(A37,Map!$A:$A,Map!$B:$B,""),
PurchaseLines_Import!$H:$H, $L$1
),
"")</f>
        <v>0</v>
      </c>
      <c r="H37" s="1">
        <f t="array" ref="H37">IFERROR(
SUMIFS(
Inventory_Import!$D:$D,
Inventory_Import!$B:$B, TEXT(XLOOKUP(A37,Map!$A:$A,Map!$B:$B,""),"0000")
),
0)</f>
        <v>0</v>
      </c>
      <c r="I37" s="1">
        <f t="shared" si="3"/>
        <v>73</v>
      </c>
      <c r="J37" s="1">
        <f t="shared" si="4"/>
        <v>127.75</v>
      </c>
      <c r="N37" s="1" t="str">
        <f>IFERROR(__xludf.DUMMYFUNCTION("""COMPUTED_VALUE"""),"Skittles")</f>
        <v>Skittles</v>
      </c>
      <c r="O37" s="1">
        <f>IFERROR(__xludf.DUMMYFUNCTION("""COMPUTED_VALUE"""),10.0)</f>
        <v>10</v>
      </c>
      <c r="P37" s="1">
        <f>IFERROR(__xludf.DUMMYFUNCTION("""COMPUTED_VALUE"""),11.67)</f>
        <v>11.67</v>
      </c>
      <c r="Q37" s="1">
        <f>IFERROR(__xludf.DUMMYFUNCTION("""COMPUTED_VALUE"""),13.0)</f>
        <v>13</v>
      </c>
      <c r="R37" s="1">
        <f>IFERROR(__xludf.DUMMYFUNCTION("""COMPUTED_VALUE"""),5.83)</f>
        <v>5.83</v>
      </c>
      <c r="S37" s="1">
        <f>IFERROR(__xludf.DUMMYFUNCTION("""COMPUTED_VALUE"""),75.79)</f>
        <v>75.79</v>
      </c>
      <c r="T37" s="1">
        <f>IFERROR(__xludf.DUMMYFUNCTION("""COMPUTED_VALUE"""),0.0)</f>
        <v>0</v>
      </c>
      <c r="U37" s="1">
        <f>IFERROR(__xludf.DUMMYFUNCTION("""COMPUTED_VALUE"""),0.0)</f>
        <v>0</v>
      </c>
      <c r="V37" s="1">
        <f>IFERROR(__xludf.DUMMYFUNCTION("""COMPUTED_VALUE"""),13.0)</f>
        <v>13</v>
      </c>
      <c r="W37" s="1">
        <f>IFERROR(__xludf.DUMMYFUNCTION("""COMPUTED_VALUE"""),75.79)</f>
        <v>75.79</v>
      </c>
    </row>
    <row r="38">
      <c r="A38" s="1" t="str">
        <f>IFERROR(__xludf.DUMMYFUNCTION("""COMPUTED_VALUE"""),"Tiger *12 tomato")</f>
        <v>Tiger *12 tomato</v>
      </c>
      <c r="B38" s="1">
        <f>IF(A38="","",SUMIFS(VMS_Sales!F:F,VMS_Sales!D:D,A38,VMS_Sales!O:O,$L$2))</f>
        <v>0</v>
      </c>
      <c r="C38" s="1">
        <f>IF(A38="","",ROUND((
SUMIFS(VMS_Sales!F:F,VMS_Sales!D:D,A38,VMS_Sales!O:O,$L$1)+
SUMIFS(VMS_Sales!F:F,VMS_Sales!D:D,A38,VMS_Sales!O:O,$L$2)+
SUMIFS(VMS_Sales!F:F,VMS_Sales!D:D,A38,VMS_Sales!O:O,$L$3)
)/3,2))</f>
        <v>3.67</v>
      </c>
      <c r="D38" s="1">
        <f t="shared" si="1"/>
        <v>4</v>
      </c>
      <c r="E38" s="1" t="str">
        <f>IFERROR(__xludf.DUMMYFUNCTION("IFERROR(XLOOKUP(A38,FILTER(VMS_Sales!$D:$D,VMS_Sales!$O:$O=$L$2),FILTER(VMS_Sales!$L:$L,VMS_Sales!$O:$O=$L$2),""""),"""")"),"")</f>
        <v/>
      </c>
      <c r="F38" s="1" t="str">
        <f t="shared" si="2"/>
        <v/>
      </c>
      <c r="G38" s="1">
        <f t="array" ref="G38">IFERROR(
SUMIFS(
PurchaseLines_Import!$I:$I,
PurchaseLines_Import!$C:$C, XLOOKUP(A38,Map!$A:$A,Map!$B:$B,""),
PurchaseLines_Import!$H:$H, $L$1
),
"")</f>
        <v>0</v>
      </c>
      <c r="H38" s="1">
        <f t="array" ref="H38">IFERROR(
SUMIFS(
Inventory_Import!$D:$D,
Inventory_Import!$B:$B, TEXT(XLOOKUP(A38,Map!$A:$A,Map!$B:$B,""),"0000")
),
0)</f>
        <v>0</v>
      </c>
      <c r="I38" s="1">
        <f t="shared" si="3"/>
        <v>4</v>
      </c>
      <c r="J38" s="1" t="str">
        <f t="shared" si="4"/>
        <v/>
      </c>
      <c r="N38" s="1" t="str">
        <f>IFERROR(__xludf.DUMMYFUNCTION("""COMPUTED_VALUE"""),"Yumi zak")</f>
        <v>Yumi zak</v>
      </c>
      <c r="O38" s="1">
        <f>IFERROR(__xludf.DUMMYFUNCTION("""COMPUTED_VALUE"""),7.0)</f>
        <v>7</v>
      </c>
      <c r="P38" s="1">
        <f>IFERROR(__xludf.DUMMYFUNCTION("""COMPUTED_VALUE"""),14.0)</f>
        <v>14</v>
      </c>
      <c r="Q38" s="1">
        <f>IFERROR(__xludf.DUMMYFUNCTION("""COMPUTED_VALUE"""),16.0)</f>
        <v>16</v>
      </c>
      <c r="R38" s="1">
        <f>IFERROR(__xludf.DUMMYFUNCTION("""COMPUTED_VALUE"""),4.5)</f>
        <v>4.5</v>
      </c>
      <c r="S38" s="1">
        <f>IFERROR(__xludf.DUMMYFUNCTION("""COMPUTED_VALUE"""),72.0)</f>
        <v>72</v>
      </c>
      <c r="T38" s="1">
        <f>IFERROR(__xludf.DUMMYFUNCTION("""COMPUTED_VALUE"""),0.0)</f>
        <v>0</v>
      </c>
      <c r="U38" s="1">
        <f>IFERROR(__xludf.DUMMYFUNCTION("""COMPUTED_VALUE"""),0.0)</f>
        <v>0</v>
      </c>
      <c r="V38" s="1">
        <f>IFERROR(__xludf.DUMMYFUNCTION("""COMPUTED_VALUE"""),16.0)</f>
        <v>16</v>
      </c>
      <c r="W38" s="1">
        <f>IFERROR(__xludf.DUMMYFUNCTION("""COMPUTED_VALUE"""),72.0)</f>
        <v>72</v>
      </c>
    </row>
    <row r="39">
      <c r="A39" s="1" t="str">
        <f>IFERROR(__xludf.DUMMYFUNCTION("""COMPUTED_VALUE"""),"Skittles")</f>
        <v>Skittles</v>
      </c>
      <c r="B39" s="1">
        <f>IF(A39="","",SUMIFS(VMS_Sales!F:F,VMS_Sales!D:D,A39,VMS_Sales!O:O,$L$2))</f>
        <v>10</v>
      </c>
      <c r="C39" s="1">
        <f>IF(A39="","",ROUND((
SUMIFS(VMS_Sales!F:F,VMS_Sales!D:D,A39,VMS_Sales!O:O,$L$1)+
SUMIFS(VMS_Sales!F:F,VMS_Sales!D:D,A39,VMS_Sales!O:O,$L$2)+
SUMIFS(VMS_Sales!F:F,VMS_Sales!D:D,A39,VMS_Sales!O:O,$L$3)
)/3,2))</f>
        <v>11.67</v>
      </c>
      <c r="D39" s="1">
        <f t="shared" si="1"/>
        <v>13</v>
      </c>
      <c r="E39" s="1">
        <f>IFERROR(__xludf.DUMMYFUNCTION("IFERROR(XLOOKUP(A39,FILTER(VMS_Sales!$D:$D,VMS_Sales!$O:$O=$L$2),FILTER(VMS_Sales!$L:$L,VMS_Sales!$O:$O=$L$2),""""),"""")"),5.83)</f>
        <v>5.83</v>
      </c>
      <c r="F39" s="1">
        <f t="shared" si="2"/>
        <v>75.79</v>
      </c>
      <c r="G39" s="1">
        <f t="array" ref="G39">IFERROR(
SUMIFS(
PurchaseLines_Import!$I:$I,
PurchaseLines_Import!$C:$C, XLOOKUP(A39,Map!$A:$A,Map!$B:$B,""),
PurchaseLines_Import!$H:$H, $L$1
),
"")</f>
        <v>0</v>
      </c>
      <c r="H39" s="1">
        <f t="array" ref="H39">IFERROR(
SUMIFS(
Inventory_Import!$D:$D,
Inventory_Import!$B:$B, TEXT(XLOOKUP(A39,Map!$A:$A,Map!$B:$B,""),"0000")
),
0)</f>
        <v>0</v>
      </c>
      <c r="I39" s="1">
        <f t="shared" si="3"/>
        <v>13</v>
      </c>
      <c r="J39" s="1">
        <f t="shared" si="4"/>
        <v>75.79</v>
      </c>
      <c r="N39" s="1" t="str">
        <f>IFERROR(__xludf.DUMMYFUNCTION("""COMPUTED_VALUE"""),"Yumi Zak")</f>
        <v>Yumi Zak</v>
      </c>
      <c r="O39" s="1">
        <f>IFERROR(__xludf.DUMMYFUNCTION("""COMPUTED_VALUE"""),7.0)</f>
        <v>7</v>
      </c>
      <c r="P39" s="1">
        <f>IFERROR(__xludf.DUMMYFUNCTION("""COMPUTED_VALUE"""),14.0)</f>
        <v>14</v>
      </c>
      <c r="Q39" s="1">
        <f>IFERROR(__xludf.DUMMYFUNCTION("""COMPUTED_VALUE"""),16.0)</f>
        <v>16</v>
      </c>
      <c r="R39" s="1">
        <f>IFERROR(__xludf.DUMMYFUNCTION("""COMPUTED_VALUE"""),4.5)</f>
        <v>4.5</v>
      </c>
      <c r="S39" s="1">
        <f>IFERROR(__xludf.DUMMYFUNCTION("""COMPUTED_VALUE"""),72.0)</f>
        <v>72</v>
      </c>
      <c r="T39" s="1">
        <f>IFERROR(__xludf.DUMMYFUNCTION("""COMPUTED_VALUE"""),0.0)</f>
        <v>0</v>
      </c>
      <c r="U39" s="1">
        <f>IFERROR(__xludf.DUMMYFUNCTION("""COMPUTED_VALUE"""),0.0)</f>
        <v>0</v>
      </c>
      <c r="V39" s="1">
        <f>IFERROR(__xludf.DUMMYFUNCTION("""COMPUTED_VALUE"""),16.0)</f>
        <v>16</v>
      </c>
      <c r="W39" s="1">
        <f>IFERROR(__xludf.DUMMYFUNCTION("""COMPUTED_VALUE"""),72.0)</f>
        <v>72</v>
      </c>
    </row>
    <row r="40">
      <c r="A40" s="1" t="str">
        <f>IFERROR(__xludf.DUMMYFUNCTION("""COMPUTED_VALUE"""),"kinza")</f>
        <v>kinza</v>
      </c>
      <c r="B40" s="1">
        <f>IF(A40="","",SUMIFS(VMS_Sales!F:F,VMS_Sales!D:D,A40,VMS_Sales!O:O,$L$2))</f>
        <v>7</v>
      </c>
      <c r="C40" s="1">
        <f>IF(A40="","",ROUND((
SUMIFS(VMS_Sales!F:F,VMS_Sales!D:D,A40,VMS_Sales!O:O,$L$1)+
SUMIFS(VMS_Sales!F:F,VMS_Sales!D:D,A40,VMS_Sales!O:O,$L$2)+
SUMIFS(VMS_Sales!F:F,VMS_Sales!D:D,A40,VMS_Sales!O:O,$L$3)
)/3,2))</f>
        <v>39</v>
      </c>
      <c r="D40" s="1">
        <f t="shared" si="1"/>
        <v>45</v>
      </c>
      <c r="E40" s="1">
        <f>IFERROR(__xludf.DUMMYFUNCTION("IFERROR(XLOOKUP(A40,FILTER(VMS_Sales!$D:$D,VMS_Sales!$O:$O=$L$2),FILTER(VMS_Sales!$L:$L,VMS_Sales!$O:$O=$L$2),""""),"""")"),1.54)</f>
        <v>1.54</v>
      </c>
      <c r="F40" s="1">
        <f t="shared" si="2"/>
        <v>69.3</v>
      </c>
      <c r="G40" s="1">
        <f t="array" ref="G40">IFERROR(
SUMIFS(
PurchaseLines_Import!$I:$I,
PurchaseLines_Import!$C:$C, XLOOKUP(A40,Map!$A:$A,Map!$B:$B,""),
PurchaseLines_Import!$H:$H, $L$1
),
"")</f>
        <v>0</v>
      </c>
      <c r="H40" s="1">
        <f t="array" ref="H40">IFERROR(
SUMIFS(
Inventory_Import!$D:$D,
Inventory_Import!$B:$B, TEXT(XLOOKUP(A40,Map!$A:$A,Map!$B:$B,""),"0000")
),
0)</f>
        <v>0</v>
      </c>
      <c r="I40" s="1">
        <f t="shared" si="3"/>
        <v>45</v>
      </c>
      <c r="J40" s="1">
        <f t="shared" si="4"/>
        <v>69.3</v>
      </c>
      <c r="N40" s="1" t="str">
        <f>IFERROR(__xludf.DUMMYFUNCTION("""COMPUTED_VALUE"""),"kinza")</f>
        <v>kinza</v>
      </c>
      <c r="O40" s="1">
        <f>IFERROR(__xludf.DUMMYFUNCTION("""COMPUTED_VALUE"""),7.0)</f>
        <v>7</v>
      </c>
      <c r="P40" s="1">
        <f>IFERROR(__xludf.DUMMYFUNCTION("""COMPUTED_VALUE"""),39.0)</f>
        <v>39</v>
      </c>
      <c r="Q40" s="1">
        <f>IFERROR(__xludf.DUMMYFUNCTION("""COMPUTED_VALUE"""),45.0)</f>
        <v>45</v>
      </c>
      <c r="R40" s="1">
        <f>IFERROR(__xludf.DUMMYFUNCTION("""COMPUTED_VALUE"""),1.54)</f>
        <v>1.54</v>
      </c>
      <c r="S40" s="1">
        <f>IFERROR(__xludf.DUMMYFUNCTION("""COMPUTED_VALUE"""),69.3)</f>
        <v>69.3</v>
      </c>
      <c r="T40" s="1">
        <f>IFERROR(__xludf.DUMMYFUNCTION("""COMPUTED_VALUE"""),0.0)</f>
        <v>0</v>
      </c>
      <c r="U40" s="1">
        <f>IFERROR(__xludf.DUMMYFUNCTION("""COMPUTED_VALUE"""),0.0)</f>
        <v>0</v>
      </c>
      <c r="V40" s="1">
        <f>IFERROR(__xludf.DUMMYFUNCTION("""COMPUTED_VALUE"""),45.0)</f>
        <v>45</v>
      </c>
      <c r="W40" s="1">
        <f>IFERROR(__xludf.DUMMYFUNCTION("""COMPUTED_VALUE"""),69.3)</f>
        <v>69.3</v>
      </c>
    </row>
    <row r="41">
      <c r="A41" s="1" t="str">
        <f>IFERROR(__xludf.DUMMYFUNCTION("""COMPUTED_VALUE"""),"MrCrunch Normal")</f>
        <v>MrCrunch Normal</v>
      </c>
      <c r="B41" s="1">
        <f>IF(A41="","",SUMIFS(VMS_Sales!F:F,VMS_Sales!D:D,A41,VMS_Sales!O:O,$L$2))</f>
        <v>0</v>
      </c>
      <c r="C41" s="1">
        <f>IF(A41="","",ROUND((
SUMIFS(VMS_Sales!F:F,VMS_Sales!D:D,A41,VMS_Sales!O:O,$L$1)+
SUMIFS(VMS_Sales!F:F,VMS_Sales!D:D,A41,VMS_Sales!O:O,$L$2)+
SUMIFS(VMS_Sales!F:F,VMS_Sales!D:D,A41,VMS_Sales!O:O,$L$3)
)/3,2))</f>
        <v>1.67</v>
      </c>
      <c r="D41" s="1">
        <f t="shared" si="1"/>
        <v>2</v>
      </c>
      <c r="E41" s="1" t="str">
        <f>IFERROR(__xludf.DUMMYFUNCTION("IFERROR(XLOOKUP(A41,FILTER(VMS_Sales!$D:$D,VMS_Sales!$O:$O=$L$2),FILTER(VMS_Sales!$L:$L,VMS_Sales!$O:$O=$L$2),""""),"""")"),"")</f>
        <v/>
      </c>
      <c r="F41" s="1" t="str">
        <f t="shared" si="2"/>
        <v/>
      </c>
      <c r="G41" s="1">
        <f t="array" ref="G41">IFERROR(
SUMIFS(
PurchaseLines_Import!$I:$I,
PurchaseLines_Import!$C:$C, XLOOKUP(A41,Map!$A:$A,Map!$B:$B,""),
PurchaseLines_Import!$H:$H, $L$1
),
"")</f>
        <v>0</v>
      </c>
      <c r="H41" s="1">
        <f t="array" ref="H41">IFERROR(
SUMIFS(
Inventory_Import!$D:$D,
Inventory_Import!$B:$B, TEXT(XLOOKUP(A41,Map!$A:$A,Map!$B:$B,""),"0000")
),
0)</f>
        <v>0</v>
      </c>
      <c r="I41" s="1">
        <f t="shared" si="3"/>
        <v>2</v>
      </c>
      <c r="J41" s="1" t="str">
        <f t="shared" si="4"/>
        <v/>
      </c>
      <c r="N41" s="1" t="str">
        <f>IFERROR(__xludf.DUMMYFUNCTION("""COMPUTED_VALUE"""),"Savi stix")</f>
        <v>Savi stix</v>
      </c>
      <c r="O41" s="1">
        <f>IFERROR(__xludf.DUMMYFUNCTION("""COMPUTED_VALUE"""),31.0)</f>
        <v>31</v>
      </c>
      <c r="P41" s="1">
        <f>IFERROR(__xludf.DUMMYFUNCTION("""COMPUTED_VALUE"""),16.0)</f>
        <v>16</v>
      </c>
      <c r="Q41" s="1">
        <f>IFERROR(__xludf.DUMMYFUNCTION("""COMPUTED_VALUE"""),18.0)</f>
        <v>18</v>
      </c>
      <c r="R41" s="1">
        <f>IFERROR(__xludf.DUMMYFUNCTION("""COMPUTED_VALUE"""),3.6)</f>
        <v>3.6</v>
      </c>
      <c r="S41" s="1">
        <f>IFERROR(__xludf.DUMMYFUNCTION("""COMPUTED_VALUE"""),64.8)</f>
        <v>64.8</v>
      </c>
      <c r="T41" s="1">
        <f>IFERROR(__xludf.DUMMYFUNCTION("""COMPUTED_VALUE"""),0.0)</f>
        <v>0</v>
      </c>
      <c r="U41" s="1">
        <f>IFERROR(__xludf.DUMMYFUNCTION("""COMPUTED_VALUE"""),0.0)</f>
        <v>0</v>
      </c>
      <c r="V41" s="1">
        <f>IFERROR(__xludf.DUMMYFUNCTION("""COMPUTED_VALUE"""),18.0)</f>
        <v>18</v>
      </c>
      <c r="W41" s="1">
        <f>IFERROR(__xludf.DUMMYFUNCTION("""COMPUTED_VALUE"""),64.8)</f>
        <v>64.8</v>
      </c>
    </row>
    <row r="42">
      <c r="A42" s="1" t="str">
        <f>IFERROR(__xludf.DUMMYFUNCTION("""COMPUTED_VALUE"""),"Haribo")</f>
        <v>Haribo</v>
      </c>
      <c r="B42" s="1">
        <f>IF(A42="","",SUMIFS(VMS_Sales!F:F,VMS_Sales!D:D,A42,VMS_Sales!O:O,$L$2))</f>
        <v>300</v>
      </c>
      <c r="C42" s="1">
        <f>IF(A42="","",ROUND((
SUMIFS(VMS_Sales!F:F,VMS_Sales!D:D,A42,VMS_Sales!O:O,$L$1)+
SUMIFS(VMS_Sales!F:F,VMS_Sales!D:D,A42,VMS_Sales!O:O,$L$2)+
SUMIFS(VMS_Sales!F:F,VMS_Sales!D:D,A42,VMS_Sales!O:O,$L$3)
)/3,2))</f>
        <v>163.67</v>
      </c>
      <c r="D42" s="1">
        <f t="shared" si="1"/>
        <v>188</v>
      </c>
      <c r="E42" s="1">
        <f>IFERROR(__xludf.DUMMYFUNCTION("IFERROR(XLOOKUP(A42,FILTER(VMS_Sales!$D:$D,VMS_Sales!$O:$O=$L$2),FILTER(VMS_Sales!$L:$L,VMS_Sales!$O:$O=$L$2),""""),"""")"),2.04)</f>
        <v>2.04</v>
      </c>
      <c r="F42" s="1">
        <f t="shared" si="2"/>
        <v>383.52</v>
      </c>
      <c r="G42" s="1">
        <f t="array" ref="G42">IFERROR(
SUMIFS(
PurchaseLines_Import!$I:$I,
PurchaseLines_Import!$C:$C, XLOOKUP(A42,Map!$A:$A,Map!$B:$B,""),
PurchaseLines_Import!$H:$H, $L$1
),
"")</f>
        <v>144</v>
      </c>
      <c r="H42" s="1">
        <f t="array" ref="H42">IFERROR(
SUMIFS(
Inventory_Import!$D:$D,
Inventory_Import!$B:$B, TEXT(XLOOKUP(A42,Map!$A:$A,Map!$B:$B,""),"0000")
),
0)</f>
        <v>21</v>
      </c>
      <c r="I42" s="1">
        <f t="shared" si="3"/>
        <v>167</v>
      </c>
      <c r="J42" s="1">
        <f t="shared" si="4"/>
        <v>340.68</v>
      </c>
      <c r="N42" s="1" t="str">
        <f>IFERROR(__xludf.DUMMYFUNCTION("""COMPUTED_VALUE"""),"Doritos BBQ")</f>
        <v>Doritos BBQ</v>
      </c>
      <c r="O42" s="1">
        <f>IFERROR(__xludf.DUMMYFUNCTION("""COMPUTED_VALUE"""),57.0)</f>
        <v>57</v>
      </c>
      <c r="P42" s="1">
        <f>IFERROR(__xludf.DUMMYFUNCTION("""COMPUTED_VALUE"""),19.0)</f>
        <v>19</v>
      </c>
      <c r="Q42" s="1">
        <f>IFERROR(__xludf.DUMMYFUNCTION("""COMPUTED_VALUE"""),22.0)</f>
        <v>22</v>
      </c>
      <c r="R42" s="1">
        <f>IFERROR(__xludf.DUMMYFUNCTION("""COMPUTED_VALUE"""),2.93)</f>
        <v>2.93</v>
      </c>
      <c r="S42" s="1">
        <f>IFERROR(__xludf.DUMMYFUNCTION("""COMPUTED_VALUE"""),64.46)</f>
        <v>64.46</v>
      </c>
      <c r="T42" s="1">
        <f>IFERROR(__xludf.DUMMYFUNCTION("""COMPUTED_VALUE"""),0.0)</f>
        <v>0</v>
      </c>
      <c r="U42" s="1">
        <f>IFERROR(__xludf.DUMMYFUNCTION("""COMPUTED_VALUE"""),0.0)</f>
        <v>0</v>
      </c>
      <c r="V42" s="1">
        <f>IFERROR(__xludf.DUMMYFUNCTION("""COMPUTED_VALUE"""),22.0)</f>
        <v>22</v>
      </c>
      <c r="W42" s="1">
        <f>IFERROR(__xludf.DUMMYFUNCTION("""COMPUTED_VALUE"""),64.46)</f>
        <v>64.46</v>
      </c>
    </row>
    <row r="43">
      <c r="A43" s="1" t="str">
        <f>IFERROR(__xludf.DUMMYFUNCTION("""COMPUTED_VALUE"""),"7up")</f>
        <v>7up</v>
      </c>
      <c r="B43" s="1">
        <f>IF(A43="","",SUMIFS(VMS_Sales!F:F,VMS_Sales!D:D,A43,VMS_Sales!O:O,$L$2))</f>
        <v>112</v>
      </c>
      <c r="C43" s="1">
        <f>IF(A43="","",ROUND((
SUMIFS(VMS_Sales!F:F,VMS_Sales!D:D,A43,VMS_Sales!O:O,$L$1)+
SUMIFS(VMS_Sales!F:F,VMS_Sales!D:D,A43,VMS_Sales!O:O,$L$2)+
SUMIFS(VMS_Sales!F:F,VMS_Sales!D:D,A43,VMS_Sales!O:O,$L$3)
)/3,2))</f>
        <v>44.33</v>
      </c>
      <c r="D43" s="1">
        <f t="shared" si="1"/>
        <v>51</v>
      </c>
      <c r="E43" s="1">
        <f>IFERROR(__xludf.DUMMYFUNCTION("IFERROR(XLOOKUP(A43,FILTER(VMS_Sales!$D:$D,VMS_Sales!$O:$O=$L$2),FILTER(VMS_Sales!$L:$L,VMS_Sales!$O:$O=$L$2),""""),"""")"),2.25)</f>
        <v>2.25</v>
      </c>
      <c r="F43" s="1">
        <f t="shared" si="2"/>
        <v>114.75</v>
      </c>
      <c r="G43" s="1">
        <f t="array" ref="G43">IFERROR(
SUMIFS(
PurchaseLines_Import!$I:$I,
PurchaseLines_Import!$C:$C, XLOOKUP(A43,Map!$A:$A,Map!$B:$B,""),
PurchaseLines_Import!$H:$H, $L$1
),
"")</f>
        <v>0</v>
      </c>
      <c r="H43" s="1">
        <f t="array" ref="H43">IFERROR(
SUMIFS(
Inventory_Import!$D:$D,
Inventory_Import!$B:$B, TEXT(XLOOKUP(A43,Map!$A:$A,Map!$B:$B,""),"0000")
),
0)</f>
        <v>0</v>
      </c>
      <c r="I43" s="1">
        <f t="shared" si="3"/>
        <v>51</v>
      </c>
      <c r="J43" s="1">
        <f t="shared" si="4"/>
        <v>114.75</v>
      </c>
      <c r="N43" s="1" t="str">
        <f>IFERROR(__xludf.DUMMYFUNCTION("""COMPUTED_VALUE"""),"Xo Energy")</f>
        <v>Xo Energy</v>
      </c>
      <c r="O43" s="1">
        <f>IFERROR(__xludf.DUMMYFUNCTION("""COMPUTED_VALUE"""),6.0)</f>
        <v>6</v>
      </c>
      <c r="P43" s="1">
        <f>IFERROR(__xludf.DUMMYFUNCTION("""COMPUTED_VALUE"""),16.0)</f>
        <v>16</v>
      </c>
      <c r="Q43" s="1">
        <f>IFERROR(__xludf.DUMMYFUNCTION("""COMPUTED_VALUE"""),18.0)</f>
        <v>18</v>
      </c>
      <c r="R43" s="1">
        <f>IFERROR(__xludf.DUMMYFUNCTION("""COMPUTED_VALUE"""),3.45)</f>
        <v>3.45</v>
      </c>
      <c r="S43" s="1">
        <f>IFERROR(__xludf.DUMMYFUNCTION("""COMPUTED_VALUE"""),62.1)</f>
        <v>62.1</v>
      </c>
      <c r="T43" s="1">
        <f>IFERROR(__xludf.DUMMYFUNCTION("""COMPUTED_VALUE"""),0.0)</f>
        <v>0</v>
      </c>
      <c r="U43" s="1">
        <f>IFERROR(__xludf.DUMMYFUNCTION("""COMPUTED_VALUE"""),0.0)</f>
        <v>0</v>
      </c>
      <c r="V43" s="1">
        <f>IFERROR(__xludf.DUMMYFUNCTION("""COMPUTED_VALUE"""),18.0)</f>
        <v>18</v>
      </c>
      <c r="W43" s="1">
        <f>IFERROR(__xludf.DUMMYFUNCTION("""COMPUTED_VALUE"""),62.1)</f>
        <v>62.1</v>
      </c>
    </row>
    <row r="44">
      <c r="A44" s="1" t="str">
        <f>IFERROR(__xludf.DUMMYFUNCTION("""COMPUTED_VALUE"""),"Mrbeast")</f>
        <v>Mrbeast</v>
      </c>
      <c r="B44" s="1">
        <f>IF(A44="","",SUMIFS(VMS_Sales!F:F,VMS_Sales!D:D,A44,VMS_Sales!O:O,$L$2))</f>
        <v>173</v>
      </c>
      <c r="C44" s="1">
        <f>IF(A44="","",ROUND((
SUMIFS(VMS_Sales!F:F,VMS_Sales!D:D,A44,VMS_Sales!O:O,$L$1)+
SUMIFS(VMS_Sales!F:F,VMS_Sales!D:D,A44,VMS_Sales!O:O,$L$2)+
SUMIFS(VMS_Sales!F:F,VMS_Sales!D:D,A44,VMS_Sales!O:O,$L$3)
)/3,2))</f>
        <v>108.67</v>
      </c>
      <c r="D44" s="1">
        <f t="shared" si="1"/>
        <v>125</v>
      </c>
      <c r="E44" s="1">
        <f>IFERROR(__xludf.DUMMYFUNCTION("IFERROR(XLOOKUP(A44,FILTER(VMS_Sales!$D:$D,VMS_Sales!$O:$O=$L$2),FILTER(VMS_Sales!$L:$L,VMS_Sales!$O:$O=$L$2),""""),"""")"),3.0)</f>
        <v>3</v>
      </c>
      <c r="F44" s="1">
        <f t="shared" si="2"/>
        <v>375</v>
      </c>
      <c r="G44" s="1">
        <f t="array" ref="G44">IFERROR(
SUMIFS(
PurchaseLines_Import!$I:$I,
PurchaseLines_Import!$C:$C, XLOOKUP(A44,Map!$A:$A,Map!$B:$B,""),
PurchaseLines_Import!$H:$H, $L$1
),
"")</f>
        <v>100</v>
      </c>
      <c r="H44" s="1">
        <f t="array" ref="H44">IFERROR(
SUMIFS(
Inventory_Import!$D:$D,
Inventory_Import!$B:$B, TEXT(XLOOKUP(A44,Map!$A:$A,Map!$B:$B,""),"0000")
),
0)</f>
        <v>-4</v>
      </c>
      <c r="I44" s="1">
        <f t="shared" si="3"/>
        <v>129</v>
      </c>
      <c r="J44" s="1">
        <f t="shared" si="4"/>
        <v>387</v>
      </c>
      <c r="N44" s="1" t="str">
        <f>IFERROR(__xludf.DUMMYFUNCTION("""COMPUTED_VALUE"""),"Snickers wafer roll")</f>
        <v>Snickers wafer roll</v>
      </c>
      <c r="O44" s="1">
        <f>IFERROR(__xludf.DUMMYFUNCTION("""COMPUTED_VALUE"""),138.0)</f>
        <v>138</v>
      </c>
      <c r="P44" s="1">
        <f>IFERROR(__xludf.DUMMYFUNCTION("""COMPUTED_VALUE"""),46.0)</f>
        <v>46</v>
      </c>
      <c r="Q44" s="1">
        <f>IFERROR(__xludf.DUMMYFUNCTION("""COMPUTED_VALUE"""),53.0)</f>
        <v>53</v>
      </c>
      <c r="R44" s="1">
        <f>IFERROR(__xludf.DUMMYFUNCTION("""COMPUTED_VALUE"""),1.12)</f>
        <v>1.12</v>
      </c>
      <c r="S44" s="1">
        <f>IFERROR(__xludf.DUMMYFUNCTION("""COMPUTED_VALUE"""),59.36)</f>
        <v>59.36</v>
      </c>
      <c r="T44" s="1">
        <f>IFERROR(__xludf.DUMMYFUNCTION("""COMPUTED_VALUE"""),336.0)</f>
        <v>336</v>
      </c>
      <c r="U44" s="1">
        <f>IFERROR(__xludf.DUMMYFUNCTION("""COMPUTED_VALUE"""),-2.0)</f>
        <v>-2</v>
      </c>
      <c r="V44" s="1">
        <f>IFERROR(__xludf.DUMMYFUNCTION("""COMPUTED_VALUE"""),55.0)</f>
        <v>55</v>
      </c>
      <c r="W44" s="1">
        <f>IFERROR(__xludf.DUMMYFUNCTION("""COMPUTED_VALUE"""),61.6)</f>
        <v>61.6</v>
      </c>
    </row>
    <row r="45">
      <c r="A45" s="1" t="str">
        <f>IFERROR(__xludf.DUMMYFUNCTION("""COMPUTED_VALUE"""),"Tiger *12 Cheese")</f>
        <v>Tiger *12 Cheese</v>
      </c>
      <c r="B45" s="1">
        <f>IF(A45="","",SUMIFS(VMS_Sales!F:F,VMS_Sales!D:D,A45,VMS_Sales!O:O,$L$2))</f>
        <v>9</v>
      </c>
      <c r="C45" s="1">
        <f>IF(A45="","",ROUND((
SUMIFS(VMS_Sales!F:F,VMS_Sales!D:D,A45,VMS_Sales!O:O,$L$1)+
SUMIFS(VMS_Sales!F:F,VMS_Sales!D:D,A45,VMS_Sales!O:O,$L$2)+
SUMIFS(VMS_Sales!F:F,VMS_Sales!D:D,A45,VMS_Sales!O:O,$L$3)
)/3,2))</f>
        <v>6</v>
      </c>
      <c r="D45" s="1">
        <f t="shared" si="1"/>
        <v>7</v>
      </c>
      <c r="E45" s="1">
        <f>IFERROR(__xludf.DUMMYFUNCTION("IFERROR(XLOOKUP(A45,FILTER(VMS_Sales!$D:$D,VMS_Sales!$O:$O=$L$2),FILTER(VMS_Sales!$L:$L,VMS_Sales!$O:$O=$L$2),""""),"""")"),3.5)</f>
        <v>3.5</v>
      </c>
      <c r="F45" s="1">
        <f t="shared" si="2"/>
        <v>24.5</v>
      </c>
      <c r="G45" s="1">
        <f t="array" ref="G45">IFERROR(
SUMIFS(
PurchaseLines_Import!$I:$I,
PurchaseLines_Import!$C:$C, XLOOKUP(A45,Map!$A:$A,Map!$B:$B,""),
PurchaseLines_Import!$H:$H, $L$1
),
"")</f>
        <v>0</v>
      </c>
      <c r="H45" s="1">
        <f t="array" ref="H45">IFERROR(
SUMIFS(
Inventory_Import!$D:$D,
Inventory_Import!$B:$B, TEXT(XLOOKUP(A45,Map!$A:$A,Map!$B:$B,""),"0000")
),
0)</f>
        <v>0</v>
      </c>
      <c r="I45" s="1">
        <f t="shared" si="3"/>
        <v>7</v>
      </c>
      <c r="J45" s="1">
        <f t="shared" si="4"/>
        <v>24.5</v>
      </c>
      <c r="N45" s="1" t="str">
        <f>IFERROR(__xludf.DUMMYFUNCTION("""COMPUTED_VALUE"""),"Mr Cruch veggy's")</f>
        <v>Mr Cruch veggy's</v>
      </c>
      <c r="O45" s="1">
        <f>IFERROR(__xludf.DUMMYFUNCTION("""COMPUTED_VALUE"""),32.0)</f>
        <v>32</v>
      </c>
      <c r="P45" s="1">
        <f>IFERROR(__xludf.DUMMYFUNCTION("""COMPUTED_VALUE"""),21.67)</f>
        <v>21.67</v>
      </c>
      <c r="Q45" s="1">
        <f>IFERROR(__xludf.DUMMYFUNCTION("""COMPUTED_VALUE"""),25.0)</f>
        <v>25</v>
      </c>
      <c r="R45" s="1">
        <f>IFERROR(__xludf.DUMMYFUNCTION("""COMPUTED_VALUE"""),2.44)</f>
        <v>2.44</v>
      </c>
      <c r="S45" s="1">
        <f>IFERROR(__xludf.DUMMYFUNCTION("""COMPUTED_VALUE"""),61.0)</f>
        <v>61</v>
      </c>
      <c r="T45" s="1">
        <f>IFERROR(__xludf.DUMMYFUNCTION("""COMPUTED_VALUE"""),0.0)</f>
        <v>0</v>
      </c>
      <c r="U45" s="1">
        <f>IFERROR(__xludf.DUMMYFUNCTION("""COMPUTED_VALUE"""),0.0)</f>
        <v>0</v>
      </c>
      <c r="V45" s="1">
        <f>IFERROR(__xludf.DUMMYFUNCTION("""COMPUTED_VALUE"""),25.0)</f>
        <v>25</v>
      </c>
      <c r="W45" s="1">
        <f>IFERROR(__xludf.DUMMYFUNCTION("""COMPUTED_VALUE"""),61.0)</f>
        <v>61</v>
      </c>
    </row>
    <row r="46">
      <c r="A46" s="1" t="str">
        <f>IFERROR(__xludf.DUMMYFUNCTION("""COMPUTED_VALUE"""),"Tiger *12 kebab")</f>
        <v>Tiger *12 kebab</v>
      </c>
      <c r="B46" s="1">
        <f>IF(A46="","",SUMIFS(VMS_Sales!F:F,VMS_Sales!D:D,A46,VMS_Sales!O:O,$L$2))</f>
        <v>0</v>
      </c>
      <c r="C46" s="1">
        <f>IF(A46="","",ROUND((
SUMIFS(VMS_Sales!F:F,VMS_Sales!D:D,A46,VMS_Sales!O:O,$L$1)+
SUMIFS(VMS_Sales!F:F,VMS_Sales!D:D,A46,VMS_Sales!O:O,$L$2)+
SUMIFS(VMS_Sales!F:F,VMS_Sales!D:D,A46,VMS_Sales!O:O,$L$3)
)/3,2))</f>
        <v>2.33</v>
      </c>
      <c r="D46" s="1">
        <f t="shared" si="1"/>
        <v>3</v>
      </c>
      <c r="E46" s="1" t="str">
        <f>IFERROR(__xludf.DUMMYFUNCTION("IFERROR(XLOOKUP(A46,FILTER(VMS_Sales!$D:$D,VMS_Sales!$O:$O=$L$2),FILTER(VMS_Sales!$L:$L,VMS_Sales!$O:$O=$L$2),""""),"""")"),"")</f>
        <v/>
      </c>
      <c r="F46" s="1" t="str">
        <f t="shared" si="2"/>
        <v/>
      </c>
      <c r="G46" s="1">
        <f t="array" ref="G46">IFERROR(
SUMIFS(
PurchaseLines_Import!$I:$I,
PurchaseLines_Import!$C:$C, XLOOKUP(A46,Map!$A:$A,Map!$B:$B,""),
PurchaseLines_Import!$H:$H, $L$1
),
"")</f>
        <v>0</v>
      </c>
      <c r="H46" s="1">
        <f t="array" ref="H46">IFERROR(
SUMIFS(
Inventory_Import!$D:$D,
Inventory_Import!$B:$B, TEXT(XLOOKUP(A46,Map!$A:$A,Map!$B:$B,""),"0000")
),
0)</f>
        <v>0</v>
      </c>
      <c r="I46" s="1">
        <f t="shared" si="3"/>
        <v>3</v>
      </c>
      <c r="J46" s="1" t="str">
        <f t="shared" si="4"/>
        <v/>
      </c>
      <c r="N46" s="1" t="str">
        <f>IFERROR(__xludf.DUMMYFUNCTION("""COMPUTED_VALUE"""),"Bounty wafer roll")</f>
        <v>Bounty wafer roll</v>
      </c>
      <c r="O46" s="1">
        <f>IFERROR(__xludf.DUMMYFUNCTION("""COMPUTED_VALUE"""),126.0)</f>
        <v>126</v>
      </c>
      <c r="P46" s="1">
        <f>IFERROR(__xludf.DUMMYFUNCTION("""COMPUTED_VALUE"""),42.0)</f>
        <v>42</v>
      </c>
      <c r="Q46" s="1">
        <f>IFERROR(__xludf.DUMMYFUNCTION("""COMPUTED_VALUE"""),48.0)</f>
        <v>48</v>
      </c>
      <c r="R46" s="1">
        <f>IFERROR(__xludf.DUMMYFUNCTION("""COMPUTED_VALUE"""),1.08)</f>
        <v>1.08</v>
      </c>
      <c r="S46" s="1">
        <f>IFERROR(__xludf.DUMMYFUNCTION("""COMPUTED_VALUE"""),51.84)</f>
        <v>51.84</v>
      </c>
      <c r="T46" s="1">
        <f>IFERROR(__xludf.DUMMYFUNCTION("""COMPUTED_VALUE"""),0.0)</f>
        <v>0</v>
      </c>
      <c r="U46" s="1">
        <f>IFERROR(__xludf.DUMMYFUNCTION("""COMPUTED_VALUE"""),0.0)</f>
        <v>0</v>
      </c>
      <c r="V46" s="1">
        <f>IFERROR(__xludf.DUMMYFUNCTION("""COMPUTED_VALUE"""),48.0)</f>
        <v>48</v>
      </c>
      <c r="W46" s="1">
        <f>IFERROR(__xludf.DUMMYFUNCTION("""COMPUTED_VALUE"""),51.84)</f>
        <v>51.84</v>
      </c>
    </row>
    <row r="47">
      <c r="A47" s="1" t="str">
        <f>IFERROR(__xludf.DUMMYFUNCTION("""COMPUTED_VALUE"""),"Tiger 12 chili and lemon")</f>
        <v>Tiger 12 chili and lemon</v>
      </c>
      <c r="B47" s="1">
        <f>IF(A47="","",SUMIFS(VMS_Sales!F:F,VMS_Sales!D:D,A47,VMS_Sales!O:O,$L$2))</f>
        <v>4</v>
      </c>
      <c r="C47" s="1">
        <f>IF(A47="","",ROUND((
SUMIFS(VMS_Sales!F:F,VMS_Sales!D:D,A47,VMS_Sales!O:O,$L$1)+
SUMIFS(VMS_Sales!F:F,VMS_Sales!D:D,A47,VMS_Sales!O:O,$L$2)+
SUMIFS(VMS_Sales!F:F,VMS_Sales!D:D,A47,VMS_Sales!O:O,$L$3)
)/3,2))</f>
        <v>6.33</v>
      </c>
      <c r="D47" s="1">
        <f t="shared" si="1"/>
        <v>7</v>
      </c>
      <c r="E47" s="1">
        <f>IFERROR(__xludf.DUMMYFUNCTION("IFERROR(XLOOKUP(A47,FILTER(VMS_Sales!$D:$D,VMS_Sales!$O:$O=$L$2),FILTER(VMS_Sales!$L:$L,VMS_Sales!$O:$O=$L$2),""""),"""")"),3.5)</f>
        <v>3.5</v>
      </c>
      <c r="F47" s="1">
        <f t="shared" si="2"/>
        <v>24.5</v>
      </c>
      <c r="G47" s="1">
        <f t="array" ref="G47">IFERROR(
SUMIFS(
PurchaseLines_Import!$I:$I,
PurchaseLines_Import!$C:$C, XLOOKUP(A47,Map!$A:$A,Map!$B:$B,""),
PurchaseLines_Import!$H:$H, $L$1
),
"")</f>
        <v>0</v>
      </c>
      <c r="H47" s="1">
        <f t="array" ref="H47">IFERROR(
SUMIFS(
Inventory_Import!$D:$D,
Inventory_Import!$B:$B, TEXT(XLOOKUP(A47,Map!$A:$A,Map!$B:$B,""),"0000")
),
0)</f>
        <v>0</v>
      </c>
      <c r="I47" s="1">
        <f t="shared" si="3"/>
        <v>7</v>
      </c>
      <c r="J47" s="1">
        <f t="shared" si="4"/>
        <v>24.5</v>
      </c>
      <c r="N47" s="1" t="str">
        <f>IFERROR(__xludf.DUMMYFUNCTION("""COMPUTED_VALUE"""),"Haribo 80g")</f>
        <v>Haribo 80g</v>
      </c>
      <c r="O47" s="1">
        <f>IFERROR(__xludf.DUMMYFUNCTION("""COMPUTED_VALUE"""),12.0)</f>
        <v>12</v>
      </c>
      <c r="P47" s="1">
        <f>IFERROR(__xludf.DUMMYFUNCTION("""COMPUTED_VALUE"""),5.33)</f>
        <v>5.33</v>
      </c>
      <c r="Q47" s="1">
        <f>IFERROR(__xludf.DUMMYFUNCTION("""COMPUTED_VALUE"""),6.0)</f>
        <v>6</v>
      </c>
      <c r="R47" s="1">
        <f>IFERROR(__xludf.DUMMYFUNCTION("""COMPUTED_VALUE"""),7.2)</f>
        <v>7.2</v>
      </c>
      <c r="S47" s="1">
        <f>IFERROR(__xludf.DUMMYFUNCTION("""COMPUTED_VALUE"""),43.2)</f>
        <v>43.2</v>
      </c>
      <c r="T47" s="1">
        <f>IFERROR(__xludf.DUMMYFUNCTION("""COMPUTED_VALUE"""),0.0)</f>
        <v>0</v>
      </c>
      <c r="U47" s="1">
        <f>IFERROR(__xludf.DUMMYFUNCTION("""COMPUTED_VALUE"""),0.0)</f>
        <v>0</v>
      </c>
      <c r="V47" s="1">
        <f>IFERROR(__xludf.DUMMYFUNCTION("""COMPUTED_VALUE"""),6.0)</f>
        <v>6</v>
      </c>
      <c r="W47" s="1">
        <f>IFERROR(__xludf.DUMMYFUNCTION("""COMPUTED_VALUE"""),43.2)</f>
        <v>43.2</v>
      </c>
    </row>
    <row r="48">
      <c r="A48" s="1" t="str">
        <f>IFERROR(__xludf.DUMMYFUNCTION("""COMPUTED_VALUE"""),"Tiger 12 sweet chili")</f>
        <v>Tiger 12 sweet chili</v>
      </c>
      <c r="B48" s="1">
        <f>IF(A48="","",SUMIFS(VMS_Sales!F:F,VMS_Sales!D:D,A48,VMS_Sales!O:O,$L$2))</f>
        <v>0</v>
      </c>
      <c r="C48" s="1">
        <f>IF(A48="","",ROUND((
SUMIFS(VMS_Sales!F:F,VMS_Sales!D:D,A48,VMS_Sales!O:O,$L$1)+
SUMIFS(VMS_Sales!F:F,VMS_Sales!D:D,A48,VMS_Sales!O:O,$L$2)+
SUMIFS(VMS_Sales!F:F,VMS_Sales!D:D,A48,VMS_Sales!O:O,$L$3)
)/3,2))</f>
        <v>3</v>
      </c>
      <c r="D48" s="1">
        <f t="shared" si="1"/>
        <v>3</v>
      </c>
      <c r="E48" s="1" t="str">
        <f>IFERROR(__xludf.DUMMYFUNCTION("IFERROR(XLOOKUP(A48,FILTER(VMS_Sales!$D:$D,VMS_Sales!$O:$O=$L$2),FILTER(VMS_Sales!$L:$L,VMS_Sales!$O:$O=$L$2),""""),"""")"),"")</f>
        <v/>
      </c>
      <c r="F48" s="1" t="str">
        <f t="shared" si="2"/>
        <v/>
      </c>
      <c r="G48" s="1">
        <f t="array" ref="G48">IFERROR(
SUMIFS(
PurchaseLines_Import!$I:$I,
PurchaseLines_Import!$C:$C, XLOOKUP(A48,Map!$A:$A,Map!$B:$B,""),
PurchaseLines_Import!$H:$H, $L$1
),
"")</f>
        <v>0</v>
      </c>
      <c r="H48" s="1">
        <f t="array" ref="H48">IFERROR(
SUMIFS(
Inventory_Import!$D:$D,
Inventory_Import!$B:$B, TEXT(XLOOKUP(A48,Map!$A:$A,Map!$B:$B,""),"0000")
),
0)</f>
        <v>0</v>
      </c>
      <c r="I48" s="1">
        <f t="shared" si="3"/>
        <v>3</v>
      </c>
      <c r="J48" s="1" t="str">
        <f t="shared" si="4"/>
        <v/>
      </c>
      <c r="N48" s="1" t="str">
        <f>IFERROR(__xludf.DUMMYFUNCTION("""COMPUTED_VALUE"""),"Yupi")</f>
        <v>Yupi</v>
      </c>
      <c r="O48" s="1">
        <f>IFERROR(__xludf.DUMMYFUNCTION("""COMPUTED_VALUE"""),38.0)</f>
        <v>38</v>
      </c>
      <c r="P48" s="1">
        <f>IFERROR(__xludf.DUMMYFUNCTION("""COMPUTED_VALUE"""),20.67)</f>
        <v>20.67</v>
      </c>
      <c r="Q48" s="1">
        <f>IFERROR(__xludf.DUMMYFUNCTION("""COMPUTED_VALUE"""),24.0)</f>
        <v>24</v>
      </c>
      <c r="R48" s="1">
        <f>IFERROR(__xludf.DUMMYFUNCTION("""COMPUTED_VALUE"""),1.79)</f>
        <v>1.79</v>
      </c>
      <c r="S48" s="1">
        <f>IFERROR(__xludf.DUMMYFUNCTION("""COMPUTED_VALUE"""),42.96)</f>
        <v>42.96</v>
      </c>
      <c r="T48" s="1">
        <f>IFERROR(__xludf.DUMMYFUNCTION("""COMPUTED_VALUE"""),0.0)</f>
        <v>0</v>
      </c>
      <c r="U48" s="1">
        <f>IFERROR(__xludf.DUMMYFUNCTION("""COMPUTED_VALUE"""),0.0)</f>
        <v>0</v>
      </c>
      <c r="V48" s="1">
        <f>IFERROR(__xludf.DUMMYFUNCTION("""COMPUTED_VALUE"""),24.0)</f>
        <v>24</v>
      </c>
      <c r="W48" s="1">
        <f>IFERROR(__xludf.DUMMYFUNCTION("""COMPUTED_VALUE"""),42.96)</f>
        <v>42.96</v>
      </c>
    </row>
    <row r="49">
      <c r="A49" s="1" t="str">
        <f>IFERROR(__xludf.DUMMYFUNCTION("""COMPUTED_VALUE"""),"Mr Cruch veggy's")</f>
        <v>Mr Cruch veggy's</v>
      </c>
      <c r="B49" s="1">
        <f>IF(A49="","",SUMIFS(VMS_Sales!F:F,VMS_Sales!D:D,A49,VMS_Sales!O:O,$L$2))</f>
        <v>32</v>
      </c>
      <c r="C49" s="1">
        <f>IF(A49="","",ROUND((
SUMIFS(VMS_Sales!F:F,VMS_Sales!D:D,A49,VMS_Sales!O:O,$L$1)+
SUMIFS(VMS_Sales!F:F,VMS_Sales!D:D,A49,VMS_Sales!O:O,$L$2)+
SUMIFS(VMS_Sales!F:F,VMS_Sales!D:D,A49,VMS_Sales!O:O,$L$3)
)/3,2))</f>
        <v>21.67</v>
      </c>
      <c r="D49" s="1">
        <f t="shared" si="1"/>
        <v>25</v>
      </c>
      <c r="E49" s="1">
        <f>IFERROR(__xludf.DUMMYFUNCTION("IFERROR(XLOOKUP(A49,FILTER(VMS_Sales!$D:$D,VMS_Sales!$O:$O=$L$2),FILTER(VMS_Sales!$L:$L,VMS_Sales!$O:$O=$L$2),""""),"""")"),2.44)</f>
        <v>2.44</v>
      </c>
      <c r="F49" s="1">
        <f t="shared" si="2"/>
        <v>61</v>
      </c>
      <c r="G49" s="1">
        <f t="array" ref="G49">IFERROR(
SUMIFS(
PurchaseLines_Import!$I:$I,
PurchaseLines_Import!$C:$C, XLOOKUP(A49,Map!$A:$A,Map!$B:$B,""),
PurchaseLines_Import!$H:$H, $L$1
),
"")</f>
        <v>0</v>
      </c>
      <c r="H49" s="1">
        <f t="array" ref="H49">IFERROR(
SUMIFS(
Inventory_Import!$D:$D,
Inventory_Import!$B:$B, TEXT(XLOOKUP(A49,Map!$A:$A,Map!$B:$B,""),"0000")
),
0)</f>
        <v>0</v>
      </c>
      <c r="I49" s="1">
        <f t="shared" si="3"/>
        <v>25</v>
      </c>
      <c r="J49" s="1">
        <f t="shared" si="4"/>
        <v>61</v>
      </c>
      <c r="N49" s="1" t="str">
        <f>IFERROR(__xludf.DUMMYFUNCTION("""COMPUTED_VALUE"""),"Dallas juice")</f>
        <v>Dallas juice</v>
      </c>
      <c r="O49" s="1">
        <f>IFERROR(__xludf.DUMMYFUNCTION("""COMPUTED_VALUE"""),41.0)</f>
        <v>41</v>
      </c>
      <c r="P49" s="1">
        <f>IFERROR(__xludf.DUMMYFUNCTION("""COMPUTED_VALUE"""),41.0)</f>
        <v>41</v>
      </c>
      <c r="Q49" s="1">
        <f>IFERROR(__xludf.DUMMYFUNCTION("""COMPUTED_VALUE"""),47.0)</f>
        <v>47</v>
      </c>
      <c r="R49" s="1">
        <f>IFERROR(__xludf.DUMMYFUNCTION("""COMPUTED_VALUE"""),0.91)</f>
        <v>0.91</v>
      </c>
      <c r="S49" s="1">
        <f>IFERROR(__xludf.DUMMYFUNCTION("""COMPUTED_VALUE"""),42.77)</f>
        <v>42.77</v>
      </c>
      <c r="T49" s="1">
        <f>IFERROR(__xludf.DUMMYFUNCTION("""COMPUTED_VALUE"""),0.0)</f>
        <v>0</v>
      </c>
      <c r="U49" s="1">
        <f>IFERROR(__xludf.DUMMYFUNCTION("""COMPUTED_VALUE"""),0.0)</f>
        <v>0</v>
      </c>
      <c r="V49" s="1">
        <f>IFERROR(__xludf.DUMMYFUNCTION("""COMPUTED_VALUE"""),47.0)</f>
        <v>47</v>
      </c>
      <c r="W49" s="1">
        <f>IFERROR(__xludf.DUMMYFUNCTION("""COMPUTED_VALUE"""),42.77)</f>
        <v>42.77</v>
      </c>
    </row>
    <row r="50">
      <c r="A50" s="1" t="str">
        <f>IFERROR(__xludf.DUMMYFUNCTION("""COMPUTED_VALUE"""),"Buldak")</f>
        <v>Buldak</v>
      </c>
      <c r="B50" s="1">
        <f>IF(A50="","",SUMIFS(VMS_Sales!F:F,VMS_Sales!D:D,A50,VMS_Sales!O:O,$L$2))</f>
        <v>0</v>
      </c>
      <c r="C50" s="1">
        <f>IF(A50="","",ROUND((
SUMIFS(VMS_Sales!F:F,VMS_Sales!D:D,A50,VMS_Sales!O:O,$L$1)+
SUMIFS(VMS_Sales!F:F,VMS_Sales!D:D,A50,VMS_Sales!O:O,$L$2)+
SUMIFS(VMS_Sales!F:F,VMS_Sales!D:D,A50,VMS_Sales!O:O,$L$3)
)/3,2))</f>
        <v>1.67</v>
      </c>
      <c r="D50" s="1">
        <f t="shared" si="1"/>
        <v>2</v>
      </c>
      <c r="E50" s="1" t="str">
        <f>IFERROR(__xludf.DUMMYFUNCTION("IFERROR(XLOOKUP(A50,FILTER(VMS_Sales!$D:$D,VMS_Sales!$O:$O=$L$2),FILTER(VMS_Sales!$L:$L,VMS_Sales!$O:$O=$L$2),""""),"""")"),"")</f>
        <v/>
      </c>
      <c r="F50" s="1" t="str">
        <f t="shared" si="2"/>
        <v/>
      </c>
      <c r="G50" s="1">
        <f t="array" ref="G50">IFERROR(
SUMIFS(
PurchaseLines_Import!$I:$I,
PurchaseLines_Import!$C:$C, XLOOKUP(A50,Map!$A:$A,Map!$B:$B,""),
PurchaseLines_Import!$H:$H, $L$1
),
"")</f>
        <v>0</v>
      </c>
      <c r="H50" s="1">
        <f t="array" ref="H50">IFERROR(
SUMIFS(
Inventory_Import!$D:$D,
Inventory_Import!$B:$B, TEXT(XLOOKUP(A50,Map!$A:$A,Map!$B:$B,""),"0000")
),
0)</f>
        <v>0</v>
      </c>
      <c r="I50" s="1">
        <f t="shared" si="3"/>
        <v>2</v>
      </c>
      <c r="J50" s="1" t="str">
        <f t="shared" si="4"/>
        <v/>
      </c>
      <c r="N50" s="1" t="str">
        <f>IFERROR(__xludf.DUMMYFUNCTION("""COMPUTED_VALUE"""),"Twix wafer roll")</f>
        <v>Twix wafer roll</v>
      </c>
      <c r="O50" s="1">
        <f>IFERROR(__xludf.DUMMYFUNCTION("""COMPUTED_VALUE"""),189.0)</f>
        <v>189</v>
      </c>
      <c r="P50" s="1">
        <f>IFERROR(__xludf.DUMMYFUNCTION("""COMPUTED_VALUE"""),63.0)</f>
        <v>63</v>
      </c>
      <c r="Q50" s="1">
        <f>IFERROR(__xludf.DUMMYFUNCTION("""COMPUTED_VALUE"""),72.0)</f>
        <v>72</v>
      </c>
      <c r="R50" s="1">
        <f>IFERROR(__xludf.DUMMYFUNCTION("""COMPUTED_VALUE"""),1.08)</f>
        <v>1.08</v>
      </c>
      <c r="S50" s="1">
        <f>IFERROR(__xludf.DUMMYFUNCTION("""COMPUTED_VALUE"""),77.76)</f>
        <v>77.76</v>
      </c>
      <c r="T50" s="1">
        <f>IFERROR(__xludf.DUMMYFUNCTION("""COMPUTED_VALUE"""),240.0)</f>
        <v>240</v>
      </c>
      <c r="U50" s="1">
        <f>IFERROR(__xludf.DUMMYFUNCTION("""COMPUTED_VALUE"""),34.0)</f>
        <v>34</v>
      </c>
      <c r="V50" s="1">
        <f>IFERROR(__xludf.DUMMYFUNCTION("""COMPUTED_VALUE"""),38.0)</f>
        <v>38</v>
      </c>
      <c r="W50" s="1">
        <f>IFERROR(__xludf.DUMMYFUNCTION("""COMPUTED_VALUE"""),41.04)</f>
        <v>41.04</v>
      </c>
    </row>
    <row r="51">
      <c r="A51" s="1" t="str">
        <f>IFERROR(__xludf.DUMMYFUNCTION("""COMPUTED_VALUE"""),"Tiger *16 kebab")</f>
        <v>Tiger *16 kebab</v>
      </c>
      <c r="B51" s="1">
        <f>IF(A51="","",SUMIFS(VMS_Sales!F:F,VMS_Sales!D:D,A51,VMS_Sales!O:O,$L$2))</f>
        <v>0</v>
      </c>
      <c r="C51" s="1">
        <f>IF(A51="","",ROUND((
SUMIFS(VMS_Sales!F:F,VMS_Sales!D:D,A51,VMS_Sales!O:O,$L$1)+
SUMIFS(VMS_Sales!F:F,VMS_Sales!D:D,A51,VMS_Sales!O:O,$L$2)+
SUMIFS(VMS_Sales!F:F,VMS_Sales!D:D,A51,VMS_Sales!O:O,$L$3)
)/3,2))</f>
        <v>0.67</v>
      </c>
      <c r="D51" s="1">
        <f t="shared" si="1"/>
        <v>1</v>
      </c>
      <c r="E51" s="1" t="str">
        <f>IFERROR(__xludf.DUMMYFUNCTION("IFERROR(XLOOKUP(A51,FILTER(VMS_Sales!$D:$D,VMS_Sales!$O:$O=$L$2),FILTER(VMS_Sales!$L:$L,VMS_Sales!$O:$O=$L$2),""""),"""")"),"")</f>
        <v/>
      </c>
      <c r="F51" s="1" t="str">
        <f t="shared" si="2"/>
        <v/>
      </c>
      <c r="G51" s="1">
        <f t="array" ref="G51">IFERROR(
SUMIFS(
PurchaseLines_Import!$I:$I,
PurchaseLines_Import!$C:$C, XLOOKUP(A51,Map!$A:$A,Map!$B:$B,""),
PurchaseLines_Import!$H:$H, $L$1
),
"")</f>
        <v>0</v>
      </c>
      <c r="H51" s="1">
        <f t="array" ref="H51">IFERROR(
SUMIFS(
Inventory_Import!$D:$D,
Inventory_Import!$B:$B, TEXT(XLOOKUP(A51,Map!$A:$A,Map!$B:$B,""),"0000")
),
0)</f>
        <v>0</v>
      </c>
      <c r="I51" s="1">
        <f t="shared" si="3"/>
        <v>1</v>
      </c>
      <c r="J51" s="1" t="str">
        <f t="shared" si="4"/>
        <v/>
      </c>
      <c r="N51" s="1" t="str">
        <f>IFERROR(__xludf.DUMMYFUNCTION("""COMPUTED_VALUE"""),"BeBeto marshmello")</f>
        <v>BeBeto marshmello</v>
      </c>
      <c r="O51" s="1">
        <f>IFERROR(__xludf.DUMMYFUNCTION("""COMPUTED_VALUE"""),51.0)</f>
        <v>51</v>
      </c>
      <c r="P51" s="1">
        <f>IFERROR(__xludf.DUMMYFUNCTION("""COMPUTED_VALUE"""),17.0)</f>
        <v>17</v>
      </c>
      <c r="Q51" s="1">
        <f>IFERROR(__xludf.DUMMYFUNCTION("""COMPUTED_VALUE"""),20.0)</f>
        <v>20</v>
      </c>
      <c r="R51" s="1">
        <f>IFERROR(__xludf.DUMMYFUNCTION("""COMPUTED_VALUE"""),1.91)</f>
        <v>1.91</v>
      </c>
      <c r="S51" s="1">
        <f>IFERROR(__xludf.DUMMYFUNCTION("""COMPUTED_VALUE"""),38.2)</f>
        <v>38.2</v>
      </c>
      <c r="T51" s="1">
        <f>IFERROR(__xludf.DUMMYFUNCTION("""COMPUTED_VALUE"""),0.0)</f>
        <v>0</v>
      </c>
      <c r="U51" s="1">
        <f>IFERROR(__xludf.DUMMYFUNCTION("""COMPUTED_VALUE"""),0.0)</f>
        <v>0</v>
      </c>
      <c r="V51" s="1">
        <f>IFERROR(__xludf.DUMMYFUNCTION("""COMPUTED_VALUE"""),20.0)</f>
        <v>20</v>
      </c>
      <c r="W51" s="1">
        <f>IFERROR(__xludf.DUMMYFUNCTION("""COMPUTED_VALUE"""),38.2)</f>
        <v>38.2</v>
      </c>
    </row>
    <row r="52">
      <c r="A52" s="1" t="str">
        <f>IFERROR(__xludf.DUMMYFUNCTION("""COMPUTED_VALUE"""),"Haribo bears")</f>
        <v>Haribo bears</v>
      </c>
      <c r="B52" s="1">
        <f>IF(A52="","",SUMIFS(VMS_Sales!F:F,VMS_Sales!D:D,A52,VMS_Sales!O:O,$L$2))</f>
        <v>5</v>
      </c>
      <c r="C52" s="1">
        <f>IF(A52="","",ROUND((
SUMIFS(VMS_Sales!F:F,VMS_Sales!D:D,A52,VMS_Sales!O:O,$L$1)+
SUMIFS(VMS_Sales!F:F,VMS_Sales!D:D,A52,VMS_Sales!O:O,$L$2)+
SUMIFS(VMS_Sales!F:F,VMS_Sales!D:D,A52,VMS_Sales!O:O,$L$3)
)/3,2))</f>
        <v>20.67</v>
      </c>
      <c r="D52" s="1">
        <f t="shared" si="1"/>
        <v>24</v>
      </c>
      <c r="E52" s="1">
        <f>IFERROR(__xludf.DUMMYFUNCTION("IFERROR(XLOOKUP(A52,FILTER(VMS_Sales!$D:$D,VMS_Sales!$O:$O=$L$2),FILTER(VMS_Sales!$L:$L,VMS_Sales!$O:$O=$L$2),""""),"""")"),1.37)</f>
        <v>1.37</v>
      </c>
      <c r="F52" s="1">
        <f t="shared" si="2"/>
        <v>32.88</v>
      </c>
      <c r="G52" s="1">
        <f t="array" ref="G52">IFERROR(
SUMIFS(
PurchaseLines_Import!$I:$I,
PurchaseLines_Import!$C:$C, XLOOKUP(A52,Map!$A:$A,Map!$B:$B,""),
PurchaseLines_Import!$H:$H, $L$1
),
"")</f>
        <v>0</v>
      </c>
      <c r="H52" s="1">
        <f t="array" ref="H52">IFERROR(
SUMIFS(
Inventory_Import!$D:$D,
Inventory_Import!$B:$B, TEXT(XLOOKUP(A52,Map!$A:$A,Map!$B:$B,""),"0000")
),
0)</f>
        <v>0</v>
      </c>
      <c r="I52" s="1">
        <f t="shared" si="3"/>
        <v>24</v>
      </c>
      <c r="J52" s="1">
        <f t="shared" si="4"/>
        <v>32.88</v>
      </c>
      <c r="N52" s="1" t="str">
        <f>IFERROR(__xludf.DUMMYFUNCTION("""COMPUTED_VALUE"""),"Barbican")</f>
        <v>Barbican</v>
      </c>
      <c r="O52" s="1">
        <f>IFERROR(__xludf.DUMMYFUNCTION("""COMPUTED_VALUE"""),15.0)</f>
        <v>15</v>
      </c>
      <c r="P52" s="1">
        <f>IFERROR(__xludf.DUMMYFUNCTION("""COMPUTED_VALUE"""),10.67)</f>
        <v>10.67</v>
      </c>
      <c r="Q52" s="1">
        <f>IFERROR(__xludf.DUMMYFUNCTION("""COMPUTED_VALUE"""),12.0)</f>
        <v>12</v>
      </c>
      <c r="R52" s="1">
        <f>IFERROR(__xludf.DUMMYFUNCTION("""COMPUTED_VALUE"""),3.17)</f>
        <v>3.17</v>
      </c>
      <c r="S52" s="1">
        <f>IFERROR(__xludf.DUMMYFUNCTION("""COMPUTED_VALUE"""),38.04)</f>
        <v>38.04</v>
      </c>
      <c r="T52" s="1">
        <f>IFERROR(__xludf.DUMMYFUNCTION("""COMPUTED_VALUE"""),0.0)</f>
        <v>0</v>
      </c>
      <c r="U52" s="1">
        <f>IFERROR(__xludf.DUMMYFUNCTION("""COMPUTED_VALUE"""),0.0)</f>
        <v>0</v>
      </c>
      <c r="V52" s="1">
        <f>IFERROR(__xludf.DUMMYFUNCTION("""COMPUTED_VALUE"""),12.0)</f>
        <v>12</v>
      </c>
      <c r="W52" s="1">
        <f>IFERROR(__xludf.DUMMYFUNCTION("""COMPUTED_VALUE"""),38.04)</f>
        <v>38.04</v>
      </c>
    </row>
    <row r="53">
      <c r="A53" s="1" t="str">
        <f>IFERROR(__xludf.DUMMYFUNCTION("""COMPUTED_VALUE"""),"Turbo strips")</f>
        <v>Turbo strips</v>
      </c>
      <c r="B53" s="1">
        <f>IF(A53="","",SUMIFS(VMS_Sales!F:F,VMS_Sales!D:D,A53,VMS_Sales!O:O,$L$2))</f>
        <v>120</v>
      </c>
      <c r="C53" s="1">
        <f>IF(A53="","",ROUND((
SUMIFS(VMS_Sales!F:F,VMS_Sales!D:D,A53,VMS_Sales!O:O,$L$1)+
SUMIFS(VMS_Sales!F:F,VMS_Sales!D:D,A53,VMS_Sales!O:O,$L$2)+
SUMIFS(VMS_Sales!F:F,VMS_Sales!D:D,A53,VMS_Sales!O:O,$L$3)
)/3,2))</f>
        <v>121</v>
      </c>
      <c r="D53" s="1">
        <f t="shared" si="1"/>
        <v>139</v>
      </c>
      <c r="E53" s="1">
        <f>IFERROR(__xludf.DUMMYFUNCTION("IFERROR(XLOOKUP(A53,FILTER(VMS_Sales!$D:$D,VMS_Sales!$O:$O=$L$2),FILTER(VMS_Sales!$L:$L,VMS_Sales!$O:$O=$L$2),""""),"""")"),4.08)</f>
        <v>4.08</v>
      </c>
      <c r="F53" s="1">
        <f t="shared" si="2"/>
        <v>567.12</v>
      </c>
      <c r="G53" s="1">
        <f t="array" ref="G53">IFERROR(
SUMIFS(
PurchaseLines_Import!$I:$I,
PurchaseLines_Import!$C:$C, XLOOKUP(A53,Map!$A:$A,Map!$B:$B,""),
PurchaseLines_Import!$H:$H, $L$1
),
"")</f>
        <v>138</v>
      </c>
      <c r="H53" s="1">
        <f t="array" ref="H53">IFERROR(
SUMIFS(
Inventory_Import!$D:$D,
Inventory_Import!$B:$B, TEXT(XLOOKUP(A53,Map!$A:$A,Map!$B:$B,""),"0000")
),
0)</f>
        <v>0</v>
      </c>
      <c r="I53" s="1">
        <f t="shared" si="3"/>
        <v>139</v>
      </c>
      <c r="J53" s="1">
        <f t="shared" si="4"/>
        <v>567.12</v>
      </c>
      <c r="N53" s="1" t="str">
        <f>IFERROR(__xludf.DUMMYFUNCTION("""COMPUTED_VALUE"""),"Kunuz Juice")</f>
        <v>Kunuz Juice</v>
      </c>
      <c r="O53" s="1">
        <f>IFERROR(__xludf.DUMMYFUNCTION("""COMPUTED_VALUE"""),13.0)</f>
        <v>13</v>
      </c>
      <c r="P53" s="1">
        <f>IFERROR(__xludf.DUMMYFUNCTION("""COMPUTED_VALUE"""),18.33)</f>
        <v>18.33</v>
      </c>
      <c r="Q53" s="1">
        <f>IFERROR(__xludf.DUMMYFUNCTION("""COMPUTED_VALUE"""),21.0)</f>
        <v>21</v>
      </c>
      <c r="R53" s="1">
        <f>IFERROR(__xludf.DUMMYFUNCTION("""COMPUTED_VALUE"""),1.6)</f>
        <v>1.6</v>
      </c>
      <c r="S53" s="1">
        <f>IFERROR(__xludf.DUMMYFUNCTION("""COMPUTED_VALUE"""),33.6)</f>
        <v>33.6</v>
      </c>
      <c r="T53" s="1">
        <f>IFERROR(__xludf.DUMMYFUNCTION("""COMPUTED_VALUE"""),0.0)</f>
        <v>0</v>
      </c>
      <c r="U53" s="1">
        <f>IFERROR(__xludf.DUMMYFUNCTION("""COMPUTED_VALUE"""),0.0)</f>
        <v>0</v>
      </c>
      <c r="V53" s="1">
        <f>IFERROR(__xludf.DUMMYFUNCTION("""COMPUTED_VALUE"""),21.0)</f>
        <v>21</v>
      </c>
      <c r="W53" s="1">
        <f>IFERROR(__xludf.DUMMYFUNCTION("""COMPUTED_VALUE"""),33.6)</f>
        <v>33.6</v>
      </c>
    </row>
    <row r="54">
      <c r="A54" s="1" t="str">
        <f>IFERROR(__xludf.DUMMYFUNCTION("""COMPUTED_VALUE"""),"Chotso")</f>
        <v>Chotso</v>
      </c>
      <c r="B54" s="1">
        <f>IF(A54="","",SUMIFS(VMS_Sales!F:F,VMS_Sales!D:D,A54,VMS_Sales!O:O,$L$2))</f>
        <v>0</v>
      </c>
      <c r="C54" s="1">
        <f>IF(A54="","",ROUND((
SUMIFS(VMS_Sales!F:F,VMS_Sales!D:D,A54,VMS_Sales!O:O,$L$1)+
SUMIFS(VMS_Sales!F:F,VMS_Sales!D:D,A54,VMS_Sales!O:O,$L$2)+
SUMIFS(VMS_Sales!F:F,VMS_Sales!D:D,A54,VMS_Sales!O:O,$L$3)
)/3,2))</f>
        <v>0.33</v>
      </c>
      <c r="D54" s="1">
        <f t="shared" si="1"/>
        <v>0</v>
      </c>
      <c r="E54" s="1" t="str">
        <f>IFERROR(__xludf.DUMMYFUNCTION("IFERROR(XLOOKUP(A54,FILTER(VMS_Sales!$D:$D,VMS_Sales!$O:$O=$L$2),FILTER(VMS_Sales!$L:$L,VMS_Sales!$O:$O=$L$2),""""),"""")"),"")</f>
        <v/>
      </c>
      <c r="F54" s="1" t="str">
        <f t="shared" si="2"/>
        <v/>
      </c>
      <c r="G54" s="1">
        <f t="array" ref="G54">IFERROR(
SUMIFS(
PurchaseLines_Import!$I:$I,
PurchaseLines_Import!$C:$C, XLOOKUP(A54,Map!$A:$A,Map!$B:$B,""),
PurchaseLines_Import!$H:$H, $L$1
),
"")</f>
        <v>0</v>
      </c>
      <c r="H54" s="1">
        <f t="array" ref="H54">IFERROR(
SUMIFS(
Inventory_Import!$D:$D,
Inventory_Import!$B:$B, TEXT(XLOOKUP(A54,Map!$A:$A,Map!$B:$B,""),"0000")
),
0)</f>
        <v>0</v>
      </c>
      <c r="I54" s="1">
        <f t="shared" si="3"/>
        <v>0</v>
      </c>
      <c r="J54" s="1" t="str">
        <f t="shared" si="4"/>
        <v/>
      </c>
      <c r="N54" s="1" t="str">
        <f>IFERROR(__xludf.DUMMYFUNCTION("""COMPUTED_VALUE"""),"Haribo bears")</f>
        <v>Haribo bears</v>
      </c>
      <c r="O54" s="1">
        <f>IFERROR(__xludf.DUMMYFUNCTION("""COMPUTED_VALUE"""),5.0)</f>
        <v>5</v>
      </c>
      <c r="P54" s="1">
        <f>IFERROR(__xludf.DUMMYFUNCTION("""COMPUTED_VALUE"""),20.67)</f>
        <v>20.67</v>
      </c>
      <c r="Q54" s="1">
        <f>IFERROR(__xludf.DUMMYFUNCTION("""COMPUTED_VALUE"""),24.0)</f>
        <v>24</v>
      </c>
      <c r="R54" s="1">
        <f>IFERROR(__xludf.DUMMYFUNCTION("""COMPUTED_VALUE"""),1.37)</f>
        <v>1.37</v>
      </c>
      <c r="S54" s="1">
        <f>IFERROR(__xludf.DUMMYFUNCTION("""COMPUTED_VALUE"""),32.88)</f>
        <v>32.88</v>
      </c>
      <c r="T54" s="1">
        <f>IFERROR(__xludf.DUMMYFUNCTION("""COMPUTED_VALUE"""),0.0)</f>
        <v>0</v>
      </c>
      <c r="U54" s="1">
        <f>IFERROR(__xludf.DUMMYFUNCTION("""COMPUTED_VALUE"""),0.0)</f>
        <v>0</v>
      </c>
      <c r="V54" s="1">
        <f>IFERROR(__xludf.DUMMYFUNCTION("""COMPUTED_VALUE"""),24.0)</f>
        <v>24</v>
      </c>
      <c r="W54" s="1">
        <f>IFERROR(__xludf.DUMMYFUNCTION("""COMPUTED_VALUE"""),32.88)</f>
        <v>32.88</v>
      </c>
    </row>
    <row r="55">
      <c r="A55" s="1" t="str">
        <f>IFERROR(__xludf.DUMMYFUNCTION("""COMPUTED_VALUE"""),"Coach Suntop")</f>
        <v>Coach Suntop</v>
      </c>
      <c r="B55" s="1">
        <f>IF(A55="","",SUMIFS(VMS_Sales!F:F,VMS_Sales!D:D,A55,VMS_Sales!O:O,$L$2))</f>
        <v>412</v>
      </c>
      <c r="C55" s="1">
        <f>IF(A55="","",ROUND((
SUMIFS(VMS_Sales!F:F,VMS_Sales!D:D,A55,VMS_Sales!O:O,$L$1)+
SUMIFS(VMS_Sales!F:F,VMS_Sales!D:D,A55,VMS_Sales!O:O,$L$2)+
SUMIFS(VMS_Sales!F:F,VMS_Sales!D:D,A55,VMS_Sales!O:O,$L$3)
)/3,2))</f>
        <v>234.67</v>
      </c>
      <c r="D55" s="1">
        <f t="shared" si="1"/>
        <v>270</v>
      </c>
      <c r="E55" s="1">
        <f>IFERROR(__xludf.DUMMYFUNCTION("IFERROR(XLOOKUP(A55,FILTER(VMS_Sales!$D:$D,VMS_Sales!$O:$O=$L$2),FILTER(VMS_Sales!$L:$L,VMS_Sales!$O:$O=$L$2),""""),"""")"),0.45)</f>
        <v>0.45</v>
      </c>
      <c r="F55" s="1">
        <f t="shared" si="2"/>
        <v>121.5</v>
      </c>
      <c r="G55" s="1">
        <f t="array" ref="G55">IFERROR(
SUMIFS(
PurchaseLines_Import!$I:$I,
PurchaseLines_Import!$C:$C, XLOOKUP(A55,Map!$A:$A,Map!$B:$B,""),
PurchaseLines_Import!$H:$H, $L$1
),
"")</f>
        <v>0</v>
      </c>
      <c r="H55" s="1">
        <f t="array" ref="H55">IFERROR(
SUMIFS(
Inventory_Import!$D:$D,
Inventory_Import!$B:$B, TEXT(XLOOKUP(A55,Map!$A:$A,Map!$B:$B,""),"0000")
),
0)</f>
        <v>-1</v>
      </c>
      <c r="I55" s="1">
        <f t="shared" si="3"/>
        <v>271</v>
      </c>
      <c r="J55" s="1">
        <f t="shared" si="4"/>
        <v>121.95</v>
      </c>
      <c r="N55" s="1" t="str">
        <f>IFERROR(__xludf.DUMMYFUNCTION("""COMPUTED_VALUE"""),"Takis")</f>
        <v>Takis</v>
      </c>
      <c r="O55" s="1">
        <f>IFERROR(__xludf.DUMMYFUNCTION("""COMPUTED_VALUE"""),1.0)</f>
        <v>1</v>
      </c>
      <c r="P55" s="1">
        <f>IFERROR(__xludf.DUMMYFUNCTION("""COMPUTED_VALUE"""),1.33)</f>
        <v>1.33</v>
      </c>
      <c r="Q55" s="1">
        <f>IFERROR(__xludf.DUMMYFUNCTION("""COMPUTED_VALUE"""),2.0)</f>
        <v>2</v>
      </c>
      <c r="R55" s="1">
        <f>IFERROR(__xludf.DUMMYFUNCTION("""COMPUTED_VALUE"""),15.0)</f>
        <v>15</v>
      </c>
      <c r="S55" s="1">
        <f>IFERROR(__xludf.DUMMYFUNCTION("""COMPUTED_VALUE"""),30.0)</f>
        <v>30</v>
      </c>
      <c r="T55" s="1">
        <f>IFERROR(__xludf.DUMMYFUNCTION("""COMPUTED_VALUE"""),0.0)</f>
        <v>0</v>
      </c>
      <c r="U55" s="1">
        <f>IFERROR(__xludf.DUMMYFUNCTION("""COMPUTED_VALUE"""),0.0)</f>
        <v>0</v>
      </c>
      <c r="V55" s="1">
        <f>IFERROR(__xludf.DUMMYFUNCTION("""COMPUTED_VALUE"""),2.0)</f>
        <v>2</v>
      </c>
      <c r="W55" s="1">
        <f>IFERROR(__xludf.DUMMYFUNCTION("""COMPUTED_VALUE"""),30.0)</f>
        <v>30</v>
      </c>
    </row>
    <row r="56">
      <c r="A56" s="1" t="str">
        <f>IFERROR(__xludf.DUMMYFUNCTION("""COMPUTED_VALUE"""),"Twix single")</f>
        <v>Twix single</v>
      </c>
      <c r="B56" s="1">
        <f>IF(A56="","",SUMIFS(VMS_Sales!F:F,VMS_Sales!D:D,A56,VMS_Sales!O:O,$L$2))</f>
        <v>1</v>
      </c>
      <c r="C56" s="1">
        <f>IF(A56="","",ROUND((
SUMIFS(VMS_Sales!F:F,VMS_Sales!D:D,A56,VMS_Sales!O:O,$L$1)+
SUMIFS(VMS_Sales!F:F,VMS_Sales!D:D,A56,VMS_Sales!O:O,$L$2)+
SUMIFS(VMS_Sales!F:F,VMS_Sales!D:D,A56,VMS_Sales!O:O,$L$3)
)/3,2))</f>
        <v>9.33</v>
      </c>
      <c r="D56" s="1">
        <f t="shared" si="1"/>
        <v>11</v>
      </c>
      <c r="E56" s="1">
        <f>IFERROR(__xludf.DUMMYFUNCTION("IFERROR(XLOOKUP(A56,FILTER(VMS_Sales!$D:$D,VMS_Sales!$O:$O=$L$2),FILTER(VMS_Sales!$L:$L,VMS_Sales!$O:$O=$L$2),""""),"""")"),2.35)</f>
        <v>2.35</v>
      </c>
      <c r="F56" s="1">
        <f t="shared" si="2"/>
        <v>25.85</v>
      </c>
      <c r="G56" s="1">
        <f t="array" ref="G56">IFERROR(
SUMIFS(
PurchaseLines_Import!$I:$I,
PurchaseLines_Import!$C:$C, XLOOKUP(A56,Map!$A:$A,Map!$B:$B,""),
PurchaseLines_Import!$H:$H, $L$1
),
"")</f>
        <v>0</v>
      </c>
      <c r="H56" s="1">
        <f t="array" ref="H56">IFERROR(
SUMIFS(
Inventory_Import!$D:$D,
Inventory_Import!$B:$B, TEXT(XLOOKUP(A56,Map!$A:$A,Map!$B:$B,""),"0000")
),
0)</f>
        <v>0</v>
      </c>
      <c r="I56" s="1">
        <f t="shared" si="3"/>
        <v>11</v>
      </c>
      <c r="J56" s="1">
        <f t="shared" si="4"/>
        <v>25.85</v>
      </c>
      <c r="N56" s="1" t="str">
        <f>IFERROR(__xludf.DUMMYFUNCTION("""COMPUTED_VALUE"""),"vitrac")</f>
        <v>vitrac</v>
      </c>
      <c r="O56" s="1">
        <f>IFERROR(__xludf.DUMMYFUNCTION("""COMPUTED_VALUE"""),44.0)</f>
        <v>44</v>
      </c>
      <c r="P56" s="1">
        <f>IFERROR(__xludf.DUMMYFUNCTION("""COMPUTED_VALUE"""),14.67)</f>
        <v>14.67</v>
      </c>
      <c r="Q56" s="1">
        <f>IFERROR(__xludf.DUMMYFUNCTION("""COMPUTED_VALUE"""),17.0)</f>
        <v>17</v>
      </c>
      <c r="R56" s="1">
        <f>IFERROR(__xludf.DUMMYFUNCTION("""COMPUTED_VALUE"""),1.6)</f>
        <v>1.6</v>
      </c>
      <c r="S56" s="1">
        <f>IFERROR(__xludf.DUMMYFUNCTION("""COMPUTED_VALUE"""),27.2)</f>
        <v>27.2</v>
      </c>
      <c r="T56" s="1">
        <f>IFERROR(__xludf.DUMMYFUNCTION("""COMPUTED_VALUE"""),0.0)</f>
        <v>0</v>
      </c>
      <c r="U56" s="1">
        <f>IFERROR(__xludf.DUMMYFUNCTION("""COMPUTED_VALUE"""),0.0)</f>
        <v>0</v>
      </c>
      <c r="V56" s="1">
        <f>IFERROR(__xludf.DUMMYFUNCTION("""COMPUTED_VALUE"""),17.0)</f>
        <v>17</v>
      </c>
      <c r="W56" s="1">
        <f>IFERROR(__xludf.DUMMYFUNCTION("""COMPUTED_VALUE"""),27.2)</f>
        <v>27.2</v>
      </c>
    </row>
    <row r="57">
      <c r="A57" s="1" t="str">
        <f>IFERROR(__xludf.DUMMYFUNCTION("""COMPUTED_VALUE"""),"Yupi")</f>
        <v>Yupi</v>
      </c>
      <c r="B57" s="1">
        <f>IF(A57="","",SUMIFS(VMS_Sales!F:F,VMS_Sales!D:D,A57,VMS_Sales!O:O,$L$2))</f>
        <v>38</v>
      </c>
      <c r="C57" s="1">
        <f>IF(A57="","",ROUND((
SUMIFS(VMS_Sales!F:F,VMS_Sales!D:D,A57,VMS_Sales!O:O,$L$1)+
SUMIFS(VMS_Sales!F:F,VMS_Sales!D:D,A57,VMS_Sales!O:O,$L$2)+
SUMIFS(VMS_Sales!F:F,VMS_Sales!D:D,A57,VMS_Sales!O:O,$L$3)
)/3,2))</f>
        <v>20.67</v>
      </c>
      <c r="D57" s="1">
        <f t="shared" si="1"/>
        <v>24</v>
      </c>
      <c r="E57" s="1">
        <f>IFERROR(__xludf.DUMMYFUNCTION("IFERROR(XLOOKUP(A57,FILTER(VMS_Sales!$D:$D,VMS_Sales!$O:$O=$L$2),FILTER(VMS_Sales!$L:$L,VMS_Sales!$O:$O=$L$2),""""),"""")"),1.79)</f>
        <v>1.79</v>
      </c>
      <c r="F57" s="1">
        <f t="shared" si="2"/>
        <v>42.96</v>
      </c>
      <c r="G57" s="1">
        <f t="array" ref="G57">IFERROR(
SUMIFS(
PurchaseLines_Import!$I:$I,
PurchaseLines_Import!$C:$C, XLOOKUP(A57,Map!$A:$A,Map!$B:$B,""),
PurchaseLines_Import!$H:$H, $L$1
),
"")</f>
        <v>0</v>
      </c>
      <c r="H57" s="1">
        <f t="array" ref="H57">IFERROR(
SUMIFS(
Inventory_Import!$D:$D,
Inventory_Import!$B:$B, TEXT(XLOOKUP(A57,Map!$A:$A,Map!$B:$B,""),"0000")
),
0)</f>
        <v>0</v>
      </c>
      <c r="I57" s="1">
        <f t="shared" si="3"/>
        <v>24</v>
      </c>
      <c r="J57" s="1">
        <f t="shared" si="4"/>
        <v>42.96</v>
      </c>
      <c r="N57" s="1" t="str">
        <f>IFERROR(__xludf.DUMMYFUNCTION("""COMPUTED_VALUE"""),"Twix single")</f>
        <v>Twix single</v>
      </c>
      <c r="O57" s="1">
        <f>IFERROR(__xludf.DUMMYFUNCTION("""COMPUTED_VALUE"""),1.0)</f>
        <v>1</v>
      </c>
      <c r="P57" s="1">
        <f>IFERROR(__xludf.DUMMYFUNCTION("""COMPUTED_VALUE"""),9.33)</f>
        <v>9.33</v>
      </c>
      <c r="Q57" s="1">
        <f>IFERROR(__xludf.DUMMYFUNCTION("""COMPUTED_VALUE"""),11.0)</f>
        <v>11</v>
      </c>
      <c r="R57" s="1">
        <f>IFERROR(__xludf.DUMMYFUNCTION("""COMPUTED_VALUE"""),2.35)</f>
        <v>2.35</v>
      </c>
      <c r="S57" s="1">
        <f>IFERROR(__xludf.DUMMYFUNCTION("""COMPUTED_VALUE"""),25.85)</f>
        <v>25.85</v>
      </c>
      <c r="T57" s="1">
        <f>IFERROR(__xludf.DUMMYFUNCTION("""COMPUTED_VALUE"""),0.0)</f>
        <v>0</v>
      </c>
      <c r="U57" s="1">
        <f>IFERROR(__xludf.DUMMYFUNCTION("""COMPUTED_VALUE"""),0.0)</f>
        <v>0</v>
      </c>
      <c r="V57" s="1">
        <f>IFERROR(__xludf.DUMMYFUNCTION("""COMPUTED_VALUE"""),11.0)</f>
        <v>11</v>
      </c>
      <c r="W57" s="1">
        <f>IFERROR(__xludf.DUMMYFUNCTION("""COMPUTED_VALUE"""),25.85)</f>
        <v>25.85</v>
      </c>
    </row>
    <row r="58">
      <c r="A58" s="1" t="str">
        <f>IFERROR(__xludf.DUMMYFUNCTION("""COMPUTED_VALUE"""),"Haribo 80g")</f>
        <v>Haribo 80g</v>
      </c>
      <c r="B58" s="1">
        <f>IF(A58="","",SUMIFS(VMS_Sales!F:F,VMS_Sales!D:D,A58,VMS_Sales!O:O,$L$2))</f>
        <v>12</v>
      </c>
      <c r="C58" s="1">
        <f>IF(A58="","",ROUND((
SUMIFS(VMS_Sales!F:F,VMS_Sales!D:D,A58,VMS_Sales!O:O,$L$1)+
SUMIFS(VMS_Sales!F:F,VMS_Sales!D:D,A58,VMS_Sales!O:O,$L$2)+
SUMIFS(VMS_Sales!F:F,VMS_Sales!D:D,A58,VMS_Sales!O:O,$L$3)
)/3,2))</f>
        <v>5.33</v>
      </c>
      <c r="D58" s="1">
        <f t="shared" si="1"/>
        <v>6</v>
      </c>
      <c r="E58" s="1">
        <f>IFERROR(__xludf.DUMMYFUNCTION("IFERROR(XLOOKUP(A58,FILTER(VMS_Sales!$D:$D,VMS_Sales!$O:$O=$L$2),FILTER(VMS_Sales!$L:$L,VMS_Sales!$O:$O=$L$2),""""),"""")"),7.2)</f>
        <v>7.2</v>
      </c>
      <c r="F58" s="1">
        <f t="shared" si="2"/>
        <v>43.2</v>
      </c>
      <c r="G58" s="1">
        <f t="array" ref="G58">IFERROR(
SUMIFS(
PurchaseLines_Import!$I:$I,
PurchaseLines_Import!$C:$C, XLOOKUP(A58,Map!$A:$A,Map!$B:$B,""),
PurchaseLines_Import!$H:$H, $L$1
),
"")</f>
        <v>0</v>
      </c>
      <c r="H58" s="1">
        <f t="array" ref="H58">IFERROR(
SUMIFS(
Inventory_Import!$D:$D,
Inventory_Import!$B:$B, TEXT(XLOOKUP(A58,Map!$A:$A,Map!$B:$B,""),"0000")
),
0)</f>
        <v>0</v>
      </c>
      <c r="I58" s="1">
        <f t="shared" si="3"/>
        <v>6</v>
      </c>
      <c r="J58" s="1">
        <f t="shared" si="4"/>
        <v>43.2</v>
      </c>
      <c r="N58" s="1" t="str">
        <f>IFERROR(__xludf.DUMMYFUNCTION("""COMPUTED_VALUE"""),"Tiger *12 Cheese")</f>
        <v>Tiger *12 Cheese</v>
      </c>
      <c r="O58" s="1">
        <f>IFERROR(__xludf.DUMMYFUNCTION("""COMPUTED_VALUE"""),9.0)</f>
        <v>9</v>
      </c>
      <c r="P58" s="1">
        <f>IFERROR(__xludf.DUMMYFUNCTION("""COMPUTED_VALUE"""),6.0)</f>
        <v>6</v>
      </c>
      <c r="Q58" s="1">
        <f>IFERROR(__xludf.DUMMYFUNCTION("""COMPUTED_VALUE"""),7.0)</f>
        <v>7</v>
      </c>
      <c r="R58" s="1">
        <f>IFERROR(__xludf.DUMMYFUNCTION("""COMPUTED_VALUE"""),3.5)</f>
        <v>3.5</v>
      </c>
      <c r="S58" s="1">
        <f>IFERROR(__xludf.DUMMYFUNCTION("""COMPUTED_VALUE"""),24.5)</f>
        <v>24.5</v>
      </c>
      <c r="T58" s="1">
        <f>IFERROR(__xludf.DUMMYFUNCTION("""COMPUTED_VALUE"""),0.0)</f>
        <v>0</v>
      </c>
      <c r="U58" s="1">
        <f>IFERROR(__xludf.DUMMYFUNCTION("""COMPUTED_VALUE"""),0.0)</f>
        <v>0</v>
      </c>
      <c r="V58" s="1">
        <f>IFERROR(__xludf.DUMMYFUNCTION("""COMPUTED_VALUE"""),7.0)</f>
        <v>7</v>
      </c>
      <c r="W58" s="1">
        <f>IFERROR(__xludf.DUMMYFUNCTION("""COMPUTED_VALUE"""),24.5)</f>
        <v>24.5</v>
      </c>
    </row>
    <row r="59">
      <c r="A59" s="1" t="str">
        <f>IFERROR(__xludf.DUMMYFUNCTION("""COMPUTED_VALUE"""),"sunTop")</f>
        <v>sunTop</v>
      </c>
      <c r="B59" s="1">
        <f>IF(A59="","",SUMIFS(VMS_Sales!F:F,VMS_Sales!D:D,A59,VMS_Sales!O:O,$L$2))</f>
        <v>0</v>
      </c>
      <c r="C59" s="1">
        <f>IF(A59="","",ROUND((
SUMIFS(VMS_Sales!F:F,VMS_Sales!D:D,A59,VMS_Sales!O:O,$L$1)+
SUMIFS(VMS_Sales!F:F,VMS_Sales!D:D,A59,VMS_Sales!O:O,$L$2)+
SUMIFS(VMS_Sales!F:F,VMS_Sales!D:D,A59,VMS_Sales!O:O,$L$3)
)/3,2))</f>
        <v>7</v>
      </c>
      <c r="D59" s="1">
        <f t="shared" si="1"/>
        <v>8</v>
      </c>
      <c r="E59" s="1" t="str">
        <f>IFERROR(__xludf.DUMMYFUNCTION("IFERROR(XLOOKUP(A59,FILTER(VMS_Sales!$D:$D,VMS_Sales!$O:$O=$L$2),FILTER(VMS_Sales!$L:$L,VMS_Sales!$O:$O=$L$2),""""),"""")"),"")</f>
        <v/>
      </c>
      <c r="F59" s="1" t="str">
        <f t="shared" si="2"/>
        <v/>
      </c>
      <c r="G59" s="1">
        <f t="array" ref="G59">IFERROR(
SUMIFS(
PurchaseLines_Import!$I:$I,
PurchaseLines_Import!$C:$C, XLOOKUP(A59,Map!$A:$A,Map!$B:$B,""),
PurchaseLines_Import!$H:$H, $L$1
),
"")</f>
        <v>0</v>
      </c>
      <c r="H59" s="1">
        <f t="array" ref="H59">IFERROR(
SUMIFS(
Inventory_Import!$D:$D,
Inventory_Import!$B:$B, TEXT(XLOOKUP(A59,Map!$A:$A,Map!$B:$B,""),"0000")
),
0)</f>
        <v>2</v>
      </c>
      <c r="I59" s="1">
        <f t="shared" si="3"/>
        <v>6</v>
      </c>
      <c r="J59" s="1" t="str">
        <f t="shared" si="4"/>
        <v/>
      </c>
      <c r="N59" s="1" t="str">
        <f>IFERROR(__xludf.DUMMYFUNCTION("""COMPUTED_VALUE"""),"Tiger 12 chili and lemon")</f>
        <v>Tiger 12 chili and lemon</v>
      </c>
      <c r="O59" s="1">
        <f>IFERROR(__xludf.DUMMYFUNCTION("""COMPUTED_VALUE"""),4.0)</f>
        <v>4</v>
      </c>
      <c r="P59" s="1">
        <f>IFERROR(__xludf.DUMMYFUNCTION("""COMPUTED_VALUE"""),6.33)</f>
        <v>6.33</v>
      </c>
      <c r="Q59" s="1">
        <f>IFERROR(__xludf.DUMMYFUNCTION("""COMPUTED_VALUE"""),7.0)</f>
        <v>7</v>
      </c>
      <c r="R59" s="1">
        <f>IFERROR(__xludf.DUMMYFUNCTION("""COMPUTED_VALUE"""),3.5)</f>
        <v>3.5</v>
      </c>
      <c r="S59" s="1">
        <f>IFERROR(__xludf.DUMMYFUNCTION("""COMPUTED_VALUE"""),24.5)</f>
        <v>24.5</v>
      </c>
      <c r="T59" s="1">
        <f>IFERROR(__xludf.DUMMYFUNCTION("""COMPUTED_VALUE"""),0.0)</f>
        <v>0</v>
      </c>
      <c r="U59" s="1">
        <f>IFERROR(__xludf.DUMMYFUNCTION("""COMPUTED_VALUE"""),0.0)</f>
        <v>0</v>
      </c>
      <c r="V59" s="1">
        <f>IFERROR(__xludf.DUMMYFUNCTION("""COMPUTED_VALUE"""),7.0)</f>
        <v>7</v>
      </c>
      <c r="W59" s="1">
        <f>IFERROR(__xludf.DUMMYFUNCTION("""COMPUTED_VALUE"""),24.5)</f>
        <v>24.5</v>
      </c>
    </row>
    <row r="60">
      <c r="A60" s="1" t="str">
        <f>IFERROR(__xludf.DUMMYFUNCTION("""COMPUTED_VALUE"""),"Prime")</f>
        <v>Prime</v>
      </c>
      <c r="B60" s="1">
        <f>IF(A60="","",SUMIFS(VMS_Sales!F:F,VMS_Sales!D:D,A60,VMS_Sales!O:O,$L$2))</f>
        <v>0</v>
      </c>
      <c r="C60" s="1">
        <f>IF(A60="","",ROUND((
SUMIFS(VMS_Sales!F:F,VMS_Sales!D:D,A60,VMS_Sales!O:O,$L$1)+
SUMIFS(VMS_Sales!F:F,VMS_Sales!D:D,A60,VMS_Sales!O:O,$L$2)+
SUMIFS(VMS_Sales!F:F,VMS_Sales!D:D,A60,VMS_Sales!O:O,$L$3)
)/3,2))</f>
        <v>1</v>
      </c>
      <c r="D60" s="1">
        <f t="shared" si="1"/>
        <v>1</v>
      </c>
      <c r="E60" s="1" t="str">
        <f>IFERROR(__xludf.DUMMYFUNCTION("IFERROR(XLOOKUP(A60,FILTER(VMS_Sales!$D:$D,VMS_Sales!$O:$O=$L$2),FILTER(VMS_Sales!$L:$L,VMS_Sales!$O:$O=$L$2),""""),"""")"),"")</f>
        <v/>
      </c>
      <c r="F60" s="1" t="str">
        <f t="shared" si="2"/>
        <v/>
      </c>
      <c r="G60" s="1">
        <f t="array" ref="G60">IFERROR(
SUMIFS(
PurchaseLines_Import!$I:$I,
PurchaseLines_Import!$C:$C, XLOOKUP(A60,Map!$A:$A,Map!$B:$B,""),
PurchaseLines_Import!$H:$H, $L$1
),
"")</f>
        <v>0</v>
      </c>
      <c r="H60" s="1">
        <f t="array" ref="H60">IFERROR(
SUMIFS(
Inventory_Import!$D:$D,
Inventory_Import!$B:$B, TEXT(XLOOKUP(A60,Map!$A:$A,Map!$B:$B,""),"0000")
),
0)</f>
        <v>0</v>
      </c>
      <c r="I60" s="1">
        <f t="shared" si="3"/>
        <v>1</v>
      </c>
      <c r="J60" s="1" t="str">
        <f t="shared" si="4"/>
        <v/>
      </c>
      <c r="N60" s="1" t="str">
        <f>IFERROR(__xludf.DUMMYFUNCTION("""COMPUTED_VALUE"""),"Shada up")</f>
        <v>Shada up</v>
      </c>
      <c r="O60" s="1">
        <f>IFERROR(__xludf.DUMMYFUNCTION("""COMPUTED_VALUE"""),5.0)</f>
        <v>5</v>
      </c>
      <c r="P60" s="1">
        <f>IFERROR(__xludf.DUMMYFUNCTION("""COMPUTED_VALUE"""),14.0)</f>
        <v>14</v>
      </c>
      <c r="Q60" s="1">
        <f>IFERROR(__xludf.DUMMYFUNCTION("""COMPUTED_VALUE"""),16.0)</f>
        <v>16</v>
      </c>
      <c r="R60" s="1">
        <f>IFERROR(__xludf.DUMMYFUNCTION("""COMPUTED_VALUE"""),1.41)</f>
        <v>1.41</v>
      </c>
      <c r="S60" s="1">
        <f>IFERROR(__xludf.DUMMYFUNCTION("""COMPUTED_VALUE"""),22.56)</f>
        <v>22.56</v>
      </c>
      <c r="T60" s="1">
        <f>IFERROR(__xludf.DUMMYFUNCTION("""COMPUTED_VALUE"""),0.0)</f>
        <v>0</v>
      </c>
      <c r="U60" s="1">
        <f>IFERROR(__xludf.DUMMYFUNCTION("""COMPUTED_VALUE"""),0.0)</f>
        <v>0</v>
      </c>
      <c r="V60" s="1">
        <f>IFERROR(__xludf.DUMMYFUNCTION("""COMPUTED_VALUE"""),16.0)</f>
        <v>16</v>
      </c>
      <c r="W60" s="1">
        <f>IFERROR(__xludf.DUMMYFUNCTION("""COMPUTED_VALUE"""),22.56)</f>
        <v>22.56</v>
      </c>
    </row>
    <row r="61">
      <c r="A61" s="1" t="str">
        <f>IFERROR(__xludf.DUMMYFUNCTION("""COMPUTED_VALUE"""),"Dallas juice")</f>
        <v>Dallas juice</v>
      </c>
      <c r="B61" s="1">
        <f>IF(A61="","",SUMIFS(VMS_Sales!F:F,VMS_Sales!D:D,A61,VMS_Sales!O:O,$L$2))</f>
        <v>41</v>
      </c>
      <c r="C61" s="1">
        <f>IF(A61="","",ROUND((
SUMIFS(VMS_Sales!F:F,VMS_Sales!D:D,A61,VMS_Sales!O:O,$L$1)+
SUMIFS(VMS_Sales!F:F,VMS_Sales!D:D,A61,VMS_Sales!O:O,$L$2)+
SUMIFS(VMS_Sales!F:F,VMS_Sales!D:D,A61,VMS_Sales!O:O,$L$3)
)/3,2))</f>
        <v>41</v>
      </c>
      <c r="D61" s="1">
        <f t="shared" si="1"/>
        <v>47</v>
      </c>
      <c r="E61" s="1">
        <f>IFERROR(__xludf.DUMMYFUNCTION("IFERROR(XLOOKUP(A61,FILTER(VMS_Sales!$D:$D,VMS_Sales!$O:$O=$L$2),FILTER(VMS_Sales!$L:$L,VMS_Sales!$O:$O=$L$2),""""),"""")"),0.91)</f>
        <v>0.91</v>
      </c>
      <c r="F61" s="1">
        <f t="shared" si="2"/>
        <v>42.77</v>
      </c>
      <c r="G61" s="1">
        <f t="array" ref="G61">IFERROR(
SUMIFS(
PurchaseLines_Import!$I:$I,
PurchaseLines_Import!$C:$C, XLOOKUP(A61,Map!$A:$A,Map!$B:$B,""),
PurchaseLines_Import!$H:$H, $L$1
),
"")</f>
        <v>0</v>
      </c>
      <c r="H61" s="1">
        <f t="array" ref="H61">IFERROR(
SUMIFS(
Inventory_Import!$D:$D,
Inventory_Import!$B:$B, TEXT(XLOOKUP(A61,Map!$A:$A,Map!$B:$B,""),"0000")
),
0)</f>
        <v>0</v>
      </c>
      <c r="I61" s="1">
        <f t="shared" si="3"/>
        <v>47</v>
      </c>
      <c r="J61" s="1">
        <f t="shared" si="4"/>
        <v>42.77</v>
      </c>
      <c r="N61" s="1" t="str">
        <f>IFERROR(__xludf.DUMMYFUNCTION("""COMPUTED_VALUE"""),"Lavazza")</f>
        <v>Lavazza</v>
      </c>
      <c r="O61" s="1">
        <f>IFERROR(__xludf.DUMMYFUNCTION("""COMPUTED_VALUE"""),6.0)</f>
        <v>6</v>
      </c>
      <c r="P61" s="1">
        <f>IFERROR(__xludf.DUMMYFUNCTION("""COMPUTED_VALUE"""),4.33)</f>
        <v>4.33</v>
      </c>
      <c r="Q61" s="1">
        <f>IFERROR(__xludf.DUMMYFUNCTION("""COMPUTED_VALUE"""),5.0)</f>
        <v>5</v>
      </c>
      <c r="R61" s="1">
        <f>IFERROR(__xludf.DUMMYFUNCTION("""COMPUTED_VALUE"""),4.5)</f>
        <v>4.5</v>
      </c>
      <c r="S61" s="1">
        <f>IFERROR(__xludf.DUMMYFUNCTION("""COMPUTED_VALUE"""),22.5)</f>
        <v>22.5</v>
      </c>
      <c r="T61" s="1">
        <f>IFERROR(__xludf.DUMMYFUNCTION("""COMPUTED_VALUE"""),0.0)</f>
        <v>0</v>
      </c>
      <c r="U61" s="1">
        <f>IFERROR(__xludf.DUMMYFUNCTION("""COMPUTED_VALUE"""),0.0)</f>
        <v>0</v>
      </c>
      <c r="V61" s="1">
        <f>IFERROR(__xludf.DUMMYFUNCTION("""COMPUTED_VALUE"""),5.0)</f>
        <v>5</v>
      </c>
      <c r="W61" s="1">
        <f>IFERROR(__xludf.DUMMYFUNCTION("""COMPUTED_VALUE"""),22.5)</f>
        <v>22.5</v>
      </c>
    </row>
    <row r="62">
      <c r="A62" s="1" t="str">
        <f>IFERROR(__xludf.DUMMYFUNCTION("""COMPUTED_VALUE"""),"Mulino Cookis")</f>
        <v>Mulino Cookis</v>
      </c>
      <c r="B62" s="1">
        <f>IF(A62="","",SUMIFS(VMS_Sales!F:F,VMS_Sales!D:D,A62,VMS_Sales!O:O,$L$2))</f>
        <v>0</v>
      </c>
      <c r="C62" s="1">
        <f>IF(A62="","",ROUND((
SUMIFS(VMS_Sales!F:F,VMS_Sales!D:D,A62,VMS_Sales!O:O,$L$1)+
SUMIFS(VMS_Sales!F:F,VMS_Sales!D:D,A62,VMS_Sales!O:O,$L$2)+
SUMIFS(VMS_Sales!F:F,VMS_Sales!D:D,A62,VMS_Sales!O:O,$L$3)
)/3,2))</f>
        <v>0.67</v>
      </c>
      <c r="D62" s="1">
        <f t="shared" si="1"/>
        <v>1</v>
      </c>
      <c r="E62" s="1" t="str">
        <f>IFERROR(__xludf.DUMMYFUNCTION("IFERROR(XLOOKUP(A62,FILTER(VMS_Sales!$D:$D,VMS_Sales!$O:$O=$L$2),FILTER(VMS_Sales!$L:$L,VMS_Sales!$O:$O=$L$2),""""),"""")"),"")</f>
        <v/>
      </c>
      <c r="F62" s="1" t="str">
        <f t="shared" si="2"/>
        <v/>
      </c>
      <c r="G62" s="1">
        <f t="array" ref="G62">IFERROR(
SUMIFS(
PurchaseLines_Import!$I:$I,
PurchaseLines_Import!$C:$C, XLOOKUP(A62,Map!$A:$A,Map!$B:$B,""),
PurchaseLines_Import!$H:$H, $L$1
),
"")</f>
        <v>0</v>
      </c>
      <c r="H62" s="1">
        <f t="array" ref="H62">IFERROR(
SUMIFS(
Inventory_Import!$D:$D,
Inventory_Import!$B:$B, TEXT(XLOOKUP(A62,Map!$A:$A,Map!$B:$B,""),"0000")
),
0)</f>
        <v>0</v>
      </c>
      <c r="I62" s="1">
        <f t="shared" si="3"/>
        <v>1</v>
      </c>
      <c r="J62" s="1" t="str">
        <f t="shared" si="4"/>
        <v/>
      </c>
      <c r="N62" s="1" t="str">
        <f>IFERROR(__xludf.DUMMYFUNCTION("""COMPUTED_VALUE"""),"Schweppes")</f>
        <v>Schweppes</v>
      </c>
      <c r="O62" s="1">
        <f>IFERROR(__xludf.DUMMYFUNCTION("""COMPUTED_VALUE"""),8.0)</f>
        <v>8</v>
      </c>
      <c r="P62" s="1">
        <f>IFERROR(__xludf.DUMMYFUNCTION("""COMPUTED_VALUE"""),7.67)</f>
        <v>7.67</v>
      </c>
      <c r="Q62" s="1">
        <f>IFERROR(__xludf.DUMMYFUNCTION("""COMPUTED_VALUE"""),9.0)</f>
        <v>9</v>
      </c>
      <c r="R62" s="1">
        <f>IFERROR(__xludf.DUMMYFUNCTION("""COMPUTED_VALUE"""),2.0)</f>
        <v>2</v>
      </c>
      <c r="S62" s="1">
        <f>IFERROR(__xludf.DUMMYFUNCTION("""COMPUTED_VALUE"""),18.0)</f>
        <v>18</v>
      </c>
      <c r="T62" s="1">
        <f>IFERROR(__xludf.DUMMYFUNCTION("""COMPUTED_VALUE"""),0.0)</f>
        <v>0</v>
      </c>
      <c r="U62" s="1">
        <f>IFERROR(__xludf.DUMMYFUNCTION("""COMPUTED_VALUE"""),0.0)</f>
        <v>0</v>
      </c>
      <c r="V62" s="1">
        <f>IFERROR(__xludf.DUMMYFUNCTION("""COMPUTED_VALUE"""),9.0)</f>
        <v>9</v>
      </c>
      <c r="W62" s="1">
        <f>IFERROR(__xludf.DUMMYFUNCTION("""COMPUTED_VALUE"""),18.0)</f>
        <v>18</v>
      </c>
    </row>
    <row r="63">
      <c r="A63" s="1" t="str">
        <f>IFERROR(__xludf.DUMMYFUNCTION("""COMPUTED_VALUE"""),"Doritos real")</f>
        <v>Doritos real</v>
      </c>
      <c r="B63" s="1">
        <f>IF(A63="","",SUMIFS(VMS_Sales!F:F,VMS_Sales!D:D,A63,VMS_Sales!O:O,$L$2))</f>
        <v>0</v>
      </c>
      <c r="C63" s="1">
        <f>IF(A63="","",ROUND((
SUMIFS(VMS_Sales!F:F,VMS_Sales!D:D,A63,VMS_Sales!O:O,$L$1)+
SUMIFS(VMS_Sales!F:F,VMS_Sales!D:D,A63,VMS_Sales!O:O,$L$2)+
SUMIFS(VMS_Sales!F:F,VMS_Sales!D:D,A63,VMS_Sales!O:O,$L$3)
)/3,2))</f>
        <v>8.33</v>
      </c>
      <c r="D63" s="1">
        <f t="shared" si="1"/>
        <v>10</v>
      </c>
      <c r="E63" s="1" t="str">
        <f>IFERROR(__xludf.DUMMYFUNCTION("IFERROR(XLOOKUP(A63,FILTER(VMS_Sales!$D:$D,VMS_Sales!$O:$O=$L$2),FILTER(VMS_Sales!$L:$L,VMS_Sales!$O:$O=$L$2),""""),"""")"),"")</f>
        <v/>
      </c>
      <c r="F63" s="1" t="str">
        <f t="shared" si="2"/>
        <v/>
      </c>
      <c r="G63" s="1">
        <f t="array" ref="G63">IFERROR(
SUMIFS(
PurchaseLines_Import!$I:$I,
PurchaseLines_Import!$C:$C, XLOOKUP(A63,Map!$A:$A,Map!$B:$B,""),
PurchaseLines_Import!$H:$H, $L$1
),
"")</f>
        <v>0</v>
      </c>
      <c r="H63" s="1">
        <f t="array" ref="H63">IFERROR(
SUMIFS(
Inventory_Import!$D:$D,
Inventory_Import!$B:$B, TEXT(XLOOKUP(A63,Map!$A:$A,Map!$B:$B,""),"0000")
),
0)</f>
        <v>0</v>
      </c>
      <c r="I63" s="1">
        <f t="shared" si="3"/>
        <v>10</v>
      </c>
      <c r="J63" s="1" t="str">
        <f t="shared" si="4"/>
        <v/>
      </c>
      <c r="N63" s="1" t="str">
        <f>IFERROR(__xludf.DUMMYFUNCTION("""COMPUTED_VALUE"""),"brownies moulin")</f>
        <v>brownies moulin</v>
      </c>
      <c r="O63" s="1">
        <f>IFERROR(__xludf.DUMMYFUNCTION("""COMPUTED_VALUE"""),19.0)</f>
        <v>19</v>
      </c>
      <c r="P63" s="1">
        <f>IFERROR(__xludf.DUMMYFUNCTION("""COMPUTED_VALUE"""),8.67)</f>
        <v>8.67</v>
      </c>
      <c r="Q63" s="1">
        <f>IFERROR(__xludf.DUMMYFUNCTION("""COMPUTED_VALUE"""),10.0)</f>
        <v>10</v>
      </c>
      <c r="R63" s="1">
        <f>IFERROR(__xludf.DUMMYFUNCTION("""COMPUTED_VALUE"""),1.8)</f>
        <v>1.8</v>
      </c>
      <c r="S63" s="1">
        <f>IFERROR(__xludf.DUMMYFUNCTION("""COMPUTED_VALUE"""),18.0)</f>
        <v>18</v>
      </c>
      <c r="T63" s="1">
        <f>IFERROR(__xludf.DUMMYFUNCTION("""COMPUTED_VALUE"""),0.0)</f>
        <v>0</v>
      </c>
      <c r="U63" s="1">
        <f>IFERROR(__xludf.DUMMYFUNCTION("""COMPUTED_VALUE"""),0.0)</f>
        <v>0</v>
      </c>
      <c r="V63" s="1">
        <f>IFERROR(__xludf.DUMMYFUNCTION("""COMPUTED_VALUE"""),10.0)</f>
        <v>10</v>
      </c>
      <c r="W63" s="1">
        <f>IFERROR(__xludf.DUMMYFUNCTION("""COMPUTED_VALUE"""),18.0)</f>
        <v>18</v>
      </c>
    </row>
    <row r="64">
      <c r="A64" s="1" t="str">
        <f>IFERROR(__xludf.DUMMYFUNCTION("""COMPUTED_VALUE"""),"brownies moulin")</f>
        <v>brownies moulin</v>
      </c>
      <c r="B64" s="1">
        <f>IF(A64="","",SUMIFS(VMS_Sales!F:F,VMS_Sales!D:D,A64,VMS_Sales!O:O,$L$2))</f>
        <v>19</v>
      </c>
      <c r="C64" s="1">
        <f>IF(A64="","",ROUND((
SUMIFS(VMS_Sales!F:F,VMS_Sales!D:D,A64,VMS_Sales!O:O,$L$1)+
SUMIFS(VMS_Sales!F:F,VMS_Sales!D:D,A64,VMS_Sales!O:O,$L$2)+
SUMIFS(VMS_Sales!F:F,VMS_Sales!D:D,A64,VMS_Sales!O:O,$L$3)
)/3,2))</f>
        <v>8.67</v>
      </c>
      <c r="D64" s="1">
        <f t="shared" si="1"/>
        <v>10</v>
      </c>
      <c r="E64" s="1">
        <f>IFERROR(__xludf.DUMMYFUNCTION("IFERROR(XLOOKUP(A64,FILTER(VMS_Sales!$D:$D,VMS_Sales!$O:$O=$L$2),FILTER(VMS_Sales!$L:$L,VMS_Sales!$O:$O=$L$2),""""),"""")"),1.8)</f>
        <v>1.8</v>
      </c>
      <c r="F64" s="1">
        <f t="shared" si="2"/>
        <v>18</v>
      </c>
      <c r="G64" s="1">
        <f t="array" ref="G64">IFERROR(
SUMIFS(
PurchaseLines_Import!$I:$I,
PurchaseLines_Import!$C:$C, XLOOKUP(A64,Map!$A:$A,Map!$B:$B,""),
PurchaseLines_Import!$H:$H, $L$1
),
"")</f>
        <v>0</v>
      </c>
      <c r="H64" s="1">
        <f t="array" ref="H64">IFERROR(
SUMIFS(
Inventory_Import!$D:$D,
Inventory_Import!$B:$B, TEXT(XLOOKUP(A64,Map!$A:$A,Map!$B:$B,""),"0000")
),
0)</f>
        <v>0</v>
      </c>
      <c r="I64" s="1">
        <f t="shared" si="3"/>
        <v>10</v>
      </c>
      <c r="J64" s="1">
        <f t="shared" si="4"/>
        <v>18</v>
      </c>
      <c r="N64" s="1" t="str">
        <f>IFERROR(__xludf.DUMMYFUNCTION("""COMPUTED_VALUE"""),"wafe'up")</f>
        <v>wafe'up</v>
      </c>
      <c r="O64" s="1">
        <f>IFERROR(__xludf.DUMMYFUNCTION("""COMPUTED_VALUE"""),22.0)</f>
        <v>22</v>
      </c>
      <c r="P64" s="1">
        <f>IFERROR(__xludf.DUMMYFUNCTION("""COMPUTED_VALUE"""),7.33)</f>
        <v>7.33</v>
      </c>
      <c r="Q64" s="1">
        <f>IFERROR(__xludf.DUMMYFUNCTION("""COMPUTED_VALUE"""),8.0)</f>
        <v>8</v>
      </c>
      <c r="R64" s="1">
        <f>IFERROR(__xludf.DUMMYFUNCTION("""COMPUTED_VALUE"""),2.25)</f>
        <v>2.25</v>
      </c>
      <c r="S64" s="1">
        <f>IFERROR(__xludf.DUMMYFUNCTION("""COMPUTED_VALUE"""),18.0)</f>
        <v>18</v>
      </c>
      <c r="T64" s="1">
        <f>IFERROR(__xludf.DUMMYFUNCTION("""COMPUTED_VALUE"""),0.0)</f>
        <v>0</v>
      </c>
      <c r="U64" s="1">
        <f>IFERROR(__xludf.DUMMYFUNCTION("""COMPUTED_VALUE"""),0.0)</f>
        <v>0</v>
      </c>
      <c r="V64" s="1">
        <f>IFERROR(__xludf.DUMMYFUNCTION("""COMPUTED_VALUE"""),8.0)</f>
        <v>8</v>
      </c>
      <c r="W64" s="1">
        <f>IFERROR(__xludf.DUMMYFUNCTION("""COMPUTED_VALUE"""),18.0)</f>
        <v>18</v>
      </c>
    </row>
    <row r="65">
      <c r="A65" s="1" t="str">
        <f>IFERROR(__xludf.DUMMYFUNCTION("""COMPUTED_VALUE"""),"Chico")</f>
        <v>Chico</v>
      </c>
      <c r="B65" s="1">
        <f>IF(A65="","",SUMIFS(VMS_Sales!F:F,VMS_Sales!D:D,A65,VMS_Sales!O:O,$L$2))</f>
        <v>0</v>
      </c>
      <c r="C65" s="1">
        <f>IF(A65="","",ROUND((
SUMIFS(VMS_Sales!F:F,VMS_Sales!D:D,A65,VMS_Sales!O:O,$L$1)+
SUMIFS(VMS_Sales!F:F,VMS_Sales!D:D,A65,VMS_Sales!O:O,$L$2)+
SUMIFS(VMS_Sales!F:F,VMS_Sales!D:D,A65,VMS_Sales!O:O,$L$3)
)/3,2))</f>
        <v>6.67</v>
      </c>
      <c r="D65" s="1">
        <f t="shared" si="1"/>
        <v>8</v>
      </c>
      <c r="E65" s="1" t="str">
        <f>IFERROR(__xludf.DUMMYFUNCTION("IFERROR(XLOOKUP(A65,FILTER(VMS_Sales!$D:$D,VMS_Sales!$O:$O=$L$2),FILTER(VMS_Sales!$L:$L,VMS_Sales!$O:$O=$L$2),""""),"""")"),"")</f>
        <v/>
      </c>
      <c r="F65" s="1" t="str">
        <f t="shared" si="2"/>
        <v/>
      </c>
      <c r="G65" s="1">
        <f t="array" ref="G65">IFERROR(
SUMIFS(
PurchaseLines_Import!$I:$I,
PurchaseLines_Import!$C:$C, XLOOKUP(A65,Map!$A:$A,Map!$B:$B,""),
PurchaseLines_Import!$H:$H, $L$1
),
"")</f>
        <v>0</v>
      </c>
      <c r="H65" s="1">
        <f t="array" ref="H65">IFERROR(
SUMIFS(
Inventory_Import!$D:$D,
Inventory_Import!$B:$B, TEXT(XLOOKUP(A65,Map!$A:$A,Map!$B:$B,""),"0000")
),
0)</f>
        <v>0</v>
      </c>
      <c r="I65" s="1">
        <f t="shared" si="3"/>
        <v>8</v>
      </c>
      <c r="J65" s="1" t="str">
        <f t="shared" si="4"/>
        <v/>
      </c>
      <c r="N65" s="1" t="str">
        <f>IFERROR(__xludf.DUMMYFUNCTION("""COMPUTED_VALUE"""),"Freez")</f>
        <v>Freez</v>
      </c>
      <c r="O65" s="1">
        <f>IFERROR(__xludf.DUMMYFUNCTION("""COMPUTED_VALUE"""),8.0)</f>
        <v>8</v>
      </c>
      <c r="P65" s="1">
        <f>IFERROR(__xludf.DUMMYFUNCTION("""COMPUTED_VALUE"""),4.67)</f>
        <v>4.67</v>
      </c>
      <c r="Q65" s="1">
        <f>IFERROR(__xludf.DUMMYFUNCTION("""COMPUTED_VALUE"""),5.0)</f>
        <v>5</v>
      </c>
      <c r="R65" s="1">
        <f>IFERROR(__xludf.DUMMYFUNCTION("""COMPUTED_VALUE"""),3.41)</f>
        <v>3.41</v>
      </c>
      <c r="S65" s="1">
        <f>IFERROR(__xludf.DUMMYFUNCTION("""COMPUTED_VALUE"""),17.05)</f>
        <v>17.05</v>
      </c>
      <c r="T65" s="1">
        <f>IFERROR(__xludf.DUMMYFUNCTION("""COMPUTED_VALUE"""),0.0)</f>
        <v>0</v>
      </c>
      <c r="U65" s="1">
        <f>IFERROR(__xludf.DUMMYFUNCTION("""COMPUTED_VALUE"""),0.0)</f>
        <v>0</v>
      </c>
      <c r="V65" s="1">
        <f>IFERROR(__xludf.DUMMYFUNCTION("""COMPUTED_VALUE"""),5.0)</f>
        <v>5</v>
      </c>
      <c r="W65" s="1">
        <f>IFERROR(__xludf.DUMMYFUNCTION("""COMPUTED_VALUE"""),17.05)</f>
        <v>17.05</v>
      </c>
    </row>
    <row r="66">
      <c r="A66" s="1" t="str">
        <f>IFERROR(__xludf.DUMMYFUNCTION("""COMPUTED_VALUE"""),"vita go")</f>
        <v>vita go</v>
      </c>
      <c r="B66" s="1">
        <f>IF(A66="","",SUMIFS(VMS_Sales!F:F,VMS_Sales!D:D,A66,VMS_Sales!O:O,$L$2))</f>
        <v>0</v>
      </c>
      <c r="C66" s="1">
        <f>IF(A66="","",ROUND((
SUMIFS(VMS_Sales!F:F,VMS_Sales!D:D,A66,VMS_Sales!O:O,$L$1)+
SUMIFS(VMS_Sales!F:F,VMS_Sales!D:D,A66,VMS_Sales!O:O,$L$2)+
SUMIFS(VMS_Sales!F:F,VMS_Sales!D:D,A66,VMS_Sales!O:O,$L$3)
)/3,2))</f>
        <v>12.33</v>
      </c>
      <c r="D66" s="1">
        <f t="shared" si="1"/>
        <v>14</v>
      </c>
      <c r="E66" s="1" t="str">
        <f>IFERROR(__xludf.DUMMYFUNCTION("IFERROR(XLOOKUP(A66,FILTER(VMS_Sales!$D:$D,VMS_Sales!$O:$O=$L$2),FILTER(VMS_Sales!$L:$L,VMS_Sales!$O:$O=$L$2),""""),"""")"),"")</f>
        <v/>
      </c>
      <c r="F66" s="1" t="str">
        <f t="shared" si="2"/>
        <v/>
      </c>
      <c r="G66" s="1">
        <f t="array" ref="G66">IFERROR(
SUMIFS(
PurchaseLines_Import!$I:$I,
PurchaseLines_Import!$C:$C, XLOOKUP(A66,Map!$A:$A,Map!$B:$B,""),
PurchaseLines_Import!$H:$H, $L$1
),
"")</f>
        <v>0</v>
      </c>
      <c r="H66" s="1">
        <f t="array" ref="H66">IFERROR(
SUMIFS(
Inventory_Import!$D:$D,
Inventory_Import!$B:$B, TEXT(XLOOKUP(A66,Map!$A:$A,Map!$B:$B,""),"0000")
),
0)</f>
        <v>0</v>
      </c>
      <c r="I66" s="1">
        <f t="shared" si="3"/>
        <v>14</v>
      </c>
      <c r="J66" s="1" t="str">
        <f t="shared" si="4"/>
        <v/>
      </c>
      <c r="N66" s="1" t="str">
        <f>IFERROR(__xludf.DUMMYFUNCTION("""COMPUTED_VALUE"""),"Balls")</f>
        <v>Balls</v>
      </c>
      <c r="O66" s="1">
        <f>IFERROR(__xludf.DUMMYFUNCTION("""COMPUTED_VALUE"""),100.0)</f>
        <v>100</v>
      </c>
      <c r="P66" s="1">
        <f>IFERROR(__xludf.DUMMYFUNCTION("""COMPUTED_VALUE"""),33.33)</f>
        <v>33.33</v>
      </c>
      <c r="Q66" s="1">
        <f>IFERROR(__xludf.DUMMYFUNCTION("""COMPUTED_VALUE"""),38.0)</f>
        <v>38</v>
      </c>
      <c r="R66" s="1">
        <f>IFERROR(__xludf.DUMMYFUNCTION("""COMPUTED_VALUE"""),0.4)</f>
        <v>0.4</v>
      </c>
      <c r="S66" s="1">
        <f>IFERROR(__xludf.DUMMYFUNCTION("""COMPUTED_VALUE"""),15.2)</f>
        <v>15.2</v>
      </c>
      <c r="T66" s="1">
        <f>IFERROR(__xludf.DUMMYFUNCTION("""COMPUTED_VALUE"""),0.0)</f>
        <v>0</v>
      </c>
      <c r="U66" s="1">
        <f>IFERROR(__xludf.DUMMYFUNCTION("""COMPUTED_VALUE"""),0.0)</f>
        <v>0</v>
      </c>
      <c r="V66" s="1">
        <f>IFERROR(__xludf.DUMMYFUNCTION("""COMPUTED_VALUE"""),38.0)</f>
        <v>38</v>
      </c>
      <c r="W66" s="1">
        <f>IFERROR(__xludf.DUMMYFUNCTION("""COMPUTED_VALUE"""),15.2)</f>
        <v>15.2</v>
      </c>
    </row>
    <row r="67">
      <c r="A67" s="1" t="str">
        <f>IFERROR(__xludf.DUMMYFUNCTION("""COMPUTED_VALUE"""),"Goftime")</f>
        <v>Goftime</v>
      </c>
      <c r="B67" s="1">
        <f>IF(A67="","",SUMIFS(VMS_Sales!F:F,VMS_Sales!D:D,A67,VMS_Sales!O:O,$L$2))</f>
        <v>0</v>
      </c>
      <c r="C67" s="1">
        <f>IF(A67="","",ROUND((
SUMIFS(VMS_Sales!F:F,VMS_Sales!D:D,A67,VMS_Sales!O:O,$L$1)+
SUMIFS(VMS_Sales!F:F,VMS_Sales!D:D,A67,VMS_Sales!O:O,$L$2)+
SUMIFS(VMS_Sales!F:F,VMS_Sales!D:D,A67,VMS_Sales!O:O,$L$3)
)/3,2))</f>
        <v>5.33</v>
      </c>
      <c r="D67" s="1">
        <f t="shared" si="1"/>
        <v>6</v>
      </c>
      <c r="E67" s="1" t="str">
        <f>IFERROR(__xludf.DUMMYFUNCTION("IFERROR(XLOOKUP(A67,FILTER(VMS_Sales!$D:$D,VMS_Sales!$O:$O=$L$2),FILTER(VMS_Sales!$L:$L,VMS_Sales!$O:$O=$L$2),""""),"""")"),"")</f>
        <v/>
      </c>
      <c r="F67" s="1" t="str">
        <f t="shared" si="2"/>
        <v/>
      </c>
      <c r="G67" s="1">
        <f t="array" ref="G67">IFERROR(
SUMIFS(
PurchaseLines_Import!$I:$I,
PurchaseLines_Import!$C:$C, XLOOKUP(A67,Map!$A:$A,Map!$B:$B,""),
PurchaseLines_Import!$H:$H, $L$1
),
"")</f>
        <v>0</v>
      </c>
      <c r="H67" s="1">
        <f t="array" ref="H67">IFERROR(
SUMIFS(
Inventory_Import!$D:$D,
Inventory_Import!$B:$B, TEXT(XLOOKUP(A67,Map!$A:$A,Map!$B:$B,""),"0000")
),
0)</f>
        <v>0</v>
      </c>
      <c r="I67" s="1">
        <f t="shared" si="3"/>
        <v>6</v>
      </c>
      <c r="J67" s="1" t="str">
        <f t="shared" si="4"/>
        <v/>
      </c>
      <c r="N67" s="1" t="str">
        <f>IFERROR(__xludf.DUMMYFUNCTION("""COMPUTED_VALUE"""),"Almarai Banana")</f>
        <v>Almarai Banana</v>
      </c>
      <c r="O67" s="1">
        <f>IFERROR(__xludf.DUMMYFUNCTION("""COMPUTED_VALUE"""),2.0)</f>
        <v>2</v>
      </c>
      <c r="P67" s="1">
        <f>IFERROR(__xludf.DUMMYFUNCTION("""COMPUTED_VALUE"""),4.0)</f>
        <v>4</v>
      </c>
      <c r="Q67" s="1">
        <f>IFERROR(__xludf.DUMMYFUNCTION("""COMPUTED_VALUE"""),5.0)</f>
        <v>5</v>
      </c>
      <c r="R67" s="1">
        <f>IFERROR(__xludf.DUMMYFUNCTION("""COMPUTED_VALUE"""),2.29)</f>
        <v>2.29</v>
      </c>
      <c r="S67" s="1">
        <f>IFERROR(__xludf.DUMMYFUNCTION("""COMPUTED_VALUE"""),11.45)</f>
        <v>11.45</v>
      </c>
      <c r="T67" s="1">
        <f>IFERROR(__xludf.DUMMYFUNCTION("""COMPUTED_VALUE"""),0.0)</f>
        <v>0</v>
      </c>
      <c r="U67" s="1">
        <f>IFERROR(__xludf.DUMMYFUNCTION("""COMPUTED_VALUE"""),0.0)</f>
        <v>0</v>
      </c>
      <c r="V67" s="1">
        <f>IFERROR(__xludf.DUMMYFUNCTION("""COMPUTED_VALUE"""),5.0)</f>
        <v>5</v>
      </c>
      <c r="W67" s="1">
        <f>IFERROR(__xludf.DUMMYFUNCTION("""COMPUTED_VALUE"""),11.45)</f>
        <v>11.45</v>
      </c>
    </row>
    <row r="68">
      <c r="A68" s="1" t="str">
        <f>IFERROR(__xludf.DUMMYFUNCTION("""COMPUTED_VALUE"""),"Waffi")</f>
        <v>Waffi</v>
      </c>
      <c r="B68" s="1">
        <f>IF(A68="","",SUMIFS(VMS_Sales!F:F,VMS_Sales!D:D,A68,VMS_Sales!O:O,$L$2))</f>
        <v>0</v>
      </c>
      <c r="C68" s="1">
        <f>IF(A68="","",ROUND((
SUMIFS(VMS_Sales!F:F,VMS_Sales!D:D,A68,VMS_Sales!O:O,$L$1)+
SUMIFS(VMS_Sales!F:F,VMS_Sales!D:D,A68,VMS_Sales!O:O,$L$2)+
SUMIFS(VMS_Sales!F:F,VMS_Sales!D:D,A68,VMS_Sales!O:O,$L$3)
)/3,2))</f>
        <v>2.33</v>
      </c>
      <c r="D68" s="1">
        <f t="shared" si="1"/>
        <v>3</v>
      </c>
      <c r="E68" s="1" t="str">
        <f>IFERROR(__xludf.DUMMYFUNCTION("IFERROR(XLOOKUP(A68,FILTER(VMS_Sales!$D:$D,VMS_Sales!$O:$O=$L$2),FILTER(VMS_Sales!$L:$L,VMS_Sales!$O:$O=$L$2),""""),"""")"),"")</f>
        <v/>
      </c>
      <c r="F68" s="1" t="str">
        <f t="shared" si="2"/>
        <v/>
      </c>
      <c r="G68" s="1">
        <f t="array" ref="G68">IFERROR(
SUMIFS(
PurchaseLines_Import!$I:$I,
PurchaseLines_Import!$C:$C, XLOOKUP(A68,Map!$A:$A,Map!$B:$B,""),
PurchaseLines_Import!$H:$H, $L$1
),
"")</f>
        <v>0</v>
      </c>
      <c r="H68" s="1">
        <f t="array" ref="H68">IFERROR(
SUMIFS(
Inventory_Import!$D:$D,
Inventory_Import!$B:$B, TEXT(XLOOKUP(A68,Map!$A:$A,Map!$B:$B,""),"0000")
),
0)</f>
        <v>0</v>
      </c>
      <c r="I68" s="1">
        <f t="shared" si="3"/>
        <v>3</v>
      </c>
      <c r="J68" s="1" t="str">
        <f t="shared" si="4"/>
        <v/>
      </c>
      <c r="N68" s="1" t="str">
        <f>IFERROR(__xludf.DUMMYFUNCTION("""COMPUTED_VALUE"""),"Prime Ex")</f>
        <v>Prime Ex</v>
      </c>
      <c r="O68" s="1">
        <f>IFERROR(__xludf.DUMMYFUNCTION("""COMPUTED_VALUE"""),3.0)</f>
        <v>3</v>
      </c>
      <c r="P68" s="1">
        <f>IFERROR(__xludf.DUMMYFUNCTION("""COMPUTED_VALUE"""),1.0)</f>
        <v>1</v>
      </c>
      <c r="Q68" s="1">
        <f>IFERROR(__xludf.DUMMYFUNCTION("""COMPUTED_VALUE"""),1.0)</f>
        <v>1</v>
      </c>
      <c r="R68" s="1">
        <f>IFERROR(__xludf.DUMMYFUNCTION("""COMPUTED_VALUE"""),9.0)</f>
        <v>9</v>
      </c>
      <c r="S68" s="1">
        <f>IFERROR(__xludf.DUMMYFUNCTION("""COMPUTED_VALUE"""),9.0)</f>
        <v>9</v>
      </c>
      <c r="T68" s="1">
        <f>IFERROR(__xludf.DUMMYFUNCTION("""COMPUTED_VALUE"""),0.0)</f>
        <v>0</v>
      </c>
      <c r="U68" s="1">
        <f>IFERROR(__xludf.DUMMYFUNCTION("""COMPUTED_VALUE"""),0.0)</f>
        <v>0</v>
      </c>
      <c r="V68" s="1">
        <f>IFERROR(__xludf.DUMMYFUNCTION("""COMPUTED_VALUE"""),1.0)</f>
        <v>1</v>
      </c>
      <c r="W68" s="1">
        <f>IFERROR(__xludf.DUMMYFUNCTION("""COMPUTED_VALUE"""),9.0)</f>
        <v>9</v>
      </c>
    </row>
    <row r="69">
      <c r="A69" s="1" t="str">
        <f>IFERROR(__xludf.DUMMYFUNCTION("""COMPUTED_VALUE"""),"Shada up")</f>
        <v>Shada up</v>
      </c>
      <c r="B69" s="1">
        <f>IF(A69="","",SUMIFS(VMS_Sales!F:F,VMS_Sales!D:D,A69,VMS_Sales!O:O,$L$2))</f>
        <v>5</v>
      </c>
      <c r="C69" s="1">
        <f>IF(A69="","",ROUND((
SUMIFS(VMS_Sales!F:F,VMS_Sales!D:D,A69,VMS_Sales!O:O,$L$1)+
SUMIFS(VMS_Sales!F:F,VMS_Sales!D:D,A69,VMS_Sales!O:O,$L$2)+
SUMIFS(VMS_Sales!F:F,VMS_Sales!D:D,A69,VMS_Sales!O:O,$L$3)
)/3,2))</f>
        <v>14</v>
      </c>
      <c r="D69" s="1">
        <f t="shared" si="1"/>
        <v>16</v>
      </c>
      <c r="E69" s="1">
        <f>IFERROR(__xludf.DUMMYFUNCTION("IFERROR(XLOOKUP(A69,FILTER(VMS_Sales!$D:$D,VMS_Sales!$O:$O=$L$2),FILTER(VMS_Sales!$L:$L,VMS_Sales!$O:$O=$L$2),""""),"""")"),1.41)</f>
        <v>1.41</v>
      </c>
      <c r="F69" s="1">
        <f t="shared" si="2"/>
        <v>22.56</v>
      </c>
      <c r="G69" s="1">
        <f t="array" ref="G69">IFERROR(
SUMIFS(
PurchaseLines_Import!$I:$I,
PurchaseLines_Import!$C:$C, XLOOKUP(A69,Map!$A:$A,Map!$B:$B,""),
PurchaseLines_Import!$H:$H, $L$1
),
"")</f>
        <v>0</v>
      </c>
      <c r="H69" s="1">
        <f t="array" ref="H69">IFERROR(
SUMIFS(
Inventory_Import!$D:$D,
Inventory_Import!$B:$B, TEXT(XLOOKUP(A69,Map!$A:$A,Map!$B:$B,""),"0000")
),
0)</f>
        <v>0</v>
      </c>
      <c r="I69" s="1">
        <f t="shared" si="3"/>
        <v>16</v>
      </c>
      <c r="J69" s="1">
        <f t="shared" si="4"/>
        <v>22.56</v>
      </c>
      <c r="N69" s="1" t="str">
        <f>IFERROR(__xludf.DUMMYFUNCTION("""COMPUTED_VALUE"""),"mr.bite strike")</f>
        <v>mr.bite strike</v>
      </c>
      <c r="O69" s="1">
        <f>IFERROR(__xludf.DUMMYFUNCTION("""COMPUTED_VALUE"""),1.0)</f>
        <v>1</v>
      </c>
      <c r="P69" s="1">
        <f>IFERROR(__xludf.DUMMYFUNCTION("""COMPUTED_VALUE"""),3.33)</f>
        <v>3.33</v>
      </c>
      <c r="Q69" s="1">
        <f>IFERROR(__xludf.DUMMYFUNCTION("""COMPUTED_VALUE"""),4.0)</f>
        <v>4</v>
      </c>
      <c r="R69" s="1">
        <f>IFERROR(__xludf.DUMMYFUNCTION("""COMPUTED_VALUE"""),1.87)</f>
        <v>1.87</v>
      </c>
      <c r="S69" s="1">
        <f>IFERROR(__xludf.DUMMYFUNCTION("""COMPUTED_VALUE"""),7.48)</f>
        <v>7.48</v>
      </c>
      <c r="T69" s="1">
        <f>IFERROR(__xludf.DUMMYFUNCTION("""COMPUTED_VALUE"""),0.0)</f>
        <v>0</v>
      </c>
      <c r="U69" s="1">
        <f>IFERROR(__xludf.DUMMYFUNCTION("""COMPUTED_VALUE"""),0.0)</f>
        <v>0</v>
      </c>
      <c r="V69" s="1">
        <f>IFERROR(__xludf.DUMMYFUNCTION("""COMPUTED_VALUE"""),4.0)</f>
        <v>4</v>
      </c>
      <c r="W69" s="1">
        <f>IFERROR(__xludf.DUMMYFUNCTION("""COMPUTED_VALUE"""),7.48)</f>
        <v>7.48</v>
      </c>
    </row>
    <row r="70">
      <c r="A70" s="1" t="str">
        <f>IFERROR(__xludf.DUMMYFUNCTION("""COMPUTED_VALUE"""),"Be happy kids")</f>
        <v>Be happy kids</v>
      </c>
      <c r="B70" s="1">
        <f>IF(A70="","",SUMIFS(VMS_Sales!F:F,VMS_Sales!D:D,A70,VMS_Sales!O:O,$L$2))</f>
        <v>0</v>
      </c>
      <c r="C70" s="1">
        <f>IF(A70="","",ROUND((
SUMIFS(VMS_Sales!F:F,VMS_Sales!D:D,A70,VMS_Sales!O:O,$L$1)+
SUMIFS(VMS_Sales!F:F,VMS_Sales!D:D,A70,VMS_Sales!O:O,$L$2)+
SUMIFS(VMS_Sales!F:F,VMS_Sales!D:D,A70,VMS_Sales!O:O,$L$3)
)/3,2))</f>
        <v>2.67</v>
      </c>
      <c r="D70" s="1">
        <f t="shared" si="1"/>
        <v>3</v>
      </c>
      <c r="E70" s="1" t="str">
        <f>IFERROR(__xludf.DUMMYFUNCTION("IFERROR(XLOOKUP(A70,FILTER(VMS_Sales!$D:$D,VMS_Sales!$O:$O=$L$2),FILTER(VMS_Sales!$L:$L,VMS_Sales!$O:$O=$L$2),""""),"""")"),"")</f>
        <v/>
      </c>
      <c r="F70" s="1" t="str">
        <f t="shared" si="2"/>
        <v/>
      </c>
      <c r="G70" s="1">
        <f t="array" ref="G70">IFERROR(
SUMIFS(
PurchaseLines_Import!$I:$I,
PurchaseLines_Import!$C:$C, XLOOKUP(A70,Map!$A:$A,Map!$B:$B,""),
PurchaseLines_Import!$H:$H, $L$1
),
"")</f>
        <v>0</v>
      </c>
      <c r="H70" s="1">
        <f t="array" ref="H70">IFERROR(
SUMIFS(
Inventory_Import!$D:$D,
Inventory_Import!$B:$B, TEXT(XLOOKUP(A70,Map!$A:$A,Map!$B:$B,""),"0000")
),
0)</f>
        <v>0</v>
      </c>
      <c r="I70" s="1">
        <f t="shared" si="3"/>
        <v>3</v>
      </c>
      <c r="J70" s="1" t="str">
        <f t="shared" si="4"/>
        <v/>
      </c>
      <c r="N70" s="1" t="str">
        <f>IFERROR(__xludf.DUMMYFUNCTION("""COMPUTED_VALUE"""),"未设置")</f>
        <v>未设置</v>
      </c>
      <c r="O70" s="1">
        <f>IFERROR(__xludf.DUMMYFUNCTION("""COMPUTED_VALUE"""),57.0)</f>
        <v>57</v>
      </c>
      <c r="P70" s="1">
        <f>IFERROR(__xludf.DUMMYFUNCTION("""COMPUTED_VALUE"""),48.0)</f>
        <v>48</v>
      </c>
      <c r="Q70" s="1">
        <f>IFERROR(__xludf.DUMMYFUNCTION("""COMPUTED_VALUE"""),55.0)</f>
        <v>55</v>
      </c>
      <c r="R70" s="1">
        <f>IFERROR(__xludf.DUMMYFUNCTION("""COMPUTED_VALUE"""),0.0)</f>
        <v>0</v>
      </c>
      <c r="S70" s="1">
        <f>IFERROR(__xludf.DUMMYFUNCTION("""COMPUTED_VALUE"""),0.0)</f>
        <v>0</v>
      </c>
      <c r="T70" s="1">
        <f>IFERROR(__xludf.DUMMYFUNCTION("""COMPUTED_VALUE"""),0.0)</f>
        <v>0</v>
      </c>
      <c r="U70" s="1">
        <f>IFERROR(__xludf.DUMMYFUNCTION("""COMPUTED_VALUE"""),0.0)</f>
        <v>0</v>
      </c>
      <c r="V70" s="1">
        <f>IFERROR(__xludf.DUMMYFUNCTION("""COMPUTED_VALUE"""),55.0)</f>
        <v>55</v>
      </c>
      <c r="W70" s="1">
        <f>IFERROR(__xludf.DUMMYFUNCTION("""COMPUTED_VALUE"""),0.0)</f>
        <v>0</v>
      </c>
    </row>
    <row r="71">
      <c r="A71" s="1" t="str">
        <f>IFERROR(__xludf.DUMMYFUNCTION("""COMPUTED_VALUE"""),"Wafer Laviva")</f>
        <v>Wafer Laviva</v>
      </c>
      <c r="B71" s="1">
        <f>IF(A71="","",SUMIFS(VMS_Sales!F:F,VMS_Sales!D:D,A71,VMS_Sales!O:O,$L$2))</f>
        <v>0</v>
      </c>
      <c r="C71" s="1">
        <f>IF(A71="","",ROUND((
SUMIFS(VMS_Sales!F:F,VMS_Sales!D:D,A71,VMS_Sales!O:O,$L$1)+
SUMIFS(VMS_Sales!F:F,VMS_Sales!D:D,A71,VMS_Sales!O:O,$L$2)+
SUMIFS(VMS_Sales!F:F,VMS_Sales!D:D,A71,VMS_Sales!O:O,$L$3)
)/3,2))</f>
        <v>1</v>
      </c>
      <c r="D71" s="1">
        <f t="shared" si="1"/>
        <v>1</v>
      </c>
      <c r="E71" s="1" t="str">
        <f>IFERROR(__xludf.DUMMYFUNCTION("IFERROR(XLOOKUP(A71,FILTER(VMS_Sales!$D:$D,VMS_Sales!$O:$O=$L$2),FILTER(VMS_Sales!$L:$L,VMS_Sales!$O:$O=$L$2),""""),"""")"),"")</f>
        <v/>
      </c>
      <c r="F71" s="1" t="str">
        <f t="shared" si="2"/>
        <v/>
      </c>
      <c r="G71" s="1">
        <f t="array" ref="G71">IFERROR(
SUMIFS(
PurchaseLines_Import!$I:$I,
PurchaseLines_Import!$C:$C, XLOOKUP(A71,Map!$A:$A,Map!$B:$B,""),
PurchaseLines_Import!$H:$H, $L$1
),
"")</f>
        <v>0</v>
      </c>
      <c r="H71" s="1">
        <f t="array" ref="H71">IFERROR(
SUMIFS(
Inventory_Import!$D:$D,
Inventory_Import!$B:$B, TEXT(XLOOKUP(A71,Map!$A:$A,Map!$B:$B,""),"0000")
),
0)</f>
        <v>0</v>
      </c>
      <c r="I71" s="1">
        <f t="shared" si="3"/>
        <v>1</v>
      </c>
      <c r="J71" s="1" t="str">
        <f t="shared" si="4"/>
        <v/>
      </c>
      <c r="N71" s="1" t="str">
        <f>IFERROR(__xludf.DUMMYFUNCTION("""COMPUTED_VALUE"""),"kinder delice")</f>
        <v>kinder delice</v>
      </c>
      <c r="O71" s="1">
        <f>IFERROR(__xludf.DUMMYFUNCTION("""COMPUTED_VALUE"""),6.0)</f>
        <v>6</v>
      </c>
      <c r="P71" s="1">
        <f>IFERROR(__xludf.DUMMYFUNCTION("""COMPUTED_VALUE"""),2.0)</f>
        <v>2</v>
      </c>
      <c r="Q71" s="1">
        <f>IFERROR(__xludf.DUMMYFUNCTION("""COMPUTED_VALUE"""),2.0)</f>
        <v>2</v>
      </c>
      <c r="R71" s="1">
        <f>IFERROR(__xludf.DUMMYFUNCTION("""COMPUTED_VALUE"""),2.4)</f>
        <v>2.4</v>
      </c>
      <c r="S71" s="1">
        <f>IFERROR(__xludf.DUMMYFUNCTION("""COMPUTED_VALUE"""),4.8)</f>
        <v>4.8</v>
      </c>
      <c r="T71" s="1">
        <f>IFERROR(__xludf.DUMMYFUNCTION("""COMPUTED_VALUE"""),50.0)</f>
        <v>50</v>
      </c>
      <c r="U71" s="1">
        <f>IFERROR(__xludf.DUMMYFUNCTION("""COMPUTED_VALUE"""),5.0)</f>
        <v>5</v>
      </c>
      <c r="V71" s="1">
        <f>IFERROR(__xludf.DUMMYFUNCTION("""COMPUTED_VALUE"""),0.0)</f>
        <v>0</v>
      </c>
      <c r="W71" s="1">
        <f>IFERROR(__xludf.DUMMYFUNCTION("""COMPUTED_VALUE"""),0.0)</f>
        <v>0</v>
      </c>
    </row>
    <row r="72">
      <c r="A72" s="1" t="str">
        <f>IFERROR(__xludf.DUMMYFUNCTION("""COMPUTED_VALUE"""),"Chillax chips")</f>
        <v>Chillax chips</v>
      </c>
      <c r="B72" s="1">
        <f>IF(A72="","",SUMIFS(VMS_Sales!F:F,VMS_Sales!D:D,A72,VMS_Sales!O:O,$L$2))</f>
        <v>36</v>
      </c>
      <c r="C72" s="1">
        <f>IF(A72="","",ROUND((
SUMIFS(VMS_Sales!F:F,VMS_Sales!D:D,A72,VMS_Sales!O:O,$L$1)+
SUMIFS(VMS_Sales!F:F,VMS_Sales!D:D,A72,VMS_Sales!O:O,$L$2)+
SUMIFS(VMS_Sales!F:F,VMS_Sales!D:D,A72,VMS_Sales!O:O,$L$3)
)/3,2))</f>
        <v>31</v>
      </c>
      <c r="D72" s="1">
        <f t="shared" si="1"/>
        <v>36</v>
      </c>
      <c r="E72" s="1">
        <f>IFERROR(__xludf.DUMMYFUNCTION("IFERROR(XLOOKUP(A72,FILTER(VMS_Sales!$D:$D,VMS_Sales!$O:$O=$L$2),FILTER(VMS_Sales!$L:$L,VMS_Sales!$O:$O=$L$2),""""),"""")"),3.5)</f>
        <v>3.5</v>
      </c>
      <c r="F72" s="1">
        <f t="shared" si="2"/>
        <v>126</v>
      </c>
      <c r="G72" s="1">
        <f t="array" ref="G72">IFERROR(
SUMIFS(
PurchaseLines_Import!$I:$I,
PurchaseLines_Import!$C:$C, XLOOKUP(A72,Map!$A:$A,Map!$B:$B,""),
PurchaseLines_Import!$H:$H, $L$1
),
"")</f>
        <v>0</v>
      </c>
      <c r="H72" s="1">
        <f t="array" ref="H72">IFERROR(
SUMIFS(
Inventory_Import!$D:$D,
Inventory_Import!$B:$B, TEXT(XLOOKUP(A72,Map!$A:$A,Map!$B:$B,""),"0000")
),
0)</f>
        <v>0</v>
      </c>
      <c r="I72" s="1">
        <f t="shared" si="3"/>
        <v>36</v>
      </c>
      <c r="J72" s="1">
        <f t="shared" si="4"/>
        <v>126</v>
      </c>
      <c r="N72" s="1" t="str">
        <f>IFERROR(__xludf.DUMMYFUNCTION("""COMPUTED_VALUE"""),"Digestive")</f>
        <v>Digestive</v>
      </c>
      <c r="O72" s="1">
        <f>IFERROR(__xludf.DUMMYFUNCTION("""COMPUTED_VALUE"""),0.0)</f>
        <v>0</v>
      </c>
      <c r="P72" s="1">
        <f>IFERROR(__xludf.DUMMYFUNCTION("""COMPUTED_VALUE"""),9.67)</f>
        <v>9.67</v>
      </c>
      <c r="Q72" s="1">
        <f>IFERROR(__xludf.DUMMYFUNCTION("""COMPUTED_VALUE"""),11.0)</f>
        <v>11</v>
      </c>
      <c r="R72" s="1"/>
      <c r="S72" s="1"/>
      <c r="T72" s="1">
        <f>IFERROR(__xludf.DUMMYFUNCTION("""COMPUTED_VALUE"""),0.0)</f>
        <v>0</v>
      </c>
      <c r="U72" s="1">
        <f>IFERROR(__xludf.DUMMYFUNCTION("""COMPUTED_VALUE"""),0.0)</f>
        <v>0</v>
      </c>
      <c r="V72" s="1">
        <f>IFERROR(__xludf.DUMMYFUNCTION("""COMPUTED_VALUE"""),11.0)</f>
        <v>11</v>
      </c>
      <c r="W72" s="1"/>
    </row>
    <row r="73">
      <c r="A73" s="1" t="str">
        <f>IFERROR(__xludf.DUMMYFUNCTION("""COMPUTED_VALUE"""),"mr.bite strike")</f>
        <v>mr.bite strike</v>
      </c>
      <c r="B73" s="1">
        <f>IF(A73="","",SUMIFS(VMS_Sales!F:F,VMS_Sales!D:D,A73,VMS_Sales!O:O,$L$2))</f>
        <v>1</v>
      </c>
      <c r="C73" s="1">
        <f>IF(A73="","",ROUND((
SUMIFS(VMS_Sales!F:F,VMS_Sales!D:D,A73,VMS_Sales!O:O,$L$1)+
SUMIFS(VMS_Sales!F:F,VMS_Sales!D:D,A73,VMS_Sales!O:O,$L$2)+
SUMIFS(VMS_Sales!F:F,VMS_Sales!D:D,A73,VMS_Sales!O:O,$L$3)
)/3,2))</f>
        <v>3.33</v>
      </c>
      <c r="D73" s="1">
        <f t="shared" si="1"/>
        <v>4</v>
      </c>
      <c r="E73" s="1">
        <f>IFERROR(__xludf.DUMMYFUNCTION("IFERROR(XLOOKUP(A73,FILTER(VMS_Sales!$D:$D,VMS_Sales!$O:$O=$L$2),FILTER(VMS_Sales!$L:$L,VMS_Sales!$O:$O=$L$2),""""),"""")"),1.87)</f>
        <v>1.87</v>
      </c>
      <c r="F73" s="1">
        <f t="shared" si="2"/>
        <v>7.48</v>
      </c>
      <c r="G73" s="1">
        <f t="array" ref="G73">IFERROR(
SUMIFS(
PurchaseLines_Import!$I:$I,
PurchaseLines_Import!$C:$C, XLOOKUP(A73,Map!$A:$A,Map!$B:$B,""),
PurchaseLines_Import!$H:$H, $L$1
),
"")</f>
        <v>0</v>
      </c>
      <c r="H73" s="1">
        <f t="array" ref="H73">IFERROR(
SUMIFS(
Inventory_Import!$D:$D,
Inventory_Import!$B:$B, TEXT(XLOOKUP(A73,Map!$A:$A,Map!$B:$B,""),"0000")
),
0)</f>
        <v>0</v>
      </c>
      <c r="I73" s="1">
        <f t="shared" si="3"/>
        <v>4</v>
      </c>
      <c r="J73" s="1">
        <f t="shared" si="4"/>
        <v>7.48</v>
      </c>
      <c r="N73" s="1" t="str">
        <f>IFERROR(__xludf.DUMMYFUNCTION("""COMPUTED_VALUE"""),"Indomie")</f>
        <v>Indomie</v>
      </c>
      <c r="O73" s="1">
        <f>IFERROR(__xludf.DUMMYFUNCTION("""COMPUTED_VALUE"""),0.0)</f>
        <v>0</v>
      </c>
      <c r="P73" s="1">
        <f>IFERROR(__xludf.DUMMYFUNCTION("""COMPUTED_VALUE"""),0.67)</f>
        <v>0.67</v>
      </c>
      <c r="Q73" s="1">
        <f>IFERROR(__xludf.DUMMYFUNCTION("""COMPUTED_VALUE"""),1.0)</f>
        <v>1</v>
      </c>
      <c r="R73" s="1"/>
      <c r="S73" s="1"/>
      <c r="T73" s="1">
        <f>IFERROR(__xludf.DUMMYFUNCTION("""COMPUTED_VALUE"""),0.0)</f>
        <v>0</v>
      </c>
      <c r="U73" s="1">
        <f>IFERROR(__xludf.DUMMYFUNCTION("""COMPUTED_VALUE"""),0.0)</f>
        <v>0</v>
      </c>
      <c r="V73" s="1">
        <f>IFERROR(__xludf.DUMMYFUNCTION("""COMPUTED_VALUE"""),1.0)</f>
        <v>1</v>
      </c>
      <c r="W73" s="1"/>
    </row>
    <row r="74">
      <c r="A74" s="1" t="str">
        <f>IFERROR(__xludf.DUMMYFUNCTION("""COMPUTED_VALUE"""),"Lavazza")</f>
        <v>Lavazza</v>
      </c>
      <c r="B74" s="1">
        <f>IF(A74="","",SUMIFS(VMS_Sales!F:F,VMS_Sales!D:D,A74,VMS_Sales!O:O,$L$2))</f>
        <v>6</v>
      </c>
      <c r="C74" s="1">
        <f>IF(A74="","",ROUND((
SUMIFS(VMS_Sales!F:F,VMS_Sales!D:D,A74,VMS_Sales!O:O,$L$1)+
SUMIFS(VMS_Sales!F:F,VMS_Sales!D:D,A74,VMS_Sales!O:O,$L$2)+
SUMIFS(VMS_Sales!F:F,VMS_Sales!D:D,A74,VMS_Sales!O:O,$L$3)
)/3,2))</f>
        <v>4.33</v>
      </c>
      <c r="D74" s="1">
        <f t="shared" si="1"/>
        <v>5</v>
      </c>
      <c r="E74" s="1">
        <f>IFERROR(__xludf.DUMMYFUNCTION("IFERROR(XLOOKUP(A74,FILTER(VMS_Sales!$D:$D,VMS_Sales!$O:$O=$L$2),FILTER(VMS_Sales!$L:$L,VMS_Sales!$O:$O=$L$2),""""),"""")"),4.5)</f>
        <v>4.5</v>
      </c>
      <c r="F74" s="1">
        <f t="shared" si="2"/>
        <v>22.5</v>
      </c>
      <c r="G74" s="1">
        <f t="array" ref="G74">IFERROR(
SUMIFS(
PurchaseLines_Import!$I:$I,
PurchaseLines_Import!$C:$C, XLOOKUP(A74,Map!$A:$A,Map!$B:$B,""),
PurchaseLines_Import!$H:$H, $L$1
),
"")</f>
        <v>0</v>
      </c>
      <c r="H74" s="1">
        <f t="array" ref="H74">IFERROR(
SUMIFS(
Inventory_Import!$D:$D,
Inventory_Import!$B:$B, TEXT(XLOOKUP(A74,Map!$A:$A,Map!$B:$B,""),"0000")
),
0)</f>
        <v>0</v>
      </c>
      <c r="I74" s="1">
        <f t="shared" si="3"/>
        <v>5</v>
      </c>
      <c r="J74" s="1">
        <f t="shared" si="4"/>
        <v>22.5</v>
      </c>
      <c r="N74" s="1" t="str">
        <f>IFERROR(__xludf.DUMMYFUNCTION("""COMPUTED_VALUE"""),"Lexus")</f>
        <v>Lexus</v>
      </c>
      <c r="O74" s="1">
        <f>IFERROR(__xludf.DUMMYFUNCTION("""COMPUTED_VALUE"""),0.0)</f>
        <v>0</v>
      </c>
      <c r="P74" s="1">
        <f>IFERROR(__xludf.DUMMYFUNCTION("""COMPUTED_VALUE"""),16.0)</f>
        <v>16</v>
      </c>
      <c r="Q74" s="1">
        <f>IFERROR(__xludf.DUMMYFUNCTION("""COMPUTED_VALUE"""),18.0)</f>
        <v>18</v>
      </c>
      <c r="R74" s="1"/>
      <c r="S74" s="1"/>
      <c r="T74" s="1">
        <f>IFERROR(__xludf.DUMMYFUNCTION("""COMPUTED_VALUE"""),0.0)</f>
        <v>0</v>
      </c>
      <c r="U74" s="1">
        <f>IFERROR(__xludf.DUMMYFUNCTION("""COMPUTED_VALUE"""),0.0)</f>
        <v>0</v>
      </c>
      <c r="V74" s="1">
        <f>IFERROR(__xludf.DUMMYFUNCTION("""COMPUTED_VALUE"""),18.0)</f>
        <v>18</v>
      </c>
      <c r="W74" s="1"/>
    </row>
    <row r="75">
      <c r="A75" s="1" t="str">
        <f>IFERROR(__xludf.DUMMYFUNCTION("""COMPUTED_VALUE"""),"Yumi zak")</f>
        <v>Yumi zak</v>
      </c>
      <c r="B75" s="1">
        <f>IF(A75="","",SUMIFS(VMS_Sales!F:F,VMS_Sales!D:D,A75,VMS_Sales!O:O,$L$2))</f>
        <v>7</v>
      </c>
      <c r="C75" s="1">
        <f>IF(A75="","",ROUND((
SUMIFS(VMS_Sales!F:F,VMS_Sales!D:D,A75,VMS_Sales!O:O,$L$1)+
SUMIFS(VMS_Sales!F:F,VMS_Sales!D:D,A75,VMS_Sales!O:O,$L$2)+
SUMIFS(VMS_Sales!F:F,VMS_Sales!D:D,A75,VMS_Sales!O:O,$L$3)
)/3,2))</f>
        <v>14</v>
      </c>
      <c r="D75" s="1">
        <f t="shared" si="1"/>
        <v>16</v>
      </c>
      <c r="E75" s="1">
        <f>IFERROR(__xludf.DUMMYFUNCTION("IFERROR(XLOOKUP(A75,FILTER(VMS_Sales!$D:$D,VMS_Sales!$O:$O=$L$2),FILTER(VMS_Sales!$L:$L,VMS_Sales!$O:$O=$L$2),""""),"""")"),4.5)</f>
        <v>4.5</v>
      </c>
      <c r="F75" s="1">
        <f t="shared" si="2"/>
        <v>72</v>
      </c>
      <c r="G75" s="1">
        <f t="array" ref="G75">IFERROR(
SUMIFS(
PurchaseLines_Import!$I:$I,
PurchaseLines_Import!$C:$C, XLOOKUP(A75,Map!$A:$A,Map!$B:$B,""),
PurchaseLines_Import!$H:$H, $L$1
),
"")</f>
        <v>0</v>
      </c>
      <c r="H75" s="1">
        <f t="array" ref="H75">IFERROR(
SUMIFS(
Inventory_Import!$D:$D,
Inventory_Import!$B:$B, TEXT(XLOOKUP(A75,Map!$A:$A,Map!$B:$B,""),"0000")
),
0)</f>
        <v>0</v>
      </c>
      <c r="I75" s="1">
        <f t="shared" si="3"/>
        <v>16</v>
      </c>
      <c r="J75" s="1">
        <f t="shared" si="4"/>
        <v>72</v>
      </c>
      <c r="N75" s="1" t="str">
        <f>IFERROR(__xludf.DUMMYFUNCTION("""COMPUTED_VALUE"""),"Kitkat 2 fingers")</f>
        <v>Kitkat 2 fingers</v>
      </c>
      <c r="O75" s="1">
        <f>IFERROR(__xludf.DUMMYFUNCTION("""COMPUTED_VALUE"""),0.0)</f>
        <v>0</v>
      </c>
      <c r="P75" s="1">
        <f>IFERROR(__xludf.DUMMYFUNCTION("""COMPUTED_VALUE"""),8.33)</f>
        <v>8.33</v>
      </c>
      <c r="Q75" s="1">
        <f>IFERROR(__xludf.DUMMYFUNCTION("""COMPUTED_VALUE"""),10.0)</f>
        <v>10</v>
      </c>
      <c r="R75" s="1"/>
      <c r="S75" s="1"/>
      <c r="T75" s="1">
        <f>IFERROR(__xludf.DUMMYFUNCTION("""COMPUTED_VALUE"""),0.0)</f>
        <v>0</v>
      </c>
      <c r="U75" s="1">
        <f>IFERROR(__xludf.DUMMYFUNCTION("""COMPUTED_VALUE"""),0.0)</f>
        <v>0</v>
      </c>
      <c r="V75" s="1">
        <f>IFERROR(__xludf.DUMMYFUNCTION("""COMPUTED_VALUE"""),10.0)</f>
        <v>10</v>
      </c>
      <c r="W75" s="1"/>
    </row>
    <row r="76">
      <c r="A76" s="1" t="str">
        <f>IFERROR(__xludf.DUMMYFUNCTION("""COMPUTED_VALUE"""),"未设置")</f>
        <v>未设置</v>
      </c>
      <c r="B76" s="1">
        <f>IF(A76="","",SUMIFS(VMS_Sales!F:F,VMS_Sales!D:D,A76,VMS_Sales!O:O,$L$2))</f>
        <v>57</v>
      </c>
      <c r="C76" s="1">
        <f>IF(A76="","",ROUND((
SUMIFS(VMS_Sales!F:F,VMS_Sales!D:D,A76,VMS_Sales!O:O,$L$1)+
SUMIFS(VMS_Sales!F:F,VMS_Sales!D:D,A76,VMS_Sales!O:O,$L$2)+
SUMIFS(VMS_Sales!F:F,VMS_Sales!D:D,A76,VMS_Sales!O:O,$L$3)
)/3,2))</f>
        <v>48</v>
      </c>
      <c r="D76" s="1">
        <f t="shared" si="1"/>
        <v>55</v>
      </c>
      <c r="E76" s="1">
        <f>IFERROR(__xludf.DUMMYFUNCTION("IFERROR(XLOOKUP(A76,FILTER(VMS_Sales!$D:$D,VMS_Sales!$O:$O=$L$2),FILTER(VMS_Sales!$L:$L,VMS_Sales!$O:$O=$L$2),""""),"""")"),0.0)</f>
        <v>0</v>
      </c>
      <c r="F76" s="1">
        <f t="shared" si="2"/>
        <v>0</v>
      </c>
      <c r="G76" s="1">
        <f t="array" ref="G76">IFERROR(
SUMIFS(
PurchaseLines_Import!$I:$I,
PurchaseLines_Import!$C:$C, XLOOKUP(A76,Map!$A:$A,Map!$B:$B,""),
PurchaseLines_Import!$H:$H, $L$1
),
"")</f>
        <v>0</v>
      </c>
      <c r="H76" s="1">
        <f t="array" ref="H76">IFERROR(
SUMIFS(
Inventory_Import!$D:$D,
Inventory_Import!$B:$B, TEXT(XLOOKUP(A76,Map!$A:$A,Map!$B:$B,""),"0000")
),
0)</f>
        <v>0</v>
      </c>
      <c r="I76" s="1">
        <f t="shared" si="3"/>
        <v>55</v>
      </c>
      <c r="J76" s="1">
        <f t="shared" si="4"/>
        <v>0</v>
      </c>
      <c r="N76" s="1" t="str">
        <f>IFERROR(__xludf.DUMMYFUNCTION("""COMPUTED_VALUE"""),"Tiger *12 tomato")</f>
        <v>Tiger *12 tomato</v>
      </c>
      <c r="O76" s="1">
        <f>IFERROR(__xludf.DUMMYFUNCTION("""COMPUTED_VALUE"""),0.0)</f>
        <v>0</v>
      </c>
      <c r="P76" s="1">
        <f>IFERROR(__xludf.DUMMYFUNCTION("""COMPUTED_VALUE"""),3.67)</f>
        <v>3.67</v>
      </c>
      <c r="Q76" s="1">
        <f>IFERROR(__xludf.DUMMYFUNCTION("""COMPUTED_VALUE"""),4.0)</f>
        <v>4</v>
      </c>
      <c r="R76" s="1"/>
      <c r="S76" s="1"/>
      <c r="T76" s="1">
        <f>IFERROR(__xludf.DUMMYFUNCTION("""COMPUTED_VALUE"""),0.0)</f>
        <v>0</v>
      </c>
      <c r="U76" s="1">
        <f>IFERROR(__xludf.DUMMYFUNCTION("""COMPUTED_VALUE"""),0.0)</f>
        <v>0</v>
      </c>
      <c r="V76" s="1">
        <f>IFERROR(__xludf.DUMMYFUNCTION("""COMPUTED_VALUE"""),4.0)</f>
        <v>4</v>
      </c>
      <c r="W76" s="1"/>
    </row>
    <row r="77">
      <c r="A77" s="1" t="str">
        <f>IFERROR(__xludf.DUMMYFUNCTION("""COMPUTED_VALUE"""),"Takis")</f>
        <v>Takis</v>
      </c>
      <c r="B77" s="1">
        <f>IF(A77="","",SUMIFS(VMS_Sales!F:F,VMS_Sales!D:D,A77,VMS_Sales!O:O,$L$2))</f>
        <v>1</v>
      </c>
      <c r="C77" s="1">
        <f>IF(A77="","",ROUND((
SUMIFS(VMS_Sales!F:F,VMS_Sales!D:D,A77,VMS_Sales!O:O,$L$1)+
SUMIFS(VMS_Sales!F:F,VMS_Sales!D:D,A77,VMS_Sales!O:O,$L$2)+
SUMIFS(VMS_Sales!F:F,VMS_Sales!D:D,A77,VMS_Sales!O:O,$L$3)
)/3,2))</f>
        <v>1.33</v>
      </c>
      <c r="D77" s="1">
        <f t="shared" si="1"/>
        <v>2</v>
      </c>
      <c r="E77" s="1">
        <f>IFERROR(__xludf.DUMMYFUNCTION("IFERROR(XLOOKUP(A77,FILTER(VMS_Sales!$D:$D,VMS_Sales!$O:$O=$L$2),FILTER(VMS_Sales!$L:$L,VMS_Sales!$O:$O=$L$2),""""),"""")"),15.0)</f>
        <v>15</v>
      </c>
      <c r="F77" s="1">
        <f t="shared" si="2"/>
        <v>30</v>
      </c>
      <c r="G77" s="1">
        <f t="array" ref="G77">IFERROR(
SUMIFS(
PurchaseLines_Import!$I:$I,
PurchaseLines_Import!$C:$C, XLOOKUP(A77,Map!$A:$A,Map!$B:$B,""),
PurchaseLines_Import!$H:$H, $L$1
),
"")</f>
        <v>0</v>
      </c>
      <c r="H77" s="1">
        <f t="array" ref="H77">IFERROR(
SUMIFS(
Inventory_Import!$D:$D,
Inventory_Import!$B:$B, TEXT(XLOOKUP(A77,Map!$A:$A,Map!$B:$B,""),"0000")
),
0)</f>
        <v>0</v>
      </c>
      <c r="I77" s="1">
        <f t="shared" si="3"/>
        <v>2</v>
      </c>
      <c r="J77" s="1">
        <f t="shared" si="4"/>
        <v>30</v>
      </c>
      <c r="N77" s="1" t="str">
        <f>IFERROR(__xludf.DUMMYFUNCTION("""COMPUTED_VALUE"""),"MrCrunch Normal")</f>
        <v>MrCrunch Normal</v>
      </c>
      <c r="O77" s="1">
        <f>IFERROR(__xludf.DUMMYFUNCTION("""COMPUTED_VALUE"""),0.0)</f>
        <v>0</v>
      </c>
      <c r="P77" s="1">
        <f>IFERROR(__xludf.DUMMYFUNCTION("""COMPUTED_VALUE"""),1.67)</f>
        <v>1.67</v>
      </c>
      <c r="Q77" s="1">
        <f>IFERROR(__xludf.DUMMYFUNCTION("""COMPUTED_VALUE"""),2.0)</f>
        <v>2</v>
      </c>
      <c r="R77" s="1"/>
      <c r="S77" s="1"/>
      <c r="T77" s="1">
        <f>IFERROR(__xludf.DUMMYFUNCTION("""COMPUTED_VALUE"""),0.0)</f>
        <v>0</v>
      </c>
      <c r="U77" s="1">
        <f>IFERROR(__xludf.DUMMYFUNCTION("""COMPUTED_VALUE"""),0.0)</f>
        <v>0</v>
      </c>
      <c r="V77" s="1">
        <f>IFERROR(__xludf.DUMMYFUNCTION("""COMPUTED_VALUE"""),2.0)</f>
        <v>2</v>
      </c>
      <c r="W77" s="1"/>
    </row>
    <row r="78">
      <c r="A78" s="1" t="str">
        <f>IFERROR(__xludf.DUMMYFUNCTION("""COMPUTED_VALUE"""),"m&amp;m")</f>
        <v>m&amp;m</v>
      </c>
      <c r="B78" s="1">
        <f>IF(A78="","",SUMIFS(VMS_Sales!F:F,VMS_Sales!D:D,A78,VMS_Sales!O:O,$L$2))</f>
        <v>0</v>
      </c>
      <c r="C78" s="1">
        <f>IF(A78="","",ROUND((
SUMIFS(VMS_Sales!F:F,VMS_Sales!D:D,A78,VMS_Sales!O:O,$L$1)+
SUMIFS(VMS_Sales!F:F,VMS_Sales!D:D,A78,VMS_Sales!O:O,$L$2)+
SUMIFS(VMS_Sales!F:F,VMS_Sales!D:D,A78,VMS_Sales!O:O,$L$3)
)/3,2))</f>
        <v>1</v>
      </c>
      <c r="D78" s="1">
        <f t="shared" si="1"/>
        <v>1</v>
      </c>
      <c r="E78" s="1" t="str">
        <f>IFERROR(__xludf.DUMMYFUNCTION("IFERROR(XLOOKUP(A78,FILTER(VMS_Sales!$D:$D,VMS_Sales!$O:$O=$L$2),FILTER(VMS_Sales!$L:$L,VMS_Sales!$O:$O=$L$2),""""),"""")"),"")</f>
        <v/>
      </c>
      <c r="F78" s="1" t="str">
        <f t="shared" si="2"/>
        <v/>
      </c>
      <c r="G78" s="1">
        <f t="array" ref="G78">IFERROR(
SUMIFS(
PurchaseLines_Import!$I:$I,
PurchaseLines_Import!$C:$C, XLOOKUP(A78,Map!$A:$A,Map!$B:$B,""),
PurchaseLines_Import!$H:$H, $L$1
),
"")</f>
        <v>0</v>
      </c>
      <c r="H78" s="1">
        <f t="array" ref="H78">IFERROR(
SUMIFS(
Inventory_Import!$D:$D,
Inventory_Import!$B:$B, TEXT(XLOOKUP(A78,Map!$A:$A,Map!$B:$B,""),"0000")
),
0)</f>
        <v>0</v>
      </c>
      <c r="I78" s="1">
        <f t="shared" si="3"/>
        <v>1</v>
      </c>
      <c r="J78" s="1" t="str">
        <f t="shared" si="4"/>
        <v/>
      </c>
      <c r="N78" s="1" t="str">
        <f>IFERROR(__xludf.DUMMYFUNCTION("""COMPUTED_VALUE"""),"Tiger *12 kebab")</f>
        <v>Tiger *12 kebab</v>
      </c>
      <c r="O78" s="1">
        <f>IFERROR(__xludf.DUMMYFUNCTION("""COMPUTED_VALUE"""),0.0)</f>
        <v>0</v>
      </c>
      <c r="P78" s="1">
        <f>IFERROR(__xludf.DUMMYFUNCTION("""COMPUTED_VALUE"""),2.33)</f>
        <v>2.33</v>
      </c>
      <c r="Q78" s="1">
        <f>IFERROR(__xludf.DUMMYFUNCTION("""COMPUTED_VALUE"""),3.0)</f>
        <v>3</v>
      </c>
      <c r="R78" s="1"/>
      <c r="S78" s="1"/>
      <c r="T78" s="1">
        <f>IFERROR(__xludf.DUMMYFUNCTION("""COMPUTED_VALUE"""),0.0)</f>
        <v>0</v>
      </c>
      <c r="U78" s="1">
        <f>IFERROR(__xludf.DUMMYFUNCTION("""COMPUTED_VALUE"""),0.0)</f>
        <v>0</v>
      </c>
      <c r="V78" s="1">
        <f>IFERROR(__xludf.DUMMYFUNCTION("""COMPUTED_VALUE"""),3.0)</f>
        <v>3</v>
      </c>
      <c r="W78" s="1"/>
    </row>
    <row r="79">
      <c r="A79" s="1" t="str">
        <f>IFERROR(__xludf.DUMMYFUNCTION("""COMPUTED_VALUE"""),"L suntop")</f>
        <v>L suntop</v>
      </c>
      <c r="B79" s="1">
        <f>IF(A79="","",SUMIFS(VMS_Sales!F:F,VMS_Sales!D:D,A79,VMS_Sales!O:O,$L$2))</f>
        <v>0</v>
      </c>
      <c r="C79" s="1">
        <f>IF(A79="","",ROUND((
SUMIFS(VMS_Sales!F:F,VMS_Sales!D:D,A79,VMS_Sales!O:O,$L$1)+
SUMIFS(VMS_Sales!F:F,VMS_Sales!D:D,A79,VMS_Sales!O:O,$L$2)+
SUMIFS(VMS_Sales!F:F,VMS_Sales!D:D,A79,VMS_Sales!O:O,$L$3)
)/3,2))</f>
        <v>2.67</v>
      </c>
      <c r="D79" s="1">
        <f t="shared" si="1"/>
        <v>3</v>
      </c>
      <c r="E79" s="1" t="str">
        <f>IFERROR(__xludf.DUMMYFUNCTION("IFERROR(XLOOKUP(A79,FILTER(VMS_Sales!$D:$D,VMS_Sales!$O:$O=$L$2),FILTER(VMS_Sales!$L:$L,VMS_Sales!$O:$O=$L$2),""""),"""")"),"")</f>
        <v/>
      </c>
      <c r="F79" s="1" t="str">
        <f t="shared" si="2"/>
        <v/>
      </c>
      <c r="G79" s="1">
        <f t="array" ref="G79">IFERROR(
SUMIFS(
PurchaseLines_Import!$I:$I,
PurchaseLines_Import!$C:$C, XLOOKUP(A79,Map!$A:$A,Map!$B:$B,""),
PurchaseLines_Import!$H:$H, $L$1
),
"")</f>
        <v>0</v>
      </c>
      <c r="H79" s="1">
        <f t="array" ref="H79">IFERROR(
SUMIFS(
Inventory_Import!$D:$D,
Inventory_Import!$B:$B, TEXT(XLOOKUP(A79,Map!$A:$A,Map!$B:$B,""),"0000")
),
0)</f>
        <v>0</v>
      </c>
      <c r="I79" s="1">
        <f t="shared" si="3"/>
        <v>3</v>
      </c>
      <c r="J79" s="1" t="str">
        <f t="shared" si="4"/>
        <v/>
      </c>
      <c r="N79" s="1" t="str">
        <f>IFERROR(__xludf.DUMMYFUNCTION("""COMPUTED_VALUE"""),"Tiger 12 sweet chili")</f>
        <v>Tiger 12 sweet chili</v>
      </c>
      <c r="O79" s="1">
        <f>IFERROR(__xludf.DUMMYFUNCTION("""COMPUTED_VALUE"""),0.0)</f>
        <v>0</v>
      </c>
      <c r="P79" s="1">
        <f>IFERROR(__xludf.DUMMYFUNCTION("""COMPUTED_VALUE"""),3.0)</f>
        <v>3</v>
      </c>
      <c r="Q79" s="1">
        <f>IFERROR(__xludf.DUMMYFUNCTION("""COMPUTED_VALUE"""),3.0)</f>
        <v>3</v>
      </c>
      <c r="R79" s="1"/>
      <c r="S79" s="1"/>
      <c r="T79" s="1">
        <f>IFERROR(__xludf.DUMMYFUNCTION("""COMPUTED_VALUE"""),0.0)</f>
        <v>0</v>
      </c>
      <c r="U79" s="1">
        <f>IFERROR(__xludf.DUMMYFUNCTION("""COMPUTED_VALUE"""),0.0)</f>
        <v>0</v>
      </c>
      <c r="V79" s="1">
        <f>IFERROR(__xludf.DUMMYFUNCTION("""COMPUTED_VALUE"""),3.0)</f>
        <v>3</v>
      </c>
      <c r="W79" s="1"/>
    </row>
    <row r="80">
      <c r="A80" s="1" t="str">
        <f>IFERROR(__xludf.DUMMYFUNCTION("""COMPUTED_VALUE"""),"EXO")</f>
        <v>EXO</v>
      </c>
      <c r="B80" s="1">
        <f>IF(A80="","",SUMIFS(VMS_Sales!F:F,VMS_Sales!D:D,A80,VMS_Sales!O:O,$L$2))</f>
        <v>0</v>
      </c>
      <c r="C80" s="1">
        <f>IF(A80="","",ROUND((
SUMIFS(VMS_Sales!F:F,VMS_Sales!D:D,A80,VMS_Sales!O:O,$L$1)+
SUMIFS(VMS_Sales!F:F,VMS_Sales!D:D,A80,VMS_Sales!O:O,$L$2)+
SUMIFS(VMS_Sales!F:F,VMS_Sales!D:D,A80,VMS_Sales!O:O,$L$3)
)/3,2))</f>
        <v>2</v>
      </c>
      <c r="D80" s="1">
        <f t="shared" si="1"/>
        <v>2</v>
      </c>
      <c r="E80" s="1" t="str">
        <f>IFERROR(__xludf.DUMMYFUNCTION("IFERROR(XLOOKUP(A80,FILTER(VMS_Sales!$D:$D,VMS_Sales!$O:$O=$L$2),FILTER(VMS_Sales!$L:$L,VMS_Sales!$O:$O=$L$2),""""),"""")"),"")</f>
        <v/>
      </c>
      <c r="F80" s="1" t="str">
        <f t="shared" si="2"/>
        <v/>
      </c>
      <c r="G80" s="1">
        <f t="array" ref="G80">IFERROR(
SUMIFS(
PurchaseLines_Import!$I:$I,
PurchaseLines_Import!$C:$C, XLOOKUP(A80,Map!$A:$A,Map!$B:$B,""),
PurchaseLines_Import!$H:$H, $L$1
),
"")</f>
        <v>0</v>
      </c>
      <c r="H80" s="1">
        <f t="array" ref="H80">IFERROR(
SUMIFS(
Inventory_Import!$D:$D,
Inventory_Import!$B:$B, TEXT(XLOOKUP(A80,Map!$A:$A,Map!$B:$B,""),"0000")
),
0)</f>
        <v>0</v>
      </c>
      <c r="I80" s="1">
        <f t="shared" si="3"/>
        <v>2</v>
      </c>
      <c r="J80" s="1" t="str">
        <f t="shared" si="4"/>
        <v/>
      </c>
      <c r="N80" s="1" t="str">
        <f>IFERROR(__xludf.DUMMYFUNCTION("""COMPUTED_VALUE"""),"Buldak")</f>
        <v>Buldak</v>
      </c>
      <c r="O80" s="1">
        <f>IFERROR(__xludf.DUMMYFUNCTION("""COMPUTED_VALUE"""),0.0)</f>
        <v>0</v>
      </c>
      <c r="P80" s="1">
        <f>IFERROR(__xludf.DUMMYFUNCTION("""COMPUTED_VALUE"""),1.67)</f>
        <v>1.67</v>
      </c>
      <c r="Q80" s="1">
        <f>IFERROR(__xludf.DUMMYFUNCTION("""COMPUTED_VALUE"""),2.0)</f>
        <v>2</v>
      </c>
      <c r="R80" s="1"/>
      <c r="S80" s="1"/>
      <c r="T80" s="1">
        <f>IFERROR(__xludf.DUMMYFUNCTION("""COMPUTED_VALUE"""),0.0)</f>
        <v>0</v>
      </c>
      <c r="U80" s="1">
        <f>IFERROR(__xludf.DUMMYFUNCTION("""COMPUTED_VALUE"""),0.0)</f>
        <v>0</v>
      </c>
      <c r="V80" s="1">
        <f>IFERROR(__xludf.DUMMYFUNCTION("""COMPUTED_VALUE"""),2.0)</f>
        <v>2</v>
      </c>
      <c r="W80" s="1"/>
    </row>
    <row r="81">
      <c r="A81" s="1" t="str">
        <f>IFERROR(__xludf.DUMMYFUNCTION("""COMPUTED_VALUE"""),"Almarai Banana")</f>
        <v>Almarai Banana</v>
      </c>
      <c r="B81" s="1">
        <f>IF(A81="","",SUMIFS(VMS_Sales!F:F,VMS_Sales!D:D,A81,VMS_Sales!O:O,$L$2))</f>
        <v>2</v>
      </c>
      <c r="C81" s="1">
        <f>IF(A81="","",ROUND((
SUMIFS(VMS_Sales!F:F,VMS_Sales!D:D,A81,VMS_Sales!O:O,$L$1)+
SUMIFS(VMS_Sales!F:F,VMS_Sales!D:D,A81,VMS_Sales!O:O,$L$2)+
SUMIFS(VMS_Sales!F:F,VMS_Sales!D:D,A81,VMS_Sales!O:O,$L$3)
)/3,2))</f>
        <v>4</v>
      </c>
      <c r="D81" s="1">
        <f t="shared" si="1"/>
        <v>5</v>
      </c>
      <c r="E81" s="1">
        <f>IFERROR(__xludf.DUMMYFUNCTION("IFERROR(XLOOKUP(A81,FILTER(VMS_Sales!$D:$D,VMS_Sales!$O:$O=$L$2),FILTER(VMS_Sales!$L:$L,VMS_Sales!$O:$O=$L$2),""""),"""")"),2.29)</f>
        <v>2.29</v>
      </c>
      <c r="F81" s="1">
        <f t="shared" si="2"/>
        <v>11.45</v>
      </c>
      <c r="G81" s="1">
        <f t="array" ref="G81">IFERROR(
SUMIFS(
PurchaseLines_Import!$I:$I,
PurchaseLines_Import!$C:$C, XLOOKUP(A81,Map!$A:$A,Map!$B:$B,""),
PurchaseLines_Import!$H:$H, $L$1
),
"")</f>
        <v>0</v>
      </c>
      <c r="H81" s="1">
        <f t="array" ref="H81">IFERROR(
SUMIFS(
Inventory_Import!$D:$D,
Inventory_Import!$B:$B, TEXT(XLOOKUP(A81,Map!$A:$A,Map!$B:$B,""),"0000")
),
0)</f>
        <v>0</v>
      </c>
      <c r="I81" s="1">
        <f t="shared" si="3"/>
        <v>5</v>
      </c>
      <c r="J81" s="1">
        <f t="shared" si="4"/>
        <v>11.45</v>
      </c>
      <c r="N81" s="1" t="str">
        <f>IFERROR(__xludf.DUMMYFUNCTION("""COMPUTED_VALUE"""),"Tiger *16 kebab")</f>
        <v>Tiger *16 kebab</v>
      </c>
      <c r="O81" s="1">
        <f>IFERROR(__xludf.DUMMYFUNCTION("""COMPUTED_VALUE"""),0.0)</f>
        <v>0</v>
      </c>
      <c r="P81" s="1">
        <f>IFERROR(__xludf.DUMMYFUNCTION("""COMPUTED_VALUE"""),0.67)</f>
        <v>0.67</v>
      </c>
      <c r="Q81" s="1">
        <f>IFERROR(__xludf.DUMMYFUNCTION("""COMPUTED_VALUE"""),1.0)</f>
        <v>1</v>
      </c>
      <c r="R81" s="1"/>
      <c r="S81" s="1"/>
      <c r="T81" s="1">
        <f>IFERROR(__xludf.DUMMYFUNCTION("""COMPUTED_VALUE"""),0.0)</f>
        <v>0</v>
      </c>
      <c r="U81" s="1">
        <f>IFERROR(__xludf.DUMMYFUNCTION("""COMPUTED_VALUE"""),0.0)</f>
        <v>0</v>
      </c>
      <c r="V81" s="1">
        <f>IFERROR(__xludf.DUMMYFUNCTION("""COMPUTED_VALUE"""),1.0)</f>
        <v>1</v>
      </c>
      <c r="W81" s="1"/>
    </row>
    <row r="82">
      <c r="A82" s="1" t="str">
        <f>IFERROR(__xludf.DUMMYFUNCTION("""COMPUTED_VALUE"""),"Activ chips")</f>
        <v>Activ chips</v>
      </c>
      <c r="B82" s="1">
        <f>IF(A82="","",SUMIFS(VMS_Sales!F:F,VMS_Sales!D:D,A82,VMS_Sales!O:O,$L$2))</f>
        <v>0</v>
      </c>
      <c r="C82" s="1">
        <f>IF(A82="","",ROUND((
SUMIFS(VMS_Sales!F:F,VMS_Sales!D:D,A82,VMS_Sales!O:O,$L$1)+
SUMIFS(VMS_Sales!F:F,VMS_Sales!D:D,A82,VMS_Sales!O:O,$L$2)+
SUMIFS(VMS_Sales!F:F,VMS_Sales!D:D,A82,VMS_Sales!O:O,$L$3)
)/3,2))</f>
        <v>4</v>
      </c>
      <c r="D82" s="1">
        <f t="shared" si="1"/>
        <v>5</v>
      </c>
      <c r="E82" s="1" t="str">
        <f>IFERROR(__xludf.DUMMYFUNCTION("IFERROR(XLOOKUP(A82,FILTER(VMS_Sales!$D:$D,VMS_Sales!$O:$O=$L$2),FILTER(VMS_Sales!$L:$L,VMS_Sales!$O:$O=$L$2),""""),"""")"),"")</f>
        <v/>
      </c>
      <c r="F82" s="1" t="str">
        <f t="shared" si="2"/>
        <v/>
      </c>
      <c r="G82" s="1">
        <f t="array" ref="G82">IFERROR(
SUMIFS(
PurchaseLines_Import!$I:$I,
PurchaseLines_Import!$C:$C, XLOOKUP(A82,Map!$A:$A,Map!$B:$B,""),
PurchaseLines_Import!$H:$H, $L$1
),
"")</f>
        <v>0</v>
      </c>
      <c r="H82" s="1">
        <f t="array" ref="H82">IFERROR(
SUMIFS(
Inventory_Import!$D:$D,
Inventory_Import!$B:$B, TEXT(XLOOKUP(A82,Map!$A:$A,Map!$B:$B,""),"0000")
),
0)</f>
        <v>0</v>
      </c>
      <c r="I82" s="1">
        <f t="shared" si="3"/>
        <v>5</v>
      </c>
      <c r="J82" s="1" t="str">
        <f t="shared" si="4"/>
        <v/>
      </c>
      <c r="N82" s="1" t="str">
        <f>IFERROR(__xludf.DUMMYFUNCTION("""COMPUTED_VALUE"""),"sunTop")</f>
        <v>sunTop</v>
      </c>
      <c r="O82" s="1">
        <f>IFERROR(__xludf.DUMMYFUNCTION("""COMPUTED_VALUE"""),0.0)</f>
        <v>0</v>
      </c>
      <c r="P82" s="1">
        <f>IFERROR(__xludf.DUMMYFUNCTION("""COMPUTED_VALUE"""),7.0)</f>
        <v>7</v>
      </c>
      <c r="Q82" s="1">
        <f>IFERROR(__xludf.DUMMYFUNCTION("""COMPUTED_VALUE"""),8.0)</f>
        <v>8</v>
      </c>
      <c r="R82" s="1"/>
      <c r="S82" s="1"/>
      <c r="T82" s="1">
        <f>IFERROR(__xludf.DUMMYFUNCTION("""COMPUTED_VALUE"""),0.0)</f>
        <v>0</v>
      </c>
      <c r="U82" s="1">
        <f>IFERROR(__xludf.DUMMYFUNCTION("""COMPUTED_VALUE"""),2.0)</f>
        <v>2</v>
      </c>
      <c r="V82" s="1">
        <f>IFERROR(__xludf.DUMMYFUNCTION("""COMPUTED_VALUE"""),6.0)</f>
        <v>6</v>
      </c>
      <c r="W82" s="1"/>
    </row>
    <row r="83">
      <c r="A83" s="1" t="str">
        <f>IFERROR(__xludf.DUMMYFUNCTION("""COMPUTED_VALUE"""),"Yumi Zak")</f>
        <v>Yumi Zak</v>
      </c>
      <c r="B83" s="1">
        <f>IF(A83="","",SUMIFS(VMS_Sales!F:F,VMS_Sales!D:D,A83,VMS_Sales!O:O,$L$2))</f>
        <v>7</v>
      </c>
      <c r="C83" s="1">
        <f>IF(A83="","",ROUND((
SUMIFS(VMS_Sales!F:F,VMS_Sales!D:D,A83,VMS_Sales!O:O,$L$1)+
SUMIFS(VMS_Sales!F:F,VMS_Sales!D:D,A83,VMS_Sales!O:O,$L$2)+
SUMIFS(VMS_Sales!F:F,VMS_Sales!D:D,A83,VMS_Sales!O:O,$L$3)
)/3,2))</f>
        <v>14</v>
      </c>
      <c r="D83" s="1">
        <f t="shared" si="1"/>
        <v>16</v>
      </c>
      <c r="E83" s="1">
        <f>IFERROR(__xludf.DUMMYFUNCTION("IFERROR(XLOOKUP(A83,FILTER(VMS_Sales!$D:$D,VMS_Sales!$O:$O=$L$2),FILTER(VMS_Sales!$L:$L,VMS_Sales!$O:$O=$L$2),""""),"""")"),4.5)</f>
        <v>4.5</v>
      </c>
      <c r="F83" s="1">
        <f t="shared" si="2"/>
        <v>72</v>
      </c>
      <c r="G83" s="1">
        <f t="array" ref="G83">IFERROR(
SUMIFS(
PurchaseLines_Import!$I:$I,
PurchaseLines_Import!$C:$C, XLOOKUP(A83,Map!$A:$A,Map!$B:$B,""),
PurchaseLines_Import!$H:$H, $L$1
),
"")</f>
        <v>0</v>
      </c>
      <c r="H83" s="1">
        <f t="array" ref="H83">IFERROR(
SUMIFS(
Inventory_Import!$D:$D,
Inventory_Import!$B:$B, TEXT(XLOOKUP(A83,Map!$A:$A,Map!$B:$B,""),"0000")
),
0)</f>
        <v>0</v>
      </c>
      <c r="I83" s="1">
        <f t="shared" si="3"/>
        <v>16</v>
      </c>
      <c r="J83" s="1">
        <f t="shared" si="4"/>
        <v>72</v>
      </c>
      <c r="N83" s="1" t="str">
        <f>IFERROR(__xludf.DUMMYFUNCTION("""COMPUTED_VALUE"""),"Prime")</f>
        <v>Prime</v>
      </c>
      <c r="O83" s="1">
        <f>IFERROR(__xludf.DUMMYFUNCTION("""COMPUTED_VALUE"""),0.0)</f>
        <v>0</v>
      </c>
      <c r="P83" s="1">
        <f>IFERROR(__xludf.DUMMYFUNCTION("""COMPUTED_VALUE"""),1.0)</f>
        <v>1</v>
      </c>
      <c r="Q83" s="1">
        <f>IFERROR(__xludf.DUMMYFUNCTION("""COMPUTED_VALUE"""),1.0)</f>
        <v>1</v>
      </c>
      <c r="R83" s="1"/>
      <c r="S83" s="1"/>
      <c r="T83" s="1">
        <f>IFERROR(__xludf.DUMMYFUNCTION("""COMPUTED_VALUE"""),0.0)</f>
        <v>0</v>
      </c>
      <c r="U83" s="1">
        <f>IFERROR(__xludf.DUMMYFUNCTION("""COMPUTED_VALUE"""),0.0)</f>
        <v>0</v>
      </c>
      <c r="V83" s="1">
        <f>IFERROR(__xludf.DUMMYFUNCTION("""COMPUTED_VALUE"""),1.0)</f>
        <v>1</v>
      </c>
      <c r="W83" s="1"/>
    </row>
    <row r="84">
      <c r="A84" s="1" t="str">
        <f>IFERROR(__xludf.DUMMYFUNCTION("""COMPUTED_VALUE"""),"wafe'up")</f>
        <v>wafe'up</v>
      </c>
      <c r="B84" s="1">
        <f>IF(A84="","",SUMIFS(VMS_Sales!F:F,VMS_Sales!D:D,A84,VMS_Sales!O:O,$L$2))</f>
        <v>22</v>
      </c>
      <c r="C84" s="1">
        <f>IF(A84="","",ROUND((
SUMIFS(VMS_Sales!F:F,VMS_Sales!D:D,A84,VMS_Sales!O:O,$L$1)+
SUMIFS(VMS_Sales!F:F,VMS_Sales!D:D,A84,VMS_Sales!O:O,$L$2)+
SUMIFS(VMS_Sales!F:F,VMS_Sales!D:D,A84,VMS_Sales!O:O,$L$3)
)/3,2))</f>
        <v>7.33</v>
      </c>
      <c r="D84" s="1">
        <f t="shared" si="1"/>
        <v>8</v>
      </c>
      <c r="E84" s="1">
        <f>IFERROR(__xludf.DUMMYFUNCTION("IFERROR(XLOOKUP(A84,FILTER(VMS_Sales!$D:$D,VMS_Sales!$O:$O=$L$2),FILTER(VMS_Sales!$L:$L,VMS_Sales!$O:$O=$L$2),""""),"""")"),2.25)</f>
        <v>2.25</v>
      </c>
      <c r="F84" s="1">
        <f t="shared" si="2"/>
        <v>18</v>
      </c>
      <c r="G84" s="1">
        <f t="array" ref="G84">IFERROR(
SUMIFS(
PurchaseLines_Import!$I:$I,
PurchaseLines_Import!$C:$C, XLOOKUP(A84,Map!$A:$A,Map!$B:$B,""),
PurchaseLines_Import!$H:$H, $L$1
),
"")</f>
        <v>0</v>
      </c>
      <c r="H84" s="1">
        <f t="array" ref="H84">IFERROR(
SUMIFS(
Inventory_Import!$D:$D,
Inventory_Import!$B:$B, TEXT(XLOOKUP(A84,Map!$A:$A,Map!$B:$B,""),"0000")
),
0)</f>
        <v>0</v>
      </c>
      <c r="I84" s="1">
        <f t="shared" si="3"/>
        <v>8</v>
      </c>
      <c r="J84" s="1">
        <f t="shared" si="4"/>
        <v>18</v>
      </c>
      <c r="N84" s="1" t="str">
        <f>IFERROR(__xludf.DUMMYFUNCTION("""COMPUTED_VALUE"""),"Mulino Cookis")</f>
        <v>Mulino Cookis</v>
      </c>
      <c r="O84" s="1">
        <f>IFERROR(__xludf.DUMMYFUNCTION("""COMPUTED_VALUE"""),0.0)</f>
        <v>0</v>
      </c>
      <c r="P84" s="1">
        <f>IFERROR(__xludf.DUMMYFUNCTION("""COMPUTED_VALUE"""),0.67)</f>
        <v>0.67</v>
      </c>
      <c r="Q84" s="1">
        <f>IFERROR(__xludf.DUMMYFUNCTION("""COMPUTED_VALUE"""),1.0)</f>
        <v>1</v>
      </c>
      <c r="R84" s="1"/>
      <c r="S84" s="1"/>
      <c r="T84" s="1">
        <f>IFERROR(__xludf.DUMMYFUNCTION("""COMPUTED_VALUE"""),0.0)</f>
        <v>0</v>
      </c>
      <c r="U84" s="1">
        <f>IFERROR(__xludf.DUMMYFUNCTION("""COMPUTED_VALUE"""),0.0)</f>
        <v>0</v>
      </c>
      <c r="V84" s="1">
        <f>IFERROR(__xludf.DUMMYFUNCTION("""COMPUTED_VALUE"""),1.0)</f>
        <v>1</v>
      </c>
      <c r="W84" s="1"/>
    </row>
    <row r="85">
      <c r="A85" s="1" t="str">
        <f>IFERROR(__xludf.DUMMYFUNCTION("""COMPUTED_VALUE"""),"vitrac")</f>
        <v>vitrac</v>
      </c>
      <c r="B85" s="1">
        <f>IF(A85="","",SUMIFS(VMS_Sales!F:F,VMS_Sales!D:D,A85,VMS_Sales!O:O,$L$2))</f>
        <v>44</v>
      </c>
      <c r="C85" s="1">
        <f>IF(A85="","",ROUND((
SUMIFS(VMS_Sales!F:F,VMS_Sales!D:D,A85,VMS_Sales!O:O,$L$1)+
SUMIFS(VMS_Sales!F:F,VMS_Sales!D:D,A85,VMS_Sales!O:O,$L$2)+
SUMIFS(VMS_Sales!F:F,VMS_Sales!D:D,A85,VMS_Sales!O:O,$L$3)
)/3,2))</f>
        <v>14.67</v>
      </c>
      <c r="D85" s="1">
        <f t="shared" si="1"/>
        <v>17</v>
      </c>
      <c r="E85" s="1">
        <f>IFERROR(__xludf.DUMMYFUNCTION("IFERROR(XLOOKUP(A85,FILTER(VMS_Sales!$D:$D,VMS_Sales!$O:$O=$L$2),FILTER(VMS_Sales!$L:$L,VMS_Sales!$O:$O=$L$2),""""),"""")"),1.6)</f>
        <v>1.6</v>
      </c>
      <c r="F85" s="1">
        <f t="shared" si="2"/>
        <v>27.2</v>
      </c>
      <c r="G85" s="1">
        <f t="array" ref="G85">IFERROR(
SUMIFS(
PurchaseLines_Import!$I:$I,
PurchaseLines_Import!$C:$C, XLOOKUP(A85,Map!$A:$A,Map!$B:$B,""),
PurchaseLines_Import!$H:$H, $L$1
),
"")</f>
        <v>0</v>
      </c>
      <c r="H85" s="1">
        <f t="array" ref="H85">IFERROR(
SUMIFS(
Inventory_Import!$D:$D,
Inventory_Import!$B:$B, TEXT(XLOOKUP(A85,Map!$A:$A,Map!$B:$B,""),"0000")
),
0)</f>
        <v>0</v>
      </c>
      <c r="I85" s="1">
        <f t="shared" si="3"/>
        <v>17</v>
      </c>
      <c r="J85" s="1">
        <f t="shared" si="4"/>
        <v>27.2</v>
      </c>
      <c r="N85" s="1" t="str">
        <f>IFERROR(__xludf.DUMMYFUNCTION("""COMPUTED_VALUE"""),"Doritos real")</f>
        <v>Doritos real</v>
      </c>
      <c r="O85" s="1">
        <f>IFERROR(__xludf.DUMMYFUNCTION("""COMPUTED_VALUE"""),0.0)</f>
        <v>0</v>
      </c>
      <c r="P85" s="1">
        <f>IFERROR(__xludf.DUMMYFUNCTION("""COMPUTED_VALUE"""),8.33)</f>
        <v>8.33</v>
      </c>
      <c r="Q85" s="1">
        <f>IFERROR(__xludf.DUMMYFUNCTION("""COMPUTED_VALUE"""),10.0)</f>
        <v>10</v>
      </c>
      <c r="R85" s="1"/>
      <c r="S85" s="1"/>
      <c r="T85" s="1">
        <f>IFERROR(__xludf.DUMMYFUNCTION("""COMPUTED_VALUE"""),0.0)</f>
        <v>0</v>
      </c>
      <c r="U85" s="1">
        <f>IFERROR(__xludf.DUMMYFUNCTION("""COMPUTED_VALUE"""),0.0)</f>
        <v>0</v>
      </c>
      <c r="V85" s="1">
        <f>IFERROR(__xludf.DUMMYFUNCTION("""COMPUTED_VALUE"""),10.0)</f>
        <v>10</v>
      </c>
      <c r="W85" s="1"/>
    </row>
    <row r="86">
      <c r="A86" s="1" t="str">
        <f>IFERROR(__xludf.DUMMYFUNCTION("""COMPUTED_VALUE"""),"Doritos red hot")</f>
        <v>Doritos red hot</v>
      </c>
      <c r="B86" s="1">
        <f>IF(A86="","",SUMIFS(VMS_Sales!F:F,VMS_Sales!D:D,A86,VMS_Sales!O:O,$L$2))</f>
        <v>138</v>
      </c>
      <c r="C86" s="1">
        <f>IF(A86="","",ROUND((
SUMIFS(VMS_Sales!F:F,VMS_Sales!D:D,A86,VMS_Sales!O:O,$L$1)+
SUMIFS(VMS_Sales!F:F,VMS_Sales!D:D,A86,VMS_Sales!O:O,$L$2)+
SUMIFS(VMS_Sales!F:F,VMS_Sales!D:D,A86,VMS_Sales!O:O,$L$3)
)/3,2))</f>
        <v>46</v>
      </c>
      <c r="D86" s="1">
        <f t="shared" si="1"/>
        <v>53</v>
      </c>
      <c r="E86" s="1">
        <f>IFERROR(__xludf.DUMMYFUNCTION("IFERROR(XLOOKUP(A86,FILTER(VMS_Sales!$D:$D,VMS_Sales!$O:$O=$L$2),FILTER(VMS_Sales!$L:$L,VMS_Sales!$O:$O=$L$2),""""),"""")"),2.93)</f>
        <v>2.93</v>
      </c>
      <c r="F86" s="1">
        <f t="shared" si="2"/>
        <v>155.29</v>
      </c>
      <c r="G86" s="1">
        <f t="array" ref="G86">IFERROR(
SUMIFS(
PurchaseLines_Import!$I:$I,
PurchaseLines_Import!$C:$C, XLOOKUP(A86,Map!$A:$A,Map!$B:$B,""),
PurchaseLines_Import!$H:$H, $L$1
),
"")</f>
        <v>150</v>
      </c>
      <c r="H86" s="1">
        <f t="array" ref="H86">IFERROR(
SUMIFS(
Inventory_Import!$D:$D,
Inventory_Import!$B:$B, TEXT(XLOOKUP(A86,Map!$A:$A,Map!$B:$B,""),"0000")
),
0)</f>
        <v>0</v>
      </c>
      <c r="I86" s="1">
        <f t="shared" si="3"/>
        <v>53</v>
      </c>
      <c r="J86" s="1">
        <f t="shared" si="4"/>
        <v>155.29</v>
      </c>
      <c r="N86" s="1" t="str">
        <f>IFERROR(__xludf.DUMMYFUNCTION("""COMPUTED_VALUE"""),"Chico")</f>
        <v>Chico</v>
      </c>
      <c r="O86" s="1">
        <f>IFERROR(__xludf.DUMMYFUNCTION("""COMPUTED_VALUE"""),0.0)</f>
        <v>0</v>
      </c>
      <c r="P86" s="1">
        <f>IFERROR(__xludf.DUMMYFUNCTION("""COMPUTED_VALUE"""),6.67)</f>
        <v>6.67</v>
      </c>
      <c r="Q86" s="1">
        <f>IFERROR(__xludf.DUMMYFUNCTION("""COMPUTED_VALUE"""),8.0)</f>
        <v>8</v>
      </c>
      <c r="R86" s="1"/>
      <c r="S86" s="1"/>
      <c r="T86" s="1">
        <f>IFERROR(__xludf.DUMMYFUNCTION("""COMPUTED_VALUE"""),0.0)</f>
        <v>0</v>
      </c>
      <c r="U86" s="1">
        <f>IFERROR(__xludf.DUMMYFUNCTION("""COMPUTED_VALUE"""),0.0)</f>
        <v>0</v>
      </c>
      <c r="V86" s="1">
        <f>IFERROR(__xludf.DUMMYFUNCTION("""COMPUTED_VALUE"""),8.0)</f>
        <v>8</v>
      </c>
      <c r="W86" s="1"/>
    </row>
    <row r="87">
      <c r="A87" s="1" t="str">
        <f>IFERROR(__xludf.DUMMYFUNCTION("""COMPUTED_VALUE"""),"Twix wafer roll")</f>
        <v>Twix wafer roll</v>
      </c>
      <c r="B87" s="1">
        <f>IF(A87="","",SUMIFS(VMS_Sales!F:F,VMS_Sales!D:D,A87,VMS_Sales!O:O,$L$2))</f>
        <v>189</v>
      </c>
      <c r="C87" s="1">
        <f>IF(A87="","",ROUND((
SUMIFS(VMS_Sales!F:F,VMS_Sales!D:D,A87,VMS_Sales!O:O,$L$1)+
SUMIFS(VMS_Sales!F:F,VMS_Sales!D:D,A87,VMS_Sales!O:O,$L$2)+
SUMIFS(VMS_Sales!F:F,VMS_Sales!D:D,A87,VMS_Sales!O:O,$L$3)
)/3,2))</f>
        <v>63</v>
      </c>
      <c r="D87" s="1">
        <f t="shared" si="1"/>
        <v>72</v>
      </c>
      <c r="E87" s="1">
        <f>IFERROR(__xludf.DUMMYFUNCTION("IFERROR(XLOOKUP(A87,FILTER(VMS_Sales!$D:$D,VMS_Sales!$O:$O=$L$2),FILTER(VMS_Sales!$L:$L,VMS_Sales!$O:$O=$L$2),""""),"""")"),1.08)</f>
        <v>1.08</v>
      </c>
      <c r="F87" s="1">
        <f t="shared" si="2"/>
        <v>77.76</v>
      </c>
      <c r="G87" s="1">
        <f t="array" ref="G87">IFERROR(
SUMIFS(
PurchaseLines_Import!$I:$I,
PurchaseLines_Import!$C:$C, XLOOKUP(A87,Map!$A:$A,Map!$B:$B,""),
PurchaseLines_Import!$H:$H, $L$1
),
"")</f>
        <v>240</v>
      </c>
      <c r="H87" s="1">
        <f t="array" ref="H87">IFERROR(
SUMIFS(
Inventory_Import!$D:$D,
Inventory_Import!$B:$B, TEXT(XLOOKUP(A87,Map!$A:$A,Map!$B:$B,""),"0000")
),
0)</f>
        <v>34</v>
      </c>
      <c r="I87" s="1">
        <f t="shared" si="3"/>
        <v>38</v>
      </c>
      <c r="J87" s="1">
        <f t="shared" si="4"/>
        <v>41.04</v>
      </c>
      <c r="N87" s="1" t="str">
        <f>IFERROR(__xludf.DUMMYFUNCTION("""COMPUTED_VALUE"""),"vita go")</f>
        <v>vita go</v>
      </c>
      <c r="O87" s="1">
        <f>IFERROR(__xludf.DUMMYFUNCTION("""COMPUTED_VALUE"""),0.0)</f>
        <v>0</v>
      </c>
      <c r="P87" s="1">
        <f>IFERROR(__xludf.DUMMYFUNCTION("""COMPUTED_VALUE"""),12.33)</f>
        <v>12.33</v>
      </c>
      <c r="Q87" s="1">
        <f>IFERROR(__xludf.DUMMYFUNCTION("""COMPUTED_VALUE"""),14.0)</f>
        <v>14</v>
      </c>
      <c r="R87" s="1"/>
      <c r="S87" s="1"/>
      <c r="T87" s="1">
        <f>IFERROR(__xludf.DUMMYFUNCTION("""COMPUTED_VALUE"""),0.0)</f>
        <v>0</v>
      </c>
      <c r="U87" s="1">
        <f>IFERROR(__xludf.DUMMYFUNCTION("""COMPUTED_VALUE"""),0.0)</f>
        <v>0</v>
      </c>
      <c r="V87" s="1">
        <f>IFERROR(__xludf.DUMMYFUNCTION("""COMPUTED_VALUE"""),14.0)</f>
        <v>14</v>
      </c>
      <c r="W87" s="1"/>
    </row>
    <row r="88">
      <c r="A88" s="1" t="str">
        <f>IFERROR(__xludf.DUMMYFUNCTION("""COMPUTED_VALUE"""),"Galaxy wafer roll")</f>
        <v>Galaxy wafer roll</v>
      </c>
      <c r="B88" s="1">
        <f>IF(A88="","",SUMIFS(VMS_Sales!F:F,VMS_Sales!D:D,A88,VMS_Sales!O:O,$L$2))</f>
        <v>277</v>
      </c>
      <c r="C88" s="1">
        <f>IF(A88="","",ROUND((
SUMIFS(VMS_Sales!F:F,VMS_Sales!D:D,A88,VMS_Sales!O:O,$L$1)+
SUMIFS(VMS_Sales!F:F,VMS_Sales!D:D,A88,VMS_Sales!O:O,$L$2)+
SUMIFS(VMS_Sales!F:F,VMS_Sales!D:D,A88,VMS_Sales!O:O,$L$3)
)/3,2))</f>
        <v>92.33</v>
      </c>
      <c r="D88" s="1">
        <f t="shared" si="1"/>
        <v>106</v>
      </c>
      <c r="E88" s="1">
        <f>IFERROR(__xludf.DUMMYFUNCTION("IFERROR(XLOOKUP(A88,FILTER(VMS_Sales!$D:$D,VMS_Sales!$O:$O=$L$2),FILTER(VMS_Sales!$L:$L,VMS_Sales!$O:$O=$L$2),""""),"""")"),1.08)</f>
        <v>1.08</v>
      </c>
      <c r="F88" s="1">
        <f t="shared" si="2"/>
        <v>114.48</v>
      </c>
      <c r="G88" s="1">
        <f t="array" ref="G88">IFERROR(
SUMIFS(
PurchaseLines_Import!$I:$I,
PurchaseLines_Import!$C:$C, XLOOKUP(A88,Map!$A:$A,Map!$B:$B,""),
PurchaseLines_Import!$H:$H, $L$1
),
"")</f>
        <v>240</v>
      </c>
      <c r="H88" s="1">
        <f t="array" ref="H88">IFERROR(
SUMIFS(
Inventory_Import!$D:$D,
Inventory_Import!$B:$B, TEXT(XLOOKUP(A88,Map!$A:$A,Map!$B:$B,""),"0000")
),
0)</f>
        <v>5</v>
      </c>
      <c r="I88" s="1">
        <f t="shared" si="3"/>
        <v>101</v>
      </c>
      <c r="J88" s="1">
        <f t="shared" si="4"/>
        <v>109.08</v>
      </c>
      <c r="N88" s="1" t="str">
        <f>IFERROR(__xludf.DUMMYFUNCTION("""COMPUTED_VALUE"""),"Goftime")</f>
        <v>Goftime</v>
      </c>
      <c r="O88" s="1">
        <f>IFERROR(__xludf.DUMMYFUNCTION("""COMPUTED_VALUE"""),0.0)</f>
        <v>0</v>
      </c>
      <c r="P88" s="1">
        <f>IFERROR(__xludf.DUMMYFUNCTION("""COMPUTED_VALUE"""),5.33)</f>
        <v>5.33</v>
      </c>
      <c r="Q88" s="1">
        <f>IFERROR(__xludf.DUMMYFUNCTION("""COMPUTED_VALUE"""),6.0)</f>
        <v>6</v>
      </c>
      <c r="R88" s="1"/>
      <c r="S88" s="1"/>
      <c r="T88" s="1">
        <f>IFERROR(__xludf.DUMMYFUNCTION("""COMPUTED_VALUE"""),0.0)</f>
        <v>0</v>
      </c>
      <c r="U88" s="1">
        <f>IFERROR(__xludf.DUMMYFUNCTION("""COMPUTED_VALUE"""),0.0)</f>
        <v>0</v>
      </c>
      <c r="V88" s="1">
        <f>IFERROR(__xludf.DUMMYFUNCTION("""COMPUTED_VALUE"""),6.0)</f>
        <v>6</v>
      </c>
      <c r="W88" s="1"/>
    </row>
    <row r="89">
      <c r="A89" s="1" t="str">
        <f>IFERROR(__xludf.DUMMYFUNCTION("""COMPUTED_VALUE"""),"Sweeto jelly")</f>
        <v>Sweeto jelly</v>
      </c>
      <c r="B89" s="1">
        <f>IF(A89="","",SUMIFS(VMS_Sales!F:F,VMS_Sales!D:D,A89,VMS_Sales!O:O,$L$2))</f>
        <v>218</v>
      </c>
      <c r="C89" s="1">
        <f>IF(A89="","",ROUND((
SUMIFS(VMS_Sales!F:F,VMS_Sales!D:D,A89,VMS_Sales!O:O,$L$1)+
SUMIFS(VMS_Sales!F:F,VMS_Sales!D:D,A89,VMS_Sales!O:O,$L$2)+
SUMIFS(VMS_Sales!F:F,VMS_Sales!D:D,A89,VMS_Sales!O:O,$L$3)
)/3,2))</f>
        <v>72.67</v>
      </c>
      <c r="D89" s="1">
        <f t="shared" si="1"/>
        <v>84</v>
      </c>
      <c r="E89" s="1">
        <f>IFERROR(__xludf.DUMMYFUNCTION("IFERROR(XLOOKUP(A89,FILTER(VMS_Sales!$D:$D,VMS_Sales!$O:$O=$L$2),FILTER(VMS_Sales!$L:$L,VMS_Sales!$O:$O=$L$2),""""),"""")"),3.66)</f>
        <v>3.66</v>
      </c>
      <c r="F89" s="1">
        <f t="shared" si="2"/>
        <v>307.44</v>
      </c>
      <c r="G89" s="1">
        <f t="array" ref="G89">IFERROR(
SUMIFS(
PurchaseLines_Import!$I:$I,
PurchaseLines_Import!$C:$C, XLOOKUP(A89,Map!$A:$A,Map!$B:$B,""),
PurchaseLines_Import!$H:$H, $L$1
),
"")</f>
        <v>240</v>
      </c>
      <c r="H89" s="1">
        <f t="array" ref="H89">IFERROR(
SUMIFS(
Inventory_Import!$D:$D,
Inventory_Import!$B:$B, TEXT(XLOOKUP(A89,Map!$A:$A,Map!$B:$B,""),"0000")
),
0)</f>
        <v>0</v>
      </c>
      <c r="I89" s="1">
        <f t="shared" si="3"/>
        <v>84</v>
      </c>
      <c r="J89" s="1">
        <f t="shared" si="4"/>
        <v>307.44</v>
      </c>
      <c r="K89" s="1">
        <f>SUMIFS(PurchaseLines_Import!$I:$I,PurchaseLines_Import!$C:$C,"a19879cf",PurchaseLines_Import!$H:$H,DATE(2026,4,1))</f>
        <v>240</v>
      </c>
      <c r="N89" s="1" t="str">
        <f>IFERROR(__xludf.DUMMYFUNCTION("""COMPUTED_VALUE"""),"Waffi")</f>
        <v>Waffi</v>
      </c>
      <c r="O89" s="1">
        <f>IFERROR(__xludf.DUMMYFUNCTION("""COMPUTED_VALUE"""),0.0)</f>
        <v>0</v>
      </c>
      <c r="P89" s="1">
        <f>IFERROR(__xludf.DUMMYFUNCTION("""COMPUTED_VALUE"""),2.33)</f>
        <v>2.33</v>
      </c>
      <c r="Q89" s="1">
        <f>IFERROR(__xludf.DUMMYFUNCTION("""COMPUTED_VALUE"""),3.0)</f>
        <v>3</v>
      </c>
      <c r="R89" s="1"/>
      <c r="S89" s="1"/>
      <c r="T89" s="1">
        <f>IFERROR(__xludf.DUMMYFUNCTION("""COMPUTED_VALUE"""),0.0)</f>
        <v>0</v>
      </c>
      <c r="U89" s="1">
        <f>IFERROR(__xludf.DUMMYFUNCTION("""COMPUTED_VALUE"""),0.0)</f>
        <v>0</v>
      </c>
      <c r="V89" s="1">
        <f>IFERROR(__xludf.DUMMYFUNCTION("""COMPUTED_VALUE"""),3.0)</f>
        <v>3</v>
      </c>
      <c r="W89" s="1"/>
    </row>
    <row r="90">
      <c r="A90" s="1" t="str">
        <f>IFERROR(__xludf.DUMMYFUNCTION("""COMPUTED_VALUE"""),"Snickers wafer roll")</f>
        <v>Snickers wafer roll</v>
      </c>
      <c r="B90" s="1">
        <f>IF(A90="","",SUMIFS(VMS_Sales!F:F,VMS_Sales!D:D,A90,VMS_Sales!O:O,$L$2))</f>
        <v>138</v>
      </c>
      <c r="C90" s="1">
        <f>IF(A90="","",ROUND((
SUMIFS(VMS_Sales!F:F,VMS_Sales!D:D,A90,VMS_Sales!O:O,$L$1)+
SUMIFS(VMS_Sales!F:F,VMS_Sales!D:D,A90,VMS_Sales!O:O,$L$2)+
SUMIFS(VMS_Sales!F:F,VMS_Sales!D:D,A90,VMS_Sales!O:O,$L$3)
)/3,2))</f>
        <v>46</v>
      </c>
      <c r="D90" s="1">
        <f t="shared" si="1"/>
        <v>53</v>
      </c>
      <c r="E90" s="1">
        <f>IFERROR(__xludf.DUMMYFUNCTION("IFERROR(XLOOKUP(A90,FILTER(VMS_Sales!$D:$D,VMS_Sales!$O:$O=$L$2),FILTER(VMS_Sales!$L:$L,VMS_Sales!$O:$O=$L$2),""""),"""")"),1.12)</f>
        <v>1.12</v>
      </c>
      <c r="F90" s="1">
        <f t="shared" si="2"/>
        <v>59.36</v>
      </c>
      <c r="G90" s="1">
        <f t="array" ref="G90">IFERROR(
SUMIFS(
PurchaseLines_Import!$I:$I,
PurchaseLines_Import!$C:$C, XLOOKUP(A90,Map!$A:$A,Map!$B:$B,""),
PurchaseLines_Import!$H:$H, $L$1
),
"")</f>
        <v>336</v>
      </c>
      <c r="H90" s="1">
        <f t="array" ref="H90">IFERROR(
SUMIFS(
Inventory_Import!$D:$D,
Inventory_Import!$B:$B, TEXT(XLOOKUP(A90,Map!$A:$A,Map!$B:$B,""),"0000")
),
0)</f>
        <v>-2</v>
      </c>
      <c r="I90" s="1">
        <f t="shared" si="3"/>
        <v>55</v>
      </c>
      <c r="J90" s="1">
        <f t="shared" si="4"/>
        <v>61.6</v>
      </c>
      <c r="N90" s="1" t="str">
        <f>IFERROR(__xludf.DUMMYFUNCTION("""COMPUTED_VALUE"""),"Be happy kids")</f>
        <v>Be happy kids</v>
      </c>
      <c r="O90" s="1">
        <f>IFERROR(__xludf.DUMMYFUNCTION("""COMPUTED_VALUE"""),0.0)</f>
        <v>0</v>
      </c>
      <c r="P90" s="1">
        <f>IFERROR(__xludf.DUMMYFUNCTION("""COMPUTED_VALUE"""),2.67)</f>
        <v>2.67</v>
      </c>
      <c r="Q90" s="1">
        <f>IFERROR(__xludf.DUMMYFUNCTION("""COMPUTED_VALUE"""),3.0)</f>
        <v>3</v>
      </c>
      <c r="R90" s="1"/>
      <c r="S90" s="1"/>
      <c r="T90" s="1">
        <f>IFERROR(__xludf.DUMMYFUNCTION("""COMPUTED_VALUE"""),0.0)</f>
        <v>0</v>
      </c>
      <c r="U90" s="1">
        <f>IFERROR(__xludf.DUMMYFUNCTION("""COMPUTED_VALUE"""),0.0)</f>
        <v>0</v>
      </c>
      <c r="V90" s="1">
        <f>IFERROR(__xludf.DUMMYFUNCTION("""COMPUTED_VALUE"""),3.0)</f>
        <v>3</v>
      </c>
      <c r="W90" s="1"/>
    </row>
    <row r="91">
      <c r="A91" s="1" t="str">
        <f>IFERROR(__xludf.DUMMYFUNCTION("""COMPUTED_VALUE"""),"Prime Ex")</f>
        <v>Prime Ex</v>
      </c>
      <c r="B91" s="1">
        <f>IF(A91="","",SUMIFS(VMS_Sales!F:F,VMS_Sales!D:D,A91,VMS_Sales!O:O,$L$2))</f>
        <v>3</v>
      </c>
      <c r="C91" s="1">
        <f>IF(A91="","",ROUND((
SUMIFS(VMS_Sales!F:F,VMS_Sales!D:D,A91,VMS_Sales!O:O,$L$1)+
SUMIFS(VMS_Sales!F:F,VMS_Sales!D:D,A91,VMS_Sales!O:O,$L$2)+
SUMIFS(VMS_Sales!F:F,VMS_Sales!D:D,A91,VMS_Sales!O:O,$L$3)
)/3,2))</f>
        <v>1</v>
      </c>
      <c r="D91" s="1">
        <f t="shared" si="1"/>
        <v>1</v>
      </c>
      <c r="E91" s="1">
        <f>IFERROR(__xludf.DUMMYFUNCTION("IFERROR(XLOOKUP(A91,FILTER(VMS_Sales!$D:$D,VMS_Sales!$O:$O=$L$2),FILTER(VMS_Sales!$L:$L,VMS_Sales!$O:$O=$L$2),""""),"""")"),9.0)</f>
        <v>9</v>
      </c>
      <c r="F91" s="1">
        <f t="shared" si="2"/>
        <v>9</v>
      </c>
      <c r="G91" s="1">
        <f t="array" ref="G91">IFERROR(
SUMIFS(
PurchaseLines_Import!$I:$I,
PurchaseLines_Import!$C:$C, XLOOKUP(A91,Map!$A:$A,Map!$B:$B,""),
PurchaseLines_Import!$H:$H, $L$1
),
"")</f>
        <v>0</v>
      </c>
      <c r="H91" s="1">
        <f t="array" ref="H91">IFERROR(
SUMIFS(
Inventory_Import!$D:$D,
Inventory_Import!$B:$B, TEXT(XLOOKUP(A91,Map!$A:$A,Map!$B:$B,""),"0000")
),
0)</f>
        <v>0</v>
      </c>
      <c r="I91" s="1">
        <f t="shared" si="3"/>
        <v>1</v>
      </c>
      <c r="J91" s="1">
        <f t="shared" si="4"/>
        <v>9</v>
      </c>
      <c r="N91" s="1" t="str">
        <f>IFERROR(__xludf.DUMMYFUNCTION("""COMPUTED_VALUE"""),"Wafer Laviva")</f>
        <v>Wafer Laviva</v>
      </c>
      <c r="O91" s="1">
        <f>IFERROR(__xludf.DUMMYFUNCTION("""COMPUTED_VALUE"""),0.0)</f>
        <v>0</v>
      </c>
      <c r="P91" s="1">
        <f>IFERROR(__xludf.DUMMYFUNCTION("""COMPUTED_VALUE"""),1.0)</f>
        <v>1</v>
      </c>
      <c r="Q91" s="1">
        <f>IFERROR(__xludf.DUMMYFUNCTION("""COMPUTED_VALUE"""),1.0)</f>
        <v>1</v>
      </c>
      <c r="R91" s="1"/>
      <c r="S91" s="1"/>
      <c r="T91" s="1">
        <f>IFERROR(__xludf.DUMMYFUNCTION("""COMPUTED_VALUE"""),0.0)</f>
        <v>0</v>
      </c>
      <c r="U91" s="1">
        <f>IFERROR(__xludf.DUMMYFUNCTION("""COMPUTED_VALUE"""),0.0)</f>
        <v>0</v>
      </c>
      <c r="V91" s="1">
        <f>IFERROR(__xludf.DUMMYFUNCTION("""COMPUTED_VALUE"""),1.0)</f>
        <v>1</v>
      </c>
      <c r="W91" s="1"/>
    </row>
    <row r="92">
      <c r="A92" s="1" t="str">
        <f>IFERROR(__xludf.DUMMYFUNCTION("""COMPUTED_VALUE"""),"Bounty wafer roll")</f>
        <v>Bounty wafer roll</v>
      </c>
      <c r="B92" s="1">
        <f>IF(A92="","",SUMIFS(VMS_Sales!F:F,VMS_Sales!D:D,A92,VMS_Sales!O:O,$L$2))</f>
        <v>126</v>
      </c>
      <c r="C92" s="1">
        <f>IF(A92="","",ROUND((
SUMIFS(VMS_Sales!F:F,VMS_Sales!D:D,A92,VMS_Sales!O:O,$L$1)+
SUMIFS(VMS_Sales!F:F,VMS_Sales!D:D,A92,VMS_Sales!O:O,$L$2)+
SUMIFS(VMS_Sales!F:F,VMS_Sales!D:D,A92,VMS_Sales!O:O,$L$3)
)/3,2))</f>
        <v>42</v>
      </c>
      <c r="D92" s="1">
        <f t="shared" si="1"/>
        <v>48</v>
      </c>
      <c r="E92" s="1">
        <f>IFERROR(__xludf.DUMMYFUNCTION("IFERROR(XLOOKUP(A92,FILTER(VMS_Sales!$D:$D,VMS_Sales!$O:$O=$L$2),FILTER(VMS_Sales!$L:$L,VMS_Sales!$O:$O=$L$2),""""),"""")"),1.08)</f>
        <v>1.08</v>
      </c>
      <c r="F92" s="1">
        <f t="shared" si="2"/>
        <v>51.84</v>
      </c>
      <c r="G92" s="1">
        <f t="array" ref="G92">IFERROR(
SUMIFS(
PurchaseLines_Import!$I:$I,
PurchaseLines_Import!$C:$C, XLOOKUP(A92,Map!$A:$A,Map!$B:$B,""),
PurchaseLines_Import!$H:$H, $L$1
),
"")</f>
        <v>0</v>
      </c>
      <c r="H92" s="1">
        <f t="array" ref="H92">IFERROR(
SUMIFS(
Inventory_Import!$D:$D,
Inventory_Import!$B:$B, TEXT(XLOOKUP(A92,Map!$A:$A,Map!$B:$B,""),"0000")
),
0)</f>
        <v>0</v>
      </c>
      <c r="I92" s="1">
        <f t="shared" si="3"/>
        <v>48</v>
      </c>
      <c r="J92" s="1">
        <f t="shared" si="4"/>
        <v>51.84</v>
      </c>
      <c r="N92" s="1" t="str">
        <f>IFERROR(__xludf.DUMMYFUNCTION("""COMPUTED_VALUE"""),"m&amp;m")</f>
        <v>m&amp;m</v>
      </c>
      <c r="O92" s="1">
        <f>IFERROR(__xludf.DUMMYFUNCTION("""COMPUTED_VALUE"""),0.0)</f>
        <v>0</v>
      </c>
      <c r="P92" s="1">
        <f>IFERROR(__xludf.DUMMYFUNCTION("""COMPUTED_VALUE"""),1.0)</f>
        <v>1</v>
      </c>
      <c r="Q92" s="1">
        <f>IFERROR(__xludf.DUMMYFUNCTION("""COMPUTED_VALUE"""),1.0)</f>
        <v>1</v>
      </c>
      <c r="R92" s="1"/>
      <c r="S92" s="1"/>
      <c r="T92" s="1">
        <f>IFERROR(__xludf.DUMMYFUNCTION("""COMPUTED_VALUE"""),0.0)</f>
        <v>0</v>
      </c>
      <c r="U92" s="1">
        <f>IFERROR(__xludf.DUMMYFUNCTION("""COMPUTED_VALUE"""),0.0)</f>
        <v>0</v>
      </c>
      <c r="V92" s="1">
        <f>IFERROR(__xludf.DUMMYFUNCTION("""COMPUTED_VALUE"""),1.0)</f>
        <v>1</v>
      </c>
      <c r="W92" s="1"/>
    </row>
    <row r="93">
      <c r="A93" s="1" t="str">
        <f>IFERROR(__xludf.DUMMYFUNCTION("""COMPUTED_VALUE"""),"BeBeto marshmello")</f>
        <v>BeBeto marshmello</v>
      </c>
      <c r="B93" s="1">
        <f>IF(A93="","",SUMIFS(VMS_Sales!F:F,VMS_Sales!D:D,A93,VMS_Sales!O:O,$L$2))</f>
        <v>51</v>
      </c>
      <c r="C93" s="1">
        <f>IF(A93="","",ROUND((
SUMIFS(VMS_Sales!F:F,VMS_Sales!D:D,A93,VMS_Sales!O:O,$L$1)+
SUMIFS(VMS_Sales!F:F,VMS_Sales!D:D,A93,VMS_Sales!O:O,$L$2)+
SUMIFS(VMS_Sales!F:F,VMS_Sales!D:D,A93,VMS_Sales!O:O,$L$3)
)/3,2))</f>
        <v>17</v>
      </c>
      <c r="D93" s="1">
        <f t="shared" si="1"/>
        <v>20</v>
      </c>
      <c r="E93" s="1">
        <f>IFERROR(__xludf.DUMMYFUNCTION("IFERROR(XLOOKUP(A93,FILTER(VMS_Sales!$D:$D,VMS_Sales!$O:$O=$L$2),FILTER(VMS_Sales!$L:$L,VMS_Sales!$O:$O=$L$2),""""),"""")"),1.91)</f>
        <v>1.91</v>
      </c>
      <c r="F93" s="1">
        <f t="shared" si="2"/>
        <v>38.2</v>
      </c>
      <c r="G93" s="1">
        <f t="array" ref="G93">IFERROR(
SUMIFS(
PurchaseLines_Import!$I:$I,
PurchaseLines_Import!$C:$C, XLOOKUP(A93,Map!$A:$A,Map!$B:$B,""),
PurchaseLines_Import!$H:$H, $L$1
),
"")</f>
        <v>0</v>
      </c>
      <c r="H93" s="1">
        <f t="array" ref="H93">IFERROR(
SUMIFS(
Inventory_Import!$D:$D,
Inventory_Import!$B:$B, TEXT(XLOOKUP(A93,Map!$A:$A,Map!$B:$B,""),"0000")
),
0)</f>
        <v>0</v>
      </c>
      <c r="I93" s="1">
        <f t="shared" si="3"/>
        <v>20</v>
      </c>
      <c r="J93" s="1">
        <f t="shared" si="4"/>
        <v>38.2</v>
      </c>
      <c r="N93" s="1" t="str">
        <f>IFERROR(__xludf.DUMMYFUNCTION("""COMPUTED_VALUE"""),"L suntop")</f>
        <v>L suntop</v>
      </c>
      <c r="O93" s="1">
        <f>IFERROR(__xludf.DUMMYFUNCTION("""COMPUTED_VALUE"""),0.0)</f>
        <v>0</v>
      </c>
      <c r="P93" s="1">
        <f>IFERROR(__xludf.DUMMYFUNCTION("""COMPUTED_VALUE"""),2.67)</f>
        <v>2.67</v>
      </c>
      <c r="Q93" s="1">
        <f>IFERROR(__xludf.DUMMYFUNCTION("""COMPUTED_VALUE"""),3.0)</f>
        <v>3</v>
      </c>
      <c r="R93" s="1"/>
      <c r="S93" s="1"/>
      <c r="T93" s="1">
        <f>IFERROR(__xludf.DUMMYFUNCTION("""COMPUTED_VALUE"""),0.0)</f>
        <v>0</v>
      </c>
      <c r="U93" s="1">
        <f>IFERROR(__xludf.DUMMYFUNCTION("""COMPUTED_VALUE"""),0.0)</f>
        <v>0</v>
      </c>
      <c r="V93" s="1">
        <f>IFERROR(__xludf.DUMMYFUNCTION("""COMPUTED_VALUE"""),3.0)</f>
        <v>3</v>
      </c>
      <c r="W93" s="1"/>
    </row>
    <row r="94">
      <c r="A94" s="1" t="str">
        <f>IFERROR(__xludf.DUMMYFUNCTION("""COMPUTED_VALUE"""),"Doritos BBQ")</f>
        <v>Doritos BBQ</v>
      </c>
      <c r="B94" s="1">
        <f>IF(A94="","",SUMIFS(VMS_Sales!F:F,VMS_Sales!D:D,A94,VMS_Sales!O:O,$L$2))</f>
        <v>57</v>
      </c>
      <c r="C94" s="1">
        <f>IF(A94="","",ROUND((
SUMIFS(VMS_Sales!F:F,VMS_Sales!D:D,A94,VMS_Sales!O:O,$L$1)+
SUMIFS(VMS_Sales!F:F,VMS_Sales!D:D,A94,VMS_Sales!O:O,$L$2)+
SUMIFS(VMS_Sales!F:F,VMS_Sales!D:D,A94,VMS_Sales!O:O,$L$3)
)/3,2))</f>
        <v>19</v>
      </c>
      <c r="D94" s="1">
        <f t="shared" si="1"/>
        <v>22</v>
      </c>
      <c r="E94" s="1">
        <f>IFERROR(__xludf.DUMMYFUNCTION("IFERROR(XLOOKUP(A94,FILTER(VMS_Sales!$D:$D,VMS_Sales!$O:$O=$L$2),FILTER(VMS_Sales!$L:$L,VMS_Sales!$O:$O=$L$2),""""),"""")"),2.93)</f>
        <v>2.93</v>
      </c>
      <c r="F94" s="1">
        <f t="shared" si="2"/>
        <v>64.46</v>
      </c>
      <c r="G94" s="1">
        <f t="array" ref="G94">IFERROR(
SUMIFS(
PurchaseLines_Import!$I:$I,
PurchaseLines_Import!$C:$C, XLOOKUP(A94,Map!$A:$A,Map!$B:$B,""),
PurchaseLines_Import!$H:$H, $L$1
),
"")</f>
        <v>0</v>
      </c>
      <c r="H94" s="1">
        <f t="array" ref="H94">IFERROR(
SUMIFS(
Inventory_Import!$D:$D,
Inventory_Import!$B:$B, TEXT(XLOOKUP(A94,Map!$A:$A,Map!$B:$B,""),"0000")
),
0)</f>
        <v>0</v>
      </c>
      <c r="I94" s="1">
        <f t="shared" si="3"/>
        <v>22</v>
      </c>
      <c r="J94" s="1">
        <f t="shared" si="4"/>
        <v>64.46</v>
      </c>
      <c r="N94" s="1" t="str">
        <f>IFERROR(__xludf.DUMMYFUNCTION("""COMPUTED_VALUE"""),"EXO")</f>
        <v>EXO</v>
      </c>
      <c r="O94" s="1">
        <f>IFERROR(__xludf.DUMMYFUNCTION("""COMPUTED_VALUE"""),0.0)</f>
        <v>0</v>
      </c>
      <c r="P94" s="1">
        <f>IFERROR(__xludf.DUMMYFUNCTION("""COMPUTED_VALUE"""),2.0)</f>
        <v>2</v>
      </c>
      <c r="Q94" s="1">
        <f>IFERROR(__xludf.DUMMYFUNCTION("""COMPUTED_VALUE"""),2.0)</f>
        <v>2</v>
      </c>
      <c r="R94" s="1"/>
      <c r="S94" s="1"/>
      <c r="T94" s="1">
        <f>IFERROR(__xludf.DUMMYFUNCTION("""COMPUTED_VALUE"""),0.0)</f>
        <v>0</v>
      </c>
      <c r="U94" s="1">
        <f>IFERROR(__xludf.DUMMYFUNCTION("""COMPUTED_VALUE"""),0.0)</f>
        <v>0</v>
      </c>
      <c r="V94" s="1">
        <f>IFERROR(__xludf.DUMMYFUNCTION("""COMPUTED_VALUE"""),2.0)</f>
        <v>2</v>
      </c>
      <c r="W94" s="1"/>
    </row>
    <row r="95">
      <c r="A95" s="1" t="str">
        <f>IFERROR(__xludf.DUMMYFUNCTION("""COMPUTED_VALUE"""),"kinder delice")</f>
        <v>kinder delice</v>
      </c>
      <c r="B95" s="1">
        <f>IF(A95="","",SUMIFS(VMS_Sales!F:F,VMS_Sales!D:D,A95,VMS_Sales!O:O,$L$2))</f>
        <v>6</v>
      </c>
      <c r="C95" s="1">
        <f>IF(A95="","",ROUND((
SUMIFS(VMS_Sales!F:F,VMS_Sales!D:D,A95,VMS_Sales!O:O,$L$1)+
SUMIFS(VMS_Sales!F:F,VMS_Sales!D:D,A95,VMS_Sales!O:O,$L$2)+
SUMIFS(VMS_Sales!F:F,VMS_Sales!D:D,A95,VMS_Sales!O:O,$L$3)
)/3,2))</f>
        <v>2</v>
      </c>
      <c r="D95" s="1">
        <f t="shared" si="1"/>
        <v>2</v>
      </c>
      <c r="E95" s="1">
        <f>IFERROR(__xludf.DUMMYFUNCTION("IFERROR(XLOOKUP(A95,FILTER(VMS_Sales!$D:$D,VMS_Sales!$O:$O=$L$2),FILTER(VMS_Sales!$L:$L,VMS_Sales!$O:$O=$L$2),""""),"""")"),2.4)</f>
        <v>2.4</v>
      </c>
      <c r="F95" s="1">
        <f t="shared" si="2"/>
        <v>4.8</v>
      </c>
      <c r="G95" s="1">
        <f t="array" ref="G95">IFERROR(
SUMIFS(
PurchaseLines_Import!$I:$I,
PurchaseLines_Import!$C:$C, XLOOKUP(A95,Map!$A:$A,Map!$B:$B,""),
PurchaseLines_Import!$H:$H, $L$1
),
"")</f>
        <v>50</v>
      </c>
      <c r="H95" s="1">
        <f t="array" ref="H95">IFERROR(
SUMIFS(
Inventory_Import!$D:$D,
Inventory_Import!$B:$B, TEXT(XLOOKUP(A95,Map!$A:$A,Map!$B:$B,""),"0000")
),
0)</f>
        <v>5</v>
      </c>
      <c r="I95" s="1">
        <f t="shared" si="3"/>
        <v>0</v>
      </c>
      <c r="J95" s="1">
        <f t="shared" si="4"/>
        <v>0</v>
      </c>
      <c r="N95" s="1" t="str">
        <f>IFERROR(__xludf.DUMMYFUNCTION("""COMPUTED_VALUE"""),"Activ chips")</f>
        <v>Activ chips</v>
      </c>
      <c r="O95" s="1">
        <f>IFERROR(__xludf.DUMMYFUNCTION("""COMPUTED_VALUE"""),0.0)</f>
        <v>0</v>
      </c>
      <c r="P95" s="1">
        <f>IFERROR(__xludf.DUMMYFUNCTION("""COMPUTED_VALUE"""),4.0)</f>
        <v>4</v>
      </c>
      <c r="Q95" s="1">
        <f>IFERROR(__xludf.DUMMYFUNCTION("""COMPUTED_VALUE"""),5.0)</f>
        <v>5</v>
      </c>
      <c r="R95" s="1"/>
      <c r="S95" s="1"/>
      <c r="T95" s="1">
        <f>IFERROR(__xludf.DUMMYFUNCTION("""COMPUTED_VALUE"""),0.0)</f>
        <v>0</v>
      </c>
      <c r="U95" s="1">
        <f>IFERROR(__xludf.DUMMYFUNCTION("""COMPUTED_VALUE"""),0.0)</f>
        <v>0</v>
      </c>
      <c r="V95" s="1">
        <f>IFERROR(__xludf.DUMMYFUNCTION("""COMPUTED_VALUE"""),5.0)</f>
        <v>5</v>
      </c>
      <c r="W95" s="1"/>
    </row>
    <row r="96">
      <c r="A96" s="1" t="str">
        <f>IFERROR(__xludf.DUMMYFUNCTION("""COMPUTED_VALUE"""),"Balls")</f>
        <v>Balls</v>
      </c>
      <c r="B96" s="1">
        <f>IF(A96="","",SUMIFS(VMS_Sales!F:F,VMS_Sales!D:D,A96,VMS_Sales!O:O,$L$2))</f>
        <v>100</v>
      </c>
      <c r="C96" s="1">
        <f>IF(A96="","",ROUND((
SUMIFS(VMS_Sales!F:F,VMS_Sales!D:D,A96,VMS_Sales!O:O,$L$1)+
SUMIFS(VMS_Sales!F:F,VMS_Sales!D:D,A96,VMS_Sales!O:O,$L$2)+
SUMIFS(VMS_Sales!F:F,VMS_Sales!D:D,A96,VMS_Sales!O:O,$L$3)
)/3,2))</f>
        <v>33.33</v>
      </c>
      <c r="D96" s="1">
        <f t="shared" si="1"/>
        <v>38</v>
      </c>
      <c r="E96" s="1">
        <f>IFERROR(__xludf.DUMMYFUNCTION("IFERROR(XLOOKUP(A96,FILTER(VMS_Sales!$D:$D,VMS_Sales!$O:$O=$L$2),FILTER(VMS_Sales!$L:$L,VMS_Sales!$O:$O=$L$2),""""),"""")"),0.4)</f>
        <v>0.4</v>
      </c>
      <c r="F96" s="1">
        <f t="shared" si="2"/>
        <v>15.2</v>
      </c>
      <c r="G96" s="1">
        <f t="array" ref="G96">IFERROR(
SUMIFS(
PurchaseLines_Import!$I:$I,
PurchaseLines_Import!$C:$C, XLOOKUP(A96,Map!$A:$A,Map!$B:$B,""),
PurchaseLines_Import!$H:$H, $L$1
),
"")</f>
        <v>0</v>
      </c>
      <c r="H96" s="1">
        <f t="array" ref="H96">IFERROR(
SUMIFS(
Inventory_Import!$D:$D,
Inventory_Import!$B:$B, TEXT(XLOOKUP(A96,Map!$A:$A,Map!$B:$B,""),"0000")
),
0)</f>
        <v>0</v>
      </c>
      <c r="I96" s="1">
        <f t="shared" si="3"/>
        <v>38</v>
      </c>
      <c r="J96" s="1">
        <f t="shared" si="4"/>
        <v>15.2</v>
      </c>
    </row>
    <row r="97">
      <c r="B97" s="1" t="str">
        <f>IF(A97="","",SUMIFS(VMS_Sales!F:F,VMS_Sales!D:D,A97,VMS_Sales!O:O,$L$2))</f>
        <v/>
      </c>
      <c r="C97" s="1" t="str">
        <f>IF(A97="","",ROUND((
SUMIFS(VMS_Sales!F:F,VMS_Sales!D:D,A97,VMS_Sales!O:O,$L$1)+
SUMIFS(VMS_Sales!F:F,VMS_Sales!D:D,A97,VMS_Sales!O:O,$L$2)+
SUMIFS(VMS_Sales!F:F,VMS_Sales!D:D,A97,VMS_Sales!O:O,$L$3)
)/3,2))</f>
        <v/>
      </c>
      <c r="D97" s="1" t="str">
        <f t="shared" si="1"/>
        <v/>
      </c>
      <c r="E97" s="1" t="str">
        <f>IFERROR(__xludf.DUMMYFUNCTION("IFERROR(XLOOKUP(A97,FILTER(VMS_Sales!$D:$D,VMS_Sales!$O:$O=$L$2),FILTER(VMS_Sales!$L:$L,VMS_Sales!$O:$O=$L$2),""""),"""")"),"")</f>
        <v/>
      </c>
      <c r="F97" s="1" t="str">
        <f t="shared" si="2"/>
        <v/>
      </c>
      <c r="G97" s="1">
        <f t="array" ref="G97">IFERROR(
SUMIFS(
PurchaseLines_Import!$I:$I,
PurchaseLines_Import!$C:$C, XLOOKUP(A97,Map!$A:$A,Map!$B:$B,""),
PurchaseLines_Import!$H:$H, $L$1
),
"")</f>
        <v>0</v>
      </c>
      <c r="I97" s="1" t="str">
        <f t="shared" si="3"/>
        <v/>
      </c>
      <c r="J97" s="1" t="str">
        <f t="shared" si="4"/>
        <v/>
      </c>
    </row>
    <row r="98">
      <c r="B98" s="1" t="str">
        <f>IF(A98="","",SUMIFS(VMS_Sales!F:F,VMS_Sales!D:D,A98,VMS_Sales!O:O,$L$2))</f>
        <v/>
      </c>
      <c r="C98" s="1" t="str">
        <f>IF(A98="","",ROUND((
SUMIFS(VMS_Sales!F:F,VMS_Sales!D:D,A98,VMS_Sales!O:O,$L$1)+
SUMIFS(VMS_Sales!F:F,VMS_Sales!D:D,A98,VMS_Sales!O:O,$L$2)+
SUMIFS(VMS_Sales!F:F,VMS_Sales!D:D,A98,VMS_Sales!O:O,$L$3)
)/3,2))</f>
        <v/>
      </c>
      <c r="D98" s="1" t="str">
        <f t="shared" si="1"/>
        <v/>
      </c>
      <c r="E98" s="1" t="str">
        <f>IFERROR(__xludf.DUMMYFUNCTION("IFERROR(XLOOKUP(A98,FILTER(VMS_Sales!$D:$D,VMS_Sales!$O:$O=$L$2),FILTER(VMS_Sales!$L:$L,VMS_Sales!$O:$O=$L$2),""""),"""")"),"")</f>
        <v/>
      </c>
      <c r="F98" s="1" t="str">
        <f t="shared" si="2"/>
        <v/>
      </c>
      <c r="G98" s="1">
        <f t="array" ref="G98">IFERROR(
SUMIFS(
PurchaseLines_Import!$I:$I,
PurchaseLines_Import!$C:$C, XLOOKUP(A98,Map!$A:$A,Map!$B:$B,""),
PurchaseLines_Import!$H:$H, $L$1
),
"")</f>
        <v>0</v>
      </c>
      <c r="J98" s="1" t="str">
        <f t="shared" si="4"/>
        <v/>
      </c>
    </row>
    <row r="99">
      <c r="B99" s="1" t="str">
        <f>IF(A99="","",SUMIFS(VMS_Sales!F:F,VMS_Sales!D:D,A99,VMS_Sales!O:O,$L$2))</f>
        <v/>
      </c>
      <c r="C99" s="1" t="str">
        <f>IF(A99="","",ROUND((
SUMIFS(VMS_Sales!F:F,VMS_Sales!D:D,A99,VMS_Sales!O:O,$L$1)+
SUMIFS(VMS_Sales!F:F,VMS_Sales!D:D,A99,VMS_Sales!O:O,$L$2)+
SUMIFS(VMS_Sales!F:F,VMS_Sales!D:D,A99,VMS_Sales!O:O,$L$3)
)/3,2))</f>
        <v/>
      </c>
      <c r="D99" s="1" t="str">
        <f t="shared" si="1"/>
        <v/>
      </c>
      <c r="E99" s="1" t="str">
        <f>IFERROR(__xludf.DUMMYFUNCTION("IFERROR(XLOOKUP(A99,FILTER(VMS_Sales!$D:$D,VMS_Sales!$O:$O=$L$2),FILTER(VMS_Sales!$L:$L,VMS_Sales!$O:$O=$L$2),""""),"""")"),"")</f>
        <v/>
      </c>
      <c r="F99" s="1" t="str">
        <f t="shared" si="2"/>
        <v/>
      </c>
      <c r="G99" s="1">
        <f t="array" ref="G99">IFERROR(
SUMIFS(
PurchaseLines_Import!$I:$I,
PurchaseLines_Import!$C:$C, XLOOKUP(A99,Map!$A:$A,Map!$B:$B,""),
PurchaseLines_Import!$H:$H, $L$1
),
"")</f>
        <v>0</v>
      </c>
      <c r="J99" s="1" t="str">
        <f t="shared" si="4"/>
        <v/>
      </c>
    </row>
    <row r="100">
      <c r="B100" s="1" t="str">
        <f>IF(A100="","",SUMIFS(VMS_Sales!F:F,VMS_Sales!D:D,A100,VMS_Sales!O:O,$L$2))</f>
        <v/>
      </c>
      <c r="C100" s="1" t="str">
        <f>IF(A100="","",ROUND((
SUMIFS(VMS_Sales!F:F,VMS_Sales!D:D,A100,VMS_Sales!O:O,$L$1)+
SUMIFS(VMS_Sales!F:F,VMS_Sales!D:D,A100,VMS_Sales!O:O,$L$2)+
SUMIFS(VMS_Sales!F:F,VMS_Sales!D:D,A100,VMS_Sales!O:O,$L$3)
)/3,2))</f>
        <v/>
      </c>
      <c r="D100" s="1" t="str">
        <f t="shared" si="1"/>
        <v/>
      </c>
      <c r="E100" s="1" t="str">
        <f>IFERROR(__xludf.DUMMYFUNCTION("IFERROR(XLOOKUP(A100,FILTER(VMS_Sales!$D:$D,VMS_Sales!$O:$O=$L$2),FILTER(VMS_Sales!$L:$L,VMS_Sales!$O:$O=$L$2),""""),"""")"),"")</f>
        <v/>
      </c>
      <c r="F100" s="1" t="str">
        <f t="shared" si="2"/>
        <v/>
      </c>
      <c r="G100" s="1">
        <f t="array" ref="G100">IFERROR(
SUMIFS(
PurchaseLines_Import!$I:$I,
PurchaseLines_Import!$C:$C, XLOOKUP(A100,Map!$A:$A,Map!$B:$B,""),
PurchaseLines_Import!$H:$H, $L$1
),
"")</f>
        <v>0</v>
      </c>
      <c r="J100" s="1" t="str">
        <f t="shared" si="4"/>
        <v/>
      </c>
    </row>
    <row r="101">
      <c r="B101" s="1" t="str">
        <f>IF(A101="","",SUMIFS(VMS_Sales!F:F,VMS_Sales!D:D,A101,VMS_Sales!O:O,$L$2))</f>
        <v/>
      </c>
      <c r="C101" s="1" t="str">
        <f>IF(A101="","",ROUND((
SUMIFS(VMS_Sales!F:F,VMS_Sales!D:D,A101,VMS_Sales!O:O,$L$1)+
SUMIFS(VMS_Sales!F:F,VMS_Sales!D:D,A101,VMS_Sales!O:O,$L$2)+
SUMIFS(VMS_Sales!F:F,VMS_Sales!D:D,A101,VMS_Sales!O:O,$L$3)
)/3,2))</f>
        <v/>
      </c>
      <c r="D101" s="1" t="str">
        <f t="shared" si="1"/>
        <v/>
      </c>
      <c r="E101" s="1" t="str">
        <f>IFERROR(__xludf.DUMMYFUNCTION("IFERROR(XLOOKUP(A101,FILTER(VMS_Sales!$D:$D,VMS_Sales!$O:$O=$L$2),FILTER(VMS_Sales!$L:$L,VMS_Sales!$O:$O=$L$2),""""),"""")"),"")</f>
        <v/>
      </c>
      <c r="F101" s="1" t="str">
        <f t="shared" si="2"/>
        <v/>
      </c>
      <c r="G101" s="1">
        <f t="array" ref="G101">IFERROR(
SUMIFS(
PurchaseLines_Import!$I:$I,
PurchaseLines_Import!$C:$C, XLOOKUP(A101,Map!$A:$A,Map!$B:$B,""),
PurchaseLines_Import!$H:$H, $L$1
),
"")</f>
        <v>0</v>
      </c>
      <c r="J101" s="1" t="str">
        <f t="shared" si="4"/>
        <v/>
      </c>
    </row>
    <row r="102">
      <c r="B102" s="1" t="str">
        <f>IF(A102="","",SUMIFS(VMS_Sales!F:F,VMS_Sales!D:D,A102,VMS_Sales!O:O,$L$2))</f>
        <v/>
      </c>
      <c r="C102" s="1" t="str">
        <f>IF(A102="","",ROUND((
SUMIFS(VMS_Sales!F:F,VMS_Sales!D:D,A102,VMS_Sales!O:O,$L$1)+
SUMIFS(VMS_Sales!F:F,VMS_Sales!D:D,A102,VMS_Sales!O:O,$L$2)+
SUMIFS(VMS_Sales!F:F,VMS_Sales!D:D,A102,VMS_Sales!O:O,$L$3)
)/3,2))</f>
        <v/>
      </c>
      <c r="D102" s="1" t="str">
        <f t="shared" si="1"/>
        <v/>
      </c>
      <c r="E102" s="1" t="str">
        <f>IFERROR(__xludf.DUMMYFUNCTION("IFERROR(XLOOKUP(A102,FILTER(VMS_Sales!$D:$D,VMS_Sales!$O:$O=$L$2),FILTER(VMS_Sales!$L:$L,VMS_Sales!$O:$O=$L$2),""""),"""")"),"")</f>
        <v/>
      </c>
      <c r="F102" s="1" t="str">
        <f t="shared" si="2"/>
        <v/>
      </c>
      <c r="G102" s="1">
        <f t="array" ref="G102">IFERROR(
SUMIFS(
PurchaseLines_Import!$I:$I,
PurchaseLines_Import!$C:$C, XLOOKUP(A102,Map!$A:$A,Map!$B:$B,""),
PurchaseLines_Import!$H:$H, $L$1
),
"")</f>
        <v>0</v>
      </c>
      <c r="J102" s="1" t="str">
        <f t="shared" si="4"/>
        <v/>
      </c>
    </row>
    <row r="103">
      <c r="B103" s="1" t="str">
        <f>IF(A103="","",SUMIFS(VMS_Sales!F:F,VMS_Sales!D:D,A103,VMS_Sales!O:O,$L$2))</f>
        <v/>
      </c>
      <c r="C103" s="1" t="str">
        <f>IF(A103="","",ROUND((
SUMIFS(VMS_Sales!F:F,VMS_Sales!D:D,A103,VMS_Sales!O:O,$L$1)+
SUMIFS(VMS_Sales!F:F,VMS_Sales!D:D,A103,VMS_Sales!O:O,$L$2)+
SUMIFS(VMS_Sales!F:F,VMS_Sales!D:D,A103,VMS_Sales!O:O,$L$3)
)/3,2))</f>
        <v/>
      </c>
      <c r="D103" s="1" t="str">
        <f t="shared" si="1"/>
        <v/>
      </c>
      <c r="E103" s="1" t="str">
        <f>IFERROR(__xludf.DUMMYFUNCTION("IFERROR(XLOOKUP(A103,FILTER(VMS_Sales!$D:$D,VMS_Sales!$O:$O=$L$2),FILTER(VMS_Sales!$L:$L,VMS_Sales!$O:$O=$L$2),""""),"""")"),"")</f>
        <v/>
      </c>
      <c r="F103" s="1" t="str">
        <f t="shared" si="2"/>
        <v/>
      </c>
      <c r="G103" s="1">
        <f t="array" ref="G103">IFERROR(
SUMIFS(
PurchaseLines_Import!$I:$I,
PurchaseLines_Import!$C:$C, XLOOKUP(A103,Map!$A:$A,Map!$B:$B,""),
PurchaseLines_Import!$H:$H, $L$1
),
"")</f>
        <v>0</v>
      </c>
      <c r="J103" s="1" t="str">
        <f t="shared" si="4"/>
        <v/>
      </c>
    </row>
    <row r="104">
      <c r="B104" s="1" t="str">
        <f>IF(A104="","",SUMIFS(VMS_Sales!F:F,VMS_Sales!D:D,A104,VMS_Sales!O:O,$L$2))</f>
        <v/>
      </c>
      <c r="C104" s="1" t="str">
        <f>IF(A104="","",ROUND((
SUMIFS(VMS_Sales!F:F,VMS_Sales!D:D,A104,VMS_Sales!O:O,$L$1)+
SUMIFS(VMS_Sales!F:F,VMS_Sales!D:D,A104,VMS_Sales!O:O,$L$2)+
SUMIFS(VMS_Sales!F:F,VMS_Sales!D:D,A104,VMS_Sales!O:O,$L$3)
)/3,2))</f>
        <v/>
      </c>
      <c r="D104" s="1" t="str">
        <f t="shared" si="1"/>
        <v/>
      </c>
      <c r="E104" s="1" t="str">
        <f>IFERROR(__xludf.DUMMYFUNCTION("IFERROR(XLOOKUP(A104,FILTER(VMS_Sales!$D:$D,VMS_Sales!$O:$O=$L$2),FILTER(VMS_Sales!$L:$L,VMS_Sales!$O:$O=$L$2),""""),"""")"),"")</f>
        <v/>
      </c>
      <c r="F104" s="1" t="str">
        <f t="shared" si="2"/>
        <v/>
      </c>
      <c r="G104" s="1">
        <f t="array" ref="G104">IFERROR(
SUMIFS(
PurchaseLines_Import!$I:$I,
PurchaseLines_Import!$C:$C, XLOOKUP(A104,Map!$A:$A,Map!$B:$B,""),
PurchaseLines_Import!$H:$H, $L$1
),
"")</f>
        <v>0</v>
      </c>
      <c r="J104" s="1" t="str">
        <f t="shared" si="4"/>
        <v/>
      </c>
    </row>
    <row r="105">
      <c r="B105" s="1" t="str">
        <f>IF(A105="","",SUMIFS(VMS_Sales!F:F,VMS_Sales!D:D,A105,VMS_Sales!O:O,$L$2))</f>
        <v/>
      </c>
      <c r="C105" s="1" t="str">
        <f>IF(A105="","",ROUND((
SUMIFS(VMS_Sales!F:F,VMS_Sales!D:D,A105,VMS_Sales!O:O,$L$1)+
SUMIFS(VMS_Sales!F:F,VMS_Sales!D:D,A105,VMS_Sales!O:O,$L$2)+
SUMIFS(VMS_Sales!F:F,VMS_Sales!D:D,A105,VMS_Sales!O:O,$L$3)
)/3,2))</f>
        <v/>
      </c>
      <c r="D105" s="1" t="str">
        <f t="shared" si="1"/>
        <v/>
      </c>
      <c r="E105" s="1" t="str">
        <f>IFERROR(__xludf.DUMMYFUNCTION("IFERROR(XLOOKUP(A105,FILTER(VMS_Sales!$D:$D,VMS_Sales!$O:$O=$L$2),FILTER(VMS_Sales!$L:$L,VMS_Sales!$O:$O=$L$2),""""),"""")"),"")</f>
        <v/>
      </c>
      <c r="F105" s="1" t="str">
        <f t="shared" si="2"/>
        <v/>
      </c>
      <c r="G105" s="1">
        <f t="array" ref="G105">IFERROR(
SUMIFS(
PurchaseLines_Import!$I:$I,
PurchaseLines_Import!$C:$C, XLOOKUP(A105,Map!$A:$A,Map!$B:$B,""),
PurchaseLines_Import!$H:$H, $L$1
),
"")</f>
        <v>0</v>
      </c>
      <c r="J105" s="1" t="str">
        <f t="shared" si="4"/>
        <v/>
      </c>
    </row>
    <row r="106">
      <c r="B106" s="1" t="str">
        <f>IF(A106="","",SUMIFS(VMS_Sales!F:F,VMS_Sales!D:D,A106,VMS_Sales!O:O,$L$2))</f>
        <v/>
      </c>
      <c r="C106" s="1" t="str">
        <f>IF(A106="","",ROUND((
SUMIFS(VMS_Sales!F:F,VMS_Sales!D:D,A106,VMS_Sales!O:O,$L$1)+
SUMIFS(VMS_Sales!F:F,VMS_Sales!D:D,A106,VMS_Sales!O:O,$L$2)+
SUMIFS(VMS_Sales!F:F,VMS_Sales!D:D,A106,VMS_Sales!O:O,$L$3)
)/3,2))</f>
        <v/>
      </c>
      <c r="D106" s="1" t="str">
        <f t="shared" si="1"/>
        <v/>
      </c>
      <c r="E106" s="1" t="str">
        <f>IFERROR(__xludf.DUMMYFUNCTION("IFERROR(XLOOKUP(A106,FILTER(VMS_Sales!$D:$D,VMS_Sales!$O:$O=$L$2),FILTER(VMS_Sales!$L:$L,VMS_Sales!$O:$O=$L$2),""""),"""")"),"")</f>
        <v/>
      </c>
      <c r="F106" s="1" t="str">
        <f t="shared" si="2"/>
        <v/>
      </c>
      <c r="G106" s="1">
        <f t="array" ref="G106">IFERROR(
SUMIFS(
PurchaseLines_Import!$I:$I,
PurchaseLines_Import!$C:$C, XLOOKUP(A106,Map!$A:$A,Map!$B:$B,""),
PurchaseLines_Import!$H:$H, $L$1
),
"")</f>
        <v>0</v>
      </c>
      <c r="J106" s="1" t="str">
        <f t="shared" si="4"/>
        <v/>
      </c>
    </row>
    <row r="107">
      <c r="B107" s="1" t="str">
        <f>IF(A107="","",SUMIFS(VMS_Sales!F:F,VMS_Sales!D:D,A107,VMS_Sales!O:O,$L$2))</f>
        <v/>
      </c>
      <c r="C107" s="1" t="str">
        <f>IF(A107="","",ROUND((
SUMIFS(VMS_Sales!F:F,VMS_Sales!D:D,A107,VMS_Sales!O:O,$L$1)+
SUMIFS(VMS_Sales!F:F,VMS_Sales!D:D,A107,VMS_Sales!O:O,$L$2)+
SUMIFS(VMS_Sales!F:F,VMS_Sales!D:D,A107,VMS_Sales!O:O,$L$3)
)/3,2))</f>
        <v/>
      </c>
      <c r="D107" s="1" t="str">
        <f t="shared" si="1"/>
        <v/>
      </c>
      <c r="E107" s="1" t="str">
        <f>IFERROR(__xludf.DUMMYFUNCTION("IFERROR(XLOOKUP(A107,FILTER(VMS_Sales!$D:$D,VMS_Sales!$O:$O=$L$2),FILTER(VMS_Sales!$L:$L,VMS_Sales!$O:$O=$L$2),""""),"""")"),"")</f>
        <v/>
      </c>
      <c r="F107" s="1" t="str">
        <f t="shared" si="2"/>
        <v/>
      </c>
      <c r="G107" s="1">
        <f t="array" ref="G107">IFERROR(
SUMIFS(
PurchaseLines_Import!$I:$I,
PurchaseLines_Import!$C:$C, XLOOKUP(A107,Map!$A:$A,Map!$B:$B,""),
PurchaseLines_Import!$H:$H, $L$1
),
"")</f>
        <v>0</v>
      </c>
      <c r="J107" s="1" t="str">
        <f t="shared" si="4"/>
        <v/>
      </c>
    </row>
    <row r="108">
      <c r="B108" s="1" t="str">
        <f>IF(A108="","",SUMIFS(VMS_Sales!F:F,VMS_Sales!D:D,A108,VMS_Sales!O:O,$L$2))</f>
        <v/>
      </c>
      <c r="C108" s="1" t="str">
        <f>IF(A108="","",ROUND((
SUMIFS(VMS_Sales!F:F,VMS_Sales!D:D,A108,VMS_Sales!O:O,$L$1)+
SUMIFS(VMS_Sales!F:F,VMS_Sales!D:D,A108,VMS_Sales!O:O,$L$2)+
SUMIFS(VMS_Sales!F:F,VMS_Sales!D:D,A108,VMS_Sales!O:O,$L$3)
)/3,2))</f>
        <v/>
      </c>
      <c r="D108" s="1" t="str">
        <f t="shared" si="1"/>
        <v/>
      </c>
      <c r="E108" s="1" t="str">
        <f>IFERROR(__xludf.DUMMYFUNCTION("IFERROR(XLOOKUP(A108,FILTER(VMS_Sales!$D:$D,VMS_Sales!$O:$O=$L$2),FILTER(VMS_Sales!$L:$L,VMS_Sales!$O:$O=$L$2),""""),"""")"),"")</f>
        <v/>
      </c>
      <c r="F108" s="1" t="str">
        <f t="shared" si="2"/>
        <v/>
      </c>
      <c r="G108" s="1">
        <f t="array" ref="G108">IFERROR(
SUMIFS(
PurchaseLines_Import!$I:$I,
PurchaseLines_Import!$C:$C, XLOOKUP(A108,Map!$A:$A,Map!$B:$B,""),
PurchaseLines_Import!$H:$H, $L$1
),
"")</f>
        <v>0</v>
      </c>
      <c r="J108" s="1" t="str">
        <f t="shared" si="4"/>
        <v/>
      </c>
    </row>
    <row r="109">
      <c r="B109" s="1" t="str">
        <f>IF(A109="","",SUMIFS(VMS_Sales!F:F,VMS_Sales!D:D,A109,VMS_Sales!O:O,$L$2))</f>
        <v/>
      </c>
      <c r="C109" s="1" t="str">
        <f>IF(A109="","",ROUND((
SUMIFS(VMS_Sales!F:F,VMS_Sales!D:D,A109,VMS_Sales!O:O,$L$1)+
SUMIFS(VMS_Sales!F:F,VMS_Sales!D:D,A109,VMS_Sales!O:O,$L$2)+
SUMIFS(VMS_Sales!F:F,VMS_Sales!D:D,A109,VMS_Sales!O:O,$L$3)
)/3,2))</f>
        <v/>
      </c>
      <c r="D109" s="1" t="str">
        <f t="shared" si="1"/>
        <v/>
      </c>
      <c r="E109" s="1" t="str">
        <f>IFERROR(__xludf.DUMMYFUNCTION("IFERROR(XLOOKUP(A109,FILTER(VMS_Sales!$D:$D,VMS_Sales!$O:$O=$L$2),FILTER(VMS_Sales!$L:$L,VMS_Sales!$O:$O=$L$2),""""),"""")"),"")</f>
        <v/>
      </c>
      <c r="F109" s="1" t="str">
        <f t="shared" si="2"/>
        <v/>
      </c>
      <c r="G109" s="1">
        <f t="array" ref="G109">IFERROR(
SUMIFS(
PurchaseLines_Import!$I:$I,
PurchaseLines_Import!$C:$C, XLOOKUP(A109,Map!$A:$A,Map!$B:$B,""),
PurchaseLines_Import!$H:$H, $L$1
),
"")</f>
        <v>0</v>
      </c>
      <c r="J109" s="1" t="str">
        <f t="shared" si="4"/>
        <v/>
      </c>
    </row>
    <row r="110">
      <c r="B110" s="1" t="str">
        <f>IF(A110="","",SUMIFS(VMS_Sales!F:F,VMS_Sales!D:D,A110,VMS_Sales!O:O,$L$2))</f>
        <v/>
      </c>
      <c r="C110" s="1" t="str">
        <f>IF(A110="","",ROUND((
SUMIFS(VMS_Sales!F:F,VMS_Sales!D:D,A110,VMS_Sales!O:O,$L$1)+
SUMIFS(VMS_Sales!F:F,VMS_Sales!D:D,A110,VMS_Sales!O:O,$L$2)+
SUMIFS(VMS_Sales!F:F,VMS_Sales!D:D,A110,VMS_Sales!O:O,$L$3)
)/3,2))</f>
        <v/>
      </c>
      <c r="D110" s="1" t="str">
        <f t="shared" si="1"/>
        <v/>
      </c>
      <c r="E110" s="1" t="str">
        <f>IFERROR(__xludf.DUMMYFUNCTION("IFERROR(XLOOKUP(A110,FILTER(VMS_Sales!$D:$D,VMS_Sales!$O:$O=$L$2),FILTER(VMS_Sales!$L:$L,VMS_Sales!$O:$O=$L$2),""""),"""")"),"")</f>
        <v/>
      </c>
      <c r="F110" s="1" t="str">
        <f t="shared" si="2"/>
        <v/>
      </c>
      <c r="G110" s="1">
        <f t="array" ref="G110">IFERROR(
SUMIFS(
PurchaseLines_Import!$I:$I,
PurchaseLines_Import!$C:$C, XLOOKUP(A110,Map!$A:$A,Map!$B:$B,""),
PurchaseLines_Import!$H:$H, $L$1
),
"")</f>
        <v>0</v>
      </c>
      <c r="J110" s="1" t="str">
        <f t="shared" si="4"/>
        <v/>
      </c>
    </row>
    <row r="111">
      <c r="B111" s="1" t="str">
        <f>IF(A111="","",SUMIFS(VMS_Sales!F:F,VMS_Sales!D:D,A111,VMS_Sales!O:O,$L$2))</f>
        <v/>
      </c>
      <c r="C111" s="1" t="str">
        <f>IF(A111="","",ROUND((
SUMIFS(VMS_Sales!F:F,VMS_Sales!D:D,A111,VMS_Sales!O:O,$L$1)+
SUMIFS(VMS_Sales!F:F,VMS_Sales!D:D,A111,VMS_Sales!O:O,$L$2)+
SUMIFS(VMS_Sales!F:F,VMS_Sales!D:D,A111,VMS_Sales!O:O,$L$3)
)/3,2))</f>
        <v/>
      </c>
      <c r="D111" s="1" t="str">
        <f t="shared" si="1"/>
        <v/>
      </c>
      <c r="E111" s="1" t="str">
        <f>IFERROR(__xludf.DUMMYFUNCTION("IFERROR(XLOOKUP(A111,FILTER(VMS_Sales!$D:$D,VMS_Sales!$O:$O=$L$2),FILTER(VMS_Sales!$L:$L,VMS_Sales!$O:$O=$L$2),""""),"""")"),"")</f>
        <v/>
      </c>
      <c r="F111" s="1" t="str">
        <f t="shared" si="2"/>
        <v/>
      </c>
      <c r="G111" s="1">
        <f t="array" ref="G111">IFERROR(
SUMIFS(
PurchaseLines_Import!$I:$I,
PurchaseLines_Import!$C:$C, XLOOKUP(A111,Map!$A:$A,Map!$B:$B,""),
PurchaseLines_Import!$H:$H, $L$1
),
"")</f>
        <v>0</v>
      </c>
      <c r="J111" s="1" t="str">
        <f t="shared" si="4"/>
        <v/>
      </c>
    </row>
    <row r="112">
      <c r="B112" s="1" t="str">
        <f>IF(A112="","",SUMIFS(VMS_Sales!F:F,VMS_Sales!D:D,A112,VMS_Sales!O:O,$L$2))</f>
        <v/>
      </c>
      <c r="C112" s="1" t="str">
        <f>IF(A112="","",ROUND((
SUMIFS(VMS_Sales!F:F,VMS_Sales!D:D,A112,VMS_Sales!O:O,$L$1)+
SUMIFS(VMS_Sales!F:F,VMS_Sales!D:D,A112,VMS_Sales!O:O,$L$2)+
SUMIFS(VMS_Sales!F:F,VMS_Sales!D:D,A112,VMS_Sales!O:O,$L$3)
)/3,2))</f>
        <v/>
      </c>
      <c r="D112" s="1" t="str">
        <f t="shared" si="1"/>
        <v/>
      </c>
      <c r="E112" s="1" t="str">
        <f>IFERROR(__xludf.DUMMYFUNCTION("IFERROR(XLOOKUP(A112,FILTER(VMS_Sales!$D:$D,VMS_Sales!$O:$O=$L$2),FILTER(VMS_Sales!$L:$L,VMS_Sales!$O:$O=$L$2),""""),"""")"),"")</f>
        <v/>
      </c>
      <c r="F112" s="1" t="str">
        <f t="shared" si="2"/>
        <v/>
      </c>
      <c r="G112" s="1">
        <f t="array" ref="G112">IFERROR(
SUMIFS(
PurchaseLines_Import!$I:$I,
PurchaseLines_Import!$C:$C, XLOOKUP(A112,Map!$A:$A,Map!$B:$B,""),
PurchaseLines_Import!$H:$H, $L$1
),
"")</f>
        <v>0</v>
      </c>
      <c r="J112" s="1" t="str">
        <f t="shared" si="4"/>
        <v/>
      </c>
    </row>
    <row r="113">
      <c r="B113" s="1" t="str">
        <f>IF(A113="","",SUMIFS(VMS_Sales!F:F,VMS_Sales!D:D,A113,VMS_Sales!O:O,$L$2))</f>
        <v/>
      </c>
      <c r="C113" s="1" t="str">
        <f>IF(A113="","",ROUND((
SUMIFS(VMS_Sales!F:F,VMS_Sales!D:D,A113,VMS_Sales!O:O,$L$1)+
SUMIFS(VMS_Sales!F:F,VMS_Sales!D:D,A113,VMS_Sales!O:O,$L$2)+
SUMIFS(VMS_Sales!F:F,VMS_Sales!D:D,A113,VMS_Sales!O:O,$L$3)
)/3,2))</f>
        <v/>
      </c>
      <c r="D113" s="1" t="str">
        <f t="shared" si="1"/>
        <v/>
      </c>
      <c r="E113" s="1" t="str">
        <f>IFERROR(__xludf.DUMMYFUNCTION("IFERROR(XLOOKUP(A113,FILTER(VMS_Sales!$D:$D,VMS_Sales!$O:$O=$L$2),FILTER(VMS_Sales!$L:$L,VMS_Sales!$O:$O=$L$2),""""),"""")"),"")</f>
        <v/>
      </c>
      <c r="F113" s="1" t="str">
        <f t="shared" si="2"/>
        <v/>
      </c>
      <c r="G113" s="1">
        <f t="array" ref="G113">IFERROR(
SUMIFS(
PurchaseLines_Import!$I:$I,
PurchaseLines_Import!$C:$C, XLOOKUP(A113,Map!$A:$A,Map!$B:$B,""),
PurchaseLines_Import!$H:$H, $L$1
),
"")</f>
        <v>0</v>
      </c>
      <c r="J113" s="1" t="str">
        <f t="shared" si="4"/>
        <v/>
      </c>
    </row>
    <row r="114">
      <c r="B114" s="1" t="str">
        <f>IF(A114="","",SUMIFS(VMS_Sales!F:F,VMS_Sales!D:D,A114,VMS_Sales!O:O,$L$2))</f>
        <v/>
      </c>
      <c r="C114" s="1" t="str">
        <f>IF(A114="","",ROUND((
SUMIFS(VMS_Sales!F:F,VMS_Sales!D:D,A114,VMS_Sales!O:O,$L$1)+
SUMIFS(VMS_Sales!F:F,VMS_Sales!D:D,A114,VMS_Sales!O:O,$L$2)+
SUMIFS(VMS_Sales!F:F,VMS_Sales!D:D,A114,VMS_Sales!O:O,$L$3)
)/3,2))</f>
        <v/>
      </c>
      <c r="D114" s="1" t="str">
        <f t="shared" si="1"/>
        <v/>
      </c>
      <c r="E114" s="1" t="str">
        <f>IFERROR(__xludf.DUMMYFUNCTION("IFERROR(XLOOKUP(A114,FILTER(VMS_Sales!$D:$D,VMS_Sales!$O:$O=$L$2),FILTER(VMS_Sales!$L:$L,VMS_Sales!$O:$O=$L$2),""""),"""")"),"")</f>
        <v/>
      </c>
      <c r="F114" s="1" t="str">
        <f t="shared" si="2"/>
        <v/>
      </c>
      <c r="G114" s="1">
        <f t="array" ref="G114">IFERROR(
SUMIFS(
PurchaseLines_Import!$I:$I,
PurchaseLines_Import!$C:$C, XLOOKUP(A114,Map!$A:$A,Map!$B:$B,""),
PurchaseLines_Import!$H:$H, $L$1
),
"")</f>
        <v>0</v>
      </c>
      <c r="J114" s="1" t="str">
        <f t="shared" si="4"/>
        <v/>
      </c>
    </row>
    <row r="115">
      <c r="B115" s="1" t="str">
        <f>IF(A115="","",SUMIFS(VMS_Sales!F:F,VMS_Sales!D:D,A115,VMS_Sales!O:O,$L$2))</f>
        <v/>
      </c>
      <c r="C115" s="1" t="str">
        <f>IF(A115="","",ROUND((
SUMIFS(VMS_Sales!F:F,VMS_Sales!D:D,A115,VMS_Sales!O:O,$L$1)+
SUMIFS(VMS_Sales!F:F,VMS_Sales!D:D,A115,VMS_Sales!O:O,$L$2)+
SUMIFS(VMS_Sales!F:F,VMS_Sales!D:D,A115,VMS_Sales!O:O,$L$3)
)/3,2))</f>
        <v/>
      </c>
      <c r="D115" s="1" t="str">
        <f t="shared" si="1"/>
        <v/>
      </c>
      <c r="E115" s="1" t="str">
        <f>IFERROR(__xludf.DUMMYFUNCTION("IFERROR(XLOOKUP(A115,FILTER(VMS_Sales!$D:$D,VMS_Sales!$O:$O=$L$2),FILTER(VMS_Sales!$L:$L,VMS_Sales!$O:$O=$L$2),""""),"""")"),"")</f>
        <v/>
      </c>
      <c r="F115" s="1" t="str">
        <f t="shared" si="2"/>
        <v/>
      </c>
      <c r="G115" s="1">
        <f t="array" ref="G115">IFERROR(
SUMIFS(
PurchaseLines_Import!$I:$I,
PurchaseLines_Import!$C:$C, XLOOKUP(A115,Map!$A:$A,Map!$B:$B,""),
PurchaseLines_Import!$H:$H, $L$1
),
"")</f>
        <v>0</v>
      </c>
      <c r="J115" s="1" t="str">
        <f t="shared" si="4"/>
        <v/>
      </c>
    </row>
    <row r="116">
      <c r="B116" s="1" t="str">
        <f>IF(A116="","",SUMIFS(VMS_Sales!F:F,VMS_Sales!D:D,A116,VMS_Sales!O:O,$L$2))</f>
        <v/>
      </c>
      <c r="C116" s="1" t="str">
        <f>IF(A116="","",ROUND((
SUMIFS(VMS_Sales!F:F,VMS_Sales!D:D,A116,VMS_Sales!O:O,$L$1)+
SUMIFS(VMS_Sales!F:F,VMS_Sales!D:D,A116,VMS_Sales!O:O,$L$2)+
SUMIFS(VMS_Sales!F:F,VMS_Sales!D:D,A116,VMS_Sales!O:O,$L$3)
)/3,2))</f>
        <v/>
      </c>
      <c r="D116" s="1" t="str">
        <f t="shared" si="1"/>
        <v/>
      </c>
      <c r="E116" s="1" t="str">
        <f>IFERROR(__xludf.DUMMYFUNCTION("IFERROR(XLOOKUP(A116,FILTER(VMS_Sales!$D:$D,VMS_Sales!$O:$O=$L$2),FILTER(VMS_Sales!$L:$L,VMS_Sales!$O:$O=$L$2),""""),"""")"),"")</f>
        <v/>
      </c>
      <c r="F116" s="1" t="str">
        <f t="shared" si="2"/>
        <v/>
      </c>
      <c r="G116" s="1">
        <f t="array" ref="G116">IFERROR(
SUMIFS(
PurchaseLines_Import!$I:$I,
PurchaseLines_Import!$C:$C, XLOOKUP(A116,Map!$A:$A,Map!$B:$B,""),
PurchaseLines_Import!$H:$H, $L$1
),
"")</f>
        <v>0</v>
      </c>
      <c r="J116" s="1" t="str">
        <f t="shared" si="4"/>
        <v/>
      </c>
    </row>
    <row r="117">
      <c r="B117" s="1" t="str">
        <f>IF(A117="","",SUMIFS(VMS_Sales!F:F,VMS_Sales!D:D,A117,VMS_Sales!O:O,$L$2))</f>
        <v/>
      </c>
      <c r="C117" s="1" t="str">
        <f>IF(A117="","",ROUND((
SUMIFS(VMS_Sales!F:F,VMS_Sales!D:D,A117,VMS_Sales!O:O,$L$1)+
SUMIFS(VMS_Sales!F:F,VMS_Sales!D:D,A117,VMS_Sales!O:O,$L$2)+
SUMIFS(VMS_Sales!F:F,VMS_Sales!D:D,A117,VMS_Sales!O:O,$L$3)
)/3,2))</f>
        <v/>
      </c>
      <c r="D117" s="1" t="str">
        <f t="shared" si="1"/>
        <v/>
      </c>
      <c r="E117" s="1" t="str">
        <f>IFERROR(__xludf.DUMMYFUNCTION("IFERROR(XLOOKUP(A117,FILTER(VMS_Sales!$D:$D,VMS_Sales!$O:$O=$L$2),FILTER(VMS_Sales!$L:$L,VMS_Sales!$O:$O=$L$2),""""),"""")"),"")</f>
        <v/>
      </c>
      <c r="F117" s="1" t="str">
        <f t="shared" si="2"/>
        <v/>
      </c>
      <c r="G117" s="1">
        <f t="array" ref="G117">IFERROR(
SUMIFS(
PurchaseLines_Import!$I:$I,
PurchaseLines_Import!$C:$C, XLOOKUP(A117,Map!$A:$A,Map!$B:$B,""),
PurchaseLines_Import!$H:$H, $L$1
),
"")</f>
        <v>0</v>
      </c>
      <c r="J117" s="1" t="str">
        <f t="shared" si="4"/>
        <v/>
      </c>
    </row>
    <row r="118">
      <c r="B118" s="1" t="str">
        <f>IF(A118="","",SUMIFS(VMS_Sales!F:F,VMS_Sales!D:D,A118,VMS_Sales!O:O,$L$2))</f>
        <v/>
      </c>
      <c r="C118" s="1" t="str">
        <f>IF(A118="","",ROUND((
SUMIFS(VMS_Sales!F:F,VMS_Sales!D:D,A118,VMS_Sales!O:O,$L$1)+
SUMIFS(VMS_Sales!F:F,VMS_Sales!D:D,A118,VMS_Sales!O:O,$L$2)+
SUMIFS(VMS_Sales!F:F,VMS_Sales!D:D,A118,VMS_Sales!O:O,$L$3)
)/3,2))</f>
        <v/>
      </c>
      <c r="D118" s="1" t="str">
        <f t="shared" si="1"/>
        <v/>
      </c>
      <c r="E118" s="1" t="str">
        <f>IFERROR(__xludf.DUMMYFUNCTION("IFERROR(XLOOKUP(A118,FILTER(VMS_Sales!$D:$D,VMS_Sales!$O:$O=$L$2),FILTER(VMS_Sales!$L:$L,VMS_Sales!$O:$O=$L$2),""""),"""")"),"")</f>
        <v/>
      </c>
      <c r="F118" s="1" t="str">
        <f t="shared" si="2"/>
        <v/>
      </c>
      <c r="G118" s="1">
        <f t="array" ref="G118">IFERROR(
SUMIFS(
PurchaseLines_Import!$I:$I,
PurchaseLines_Import!$C:$C, XLOOKUP(A118,Map!$A:$A,Map!$B:$B,""),
PurchaseLines_Import!$H:$H, $L$1
),
"")</f>
        <v>0</v>
      </c>
      <c r="J118" s="1" t="str">
        <f t="shared" si="4"/>
        <v/>
      </c>
    </row>
    <row r="119">
      <c r="B119" s="1" t="str">
        <f>IF(A119="","",SUMIFS(VMS_Sales!F:F,VMS_Sales!D:D,A119,VMS_Sales!O:O,$L$2))</f>
        <v/>
      </c>
      <c r="C119" s="1" t="str">
        <f>IF(A119="","",ROUND((
SUMIFS(VMS_Sales!F:F,VMS_Sales!D:D,A119,VMS_Sales!O:O,$L$1)+
SUMIFS(VMS_Sales!F:F,VMS_Sales!D:D,A119,VMS_Sales!O:O,$L$2)+
SUMIFS(VMS_Sales!F:F,VMS_Sales!D:D,A119,VMS_Sales!O:O,$L$3)
)/3,2))</f>
        <v/>
      </c>
      <c r="D119" s="1" t="str">
        <f t="shared" si="1"/>
        <v/>
      </c>
      <c r="E119" s="1" t="str">
        <f>IFERROR(__xludf.DUMMYFUNCTION("IFERROR(XLOOKUP(A119,FILTER(VMS_Sales!$D:$D,VMS_Sales!$O:$O=$L$2),FILTER(VMS_Sales!$L:$L,VMS_Sales!$O:$O=$L$2),""""),"""")"),"")</f>
        <v/>
      </c>
      <c r="F119" s="1" t="str">
        <f t="shared" si="2"/>
        <v/>
      </c>
      <c r="G119" s="1">
        <f t="array" ref="G119">IFERROR(
SUMIFS(
PurchaseLines_Import!$I:$I,
PurchaseLines_Import!$C:$C, XLOOKUP(A119,Map!$A:$A,Map!$B:$B,""),
PurchaseLines_Import!$H:$H, $L$1
),
"")</f>
        <v>0</v>
      </c>
    </row>
    <row r="120">
      <c r="B120" s="1" t="str">
        <f>IF(A120="","",SUMIFS(VMS_Sales!F:F,VMS_Sales!D:D,A120,VMS_Sales!O:O,$L$2))</f>
        <v/>
      </c>
      <c r="C120" s="1" t="str">
        <f>IF(A120="","",ROUND((
SUMIFS(VMS_Sales!F:F,VMS_Sales!D:D,A120,VMS_Sales!O:O,$L$1)+
SUMIFS(VMS_Sales!F:F,VMS_Sales!D:D,A120,VMS_Sales!O:O,$L$2)+
SUMIFS(VMS_Sales!F:F,VMS_Sales!D:D,A120,VMS_Sales!O:O,$L$3)
)/3,2))</f>
        <v/>
      </c>
      <c r="D120" s="1" t="str">
        <f t="shared" si="1"/>
        <v/>
      </c>
      <c r="E120" s="1" t="str">
        <f>IFERROR(__xludf.DUMMYFUNCTION("IFERROR(XLOOKUP(A120,FILTER(VMS_Sales!$D:$D,VMS_Sales!$O:$O=$L$2),FILTER(VMS_Sales!$L:$L,VMS_Sales!$O:$O=$L$2),""""),"""")"),"")</f>
        <v/>
      </c>
      <c r="F120" s="1" t="str">
        <f t="shared" si="2"/>
        <v/>
      </c>
      <c r="G120" s="1">
        <f t="array" ref="G120">IFERROR(
SUMIFS(
PurchaseLines_Import!$I:$I,
PurchaseLines_Import!$C:$C, XLOOKUP(A120,Map!$A:$A,Map!$B:$B,""),
PurchaseLines_Import!$H:$H, $L$1
),
"")</f>
        <v>0</v>
      </c>
    </row>
    <row r="121">
      <c r="B121" s="1" t="str">
        <f>IF(A121="","",SUMIFS(VMS_Sales!F:F,VMS_Sales!D:D,A121,VMS_Sales!O:O,$L$2))</f>
        <v/>
      </c>
      <c r="C121" s="1" t="str">
        <f>IF(A121="","",ROUND((
SUMIFS(VMS_Sales!F:F,VMS_Sales!D:D,A121,VMS_Sales!O:O,$L$1)+
SUMIFS(VMS_Sales!F:F,VMS_Sales!D:D,A121,VMS_Sales!O:O,$L$2)+
SUMIFS(VMS_Sales!F:F,VMS_Sales!D:D,A121,VMS_Sales!O:O,$L$3)
)/3,2))</f>
        <v/>
      </c>
      <c r="D121" s="1" t="str">
        <f t="shared" si="1"/>
        <v/>
      </c>
      <c r="E121" s="1" t="str">
        <f>IFERROR(__xludf.DUMMYFUNCTION("IFERROR(XLOOKUP(A121,FILTER(VMS_Sales!$D:$D,VMS_Sales!$O:$O=$L$2),FILTER(VMS_Sales!$L:$L,VMS_Sales!$O:$O=$L$2),""""),"""")"),"")</f>
        <v/>
      </c>
      <c r="F121" s="1" t="str">
        <f t="shared" si="2"/>
        <v/>
      </c>
    </row>
    <row r="122">
      <c r="B122" s="1" t="str">
        <f>IF(A122="","",SUMIFS(VMS_Sales!F:F,VMS_Sales!D:D,A122,VMS_Sales!O:O,$L$2))</f>
        <v/>
      </c>
      <c r="C122" s="1" t="str">
        <f>IF(A122="","",ROUND((
SUMIFS(VMS_Sales!F:F,VMS_Sales!D:D,A122,VMS_Sales!O:O,$L$1)+
SUMIFS(VMS_Sales!F:F,VMS_Sales!D:D,A122,VMS_Sales!O:O,$L$2)+
SUMIFS(VMS_Sales!F:F,VMS_Sales!D:D,A122,VMS_Sales!O:O,$L$3)
)/3,2))</f>
        <v/>
      </c>
      <c r="D122" s="1" t="str">
        <f t="shared" si="1"/>
        <v/>
      </c>
      <c r="E122" s="1" t="str">
        <f>IFERROR(__xludf.DUMMYFUNCTION("IFERROR(XLOOKUP(A122,FILTER(VMS_Sales!$D:$D,VMS_Sales!$O:$O=$L$2),FILTER(VMS_Sales!$L:$L,VMS_Sales!$O:$O=$L$2),""""),"""")"),"")</f>
        <v/>
      </c>
      <c r="F122" s="1" t="str">
        <f t="shared" si="2"/>
        <v/>
      </c>
    </row>
    <row r="123">
      <c r="B123" s="1" t="str">
        <f>IF(A123="","",SUMIFS(VMS_Sales!F:F,VMS_Sales!D:D,A123,VMS_Sales!O:O,$L$2))</f>
        <v/>
      </c>
      <c r="C123" s="1" t="str">
        <f>IF(A123="","",ROUND((
SUMIFS(VMS_Sales!F:F,VMS_Sales!D:D,A123,VMS_Sales!O:O,$L$1)+
SUMIFS(VMS_Sales!F:F,VMS_Sales!D:D,A123,VMS_Sales!O:O,$L$2)+
SUMIFS(VMS_Sales!F:F,VMS_Sales!D:D,A123,VMS_Sales!O:O,$L$3)
)/3,2))</f>
        <v/>
      </c>
      <c r="D123" s="1" t="str">
        <f t="shared" si="1"/>
        <v/>
      </c>
      <c r="E123" s="1" t="str">
        <f>IFERROR(__xludf.DUMMYFUNCTION("IFERROR(XLOOKUP(A123,FILTER(VMS_Sales!$D:$D,VMS_Sales!$O:$O=$L$2),FILTER(VMS_Sales!$L:$L,VMS_Sales!$O:$O=$L$2),""""),"""")"),"")</f>
        <v/>
      </c>
      <c r="F123" s="1" t="str">
        <f t="shared" si="2"/>
        <v/>
      </c>
    </row>
    <row r="124">
      <c r="B124" s="1" t="str">
        <f>IF(A124="","",SUMIFS(VMS_Sales!F:F,VMS_Sales!D:D,A124,VMS_Sales!O:O,$L$2))</f>
        <v/>
      </c>
      <c r="C124" s="1" t="str">
        <f>IF(A124="","",ROUND((
SUMIFS(VMS_Sales!F:F,VMS_Sales!D:D,A124,VMS_Sales!O:O,$L$1)+
SUMIFS(VMS_Sales!F:F,VMS_Sales!D:D,A124,VMS_Sales!O:O,$L$2)+
SUMIFS(VMS_Sales!F:F,VMS_Sales!D:D,A124,VMS_Sales!O:O,$L$3)
)/3,2))</f>
        <v/>
      </c>
      <c r="D124" s="1" t="str">
        <f t="shared" si="1"/>
        <v/>
      </c>
      <c r="E124" s="1" t="str">
        <f>IFERROR(__xludf.DUMMYFUNCTION("IFERROR(XLOOKUP(A124,FILTER(VMS_Sales!$D:$D,VMS_Sales!$O:$O=$L$2),FILTER(VMS_Sales!$L:$L,VMS_Sales!$O:$O=$L$2),""""),"""")"),"")</f>
        <v/>
      </c>
      <c r="F124" s="1" t="str">
        <f t="shared" si="2"/>
        <v/>
      </c>
    </row>
    <row r="125">
      <c r="B125" s="1" t="str">
        <f>IF(A125="","",SUMIFS(VMS_Sales!F:F,VMS_Sales!D:D,A125,VMS_Sales!O:O,$L$2))</f>
        <v/>
      </c>
      <c r="C125" s="1" t="str">
        <f>IF(A125="","",ROUND((
SUMIFS(VMS_Sales!F:F,VMS_Sales!D:D,A125,VMS_Sales!O:O,$L$1)+
SUMIFS(VMS_Sales!F:F,VMS_Sales!D:D,A125,VMS_Sales!O:O,$L$2)+
SUMIFS(VMS_Sales!F:F,VMS_Sales!D:D,A125,VMS_Sales!O:O,$L$3)
)/3,2))</f>
        <v/>
      </c>
      <c r="D125" s="1" t="str">
        <f t="shared" si="1"/>
        <v/>
      </c>
      <c r="E125" s="1" t="str">
        <f>IFERROR(__xludf.DUMMYFUNCTION("IFERROR(XLOOKUP(A125,FILTER(VMS_Sales!$D:$D,VMS_Sales!$O:$O=$L$2),FILTER(VMS_Sales!$L:$L,VMS_Sales!$O:$O=$L$2),""""),"""")"),"")</f>
        <v/>
      </c>
      <c r="F125" s="1" t="str">
        <f t="shared" si="2"/>
        <v/>
      </c>
    </row>
    <row r="126">
      <c r="B126" s="1" t="str">
        <f>IF(A126="","",SUMIFS(VMS_Sales!F:F,VMS_Sales!D:D,A126,VMS_Sales!O:O,$L$2))</f>
        <v/>
      </c>
      <c r="C126" s="1" t="str">
        <f>IF(A126="","",ROUND((
SUMIFS(VMS_Sales!F:F,VMS_Sales!D:D,A126,VMS_Sales!O:O,$L$1)+
SUMIFS(VMS_Sales!F:F,VMS_Sales!D:D,A126,VMS_Sales!O:O,$L$2)+
SUMIFS(VMS_Sales!F:F,VMS_Sales!D:D,A126,VMS_Sales!O:O,$L$3)
)/3,2))</f>
        <v/>
      </c>
      <c r="D126" s="1" t="str">
        <f t="shared" si="1"/>
        <v/>
      </c>
      <c r="E126" s="1" t="str">
        <f>IFERROR(__xludf.DUMMYFUNCTION("IFERROR(XLOOKUP(A126,FILTER(VMS_Sales!$D:$D,VMS_Sales!$O:$O=$L$2),FILTER(VMS_Sales!$L:$L,VMS_Sales!$O:$O=$L$2),""""),"""")"),"")</f>
        <v/>
      </c>
      <c r="F126" s="1" t="str">
        <f t="shared" si="2"/>
        <v/>
      </c>
    </row>
    <row r="127">
      <c r="B127" s="1" t="str">
        <f>IF(A127="","",SUMIFS(VMS_Sales!F:F,VMS_Sales!D:D,A127,VMS_Sales!O:O,$L$2))</f>
        <v/>
      </c>
      <c r="C127" s="1" t="str">
        <f>IF(A127="","",ROUND((
SUMIFS(VMS_Sales!F:F,VMS_Sales!D:D,A127,VMS_Sales!O:O,$L$1)+
SUMIFS(VMS_Sales!F:F,VMS_Sales!D:D,A127,VMS_Sales!O:O,$L$2)+
SUMIFS(VMS_Sales!F:F,VMS_Sales!D:D,A127,VMS_Sales!O:O,$L$3)
)/3,2))</f>
        <v/>
      </c>
      <c r="D127" s="1" t="str">
        <f t="shared" si="1"/>
        <v/>
      </c>
      <c r="E127" s="1" t="str">
        <f>IFERROR(__xludf.DUMMYFUNCTION("IFERROR(XLOOKUP(A127,FILTER(VMS_Sales!$D:$D,VMS_Sales!$O:$O=$L$2),FILTER(VMS_Sales!$L:$L,VMS_Sales!$O:$O=$L$2),""""),"""")"),"")</f>
        <v/>
      </c>
      <c r="F127" s="1" t="str">
        <f t="shared" si="2"/>
        <v/>
      </c>
    </row>
    <row r="128">
      <c r="B128" s="1" t="str">
        <f>IF(A128="","",SUMIFS(VMS_Sales!F:F,VMS_Sales!D:D,A128,VMS_Sales!O:O,$L$2))</f>
        <v/>
      </c>
      <c r="C128" s="1" t="str">
        <f>IF(A128="","",ROUND((
SUMIFS(VMS_Sales!F:F,VMS_Sales!D:D,A128,VMS_Sales!O:O,$L$1)+
SUMIFS(VMS_Sales!F:F,VMS_Sales!D:D,A128,VMS_Sales!O:O,$L$2)+
SUMIFS(VMS_Sales!F:F,VMS_Sales!D:D,A128,VMS_Sales!O:O,$L$3)
)/3,2))</f>
        <v/>
      </c>
      <c r="D128" s="1" t="str">
        <f t="shared" si="1"/>
        <v/>
      </c>
      <c r="E128" s="1" t="str">
        <f>IFERROR(__xludf.DUMMYFUNCTION("IFERROR(XLOOKUP(A128,FILTER(VMS_Sales!$D:$D,VMS_Sales!$O:$O=$L$2),FILTER(VMS_Sales!$L:$L,VMS_Sales!$O:$O=$L$2),""""),"""")"),"")</f>
        <v/>
      </c>
      <c r="F128" s="1" t="str">
        <f t="shared" si="2"/>
        <v/>
      </c>
    </row>
    <row r="129">
      <c r="B129" s="1" t="str">
        <f>IF(A129="","",SUMIFS(VMS_Sales!F:F,VMS_Sales!D:D,A129,VMS_Sales!O:O,$L$2))</f>
        <v/>
      </c>
      <c r="C129" s="1" t="str">
        <f>IF(A129="","",ROUND((
SUMIFS(VMS_Sales!F:F,VMS_Sales!D:D,A129,VMS_Sales!O:O,$L$1)+
SUMIFS(VMS_Sales!F:F,VMS_Sales!D:D,A129,VMS_Sales!O:O,$L$2)+
SUMIFS(VMS_Sales!F:F,VMS_Sales!D:D,A129,VMS_Sales!O:O,$L$3)
)/3,2))</f>
        <v/>
      </c>
      <c r="D129" s="1" t="str">
        <f t="shared" si="1"/>
        <v/>
      </c>
      <c r="E129" s="1" t="str">
        <f>IFERROR(__xludf.DUMMYFUNCTION("IFERROR(XLOOKUP(A129,FILTER(VMS_Sales!$D:$D,VMS_Sales!$O:$O=$L$2),FILTER(VMS_Sales!$L:$L,VMS_Sales!$O:$O=$L$2),""""),"""")"),"")</f>
        <v/>
      </c>
      <c r="F129" s="1" t="str">
        <f t="shared" si="2"/>
        <v/>
      </c>
    </row>
    <row r="130">
      <c r="B130" s="1" t="str">
        <f>IF(A130="","",SUMIFS(VMS_Sales!F:F,VMS_Sales!D:D,A130,VMS_Sales!O:O,$L$2))</f>
        <v/>
      </c>
      <c r="C130" s="1" t="str">
        <f>IF(A130="","",ROUND((
SUMIFS(VMS_Sales!F:F,VMS_Sales!D:D,A130,VMS_Sales!O:O,$L$1)+
SUMIFS(VMS_Sales!F:F,VMS_Sales!D:D,A130,VMS_Sales!O:O,$L$2)+
SUMIFS(VMS_Sales!F:F,VMS_Sales!D:D,A130,VMS_Sales!O:O,$L$3)
)/3,2))</f>
        <v/>
      </c>
      <c r="D130" s="1" t="str">
        <f t="shared" si="1"/>
        <v/>
      </c>
      <c r="E130" s="1" t="str">
        <f>IFERROR(__xludf.DUMMYFUNCTION("IFERROR(XLOOKUP(A130,FILTER(VMS_Sales!$D:$D,VMS_Sales!$O:$O=$L$2),FILTER(VMS_Sales!$L:$L,VMS_Sales!$O:$O=$L$2),""""),"""")"),"")</f>
        <v/>
      </c>
      <c r="F130" s="1" t="str">
        <f t="shared" si="2"/>
        <v/>
      </c>
    </row>
    <row r="131">
      <c r="B131" s="1" t="str">
        <f>IF(A131="","",SUMIFS(VMS_Sales!F:F,VMS_Sales!D:D,A131,VMS_Sales!O:O,$L$2))</f>
        <v/>
      </c>
      <c r="C131" s="1" t="str">
        <f>IF(A131="","",ROUND((
SUMIFS(VMS_Sales!F:F,VMS_Sales!D:D,A131,VMS_Sales!O:O,$L$1)+
SUMIFS(VMS_Sales!F:F,VMS_Sales!D:D,A131,VMS_Sales!O:O,$L$2)+
SUMIFS(VMS_Sales!F:F,VMS_Sales!D:D,A131,VMS_Sales!O:O,$L$3)
)/3,2))</f>
        <v/>
      </c>
      <c r="D131" s="1" t="str">
        <f t="shared" si="1"/>
        <v/>
      </c>
      <c r="E131" s="1" t="str">
        <f>IFERROR(__xludf.DUMMYFUNCTION("IFERROR(XLOOKUP(A131,FILTER(VMS_Sales!$D:$D,VMS_Sales!$O:$O=$L$2),FILTER(VMS_Sales!$L:$L,VMS_Sales!$O:$O=$L$2),""""),"""")"),"")</f>
        <v/>
      </c>
      <c r="F131" s="1" t="str">
        <f t="shared" si="2"/>
        <v/>
      </c>
    </row>
    <row r="132">
      <c r="B132" s="1" t="str">
        <f>IF(A132="","",SUMIFS(VMS_Sales!F:F,VMS_Sales!D:D,A132,VMS_Sales!O:O,$L$2))</f>
        <v/>
      </c>
      <c r="C132" s="1" t="str">
        <f>IF(A132="","",ROUND((
SUMIFS(VMS_Sales!F:F,VMS_Sales!D:D,A132,VMS_Sales!O:O,$L$1)+
SUMIFS(VMS_Sales!F:F,VMS_Sales!D:D,A132,VMS_Sales!O:O,$L$2)+
SUMIFS(VMS_Sales!F:F,VMS_Sales!D:D,A132,VMS_Sales!O:O,$L$3)
)/3,2))</f>
        <v/>
      </c>
      <c r="D132" s="1" t="str">
        <f t="shared" si="1"/>
        <v/>
      </c>
      <c r="E132" s="1" t="str">
        <f>IFERROR(__xludf.DUMMYFUNCTION("IFERROR(XLOOKUP(A132,FILTER(VMS_Sales!$D:$D,VMS_Sales!$O:$O=$L$2),FILTER(VMS_Sales!$L:$L,VMS_Sales!$O:$O=$L$2),""""),"""")"),"")</f>
        <v/>
      </c>
      <c r="F132" s="1" t="str">
        <f t="shared" si="2"/>
        <v/>
      </c>
    </row>
    <row r="133">
      <c r="B133" s="1" t="str">
        <f>IF(A133="","",SUMIFS(VMS_Sales!F:F,VMS_Sales!D:D,A133,VMS_Sales!O:O,$L$2))</f>
        <v/>
      </c>
      <c r="C133" s="1" t="str">
        <f>IF(A133="","",ROUND((
SUMIFS(VMS_Sales!F:F,VMS_Sales!D:D,A133,VMS_Sales!O:O,$L$1)+
SUMIFS(VMS_Sales!F:F,VMS_Sales!D:D,A133,VMS_Sales!O:O,$L$2)+
SUMIFS(VMS_Sales!F:F,VMS_Sales!D:D,A133,VMS_Sales!O:O,$L$3)
)/3,2))</f>
        <v/>
      </c>
      <c r="D133" s="1" t="str">
        <f t="shared" si="1"/>
        <v/>
      </c>
      <c r="E133" s="1" t="str">
        <f>IFERROR(
ROUND(
SUMIFS(VMS_Sales!M:M,VMS_Sales!D:D,A133,VMS_Sales!O:O,$L$2)
/
SUMIFS(VMS_Sales!F:F,VMS_Sales!D:D,A133,VMS_Sales!O:O,$L$2)
,2)
,"")</f>
        <v/>
      </c>
      <c r="F133" s="1" t="str">
        <f t="shared" si="2"/>
        <v/>
      </c>
    </row>
    <row r="134">
      <c r="B134" s="1" t="str">
        <f>IF(A134="","",SUMIFS(VMS_Sales!F:F,VMS_Sales!D:D,A134,VMS_Sales!O:O,$L$2))</f>
        <v/>
      </c>
      <c r="C134" s="1" t="str">
        <f>IF(A134="","",ROUND((
SUMIFS(VMS_Sales!F:F,VMS_Sales!D:D,A134,VMS_Sales!O:O,$L$1)+
SUMIFS(VMS_Sales!F:F,VMS_Sales!D:D,A134,VMS_Sales!O:O,$L$2)+
SUMIFS(VMS_Sales!F:F,VMS_Sales!D:D,A134,VMS_Sales!O:O,$L$3)
)/3,2))</f>
        <v/>
      </c>
      <c r="D134" s="1" t="str">
        <f t="shared" si="1"/>
        <v/>
      </c>
      <c r="E134" s="1" t="str">
        <f>IFERROR(
ROUND(
SUMIFS(VMS_Sales!M:M,VMS_Sales!D:D,A134,VMS_Sales!O:O,$L$2)
/
SUMIFS(VMS_Sales!F:F,VMS_Sales!D:D,A134,VMS_Sales!O:O,$L$2)
,2)
,"")</f>
        <v/>
      </c>
      <c r="F134" s="1" t="str">
        <f t="shared" si="2"/>
        <v/>
      </c>
    </row>
    <row r="135">
      <c r="B135" s="1" t="str">
        <f>IF(A135="","",SUMIFS(VMS_Sales!F:F,VMS_Sales!D:D,A135,VMS_Sales!O:O,$L$2))</f>
        <v/>
      </c>
      <c r="C135" s="1" t="str">
        <f>IF(A135="","",ROUND((
SUMIFS(VMS_Sales!F:F,VMS_Sales!D:D,A135,VMS_Sales!O:O,$L$1)+
SUMIFS(VMS_Sales!F:F,VMS_Sales!D:D,A135,VMS_Sales!O:O,$L$2)+
SUMIFS(VMS_Sales!F:F,VMS_Sales!D:D,A135,VMS_Sales!O:O,$L$3)
)/3,2))</f>
        <v/>
      </c>
      <c r="D135" s="1" t="str">
        <f t="shared" si="1"/>
        <v/>
      </c>
      <c r="E135" s="1" t="str">
        <f>IFERROR(
ROUND(
SUMIFS(VMS_Sales!M:M,VMS_Sales!D:D,A135,VMS_Sales!O:O,$L$2)
/
SUMIFS(VMS_Sales!F:F,VMS_Sales!D:D,A135,VMS_Sales!O:O,$L$2)
,2)
,"")</f>
        <v/>
      </c>
      <c r="F135" s="1" t="str">
        <f t="shared" si="2"/>
        <v/>
      </c>
    </row>
    <row r="136">
      <c r="B136" s="1" t="str">
        <f>IF(A136="","",SUMIFS(VMS_Sales!F:F,VMS_Sales!D:D,A136,VMS_Sales!O:O,$L$2))</f>
        <v/>
      </c>
      <c r="C136" s="1" t="str">
        <f>IF(A136="","",ROUND((
SUMIFS(VMS_Sales!F:F,VMS_Sales!D:D,A136,VMS_Sales!O:O,$L$1)+
SUMIFS(VMS_Sales!F:F,VMS_Sales!D:D,A136,VMS_Sales!O:O,$L$2)+
SUMIFS(VMS_Sales!F:F,VMS_Sales!D:D,A136,VMS_Sales!O:O,$L$3)
)/3,2))</f>
        <v/>
      </c>
      <c r="D136" s="1" t="str">
        <f t="shared" si="1"/>
        <v/>
      </c>
      <c r="E136" s="1" t="str">
        <f>IFERROR(
ROUND(
SUMIFS(VMS_Sales!M:M,VMS_Sales!D:D,A136,VMS_Sales!O:O,$L$2)
/
SUMIFS(VMS_Sales!F:F,VMS_Sales!D:D,A136,VMS_Sales!O:O,$L$2)
,2)
,"")</f>
        <v/>
      </c>
      <c r="F136" s="1" t="str">
        <f t="shared" si="2"/>
        <v/>
      </c>
    </row>
    <row r="137">
      <c r="B137" s="1" t="str">
        <f>IF(A137="","",SUMIFS(VMS_Sales!F:F,VMS_Sales!D:D,A137,VMS_Sales!O:O,$L$2))</f>
        <v/>
      </c>
      <c r="C137" s="1" t="str">
        <f>IF(A137="","",ROUND((
SUMIFS(VMS_Sales!F:F,VMS_Sales!D:D,A137,VMS_Sales!O:O,$L$1)+
SUMIFS(VMS_Sales!F:F,VMS_Sales!D:D,A137,VMS_Sales!O:O,$L$2)+
SUMIFS(VMS_Sales!F:F,VMS_Sales!D:D,A137,VMS_Sales!O:O,$L$3)
)/3,2))</f>
        <v/>
      </c>
      <c r="D137" s="1" t="str">
        <f t="shared" si="1"/>
        <v/>
      </c>
      <c r="E137" s="1" t="str">
        <f>IFERROR(
ROUND(
SUMIFS(VMS_Sales!M:M,VMS_Sales!D:D,A137,VMS_Sales!O:O,$L$2)
/
SUMIFS(VMS_Sales!F:F,VMS_Sales!D:D,A137,VMS_Sales!O:O,$L$2)
,2)
,"")</f>
        <v/>
      </c>
      <c r="F137" s="1" t="str">
        <f t="shared" si="2"/>
        <v/>
      </c>
    </row>
    <row r="138">
      <c r="B138" s="1" t="str">
        <f>IF(A138="","",SUMIFS(VMS_Sales!F:F,VMS_Sales!D:D,A138,VMS_Sales!O:O,$L$2))</f>
        <v/>
      </c>
      <c r="C138" s="1" t="str">
        <f>IF(A138="","",ROUND((
SUMIFS(VMS_Sales!F:F,VMS_Sales!D:D,A138,VMS_Sales!O:O,$L$1)+
SUMIFS(VMS_Sales!F:F,VMS_Sales!D:D,A138,VMS_Sales!O:O,$L$2)+
SUMIFS(VMS_Sales!F:F,VMS_Sales!D:D,A138,VMS_Sales!O:O,$L$3)
)/3,2))</f>
        <v/>
      </c>
      <c r="D138" s="1" t="str">
        <f t="shared" si="1"/>
        <v/>
      </c>
      <c r="E138" s="1" t="str">
        <f>IFERROR(
ROUND(
SUMIFS(VMS_Sales!M:M,VMS_Sales!D:D,A138,VMS_Sales!O:O,$L$2)
/
SUMIFS(VMS_Sales!F:F,VMS_Sales!D:D,A138,VMS_Sales!O:O,$L$2)
,2)
,"")</f>
        <v/>
      </c>
      <c r="F138" s="1" t="str">
        <f t="shared" si="2"/>
        <v/>
      </c>
    </row>
    <row r="139">
      <c r="B139" s="1" t="str">
        <f>IF(A139="","",SUMIFS(VMS_Sales!F:F,VMS_Sales!D:D,A139,VMS_Sales!O:O,$L$2))</f>
        <v/>
      </c>
      <c r="C139" s="1" t="str">
        <f>IF(A139="","",ROUND((
SUMIFS(VMS_Sales!F:F,VMS_Sales!D:D,A139,VMS_Sales!O:O,$L$1)+
SUMIFS(VMS_Sales!F:F,VMS_Sales!D:D,A139,VMS_Sales!O:O,$L$2)+
SUMIFS(VMS_Sales!F:F,VMS_Sales!D:D,A139,VMS_Sales!O:O,$L$3)
)/3,2))</f>
        <v/>
      </c>
      <c r="D139" s="1" t="str">
        <f t="shared" si="1"/>
        <v/>
      </c>
      <c r="E139" s="1" t="str">
        <f>IFERROR(
ROUND(
SUMIFS(VMS_Sales!M:M,VMS_Sales!D:D,A139,VMS_Sales!O:O,$L$2)
/
SUMIFS(VMS_Sales!F:F,VMS_Sales!D:D,A139,VMS_Sales!O:O,$L$2)
,2)
,"")</f>
        <v/>
      </c>
      <c r="F139" s="1" t="str">
        <f t="shared" si="2"/>
        <v/>
      </c>
    </row>
    <row r="140">
      <c r="B140" s="1" t="str">
        <f>IF(A140="","",SUMIFS(VMS_Sales!F:F,VMS_Sales!D:D,A140,VMS_Sales!O:O,$L$2))</f>
        <v/>
      </c>
      <c r="C140" s="1" t="str">
        <f>IF(A140="","",ROUND((
SUMIFS(VMS_Sales!F:F,VMS_Sales!D:D,A140,VMS_Sales!O:O,$L$1)+
SUMIFS(VMS_Sales!F:F,VMS_Sales!D:D,A140,VMS_Sales!O:O,$L$2)+
SUMIFS(VMS_Sales!F:F,VMS_Sales!D:D,A140,VMS_Sales!O:O,$L$3)
)/3,2))</f>
        <v/>
      </c>
      <c r="D140" s="1" t="str">
        <f t="shared" si="1"/>
        <v/>
      </c>
      <c r="E140" s="1" t="str">
        <f>IFERROR(
ROUND(
SUMIFS(VMS_Sales!M:M,VMS_Sales!D:D,A140,VMS_Sales!O:O,$L$2)
/
SUMIFS(VMS_Sales!F:F,VMS_Sales!D:D,A140,VMS_Sales!O:O,$L$2)
,2)
,"")</f>
        <v/>
      </c>
      <c r="F140" s="1" t="str">
        <f t="shared" si="2"/>
        <v/>
      </c>
    </row>
    <row r="141">
      <c r="B141" s="1" t="str">
        <f>IF(A141="","",SUMIFS(VMS_Sales!F:F,VMS_Sales!D:D,A141,VMS_Sales!O:O,$L$2))</f>
        <v/>
      </c>
      <c r="C141" s="1" t="str">
        <f>IF(A141="","",ROUND((
SUMIFS(VMS_Sales!F:F,VMS_Sales!D:D,A141,VMS_Sales!O:O,$L$1)+
SUMIFS(VMS_Sales!F:F,VMS_Sales!D:D,A141,VMS_Sales!O:O,$L$2)+
SUMIFS(VMS_Sales!F:F,VMS_Sales!D:D,A141,VMS_Sales!O:O,$L$3)
)/3,2))</f>
        <v/>
      </c>
      <c r="D141" s="1" t="str">
        <f t="shared" si="1"/>
        <v/>
      </c>
      <c r="E141" s="1" t="str">
        <f>IFERROR(
ROUND(
SUMIFS(VMS_Sales!M:M,VMS_Sales!D:D,A141,VMS_Sales!O:O,$L$2)
/
SUMIFS(VMS_Sales!F:F,VMS_Sales!D:D,A141,VMS_Sales!O:O,$L$2)
,2)
,"")</f>
        <v/>
      </c>
      <c r="F141" s="1" t="str">
        <f t="shared" si="2"/>
        <v/>
      </c>
    </row>
    <row r="142">
      <c r="B142" s="1" t="str">
        <f>IF(A142="","",SUMIFS(VMS_Sales!F:F,VMS_Sales!D:D,A142,VMS_Sales!O:O,$L$2))</f>
        <v/>
      </c>
      <c r="C142" s="1" t="str">
        <f>IF(A142="","",ROUND((
SUMIFS(VMS_Sales!F:F,VMS_Sales!D:D,A142,VMS_Sales!O:O,$L$1)+
SUMIFS(VMS_Sales!F:F,VMS_Sales!D:D,A142,VMS_Sales!O:O,$L$2)+
SUMIFS(VMS_Sales!F:F,VMS_Sales!D:D,A142,VMS_Sales!O:O,$L$3)
)/3,2))</f>
        <v/>
      </c>
      <c r="D142" s="1" t="str">
        <f t="shared" si="1"/>
        <v/>
      </c>
      <c r="E142" s="1" t="str">
        <f>IFERROR(
ROUND(
SUMIFS(VMS_Sales!M:M,VMS_Sales!D:D,A142,VMS_Sales!O:O,$L$2)
/
SUMIFS(VMS_Sales!F:F,VMS_Sales!D:D,A142,VMS_Sales!O:O,$L$2)
,2)
,"")</f>
        <v/>
      </c>
      <c r="F142" s="1" t="str">
        <f t="shared" si="2"/>
        <v/>
      </c>
    </row>
    <row r="143">
      <c r="B143" s="1" t="str">
        <f>IF(A143="","",SUMIFS(VMS_Sales!F:F,VMS_Sales!D:D,A143,VMS_Sales!O:O,$L$2))</f>
        <v/>
      </c>
      <c r="C143" s="1" t="str">
        <f>IF(A143="","",ROUND((
SUMIFS(VMS_Sales!F:F,VMS_Sales!D:D,A143,VMS_Sales!O:O,$L$1)+
SUMIFS(VMS_Sales!F:F,VMS_Sales!D:D,A143,VMS_Sales!O:O,$L$2)+
SUMIFS(VMS_Sales!F:F,VMS_Sales!D:D,A143,VMS_Sales!O:O,$L$3)
)/3,2))</f>
        <v/>
      </c>
      <c r="D143" s="1" t="str">
        <f t="shared" si="1"/>
        <v/>
      </c>
      <c r="E143" s="1" t="str">
        <f>IFERROR(
ROUND(
SUMIFS(VMS_Sales!M:M,VMS_Sales!D:D,A143,VMS_Sales!O:O,$L$2)
/
SUMIFS(VMS_Sales!F:F,VMS_Sales!D:D,A143,VMS_Sales!O:O,$L$2)
,2)
,"")</f>
        <v/>
      </c>
      <c r="F143" s="1" t="str">
        <f t="shared" si="2"/>
        <v/>
      </c>
    </row>
    <row r="144">
      <c r="B144" s="1" t="str">
        <f>IF(A144="","",SUMIFS(VMS_Sales!F:F,VMS_Sales!D:D,A144,VMS_Sales!O:O,$L$2))</f>
        <v/>
      </c>
      <c r="C144" s="1" t="str">
        <f>IF(A144="","",ROUND((
SUMIFS(VMS_Sales!F:F,VMS_Sales!D:D,A144,VMS_Sales!O:O,$L$1)+
SUMIFS(VMS_Sales!F:F,VMS_Sales!D:D,A144,VMS_Sales!O:O,$L$2)+
SUMIFS(VMS_Sales!F:F,VMS_Sales!D:D,A144,VMS_Sales!O:O,$L$3)
)/3,2))</f>
        <v/>
      </c>
      <c r="D144" s="1" t="str">
        <f t="shared" si="1"/>
        <v/>
      </c>
      <c r="E144" s="1" t="str">
        <f>IFERROR(
ROUND(
SUMIFS(VMS_Sales!M:M,VMS_Sales!D:D,A144,VMS_Sales!O:O,$L$2)
/
SUMIFS(VMS_Sales!F:F,VMS_Sales!D:D,A144,VMS_Sales!O:O,$L$2)
,2)
,"")</f>
        <v/>
      </c>
      <c r="F144" s="1" t="str">
        <f t="shared" si="2"/>
        <v/>
      </c>
    </row>
    <row r="145">
      <c r="B145" s="1" t="str">
        <f>IF(A145="","",SUMIFS(VMS_Sales!F:F,VMS_Sales!D:D,A145,VMS_Sales!O:O,$L$2))</f>
        <v/>
      </c>
      <c r="C145" s="1" t="str">
        <f>IF(A145="","",ROUND((
SUMIFS(VMS_Sales!F:F,VMS_Sales!D:D,A145,VMS_Sales!O:O,$L$1)+
SUMIFS(VMS_Sales!F:F,VMS_Sales!D:D,A145,VMS_Sales!O:O,$L$2)+
SUMIFS(VMS_Sales!F:F,VMS_Sales!D:D,A145,VMS_Sales!O:O,$L$3)
)/3,2))</f>
        <v/>
      </c>
      <c r="D145" s="1" t="str">
        <f t="shared" si="1"/>
        <v/>
      </c>
      <c r="E145" s="1" t="str">
        <f>IFERROR(
ROUND(
SUMIFS(VMS_Sales!M:M,VMS_Sales!D:D,A145,VMS_Sales!O:O,$L$2)
/
SUMIFS(VMS_Sales!F:F,VMS_Sales!D:D,A145,VMS_Sales!O:O,$L$2)
,2)
,"")</f>
        <v/>
      </c>
      <c r="F145" s="1" t="str">
        <f t="shared" si="2"/>
        <v/>
      </c>
    </row>
    <row r="146">
      <c r="B146" s="1" t="str">
        <f>IF(A146="","",SUMIFS(VMS_Sales!F:F,VMS_Sales!D:D,A146,VMS_Sales!O:O,$L$2))</f>
        <v/>
      </c>
      <c r="C146" s="1" t="str">
        <f>IF(A146="","",ROUND((
SUMIFS(VMS_Sales!F:F,VMS_Sales!D:D,A146,VMS_Sales!O:O,$L$1)+
SUMIFS(VMS_Sales!F:F,VMS_Sales!D:D,A146,VMS_Sales!O:O,$L$2)+
SUMIFS(VMS_Sales!F:F,VMS_Sales!D:D,A146,VMS_Sales!O:O,$L$3)
)/3,2))</f>
        <v/>
      </c>
      <c r="D146" s="1" t="str">
        <f t="shared" si="1"/>
        <v/>
      </c>
      <c r="E146" s="1" t="str">
        <f>IFERROR(
ROUND(
SUMIFS(VMS_Sales!M:M,VMS_Sales!D:D,A146,VMS_Sales!O:O,$L$2)
/
SUMIFS(VMS_Sales!F:F,VMS_Sales!D:D,A146,VMS_Sales!O:O,$L$2)
,2)
,"")</f>
        <v/>
      </c>
      <c r="F146" s="1" t="str">
        <f t="shared" si="2"/>
        <v/>
      </c>
    </row>
    <row r="147">
      <c r="B147" s="1" t="str">
        <f>IF(A147="","",SUMIFS(VMS_Sales!F:F,VMS_Sales!D:D,A147,VMS_Sales!O:O,$L$2))</f>
        <v/>
      </c>
      <c r="C147" s="1" t="str">
        <f>IF(A147="","",ROUND((
SUMIFS(VMS_Sales!F:F,VMS_Sales!D:D,A147,VMS_Sales!O:O,$L$1)+
SUMIFS(VMS_Sales!F:F,VMS_Sales!D:D,A147,VMS_Sales!O:O,$L$2)+
SUMIFS(VMS_Sales!F:F,VMS_Sales!D:D,A147,VMS_Sales!O:O,$L$3)
)/3,2))</f>
        <v/>
      </c>
      <c r="D147" s="1" t="str">
        <f t="shared" si="1"/>
        <v/>
      </c>
      <c r="E147" s="1" t="str">
        <f>IFERROR(
ROUND(
SUMIFS(VMS_Sales!M:M,VMS_Sales!D:D,A147,VMS_Sales!O:O,$L$2)
/
SUMIFS(VMS_Sales!F:F,VMS_Sales!D:D,A147,VMS_Sales!O:O,$L$2)
,2)
,"")</f>
        <v/>
      </c>
      <c r="F147" s="1" t="str">
        <f t="shared" si="2"/>
        <v/>
      </c>
    </row>
    <row r="148">
      <c r="B148" s="1" t="str">
        <f>IF(A148="","",SUMIFS(VMS_Sales!F:F,VMS_Sales!D:D,A148,VMS_Sales!O:O,$L$2))</f>
        <v/>
      </c>
      <c r="C148" s="1" t="str">
        <f>IF(A148="","",ROUND((
SUMIFS(VMS_Sales!F:F,VMS_Sales!D:D,A148,VMS_Sales!O:O,$L$1)+
SUMIFS(VMS_Sales!F:F,VMS_Sales!D:D,A148,VMS_Sales!O:O,$L$2)+
SUMIFS(VMS_Sales!F:F,VMS_Sales!D:D,A148,VMS_Sales!O:O,$L$3)
)/3,2))</f>
        <v/>
      </c>
      <c r="D148" s="1" t="str">
        <f t="shared" si="1"/>
        <v/>
      </c>
      <c r="E148" s="1" t="str">
        <f>IFERROR(
ROUND(
SUMIFS(VMS_Sales!M:M,VMS_Sales!D:D,A148,VMS_Sales!O:O,$L$2)
/
SUMIFS(VMS_Sales!F:F,VMS_Sales!D:D,A148,VMS_Sales!O:O,$L$2)
,2)
,"")</f>
        <v/>
      </c>
      <c r="F148" s="1" t="str">
        <f t="shared" si="2"/>
        <v/>
      </c>
    </row>
    <row r="149">
      <c r="B149" s="1" t="str">
        <f>IF(A149="","",SUMIFS(VMS_Sales!F:F,VMS_Sales!D:D,A149,VMS_Sales!O:O,$L$2))</f>
        <v/>
      </c>
      <c r="C149" s="1" t="str">
        <f>IF(A149="","",ROUND((
SUMIFS(VMS_Sales!F:F,VMS_Sales!D:D,A149,VMS_Sales!O:O,$L$1)+
SUMIFS(VMS_Sales!F:F,VMS_Sales!D:D,A149,VMS_Sales!O:O,$L$2)+
SUMIFS(VMS_Sales!F:F,VMS_Sales!D:D,A149,VMS_Sales!O:O,$L$3)
)/3,2))</f>
        <v/>
      </c>
      <c r="D149" s="1" t="str">
        <f t="shared" si="1"/>
        <v/>
      </c>
      <c r="E149" s="1" t="str">
        <f>IFERROR(
ROUND(
SUMIFS(VMS_Sales!M:M,VMS_Sales!D:D,A149,VMS_Sales!O:O,$L$2)
/
SUMIFS(VMS_Sales!F:F,VMS_Sales!D:D,A149,VMS_Sales!O:O,$L$2)
,2)
,"")</f>
        <v/>
      </c>
      <c r="F149" s="1" t="str">
        <f t="shared" si="2"/>
        <v/>
      </c>
    </row>
    <row r="150">
      <c r="B150" s="1" t="str">
        <f>IF(A150="","",SUMIFS(VMS_Sales!F:F,VMS_Sales!D:D,A150,VMS_Sales!O:O,$L$2))</f>
        <v/>
      </c>
      <c r="C150" s="1" t="str">
        <f>IF(A150="","",ROUND((
SUMIFS(VMS_Sales!F:F,VMS_Sales!D:D,A150,VMS_Sales!O:O,$L$1)+
SUMIFS(VMS_Sales!F:F,VMS_Sales!D:D,A150,VMS_Sales!O:O,$L$2)+
SUMIFS(VMS_Sales!F:F,VMS_Sales!D:D,A150,VMS_Sales!O:O,$L$3)
)/3,2))</f>
        <v/>
      </c>
      <c r="D150" s="1" t="str">
        <f t="shared" si="1"/>
        <v/>
      </c>
      <c r="E150" s="1" t="str">
        <f>IFERROR(
ROUND(
SUMIFS(VMS_Sales!M:M,VMS_Sales!D:D,A150,VMS_Sales!O:O,$L$2)
/
SUMIFS(VMS_Sales!F:F,VMS_Sales!D:D,A150,VMS_Sales!O:O,$L$2)
,2)
,"")</f>
        <v/>
      </c>
      <c r="F150" s="1" t="str">
        <f t="shared" si="2"/>
        <v/>
      </c>
    </row>
    <row r="151">
      <c r="B151" s="1" t="str">
        <f>IF(A151="","",SUMIFS(VMS_Sales!F:F,VMS_Sales!D:D,A151,VMS_Sales!O:O,$L$2))</f>
        <v/>
      </c>
      <c r="C151" s="1" t="str">
        <f>IF(A151="","",ROUND((
SUMIFS(VMS_Sales!F:F,VMS_Sales!D:D,A151,VMS_Sales!O:O,$L$1)+
SUMIFS(VMS_Sales!F:F,VMS_Sales!D:D,A151,VMS_Sales!O:O,$L$2)+
SUMIFS(VMS_Sales!F:F,VMS_Sales!D:D,A151,VMS_Sales!O:O,$L$3)
)/3,2))</f>
        <v/>
      </c>
      <c r="D151" s="1" t="str">
        <f t="shared" si="1"/>
        <v/>
      </c>
      <c r="E151" s="1" t="str">
        <f>IFERROR(
ROUND(
SUMIFS(VMS_Sales!M:M,VMS_Sales!D:D,A151,VMS_Sales!O:O,$L$2)
/
SUMIFS(VMS_Sales!F:F,VMS_Sales!D:D,A151,VMS_Sales!O:O,$L$2)
,2)
,"")</f>
        <v/>
      </c>
      <c r="F151" s="1" t="str">
        <f t="shared" si="2"/>
        <v/>
      </c>
    </row>
    <row r="152">
      <c r="B152" s="1" t="str">
        <f>IF(A152="","",SUMIFS(VMS_Sales!F:F,VMS_Sales!D:D,A152,VMS_Sales!O:O,$L$2))</f>
        <v/>
      </c>
      <c r="C152" s="1" t="str">
        <f>IF(A152="","",ROUND((
SUMIFS(VMS_Sales!F:F,VMS_Sales!D:D,A152,VMS_Sales!O:O,$L$1)+
SUMIFS(VMS_Sales!F:F,VMS_Sales!D:D,A152,VMS_Sales!O:O,$L$2)+
SUMIFS(VMS_Sales!F:F,VMS_Sales!D:D,A152,VMS_Sales!O:O,$L$3)
)/3,2))</f>
        <v/>
      </c>
      <c r="D152" s="1" t="str">
        <f t="shared" si="1"/>
        <v/>
      </c>
      <c r="E152" s="1" t="str">
        <f>IFERROR(
ROUND(
SUMIFS(VMS_Sales!M:M,VMS_Sales!D:D,A152,VMS_Sales!O:O,$L$2)
/
SUMIFS(VMS_Sales!F:F,VMS_Sales!D:D,A152,VMS_Sales!O:O,$L$2)
,2)
,"")</f>
        <v/>
      </c>
      <c r="F152" s="1" t="str">
        <f t="shared" si="2"/>
        <v/>
      </c>
    </row>
    <row r="153">
      <c r="B153" s="1" t="str">
        <f>IF(A153="","",SUMIFS(VMS_Sales!F:F,VMS_Sales!D:D,A153,VMS_Sales!O:O,$L$2))</f>
        <v/>
      </c>
      <c r="C153" s="1" t="str">
        <f>IF(A153="","",ROUND((
SUMIFS(VMS_Sales!F:F,VMS_Sales!D:D,A153,VMS_Sales!O:O,$L$1)+
SUMIFS(VMS_Sales!F:F,VMS_Sales!D:D,A153,VMS_Sales!O:O,$L$2)+
SUMIFS(VMS_Sales!F:F,VMS_Sales!D:D,A153,VMS_Sales!O:O,$L$3)
)/3,2))</f>
        <v/>
      </c>
      <c r="D153" s="1" t="str">
        <f t="shared" si="1"/>
        <v/>
      </c>
      <c r="E153" s="1" t="str">
        <f>IFERROR(
ROUND(
SUMIFS(VMS_Sales!M:M,VMS_Sales!D:D,A153,VMS_Sales!O:O,$L$2)
/
SUMIFS(VMS_Sales!F:F,VMS_Sales!D:D,A153,VMS_Sales!O:O,$L$2)
,2)
,"")</f>
        <v/>
      </c>
      <c r="F153" s="1" t="str">
        <f t="shared" si="2"/>
        <v/>
      </c>
    </row>
    <row r="154">
      <c r="B154" s="1" t="str">
        <f>IF(A154="","",SUMIFS(VMS_Sales!F:F,VMS_Sales!D:D,A154,VMS_Sales!O:O,$L$2))</f>
        <v/>
      </c>
      <c r="C154" s="1" t="str">
        <f>IF(A154="","",ROUND((
SUMIFS(VMS_Sales!F:F,VMS_Sales!D:D,A154,VMS_Sales!O:O,$L$1)+
SUMIFS(VMS_Sales!F:F,VMS_Sales!D:D,A154,VMS_Sales!O:O,$L$2)+
SUMIFS(VMS_Sales!F:F,VMS_Sales!D:D,A154,VMS_Sales!O:O,$L$3)
)/3,2))</f>
        <v/>
      </c>
      <c r="D154" s="1" t="str">
        <f t="shared" si="1"/>
        <v/>
      </c>
      <c r="E154" s="1" t="str">
        <f>IFERROR(
ROUND(
SUMIFS(VMS_Sales!M:M,VMS_Sales!D:D,A154,VMS_Sales!O:O,$L$2)
/
SUMIFS(VMS_Sales!F:F,VMS_Sales!D:D,A154,VMS_Sales!O:O,$L$2)
,2)
,"")</f>
        <v/>
      </c>
      <c r="F154" s="1" t="str">
        <f t="shared" si="2"/>
        <v/>
      </c>
    </row>
    <row r="155">
      <c r="B155" s="1" t="str">
        <f>IF(A155="","",SUMIFS(VMS_Sales!F:F,VMS_Sales!D:D,A155,VMS_Sales!O:O,$L$2))</f>
        <v/>
      </c>
      <c r="C155" s="1" t="str">
        <f>IF(A155="","",ROUND((
SUMIFS(VMS_Sales!F:F,VMS_Sales!D:D,A155,VMS_Sales!O:O,$L$1)+
SUMIFS(VMS_Sales!F:F,VMS_Sales!D:D,A155,VMS_Sales!O:O,$L$2)+
SUMIFS(VMS_Sales!F:F,VMS_Sales!D:D,A155,VMS_Sales!O:O,$L$3)
)/3,2))</f>
        <v/>
      </c>
      <c r="D155" s="1" t="str">
        <f t="shared" si="1"/>
        <v/>
      </c>
      <c r="E155" s="1" t="str">
        <f>IFERROR(
ROUND(
SUMIFS(VMS_Sales!M:M,VMS_Sales!D:D,A155,VMS_Sales!O:O,$L$2)
/
SUMIFS(VMS_Sales!F:F,VMS_Sales!D:D,A155,VMS_Sales!O:O,$L$2)
,2)
,"")</f>
        <v/>
      </c>
      <c r="F155" s="1" t="str">
        <f t="shared" si="2"/>
        <v/>
      </c>
    </row>
    <row r="156">
      <c r="B156" s="1" t="str">
        <f>IF(A156="","",SUMIFS(VMS_Sales!F:F,VMS_Sales!D:D,A156,VMS_Sales!O:O,$L$2))</f>
        <v/>
      </c>
      <c r="C156" s="1" t="str">
        <f>IF(A156="","",ROUND((
SUMIFS(VMS_Sales!F:F,VMS_Sales!D:D,A156,VMS_Sales!O:O,$L$1)+
SUMIFS(VMS_Sales!F:F,VMS_Sales!D:D,A156,VMS_Sales!O:O,$L$2)+
SUMIFS(VMS_Sales!F:F,VMS_Sales!D:D,A156,VMS_Sales!O:O,$L$3)
)/3,2))</f>
        <v/>
      </c>
      <c r="D156" s="1" t="str">
        <f t="shared" si="1"/>
        <v/>
      </c>
      <c r="E156" s="1" t="str">
        <f>IFERROR(
ROUND(
SUMIFS(VMS_Sales!M:M,VMS_Sales!D:D,A156,VMS_Sales!O:O,$L$2)
/
SUMIFS(VMS_Sales!F:F,VMS_Sales!D:D,A156,VMS_Sales!O:O,$L$2)
,2)
,"")</f>
        <v/>
      </c>
      <c r="F156" s="1" t="str">
        <f t="shared" si="2"/>
        <v/>
      </c>
    </row>
    <row r="157">
      <c r="B157" s="1" t="str">
        <f>IF(A157="","",SUMIFS(VMS_Sales!F:F,VMS_Sales!D:D,A157,VMS_Sales!O:O,$L$2))</f>
        <v/>
      </c>
      <c r="C157" s="1" t="str">
        <f>IF(A157="","",ROUND((
SUMIFS(VMS_Sales!F:F,VMS_Sales!D:D,A157,VMS_Sales!O:O,$L$1)+
SUMIFS(VMS_Sales!F:F,VMS_Sales!D:D,A157,VMS_Sales!O:O,$L$2)+
SUMIFS(VMS_Sales!F:F,VMS_Sales!D:D,A157,VMS_Sales!O:O,$L$3)
)/3,2))</f>
        <v/>
      </c>
      <c r="D157" s="1" t="str">
        <f t="shared" si="1"/>
        <v/>
      </c>
      <c r="E157" s="1" t="str">
        <f>IFERROR(
ROUND(
SUMIFS(VMS_Sales!M:M,VMS_Sales!D:D,A157,VMS_Sales!O:O,$L$2)
/
SUMIFS(VMS_Sales!F:F,VMS_Sales!D:D,A157,VMS_Sales!O:O,$L$2)
,2)
,"")</f>
        <v/>
      </c>
      <c r="F157" s="1" t="str">
        <f t="shared" si="2"/>
        <v/>
      </c>
    </row>
    <row r="158">
      <c r="B158" s="1" t="str">
        <f>IF(A158="","",SUMIFS(VMS_Sales!F:F,VMS_Sales!D:D,A158,VMS_Sales!O:O,$L$2))</f>
        <v/>
      </c>
      <c r="C158" s="1" t="str">
        <f>IF(A158="","",ROUND((
SUMIFS(VMS_Sales!F:F,VMS_Sales!D:D,A158,VMS_Sales!O:O,$L$1)+
SUMIFS(VMS_Sales!F:F,VMS_Sales!D:D,A158,VMS_Sales!O:O,$L$2)+
SUMIFS(VMS_Sales!F:F,VMS_Sales!D:D,A158,VMS_Sales!O:O,$L$3)
)/3,2))</f>
        <v/>
      </c>
      <c r="D158" s="1" t="str">
        <f t="shared" si="1"/>
        <v/>
      </c>
      <c r="E158" s="1" t="str">
        <f>IFERROR(
ROUND(
SUMIFS(VMS_Sales!M:M,VMS_Sales!D:D,A158,VMS_Sales!O:O,$L$2)
/
SUMIFS(VMS_Sales!F:F,VMS_Sales!D:D,A158,VMS_Sales!O:O,$L$2)
,2)
,"")</f>
        <v/>
      </c>
      <c r="F158" s="1" t="str">
        <f t="shared" si="2"/>
        <v/>
      </c>
    </row>
    <row r="159">
      <c r="B159" s="1" t="str">
        <f>IF(A159="","",SUMIFS(VMS_Sales!F:F,VMS_Sales!D:D,A159,VMS_Sales!O:O,$L$2))</f>
        <v/>
      </c>
      <c r="C159" s="1" t="str">
        <f>IF(A159="","",ROUND((
SUMIFS(VMS_Sales!F:F,VMS_Sales!D:D,A159,VMS_Sales!O:O,$L$1)+
SUMIFS(VMS_Sales!F:F,VMS_Sales!D:D,A159,VMS_Sales!O:O,$L$2)+
SUMIFS(VMS_Sales!F:F,VMS_Sales!D:D,A159,VMS_Sales!O:O,$L$3)
)/3,2))</f>
        <v/>
      </c>
      <c r="D159" s="1" t="str">
        <f t="shared" si="1"/>
        <v/>
      </c>
      <c r="E159" s="1" t="str">
        <f>IFERROR(
ROUND(
SUMIFS(VMS_Sales!M:M,VMS_Sales!D:D,A159,VMS_Sales!O:O,$L$2)
/
SUMIFS(VMS_Sales!F:F,VMS_Sales!D:D,A159,VMS_Sales!O:O,$L$2)
,2)
,"")</f>
        <v/>
      </c>
      <c r="F159" s="1" t="str">
        <f t="shared" si="2"/>
        <v/>
      </c>
    </row>
    <row r="160">
      <c r="B160" s="1" t="str">
        <f>IF(A160="","",SUMIFS(VMS_Sales!F:F,VMS_Sales!D:D,A160,VMS_Sales!O:O,$L$2))</f>
        <v/>
      </c>
      <c r="C160" s="1" t="str">
        <f>IF(A160="","",ROUND((
SUMIFS(VMS_Sales!F:F,VMS_Sales!D:D,A160,VMS_Sales!O:O,$L$1)+
SUMIFS(VMS_Sales!F:F,VMS_Sales!D:D,A160,VMS_Sales!O:O,$L$2)+
SUMIFS(VMS_Sales!F:F,VMS_Sales!D:D,A160,VMS_Sales!O:O,$L$3)
)/3,2))</f>
        <v/>
      </c>
      <c r="D160" s="1" t="str">
        <f t="shared" si="1"/>
        <v/>
      </c>
      <c r="E160" s="1" t="str">
        <f>IFERROR(
ROUND(
SUMIFS(VMS_Sales!M:M,VMS_Sales!D:D,A160,VMS_Sales!O:O,$L$2)
/
SUMIFS(VMS_Sales!F:F,VMS_Sales!D:D,A160,VMS_Sales!O:O,$L$2)
,2)
,"")</f>
        <v/>
      </c>
      <c r="F160" s="1" t="str">
        <f t="shared" si="2"/>
        <v/>
      </c>
    </row>
    <row r="161">
      <c r="B161" s="1" t="str">
        <f>IF(A161="","",SUMIFS(VMS_Sales!F:F,VMS_Sales!D:D,A161,VMS_Sales!O:O,$L$2))</f>
        <v/>
      </c>
      <c r="C161" s="1" t="str">
        <f>IF(A161="","",ROUND((
SUMIFS(VMS_Sales!F:F,VMS_Sales!D:D,A161,VMS_Sales!O:O,$L$1)+
SUMIFS(VMS_Sales!F:F,VMS_Sales!D:D,A161,VMS_Sales!O:O,$L$2)+
SUMIFS(VMS_Sales!F:F,VMS_Sales!D:D,A161,VMS_Sales!O:O,$L$3)
)/3,2))</f>
        <v/>
      </c>
      <c r="D161" s="1" t="str">
        <f t="shared" si="1"/>
        <v/>
      </c>
      <c r="E161" s="1" t="str">
        <f>IFERROR(
ROUND(
SUMIFS(VMS_Sales!M:M,VMS_Sales!D:D,A161,VMS_Sales!O:O,$L$2)
/
SUMIFS(VMS_Sales!F:F,VMS_Sales!D:D,A161,VMS_Sales!O:O,$L$2)
,2)
,"")</f>
        <v/>
      </c>
      <c r="F161" s="1" t="str">
        <f t="shared" si="2"/>
        <v/>
      </c>
    </row>
    <row r="162">
      <c r="B162" s="1" t="str">
        <f>IF(A162="","",SUMIFS(VMS_Sales!F:F,VMS_Sales!D:D,A162,VMS_Sales!O:O,$L$2))</f>
        <v/>
      </c>
      <c r="C162" s="1" t="str">
        <f>IF(A162="","",ROUND((
SUMIFS(VMS_Sales!F:F,VMS_Sales!D:D,A162,VMS_Sales!O:O,$L$1)+
SUMIFS(VMS_Sales!F:F,VMS_Sales!D:D,A162,VMS_Sales!O:O,$L$2)+
SUMIFS(VMS_Sales!F:F,VMS_Sales!D:D,A162,VMS_Sales!O:O,$L$3)
)/3,2))</f>
        <v/>
      </c>
      <c r="D162" s="1" t="str">
        <f t="shared" si="1"/>
        <v/>
      </c>
      <c r="E162" s="1" t="str">
        <f>IFERROR(
ROUND(
SUMIFS(VMS_Sales!M:M,VMS_Sales!D:D,A162,VMS_Sales!O:O,$L$2)
/
SUMIFS(VMS_Sales!F:F,VMS_Sales!D:D,A162,VMS_Sales!O:O,$L$2)
,2)
,"")</f>
        <v/>
      </c>
      <c r="F162" s="1" t="str">
        <f t="shared" si="2"/>
        <v/>
      </c>
    </row>
    <row r="163">
      <c r="B163" s="1" t="str">
        <f>IF(A163="","",SUMIFS(VMS_Sales!F:F,VMS_Sales!D:D,A163,VMS_Sales!O:O,$L$2))</f>
        <v/>
      </c>
      <c r="C163" s="1" t="str">
        <f>IF(A163="","",ROUND((
SUMIFS(VMS_Sales!F:F,VMS_Sales!D:D,A163,VMS_Sales!O:O,$L$1)+
SUMIFS(VMS_Sales!F:F,VMS_Sales!D:D,A163,VMS_Sales!O:O,$L$2)+
SUMIFS(VMS_Sales!F:F,VMS_Sales!D:D,A163,VMS_Sales!O:O,$L$3)
)/3,2))</f>
        <v/>
      </c>
      <c r="D163" s="1" t="str">
        <f t="shared" si="1"/>
        <v/>
      </c>
      <c r="E163" s="1" t="str">
        <f>IFERROR(
ROUND(
SUMIFS(VMS_Sales!M:M,VMS_Sales!D:D,A163,VMS_Sales!O:O,$L$2)
/
SUMIFS(VMS_Sales!F:F,VMS_Sales!D:D,A163,VMS_Sales!O:O,$L$2)
,2)
,"")</f>
        <v/>
      </c>
      <c r="F163" s="1" t="str">
        <f t="shared" si="2"/>
        <v/>
      </c>
    </row>
    <row r="164">
      <c r="B164" s="1" t="str">
        <f>IF(A164="","",SUMIFS(VMS_Sales!F:F,VMS_Sales!D:D,A164,VMS_Sales!O:O,$L$2))</f>
        <v/>
      </c>
      <c r="C164" s="1" t="str">
        <f>IF(A164="","",ROUND((
SUMIFS(VMS_Sales!F:F,VMS_Sales!D:D,A164,VMS_Sales!O:O,$L$1)+
SUMIFS(VMS_Sales!F:F,VMS_Sales!D:D,A164,VMS_Sales!O:O,$L$2)+
SUMIFS(VMS_Sales!F:F,VMS_Sales!D:D,A164,VMS_Sales!O:O,$L$3)
)/3,2))</f>
        <v/>
      </c>
      <c r="D164" s="1" t="str">
        <f t="shared" si="1"/>
        <v/>
      </c>
      <c r="E164" s="1" t="str">
        <f>IFERROR(
ROUND(
SUMIFS(VMS_Sales!M:M,VMS_Sales!D:D,A164,VMS_Sales!O:O,$L$2)
/
SUMIFS(VMS_Sales!F:F,VMS_Sales!D:D,A164,VMS_Sales!O:O,$L$2)
,2)
,"")</f>
        <v/>
      </c>
      <c r="F164" s="1" t="str">
        <f t="shared" si="2"/>
        <v/>
      </c>
    </row>
    <row r="165">
      <c r="B165" s="1" t="str">
        <f>IF(A165="","",SUMIFS(VMS_Sales!F:F,VMS_Sales!D:D,A165,VMS_Sales!O:O,$L$2))</f>
        <v/>
      </c>
      <c r="C165" s="1" t="str">
        <f>IF(A165="","",ROUND((
SUMIFS(VMS_Sales!F:F,VMS_Sales!D:D,A165,VMS_Sales!O:O,$L$1)+
SUMIFS(VMS_Sales!F:F,VMS_Sales!D:D,A165,VMS_Sales!O:O,$L$2)+
SUMIFS(VMS_Sales!F:F,VMS_Sales!D:D,A165,VMS_Sales!O:O,$L$3)
)/3,2))</f>
        <v/>
      </c>
      <c r="D165" s="1" t="str">
        <f t="shared" si="1"/>
        <v/>
      </c>
      <c r="E165" s="1" t="str">
        <f>IFERROR(
ROUND(
SUMIFS(VMS_Sales!M:M,VMS_Sales!D:D,A165,VMS_Sales!O:O,$L$2)
/
SUMIFS(VMS_Sales!F:F,VMS_Sales!D:D,A165,VMS_Sales!O:O,$L$2)
,2)
,"")</f>
        <v/>
      </c>
      <c r="F165" s="1" t="str">
        <f t="shared" si="2"/>
        <v/>
      </c>
    </row>
    <row r="166">
      <c r="B166" s="1" t="str">
        <f>IF(A166="","",SUMIFS(VMS_Sales!F:F,VMS_Sales!D:D,A166,VMS_Sales!O:O,$L$2))</f>
        <v/>
      </c>
      <c r="C166" s="1" t="str">
        <f>IF(A166="","",ROUND((
SUMIFS(VMS_Sales!F:F,VMS_Sales!D:D,A166,VMS_Sales!O:O,$L$1)+
SUMIFS(VMS_Sales!F:F,VMS_Sales!D:D,A166,VMS_Sales!O:O,$L$2)+
SUMIFS(VMS_Sales!F:F,VMS_Sales!D:D,A166,VMS_Sales!O:O,$L$3)
)/3,2))</f>
        <v/>
      </c>
      <c r="D166" s="1" t="str">
        <f t="shared" si="1"/>
        <v/>
      </c>
      <c r="E166" s="1" t="str">
        <f>IFERROR(
ROUND(
SUMIFS(VMS_Sales!M:M,VMS_Sales!D:D,A166,VMS_Sales!O:O,$L$2)
/
SUMIFS(VMS_Sales!F:F,VMS_Sales!D:D,A166,VMS_Sales!O:O,$L$2)
,2)
,"")</f>
        <v/>
      </c>
      <c r="F166" s="1" t="str">
        <f t="shared" si="2"/>
        <v/>
      </c>
    </row>
    <row r="167">
      <c r="B167" s="1" t="str">
        <f>IF(A167="","",SUMIFS(VMS_Sales!F:F,VMS_Sales!D:D,A167,VMS_Sales!O:O,$L$2))</f>
        <v/>
      </c>
      <c r="C167" s="1" t="str">
        <f>IF(A167="","",ROUND((
SUMIFS(VMS_Sales!F:F,VMS_Sales!D:D,A167,VMS_Sales!O:O,$L$1)+
SUMIFS(VMS_Sales!F:F,VMS_Sales!D:D,A167,VMS_Sales!O:O,$L$2)+
SUMIFS(VMS_Sales!F:F,VMS_Sales!D:D,A167,VMS_Sales!O:O,$L$3)
)/3,2))</f>
        <v/>
      </c>
      <c r="D167" s="1" t="str">
        <f t="shared" si="1"/>
        <v/>
      </c>
      <c r="E167" s="1" t="str">
        <f>IFERROR(
ROUND(
SUMIFS(VMS_Sales!M:M,VMS_Sales!D:D,A167,VMS_Sales!O:O,$L$2)
/
SUMIFS(VMS_Sales!F:F,VMS_Sales!D:D,A167,VMS_Sales!O:O,$L$2)
,2)
,"")</f>
        <v/>
      </c>
      <c r="F167" s="1" t="str">
        <f t="shared" si="2"/>
        <v/>
      </c>
    </row>
    <row r="168">
      <c r="B168" s="1" t="str">
        <f>IF(A168="","",SUMIFS(VMS_Sales!F:F,VMS_Sales!D:D,A168,VMS_Sales!O:O,$L$2))</f>
        <v/>
      </c>
      <c r="C168" s="1" t="str">
        <f>IF(A168="","",ROUND((
SUMIFS(VMS_Sales!F:F,VMS_Sales!D:D,A168,VMS_Sales!O:O,$L$1)+
SUMIFS(VMS_Sales!F:F,VMS_Sales!D:D,A168,VMS_Sales!O:O,$L$2)+
SUMIFS(VMS_Sales!F:F,VMS_Sales!D:D,A168,VMS_Sales!O:O,$L$3)
)/3,2))</f>
        <v/>
      </c>
      <c r="D168" s="1" t="str">
        <f t="shared" si="1"/>
        <v/>
      </c>
      <c r="E168" s="1" t="str">
        <f>IFERROR(
ROUND(
SUMIFS(VMS_Sales!M:M,VMS_Sales!D:D,A168,VMS_Sales!O:O,$L$2)
/
SUMIFS(VMS_Sales!F:F,VMS_Sales!D:D,A168,VMS_Sales!O:O,$L$2)
,2)
,"")</f>
        <v/>
      </c>
      <c r="F168" s="1" t="str">
        <f t="shared" si="2"/>
        <v/>
      </c>
    </row>
    <row r="169">
      <c r="B169" s="1" t="str">
        <f>IF(A169="","",SUMIFS(VMS_Sales!F:F,VMS_Sales!D:D,A169,VMS_Sales!O:O,$L$2))</f>
        <v/>
      </c>
      <c r="C169" s="1" t="str">
        <f>IF(A169="","",ROUND((
SUMIFS(VMS_Sales!F:F,VMS_Sales!D:D,A169,VMS_Sales!O:O,$L$1)+
SUMIFS(VMS_Sales!F:F,VMS_Sales!D:D,A169,VMS_Sales!O:O,$L$2)+
SUMIFS(VMS_Sales!F:F,VMS_Sales!D:D,A169,VMS_Sales!O:O,$L$3)
)/3,2))</f>
        <v/>
      </c>
      <c r="D169" s="1" t="str">
        <f t="shared" si="1"/>
        <v/>
      </c>
      <c r="E169" s="1" t="str">
        <f>IFERROR(
ROUND(
SUMIFS(VMS_Sales!M:M,VMS_Sales!D:D,A169,VMS_Sales!O:O,$L$2)
/
SUMIFS(VMS_Sales!F:F,VMS_Sales!D:D,A169,VMS_Sales!O:O,$L$2)
,2)
,"")</f>
        <v/>
      </c>
      <c r="F169" s="1" t="str">
        <f t="shared" si="2"/>
        <v/>
      </c>
    </row>
    <row r="170">
      <c r="B170" s="1" t="str">
        <f>IF(A170="","",SUMIFS(VMS_Sales!F:F,VMS_Sales!D:D,A170,VMS_Sales!O:O,$L$2))</f>
        <v/>
      </c>
      <c r="C170" s="1" t="str">
        <f>IF(A170="","",ROUND((
SUMIFS(VMS_Sales!F:F,VMS_Sales!D:D,A170,VMS_Sales!O:O,$L$1)+
SUMIFS(VMS_Sales!F:F,VMS_Sales!D:D,A170,VMS_Sales!O:O,$L$2)+
SUMIFS(VMS_Sales!F:F,VMS_Sales!D:D,A170,VMS_Sales!O:O,$L$3)
)/3,2))</f>
        <v/>
      </c>
      <c r="D170" s="1" t="str">
        <f t="shared" si="1"/>
        <v/>
      </c>
      <c r="E170" s="1" t="str">
        <f>IFERROR(
ROUND(
SUMIFS(VMS_Sales!M:M,VMS_Sales!D:D,A170,VMS_Sales!O:O,$L$2)
/
SUMIFS(VMS_Sales!F:F,VMS_Sales!D:D,A170,VMS_Sales!O:O,$L$2)
,2)
,"")</f>
        <v/>
      </c>
      <c r="F170" s="1" t="str">
        <f t="shared" si="2"/>
        <v/>
      </c>
    </row>
    <row r="171">
      <c r="B171" s="1" t="str">
        <f>IF(A171="","",SUMIFS(VMS_Sales!F:F,VMS_Sales!D:D,A171,VMS_Sales!O:O,$L$2))</f>
        <v/>
      </c>
      <c r="C171" s="1" t="str">
        <f>IF(A171="","",ROUND((
SUMIFS(VMS_Sales!F:F,VMS_Sales!D:D,A171,VMS_Sales!O:O,$L$1)+
SUMIFS(VMS_Sales!F:F,VMS_Sales!D:D,A171,VMS_Sales!O:O,$L$2)+
SUMIFS(VMS_Sales!F:F,VMS_Sales!D:D,A171,VMS_Sales!O:O,$L$3)
)/3,2))</f>
        <v/>
      </c>
      <c r="D171" s="1" t="str">
        <f t="shared" si="1"/>
        <v/>
      </c>
      <c r="E171" s="1" t="str">
        <f>IFERROR(
ROUND(
SUMIFS(VMS_Sales!M:M,VMS_Sales!D:D,A171,VMS_Sales!O:O,$L$2)
/
SUMIFS(VMS_Sales!F:F,VMS_Sales!D:D,A171,VMS_Sales!O:O,$L$2)
,2)
,"")</f>
        <v/>
      </c>
      <c r="F171" s="1" t="str">
        <f t="shared" si="2"/>
        <v/>
      </c>
    </row>
    <row r="172">
      <c r="B172" s="1" t="str">
        <f>IF(A172="","",SUMIFS(VMS_Sales!F:F,VMS_Sales!D:D,A172,VMS_Sales!O:O,$L$2))</f>
        <v/>
      </c>
      <c r="C172" s="1" t="str">
        <f>IF(A172="","",ROUND((
SUMIFS(VMS_Sales!F:F,VMS_Sales!D:D,A172,VMS_Sales!O:O,$L$1)+
SUMIFS(VMS_Sales!F:F,VMS_Sales!D:D,A172,VMS_Sales!O:O,$L$2)+
SUMIFS(VMS_Sales!F:F,VMS_Sales!D:D,A172,VMS_Sales!O:O,$L$3)
)/3,2))</f>
        <v/>
      </c>
      <c r="D172" s="1" t="str">
        <f t="shared" si="1"/>
        <v/>
      </c>
      <c r="E172" s="1" t="str">
        <f>IFERROR(
ROUND(
SUMIFS(VMS_Sales!M:M,VMS_Sales!D:D,A172,VMS_Sales!O:O,$L$2)
/
SUMIFS(VMS_Sales!F:F,VMS_Sales!D:D,A172,VMS_Sales!O:O,$L$2)
,2)
,"")</f>
        <v/>
      </c>
      <c r="F172" s="1" t="str">
        <f t="shared" si="2"/>
        <v/>
      </c>
    </row>
    <row r="173">
      <c r="B173" s="1" t="str">
        <f>IF(A173="","",SUMIFS(VMS_Sales!F:F,VMS_Sales!D:D,A173,VMS_Sales!O:O,$L$2))</f>
        <v/>
      </c>
      <c r="C173" s="1" t="str">
        <f>IF(A173="","",ROUND((
SUMIFS(VMS_Sales!F:F,VMS_Sales!D:D,A173,VMS_Sales!O:O,$L$1)+
SUMIFS(VMS_Sales!F:F,VMS_Sales!D:D,A173,VMS_Sales!O:O,$L$2)+
SUMIFS(VMS_Sales!F:F,VMS_Sales!D:D,A173,VMS_Sales!O:O,$L$3)
)/3,2))</f>
        <v/>
      </c>
      <c r="D173" s="1" t="str">
        <f t="shared" si="1"/>
        <v/>
      </c>
      <c r="E173" s="1" t="str">
        <f>IFERROR(
ROUND(
SUMIFS(VMS_Sales!M:M,VMS_Sales!D:D,A173,VMS_Sales!O:O,$L$2)
/
SUMIFS(VMS_Sales!F:F,VMS_Sales!D:D,A173,VMS_Sales!O:O,$L$2)
,2)
,"")</f>
        <v/>
      </c>
      <c r="F173" s="1" t="str">
        <f t="shared" si="2"/>
        <v/>
      </c>
    </row>
    <row r="174">
      <c r="B174" s="1" t="str">
        <f>IF(A174="","",SUMIFS(VMS_Sales!F:F,VMS_Sales!D:D,A174,VMS_Sales!O:O,$L$2))</f>
        <v/>
      </c>
      <c r="C174" s="1" t="str">
        <f>IF(A174="","",ROUND((
SUMIFS(VMS_Sales!F:F,VMS_Sales!D:D,A174,VMS_Sales!O:O,$L$1)+
SUMIFS(VMS_Sales!F:F,VMS_Sales!D:D,A174,VMS_Sales!O:O,$L$2)+
SUMIFS(VMS_Sales!F:F,VMS_Sales!D:D,A174,VMS_Sales!O:O,$L$3)
)/3,2))</f>
        <v/>
      </c>
      <c r="D174" s="1" t="str">
        <f t="shared" si="1"/>
        <v/>
      </c>
      <c r="E174" s="1" t="str">
        <f>IFERROR(
ROUND(
SUMIFS(VMS_Sales!M:M,VMS_Sales!D:D,A174,VMS_Sales!O:O,$L$2)
/
SUMIFS(VMS_Sales!F:F,VMS_Sales!D:D,A174,VMS_Sales!O:O,$L$2)
,2)
,"")</f>
        <v/>
      </c>
      <c r="F174" s="1" t="str">
        <f t="shared" si="2"/>
        <v/>
      </c>
    </row>
    <row r="175">
      <c r="B175" s="1" t="str">
        <f>IF(A175="","",SUMIFS(VMS_Sales!F:F,VMS_Sales!D:D,A175,VMS_Sales!O:O,$L$2))</f>
        <v/>
      </c>
      <c r="C175" s="1" t="str">
        <f>IF(A175="","",ROUND((
SUMIFS(VMS_Sales!F:F,VMS_Sales!D:D,A175,VMS_Sales!O:O,$L$1)+
SUMIFS(VMS_Sales!F:F,VMS_Sales!D:D,A175,VMS_Sales!O:O,$L$2)+
SUMIFS(VMS_Sales!F:F,VMS_Sales!D:D,A175,VMS_Sales!O:O,$L$3)
)/3,2))</f>
        <v/>
      </c>
      <c r="D175" s="1" t="str">
        <f t="shared" si="1"/>
        <v/>
      </c>
      <c r="E175" s="1" t="str">
        <f>IFERROR(
ROUND(
SUMIFS(VMS_Sales!M:M,VMS_Sales!D:D,A175,VMS_Sales!O:O,$L$2)
/
SUMIFS(VMS_Sales!F:F,VMS_Sales!D:D,A175,VMS_Sales!O:O,$L$2)
,2)
,"")</f>
        <v/>
      </c>
      <c r="F175" s="1" t="str">
        <f t="shared" si="2"/>
        <v/>
      </c>
    </row>
    <row r="176">
      <c r="B176" s="1" t="str">
        <f>IF(A176="","",SUMIFS(VMS_Sales!F:F,VMS_Sales!D:D,A176,VMS_Sales!O:O,$L$2))</f>
        <v/>
      </c>
      <c r="C176" s="1" t="str">
        <f>IF(A176="","",ROUND((
SUMIFS(VMS_Sales!F:F,VMS_Sales!D:D,A176,VMS_Sales!O:O,$L$1)+
SUMIFS(VMS_Sales!F:F,VMS_Sales!D:D,A176,VMS_Sales!O:O,$L$2)+
SUMIFS(VMS_Sales!F:F,VMS_Sales!D:D,A176,VMS_Sales!O:O,$L$3)
)/3,2))</f>
        <v/>
      </c>
      <c r="D176" s="1" t="str">
        <f t="shared" si="1"/>
        <v/>
      </c>
      <c r="E176" s="1" t="str">
        <f>IFERROR(
ROUND(
SUMIFS(VMS_Sales!M:M,VMS_Sales!D:D,A176,VMS_Sales!O:O,$L$2)
/
SUMIFS(VMS_Sales!F:F,VMS_Sales!D:D,A176,VMS_Sales!O:O,$L$2)
,2)
,"")</f>
        <v/>
      </c>
      <c r="F176" s="1" t="str">
        <f t="shared" si="2"/>
        <v/>
      </c>
    </row>
    <row r="177">
      <c r="B177" s="1" t="str">
        <f>IF(A177="","",SUMIFS(VMS_Sales!F:F,VMS_Sales!D:D,A177,VMS_Sales!O:O,$L$2))</f>
        <v/>
      </c>
      <c r="C177" s="1" t="str">
        <f>IF(A177="","",ROUND((
SUMIFS(VMS_Sales!F:F,VMS_Sales!D:D,A177,VMS_Sales!O:O,$L$1)+
SUMIFS(VMS_Sales!F:F,VMS_Sales!D:D,A177,VMS_Sales!O:O,$L$2)+
SUMIFS(VMS_Sales!F:F,VMS_Sales!D:D,A177,VMS_Sales!O:O,$L$3)
)/3,2))</f>
        <v/>
      </c>
      <c r="D177" s="1" t="str">
        <f t="shared" si="1"/>
        <v/>
      </c>
      <c r="E177" s="1" t="str">
        <f>IFERROR(
ROUND(
SUMIFS(VMS_Sales!M:M,VMS_Sales!D:D,A177,VMS_Sales!O:O,$L$2)
/
SUMIFS(VMS_Sales!F:F,VMS_Sales!D:D,A177,VMS_Sales!O:O,$L$2)
,2)
,"")</f>
        <v/>
      </c>
      <c r="F177" s="1" t="str">
        <f t="shared" si="2"/>
        <v/>
      </c>
    </row>
    <row r="178">
      <c r="B178" s="1" t="str">
        <f>IF(A178="","",SUMIFS(VMS_Sales!F:F,VMS_Sales!D:D,A178,VMS_Sales!O:O,$L$2))</f>
        <v/>
      </c>
      <c r="C178" s="1" t="str">
        <f>IF(A178="","",ROUND((
SUMIFS(VMS_Sales!F:F,VMS_Sales!D:D,A178,VMS_Sales!O:O,$L$1)+
SUMIFS(VMS_Sales!F:F,VMS_Sales!D:D,A178,VMS_Sales!O:O,$L$2)+
SUMIFS(VMS_Sales!F:F,VMS_Sales!D:D,A178,VMS_Sales!O:O,$L$3)
)/3,2))</f>
        <v/>
      </c>
      <c r="D178" s="1" t="str">
        <f t="shared" si="1"/>
        <v/>
      </c>
      <c r="E178" s="1" t="str">
        <f>IFERROR(
ROUND(
SUMIFS(VMS_Sales!M:M,VMS_Sales!D:D,A178,VMS_Sales!O:O,$L$2)
/
SUMIFS(VMS_Sales!F:F,VMS_Sales!D:D,A178,VMS_Sales!O:O,$L$2)
,2)
,"")</f>
        <v/>
      </c>
      <c r="F178" s="1" t="str">
        <f t="shared" si="2"/>
        <v/>
      </c>
    </row>
    <row r="179">
      <c r="B179" s="1" t="str">
        <f>IF(A179="","",SUMIFS(VMS_Sales!F:F,VMS_Sales!D:D,A179,VMS_Sales!O:O,$L$2))</f>
        <v/>
      </c>
      <c r="C179" s="1" t="str">
        <f>IF(A179="","",ROUND((
SUMIFS(VMS_Sales!F:F,VMS_Sales!D:D,A179,VMS_Sales!O:O,$L$1)+
SUMIFS(VMS_Sales!F:F,VMS_Sales!D:D,A179,VMS_Sales!O:O,$L$2)+
SUMIFS(VMS_Sales!F:F,VMS_Sales!D:D,A179,VMS_Sales!O:O,$L$3)
)/3,2))</f>
        <v/>
      </c>
      <c r="D179" s="1" t="str">
        <f t="shared" si="1"/>
        <v/>
      </c>
      <c r="E179" s="1" t="str">
        <f>IFERROR(
ROUND(
SUMIFS(VMS_Sales!M:M,VMS_Sales!D:D,A179,VMS_Sales!O:O,$L$2)
/
SUMIFS(VMS_Sales!F:F,VMS_Sales!D:D,A179,VMS_Sales!O:O,$L$2)
,2)
,"")</f>
        <v/>
      </c>
      <c r="F179" s="1" t="str">
        <f t="shared" si="2"/>
        <v/>
      </c>
    </row>
    <row r="180">
      <c r="B180" s="1" t="str">
        <f>IF(A180="","",SUMIFS(VMS_Sales!F:F,VMS_Sales!D:D,A180,VMS_Sales!O:O,$L$2))</f>
        <v/>
      </c>
      <c r="C180" s="1" t="str">
        <f>IF(A180="","",ROUND((
SUMIFS(VMS_Sales!F:F,VMS_Sales!D:D,A180,VMS_Sales!O:O,$L$1)+
SUMIFS(VMS_Sales!F:F,VMS_Sales!D:D,A180,VMS_Sales!O:O,$L$2)+
SUMIFS(VMS_Sales!F:F,VMS_Sales!D:D,A180,VMS_Sales!O:O,$L$3)
)/3,2))</f>
        <v/>
      </c>
      <c r="D180" s="1" t="str">
        <f t="shared" si="1"/>
        <v/>
      </c>
      <c r="E180" s="1" t="str">
        <f>IFERROR(
ROUND(
SUMIFS(VMS_Sales!M:M,VMS_Sales!D:D,A180,VMS_Sales!O:O,$L$2)
/
SUMIFS(VMS_Sales!F:F,VMS_Sales!D:D,A180,VMS_Sales!O:O,$L$2)
,2)
,"")</f>
        <v/>
      </c>
      <c r="F180" s="1" t="str">
        <f t="shared" si="2"/>
        <v/>
      </c>
    </row>
    <row r="181">
      <c r="B181" s="1" t="str">
        <f>IF(A181="","",SUMIFS(VMS_Sales!F:F,VMS_Sales!D:D,A181,VMS_Sales!O:O,$L$2))</f>
        <v/>
      </c>
      <c r="C181" s="1" t="str">
        <f>IF(A181="","",ROUND((
SUMIFS(VMS_Sales!F:F,VMS_Sales!D:D,A181,VMS_Sales!O:O,$L$1)+
SUMIFS(VMS_Sales!F:F,VMS_Sales!D:D,A181,VMS_Sales!O:O,$L$2)+
SUMIFS(VMS_Sales!F:F,VMS_Sales!D:D,A181,VMS_Sales!O:O,$L$3)
)/3,2))</f>
        <v/>
      </c>
      <c r="D181" s="1" t="str">
        <f t="shared" si="1"/>
        <v/>
      </c>
      <c r="E181" s="1" t="str">
        <f>IFERROR(
ROUND(
SUMIFS(VMS_Sales!M:M,VMS_Sales!D:D,A181,VMS_Sales!O:O,$L$2)
/
SUMIFS(VMS_Sales!F:F,VMS_Sales!D:D,A181,VMS_Sales!O:O,$L$2)
,2)
,"")</f>
        <v/>
      </c>
      <c r="F181" s="1" t="str">
        <f t="shared" si="2"/>
        <v/>
      </c>
    </row>
    <row r="182">
      <c r="B182" s="1" t="str">
        <f>IF(A182="","",SUMIFS(VMS_Sales!F:F,VMS_Sales!D:D,A182,VMS_Sales!O:O,$L$2))</f>
        <v/>
      </c>
      <c r="C182" s="1" t="str">
        <f>IF(A182="","",ROUND((
SUMIFS(VMS_Sales!F:F,VMS_Sales!D:D,A182,VMS_Sales!O:O,$L$1)+
SUMIFS(VMS_Sales!F:F,VMS_Sales!D:D,A182,VMS_Sales!O:O,$L$2)+
SUMIFS(VMS_Sales!F:F,VMS_Sales!D:D,A182,VMS_Sales!O:O,$L$3)
)/3,2))</f>
        <v/>
      </c>
      <c r="D182" s="1" t="str">
        <f t="shared" si="1"/>
        <v/>
      </c>
      <c r="E182" s="1" t="str">
        <f>IFERROR(
ROUND(
SUMIFS(VMS_Sales!M:M,VMS_Sales!D:D,A182,VMS_Sales!O:O,$L$2)
/
SUMIFS(VMS_Sales!F:F,VMS_Sales!D:D,A182,VMS_Sales!O:O,$L$2)
,2)
,"")</f>
        <v/>
      </c>
      <c r="F182" s="1" t="str">
        <f t="shared" si="2"/>
        <v/>
      </c>
    </row>
    <row r="183">
      <c r="B183" s="1" t="str">
        <f>IF(A183="","",SUMIFS(VMS_Sales!F:F,VMS_Sales!D:D,A183,VMS_Sales!O:O,$L$2))</f>
        <v/>
      </c>
      <c r="C183" s="1" t="str">
        <f>IF(A183="","",ROUND((
SUMIFS(VMS_Sales!F:F,VMS_Sales!D:D,A183,VMS_Sales!O:O,$L$1)+
SUMIFS(VMS_Sales!F:F,VMS_Sales!D:D,A183,VMS_Sales!O:O,$L$2)+
SUMIFS(VMS_Sales!F:F,VMS_Sales!D:D,A183,VMS_Sales!O:O,$L$3)
)/3,2))</f>
        <v/>
      </c>
      <c r="D183" s="1" t="str">
        <f t="shared" si="1"/>
        <v/>
      </c>
      <c r="E183" s="1" t="str">
        <f>IFERROR(
ROUND(
SUMIFS(VMS_Sales!M:M,VMS_Sales!D:D,A183,VMS_Sales!O:O,$L$2)
/
SUMIFS(VMS_Sales!F:F,VMS_Sales!D:D,A183,VMS_Sales!O:O,$L$2)
,2)
,"")</f>
        <v/>
      </c>
      <c r="F183" s="1" t="str">
        <f t="shared" si="2"/>
        <v/>
      </c>
    </row>
    <row r="184">
      <c r="B184" s="1" t="str">
        <f>IF(A184="","",SUMIFS(VMS_Sales!F:F,VMS_Sales!D:D,A184,VMS_Sales!O:O,$L$2))</f>
        <v/>
      </c>
      <c r="C184" s="1" t="str">
        <f>IF(A184="","",ROUND((
SUMIFS(VMS_Sales!F:F,VMS_Sales!D:D,A184,VMS_Sales!O:O,$L$1)+
SUMIFS(VMS_Sales!F:F,VMS_Sales!D:D,A184,VMS_Sales!O:O,$L$2)+
SUMIFS(VMS_Sales!F:F,VMS_Sales!D:D,A184,VMS_Sales!O:O,$L$3)
)/3,2))</f>
        <v/>
      </c>
      <c r="D184" s="1" t="str">
        <f t="shared" si="1"/>
        <v/>
      </c>
      <c r="E184" s="1" t="str">
        <f>IFERROR(
ROUND(
SUMIFS(VMS_Sales!M:M,VMS_Sales!D:D,A184,VMS_Sales!O:O,$L$2)
/
SUMIFS(VMS_Sales!F:F,VMS_Sales!D:D,A184,VMS_Sales!O:O,$L$2)
,2)
,"")</f>
        <v/>
      </c>
      <c r="F184" s="1" t="str">
        <f t="shared" si="2"/>
        <v/>
      </c>
    </row>
    <row r="185">
      <c r="B185" s="1" t="str">
        <f>IF(A185="","",SUMIFS(VMS_Sales!F:F,VMS_Sales!D:D,A185,VMS_Sales!O:O,$L$2))</f>
        <v/>
      </c>
      <c r="C185" s="1" t="str">
        <f>IF(A185="","",ROUND((
SUMIFS(VMS_Sales!F:F,VMS_Sales!D:D,A185,VMS_Sales!O:O,$L$1)+
SUMIFS(VMS_Sales!F:F,VMS_Sales!D:D,A185,VMS_Sales!O:O,$L$2)+
SUMIFS(VMS_Sales!F:F,VMS_Sales!D:D,A185,VMS_Sales!O:O,$L$3)
)/3,2))</f>
        <v/>
      </c>
      <c r="D185" s="1" t="str">
        <f t="shared" si="1"/>
        <v/>
      </c>
      <c r="E185" s="1" t="str">
        <f>IFERROR(
ROUND(
SUMIFS(VMS_Sales!M:M,VMS_Sales!D:D,A185,VMS_Sales!O:O,$L$2)
/
SUMIFS(VMS_Sales!F:F,VMS_Sales!D:D,A185,VMS_Sales!O:O,$L$2)
,2)
,"")</f>
        <v/>
      </c>
      <c r="F185" s="1" t="str">
        <f t="shared" si="2"/>
        <v/>
      </c>
    </row>
    <row r="186">
      <c r="B186" s="1" t="str">
        <f>IF(A186="","",SUMIFS(VMS_Sales!F:F,VMS_Sales!D:D,A186,VMS_Sales!O:O,$L$2))</f>
        <v/>
      </c>
      <c r="C186" s="1" t="str">
        <f>IF(A186="","",ROUND((
SUMIFS(VMS_Sales!F:F,VMS_Sales!D:D,A186,VMS_Sales!O:O,$L$1)+
SUMIFS(VMS_Sales!F:F,VMS_Sales!D:D,A186,VMS_Sales!O:O,$L$2)+
SUMIFS(VMS_Sales!F:F,VMS_Sales!D:D,A186,VMS_Sales!O:O,$L$3)
)/3,2))</f>
        <v/>
      </c>
      <c r="D186" s="1" t="str">
        <f t="shared" si="1"/>
        <v/>
      </c>
      <c r="E186" s="1" t="str">
        <f>IFERROR(
ROUND(
SUMIFS(VMS_Sales!M:M,VMS_Sales!D:D,A186,VMS_Sales!O:O,$L$2)
/
SUMIFS(VMS_Sales!F:F,VMS_Sales!D:D,A186,VMS_Sales!O:O,$L$2)
,2)
,"")</f>
        <v/>
      </c>
      <c r="F186" s="1" t="str">
        <f t="shared" si="2"/>
        <v/>
      </c>
    </row>
    <row r="187">
      <c r="B187" s="1" t="str">
        <f>IF(A187="","",SUMIFS(VMS_Sales!F:F,VMS_Sales!D:D,A187,VMS_Sales!O:O,$L$2))</f>
        <v/>
      </c>
      <c r="C187" s="1" t="str">
        <f>IF(A187="","",ROUND((
SUMIFS(VMS_Sales!F:F,VMS_Sales!D:D,A187,VMS_Sales!O:O,$L$1)+
SUMIFS(VMS_Sales!F:F,VMS_Sales!D:D,A187,VMS_Sales!O:O,$L$2)+
SUMIFS(VMS_Sales!F:F,VMS_Sales!D:D,A187,VMS_Sales!O:O,$L$3)
)/3,2))</f>
        <v/>
      </c>
      <c r="D187" s="1" t="str">
        <f t="shared" si="1"/>
        <v/>
      </c>
      <c r="E187" s="1" t="str">
        <f>IFERROR(
ROUND(
SUMIFS(VMS_Sales!M:M,VMS_Sales!D:D,A187,VMS_Sales!O:O,$L$2)
/
SUMIFS(VMS_Sales!F:F,VMS_Sales!D:D,A187,VMS_Sales!O:O,$L$2)
,2)
,"")</f>
        <v/>
      </c>
      <c r="F187" s="1" t="str">
        <f t="shared" si="2"/>
        <v/>
      </c>
    </row>
    <row r="188">
      <c r="B188" s="1" t="str">
        <f>IF(A188="","",SUMIFS(VMS_Sales!F:F,VMS_Sales!D:D,A188,VMS_Sales!O:O,$L$2))</f>
        <v/>
      </c>
      <c r="C188" s="1" t="str">
        <f>IF(A188="","",ROUND((
SUMIFS(VMS_Sales!F:F,VMS_Sales!D:D,A188,VMS_Sales!O:O,$L$1)+
SUMIFS(VMS_Sales!F:F,VMS_Sales!D:D,A188,VMS_Sales!O:O,$L$2)+
SUMIFS(VMS_Sales!F:F,VMS_Sales!D:D,A188,VMS_Sales!O:O,$L$3)
)/3,2))</f>
        <v/>
      </c>
      <c r="D188" s="1" t="str">
        <f t="shared" si="1"/>
        <v/>
      </c>
      <c r="E188" s="1" t="str">
        <f>IFERROR(
ROUND(
SUMIFS(VMS_Sales!M:M,VMS_Sales!D:D,A188,VMS_Sales!O:O,$L$2)
/
SUMIFS(VMS_Sales!F:F,VMS_Sales!D:D,A188,VMS_Sales!O:O,$L$2)
,2)
,"")</f>
        <v/>
      </c>
      <c r="F188" s="1" t="str">
        <f t="shared" si="2"/>
        <v/>
      </c>
    </row>
    <row r="189">
      <c r="B189" s="1" t="str">
        <f>IF(A189="","",SUMIFS(VMS_Sales!F:F,VMS_Sales!D:D,A189,VMS_Sales!O:O,$L$2))</f>
        <v/>
      </c>
      <c r="C189" s="1" t="str">
        <f>IF(A189="","",ROUND((
SUMIFS(VMS_Sales!F:F,VMS_Sales!D:D,A189,VMS_Sales!O:O,$L$1)+
SUMIFS(VMS_Sales!F:F,VMS_Sales!D:D,A189,VMS_Sales!O:O,$L$2)+
SUMIFS(VMS_Sales!F:F,VMS_Sales!D:D,A189,VMS_Sales!O:O,$L$3)
)/3,2))</f>
        <v/>
      </c>
      <c r="D189" s="1" t="str">
        <f t="shared" si="1"/>
        <v/>
      </c>
      <c r="E189" s="1" t="str">
        <f>IFERROR(
ROUND(
SUMIFS(VMS_Sales!M:M,VMS_Sales!D:D,A189,VMS_Sales!O:O,$L$2)
/
SUMIFS(VMS_Sales!F:F,VMS_Sales!D:D,A189,VMS_Sales!O:O,$L$2)
,2)
,"")</f>
        <v/>
      </c>
      <c r="F189" s="1" t="str">
        <f t="shared" si="2"/>
        <v/>
      </c>
    </row>
    <row r="190">
      <c r="B190" s="1" t="str">
        <f>IF(A190="","",SUMIFS(VMS_Sales!F:F,VMS_Sales!D:D,A190,VMS_Sales!O:O,$L$2))</f>
        <v/>
      </c>
      <c r="C190" s="1" t="str">
        <f>IF(A190="","",ROUND((
SUMIFS(VMS_Sales!F:F,VMS_Sales!D:D,A190,VMS_Sales!O:O,$L$1)+
SUMIFS(VMS_Sales!F:F,VMS_Sales!D:D,A190,VMS_Sales!O:O,$L$2)+
SUMIFS(VMS_Sales!F:F,VMS_Sales!D:D,A190,VMS_Sales!O:O,$L$3)
)/3,2))</f>
        <v/>
      </c>
      <c r="D190" s="1" t="str">
        <f t="shared" si="1"/>
        <v/>
      </c>
      <c r="E190" s="1" t="str">
        <f>IFERROR(
ROUND(
SUMIFS(VMS_Sales!M:M,VMS_Sales!D:D,A190,VMS_Sales!O:O,$L$2)
/
SUMIFS(VMS_Sales!F:F,VMS_Sales!D:D,A190,VMS_Sales!O:O,$L$2)
,2)
,"")</f>
        <v/>
      </c>
      <c r="F190" s="1" t="str">
        <f t="shared" si="2"/>
        <v/>
      </c>
    </row>
    <row r="191">
      <c r="B191" s="1" t="str">
        <f>IF(A191="","",SUMIFS(VMS_Sales!F:F,VMS_Sales!D:D,A191,VMS_Sales!O:O,$L$2))</f>
        <v/>
      </c>
      <c r="C191" s="1" t="str">
        <f>IF(A191="","",ROUND((
SUMIFS(VMS_Sales!F:F,VMS_Sales!D:D,A191,VMS_Sales!O:O,$L$1)+
SUMIFS(VMS_Sales!F:F,VMS_Sales!D:D,A191,VMS_Sales!O:O,$L$2)+
SUMIFS(VMS_Sales!F:F,VMS_Sales!D:D,A191,VMS_Sales!O:O,$L$3)
)/3,2))</f>
        <v/>
      </c>
      <c r="D191" s="1" t="str">
        <f t="shared" si="1"/>
        <v/>
      </c>
      <c r="E191" s="1" t="str">
        <f>IFERROR(
ROUND(
SUMIFS(VMS_Sales!M:M,VMS_Sales!D:D,A191,VMS_Sales!O:O,$L$2)
/
SUMIFS(VMS_Sales!F:F,VMS_Sales!D:D,A191,VMS_Sales!O:O,$L$2)
,2)
,"")</f>
        <v/>
      </c>
      <c r="F191" s="1" t="str">
        <f t="shared" si="2"/>
        <v/>
      </c>
    </row>
    <row r="192">
      <c r="B192" s="1" t="str">
        <f>IF(A192="","",SUMIFS(VMS_Sales!F:F,VMS_Sales!D:D,A192,VMS_Sales!O:O,$L$2))</f>
        <v/>
      </c>
      <c r="C192" s="1" t="str">
        <f>IF(A192="","",ROUND((
SUMIFS(VMS_Sales!F:F,VMS_Sales!D:D,A192,VMS_Sales!O:O,$L$1)+
SUMIFS(VMS_Sales!F:F,VMS_Sales!D:D,A192,VMS_Sales!O:O,$L$2)+
SUMIFS(VMS_Sales!F:F,VMS_Sales!D:D,A192,VMS_Sales!O:O,$L$3)
)/3,2))</f>
        <v/>
      </c>
      <c r="D192" s="1" t="str">
        <f t="shared" si="1"/>
        <v/>
      </c>
      <c r="E192" s="1" t="str">
        <f>IFERROR(
ROUND(
SUMIFS(VMS_Sales!M:M,VMS_Sales!D:D,A192,VMS_Sales!O:O,$L$2)
/
SUMIFS(VMS_Sales!F:F,VMS_Sales!D:D,A192,VMS_Sales!O:O,$L$2)
,2)
,"")</f>
        <v/>
      </c>
      <c r="F192" s="1" t="str">
        <f t="shared" si="2"/>
        <v/>
      </c>
    </row>
    <row r="193">
      <c r="B193" s="1" t="str">
        <f>IF(A193="","",SUMIFS(VMS_Sales!F:F,VMS_Sales!D:D,A193,VMS_Sales!O:O,$L$2))</f>
        <v/>
      </c>
      <c r="C193" s="1" t="str">
        <f>IF(A193="","",ROUND((
SUMIFS(VMS_Sales!F:F,VMS_Sales!D:D,A193,VMS_Sales!O:O,$L$1)+
SUMIFS(VMS_Sales!F:F,VMS_Sales!D:D,A193,VMS_Sales!O:O,$L$2)+
SUMIFS(VMS_Sales!F:F,VMS_Sales!D:D,A193,VMS_Sales!O:O,$L$3)
)/3,2))</f>
        <v/>
      </c>
      <c r="D193" s="1" t="str">
        <f t="shared" si="1"/>
        <v/>
      </c>
      <c r="E193" s="1" t="str">
        <f>IFERROR(
ROUND(
SUMIFS(VMS_Sales!M:M,VMS_Sales!D:D,A193,VMS_Sales!O:O,$L$2)
/
SUMIFS(VMS_Sales!F:F,VMS_Sales!D:D,A193,VMS_Sales!O:O,$L$2)
,2)
,"")</f>
        <v/>
      </c>
      <c r="F193" s="1" t="str">
        <f t="shared" si="2"/>
        <v/>
      </c>
    </row>
    <row r="194">
      <c r="B194" s="1" t="str">
        <f>IF(A194="","",SUMIFS(VMS_Sales!F:F,VMS_Sales!D:D,A194,VMS_Sales!O:O,$L$2))</f>
        <v/>
      </c>
      <c r="C194" s="1" t="str">
        <f>IF(A194="","",ROUND((
SUMIFS(VMS_Sales!F:F,VMS_Sales!D:D,A194,VMS_Sales!O:O,$L$1)+
SUMIFS(VMS_Sales!F:F,VMS_Sales!D:D,A194,VMS_Sales!O:O,$L$2)+
SUMIFS(VMS_Sales!F:F,VMS_Sales!D:D,A194,VMS_Sales!O:O,$L$3)
)/3,2))</f>
        <v/>
      </c>
      <c r="D194" s="1" t="str">
        <f t="shared" si="1"/>
        <v/>
      </c>
      <c r="E194" s="1" t="str">
        <f>IFERROR(
ROUND(
SUMIFS(VMS_Sales!M:M,VMS_Sales!D:D,A194,VMS_Sales!O:O,$L$2)
/
SUMIFS(VMS_Sales!F:F,VMS_Sales!D:D,A194,VMS_Sales!O:O,$L$2)
,2)
,"")</f>
        <v/>
      </c>
      <c r="F194" s="1" t="str">
        <f t="shared" si="2"/>
        <v/>
      </c>
    </row>
    <row r="195">
      <c r="B195" s="1" t="str">
        <f>IF(A195="","",SUMIFS(VMS_Sales!F:F,VMS_Sales!D:D,A195,VMS_Sales!O:O,$L$2))</f>
        <v/>
      </c>
      <c r="C195" s="1" t="str">
        <f>IF(A195="","",ROUND((
SUMIFS(VMS_Sales!F:F,VMS_Sales!D:D,A195,VMS_Sales!O:O,$L$1)+
SUMIFS(VMS_Sales!F:F,VMS_Sales!D:D,A195,VMS_Sales!O:O,$L$2)+
SUMIFS(VMS_Sales!F:F,VMS_Sales!D:D,A195,VMS_Sales!O:O,$L$3)
)/3,2))</f>
        <v/>
      </c>
      <c r="D195" s="1" t="str">
        <f t="shared" si="1"/>
        <v/>
      </c>
      <c r="E195" s="1" t="str">
        <f>IFERROR(
ROUND(
SUMIFS(VMS_Sales!M:M,VMS_Sales!D:D,A195,VMS_Sales!O:O,$L$2)
/
SUMIFS(VMS_Sales!F:F,VMS_Sales!D:D,A195,VMS_Sales!O:O,$L$2)
,2)
,"")</f>
        <v/>
      </c>
      <c r="F195" s="1" t="str">
        <f t="shared" si="2"/>
        <v/>
      </c>
    </row>
    <row r="196">
      <c r="B196" s="1" t="str">
        <f>IF(A196="","",SUMIFS(VMS_Sales!F:F,VMS_Sales!D:D,A196,VMS_Sales!O:O,$L$2))</f>
        <v/>
      </c>
      <c r="C196" s="1" t="str">
        <f>IF(A196="","",ROUND((
SUMIFS(VMS_Sales!F:F,VMS_Sales!D:D,A196,VMS_Sales!O:O,$L$1)+
SUMIFS(VMS_Sales!F:F,VMS_Sales!D:D,A196,VMS_Sales!O:O,$L$2)+
SUMIFS(VMS_Sales!F:F,VMS_Sales!D:D,A196,VMS_Sales!O:O,$L$3)
)/3,2))</f>
        <v/>
      </c>
      <c r="D196" s="1" t="str">
        <f t="shared" si="1"/>
        <v/>
      </c>
      <c r="E196" s="1" t="str">
        <f>IFERROR(
ROUND(
SUMIFS(VMS_Sales!M:M,VMS_Sales!D:D,A196,VMS_Sales!O:O,$L$2)
/
SUMIFS(VMS_Sales!F:F,VMS_Sales!D:D,A196,VMS_Sales!O:O,$L$2)
,2)
,"")</f>
        <v/>
      </c>
      <c r="F196" s="1" t="str">
        <f t="shared" si="2"/>
        <v/>
      </c>
    </row>
    <row r="197">
      <c r="B197" s="1" t="str">
        <f>IF(A197="","",SUMIFS(VMS_Sales!F:F,VMS_Sales!D:D,A197,VMS_Sales!O:O,$L$2))</f>
        <v/>
      </c>
      <c r="C197" s="1" t="str">
        <f>IF(A197="","",ROUND((
SUMIFS(VMS_Sales!F:F,VMS_Sales!D:D,A197,VMS_Sales!O:O,$L$1)+
SUMIFS(VMS_Sales!F:F,VMS_Sales!D:D,A197,VMS_Sales!O:O,$L$2)+
SUMIFS(VMS_Sales!F:F,VMS_Sales!D:D,A197,VMS_Sales!O:O,$L$3)
)/3,2))</f>
        <v/>
      </c>
      <c r="D197" s="1" t="str">
        <f t="shared" si="1"/>
        <v/>
      </c>
      <c r="E197" s="1" t="str">
        <f>IFERROR(
ROUND(
SUMIFS(VMS_Sales!M:M,VMS_Sales!D:D,A197,VMS_Sales!O:O,$L$2)
/
SUMIFS(VMS_Sales!F:F,VMS_Sales!D:D,A197,VMS_Sales!O:O,$L$2)
,2)
,"")</f>
        <v/>
      </c>
      <c r="F197" s="1" t="str">
        <f t="shared" si="2"/>
        <v/>
      </c>
    </row>
    <row r="198">
      <c r="B198" s="1" t="str">
        <f>IF(A198="","",SUMIFS(VMS_Sales!F:F,VMS_Sales!D:D,A198,VMS_Sales!O:O,$L$2))</f>
        <v/>
      </c>
      <c r="C198" s="1" t="str">
        <f>IF(A198="","",ROUND((
SUMIFS(VMS_Sales!F:F,VMS_Sales!D:D,A198,VMS_Sales!O:O,$L$1)+
SUMIFS(VMS_Sales!F:F,VMS_Sales!D:D,A198,VMS_Sales!O:O,$L$2)+
SUMIFS(VMS_Sales!F:F,VMS_Sales!D:D,A198,VMS_Sales!O:O,$L$3)
)/3,2))</f>
        <v/>
      </c>
      <c r="D198" s="1" t="str">
        <f t="shared" si="1"/>
        <v/>
      </c>
      <c r="E198" s="1" t="str">
        <f>IFERROR(
ROUND(
SUMIFS(VMS_Sales!M:M,VMS_Sales!D:D,A198,VMS_Sales!O:O,$L$2)
/
SUMIFS(VMS_Sales!F:F,VMS_Sales!D:D,A198,VMS_Sales!O:O,$L$2)
,2)
,"")</f>
        <v/>
      </c>
      <c r="F198" s="1" t="str">
        <f t="shared" si="2"/>
        <v/>
      </c>
    </row>
    <row r="199">
      <c r="B199" s="1" t="str">
        <f>IF(A199="","",SUMIFS(VMS_Sales!F:F,VMS_Sales!D:D,A199,VMS_Sales!O:O,$L$2))</f>
        <v/>
      </c>
      <c r="C199" s="1" t="str">
        <f>IF(A199="","",ROUND((
SUMIFS(VMS_Sales!F:F,VMS_Sales!D:D,A199,VMS_Sales!O:O,$L$1)+
SUMIFS(VMS_Sales!F:F,VMS_Sales!D:D,A199,VMS_Sales!O:O,$L$2)+
SUMIFS(VMS_Sales!F:F,VMS_Sales!D:D,A199,VMS_Sales!O:O,$L$3)
)/3,2))</f>
        <v/>
      </c>
      <c r="D199" s="1" t="str">
        <f t="shared" si="1"/>
        <v/>
      </c>
      <c r="E199" s="1" t="str">
        <f>IFERROR(
ROUND(
SUMIFS(VMS_Sales!M:M,VMS_Sales!D:D,A199,VMS_Sales!O:O,$L$2)
/
SUMIFS(VMS_Sales!F:F,VMS_Sales!D:D,A199,VMS_Sales!O:O,$L$2)
,2)
,"")</f>
        <v/>
      </c>
      <c r="F199" s="1" t="str">
        <f t="shared" si="2"/>
        <v/>
      </c>
    </row>
    <row r="200">
      <c r="B200" s="1" t="str">
        <f>IF(A200="","",SUMIFS(VMS_Sales!F:F,VMS_Sales!D:D,A200,VMS_Sales!O:O,$L$2))</f>
        <v/>
      </c>
      <c r="C200" s="1" t="str">
        <f>IF(A200="","",ROUND((
SUMIFS(VMS_Sales!F:F,VMS_Sales!D:D,A200,VMS_Sales!O:O,$L$1)+
SUMIFS(VMS_Sales!F:F,VMS_Sales!D:D,A200,VMS_Sales!O:O,$L$2)+
SUMIFS(VMS_Sales!F:F,VMS_Sales!D:D,A200,VMS_Sales!O:O,$L$3)
)/3,2))</f>
        <v/>
      </c>
      <c r="D200" s="1" t="str">
        <f t="shared" si="1"/>
        <v/>
      </c>
      <c r="E200" s="1" t="str">
        <f>IFERROR(
ROUND(
SUMIFS(VMS_Sales!M:M,VMS_Sales!D:D,A200,VMS_Sales!O:O,$L$2)
/
SUMIFS(VMS_Sales!F:F,VMS_Sales!D:D,A200,VMS_Sales!O:O,$L$2)
,2)
,"")</f>
        <v/>
      </c>
      <c r="F200" s="1" t="str">
        <f t="shared" si="2"/>
        <v/>
      </c>
    </row>
    <row r="201">
      <c r="B201" s="1" t="str">
        <f>IF(A201="","",SUMIFS(VMS_Sales!F:F,VMS_Sales!D:D,A201,VMS_Sales!O:O,$L$2))</f>
        <v/>
      </c>
      <c r="C201" s="1" t="str">
        <f>IF(A201="","",ROUND((
SUMIFS(VMS_Sales!F:F,VMS_Sales!D:D,A201,VMS_Sales!O:O,$L$1)+
SUMIFS(VMS_Sales!F:F,VMS_Sales!D:D,A201,VMS_Sales!O:O,$L$2)+
SUMIFS(VMS_Sales!F:F,VMS_Sales!D:D,A201,VMS_Sales!O:O,$L$3)
)/3,2))</f>
        <v/>
      </c>
      <c r="D201" s="1" t="str">
        <f t="shared" si="1"/>
        <v/>
      </c>
      <c r="E201" s="1" t="str">
        <f>IFERROR(
ROUND(
SUMIFS(VMS_Sales!M:M,VMS_Sales!D:D,A201,VMS_Sales!O:O,$L$2)
/
SUMIFS(VMS_Sales!F:F,VMS_Sales!D:D,A201,VMS_Sales!O:O,$L$2)
,2)
,"")</f>
        <v/>
      </c>
      <c r="F201" s="1" t="str">
        <f t="shared" si="2"/>
        <v/>
      </c>
    </row>
    <row r="202">
      <c r="B202" s="1" t="str">
        <f>IF(A202="","",SUMIFS(VMS_Sales!F:F,VMS_Sales!D:D,A202,VMS_Sales!O:O,$L$2))</f>
        <v/>
      </c>
      <c r="C202" s="1" t="str">
        <f>IF(A202="","",ROUND((
SUMIFS(VMS_Sales!F:F,VMS_Sales!D:D,A202,VMS_Sales!O:O,$L$1)+
SUMIFS(VMS_Sales!F:F,VMS_Sales!D:D,A202,VMS_Sales!O:O,$L$2)+
SUMIFS(VMS_Sales!F:F,VMS_Sales!D:D,A202,VMS_Sales!O:O,$L$3)
)/3,2))</f>
        <v/>
      </c>
      <c r="D202" s="1" t="str">
        <f t="shared" si="1"/>
        <v/>
      </c>
      <c r="E202" s="1" t="str">
        <f>IFERROR(
ROUND(
SUMIFS(VMS_Sales!M:M,VMS_Sales!D:D,A202,VMS_Sales!O:O,$L$2)
/
SUMIFS(VMS_Sales!F:F,VMS_Sales!D:D,A202,VMS_Sales!O:O,$L$2)
,2)
,"")</f>
        <v/>
      </c>
      <c r="F202" s="1" t="str">
        <f t="shared" si="2"/>
        <v/>
      </c>
    </row>
    <row r="203">
      <c r="B203" s="1" t="str">
        <f>IF(A203="","",SUMIFS(VMS_Sales!F:F,VMS_Sales!D:D,A203,VMS_Sales!O:O,$L$2))</f>
        <v/>
      </c>
      <c r="C203" s="1" t="str">
        <f>IF(A203="","",ROUND((
SUMIFS(VMS_Sales!F:F,VMS_Sales!D:D,A203,VMS_Sales!O:O,$L$1)+
SUMIFS(VMS_Sales!F:F,VMS_Sales!D:D,A203,VMS_Sales!O:O,$L$2)+
SUMIFS(VMS_Sales!F:F,VMS_Sales!D:D,A203,VMS_Sales!O:O,$L$3)
)/3,2))</f>
        <v/>
      </c>
      <c r="D203" s="1" t="str">
        <f t="shared" si="1"/>
        <v/>
      </c>
      <c r="E203" s="1" t="str">
        <f>IFERROR(
ROUND(
SUMIFS(VMS_Sales!M:M,VMS_Sales!D:D,A203,VMS_Sales!O:O,$L$2)
/
SUMIFS(VMS_Sales!F:F,VMS_Sales!D:D,A203,VMS_Sales!O:O,$L$2)
,2)
,"")</f>
        <v/>
      </c>
      <c r="F203" s="1" t="str">
        <f t="shared" si="2"/>
        <v/>
      </c>
    </row>
    <row r="204">
      <c r="B204" s="1" t="str">
        <f>IF(A204="","",SUMIFS(VMS_Sales!F:F,VMS_Sales!D:D,A204,VMS_Sales!O:O,$L$2))</f>
        <v/>
      </c>
      <c r="C204" s="1" t="str">
        <f>IF(A204="","",ROUND((
SUMIFS(VMS_Sales!F:F,VMS_Sales!D:D,A204,VMS_Sales!O:O,$L$1)+
SUMIFS(VMS_Sales!F:F,VMS_Sales!D:D,A204,VMS_Sales!O:O,$L$2)+
SUMIFS(VMS_Sales!F:F,VMS_Sales!D:D,A204,VMS_Sales!O:O,$L$3)
)/3,2))</f>
        <v/>
      </c>
      <c r="D204" s="1" t="str">
        <f t="shared" si="1"/>
        <v/>
      </c>
      <c r="E204" s="1" t="str">
        <f>IFERROR(
ROUND(
SUMIFS(VMS_Sales!M:M,VMS_Sales!D:D,A204,VMS_Sales!O:O,$L$2)
/
SUMIFS(VMS_Sales!F:F,VMS_Sales!D:D,A204,VMS_Sales!O:O,$L$2)
,2)
,"")</f>
        <v/>
      </c>
      <c r="F204" s="1" t="str">
        <f t="shared" si="2"/>
        <v/>
      </c>
    </row>
    <row r="205">
      <c r="B205" s="1" t="str">
        <f>IF(A205="","",SUMIFS(VMS_Sales!F:F,VMS_Sales!D:D,A205,VMS_Sales!O:O,$L$2))</f>
        <v/>
      </c>
      <c r="C205" s="1" t="str">
        <f>IF(A205="","",ROUND((
SUMIFS(VMS_Sales!F:F,VMS_Sales!D:D,A205,VMS_Sales!O:O,$L$1)+
SUMIFS(VMS_Sales!F:F,VMS_Sales!D:D,A205,VMS_Sales!O:O,$L$2)+
SUMIFS(VMS_Sales!F:F,VMS_Sales!D:D,A205,VMS_Sales!O:O,$L$3)
)/3,2))</f>
        <v/>
      </c>
      <c r="D205" s="1" t="str">
        <f t="shared" si="1"/>
        <v/>
      </c>
      <c r="E205" s="1" t="str">
        <f>IFERROR(
ROUND(
SUMIFS(VMS_Sales!M:M,VMS_Sales!D:D,A205,VMS_Sales!O:O,$L$2)
/
SUMIFS(VMS_Sales!F:F,VMS_Sales!D:D,A205,VMS_Sales!O:O,$L$2)
,2)
,"")</f>
        <v/>
      </c>
      <c r="F205" s="1" t="str">
        <f t="shared" si="2"/>
        <v/>
      </c>
    </row>
    <row r="206">
      <c r="B206" s="1" t="str">
        <f>IF(A206="","",SUMIFS(VMS_Sales!F:F,VMS_Sales!D:D,A206,VMS_Sales!O:O,$L$2))</f>
        <v/>
      </c>
      <c r="C206" s="1" t="str">
        <f>IF(A206="","",ROUND((
SUMIFS(VMS_Sales!F:F,VMS_Sales!D:D,A206,VMS_Sales!O:O,$L$1)+
SUMIFS(VMS_Sales!F:F,VMS_Sales!D:D,A206,VMS_Sales!O:O,$L$2)+
SUMIFS(VMS_Sales!F:F,VMS_Sales!D:D,A206,VMS_Sales!O:O,$L$3)
)/3,2))</f>
        <v/>
      </c>
      <c r="D206" s="1" t="str">
        <f t="shared" si="1"/>
        <v/>
      </c>
      <c r="E206" s="1" t="str">
        <f>IFERROR(
ROUND(
SUMIFS(VMS_Sales!M:M,VMS_Sales!D:D,A206,VMS_Sales!O:O,$L$2)
/
SUMIFS(VMS_Sales!F:F,VMS_Sales!D:D,A206,VMS_Sales!O:O,$L$2)
,2)
,"")</f>
        <v/>
      </c>
      <c r="F206" s="1" t="str">
        <f t="shared" si="2"/>
        <v/>
      </c>
    </row>
    <row r="207">
      <c r="B207" s="1" t="str">
        <f>IF(A207="","",SUMIFS(VMS_Sales!F:F,VMS_Sales!D:D,A207,VMS_Sales!O:O,$L$2))</f>
        <v/>
      </c>
      <c r="C207" s="1" t="str">
        <f>IF(A207="","",ROUND((
SUMIFS(VMS_Sales!F:F,VMS_Sales!D:D,A207,VMS_Sales!O:O,$L$1)+
SUMIFS(VMS_Sales!F:F,VMS_Sales!D:D,A207,VMS_Sales!O:O,$L$2)+
SUMIFS(VMS_Sales!F:F,VMS_Sales!D:D,A207,VMS_Sales!O:O,$L$3)
)/3,2))</f>
        <v/>
      </c>
      <c r="D207" s="1" t="str">
        <f t="shared" si="1"/>
        <v/>
      </c>
      <c r="E207" s="1" t="str">
        <f>IFERROR(
ROUND(
SUMIFS(VMS_Sales!M:M,VMS_Sales!D:D,A207,VMS_Sales!O:O,$L$2)
/
SUMIFS(VMS_Sales!F:F,VMS_Sales!D:D,A207,VMS_Sales!O:O,$L$2)
,2)
,"")</f>
        <v/>
      </c>
      <c r="F207" s="1" t="str">
        <f t="shared" si="2"/>
        <v/>
      </c>
    </row>
    <row r="208">
      <c r="B208" s="1" t="str">
        <f>IF(A208="","",SUMIFS(VMS_Sales!F:F,VMS_Sales!D:D,A208,VMS_Sales!O:O,$L$2))</f>
        <v/>
      </c>
      <c r="C208" s="1" t="str">
        <f>IF(A208="","",ROUND((
SUMIFS(VMS_Sales!F:F,VMS_Sales!D:D,A208,VMS_Sales!O:O,$L$1)+
SUMIFS(VMS_Sales!F:F,VMS_Sales!D:D,A208,VMS_Sales!O:O,$L$2)+
SUMIFS(VMS_Sales!F:F,VMS_Sales!D:D,A208,VMS_Sales!O:O,$L$3)
)/3,2))</f>
        <v/>
      </c>
      <c r="D208" s="1" t="str">
        <f t="shared" si="1"/>
        <v/>
      </c>
      <c r="E208" s="1" t="str">
        <f>IFERROR(
ROUND(
SUMIFS(VMS_Sales!M:M,VMS_Sales!D:D,A208,VMS_Sales!O:O,$L$2)
/
SUMIFS(VMS_Sales!F:F,VMS_Sales!D:D,A208,VMS_Sales!O:O,$L$2)
,2)
,"")</f>
        <v/>
      </c>
      <c r="F208" s="1" t="str">
        <f t="shared" si="2"/>
        <v/>
      </c>
    </row>
    <row r="209">
      <c r="B209" s="1" t="str">
        <f>IF(A209="","",SUMIFS(VMS_Sales!F:F,VMS_Sales!D:D,A209,VMS_Sales!O:O,$L$2))</f>
        <v/>
      </c>
      <c r="C209" s="1" t="str">
        <f>IF(A209="","",ROUND((
SUMIFS(VMS_Sales!F:F,VMS_Sales!D:D,A209,VMS_Sales!O:O,$L$1)+
SUMIFS(VMS_Sales!F:F,VMS_Sales!D:D,A209,VMS_Sales!O:O,$L$2)+
SUMIFS(VMS_Sales!F:F,VMS_Sales!D:D,A209,VMS_Sales!O:O,$L$3)
)/3,2))</f>
        <v/>
      </c>
      <c r="D209" s="1" t="str">
        <f t="shared" si="1"/>
        <v/>
      </c>
      <c r="E209" s="1" t="str">
        <f>IFERROR(
ROUND(
SUMIFS(VMS_Sales!M:M,VMS_Sales!D:D,A209,VMS_Sales!O:O,$L$2)
/
SUMIFS(VMS_Sales!F:F,VMS_Sales!D:D,A209,VMS_Sales!O:O,$L$2)
,2)
,"")</f>
        <v/>
      </c>
      <c r="F209" s="1" t="str">
        <f t="shared" si="2"/>
        <v/>
      </c>
    </row>
    <row r="210">
      <c r="B210" s="1" t="str">
        <f>IF(A210="","",SUMIFS(VMS_Sales!F:F,VMS_Sales!D:D,A210,VMS_Sales!O:O,$L$2))</f>
        <v/>
      </c>
      <c r="C210" s="1" t="str">
        <f>IF(A210="","",ROUND((
SUMIFS(VMS_Sales!F:F,VMS_Sales!D:D,A210,VMS_Sales!O:O,$L$1)+
SUMIFS(VMS_Sales!F:F,VMS_Sales!D:D,A210,VMS_Sales!O:O,$L$2)+
SUMIFS(VMS_Sales!F:F,VMS_Sales!D:D,A210,VMS_Sales!O:O,$L$3)
)/3,2))</f>
        <v/>
      </c>
      <c r="D210" s="1" t="str">
        <f t="shared" si="1"/>
        <v/>
      </c>
      <c r="E210" s="1" t="str">
        <f>IFERROR(
ROUND(
SUMIFS(VMS_Sales!M:M,VMS_Sales!D:D,A210,VMS_Sales!O:O,$L$2)
/
SUMIFS(VMS_Sales!F:F,VMS_Sales!D:D,A210,VMS_Sales!O:O,$L$2)
,2)
,"")</f>
        <v/>
      </c>
      <c r="F210" s="1" t="str">
        <f t="shared" si="2"/>
        <v/>
      </c>
    </row>
    <row r="211">
      <c r="B211" s="1" t="str">
        <f>IF(A211="","",SUMIFS(VMS_Sales!F:F,VMS_Sales!D:D,A211,VMS_Sales!O:O,$L$2))</f>
        <v/>
      </c>
      <c r="C211" s="1" t="str">
        <f>IF(A211="","",ROUND((
SUMIFS(VMS_Sales!F:F,VMS_Sales!D:D,A211,VMS_Sales!O:O,$L$1)+
SUMIFS(VMS_Sales!F:F,VMS_Sales!D:D,A211,VMS_Sales!O:O,$L$2)+
SUMIFS(VMS_Sales!F:F,VMS_Sales!D:D,A211,VMS_Sales!O:O,$L$3)
)/3,2))</f>
        <v/>
      </c>
      <c r="D211" s="1" t="str">
        <f t="shared" si="1"/>
        <v/>
      </c>
      <c r="E211" s="1" t="str">
        <f>IFERROR(
ROUND(
SUMIFS(VMS_Sales!M:M,VMS_Sales!D:D,A211,VMS_Sales!O:O,$L$2)
/
SUMIFS(VMS_Sales!F:F,VMS_Sales!D:D,A211,VMS_Sales!O:O,$L$2)
,2)
,"")</f>
        <v/>
      </c>
      <c r="F211" s="1" t="str">
        <f t="shared" si="2"/>
        <v/>
      </c>
    </row>
    <row r="212">
      <c r="B212" s="1" t="str">
        <f>IF(A212="","",SUMIFS(VMS_Sales!F:F,VMS_Sales!D:D,A212,VMS_Sales!O:O,$L$2))</f>
        <v/>
      </c>
      <c r="C212" s="1" t="str">
        <f>IF(A212="","",ROUND((
SUMIFS(VMS_Sales!F:F,VMS_Sales!D:D,A212,VMS_Sales!O:O,$L$1)+
SUMIFS(VMS_Sales!F:F,VMS_Sales!D:D,A212,VMS_Sales!O:O,$L$2)+
SUMIFS(VMS_Sales!F:F,VMS_Sales!D:D,A212,VMS_Sales!O:O,$L$3)
)/3,2))</f>
        <v/>
      </c>
      <c r="D212" s="1" t="str">
        <f t="shared" si="1"/>
        <v/>
      </c>
      <c r="E212" s="1" t="str">
        <f>IFERROR(
ROUND(
SUMIFS(VMS_Sales!M:M,VMS_Sales!D:D,A212,VMS_Sales!O:O,$L$2)
/
SUMIFS(VMS_Sales!F:F,VMS_Sales!D:D,A212,VMS_Sales!O:O,$L$2)
,2)
,"")</f>
        <v/>
      </c>
      <c r="F212" s="1" t="str">
        <f t="shared" si="2"/>
        <v/>
      </c>
    </row>
    <row r="213">
      <c r="B213" s="1" t="str">
        <f>IF(A213="","",SUMIFS(VMS_Sales!F:F,VMS_Sales!D:D,A213,VMS_Sales!O:O,$L$2))</f>
        <v/>
      </c>
      <c r="C213" s="1" t="str">
        <f>IF(A213="","",ROUND((
SUMIFS(VMS_Sales!F:F,VMS_Sales!D:D,A213,VMS_Sales!O:O,$L$1)+
SUMIFS(VMS_Sales!F:F,VMS_Sales!D:D,A213,VMS_Sales!O:O,$L$2)+
SUMIFS(VMS_Sales!F:F,VMS_Sales!D:D,A213,VMS_Sales!O:O,$L$3)
)/3,2))</f>
        <v/>
      </c>
      <c r="D213" s="1" t="str">
        <f t="shared" si="1"/>
        <v/>
      </c>
      <c r="E213" s="1" t="str">
        <f>IFERROR(
ROUND(
SUMIFS(VMS_Sales!M:M,VMS_Sales!D:D,A213,VMS_Sales!O:O,$L$2)
/
SUMIFS(VMS_Sales!F:F,VMS_Sales!D:D,A213,VMS_Sales!O:O,$L$2)
,2)
,"")</f>
        <v/>
      </c>
      <c r="F213" s="1" t="str">
        <f t="shared" si="2"/>
        <v/>
      </c>
    </row>
    <row r="214">
      <c r="B214" s="1" t="str">
        <f>IF(A214="","",SUMIFS(VMS_Sales!F:F,VMS_Sales!D:D,A214,VMS_Sales!O:O,$L$2))</f>
        <v/>
      </c>
      <c r="C214" s="1" t="str">
        <f>IF(A214="","",ROUND((
SUMIFS(VMS_Sales!F:F,VMS_Sales!D:D,A214,VMS_Sales!O:O,$L$1)+
SUMIFS(VMS_Sales!F:F,VMS_Sales!D:D,A214,VMS_Sales!O:O,$L$2)+
SUMIFS(VMS_Sales!F:F,VMS_Sales!D:D,A214,VMS_Sales!O:O,$L$3)
)/3,2))</f>
        <v/>
      </c>
      <c r="D214" s="1" t="str">
        <f t="shared" si="1"/>
        <v/>
      </c>
      <c r="E214" s="1" t="str">
        <f>IFERROR(
ROUND(
SUMIFS(VMS_Sales!M:M,VMS_Sales!D:D,A214,VMS_Sales!O:O,$L$2)
/
SUMIFS(VMS_Sales!F:F,VMS_Sales!D:D,A214,VMS_Sales!O:O,$L$2)
,2)
,"")</f>
        <v/>
      </c>
      <c r="F214" s="1" t="str">
        <f t="shared" si="2"/>
        <v/>
      </c>
    </row>
    <row r="215">
      <c r="B215" s="1" t="str">
        <f>IF(A215="","",SUMIFS(VMS_Sales!F:F,VMS_Sales!D:D,A215,VMS_Sales!O:O,$L$2))</f>
        <v/>
      </c>
      <c r="C215" s="1" t="str">
        <f>IF(A215="","",ROUND((
SUMIFS(VMS_Sales!F:F,VMS_Sales!D:D,A215,VMS_Sales!O:O,$L$1)+
SUMIFS(VMS_Sales!F:F,VMS_Sales!D:D,A215,VMS_Sales!O:O,$L$2)+
SUMIFS(VMS_Sales!F:F,VMS_Sales!D:D,A215,VMS_Sales!O:O,$L$3)
)/3,2))</f>
        <v/>
      </c>
      <c r="D215" s="1" t="str">
        <f t="shared" si="1"/>
        <v/>
      </c>
      <c r="E215" s="1" t="str">
        <f>IFERROR(
ROUND(
SUMIFS(VMS_Sales!M:M,VMS_Sales!D:D,A215,VMS_Sales!O:O,$L$2)
/
SUMIFS(VMS_Sales!F:F,VMS_Sales!D:D,A215,VMS_Sales!O:O,$L$2)
,2)
,"")</f>
        <v/>
      </c>
      <c r="F215" s="1" t="str">
        <f t="shared" si="2"/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tr">
        <f>IFERROR(__xludf.DUMMYFUNCTION("IMPORTRANGE(""https://docs.google.com/spreadsheets/d/1ztUylHNRZZ49JZNwSA5fStR0A_FGNfCYjIeCVRPtVnc/edit?gid=1747544260#gid=1747544260"",""PurchaseLines!A:g"")"),"LineID")</f>
        <v>LineID</v>
      </c>
      <c r="B1" s="1" t="str">
        <f>IFERROR(__xludf.DUMMYFUNCTION("""COMPUTED_VALUE"""),"PurchaseID")</f>
        <v>PurchaseID</v>
      </c>
      <c r="C1" s="1" t="str">
        <f>IFERROR(__xludf.DUMMYFUNCTION("""COMPUTED_VALUE"""),"ItemID")</f>
        <v>ItemID</v>
      </c>
      <c r="D1" s="1" t="str">
        <f>IFERROR(__xludf.DUMMYFUNCTION("""COMPUTED_VALUE"""),"QtyPieces")</f>
        <v>QtyPieces</v>
      </c>
      <c r="E1" s="1" t="str">
        <f>IFERROR(__xludf.DUMMYFUNCTION("""COMPUTED_VALUE"""),"UnitCost")</f>
        <v>UnitCost</v>
      </c>
      <c r="F1" s="1" t="str">
        <f>IFERROR(__xludf.DUMMYFUNCTION("""COMPUTED_VALUE"""),"BoxesQty")</f>
        <v>BoxesQty</v>
      </c>
      <c r="G1" s="1" t="str">
        <f>IFERROR(__xludf.DUMMYFUNCTION("""COMPUTED_VALUE"""),"ReceivedUnits")</f>
        <v>ReceivedUnits</v>
      </c>
      <c r="H1" s="2" t="s">
        <v>272</v>
      </c>
      <c r="I1" s="2" t="s">
        <v>273</v>
      </c>
    </row>
    <row r="2">
      <c r="A2" s="1" t="str">
        <f>IFERROR(__xludf.DUMMYFUNCTION("""COMPUTED_VALUE"""),"de4274b0")</f>
        <v>de4274b0</v>
      </c>
      <c r="B2" s="1" t="str">
        <f>IFERROR(__xludf.DUMMYFUNCTION("""COMPUTED_VALUE"""),"7540564a")</f>
        <v>7540564a</v>
      </c>
      <c r="C2" s="1" t="str">
        <f>IFERROR(__xludf.DUMMYFUNCTION("""COMPUTED_VALUE"""),"0002")</f>
        <v>0002</v>
      </c>
      <c r="D2" s="1">
        <f>IFERROR(__xludf.DUMMYFUNCTION("""COMPUTED_VALUE"""),24.0)</f>
        <v>24</v>
      </c>
      <c r="E2" s="1">
        <f>IFERROR(__xludf.DUMMYFUNCTION("""COMPUTED_VALUE"""),0.3)</f>
        <v>0.3</v>
      </c>
      <c r="F2" s="1"/>
      <c r="G2" s="1"/>
      <c r="H2" s="29">
        <f t="array" ref="H2">IF(B2="","",
DATE(
YEAR(INDEX(Purchases_Import!$B:$B, MATCH(B2, Purchases_Import!$A:$A, 0))),
MONTH(INDEX(Purchases_Import!$B:$B, MATCH(B2, Purchases_Import!$A:$A, 0))),
1
))</f>
        <v>45992</v>
      </c>
      <c r="I2" s="2">
        <f t="shared" ref="I2:I457" si="1">IF(G2&lt;&gt;"",G2,IF(D2&lt;&gt;"",D2,""))</f>
        <v>24</v>
      </c>
    </row>
    <row r="3">
      <c r="A3" s="1" t="str">
        <f>IFERROR(__xludf.DUMMYFUNCTION("""COMPUTED_VALUE"""),"d88c18d7")</f>
        <v>d88c18d7</v>
      </c>
      <c r="B3" s="1" t="str">
        <f>IFERROR(__xludf.DUMMYFUNCTION("""COMPUTED_VALUE"""),"e4f3d129")</f>
        <v>e4f3d129</v>
      </c>
      <c r="C3" s="1" t="str">
        <f>IFERROR(__xludf.DUMMYFUNCTION("""COMPUTED_VALUE"""),"0054")</f>
        <v>0054</v>
      </c>
      <c r="D3" s="1">
        <f>IFERROR(__xludf.DUMMYFUNCTION("""COMPUTED_VALUE"""),48.0)</f>
        <v>48</v>
      </c>
      <c r="E3" s="1">
        <f>IFERROR(__xludf.DUMMYFUNCTION("""COMPUTED_VALUE"""),2.25)</f>
        <v>2.25</v>
      </c>
      <c r="F3" s="1"/>
      <c r="G3" s="1"/>
      <c r="H3" s="29">
        <f t="array" ref="H3">IF(B3="","",
DATE(
YEAR(INDEX(Purchases_Import!$B:$B, MATCH(B3, Purchases_Import!$A:$A, 0))),
MONTH(INDEX(Purchases_Import!$B:$B, MATCH(B3, Purchases_Import!$A:$A, 0))),
1
))</f>
        <v>45992</v>
      </c>
      <c r="I3" s="2">
        <f t="shared" si="1"/>
        <v>48</v>
      </c>
    </row>
    <row r="4">
      <c r="A4" s="1" t="str">
        <f>IFERROR(__xludf.DUMMYFUNCTION("""COMPUTED_VALUE"""),"cc41b087")</f>
        <v>cc41b087</v>
      </c>
      <c r="B4" s="1" t="str">
        <f>IFERROR(__xludf.DUMMYFUNCTION("""COMPUTED_VALUE"""),"d8c20488")</f>
        <v>d8c20488</v>
      </c>
      <c r="C4" s="1" t="str">
        <f>IFERROR(__xludf.DUMMYFUNCTION("""COMPUTED_VALUE"""),"0001")</f>
        <v>0001</v>
      </c>
      <c r="D4" s="1">
        <f>IFERROR(__xludf.DUMMYFUNCTION("""COMPUTED_VALUE"""),45.0)</f>
        <v>45</v>
      </c>
      <c r="E4" s="1">
        <f>IFERROR(__xludf.DUMMYFUNCTION("""COMPUTED_VALUE"""),2.8)</f>
        <v>2.8</v>
      </c>
      <c r="F4" s="1"/>
      <c r="G4" s="1"/>
      <c r="H4" s="29">
        <f t="array" ref="H4">IF(B4="","",
DATE(
YEAR(INDEX(Purchases_Import!$B:$B, MATCH(B4, Purchases_Import!$A:$A, 0))),
MONTH(INDEX(Purchases_Import!$B:$B, MATCH(B4, Purchases_Import!$A:$A, 0))),
1
))</f>
        <v>45992</v>
      </c>
      <c r="I4" s="2">
        <f t="shared" si="1"/>
        <v>45</v>
      </c>
    </row>
    <row r="5">
      <c r="A5" s="1" t="str">
        <f>IFERROR(__xludf.DUMMYFUNCTION("""COMPUTED_VALUE"""),"a87db1de")</f>
        <v>a87db1de</v>
      </c>
      <c r="B5" s="1" t="str">
        <f>IFERROR(__xludf.DUMMYFUNCTION("""COMPUTED_VALUE"""),"d8c20488")</f>
        <v>d8c20488</v>
      </c>
      <c r="C5" s="1" t="str">
        <f>IFERROR(__xludf.DUMMYFUNCTION("""COMPUTED_VALUE"""),"0006")</f>
        <v>0006</v>
      </c>
      <c r="D5" s="1">
        <f>IFERROR(__xludf.DUMMYFUNCTION("""COMPUTED_VALUE"""),12.0)</f>
        <v>12</v>
      </c>
      <c r="E5" s="1">
        <f>IFERROR(__xludf.DUMMYFUNCTION("""COMPUTED_VALUE"""),3.08)</f>
        <v>3.08</v>
      </c>
      <c r="F5" s="1"/>
      <c r="G5" s="1"/>
      <c r="H5" s="29">
        <f t="array" ref="H5">IF(B5="","",
DATE(
YEAR(INDEX(Purchases_Import!$B:$B, MATCH(B5, Purchases_Import!$A:$A, 0))),
MONTH(INDEX(Purchases_Import!$B:$B, MATCH(B5, Purchases_Import!$A:$A, 0))),
1
))</f>
        <v>45992</v>
      </c>
      <c r="I5" s="2">
        <f t="shared" si="1"/>
        <v>12</v>
      </c>
    </row>
    <row r="6">
      <c r="A6" s="1" t="str">
        <f>IFERROR(__xludf.DUMMYFUNCTION("""COMPUTED_VALUE"""),"d67a92b4")</f>
        <v>d67a92b4</v>
      </c>
      <c r="B6" s="1" t="str">
        <f>IFERROR(__xludf.DUMMYFUNCTION("""COMPUTED_VALUE"""),"d8c20488")</f>
        <v>d8c20488</v>
      </c>
      <c r="C6" s="1" t="str">
        <f>IFERROR(__xludf.DUMMYFUNCTION("""COMPUTED_VALUE"""),"e7e30487")</f>
        <v>e7e30487</v>
      </c>
      <c r="D6" s="1">
        <f>IFERROR(__xludf.DUMMYFUNCTION("""COMPUTED_VALUE"""),12.0)</f>
        <v>12</v>
      </c>
      <c r="E6" s="1"/>
      <c r="F6" s="1"/>
      <c r="G6" s="1"/>
      <c r="H6" s="29">
        <f t="array" ref="H6">IF(B6="","",
DATE(
YEAR(INDEX(Purchases_Import!$B:$B, MATCH(B6, Purchases_Import!$A:$A, 0))),
MONTH(INDEX(Purchases_Import!$B:$B, MATCH(B6, Purchases_Import!$A:$A, 0))),
1
))</f>
        <v>45992</v>
      </c>
      <c r="I6" s="2">
        <f t="shared" si="1"/>
        <v>12</v>
      </c>
    </row>
    <row r="7">
      <c r="A7" s="1" t="str">
        <f>IFERROR(__xludf.DUMMYFUNCTION("""COMPUTED_VALUE"""),"e24897ed")</f>
        <v>e24897ed</v>
      </c>
      <c r="B7" s="1" t="str">
        <f>IFERROR(__xludf.DUMMYFUNCTION("""COMPUTED_VALUE"""),"d8c20488")</f>
        <v>d8c20488</v>
      </c>
      <c r="C7" s="1" t="str">
        <f>IFERROR(__xludf.DUMMYFUNCTION("""COMPUTED_VALUE"""),"52c15a06")</f>
        <v>52c15a06</v>
      </c>
      <c r="D7" s="1">
        <f>IFERROR(__xludf.DUMMYFUNCTION("""COMPUTED_VALUE"""),12.0)</f>
        <v>12</v>
      </c>
      <c r="E7" s="1"/>
      <c r="F7" s="1"/>
      <c r="G7" s="1"/>
      <c r="H7" s="29">
        <f t="array" ref="H7">IF(B7="","",
DATE(
YEAR(INDEX(Purchases_Import!$B:$B, MATCH(B7, Purchases_Import!$A:$A, 0))),
MONTH(INDEX(Purchases_Import!$B:$B, MATCH(B7, Purchases_Import!$A:$A, 0))),
1
))</f>
        <v>45992</v>
      </c>
      <c r="I7" s="2">
        <f t="shared" si="1"/>
        <v>12</v>
      </c>
    </row>
    <row r="8">
      <c r="A8" s="1" t="str">
        <f>IFERROR(__xludf.DUMMYFUNCTION("""COMPUTED_VALUE"""),"2ad3e243")</f>
        <v>2ad3e243</v>
      </c>
      <c r="B8" s="1" t="str">
        <f>IFERROR(__xludf.DUMMYFUNCTION("""COMPUTED_VALUE"""),"d8c20488")</f>
        <v>d8c20488</v>
      </c>
      <c r="C8" s="1" t="str">
        <f>IFERROR(__xludf.DUMMYFUNCTION("""COMPUTED_VALUE"""),"492147d3")</f>
        <v>492147d3</v>
      </c>
      <c r="D8" s="1">
        <f>IFERROR(__xludf.DUMMYFUNCTION("""COMPUTED_VALUE"""),12.0)</f>
        <v>12</v>
      </c>
      <c r="E8" s="1"/>
      <c r="F8" s="1"/>
      <c r="G8" s="1"/>
      <c r="H8" s="29">
        <f t="array" ref="H8">IF(B8="","",
DATE(
YEAR(INDEX(Purchases_Import!$B:$B, MATCH(B8, Purchases_Import!$A:$A, 0))),
MONTH(INDEX(Purchases_Import!$B:$B, MATCH(B8, Purchases_Import!$A:$A, 0))),
1
))</f>
        <v>45992</v>
      </c>
      <c r="I8" s="2">
        <f t="shared" si="1"/>
        <v>12</v>
      </c>
    </row>
    <row r="9">
      <c r="A9" s="1" t="str">
        <f>IFERROR(__xludf.DUMMYFUNCTION("""COMPUTED_VALUE"""),"4c98f272")</f>
        <v>4c98f272</v>
      </c>
      <c r="B9" s="1" t="str">
        <f>IFERROR(__xludf.DUMMYFUNCTION("""COMPUTED_VALUE"""),"d8c20488")</f>
        <v>d8c20488</v>
      </c>
      <c r="C9" s="1" t="str">
        <f>IFERROR(__xludf.DUMMYFUNCTION("""COMPUTED_VALUE"""),"e509f31d")</f>
        <v>e509f31d</v>
      </c>
      <c r="D9" s="1">
        <f>IFERROR(__xludf.DUMMYFUNCTION("""COMPUTED_VALUE"""),12.0)</f>
        <v>12</v>
      </c>
      <c r="E9" s="1"/>
      <c r="F9" s="1"/>
      <c r="G9" s="1"/>
      <c r="H9" s="29">
        <f t="array" ref="H9">IF(B9="","",
DATE(
YEAR(INDEX(Purchases_Import!$B:$B, MATCH(B9, Purchases_Import!$A:$A, 0))),
MONTH(INDEX(Purchases_Import!$B:$B, MATCH(B9, Purchases_Import!$A:$A, 0))),
1
))</f>
        <v>45992</v>
      </c>
      <c r="I9" s="2">
        <f t="shared" si="1"/>
        <v>12</v>
      </c>
    </row>
    <row r="10">
      <c r="A10" s="1" t="str">
        <f>IFERROR(__xludf.DUMMYFUNCTION("""COMPUTED_VALUE"""),"4c70cb96")</f>
        <v>4c70cb96</v>
      </c>
      <c r="B10" s="1" t="str">
        <f>IFERROR(__xludf.DUMMYFUNCTION("""COMPUTED_VALUE"""),"d8c20488")</f>
        <v>d8c20488</v>
      </c>
      <c r="C10" s="1" t="str">
        <f>IFERROR(__xludf.DUMMYFUNCTION("""COMPUTED_VALUE"""),"0012")</f>
        <v>0012</v>
      </c>
      <c r="D10" s="1">
        <f>IFERROR(__xludf.DUMMYFUNCTION("""COMPUTED_VALUE"""),63.0)</f>
        <v>63</v>
      </c>
      <c r="E10" s="1">
        <f>IFERROR(__xludf.DUMMYFUNCTION("""COMPUTED_VALUE"""),0.6)</f>
        <v>0.6</v>
      </c>
      <c r="F10" s="1"/>
      <c r="G10" s="1"/>
      <c r="H10" s="29">
        <f t="array" ref="H10">IF(B10="","",
DATE(
YEAR(INDEX(Purchases_Import!$B:$B, MATCH(B10, Purchases_Import!$A:$A, 0))),
MONTH(INDEX(Purchases_Import!$B:$B, MATCH(B10, Purchases_Import!$A:$A, 0))),
1
))</f>
        <v>45992</v>
      </c>
      <c r="I10" s="2">
        <f t="shared" si="1"/>
        <v>63</v>
      </c>
    </row>
    <row r="11">
      <c r="A11" s="1" t="str">
        <f>IFERROR(__xludf.DUMMYFUNCTION("""COMPUTED_VALUE"""),"d9164d52")</f>
        <v>d9164d52</v>
      </c>
      <c r="B11" s="1" t="str">
        <f>IFERROR(__xludf.DUMMYFUNCTION("""COMPUTED_VALUE"""),"d8c20488")</f>
        <v>d8c20488</v>
      </c>
      <c r="C11" s="1" t="str">
        <f>IFERROR(__xludf.DUMMYFUNCTION("""COMPUTED_VALUE"""),"0021")</f>
        <v>0021</v>
      </c>
      <c r="D11" s="1">
        <f>IFERROR(__xludf.DUMMYFUNCTION("""COMPUTED_VALUE"""),24.0)</f>
        <v>24</v>
      </c>
      <c r="E11" s="1">
        <f>IFERROR(__xludf.DUMMYFUNCTION("""COMPUTED_VALUE"""),2.2)</f>
        <v>2.2</v>
      </c>
      <c r="F11" s="1"/>
      <c r="G11" s="1"/>
      <c r="H11" s="29">
        <f t="array" ref="H11">IF(B11="","",
DATE(
YEAR(INDEX(Purchases_Import!$B:$B, MATCH(B11, Purchases_Import!$A:$A, 0))),
MONTH(INDEX(Purchases_Import!$B:$B, MATCH(B11, Purchases_Import!$A:$A, 0))),
1
))</f>
        <v>45992</v>
      </c>
      <c r="I11" s="2">
        <f t="shared" si="1"/>
        <v>24</v>
      </c>
    </row>
    <row r="12">
      <c r="A12" s="1" t="str">
        <f>IFERROR(__xludf.DUMMYFUNCTION("""COMPUTED_VALUE"""),"3091f055")</f>
        <v>3091f055</v>
      </c>
      <c r="B12" s="1" t="str">
        <f>IFERROR(__xludf.DUMMYFUNCTION("""COMPUTED_VALUE"""),"79358019")</f>
        <v>79358019</v>
      </c>
      <c r="C12" s="1" t="str">
        <f>IFERROR(__xludf.DUMMYFUNCTION("""COMPUTED_VALUE"""),"d0a21a3b")</f>
        <v>d0a21a3b</v>
      </c>
      <c r="D12" s="1">
        <f>IFERROR(__xludf.DUMMYFUNCTION("""COMPUTED_VALUE"""),30.0)</f>
        <v>30</v>
      </c>
      <c r="E12" s="1"/>
      <c r="F12" s="1"/>
      <c r="G12" s="1"/>
      <c r="H12" s="29">
        <f t="array" ref="H12">IF(B12="","",
DATE(
YEAR(INDEX(Purchases_Import!$B:$B, MATCH(B12, Purchases_Import!$A:$A, 0))),
MONTH(INDEX(Purchases_Import!$B:$B, MATCH(B12, Purchases_Import!$A:$A, 0))),
1
))</f>
        <v>45992</v>
      </c>
      <c r="I12" s="2">
        <f t="shared" si="1"/>
        <v>30</v>
      </c>
    </row>
    <row r="13">
      <c r="A13" s="1" t="str">
        <f>IFERROR(__xludf.DUMMYFUNCTION("""COMPUTED_VALUE"""),"884225d3")</f>
        <v>884225d3</v>
      </c>
      <c r="B13" s="1" t="str">
        <f>IFERROR(__xludf.DUMMYFUNCTION("""COMPUTED_VALUE"""),"79358019")</f>
        <v>79358019</v>
      </c>
      <c r="C13" s="1" t="str">
        <f>IFERROR(__xludf.DUMMYFUNCTION("""COMPUTED_VALUE"""),"0038")</f>
        <v>0038</v>
      </c>
      <c r="D13" s="1">
        <f>IFERROR(__xludf.DUMMYFUNCTION("""COMPUTED_VALUE"""),16.0)</f>
        <v>16</v>
      </c>
      <c r="E13" s="1">
        <f>IFERROR(__xludf.DUMMYFUNCTION("""COMPUTED_VALUE"""),5.18)</f>
        <v>5.18</v>
      </c>
      <c r="F13" s="1"/>
      <c r="G13" s="1"/>
      <c r="H13" s="29">
        <f t="array" ref="H13">IF(B13="","",
DATE(
YEAR(INDEX(Purchases_Import!$B:$B, MATCH(B13, Purchases_Import!$A:$A, 0))),
MONTH(INDEX(Purchases_Import!$B:$B, MATCH(B13, Purchases_Import!$A:$A, 0))),
1
))</f>
        <v>45992</v>
      </c>
      <c r="I13" s="2">
        <f t="shared" si="1"/>
        <v>16</v>
      </c>
    </row>
    <row r="14">
      <c r="A14" s="1" t="str">
        <f>IFERROR(__xludf.DUMMYFUNCTION("""COMPUTED_VALUE"""),"09aba97d")</f>
        <v>09aba97d</v>
      </c>
      <c r="B14" s="1" t="str">
        <f>IFERROR(__xludf.DUMMYFUNCTION("""COMPUTED_VALUE"""),"79358019")</f>
        <v>79358019</v>
      </c>
      <c r="C14" s="1" t="str">
        <f>IFERROR(__xludf.DUMMYFUNCTION("""COMPUTED_VALUE"""),"d0f577e2")</f>
        <v>d0f577e2</v>
      </c>
      <c r="D14" s="1">
        <f>IFERROR(__xludf.DUMMYFUNCTION("""COMPUTED_VALUE"""),90.0)</f>
        <v>90</v>
      </c>
      <c r="E14" s="1"/>
      <c r="F14" s="1"/>
      <c r="G14" s="1"/>
      <c r="H14" s="29">
        <f t="array" ref="H14">IF(B14="","",
DATE(
YEAR(INDEX(Purchases_Import!$B:$B, MATCH(B14, Purchases_Import!$A:$A, 0))),
MONTH(INDEX(Purchases_Import!$B:$B, MATCH(B14, Purchases_Import!$A:$A, 0))),
1
))</f>
        <v>45992</v>
      </c>
      <c r="I14" s="2">
        <f t="shared" si="1"/>
        <v>90</v>
      </c>
    </row>
    <row r="15">
      <c r="A15" s="1" t="str">
        <f>IFERROR(__xludf.DUMMYFUNCTION("""COMPUTED_VALUE"""),"6fbe4dd1")</f>
        <v>6fbe4dd1</v>
      </c>
      <c r="B15" s="1" t="str">
        <f>IFERROR(__xludf.DUMMYFUNCTION("""COMPUTED_VALUE"""),"79358019")</f>
        <v>79358019</v>
      </c>
      <c r="C15" s="1" t="str">
        <f>IFERROR(__xludf.DUMMYFUNCTION("""COMPUTED_VALUE"""),"2f2e7440")</f>
        <v>2f2e7440</v>
      </c>
      <c r="D15" s="1">
        <f>IFERROR(__xludf.DUMMYFUNCTION("""COMPUTED_VALUE"""),24.0)</f>
        <v>24</v>
      </c>
      <c r="E15" s="1"/>
      <c r="F15" s="1"/>
      <c r="G15" s="1"/>
      <c r="H15" s="29">
        <f t="array" ref="H15">IF(B15="","",
DATE(
YEAR(INDEX(Purchases_Import!$B:$B, MATCH(B15, Purchases_Import!$A:$A, 0))),
MONTH(INDEX(Purchases_Import!$B:$B, MATCH(B15, Purchases_Import!$A:$A, 0))),
1
))</f>
        <v>45992</v>
      </c>
      <c r="I15" s="2">
        <f t="shared" si="1"/>
        <v>24</v>
      </c>
    </row>
    <row r="16">
      <c r="A16" s="1" t="str">
        <f>IFERROR(__xludf.DUMMYFUNCTION("""COMPUTED_VALUE"""),"ebeb7d18")</f>
        <v>ebeb7d18</v>
      </c>
      <c r="B16" s="1" t="str">
        <f>IFERROR(__xludf.DUMMYFUNCTION("""COMPUTED_VALUE"""),"79358019")</f>
        <v>79358019</v>
      </c>
      <c r="C16" s="1" t="str">
        <f>IFERROR(__xludf.DUMMYFUNCTION("""COMPUTED_VALUE"""),"0049")</f>
        <v>0049</v>
      </c>
      <c r="D16" s="1">
        <f>IFERROR(__xludf.DUMMYFUNCTION("""COMPUTED_VALUE"""),48.0)</f>
        <v>48</v>
      </c>
      <c r="E16" s="1">
        <f>IFERROR(__xludf.DUMMYFUNCTION("""COMPUTED_VALUE"""),1.75)</f>
        <v>1.75</v>
      </c>
      <c r="F16" s="1"/>
      <c r="G16" s="1"/>
      <c r="H16" s="29">
        <f t="array" ref="H16">IF(B16="","",
DATE(
YEAR(INDEX(Purchases_Import!$B:$B, MATCH(B16, Purchases_Import!$A:$A, 0))),
MONTH(INDEX(Purchases_Import!$B:$B, MATCH(B16, Purchases_Import!$A:$A, 0))),
1
))</f>
        <v>45992</v>
      </c>
      <c r="I16" s="2">
        <f t="shared" si="1"/>
        <v>48</v>
      </c>
    </row>
    <row r="17">
      <c r="A17" s="1" t="str">
        <f>IFERROR(__xludf.DUMMYFUNCTION("""COMPUTED_VALUE"""),"33ff159b")</f>
        <v>33ff159b</v>
      </c>
      <c r="B17" s="1" t="str">
        <f>IFERROR(__xludf.DUMMYFUNCTION("""COMPUTED_VALUE"""),"502fe255")</f>
        <v>502fe255</v>
      </c>
      <c r="C17" s="1" t="str">
        <f>IFERROR(__xludf.DUMMYFUNCTION("""COMPUTED_VALUE"""),"9f3ec79c")</f>
        <v>9f3ec79c</v>
      </c>
      <c r="D17" s="1">
        <f>IFERROR(__xludf.DUMMYFUNCTION("""COMPUTED_VALUE"""),12.0)</f>
        <v>12</v>
      </c>
      <c r="E17" s="1">
        <f>IFERROR(__xludf.DUMMYFUNCTION("""COMPUTED_VALUE"""),3.08)</f>
        <v>3.08</v>
      </c>
      <c r="F17" s="1"/>
      <c r="G17" s="1"/>
      <c r="H17" s="29">
        <f t="array" ref="H17">IF(B17="","",
DATE(
YEAR(INDEX(Purchases_Import!$B:$B, MATCH(B17, Purchases_Import!$A:$A, 0))),
MONTH(INDEX(Purchases_Import!$B:$B, MATCH(B17, Purchases_Import!$A:$A, 0))),
1
))</f>
        <v>46023</v>
      </c>
      <c r="I17" s="2">
        <f t="shared" si="1"/>
        <v>12</v>
      </c>
    </row>
    <row r="18">
      <c r="A18" s="1" t="str">
        <f>IFERROR(__xludf.DUMMYFUNCTION("""COMPUTED_VALUE"""),"6f16bfb6")</f>
        <v>6f16bfb6</v>
      </c>
      <c r="B18" s="1" t="str">
        <f>IFERROR(__xludf.DUMMYFUNCTION("""COMPUTED_VALUE"""),"502fe255")</f>
        <v>502fe255</v>
      </c>
      <c r="C18" s="1" t="str">
        <f>IFERROR(__xludf.DUMMYFUNCTION("""COMPUTED_VALUE"""),"492147d3")</f>
        <v>492147d3</v>
      </c>
      <c r="D18" s="1">
        <f>IFERROR(__xludf.DUMMYFUNCTION("""COMPUTED_VALUE"""),12.0)</f>
        <v>12</v>
      </c>
      <c r="E18" s="1">
        <f>IFERROR(__xludf.DUMMYFUNCTION("""COMPUTED_VALUE"""),3.08)</f>
        <v>3.08</v>
      </c>
      <c r="F18" s="1"/>
      <c r="G18" s="1"/>
      <c r="H18" s="29">
        <f t="array" ref="H18">IF(B18="","",
DATE(
YEAR(INDEX(Purchases_Import!$B:$B, MATCH(B18, Purchases_Import!$A:$A, 0))),
MONTH(INDEX(Purchases_Import!$B:$B, MATCH(B18, Purchases_Import!$A:$A, 0))),
1
))</f>
        <v>46023</v>
      </c>
      <c r="I18" s="2">
        <f t="shared" si="1"/>
        <v>12</v>
      </c>
    </row>
    <row r="19">
      <c r="A19" s="1" t="str">
        <f>IFERROR(__xludf.DUMMYFUNCTION("""COMPUTED_VALUE"""),"1726c2f6")</f>
        <v>1726c2f6</v>
      </c>
      <c r="B19" s="1" t="str">
        <f>IFERROR(__xludf.DUMMYFUNCTION("""COMPUTED_VALUE"""),"502fe255")</f>
        <v>502fe255</v>
      </c>
      <c r="C19" s="1" t="str">
        <f>IFERROR(__xludf.DUMMYFUNCTION("""COMPUTED_VALUE"""),"0053")</f>
        <v>0053</v>
      </c>
      <c r="D19" s="1">
        <f>IFERROR(__xludf.DUMMYFUNCTION("""COMPUTED_VALUE"""),24.0)</f>
        <v>24</v>
      </c>
      <c r="E19" s="1">
        <f>IFERROR(__xludf.DUMMYFUNCTION("""COMPUTED_VALUE"""),2.25)</f>
        <v>2.25</v>
      </c>
      <c r="F19" s="1"/>
      <c r="G19" s="1"/>
      <c r="H19" s="29">
        <f t="array" ref="H19">IF(B19="","",
DATE(
YEAR(INDEX(Purchases_Import!$B:$B, MATCH(B19, Purchases_Import!$A:$A, 0))),
MONTH(INDEX(Purchases_Import!$B:$B, MATCH(B19, Purchases_Import!$A:$A, 0))),
1
))</f>
        <v>46023</v>
      </c>
      <c r="I19" s="2">
        <f t="shared" si="1"/>
        <v>24</v>
      </c>
    </row>
    <row r="20">
      <c r="A20" s="1" t="str">
        <f>IFERROR(__xludf.DUMMYFUNCTION("""COMPUTED_VALUE"""),"d86c066e")</f>
        <v>d86c066e</v>
      </c>
      <c r="B20" s="1" t="str">
        <f>IFERROR(__xludf.DUMMYFUNCTION("""COMPUTED_VALUE"""),"502fe255")</f>
        <v>502fe255</v>
      </c>
      <c r="C20" s="1"/>
      <c r="D20" s="1"/>
      <c r="E20" s="1"/>
      <c r="F20" s="1"/>
      <c r="G20" s="1"/>
      <c r="H20" s="29">
        <f t="array" ref="H20">IF(B20="","",
DATE(
YEAR(INDEX(Purchases_Import!$B:$B, MATCH(B20, Purchases_Import!$A:$A, 0))),
MONTH(INDEX(Purchases_Import!$B:$B, MATCH(B20, Purchases_Import!$A:$A, 0))),
1
))</f>
        <v>46023</v>
      </c>
      <c r="I20" s="2" t="str">
        <f t="shared" si="1"/>
        <v/>
      </c>
    </row>
    <row r="21">
      <c r="A21" s="1" t="str">
        <f>IFERROR(__xludf.DUMMYFUNCTION("""COMPUTED_VALUE"""),"3030ae91")</f>
        <v>3030ae91</v>
      </c>
      <c r="B21" s="1" t="str">
        <f>IFERROR(__xludf.DUMMYFUNCTION("""COMPUTED_VALUE"""),"f90805d4")</f>
        <v>f90805d4</v>
      </c>
      <c r="C21" s="1" t="str">
        <f>IFERROR(__xludf.DUMMYFUNCTION("""COMPUTED_VALUE"""),"0002")</f>
        <v>0002</v>
      </c>
      <c r="D21" s="1">
        <f>IFERROR(__xludf.DUMMYFUNCTION("""COMPUTED_VALUE"""),60.0)</f>
        <v>60</v>
      </c>
      <c r="E21" s="1">
        <f>IFERROR(__xludf.DUMMYFUNCTION("""COMPUTED_VALUE"""),0.3)</f>
        <v>0.3</v>
      </c>
      <c r="F21" s="1"/>
      <c r="G21" s="1"/>
      <c r="H21" s="29">
        <f t="array" ref="H21">IF(B21="","",
DATE(
YEAR(INDEX(Purchases_Import!$B:$B, MATCH(B21, Purchases_Import!$A:$A, 0))),
MONTH(INDEX(Purchases_Import!$B:$B, MATCH(B21, Purchases_Import!$A:$A, 0))),
1
))</f>
        <v>45992</v>
      </c>
      <c r="I21" s="2">
        <f t="shared" si="1"/>
        <v>60</v>
      </c>
    </row>
    <row r="22">
      <c r="A22" s="1" t="str">
        <f>IFERROR(__xludf.DUMMYFUNCTION("""COMPUTED_VALUE"""),"9ee14931")</f>
        <v>9ee14931</v>
      </c>
      <c r="B22" s="1" t="str">
        <f>IFERROR(__xludf.DUMMYFUNCTION("""COMPUTED_VALUE"""),"cbe3bbe0")</f>
        <v>cbe3bbe0</v>
      </c>
      <c r="C22" s="1" t="str">
        <f>IFERROR(__xludf.DUMMYFUNCTION("""COMPUTED_VALUE"""),"0002")</f>
        <v>0002</v>
      </c>
      <c r="D22" s="1">
        <f>IFERROR(__xludf.DUMMYFUNCTION("""COMPUTED_VALUE"""),120.0)</f>
        <v>120</v>
      </c>
      <c r="E22" s="1">
        <f>IFERROR(__xludf.DUMMYFUNCTION("""COMPUTED_VALUE"""),0.3)</f>
        <v>0.3</v>
      </c>
      <c r="F22" s="1"/>
      <c r="G22" s="1"/>
      <c r="H22" s="29">
        <f t="array" ref="H22">IF(B22="","",
DATE(
YEAR(INDEX(Purchases_Import!$B:$B, MATCH(B22, Purchases_Import!$A:$A, 0))),
MONTH(INDEX(Purchases_Import!$B:$B, MATCH(B22, Purchases_Import!$A:$A, 0))),
1
))</f>
        <v>46023</v>
      </c>
      <c r="I22" s="2">
        <f t="shared" si="1"/>
        <v>120</v>
      </c>
    </row>
    <row r="23">
      <c r="A23" s="1" t="str">
        <f>IFERROR(__xludf.DUMMYFUNCTION("""COMPUTED_VALUE"""),"a9890fee")</f>
        <v>a9890fee</v>
      </c>
      <c r="B23" s="1" t="str">
        <f>IFERROR(__xludf.DUMMYFUNCTION("""COMPUTED_VALUE"""),"2350a15d")</f>
        <v>2350a15d</v>
      </c>
      <c r="C23" s="1" t="str">
        <f>IFERROR(__xludf.DUMMYFUNCTION("""COMPUTED_VALUE"""),"0011")</f>
        <v>0011</v>
      </c>
      <c r="D23" s="1">
        <f>IFERROR(__xludf.DUMMYFUNCTION("""COMPUTED_VALUE"""),48.0)</f>
        <v>48</v>
      </c>
      <c r="E23" s="1">
        <f>IFERROR(__xludf.DUMMYFUNCTION("""COMPUTED_VALUE"""),3.5)</f>
        <v>3.5</v>
      </c>
      <c r="F23" s="1"/>
      <c r="G23" s="1"/>
      <c r="H23" s="29">
        <f t="array" ref="H23">IF(B23="","",
DATE(
YEAR(INDEX(Purchases_Import!$B:$B, MATCH(B23, Purchases_Import!$A:$A, 0))),
MONTH(INDEX(Purchases_Import!$B:$B, MATCH(B23, Purchases_Import!$A:$A, 0))),
1
))</f>
        <v>46023</v>
      </c>
      <c r="I23" s="2">
        <f t="shared" si="1"/>
        <v>48</v>
      </c>
    </row>
    <row r="24">
      <c r="A24" s="1" t="str">
        <f>IFERROR(__xludf.DUMMYFUNCTION("""COMPUTED_VALUE"""),"d45ae5aa")</f>
        <v>d45ae5aa</v>
      </c>
      <c r="B24" s="1" t="str">
        <f>IFERROR(__xludf.DUMMYFUNCTION("""COMPUTED_VALUE"""),"2350a15d")</f>
        <v>2350a15d</v>
      </c>
      <c r="C24" s="1" t="str">
        <f>IFERROR(__xludf.DUMMYFUNCTION("""COMPUTED_VALUE"""),"e509f31d")</f>
        <v>e509f31d</v>
      </c>
      <c r="D24" s="1">
        <f>IFERROR(__xludf.DUMMYFUNCTION("""COMPUTED_VALUE"""),12.0)</f>
        <v>12</v>
      </c>
      <c r="E24" s="1">
        <f>IFERROR(__xludf.DUMMYFUNCTION("""COMPUTED_VALUE"""),3.08)</f>
        <v>3.08</v>
      </c>
      <c r="F24" s="1"/>
      <c r="G24" s="1"/>
      <c r="H24" s="29">
        <f t="array" ref="H24">IF(B24="","",
DATE(
YEAR(INDEX(Purchases_Import!$B:$B, MATCH(B24, Purchases_Import!$A:$A, 0))),
MONTH(INDEX(Purchases_Import!$B:$B, MATCH(B24, Purchases_Import!$A:$A, 0))),
1
))</f>
        <v>46023</v>
      </c>
      <c r="I24" s="2">
        <f t="shared" si="1"/>
        <v>12</v>
      </c>
    </row>
    <row r="25">
      <c r="A25" s="1" t="str">
        <f>IFERROR(__xludf.DUMMYFUNCTION("""COMPUTED_VALUE"""),"186d011c")</f>
        <v>186d011c</v>
      </c>
      <c r="B25" s="1" t="str">
        <f>IFERROR(__xludf.DUMMYFUNCTION("""COMPUTED_VALUE"""),"8bb56d46")</f>
        <v>8bb56d46</v>
      </c>
      <c r="C25" s="1" t="str">
        <f>IFERROR(__xludf.DUMMYFUNCTION("""COMPUTED_VALUE"""),"0012")</f>
        <v>0012</v>
      </c>
      <c r="D25" s="1">
        <f>IFERROR(__xludf.DUMMYFUNCTION("""COMPUTED_VALUE"""),42.0)</f>
        <v>42</v>
      </c>
      <c r="E25" s="1">
        <f>IFERROR(__xludf.DUMMYFUNCTION("""COMPUTED_VALUE"""),0.6)</f>
        <v>0.6</v>
      </c>
      <c r="F25" s="1"/>
      <c r="G25" s="1"/>
      <c r="H25" s="29">
        <f t="array" ref="H25">IF(B25="","",
DATE(
YEAR(INDEX(Purchases_Import!$B:$B, MATCH(B25, Purchases_Import!$A:$A, 0))),
MONTH(INDEX(Purchases_Import!$B:$B, MATCH(B25, Purchases_Import!$A:$A, 0))),
1
))</f>
        <v>46023</v>
      </c>
      <c r="I25" s="2">
        <f t="shared" si="1"/>
        <v>42</v>
      </c>
    </row>
    <row r="26">
      <c r="A26" s="1" t="str">
        <f>IFERROR(__xludf.DUMMYFUNCTION("""COMPUTED_VALUE"""),"c32bbb2e")</f>
        <v>c32bbb2e</v>
      </c>
      <c r="B26" s="1" t="str">
        <f>IFERROR(__xludf.DUMMYFUNCTION("""COMPUTED_VALUE"""),"8bb56d46")</f>
        <v>8bb56d46</v>
      </c>
      <c r="C26" s="1" t="str">
        <f>IFERROR(__xludf.DUMMYFUNCTION("""COMPUTED_VALUE"""),"73c36157")</f>
        <v>73c36157</v>
      </c>
      <c r="D26" s="1">
        <f>IFERROR(__xludf.DUMMYFUNCTION("""COMPUTED_VALUE"""),24.0)</f>
        <v>24</v>
      </c>
      <c r="E26" s="1">
        <f>IFERROR(__xludf.DUMMYFUNCTION("""COMPUTED_VALUE"""),1.58)</f>
        <v>1.58</v>
      </c>
      <c r="F26" s="1"/>
      <c r="G26" s="1"/>
      <c r="H26" s="29">
        <f t="array" ref="H26">IF(B26="","",
DATE(
YEAR(INDEX(Purchases_Import!$B:$B, MATCH(B26, Purchases_Import!$A:$A, 0))),
MONTH(INDEX(Purchases_Import!$B:$B, MATCH(B26, Purchases_Import!$A:$A, 0))),
1
))</f>
        <v>46023</v>
      </c>
      <c r="I26" s="2">
        <f t="shared" si="1"/>
        <v>24</v>
      </c>
    </row>
    <row r="27">
      <c r="A27" s="1" t="str">
        <f>IFERROR(__xludf.DUMMYFUNCTION("""COMPUTED_VALUE"""),"9ac0a0fb")</f>
        <v>9ac0a0fb</v>
      </c>
      <c r="B27" s="1" t="str">
        <f>IFERROR(__xludf.DUMMYFUNCTION("""COMPUTED_VALUE"""),"8bb56d46")</f>
        <v>8bb56d46</v>
      </c>
      <c r="C27" s="1" t="str">
        <f>IFERROR(__xludf.DUMMYFUNCTION("""COMPUTED_VALUE"""),"0082")</f>
        <v>0082</v>
      </c>
      <c r="D27" s="1">
        <f>IFERROR(__xludf.DUMMYFUNCTION("""COMPUTED_VALUE"""),21.0)</f>
        <v>21</v>
      </c>
      <c r="E27" s="1">
        <f>IFERROR(__xludf.DUMMYFUNCTION("""COMPUTED_VALUE"""),0.95)</f>
        <v>0.95</v>
      </c>
      <c r="F27" s="1"/>
      <c r="G27" s="1"/>
      <c r="H27" s="29">
        <f t="array" ref="H27">IF(B27="","",
DATE(
YEAR(INDEX(Purchases_Import!$B:$B, MATCH(B27, Purchases_Import!$A:$A, 0))),
MONTH(INDEX(Purchases_Import!$B:$B, MATCH(B27, Purchases_Import!$A:$A, 0))),
1
))</f>
        <v>46023</v>
      </c>
      <c r="I27" s="2">
        <f t="shared" si="1"/>
        <v>21</v>
      </c>
    </row>
    <row r="28">
      <c r="A28" s="1"/>
      <c r="B28" s="1"/>
      <c r="C28" s="1"/>
      <c r="D28" s="1"/>
      <c r="E28" s="1"/>
      <c r="F28" s="1"/>
      <c r="G28" s="1"/>
      <c r="H28" s="1" t="str">
        <f t="array" ref="H28">IF(B28="","",
DATE(
YEAR(INDEX(Purchases_Import!$B:$B, MATCH(B28, Purchases_Import!$A:$A, 0))),
MONTH(INDEX(Purchases_Import!$B:$B, MATCH(B28, Purchases_Import!$A:$A, 0))),
1
))</f>
        <v/>
      </c>
      <c r="I28" s="2" t="str">
        <f t="shared" si="1"/>
        <v/>
      </c>
    </row>
    <row r="29">
      <c r="A29" s="1"/>
      <c r="B29" s="1"/>
      <c r="C29" s="1"/>
      <c r="D29" s="1"/>
      <c r="E29" s="1"/>
      <c r="F29" s="1"/>
      <c r="G29" s="1"/>
      <c r="H29" s="1" t="str">
        <f t="array" ref="H29">IF(B29="","",
DATE(
YEAR(INDEX(Purchases_Import!$B:$B, MATCH(B29, Purchases_Import!$A:$A, 0))),
MONTH(INDEX(Purchases_Import!$B:$B, MATCH(B29, Purchases_Import!$A:$A, 0))),
1
))</f>
        <v/>
      </c>
      <c r="I29" s="2" t="str">
        <f t="shared" si="1"/>
        <v/>
      </c>
    </row>
    <row r="30">
      <c r="A30" s="1" t="str">
        <f>IFERROR(__xludf.DUMMYFUNCTION("""COMPUTED_VALUE"""),"73146ede")</f>
        <v>73146ede</v>
      </c>
      <c r="B30" s="1" t="str">
        <f>IFERROR(__xludf.DUMMYFUNCTION("""COMPUTED_VALUE"""),"26e12fc1")</f>
        <v>26e12fc1</v>
      </c>
      <c r="C30" s="1" t="str">
        <f>IFERROR(__xludf.DUMMYFUNCTION("""COMPUTED_VALUE"""),"0018")</f>
        <v>0018</v>
      </c>
      <c r="D30" s="1">
        <f>IFERROR(__xludf.DUMMYFUNCTION("""COMPUTED_VALUE"""),18.0)</f>
        <v>18</v>
      </c>
      <c r="E30" s="1">
        <f>IFERROR(__xludf.DUMMYFUNCTION("""COMPUTED_VALUE"""),24.0)</f>
        <v>24</v>
      </c>
      <c r="F30" s="1"/>
      <c r="G30" s="1"/>
      <c r="H30" s="29">
        <f t="array" ref="H30">IF(B30="","",
DATE(
YEAR(INDEX(Purchases_Import!$B:$B, MATCH(B30, Purchases_Import!$A:$A, 0))),
MONTH(INDEX(Purchases_Import!$B:$B, MATCH(B30, Purchases_Import!$A:$A, 0))),
1
))</f>
        <v>46023</v>
      </c>
      <c r="I30" s="2">
        <f t="shared" si="1"/>
        <v>18</v>
      </c>
    </row>
    <row r="31">
      <c r="A31" s="1" t="str">
        <f>IFERROR(__xludf.DUMMYFUNCTION("""COMPUTED_VALUE"""),"4cb3333c")</f>
        <v>4cb3333c</v>
      </c>
      <c r="B31" s="1" t="str">
        <f>IFERROR(__xludf.DUMMYFUNCTION("""COMPUTED_VALUE"""),"26e12fc1")</f>
        <v>26e12fc1</v>
      </c>
      <c r="C31" s="1" t="str">
        <f>IFERROR(__xludf.DUMMYFUNCTION("""COMPUTED_VALUE"""),"cc35c9db")</f>
        <v>cc35c9db</v>
      </c>
      <c r="D31" s="1">
        <f>IFERROR(__xludf.DUMMYFUNCTION("""COMPUTED_VALUE"""),24.0)</f>
        <v>24</v>
      </c>
      <c r="E31" s="1">
        <f>IFERROR(__xludf.DUMMYFUNCTION("""COMPUTED_VALUE"""),8.0)</f>
        <v>8</v>
      </c>
      <c r="F31" s="1"/>
      <c r="G31" s="1"/>
      <c r="H31" s="29">
        <f t="array" ref="H31">IF(B31="","",
DATE(
YEAR(INDEX(Purchases_Import!$B:$B, MATCH(B31, Purchases_Import!$A:$A, 0))),
MONTH(INDEX(Purchases_Import!$B:$B, MATCH(B31, Purchases_Import!$A:$A, 0))),
1
))</f>
        <v>46023</v>
      </c>
      <c r="I31" s="2">
        <f t="shared" si="1"/>
        <v>24</v>
      </c>
    </row>
    <row r="32">
      <c r="A32" s="1" t="str">
        <f>IFERROR(__xludf.DUMMYFUNCTION("""COMPUTED_VALUE"""),"89353fbf")</f>
        <v>89353fbf</v>
      </c>
      <c r="B32" s="1" t="str">
        <f>IFERROR(__xludf.DUMMYFUNCTION("""COMPUTED_VALUE"""),"26e12fc1")</f>
        <v>26e12fc1</v>
      </c>
      <c r="C32" s="1" t="str">
        <f>IFERROR(__xludf.DUMMYFUNCTION("""COMPUTED_VALUE"""),"0025")</f>
        <v>0025</v>
      </c>
      <c r="D32" s="1">
        <f>IFERROR(__xludf.DUMMYFUNCTION("""COMPUTED_VALUE"""),25.0)</f>
        <v>25</v>
      </c>
      <c r="E32" s="1">
        <f>IFERROR(__xludf.DUMMYFUNCTION("""COMPUTED_VALUE"""),4.64)</f>
        <v>4.64</v>
      </c>
      <c r="F32" s="1"/>
      <c r="G32" s="1"/>
      <c r="H32" s="29">
        <f t="array" ref="H32">IF(B32="","",
DATE(
YEAR(INDEX(Purchases_Import!$B:$B, MATCH(B32, Purchases_Import!$A:$A, 0))),
MONTH(INDEX(Purchases_Import!$B:$B, MATCH(B32, Purchases_Import!$A:$A, 0))),
1
))</f>
        <v>46023</v>
      </c>
      <c r="I32" s="2">
        <f t="shared" si="1"/>
        <v>25</v>
      </c>
    </row>
    <row r="33">
      <c r="A33" s="1" t="str">
        <f>IFERROR(__xludf.DUMMYFUNCTION("""COMPUTED_VALUE"""),"3d92ce96")</f>
        <v>3d92ce96</v>
      </c>
      <c r="B33" s="1" t="str">
        <f>IFERROR(__xludf.DUMMYFUNCTION("""COMPUTED_VALUE"""),"26e12fc1")</f>
        <v>26e12fc1</v>
      </c>
      <c r="C33" s="1" t="str">
        <f>IFERROR(__xludf.DUMMYFUNCTION("""COMPUTED_VALUE"""),"0049")</f>
        <v>0049</v>
      </c>
      <c r="D33" s="1">
        <f>IFERROR(__xludf.DUMMYFUNCTION("""COMPUTED_VALUE"""),120.0)</f>
        <v>120</v>
      </c>
      <c r="E33" s="1">
        <f>IFERROR(__xludf.DUMMYFUNCTION("""COMPUTED_VALUE"""),1.93)</f>
        <v>1.93</v>
      </c>
      <c r="F33" s="1"/>
      <c r="G33" s="1"/>
      <c r="H33" s="29">
        <f t="array" ref="H33">IF(B33="","",
DATE(
YEAR(INDEX(Purchases_Import!$B:$B, MATCH(B33, Purchases_Import!$A:$A, 0))),
MONTH(INDEX(Purchases_Import!$B:$B, MATCH(B33, Purchases_Import!$A:$A, 0))),
1
))</f>
        <v>46023</v>
      </c>
      <c r="I33" s="2">
        <f t="shared" si="1"/>
        <v>120</v>
      </c>
    </row>
    <row r="34">
      <c r="A34" s="1" t="str">
        <f>IFERROR(__xludf.DUMMYFUNCTION("""COMPUTED_VALUE"""),"beb47fe7")</f>
        <v>beb47fe7</v>
      </c>
      <c r="B34" s="1" t="str">
        <f>IFERROR(__xludf.DUMMYFUNCTION("""COMPUTED_VALUE"""),"26e12fc1")</f>
        <v>26e12fc1</v>
      </c>
      <c r="C34" s="1" t="str">
        <f>IFERROR(__xludf.DUMMYFUNCTION("""COMPUTED_VALUE"""),"0087")</f>
        <v>0087</v>
      </c>
      <c r="D34" s="1">
        <f>IFERROR(__xludf.DUMMYFUNCTION("""COMPUTED_VALUE"""),24.0)</f>
        <v>24</v>
      </c>
      <c r="E34" s="1">
        <f>IFERROR(__xludf.DUMMYFUNCTION("""COMPUTED_VALUE"""),1.87)</f>
        <v>1.87</v>
      </c>
      <c r="F34" s="1"/>
      <c r="G34" s="1"/>
      <c r="H34" s="29">
        <f t="array" ref="H34">IF(B34="","",
DATE(
YEAR(INDEX(Purchases_Import!$B:$B, MATCH(B34, Purchases_Import!$A:$A, 0))),
MONTH(INDEX(Purchases_Import!$B:$B, MATCH(B34, Purchases_Import!$A:$A, 0))),
1
))</f>
        <v>46023</v>
      </c>
      <c r="I34" s="2">
        <f t="shared" si="1"/>
        <v>24</v>
      </c>
    </row>
    <row r="35">
      <c r="A35" s="1" t="str">
        <f>IFERROR(__xludf.DUMMYFUNCTION("""COMPUTED_VALUE"""),"955c07f9")</f>
        <v>955c07f9</v>
      </c>
      <c r="B35" s="1" t="str">
        <f>IFERROR(__xludf.DUMMYFUNCTION("""COMPUTED_VALUE"""),"26e12fc1")</f>
        <v>26e12fc1</v>
      </c>
      <c r="C35" s="1" t="str">
        <f>IFERROR(__xludf.DUMMYFUNCTION("""COMPUTED_VALUE"""),"0014")</f>
        <v>0014</v>
      </c>
      <c r="D35" s="1"/>
      <c r="E35" s="1">
        <f>IFERROR(__xludf.DUMMYFUNCTION("""COMPUTED_VALUE"""),5.9)</f>
        <v>5.9</v>
      </c>
      <c r="F35" s="1"/>
      <c r="G35" s="1"/>
      <c r="H35" s="29">
        <f t="array" ref="H35">IF(B35="","",
DATE(
YEAR(INDEX(Purchases_Import!$B:$B, MATCH(B35, Purchases_Import!$A:$A, 0))),
MONTH(INDEX(Purchases_Import!$B:$B, MATCH(B35, Purchases_Import!$A:$A, 0))),
1
))</f>
        <v>46023</v>
      </c>
      <c r="I35" s="2" t="str">
        <f t="shared" si="1"/>
        <v/>
      </c>
    </row>
    <row r="36">
      <c r="A36" s="1" t="str">
        <f>IFERROR(__xludf.DUMMYFUNCTION("""COMPUTED_VALUE"""),"8c20a516")</f>
        <v>8c20a516</v>
      </c>
      <c r="B36" s="1" t="str">
        <f>IFERROR(__xludf.DUMMYFUNCTION("""COMPUTED_VALUE"""),"26e12fc1")</f>
        <v>26e12fc1</v>
      </c>
      <c r="C36" s="1" t="str">
        <f>IFERROR(__xludf.DUMMYFUNCTION("""COMPUTED_VALUE"""),"0003")</f>
        <v>0003</v>
      </c>
      <c r="D36" s="1">
        <f>IFERROR(__xludf.DUMMYFUNCTION("""COMPUTED_VALUE"""),25.0)</f>
        <v>25</v>
      </c>
      <c r="E36" s="1">
        <f>IFERROR(__xludf.DUMMYFUNCTION("""COMPUTED_VALUE"""),4.88)</f>
        <v>4.88</v>
      </c>
      <c r="F36" s="1"/>
      <c r="G36" s="1"/>
      <c r="H36" s="29">
        <f t="array" ref="H36">IF(B36="","",
DATE(
YEAR(INDEX(Purchases_Import!$B:$B, MATCH(B36, Purchases_Import!$A:$A, 0))),
MONTH(INDEX(Purchases_Import!$B:$B, MATCH(B36, Purchases_Import!$A:$A, 0))),
1
))</f>
        <v>46023</v>
      </c>
      <c r="I36" s="2">
        <f t="shared" si="1"/>
        <v>25</v>
      </c>
    </row>
    <row r="37">
      <c r="A37" s="1" t="str">
        <f>IFERROR(__xludf.DUMMYFUNCTION("""COMPUTED_VALUE"""),"b74c94c2")</f>
        <v>b74c94c2</v>
      </c>
      <c r="B37" s="1" t="str">
        <f>IFERROR(__xludf.DUMMYFUNCTION("""COMPUTED_VALUE"""),"26e12fc1")</f>
        <v>26e12fc1</v>
      </c>
      <c r="C37" s="1" t="str">
        <f>IFERROR(__xludf.DUMMYFUNCTION("""COMPUTED_VALUE"""),"0012")</f>
        <v>0012</v>
      </c>
      <c r="D37" s="1">
        <f>IFERROR(__xludf.DUMMYFUNCTION("""COMPUTED_VALUE"""),126.0)</f>
        <v>126</v>
      </c>
      <c r="E37" s="1">
        <f>IFERROR(__xludf.DUMMYFUNCTION("""COMPUTED_VALUE"""),0.6)</f>
        <v>0.6</v>
      </c>
      <c r="F37" s="1"/>
      <c r="G37" s="1"/>
      <c r="H37" s="29">
        <f t="array" ref="H37">IF(B37="","",
DATE(
YEAR(INDEX(Purchases_Import!$B:$B, MATCH(B37, Purchases_Import!$A:$A, 0))),
MONTH(INDEX(Purchases_Import!$B:$B, MATCH(B37, Purchases_Import!$A:$A, 0))),
1
))</f>
        <v>46023</v>
      </c>
      <c r="I37" s="2">
        <f t="shared" si="1"/>
        <v>126</v>
      </c>
    </row>
    <row r="38">
      <c r="A38" s="1" t="str">
        <f>IFERROR(__xludf.DUMMYFUNCTION("""COMPUTED_VALUE"""),"c5bb5dc1")</f>
        <v>c5bb5dc1</v>
      </c>
      <c r="B38" s="1" t="str">
        <f>IFERROR(__xludf.DUMMYFUNCTION("""COMPUTED_VALUE"""),"0dd58d41")</f>
        <v>0dd58d41</v>
      </c>
      <c r="C38" s="1" t="str">
        <f>IFERROR(__xludf.DUMMYFUNCTION("""COMPUTED_VALUE"""),"0064")</f>
        <v>0064</v>
      </c>
      <c r="D38" s="1">
        <f>IFERROR(__xludf.DUMMYFUNCTION("""COMPUTED_VALUE"""),54.0)</f>
        <v>54</v>
      </c>
      <c r="E38" s="1">
        <f>IFERROR(__xludf.DUMMYFUNCTION("""COMPUTED_VALUE"""),2.08)</f>
        <v>2.08</v>
      </c>
      <c r="F38" s="1"/>
      <c r="G38" s="1"/>
      <c r="H38" s="29">
        <f t="array" ref="H38">IF(B38="","",
DATE(
YEAR(INDEX(Purchases_Import!$B:$B, MATCH(B38, Purchases_Import!$A:$A, 0))),
MONTH(INDEX(Purchases_Import!$B:$B, MATCH(B38, Purchases_Import!$A:$A, 0))),
1
))</f>
        <v>46023</v>
      </c>
      <c r="I38" s="2">
        <f t="shared" si="1"/>
        <v>54</v>
      </c>
    </row>
    <row r="39">
      <c r="A39" s="1" t="str">
        <f>IFERROR(__xludf.DUMMYFUNCTION("""COMPUTED_VALUE"""),"52a9cb09")</f>
        <v>52a9cb09</v>
      </c>
      <c r="B39" s="1" t="str">
        <f>IFERROR(__xludf.DUMMYFUNCTION("""COMPUTED_VALUE"""),"0dd58d41")</f>
        <v>0dd58d41</v>
      </c>
      <c r="C39" s="1" t="str">
        <f>IFERROR(__xludf.DUMMYFUNCTION("""COMPUTED_VALUE"""),"0032")</f>
        <v>0032</v>
      </c>
      <c r="D39" s="1">
        <f>IFERROR(__xludf.DUMMYFUNCTION("""COMPUTED_VALUE"""),54.0)</f>
        <v>54</v>
      </c>
      <c r="E39" s="1">
        <f>IFERROR(__xludf.DUMMYFUNCTION("""COMPUTED_VALUE"""),2.0)</f>
        <v>2</v>
      </c>
      <c r="F39" s="1"/>
      <c r="G39" s="1"/>
      <c r="H39" s="29">
        <f t="array" ref="H39">IF(B39="","",
DATE(
YEAR(INDEX(Purchases_Import!$B:$B, MATCH(B39, Purchases_Import!$A:$A, 0))),
MONTH(INDEX(Purchases_Import!$B:$B, MATCH(B39, Purchases_Import!$A:$A, 0))),
1
))</f>
        <v>46023</v>
      </c>
      <c r="I39" s="2">
        <f t="shared" si="1"/>
        <v>54</v>
      </c>
    </row>
    <row r="40">
      <c r="A40" s="1" t="str">
        <f>IFERROR(__xludf.DUMMYFUNCTION("""COMPUTED_VALUE"""),"64c53b9b")</f>
        <v>64c53b9b</v>
      </c>
      <c r="B40" s="1" t="str">
        <f>IFERROR(__xludf.DUMMYFUNCTION("""COMPUTED_VALUE"""),"0dd58d41")</f>
        <v>0dd58d41</v>
      </c>
      <c r="C40" s="1" t="str">
        <f>IFERROR(__xludf.DUMMYFUNCTION("""COMPUTED_VALUE"""),"0044")</f>
        <v>0044</v>
      </c>
      <c r="D40" s="1">
        <f>IFERROR(__xludf.DUMMYFUNCTION("""COMPUTED_VALUE"""),24.0)</f>
        <v>24</v>
      </c>
      <c r="E40" s="1">
        <f>IFERROR(__xludf.DUMMYFUNCTION("""COMPUTED_VALUE"""),4.13)</f>
        <v>4.13</v>
      </c>
      <c r="F40" s="1"/>
      <c r="G40" s="1"/>
      <c r="H40" s="29">
        <f t="array" ref="H40">IF(B40="","",
DATE(
YEAR(INDEX(Purchases_Import!$B:$B, MATCH(B40, Purchases_Import!$A:$A, 0))),
MONTH(INDEX(Purchases_Import!$B:$B, MATCH(B40, Purchases_Import!$A:$A, 0))),
1
))</f>
        <v>46023</v>
      </c>
      <c r="I40" s="2">
        <f t="shared" si="1"/>
        <v>24</v>
      </c>
    </row>
    <row r="41">
      <c r="A41" s="1" t="str">
        <f>IFERROR(__xludf.DUMMYFUNCTION("""COMPUTED_VALUE"""),"43e7724a")</f>
        <v>43e7724a</v>
      </c>
      <c r="B41" s="1" t="str">
        <f>IFERROR(__xludf.DUMMYFUNCTION("""COMPUTED_VALUE"""),"0dd58d41")</f>
        <v>0dd58d41</v>
      </c>
      <c r="C41" s="1" t="str">
        <f>IFERROR(__xludf.DUMMYFUNCTION("""COMPUTED_VALUE"""),"0005")</f>
        <v>0005</v>
      </c>
      <c r="D41" s="1">
        <f>IFERROR(__xludf.DUMMYFUNCTION("""COMPUTED_VALUE"""),24.0)</f>
        <v>24</v>
      </c>
      <c r="E41" s="1">
        <f>IFERROR(__xludf.DUMMYFUNCTION("""COMPUTED_VALUE"""),2.0)</f>
        <v>2</v>
      </c>
      <c r="F41" s="1"/>
      <c r="G41" s="1"/>
      <c r="H41" s="29">
        <f t="array" ref="H41">IF(B41="","",
DATE(
YEAR(INDEX(Purchases_Import!$B:$B, MATCH(B41, Purchases_Import!$A:$A, 0))),
MONTH(INDEX(Purchases_Import!$B:$B, MATCH(B41, Purchases_Import!$A:$A, 0))),
1
))</f>
        <v>46023</v>
      </c>
      <c r="I41" s="2">
        <f t="shared" si="1"/>
        <v>24</v>
      </c>
    </row>
    <row r="42">
      <c r="A42" s="1" t="str">
        <f>IFERROR(__xludf.DUMMYFUNCTION("""COMPUTED_VALUE"""),"05566abd")</f>
        <v>05566abd</v>
      </c>
      <c r="B42" s="1" t="str">
        <f>IFERROR(__xludf.DUMMYFUNCTION("""COMPUTED_VALUE"""),"0dd58d41")</f>
        <v>0dd58d41</v>
      </c>
      <c r="C42" s="1" t="str">
        <f>IFERROR(__xludf.DUMMYFUNCTION("""COMPUTED_VALUE"""),"0030")</f>
        <v>0030</v>
      </c>
      <c r="D42" s="1">
        <f>IFERROR(__xludf.DUMMYFUNCTION("""COMPUTED_VALUE"""),24.0)</f>
        <v>24</v>
      </c>
      <c r="E42" s="1">
        <f>IFERROR(__xludf.DUMMYFUNCTION("""COMPUTED_VALUE"""),4.45)</f>
        <v>4.45</v>
      </c>
      <c r="F42" s="1"/>
      <c r="G42" s="1"/>
      <c r="H42" s="29">
        <f t="array" ref="H42">IF(B42="","",
DATE(
YEAR(INDEX(Purchases_Import!$B:$B, MATCH(B42, Purchases_Import!$A:$A, 0))),
MONTH(INDEX(Purchases_Import!$B:$B, MATCH(B42, Purchases_Import!$A:$A, 0))),
1
))</f>
        <v>46023</v>
      </c>
      <c r="I42" s="2">
        <f t="shared" si="1"/>
        <v>24</v>
      </c>
    </row>
    <row r="43">
      <c r="A43" s="1" t="str">
        <f>IFERROR(__xludf.DUMMYFUNCTION("""COMPUTED_VALUE"""),"3e88a858")</f>
        <v>3e88a858</v>
      </c>
      <c r="B43" s="1" t="str">
        <f>IFERROR(__xludf.DUMMYFUNCTION("""COMPUTED_VALUE"""),"0dd58d41")</f>
        <v>0dd58d41</v>
      </c>
      <c r="C43" s="1" t="str">
        <f>IFERROR(__xludf.DUMMYFUNCTION("""COMPUTED_VALUE"""),"0028")</f>
        <v>0028</v>
      </c>
      <c r="D43" s="1">
        <f>IFERROR(__xludf.DUMMYFUNCTION("""COMPUTED_VALUE"""),24.0)</f>
        <v>24</v>
      </c>
      <c r="E43" s="1">
        <f>IFERROR(__xludf.DUMMYFUNCTION("""COMPUTED_VALUE"""),4.45)</f>
        <v>4.45</v>
      </c>
      <c r="F43" s="1"/>
      <c r="G43" s="1"/>
      <c r="H43" s="29">
        <f t="array" ref="H43">IF(B43="","",
DATE(
YEAR(INDEX(Purchases_Import!$B:$B, MATCH(B43, Purchases_Import!$A:$A, 0))),
MONTH(INDEX(Purchases_Import!$B:$B, MATCH(B43, Purchases_Import!$A:$A, 0))),
1
))</f>
        <v>46023</v>
      </c>
      <c r="I43" s="2">
        <f t="shared" si="1"/>
        <v>24</v>
      </c>
    </row>
    <row r="44">
      <c r="A44" s="1" t="str">
        <f>IFERROR(__xludf.DUMMYFUNCTION("""COMPUTED_VALUE"""),"feea4dff")</f>
        <v>feea4dff</v>
      </c>
      <c r="B44" s="1" t="str">
        <f>IFERROR(__xludf.DUMMYFUNCTION("""COMPUTED_VALUE"""),"cf725f29")</f>
        <v>cf725f29</v>
      </c>
      <c r="C44" s="1" t="str">
        <f>IFERROR(__xludf.DUMMYFUNCTION("""COMPUTED_VALUE"""),"0006")</f>
        <v>0006</v>
      </c>
      <c r="D44" s="1">
        <f>IFERROR(__xludf.DUMMYFUNCTION("""COMPUTED_VALUE"""),12.0)</f>
        <v>12</v>
      </c>
      <c r="E44" s="1">
        <f>IFERROR(__xludf.DUMMYFUNCTION("""COMPUTED_VALUE"""),3.08)</f>
        <v>3.08</v>
      </c>
      <c r="F44" s="1"/>
      <c r="G44" s="1"/>
      <c r="H44" s="29">
        <f t="array" ref="H44">IF(B44="","",
DATE(
YEAR(INDEX(Purchases_Import!$B:$B, MATCH(B44, Purchases_Import!$A:$A, 0))),
MONTH(INDEX(Purchases_Import!$B:$B, MATCH(B44, Purchases_Import!$A:$A, 0))),
1
))</f>
        <v>46023</v>
      </c>
      <c r="I44" s="2">
        <f t="shared" si="1"/>
        <v>12</v>
      </c>
    </row>
    <row r="45">
      <c r="A45" s="1" t="str">
        <f>IFERROR(__xludf.DUMMYFUNCTION("""COMPUTED_VALUE"""),"fa510f29")</f>
        <v>fa510f29</v>
      </c>
      <c r="B45" s="1" t="str">
        <f>IFERROR(__xludf.DUMMYFUNCTION("""COMPUTED_VALUE"""),"cf725f29")</f>
        <v>cf725f29</v>
      </c>
      <c r="C45" s="1" t="str">
        <f>IFERROR(__xludf.DUMMYFUNCTION("""COMPUTED_VALUE"""),"492147d3")</f>
        <v>492147d3</v>
      </c>
      <c r="D45" s="1">
        <f>IFERROR(__xludf.DUMMYFUNCTION("""COMPUTED_VALUE"""),24.0)</f>
        <v>24</v>
      </c>
      <c r="E45" s="1">
        <f>IFERROR(__xludf.DUMMYFUNCTION("""COMPUTED_VALUE"""),3.08)</f>
        <v>3.08</v>
      </c>
      <c r="F45" s="1"/>
      <c r="G45" s="1"/>
      <c r="H45" s="29">
        <f t="array" ref="H45">IF(B45="","",
DATE(
YEAR(INDEX(Purchases_Import!$B:$B, MATCH(B45, Purchases_Import!$A:$A, 0))),
MONTH(INDEX(Purchases_Import!$B:$B, MATCH(B45, Purchases_Import!$A:$A, 0))),
1
))</f>
        <v>46023</v>
      </c>
      <c r="I45" s="2">
        <f t="shared" si="1"/>
        <v>24</v>
      </c>
    </row>
    <row r="46">
      <c r="A46" s="1" t="str">
        <f>IFERROR(__xludf.DUMMYFUNCTION("""COMPUTED_VALUE"""),"49018bd2")</f>
        <v>49018bd2</v>
      </c>
      <c r="B46" s="1" t="str">
        <f>IFERROR(__xludf.DUMMYFUNCTION("""COMPUTED_VALUE"""),"cf725f29")</f>
        <v>cf725f29</v>
      </c>
      <c r="C46" s="1" t="str">
        <f>IFERROR(__xludf.DUMMYFUNCTION("""COMPUTED_VALUE"""),"9f3ec79c")</f>
        <v>9f3ec79c</v>
      </c>
      <c r="D46" s="1">
        <f>IFERROR(__xludf.DUMMYFUNCTION("""COMPUTED_VALUE"""),24.0)</f>
        <v>24</v>
      </c>
      <c r="E46" s="1">
        <f>IFERROR(__xludf.DUMMYFUNCTION("""COMPUTED_VALUE"""),3.08)</f>
        <v>3.08</v>
      </c>
      <c r="F46" s="1"/>
      <c r="G46" s="1"/>
      <c r="H46" s="29">
        <f t="array" ref="H46">IF(B46="","",
DATE(
YEAR(INDEX(Purchases_Import!$B:$B, MATCH(B46, Purchases_Import!$A:$A, 0))),
MONTH(INDEX(Purchases_Import!$B:$B, MATCH(B46, Purchases_Import!$A:$A, 0))),
1
))</f>
        <v>46023</v>
      </c>
      <c r="I46" s="2">
        <f t="shared" si="1"/>
        <v>24</v>
      </c>
    </row>
    <row r="47">
      <c r="A47" s="1" t="str">
        <f>IFERROR(__xludf.DUMMYFUNCTION("""COMPUTED_VALUE"""),"20385cd5")</f>
        <v>20385cd5</v>
      </c>
      <c r="B47" s="1" t="str">
        <f>IFERROR(__xludf.DUMMYFUNCTION("""COMPUTED_VALUE"""),"cf725f29")</f>
        <v>cf725f29</v>
      </c>
      <c r="C47" s="1" t="str">
        <f>IFERROR(__xludf.DUMMYFUNCTION("""COMPUTED_VALUE"""),"e7e30487")</f>
        <v>e7e30487</v>
      </c>
      <c r="D47" s="1">
        <f>IFERROR(__xludf.DUMMYFUNCTION("""COMPUTED_VALUE"""),24.0)</f>
        <v>24</v>
      </c>
      <c r="E47" s="1">
        <f>IFERROR(__xludf.DUMMYFUNCTION("""COMPUTED_VALUE"""),3.08)</f>
        <v>3.08</v>
      </c>
      <c r="F47" s="1"/>
      <c r="G47" s="1"/>
      <c r="H47" s="29">
        <f t="array" ref="H47">IF(B47="","",
DATE(
YEAR(INDEX(Purchases_Import!$B:$B, MATCH(B47, Purchases_Import!$A:$A, 0))),
MONTH(INDEX(Purchases_Import!$B:$B, MATCH(B47, Purchases_Import!$A:$A, 0))),
1
))</f>
        <v>46023</v>
      </c>
      <c r="I47" s="2">
        <f t="shared" si="1"/>
        <v>24</v>
      </c>
    </row>
    <row r="48">
      <c r="A48" s="1" t="str">
        <f>IFERROR(__xludf.DUMMYFUNCTION("""COMPUTED_VALUE"""),"ac520d1c")</f>
        <v>ac520d1c</v>
      </c>
      <c r="B48" s="1" t="str">
        <f>IFERROR(__xludf.DUMMYFUNCTION("""COMPUTED_VALUE"""),"cf725f29")</f>
        <v>cf725f29</v>
      </c>
      <c r="C48" s="1" t="str">
        <f>IFERROR(__xludf.DUMMYFUNCTION("""COMPUTED_VALUE"""),"12b96290")</f>
        <v>12b96290</v>
      </c>
      <c r="D48" s="1">
        <f>IFERROR(__xludf.DUMMYFUNCTION("""COMPUTED_VALUE"""),15.0)</f>
        <v>15</v>
      </c>
      <c r="E48" s="1">
        <f>IFERROR(__xludf.DUMMYFUNCTION("""COMPUTED_VALUE"""),2.8)</f>
        <v>2.8</v>
      </c>
      <c r="F48" s="1"/>
      <c r="G48" s="1"/>
      <c r="H48" s="29">
        <f t="array" ref="H48">IF(B48="","",
DATE(
YEAR(INDEX(Purchases_Import!$B:$B, MATCH(B48, Purchases_Import!$A:$A, 0))),
MONTH(INDEX(Purchases_Import!$B:$B, MATCH(B48, Purchases_Import!$A:$A, 0))),
1
))</f>
        <v>46023</v>
      </c>
      <c r="I48" s="2">
        <f t="shared" si="1"/>
        <v>15</v>
      </c>
    </row>
    <row r="49">
      <c r="A49" s="1" t="str">
        <f>IFERROR(__xludf.DUMMYFUNCTION("""COMPUTED_VALUE"""),"fbcb6dfc")</f>
        <v>fbcb6dfc</v>
      </c>
      <c r="B49" s="1" t="str">
        <f>IFERROR(__xludf.DUMMYFUNCTION("""COMPUTED_VALUE"""),"cf725f29")</f>
        <v>cf725f29</v>
      </c>
      <c r="C49" s="1" t="str">
        <f>IFERROR(__xludf.DUMMYFUNCTION("""COMPUTED_VALUE"""),"d5b5f9d1")</f>
        <v>d5b5f9d1</v>
      </c>
      <c r="D49" s="1">
        <f>IFERROR(__xludf.DUMMYFUNCTION("""COMPUTED_VALUE"""),90.0)</f>
        <v>90</v>
      </c>
      <c r="E49" s="1">
        <f>IFERROR(__xludf.DUMMYFUNCTION("""COMPUTED_VALUE"""),2.6)</f>
        <v>2.6</v>
      </c>
      <c r="F49" s="1"/>
      <c r="G49" s="1"/>
      <c r="H49" s="29">
        <f t="array" ref="H49">IF(B49="","",
DATE(
YEAR(INDEX(Purchases_Import!$B:$B, MATCH(B49, Purchases_Import!$A:$A, 0))),
MONTH(INDEX(Purchases_Import!$B:$B, MATCH(B49, Purchases_Import!$A:$A, 0))),
1
))</f>
        <v>46023</v>
      </c>
      <c r="I49" s="2">
        <f t="shared" si="1"/>
        <v>90</v>
      </c>
    </row>
    <row r="50">
      <c r="A50" s="1" t="str">
        <f>IFERROR(__xludf.DUMMYFUNCTION("""COMPUTED_VALUE"""),"9c64c4df")</f>
        <v>9c64c4df</v>
      </c>
      <c r="B50" s="1" t="str">
        <f>IFERROR(__xludf.DUMMYFUNCTION("""COMPUTED_VALUE"""),"cf725f29")</f>
        <v>cf725f29</v>
      </c>
      <c r="C50" s="1" t="str">
        <f>IFERROR(__xludf.DUMMYFUNCTION("""COMPUTED_VALUE"""),"0001")</f>
        <v>0001</v>
      </c>
      <c r="D50" s="1">
        <f>IFERROR(__xludf.DUMMYFUNCTION("""COMPUTED_VALUE"""),15.0)</f>
        <v>15</v>
      </c>
      <c r="E50" s="1">
        <f>IFERROR(__xludf.DUMMYFUNCTION("""COMPUTED_VALUE"""),2.8)</f>
        <v>2.8</v>
      </c>
      <c r="F50" s="1"/>
      <c r="G50" s="1"/>
      <c r="H50" s="29">
        <f t="array" ref="H50">IF(B50="","",
DATE(
YEAR(INDEX(Purchases_Import!$B:$B, MATCH(B50, Purchases_Import!$A:$A, 0))),
MONTH(INDEX(Purchases_Import!$B:$B, MATCH(B50, Purchases_Import!$A:$A, 0))),
1
))</f>
        <v>46023</v>
      </c>
      <c r="I50" s="2">
        <f t="shared" si="1"/>
        <v>15</v>
      </c>
    </row>
    <row r="51">
      <c r="A51" s="1" t="str">
        <f>IFERROR(__xludf.DUMMYFUNCTION("""COMPUTED_VALUE"""),"084717dc")</f>
        <v>084717dc</v>
      </c>
      <c r="B51" s="1" t="str">
        <f>IFERROR(__xludf.DUMMYFUNCTION("""COMPUTED_VALUE"""),"cf725f29")</f>
        <v>cf725f29</v>
      </c>
      <c r="C51" s="1" t="str">
        <f>IFERROR(__xludf.DUMMYFUNCTION("""COMPUTED_VALUE"""),"0021")</f>
        <v>0021</v>
      </c>
      <c r="D51" s="1">
        <f>IFERROR(__xludf.DUMMYFUNCTION("""COMPUTED_VALUE"""),48.0)</f>
        <v>48</v>
      </c>
      <c r="E51" s="1">
        <f>IFERROR(__xludf.DUMMYFUNCTION("""COMPUTED_VALUE"""),2.25)</f>
        <v>2.25</v>
      </c>
      <c r="F51" s="1"/>
      <c r="G51" s="1"/>
      <c r="H51" s="29">
        <f t="array" ref="H51">IF(B51="","",
DATE(
YEAR(INDEX(Purchases_Import!$B:$B, MATCH(B51, Purchases_Import!$A:$A, 0))),
MONTH(INDEX(Purchases_Import!$B:$B, MATCH(B51, Purchases_Import!$A:$A, 0))),
1
))</f>
        <v>46023</v>
      </c>
      <c r="I51" s="2">
        <f t="shared" si="1"/>
        <v>48</v>
      </c>
    </row>
    <row r="52">
      <c r="A52" s="1" t="str">
        <f>IFERROR(__xludf.DUMMYFUNCTION("""COMPUTED_VALUE"""),"71866b1b")</f>
        <v>71866b1b</v>
      </c>
      <c r="B52" s="1" t="str">
        <f>IFERROR(__xludf.DUMMYFUNCTION("""COMPUTED_VALUE"""),"42529802")</f>
        <v>42529802</v>
      </c>
      <c r="C52" s="1" t="str">
        <f>IFERROR(__xludf.DUMMYFUNCTION("""COMPUTED_VALUE"""),"0002")</f>
        <v>0002</v>
      </c>
      <c r="D52" s="1">
        <f>IFERROR(__xludf.DUMMYFUNCTION("""COMPUTED_VALUE"""),360.0)</f>
        <v>360</v>
      </c>
      <c r="E52" s="1">
        <f>IFERROR(__xludf.DUMMYFUNCTION("""COMPUTED_VALUE"""),0.3)</f>
        <v>0.3</v>
      </c>
      <c r="F52" s="1"/>
      <c r="G52" s="1"/>
      <c r="H52" s="29">
        <f t="array" ref="H52">IF(B52="","",
DATE(
YEAR(INDEX(Purchases_Import!$B:$B, MATCH(B52, Purchases_Import!$A:$A, 0))),
MONTH(INDEX(Purchases_Import!$B:$B, MATCH(B52, Purchases_Import!$A:$A, 0))),
1
))</f>
        <v>46023</v>
      </c>
      <c r="I52" s="2">
        <f t="shared" si="1"/>
        <v>360</v>
      </c>
    </row>
    <row r="53">
      <c r="A53" s="1" t="str">
        <f>IFERROR(__xludf.DUMMYFUNCTION("""COMPUTED_VALUE"""),"2434bd77")</f>
        <v>2434bd77</v>
      </c>
      <c r="B53" s="1" t="str">
        <f>IFERROR(__xludf.DUMMYFUNCTION("""COMPUTED_VALUE"""),"0dd58d41")</f>
        <v>0dd58d41</v>
      </c>
      <c r="C53" s="1" t="str">
        <f>IFERROR(__xludf.DUMMYFUNCTION("""COMPUTED_VALUE"""),"78233e6f")</f>
        <v>78233e6f</v>
      </c>
      <c r="D53" s="1">
        <f>IFERROR(__xludf.DUMMYFUNCTION("""COMPUTED_VALUE"""),24.0)</f>
        <v>24</v>
      </c>
      <c r="E53" s="1">
        <f>IFERROR(__xludf.DUMMYFUNCTION("""COMPUTED_VALUE"""),3.17)</f>
        <v>3.17</v>
      </c>
      <c r="F53" s="1"/>
      <c r="G53" s="1"/>
      <c r="H53" s="29">
        <f t="array" ref="H53">IF(B53="","",
DATE(
YEAR(INDEX(Purchases_Import!$B:$B, MATCH(B53, Purchases_Import!$A:$A, 0))),
MONTH(INDEX(Purchases_Import!$B:$B, MATCH(B53, Purchases_Import!$A:$A, 0))),
1
))</f>
        <v>46023</v>
      </c>
      <c r="I53" s="2">
        <f t="shared" si="1"/>
        <v>24</v>
      </c>
    </row>
    <row r="54">
      <c r="A54" s="1" t="str">
        <f>IFERROR(__xludf.DUMMYFUNCTION("""COMPUTED_VALUE"""),"e3a0c2be")</f>
        <v>e3a0c2be</v>
      </c>
      <c r="B54" s="1" t="str">
        <f>IFERROR(__xludf.DUMMYFUNCTION("""COMPUTED_VALUE"""),"26e12fc1")</f>
        <v>26e12fc1</v>
      </c>
      <c r="C54" s="1" t="str">
        <f>IFERROR(__xludf.DUMMYFUNCTION("""COMPUTED_VALUE"""),"0003")</f>
        <v>0003</v>
      </c>
      <c r="D54" s="1">
        <f>IFERROR(__xludf.DUMMYFUNCTION("""COMPUTED_VALUE"""),25.0)</f>
        <v>25</v>
      </c>
      <c r="E54" s="1">
        <f>IFERROR(__xludf.DUMMYFUNCTION("""COMPUTED_VALUE"""),4.88)</f>
        <v>4.88</v>
      </c>
      <c r="F54" s="1"/>
      <c r="G54" s="1"/>
      <c r="H54" s="29">
        <f t="array" ref="H54">IF(B54="","",
DATE(
YEAR(INDEX(Purchases_Import!$B:$B, MATCH(B54, Purchases_Import!$A:$A, 0))),
MONTH(INDEX(Purchases_Import!$B:$B, MATCH(B54, Purchases_Import!$A:$A, 0))),
1
))</f>
        <v>46023</v>
      </c>
      <c r="I54" s="2">
        <f t="shared" si="1"/>
        <v>25</v>
      </c>
    </row>
    <row r="55">
      <c r="A55" s="1" t="str">
        <f>IFERROR(__xludf.DUMMYFUNCTION("""COMPUTED_VALUE"""),"89cf891d")</f>
        <v>89cf891d</v>
      </c>
      <c r="B55" s="1" t="str">
        <f>IFERROR(__xludf.DUMMYFUNCTION("""COMPUTED_VALUE"""),"d8a0d688")</f>
        <v>d8a0d688</v>
      </c>
      <c r="C55" s="1" t="str">
        <f>IFERROR(__xludf.DUMMYFUNCTION("""COMPUTED_VALUE"""),"f2959682")</f>
        <v>f2959682</v>
      </c>
      <c r="D55" s="1">
        <f>IFERROR(__xludf.DUMMYFUNCTION("""COMPUTED_VALUE"""),20.0)</f>
        <v>20</v>
      </c>
      <c r="E55" s="1">
        <f>IFERROR(__xludf.DUMMYFUNCTION("""COMPUTED_VALUE"""),1.0)</f>
        <v>1</v>
      </c>
      <c r="F55" s="1"/>
      <c r="G55" s="1"/>
      <c r="H55" s="1" t="str">
        <f t="array" ref="H55">IF(B55="","",
DATE(
YEAR(INDEX(Purchases_Import!$B:$B, MATCH(B55, Purchases_Import!$A:$A, 0))),
MONTH(INDEX(Purchases_Import!$B:$B, MATCH(B55, Purchases_Import!$A:$A, 0))),
1
))</f>
        <v>#N/A</v>
      </c>
      <c r="I55" s="2">
        <f t="shared" si="1"/>
        <v>20</v>
      </c>
    </row>
    <row r="56">
      <c r="A56" s="1" t="str">
        <f>IFERROR(__xludf.DUMMYFUNCTION("""COMPUTED_VALUE"""),"0d8c8697")</f>
        <v>0d8c8697</v>
      </c>
      <c r="B56" s="1" t="str">
        <f>IFERROR(__xludf.DUMMYFUNCTION("""COMPUTED_VALUE"""),"9a1d5732")</f>
        <v>9a1d5732</v>
      </c>
      <c r="C56" s="1" t="str">
        <f>IFERROR(__xludf.DUMMYFUNCTION("""COMPUTED_VALUE"""),"f2959682")</f>
        <v>f2959682</v>
      </c>
      <c r="D56" s="1">
        <f>IFERROR(__xludf.DUMMYFUNCTION("""COMPUTED_VALUE"""),10.0)</f>
        <v>10</v>
      </c>
      <c r="E56" s="1">
        <f>IFERROR(__xludf.DUMMYFUNCTION("""COMPUTED_VALUE"""),1.0)</f>
        <v>1</v>
      </c>
      <c r="F56" s="1"/>
      <c r="G56" s="1"/>
      <c r="H56" s="1" t="str">
        <f t="array" ref="H56">IF(B56="","",
DATE(
YEAR(INDEX(Purchases_Import!$B:$B, MATCH(B56, Purchases_Import!$A:$A, 0))),
MONTH(INDEX(Purchases_Import!$B:$B, MATCH(B56, Purchases_Import!$A:$A, 0))),
1
))</f>
        <v>#N/A</v>
      </c>
      <c r="I56" s="2">
        <f t="shared" si="1"/>
        <v>10</v>
      </c>
    </row>
    <row r="57">
      <c r="A57" s="1" t="str">
        <f>IFERROR(__xludf.DUMMYFUNCTION("""COMPUTED_VALUE"""),"17fe33a9")</f>
        <v>17fe33a9</v>
      </c>
      <c r="B57" s="1" t="str">
        <f>IFERROR(__xludf.DUMMYFUNCTION("""COMPUTED_VALUE"""),"ea773df4")</f>
        <v>ea773df4</v>
      </c>
      <c r="C57" s="1" t="str">
        <f>IFERROR(__xludf.DUMMYFUNCTION("""COMPUTED_VALUE"""),"52149040")</f>
        <v>52149040</v>
      </c>
      <c r="D57" s="1">
        <f>IFERROR(__xludf.DUMMYFUNCTION("""COMPUTED_VALUE"""),10.0)</f>
        <v>10</v>
      </c>
      <c r="E57" s="1">
        <f>IFERROR(__xludf.DUMMYFUNCTION("""COMPUTED_VALUE"""),2.0)</f>
        <v>2</v>
      </c>
      <c r="F57" s="1"/>
      <c r="G57" s="1"/>
      <c r="H57" s="1" t="str">
        <f t="array" ref="H57">IF(B57="","",
DATE(
YEAR(INDEX(Purchases_Import!$B:$B, MATCH(B57, Purchases_Import!$A:$A, 0))),
MONTH(INDEX(Purchases_Import!$B:$B, MATCH(B57, Purchases_Import!$A:$A, 0))),
1
))</f>
        <v>#N/A</v>
      </c>
      <c r="I57" s="2">
        <f t="shared" si="1"/>
        <v>10</v>
      </c>
    </row>
    <row r="58">
      <c r="A58" s="1" t="str">
        <f>IFERROR(__xludf.DUMMYFUNCTION("""COMPUTED_VALUE"""),"8e0ea8b4")</f>
        <v>8e0ea8b4</v>
      </c>
      <c r="B58" s="1" t="str">
        <f>IFERROR(__xludf.DUMMYFUNCTION("""COMPUTED_VALUE"""),"119eafc5")</f>
        <v>119eafc5</v>
      </c>
      <c r="C58" s="1" t="str">
        <f>IFERROR(__xludf.DUMMYFUNCTION("""COMPUTED_VALUE"""),"f2959682")</f>
        <v>f2959682</v>
      </c>
      <c r="D58" s="1">
        <f>IFERROR(__xludf.DUMMYFUNCTION("""COMPUTED_VALUE"""),1.0)</f>
        <v>1</v>
      </c>
      <c r="E58" s="1">
        <f>IFERROR(__xludf.DUMMYFUNCTION("""COMPUTED_VALUE"""),1.0)</f>
        <v>1</v>
      </c>
      <c r="F58" s="1"/>
      <c r="G58" s="1"/>
      <c r="H58" s="1" t="str">
        <f t="array" ref="H58">IF(B58="","",
DATE(
YEAR(INDEX(Purchases_Import!$B:$B, MATCH(B58, Purchases_Import!$A:$A, 0))),
MONTH(INDEX(Purchases_Import!$B:$B, MATCH(B58, Purchases_Import!$A:$A, 0))),
1
))</f>
        <v>#N/A</v>
      </c>
      <c r="I58" s="2">
        <f t="shared" si="1"/>
        <v>1</v>
      </c>
    </row>
    <row r="59">
      <c r="A59" s="1" t="str">
        <f>IFERROR(__xludf.DUMMYFUNCTION("""COMPUTED_VALUE"""),"e3aa7175")</f>
        <v>e3aa7175</v>
      </c>
      <c r="B59" s="1" t="str">
        <f>IFERROR(__xludf.DUMMYFUNCTION("""COMPUTED_VALUE"""),"4a262ae6")</f>
        <v>4a262ae6</v>
      </c>
      <c r="C59" s="1" t="str">
        <f>IFERROR(__xludf.DUMMYFUNCTION("""COMPUTED_VALUE"""),"f2959682")</f>
        <v>f2959682</v>
      </c>
      <c r="D59" s="1">
        <f>IFERROR(__xludf.DUMMYFUNCTION("""COMPUTED_VALUE"""),2.0)</f>
        <v>2</v>
      </c>
      <c r="E59" s="1">
        <f>IFERROR(__xludf.DUMMYFUNCTION("""COMPUTED_VALUE"""),1.0)</f>
        <v>1</v>
      </c>
      <c r="F59" s="1"/>
      <c r="G59" s="1"/>
      <c r="H59" s="1" t="str">
        <f t="array" ref="H59">IF(B59="","",
DATE(
YEAR(INDEX(Purchases_Import!$B:$B, MATCH(B59, Purchases_Import!$A:$A, 0))),
MONTH(INDEX(Purchases_Import!$B:$B, MATCH(B59, Purchases_Import!$A:$A, 0))),
1
))</f>
        <v>#N/A</v>
      </c>
      <c r="I59" s="2">
        <f t="shared" si="1"/>
        <v>2</v>
      </c>
    </row>
    <row r="60">
      <c r="A60" s="1" t="str">
        <f>IFERROR(__xludf.DUMMYFUNCTION("""COMPUTED_VALUE"""),"73603224")</f>
        <v>73603224</v>
      </c>
      <c r="B60" s="1" t="str">
        <f>IFERROR(__xludf.DUMMYFUNCTION("""COMPUTED_VALUE"""),"8943792a")</f>
        <v>8943792a</v>
      </c>
      <c r="C60" s="1" t="str">
        <f>IFERROR(__xludf.DUMMYFUNCTION("""COMPUTED_VALUE"""),"f2959682")</f>
        <v>f2959682</v>
      </c>
      <c r="D60" s="1">
        <f>IFERROR(__xludf.DUMMYFUNCTION("""COMPUTED_VALUE"""),5.0)</f>
        <v>5</v>
      </c>
      <c r="E60" s="1">
        <f>IFERROR(__xludf.DUMMYFUNCTION("""COMPUTED_VALUE"""),1.0)</f>
        <v>1</v>
      </c>
      <c r="F60" s="1"/>
      <c r="G60" s="1"/>
      <c r="H60" s="1" t="str">
        <f t="array" ref="H60">IF(B60="","",
DATE(
YEAR(INDEX(Purchases_Import!$B:$B, MATCH(B60, Purchases_Import!$A:$A, 0))),
MONTH(INDEX(Purchases_Import!$B:$B, MATCH(B60, Purchases_Import!$A:$A, 0))),
1
))</f>
        <v>#N/A</v>
      </c>
      <c r="I60" s="2">
        <f t="shared" si="1"/>
        <v>5</v>
      </c>
    </row>
    <row r="61">
      <c r="A61" s="1" t="str">
        <f>IFERROR(__xludf.DUMMYFUNCTION("""COMPUTED_VALUE"""),"4111721b")</f>
        <v>4111721b</v>
      </c>
      <c r="B61" s="1" t="str">
        <f>IFERROR(__xludf.DUMMYFUNCTION("""COMPUTED_VALUE"""),"8943792a")</f>
        <v>8943792a</v>
      </c>
      <c r="C61" s="1" t="str">
        <f>IFERROR(__xludf.DUMMYFUNCTION("""COMPUTED_VALUE"""),"52149040")</f>
        <v>52149040</v>
      </c>
      <c r="D61" s="1">
        <f>IFERROR(__xludf.DUMMYFUNCTION("""COMPUTED_VALUE"""),3.0)</f>
        <v>3</v>
      </c>
      <c r="E61" s="1">
        <f>IFERROR(__xludf.DUMMYFUNCTION("""COMPUTED_VALUE"""),2.0)</f>
        <v>2</v>
      </c>
      <c r="F61" s="1"/>
      <c r="G61" s="1"/>
      <c r="H61" s="1" t="str">
        <f t="array" ref="H61">IF(B61="","",
DATE(
YEAR(INDEX(Purchases_Import!$B:$B, MATCH(B61, Purchases_Import!$A:$A, 0))),
MONTH(INDEX(Purchases_Import!$B:$B, MATCH(B61, Purchases_Import!$A:$A, 0))),
1
))</f>
        <v>#N/A</v>
      </c>
      <c r="I61" s="2">
        <f t="shared" si="1"/>
        <v>3</v>
      </c>
    </row>
    <row r="62">
      <c r="A62" s="1" t="str">
        <f>IFERROR(__xludf.DUMMYFUNCTION("""COMPUTED_VALUE"""),"3d2a7f98")</f>
        <v>3d2a7f98</v>
      </c>
      <c r="B62" s="1" t="str">
        <f>IFERROR(__xludf.DUMMYFUNCTION("""COMPUTED_VALUE"""),"c4cf15ef")</f>
        <v>c4cf15ef</v>
      </c>
      <c r="C62" s="1" t="str">
        <f>IFERROR(__xludf.DUMMYFUNCTION("""COMPUTED_VALUE"""),"f2959682")</f>
        <v>f2959682</v>
      </c>
      <c r="D62" s="1">
        <f>IFERROR(__xludf.DUMMYFUNCTION("""COMPUTED_VALUE"""),3.0)</f>
        <v>3</v>
      </c>
      <c r="E62" s="1">
        <f>IFERROR(__xludf.DUMMYFUNCTION("""COMPUTED_VALUE"""),1.0)</f>
        <v>1</v>
      </c>
      <c r="F62" s="1"/>
      <c r="G62" s="1"/>
      <c r="H62" s="1" t="str">
        <f t="array" ref="H62">IF(B62="","",
DATE(
YEAR(INDEX(Purchases_Import!$B:$B, MATCH(B62, Purchases_Import!$A:$A, 0))),
MONTH(INDEX(Purchases_Import!$B:$B, MATCH(B62, Purchases_Import!$A:$A, 0))),
1
))</f>
        <v>#N/A</v>
      </c>
      <c r="I62" s="2">
        <f t="shared" si="1"/>
        <v>3</v>
      </c>
    </row>
    <row r="63">
      <c r="A63" s="1" t="str">
        <f>IFERROR(__xludf.DUMMYFUNCTION("""COMPUTED_VALUE"""),"8580c126")</f>
        <v>8580c126</v>
      </c>
      <c r="B63" s="1" t="str">
        <f>IFERROR(__xludf.DUMMYFUNCTION("""COMPUTED_VALUE"""),"c4cf15ef")</f>
        <v>c4cf15ef</v>
      </c>
      <c r="C63" s="1" t="str">
        <f>IFERROR(__xludf.DUMMYFUNCTION("""COMPUTED_VALUE"""),"52149040")</f>
        <v>52149040</v>
      </c>
      <c r="D63" s="1">
        <f>IFERROR(__xludf.DUMMYFUNCTION("""COMPUTED_VALUE"""),3.0)</f>
        <v>3</v>
      </c>
      <c r="E63" s="1">
        <f>IFERROR(__xludf.DUMMYFUNCTION("""COMPUTED_VALUE"""),2.0)</f>
        <v>2</v>
      </c>
      <c r="F63" s="1"/>
      <c r="G63" s="1"/>
      <c r="H63" s="1" t="str">
        <f t="array" ref="H63">IF(B63="","",
DATE(
YEAR(INDEX(Purchases_Import!$B:$B, MATCH(B63, Purchases_Import!$A:$A, 0))),
MONTH(INDEX(Purchases_Import!$B:$B, MATCH(B63, Purchases_Import!$A:$A, 0))),
1
))</f>
        <v>#N/A</v>
      </c>
      <c r="I63" s="2">
        <f t="shared" si="1"/>
        <v>3</v>
      </c>
    </row>
    <row r="64">
      <c r="A64" s="1" t="str">
        <f>IFERROR(__xludf.DUMMYFUNCTION("""COMPUTED_VALUE"""),"a359bc53")</f>
        <v>a359bc53</v>
      </c>
      <c r="B64" s="1" t="str">
        <f>IFERROR(__xludf.DUMMYFUNCTION("""COMPUTED_VALUE"""),"6b40dd7c")</f>
        <v>6b40dd7c</v>
      </c>
      <c r="C64" s="1" t="str">
        <f>IFERROR(__xludf.DUMMYFUNCTION("""COMPUTED_VALUE"""),"f2959682")</f>
        <v>f2959682</v>
      </c>
      <c r="D64" s="1">
        <f>IFERROR(__xludf.DUMMYFUNCTION("""COMPUTED_VALUE"""),4.0)</f>
        <v>4</v>
      </c>
      <c r="E64" s="1">
        <f>IFERROR(__xludf.DUMMYFUNCTION("""COMPUTED_VALUE"""),1.0)</f>
        <v>1</v>
      </c>
      <c r="F64" s="1"/>
      <c r="G64" s="1"/>
      <c r="H64" s="1" t="str">
        <f t="array" ref="H64">IF(B64="","",
DATE(
YEAR(INDEX(Purchases_Import!$B:$B, MATCH(B64, Purchases_Import!$A:$A, 0))),
MONTH(INDEX(Purchases_Import!$B:$B, MATCH(B64, Purchases_Import!$A:$A, 0))),
1
))</f>
        <v>#N/A</v>
      </c>
      <c r="I64" s="2">
        <f t="shared" si="1"/>
        <v>4</v>
      </c>
    </row>
    <row r="65">
      <c r="A65" s="1" t="str">
        <f>IFERROR(__xludf.DUMMYFUNCTION("""COMPUTED_VALUE"""),"5b68791b")</f>
        <v>5b68791b</v>
      </c>
      <c r="B65" s="1" t="str">
        <f>IFERROR(__xludf.DUMMYFUNCTION("""COMPUTED_VALUE"""),"6b40dd7c")</f>
        <v>6b40dd7c</v>
      </c>
      <c r="C65" s="1" t="str">
        <f>IFERROR(__xludf.DUMMYFUNCTION("""COMPUTED_VALUE"""),"52149040")</f>
        <v>52149040</v>
      </c>
      <c r="D65" s="1">
        <f>IFERROR(__xludf.DUMMYFUNCTION("""COMPUTED_VALUE"""),2.0)</f>
        <v>2</v>
      </c>
      <c r="E65" s="1">
        <f>IFERROR(__xludf.DUMMYFUNCTION("""COMPUTED_VALUE"""),2.0)</f>
        <v>2</v>
      </c>
      <c r="F65" s="1"/>
      <c r="G65" s="1"/>
      <c r="H65" s="1" t="str">
        <f t="array" ref="H65">IF(B65="","",
DATE(
YEAR(INDEX(Purchases_Import!$B:$B, MATCH(B65, Purchases_Import!$A:$A, 0))),
MONTH(INDEX(Purchases_Import!$B:$B, MATCH(B65, Purchases_Import!$A:$A, 0))),
1
))</f>
        <v>#N/A</v>
      </c>
      <c r="I65" s="2">
        <f t="shared" si="1"/>
        <v>2</v>
      </c>
    </row>
    <row r="66">
      <c r="A66" s="1"/>
      <c r="B66" s="1"/>
      <c r="C66" s="1"/>
      <c r="D66" s="1"/>
      <c r="E66" s="1"/>
      <c r="F66" s="1"/>
      <c r="G66" s="1"/>
      <c r="H66" s="1" t="str">
        <f t="array" ref="H66">IF(B66="","",
DATE(
YEAR(INDEX(Purchases_Import!$B:$B, MATCH(B66, Purchases_Import!$A:$A, 0))),
MONTH(INDEX(Purchases_Import!$B:$B, MATCH(B66, Purchases_Import!$A:$A, 0))),
1
))</f>
        <v/>
      </c>
      <c r="I66" s="2" t="str">
        <f t="shared" si="1"/>
        <v/>
      </c>
    </row>
    <row r="67">
      <c r="A67" s="1" t="str">
        <f>IFERROR(__xludf.DUMMYFUNCTION("""COMPUTED_VALUE"""),"6ed3e13e")</f>
        <v>6ed3e13e</v>
      </c>
      <c r="B67" s="1" t="str">
        <f>IFERROR(__xludf.DUMMYFUNCTION("""COMPUTED_VALUE"""),"7004caab")</f>
        <v>7004caab</v>
      </c>
      <c r="C67" s="1" t="str">
        <f>IFERROR(__xludf.DUMMYFUNCTION("""COMPUTED_VALUE"""),"d5b5f9d1")</f>
        <v>d5b5f9d1</v>
      </c>
      <c r="D67" s="1">
        <f>IFERROR(__xludf.DUMMYFUNCTION("""COMPUTED_VALUE"""),75.0)</f>
        <v>75</v>
      </c>
      <c r="E67" s="1">
        <f>IFERROR(__xludf.DUMMYFUNCTION("""COMPUTED_VALUE"""),2.6)</f>
        <v>2.6</v>
      </c>
      <c r="F67" s="1"/>
      <c r="G67" s="1"/>
      <c r="H67" s="29">
        <f t="array" ref="H67">IF(B67="","",
DATE(
YEAR(INDEX(Purchases_Import!$B:$B, MATCH(B67, Purchases_Import!$A:$A, 0))),
MONTH(INDEX(Purchases_Import!$B:$B, MATCH(B67, Purchases_Import!$A:$A, 0))),
1
))</f>
        <v>46023</v>
      </c>
      <c r="I67" s="2">
        <f t="shared" si="1"/>
        <v>75</v>
      </c>
    </row>
    <row r="68">
      <c r="A68" s="1" t="str">
        <f>IFERROR(__xludf.DUMMYFUNCTION("""COMPUTED_VALUE"""),"b8e82fe6")</f>
        <v>b8e82fe6</v>
      </c>
      <c r="B68" s="1"/>
      <c r="C68" s="1" t="str">
        <f>IFERROR(__xludf.DUMMYFUNCTION("""COMPUTED_VALUE"""),"0001")</f>
        <v>0001</v>
      </c>
      <c r="D68" s="1">
        <f>IFERROR(__xludf.DUMMYFUNCTION("""COMPUTED_VALUE"""),-15.0)</f>
        <v>-15</v>
      </c>
      <c r="E68" s="1">
        <f>IFERROR(__xludf.DUMMYFUNCTION("""COMPUTED_VALUE"""),2.8)</f>
        <v>2.8</v>
      </c>
      <c r="F68" s="1"/>
      <c r="G68" s="1"/>
      <c r="H68" s="1" t="str">
        <f t="array" ref="H68">IF(B68="","",
DATE(
YEAR(INDEX(Purchases_Import!$B:$B, MATCH(B68, Purchases_Import!$A:$A, 0))),
MONTH(INDEX(Purchases_Import!$B:$B, MATCH(B68, Purchases_Import!$A:$A, 0))),
1
))</f>
        <v/>
      </c>
      <c r="I68" s="2">
        <f t="shared" si="1"/>
        <v>-15</v>
      </c>
    </row>
    <row r="69">
      <c r="A69" s="1" t="str">
        <f>IFERROR(__xludf.DUMMYFUNCTION("""COMPUTED_VALUE"""),"233deb5c")</f>
        <v>233deb5c</v>
      </c>
      <c r="B69" s="1" t="str">
        <f>IFERROR(__xludf.DUMMYFUNCTION("""COMPUTED_VALUE"""),"7004caab")</f>
        <v>7004caab</v>
      </c>
      <c r="C69" s="1" t="str">
        <f>IFERROR(__xludf.DUMMYFUNCTION("""COMPUTED_VALUE"""),"0af806f8")</f>
        <v>0af806f8</v>
      </c>
      <c r="D69" s="1">
        <f>IFERROR(__xludf.DUMMYFUNCTION("""COMPUTED_VALUE"""),45.0)</f>
        <v>45</v>
      </c>
      <c r="E69" s="1">
        <f>IFERROR(__xludf.DUMMYFUNCTION("""COMPUTED_VALUE"""),2.66)</f>
        <v>2.66</v>
      </c>
      <c r="F69" s="1"/>
      <c r="G69" s="1"/>
      <c r="H69" s="29">
        <f t="array" ref="H69">IF(B69="","",
DATE(
YEAR(INDEX(Purchases_Import!$B:$B, MATCH(B69, Purchases_Import!$A:$A, 0))),
MONTH(INDEX(Purchases_Import!$B:$B, MATCH(B69, Purchases_Import!$A:$A, 0))),
1
))</f>
        <v>46023</v>
      </c>
      <c r="I69" s="2">
        <f t="shared" si="1"/>
        <v>45</v>
      </c>
    </row>
    <row r="70">
      <c r="A70" s="1" t="str">
        <f>IFERROR(__xludf.DUMMYFUNCTION("""COMPUTED_VALUE"""),"ec4773bb")</f>
        <v>ec4773bb</v>
      </c>
      <c r="B70" s="1" t="str">
        <f>IFERROR(__xludf.DUMMYFUNCTION("""COMPUTED_VALUE"""),"fbac637d")</f>
        <v>fbac637d</v>
      </c>
      <c r="C70" s="1" t="str">
        <f>IFERROR(__xludf.DUMMYFUNCTION("""COMPUTED_VALUE"""),"f2959682")</f>
        <v>f2959682</v>
      </c>
      <c r="D70" s="1">
        <f>IFERROR(__xludf.DUMMYFUNCTION("""COMPUTED_VALUE"""),10.0)</f>
        <v>10</v>
      </c>
      <c r="E70" s="1">
        <f>IFERROR(__xludf.DUMMYFUNCTION("""COMPUTED_VALUE"""),1.0)</f>
        <v>1</v>
      </c>
      <c r="F70" s="1"/>
      <c r="G70" s="1"/>
      <c r="H70" s="1" t="str">
        <f t="array" ref="H70">IF(B70="","",
DATE(
YEAR(INDEX(Purchases_Import!$B:$B, MATCH(B70, Purchases_Import!$A:$A, 0))),
MONTH(INDEX(Purchases_Import!$B:$B, MATCH(B70, Purchases_Import!$A:$A, 0))),
1
))</f>
        <v>#N/A</v>
      </c>
      <c r="I70" s="2">
        <f t="shared" si="1"/>
        <v>10</v>
      </c>
    </row>
    <row r="71">
      <c r="A71" s="1" t="str">
        <f>IFERROR(__xludf.DUMMYFUNCTION("""COMPUTED_VALUE"""),"20d609fa")</f>
        <v>20d609fa</v>
      </c>
      <c r="B71" s="1" t="str">
        <f>IFERROR(__xludf.DUMMYFUNCTION("""COMPUTED_VALUE"""),"fbac637d")</f>
        <v>fbac637d</v>
      </c>
      <c r="C71" s="1" t="str">
        <f>IFERROR(__xludf.DUMMYFUNCTION("""COMPUTED_VALUE"""),"52149040")</f>
        <v>52149040</v>
      </c>
      <c r="D71" s="1">
        <f>IFERROR(__xludf.DUMMYFUNCTION("""COMPUTED_VALUE"""),10.0)</f>
        <v>10</v>
      </c>
      <c r="E71" s="1">
        <f>IFERROR(__xludf.DUMMYFUNCTION("""COMPUTED_VALUE"""),2.0)</f>
        <v>2</v>
      </c>
      <c r="F71" s="1"/>
      <c r="G71" s="1"/>
      <c r="H71" s="1" t="str">
        <f t="array" ref="H71">IF(B71="","",
DATE(
YEAR(INDEX(Purchases_Import!$B:$B, MATCH(B71, Purchases_Import!$A:$A, 0))),
MONTH(INDEX(Purchases_Import!$B:$B, MATCH(B71, Purchases_Import!$A:$A, 0))),
1
))</f>
        <v>#N/A</v>
      </c>
      <c r="I71" s="2">
        <f t="shared" si="1"/>
        <v>10</v>
      </c>
    </row>
    <row r="72">
      <c r="A72" s="1" t="str">
        <f>IFERROR(__xludf.DUMMYFUNCTION("""COMPUTED_VALUE"""),"25511a6c")</f>
        <v>25511a6c</v>
      </c>
      <c r="B72" s="1" t="str">
        <f>IFERROR(__xludf.DUMMYFUNCTION("""COMPUTED_VALUE"""),"e4db57ab")</f>
        <v>e4db57ab</v>
      </c>
      <c r="C72" s="1" t="str">
        <f>IFERROR(__xludf.DUMMYFUNCTION("""COMPUTED_VALUE"""),"f2959682")</f>
        <v>f2959682</v>
      </c>
      <c r="D72" s="1">
        <f>IFERROR(__xludf.DUMMYFUNCTION("""COMPUTED_VALUE"""),3.0)</f>
        <v>3</v>
      </c>
      <c r="E72" s="1">
        <f>IFERROR(__xludf.DUMMYFUNCTION("""COMPUTED_VALUE"""),1.0)</f>
        <v>1</v>
      </c>
      <c r="F72" s="1"/>
      <c r="G72" s="1"/>
      <c r="H72" s="1" t="str">
        <f t="array" ref="H72">IF(B72="","",
DATE(
YEAR(INDEX(Purchases_Import!$B:$B, MATCH(B72, Purchases_Import!$A:$A, 0))),
MONTH(INDEX(Purchases_Import!$B:$B, MATCH(B72, Purchases_Import!$A:$A, 0))),
1
))</f>
        <v>#N/A</v>
      </c>
      <c r="I72" s="2">
        <f t="shared" si="1"/>
        <v>3</v>
      </c>
    </row>
    <row r="73">
      <c r="A73" s="1" t="str">
        <f>IFERROR(__xludf.DUMMYFUNCTION("""COMPUTED_VALUE"""),"df0d9c3a")</f>
        <v>df0d9c3a</v>
      </c>
      <c r="B73" s="1" t="str">
        <f>IFERROR(__xludf.DUMMYFUNCTION("""COMPUTED_VALUE"""),"e4db57ab")</f>
        <v>e4db57ab</v>
      </c>
      <c r="C73" s="1" t="str">
        <f>IFERROR(__xludf.DUMMYFUNCTION("""COMPUTED_VALUE"""),"52149040")</f>
        <v>52149040</v>
      </c>
      <c r="D73" s="1">
        <f>IFERROR(__xludf.DUMMYFUNCTION("""COMPUTED_VALUE"""),1.0)</f>
        <v>1</v>
      </c>
      <c r="E73" s="1">
        <f>IFERROR(__xludf.DUMMYFUNCTION("""COMPUTED_VALUE"""),2.0)</f>
        <v>2</v>
      </c>
      <c r="F73" s="1"/>
      <c r="G73" s="1"/>
      <c r="H73" s="1" t="str">
        <f t="array" ref="H73">IF(B73="","",
DATE(
YEAR(INDEX(Purchases_Import!$B:$B, MATCH(B73, Purchases_Import!$A:$A, 0))),
MONTH(INDEX(Purchases_Import!$B:$B, MATCH(B73, Purchases_Import!$A:$A, 0))),
1
))</f>
        <v>#N/A</v>
      </c>
      <c r="I73" s="2">
        <f t="shared" si="1"/>
        <v>1</v>
      </c>
    </row>
    <row r="74">
      <c r="A74" s="1" t="str">
        <f>IFERROR(__xludf.DUMMYFUNCTION("""COMPUTED_VALUE"""),"d2654e26")</f>
        <v>d2654e26</v>
      </c>
      <c r="B74" s="1" t="str">
        <f>IFERROR(__xludf.DUMMYFUNCTION("""COMPUTED_VALUE"""),"cbbd92a5")</f>
        <v>cbbd92a5</v>
      </c>
      <c r="C74" s="1" t="str">
        <f>IFERROR(__xludf.DUMMYFUNCTION("""COMPUTED_VALUE"""),"f2959682")</f>
        <v>f2959682</v>
      </c>
      <c r="D74" s="1">
        <f>IFERROR(__xludf.DUMMYFUNCTION("""COMPUTED_VALUE"""),4.0)</f>
        <v>4</v>
      </c>
      <c r="E74" s="1">
        <f>IFERROR(__xludf.DUMMYFUNCTION("""COMPUTED_VALUE"""),1.0)</f>
        <v>1</v>
      </c>
      <c r="F74" s="1"/>
      <c r="G74" s="1"/>
      <c r="H74" s="1" t="str">
        <f t="array" ref="H74">IF(B74="","",
DATE(
YEAR(INDEX(Purchases_Import!$B:$B, MATCH(B74, Purchases_Import!$A:$A, 0))),
MONTH(INDEX(Purchases_Import!$B:$B, MATCH(B74, Purchases_Import!$A:$A, 0))),
1
))</f>
        <v>#N/A</v>
      </c>
      <c r="I74" s="2">
        <f t="shared" si="1"/>
        <v>4</v>
      </c>
    </row>
    <row r="75">
      <c r="A75" s="1" t="str">
        <f>IFERROR(__xludf.DUMMYFUNCTION("""COMPUTED_VALUE"""),"f33bcf06")</f>
        <v>f33bcf06</v>
      </c>
      <c r="B75" s="1" t="str">
        <f>IFERROR(__xludf.DUMMYFUNCTION("""COMPUTED_VALUE"""),"cbbd92a5")</f>
        <v>cbbd92a5</v>
      </c>
      <c r="C75" s="1" t="str">
        <f>IFERROR(__xludf.DUMMYFUNCTION("""COMPUTED_VALUE"""),"52149040")</f>
        <v>52149040</v>
      </c>
      <c r="D75" s="1">
        <f>IFERROR(__xludf.DUMMYFUNCTION("""COMPUTED_VALUE"""),1.0)</f>
        <v>1</v>
      </c>
      <c r="E75" s="1">
        <f>IFERROR(__xludf.DUMMYFUNCTION("""COMPUTED_VALUE"""),2.0)</f>
        <v>2</v>
      </c>
      <c r="F75" s="1"/>
      <c r="G75" s="1"/>
      <c r="H75" s="1" t="str">
        <f t="array" ref="H75">IF(B75="","",
DATE(
YEAR(INDEX(Purchases_Import!$B:$B, MATCH(B75, Purchases_Import!$A:$A, 0))),
MONTH(INDEX(Purchases_Import!$B:$B, MATCH(B75, Purchases_Import!$A:$A, 0))),
1
))</f>
        <v>#N/A</v>
      </c>
      <c r="I75" s="2">
        <f t="shared" si="1"/>
        <v>1</v>
      </c>
    </row>
    <row r="76">
      <c r="A76" s="1" t="str">
        <f>IFERROR(__xludf.DUMMYFUNCTION("""COMPUTED_VALUE"""),"d43b3074")</f>
        <v>d43b3074</v>
      </c>
      <c r="B76" s="1" t="str">
        <f>IFERROR(__xludf.DUMMYFUNCTION("""COMPUTED_VALUE"""),"b7328abe")</f>
        <v>b7328abe</v>
      </c>
      <c r="C76" s="1" t="str">
        <f>IFERROR(__xludf.DUMMYFUNCTION("""COMPUTED_VALUE"""),"f2959682")</f>
        <v>f2959682</v>
      </c>
      <c r="D76" s="1">
        <f>IFERROR(__xludf.DUMMYFUNCTION("""COMPUTED_VALUE"""),1.0)</f>
        <v>1</v>
      </c>
      <c r="E76" s="1">
        <f>IFERROR(__xludf.DUMMYFUNCTION("""COMPUTED_VALUE"""),1.0)</f>
        <v>1</v>
      </c>
      <c r="F76" s="1"/>
      <c r="G76" s="1"/>
      <c r="H76" s="1" t="str">
        <f t="array" ref="H76">IF(B76="","",
DATE(
YEAR(INDEX(Purchases_Import!$B:$B, MATCH(B76, Purchases_Import!$A:$A, 0))),
MONTH(INDEX(Purchases_Import!$B:$B, MATCH(B76, Purchases_Import!$A:$A, 0))),
1
))</f>
        <v>#N/A</v>
      </c>
      <c r="I76" s="2">
        <f t="shared" si="1"/>
        <v>1</v>
      </c>
    </row>
    <row r="77">
      <c r="A77" s="1" t="str">
        <f>IFERROR(__xludf.DUMMYFUNCTION("""COMPUTED_VALUE"""),"8eaa6e00")</f>
        <v>8eaa6e00</v>
      </c>
      <c r="B77" s="1" t="str">
        <f>IFERROR(__xludf.DUMMYFUNCTION("""COMPUTED_VALUE"""),"b7328abe")</f>
        <v>b7328abe</v>
      </c>
      <c r="C77" s="1" t="str">
        <f>IFERROR(__xludf.DUMMYFUNCTION("""COMPUTED_VALUE"""),"52149040")</f>
        <v>52149040</v>
      </c>
      <c r="D77" s="1">
        <f>IFERROR(__xludf.DUMMYFUNCTION("""COMPUTED_VALUE"""),1.0)</f>
        <v>1</v>
      </c>
      <c r="E77" s="1">
        <f>IFERROR(__xludf.DUMMYFUNCTION("""COMPUTED_VALUE"""),2.0)</f>
        <v>2</v>
      </c>
      <c r="F77" s="1"/>
      <c r="G77" s="1"/>
      <c r="H77" s="1" t="str">
        <f t="array" ref="H77">IF(B77="","",
DATE(
YEAR(INDEX(Purchases_Import!$B:$B, MATCH(B77, Purchases_Import!$A:$A, 0))),
MONTH(INDEX(Purchases_Import!$B:$B, MATCH(B77, Purchases_Import!$A:$A, 0))),
1
))</f>
        <v>#N/A</v>
      </c>
      <c r="I77" s="2">
        <f t="shared" si="1"/>
        <v>1</v>
      </c>
    </row>
    <row r="78">
      <c r="A78" s="1" t="str">
        <f>IFERROR(__xludf.DUMMYFUNCTION("""COMPUTED_VALUE"""),"5d3318a8")</f>
        <v>5d3318a8</v>
      </c>
      <c r="B78" s="1" t="str">
        <f>IFERROR(__xludf.DUMMYFUNCTION("""COMPUTED_VALUE"""),"0794e57a")</f>
        <v>0794e57a</v>
      </c>
      <c r="C78" s="1" t="str">
        <f>IFERROR(__xludf.DUMMYFUNCTION("""COMPUTED_VALUE"""),"0010")</f>
        <v>0010</v>
      </c>
      <c r="D78" s="1">
        <f>IFERROR(__xludf.DUMMYFUNCTION("""COMPUTED_VALUE"""),36.0)</f>
        <v>36</v>
      </c>
      <c r="E78" s="1">
        <f>IFERROR(__xludf.DUMMYFUNCTION("""COMPUTED_VALUE"""),5.83)</f>
        <v>5.83</v>
      </c>
      <c r="F78" s="1"/>
      <c r="G78" s="1"/>
      <c r="H78" s="29">
        <f t="array" ref="H78">IF(B78="","",
DATE(
YEAR(INDEX(Purchases_Import!$B:$B, MATCH(B78, Purchases_Import!$A:$A, 0))),
MONTH(INDEX(Purchases_Import!$B:$B, MATCH(B78, Purchases_Import!$A:$A, 0))),
1
))</f>
        <v>46023</v>
      </c>
      <c r="I78" s="2">
        <f t="shared" si="1"/>
        <v>36</v>
      </c>
    </row>
    <row r="79">
      <c r="A79" s="1" t="str">
        <f>IFERROR(__xludf.DUMMYFUNCTION("""COMPUTED_VALUE"""),"c5a49d31")</f>
        <v>c5a49d31</v>
      </c>
      <c r="B79" s="1" t="str">
        <f>IFERROR(__xludf.DUMMYFUNCTION("""COMPUTED_VALUE"""),"0794e57a")</f>
        <v>0794e57a</v>
      </c>
      <c r="C79" s="1" t="str">
        <f>IFERROR(__xludf.DUMMYFUNCTION("""COMPUTED_VALUE"""),"d0a21a3b")</f>
        <v>d0a21a3b</v>
      </c>
      <c r="D79" s="1">
        <f>IFERROR(__xludf.DUMMYFUNCTION("""COMPUTED_VALUE"""),30.0)</f>
        <v>30</v>
      </c>
      <c r="E79" s="1">
        <f>IFERROR(__xludf.DUMMYFUNCTION("""COMPUTED_VALUE"""),1.3)</f>
        <v>1.3</v>
      </c>
      <c r="F79" s="1"/>
      <c r="G79" s="1"/>
      <c r="H79" s="29">
        <f t="array" ref="H79">IF(B79="","",
DATE(
YEAR(INDEX(Purchases_Import!$B:$B, MATCH(B79, Purchases_Import!$A:$A, 0))),
MONTH(INDEX(Purchases_Import!$B:$B, MATCH(B79, Purchases_Import!$A:$A, 0))),
1
))</f>
        <v>46023</v>
      </c>
      <c r="I79" s="2">
        <f t="shared" si="1"/>
        <v>30</v>
      </c>
    </row>
    <row r="80">
      <c r="A80" s="1" t="str">
        <f>IFERROR(__xludf.DUMMYFUNCTION("""COMPUTED_VALUE"""),"4134d974")</f>
        <v>4134d974</v>
      </c>
      <c r="B80" s="1" t="str">
        <f>IFERROR(__xludf.DUMMYFUNCTION("""COMPUTED_VALUE"""),"0794e57a")</f>
        <v>0794e57a</v>
      </c>
      <c r="C80" s="1" t="str">
        <f>IFERROR(__xludf.DUMMYFUNCTION("""COMPUTED_VALUE"""),"2f2e7440")</f>
        <v>2f2e7440</v>
      </c>
      <c r="D80" s="1">
        <f>IFERROR(__xludf.DUMMYFUNCTION("""COMPUTED_VALUE"""),48.0)</f>
        <v>48</v>
      </c>
      <c r="E80" s="1"/>
      <c r="F80" s="1"/>
      <c r="G80" s="1"/>
      <c r="H80" s="29">
        <f t="array" ref="H80">IF(B80="","",
DATE(
YEAR(INDEX(Purchases_Import!$B:$B, MATCH(B80, Purchases_Import!$A:$A, 0))),
MONTH(INDEX(Purchases_Import!$B:$B, MATCH(B80, Purchases_Import!$A:$A, 0))),
1
))</f>
        <v>46023</v>
      </c>
      <c r="I80" s="2">
        <f t="shared" si="1"/>
        <v>48</v>
      </c>
    </row>
    <row r="81">
      <c r="A81" s="1" t="str">
        <f>IFERROR(__xludf.DUMMYFUNCTION("""COMPUTED_VALUE"""),"9dd0da57")</f>
        <v>9dd0da57</v>
      </c>
      <c r="B81" s="1" t="str">
        <f>IFERROR(__xludf.DUMMYFUNCTION("""COMPUTED_VALUE"""),"0794e57a")</f>
        <v>0794e57a</v>
      </c>
      <c r="C81" s="1" t="str">
        <f>IFERROR(__xludf.DUMMYFUNCTION("""COMPUTED_VALUE"""),"e28d366b")</f>
        <v>e28d366b</v>
      </c>
      <c r="D81" s="1">
        <f>IFERROR(__xludf.DUMMYFUNCTION("""COMPUTED_VALUE"""),18.0)</f>
        <v>18</v>
      </c>
      <c r="E81" s="1"/>
      <c r="F81" s="1"/>
      <c r="G81" s="1"/>
      <c r="H81" s="29">
        <f t="array" ref="H81">IF(B81="","",
DATE(
YEAR(INDEX(Purchases_Import!$B:$B, MATCH(B81, Purchases_Import!$A:$A, 0))),
MONTH(INDEX(Purchases_Import!$B:$B, MATCH(B81, Purchases_Import!$A:$A, 0))),
1
))</f>
        <v>46023</v>
      </c>
      <c r="I81" s="2">
        <f t="shared" si="1"/>
        <v>18</v>
      </c>
    </row>
    <row r="82">
      <c r="A82" s="1" t="str">
        <f>IFERROR(__xludf.DUMMYFUNCTION("""COMPUTED_VALUE"""),"5ea3041a")</f>
        <v>5ea3041a</v>
      </c>
      <c r="B82" s="1" t="str">
        <f>IFERROR(__xludf.DUMMYFUNCTION("""COMPUTED_VALUE"""),"0794e57a")</f>
        <v>0794e57a</v>
      </c>
      <c r="C82" s="1" t="str">
        <f>IFERROR(__xludf.DUMMYFUNCTION("""COMPUTED_VALUE"""),"6670c5c1")</f>
        <v>6670c5c1</v>
      </c>
      <c r="D82" s="1">
        <f>IFERROR(__xludf.DUMMYFUNCTION("""COMPUTED_VALUE"""),48.0)</f>
        <v>48</v>
      </c>
      <c r="E82" s="1">
        <f>IFERROR(__xludf.DUMMYFUNCTION("""COMPUTED_VALUE"""),1.75)</f>
        <v>1.75</v>
      </c>
      <c r="F82" s="1"/>
      <c r="G82" s="1"/>
      <c r="H82" s="29">
        <f t="array" ref="H82">IF(B82="","",
DATE(
YEAR(INDEX(Purchases_Import!$B:$B, MATCH(B82, Purchases_Import!$A:$A, 0))),
MONTH(INDEX(Purchases_Import!$B:$B, MATCH(B82, Purchases_Import!$A:$A, 0))),
1
))</f>
        <v>46023</v>
      </c>
      <c r="I82" s="2">
        <f t="shared" si="1"/>
        <v>48</v>
      </c>
    </row>
    <row r="83">
      <c r="A83" s="1" t="str">
        <f>IFERROR(__xludf.DUMMYFUNCTION("""COMPUTED_VALUE"""),"31b25b36")</f>
        <v>31b25b36</v>
      </c>
      <c r="B83" s="1" t="str">
        <f>IFERROR(__xludf.DUMMYFUNCTION("""COMPUTED_VALUE"""),"124eb9f1")</f>
        <v>124eb9f1</v>
      </c>
      <c r="C83" s="1" t="str">
        <f>IFERROR(__xludf.DUMMYFUNCTION("""COMPUTED_VALUE"""),"0030")</f>
        <v>0030</v>
      </c>
      <c r="D83" s="1">
        <f>IFERROR(__xludf.DUMMYFUNCTION("""COMPUTED_VALUE"""),24.0)</f>
        <v>24</v>
      </c>
      <c r="E83" s="1">
        <f>IFERROR(__xludf.DUMMYFUNCTION("""COMPUTED_VALUE"""),4.45)</f>
        <v>4.45</v>
      </c>
      <c r="F83" s="1"/>
      <c r="G83" s="1"/>
      <c r="H83" s="29">
        <f t="array" ref="H83">IF(B83="","",
DATE(
YEAR(INDEX(Purchases_Import!$B:$B, MATCH(B83, Purchases_Import!$A:$A, 0))),
MONTH(INDEX(Purchases_Import!$B:$B, MATCH(B83, Purchases_Import!$A:$A, 0))),
1
))</f>
        <v>46023</v>
      </c>
      <c r="I83" s="2">
        <f t="shared" si="1"/>
        <v>24</v>
      </c>
    </row>
    <row r="84">
      <c r="A84" s="1" t="str">
        <f>IFERROR(__xludf.DUMMYFUNCTION("""COMPUTED_VALUE"""),"022f9581")</f>
        <v>022f9581</v>
      </c>
      <c r="B84" s="1" t="str">
        <f>IFERROR(__xludf.DUMMYFUNCTION("""COMPUTED_VALUE"""),"124eb9f1")</f>
        <v>124eb9f1</v>
      </c>
      <c r="C84" s="1" t="str">
        <f>IFERROR(__xludf.DUMMYFUNCTION("""COMPUTED_VALUE"""),"0028")</f>
        <v>0028</v>
      </c>
      <c r="D84" s="1">
        <f>IFERROR(__xludf.DUMMYFUNCTION("""COMPUTED_VALUE"""),24.0)</f>
        <v>24</v>
      </c>
      <c r="E84" s="1">
        <f>IFERROR(__xludf.DUMMYFUNCTION("""COMPUTED_VALUE"""),4.45)</f>
        <v>4.45</v>
      </c>
      <c r="F84" s="1"/>
      <c r="G84" s="1"/>
      <c r="H84" s="29">
        <f t="array" ref="H84">IF(B84="","",
DATE(
YEAR(INDEX(Purchases_Import!$B:$B, MATCH(B84, Purchases_Import!$A:$A, 0))),
MONTH(INDEX(Purchases_Import!$B:$B, MATCH(B84, Purchases_Import!$A:$A, 0))),
1
))</f>
        <v>46023</v>
      </c>
      <c r="I84" s="2">
        <f t="shared" si="1"/>
        <v>24</v>
      </c>
    </row>
    <row r="85">
      <c r="A85" s="1" t="str">
        <f>IFERROR(__xludf.DUMMYFUNCTION("""COMPUTED_VALUE"""),"81b8928c")</f>
        <v>81b8928c</v>
      </c>
      <c r="B85" s="1" t="str">
        <f>IFERROR(__xludf.DUMMYFUNCTION("""COMPUTED_VALUE"""),"124eb9f1")</f>
        <v>124eb9f1</v>
      </c>
      <c r="C85" s="1" t="str">
        <f>IFERROR(__xludf.DUMMYFUNCTION("""COMPUTED_VALUE"""),"0014")</f>
        <v>0014</v>
      </c>
      <c r="D85" s="1">
        <f>IFERROR(__xludf.DUMMYFUNCTION("""COMPUTED_VALUE"""),30.0)</f>
        <v>30</v>
      </c>
      <c r="E85" s="1">
        <f>IFERROR(__xludf.DUMMYFUNCTION("""COMPUTED_VALUE"""),5.9)</f>
        <v>5.9</v>
      </c>
      <c r="F85" s="1"/>
      <c r="G85" s="1"/>
      <c r="H85" s="29">
        <f t="array" ref="H85">IF(B85="","",
DATE(
YEAR(INDEX(Purchases_Import!$B:$B, MATCH(B85, Purchases_Import!$A:$A, 0))),
MONTH(INDEX(Purchases_Import!$B:$B, MATCH(B85, Purchases_Import!$A:$A, 0))),
1
))</f>
        <v>46023</v>
      </c>
      <c r="I85" s="2">
        <f t="shared" si="1"/>
        <v>30</v>
      </c>
    </row>
    <row r="86">
      <c r="A86" s="1" t="str">
        <f>IFERROR(__xludf.DUMMYFUNCTION("""COMPUTED_VALUE"""),"9cf97388")</f>
        <v>9cf97388</v>
      </c>
      <c r="B86" s="1" t="str">
        <f>IFERROR(__xludf.DUMMYFUNCTION("""COMPUTED_VALUE"""),"124eb9f1")</f>
        <v>124eb9f1</v>
      </c>
      <c r="C86" s="1" t="str">
        <f>IFERROR(__xludf.DUMMYFUNCTION("""COMPUTED_VALUE"""),"0021")</f>
        <v>0021</v>
      </c>
      <c r="D86" s="1">
        <f>IFERROR(__xludf.DUMMYFUNCTION("""COMPUTED_VALUE"""),24.0)</f>
        <v>24</v>
      </c>
      <c r="E86" s="1">
        <f>IFERROR(__xludf.DUMMYFUNCTION("""COMPUTED_VALUE"""),2.25)</f>
        <v>2.25</v>
      </c>
      <c r="F86" s="1"/>
      <c r="G86" s="1"/>
      <c r="H86" s="29">
        <f t="array" ref="H86">IF(B86="","",
DATE(
YEAR(INDEX(Purchases_Import!$B:$B, MATCH(B86, Purchases_Import!$A:$A, 0))),
MONTH(INDEX(Purchases_Import!$B:$B, MATCH(B86, Purchases_Import!$A:$A, 0))),
1
))</f>
        <v>46023</v>
      </c>
      <c r="I86" s="2">
        <f t="shared" si="1"/>
        <v>24</v>
      </c>
    </row>
    <row r="87">
      <c r="A87" s="1" t="str">
        <f>IFERROR(__xludf.DUMMYFUNCTION("""COMPUTED_VALUE"""),"fa72bb29")</f>
        <v>fa72bb29</v>
      </c>
      <c r="B87" s="1" t="str">
        <f>IFERROR(__xludf.DUMMYFUNCTION("""COMPUTED_VALUE"""),"124eb9f1")</f>
        <v>124eb9f1</v>
      </c>
      <c r="C87" s="1" t="str">
        <f>IFERROR(__xludf.DUMMYFUNCTION("""COMPUTED_VALUE"""),"bb6c2490")</f>
        <v>bb6c2490</v>
      </c>
      <c r="D87" s="1">
        <f>IFERROR(__xludf.DUMMYFUNCTION("""COMPUTED_VALUE"""),18.0)</f>
        <v>18</v>
      </c>
      <c r="E87" s="1">
        <f>IFERROR(__xludf.DUMMYFUNCTION("""COMPUTED_VALUE"""),2.78)</f>
        <v>2.78</v>
      </c>
      <c r="F87" s="1"/>
      <c r="G87" s="1"/>
      <c r="H87" s="29">
        <f t="array" ref="H87">IF(B87="","",
DATE(
YEAR(INDEX(Purchases_Import!$B:$B, MATCH(B87, Purchases_Import!$A:$A, 0))),
MONTH(INDEX(Purchases_Import!$B:$B, MATCH(B87, Purchases_Import!$A:$A, 0))),
1
))</f>
        <v>46023</v>
      </c>
      <c r="I87" s="2">
        <f t="shared" si="1"/>
        <v>18</v>
      </c>
    </row>
    <row r="88">
      <c r="A88" s="1" t="str">
        <f>IFERROR(__xludf.DUMMYFUNCTION("""COMPUTED_VALUE"""),"10c1b220")</f>
        <v>10c1b220</v>
      </c>
      <c r="B88" s="1" t="str">
        <f>IFERROR(__xludf.DUMMYFUNCTION("""COMPUTED_VALUE"""),"a0fd0688")</f>
        <v>a0fd0688</v>
      </c>
      <c r="C88" s="1" t="str">
        <f>IFERROR(__xludf.DUMMYFUNCTION("""COMPUTED_VALUE"""),"0029")</f>
        <v>0029</v>
      </c>
      <c r="D88" s="1">
        <f>IFERROR(__xludf.DUMMYFUNCTION("""COMPUTED_VALUE"""),72.0)</f>
        <v>72</v>
      </c>
      <c r="E88" s="1">
        <f>IFERROR(__xludf.DUMMYFUNCTION("""COMPUTED_VALUE"""),2.25)</f>
        <v>2.25</v>
      </c>
      <c r="F88" s="1"/>
      <c r="G88" s="1"/>
      <c r="H88" s="29">
        <f t="array" ref="H88">IF(B88="","",
DATE(
YEAR(INDEX(Purchases_Import!$B:$B, MATCH(B88, Purchases_Import!$A:$A, 0))),
MONTH(INDEX(Purchases_Import!$B:$B, MATCH(B88, Purchases_Import!$A:$A, 0))),
1
))</f>
        <v>46023</v>
      </c>
      <c r="I88" s="2">
        <f t="shared" si="1"/>
        <v>72</v>
      </c>
    </row>
    <row r="89">
      <c r="A89" s="1" t="str">
        <f>IFERROR(__xludf.DUMMYFUNCTION("""COMPUTED_VALUE"""),"783245a1")</f>
        <v>783245a1</v>
      </c>
      <c r="B89" s="1" t="str">
        <f>IFERROR(__xludf.DUMMYFUNCTION("""COMPUTED_VALUE"""),"91e45f89")</f>
        <v>91e45f89</v>
      </c>
      <c r="C89" s="1" t="str">
        <f>IFERROR(__xludf.DUMMYFUNCTION("""COMPUTED_VALUE"""),"0002")</f>
        <v>0002</v>
      </c>
      <c r="D89" s="1">
        <f>IFERROR(__xludf.DUMMYFUNCTION("""COMPUTED_VALUE"""),36.0)</f>
        <v>36</v>
      </c>
      <c r="E89" s="1">
        <f>IFERROR(__xludf.DUMMYFUNCTION("""COMPUTED_VALUE"""),0.3)</f>
        <v>0.3</v>
      </c>
      <c r="F89" s="1"/>
      <c r="G89" s="1"/>
      <c r="H89" s="29">
        <f t="array" ref="H89">IF(B89="","",
DATE(
YEAR(INDEX(Purchases_Import!$B:$B, MATCH(B89, Purchases_Import!$A:$A, 0))),
MONTH(INDEX(Purchases_Import!$B:$B, MATCH(B89, Purchases_Import!$A:$A, 0))),
1
))</f>
        <v>46023</v>
      </c>
      <c r="I89" s="2">
        <f t="shared" si="1"/>
        <v>36</v>
      </c>
    </row>
    <row r="90">
      <c r="A90" s="1" t="str">
        <f>IFERROR(__xludf.DUMMYFUNCTION("""COMPUTED_VALUE"""),"ebb2d491")</f>
        <v>ebb2d491</v>
      </c>
      <c r="B90" s="1" t="str">
        <f>IFERROR(__xludf.DUMMYFUNCTION("""COMPUTED_VALUE"""),"e92c9a87")</f>
        <v>e92c9a87</v>
      </c>
      <c r="C90" s="1" t="str">
        <f>IFERROR(__xludf.DUMMYFUNCTION("""COMPUTED_VALUE"""),"e28d366b")</f>
        <v>e28d366b</v>
      </c>
      <c r="D90" s="1">
        <f>IFERROR(__xludf.DUMMYFUNCTION("""COMPUTED_VALUE"""),36.0)</f>
        <v>36</v>
      </c>
      <c r="E90" s="1"/>
      <c r="F90" s="1"/>
      <c r="G90" s="1"/>
      <c r="H90" s="29">
        <f t="array" ref="H90">IF(B90="","",
DATE(
YEAR(INDEX(Purchases_Import!$B:$B, MATCH(B90, Purchases_Import!$A:$A, 0))),
MONTH(INDEX(Purchases_Import!$B:$B, MATCH(B90, Purchases_Import!$A:$A, 0))),
1
))</f>
        <v>46023</v>
      </c>
      <c r="I90" s="2">
        <f t="shared" si="1"/>
        <v>36</v>
      </c>
    </row>
    <row r="91">
      <c r="A91" s="1" t="str">
        <f>IFERROR(__xludf.DUMMYFUNCTION("""COMPUTED_VALUE"""),"60a57440")</f>
        <v>60a57440</v>
      </c>
      <c r="B91" s="1" t="str">
        <f>IFERROR(__xludf.DUMMYFUNCTION("""COMPUTED_VALUE"""),"e92c9a87")</f>
        <v>e92c9a87</v>
      </c>
      <c r="C91" s="1" t="str">
        <f>IFERROR(__xludf.DUMMYFUNCTION("""COMPUTED_VALUE"""),"0012")</f>
        <v>0012</v>
      </c>
      <c r="D91" s="1">
        <f>IFERROR(__xludf.DUMMYFUNCTION("""COMPUTED_VALUE"""),105.0)</f>
        <v>105</v>
      </c>
      <c r="E91" s="1">
        <f>IFERROR(__xludf.DUMMYFUNCTION("""COMPUTED_VALUE"""),0.6)</f>
        <v>0.6</v>
      </c>
      <c r="F91" s="1"/>
      <c r="G91" s="1"/>
      <c r="H91" s="29">
        <f t="array" ref="H91">IF(B91="","",
DATE(
YEAR(INDEX(Purchases_Import!$B:$B, MATCH(B91, Purchases_Import!$A:$A, 0))),
MONTH(INDEX(Purchases_Import!$B:$B, MATCH(B91, Purchases_Import!$A:$A, 0))),
1
))</f>
        <v>46023</v>
      </c>
      <c r="I91" s="2">
        <f t="shared" si="1"/>
        <v>105</v>
      </c>
    </row>
    <row r="92">
      <c r="A92" s="1" t="str">
        <f>IFERROR(__xludf.DUMMYFUNCTION("""COMPUTED_VALUE"""),"b830236d")</f>
        <v>b830236d</v>
      </c>
      <c r="B92" s="1" t="str">
        <f>IFERROR(__xludf.DUMMYFUNCTION("""COMPUTED_VALUE"""),"e92c9a87")</f>
        <v>e92c9a87</v>
      </c>
      <c r="C92" s="1" t="str">
        <f>IFERROR(__xludf.DUMMYFUNCTION("""COMPUTED_VALUE"""),"567c0b27")</f>
        <v>567c0b27</v>
      </c>
      <c r="D92" s="1">
        <f>IFERROR(__xludf.DUMMYFUNCTION("""COMPUTED_VALUE"""),60.0)</f>
        <v>60</v>
      </c>
      <c r="E92" s="1">
        <f>IFERROR(__xludf.DUMMYFUNCTION("""COMPUTED_VALUE"""),0.43)</f>
        <v>0.43</v>
      </c>
      <c r="F92" s="1"/>
      <c r="G92" s="1"/>
      <c r="H92" s="29">
        <f t="array" ref="H92">IF(B92="","",
DATE(
YEAR(INDEX(Purchases_Import!$B:$B, MATCH(B92, Purchases_Import!$A:$A, 0))),
MONTH(INDEX(Purchases_Import!$B:$B, MATCH(B92, Purchases_Import!$A:$A, 0))),
1
))</f>
        <v>46023</v>
      </c>
      <c r="I92" s="2">
        <f t="shared" si="1"/>
        <v>60</v>
      </c>
    </row>
    <row r="93">
      <c r="A93" s="1" t="str">
        <f>IFERROR(__xludf.DUMMYFUNCTION("""COMPUTED_VALUE"""),"1d2784f1")</f>
        <v>1d2784f1</v>
      </c>
      <c r="B93" s="1" t="str">
        <f>IFERROR(__xludf.DUMMYFUNCTION("""COMPUTED_VALUE"""),"e92c9a87")</f>
        <v>e92c9a87</v>
      </c>
      <c r="C93" s="1" t="str">
        <f>IFERROR(__xludf.DUMMYFUNCTION("""COMPUTED_VALUE"""),"42987f9d")</f>
        <v>42987f9d</v>
      </c>
      <c r="D93" s="1">
        <f>IFERROR(__xludf.DUMMYFUNCTION("""COMPUTED_VALUE"""),24.0)</f>
        <v>24</v>
      </c>
      <c r="E93" s="1">
        <f>IFERROR(__xludf.DUMMYFUNCTION("""COMPUTED_VALUE"""),0.87)</f>
        <v>0.87</v>
      </c>
      <c r="F93" s="1"/>
      <c r="G93" s="1"/>
      <c r="H93" s="29">
        <f t="array" ref="H93">IF(B93="","",
DATE(
YEAR(INDEX(Purchases_Import!$B:$B, MATCH(B93, Purchases_Import!$A:$A, 0))),
MONTH(INDEX(Purchases_Import!$B:$B, MATCH(B93, Purchases_Import!$A:$A, 0))),
1
))</f>
        <v>46023</v>
      </c>
      <c r="I93" s="2">
        <f t="shared" si="1"/>
        <v>24</v>
      </c>
    </row>
    <row r="94">
      <c r="A94" s="1" t="str">
        <f>IFERROR(__xludf.DUMMYFUNCTION("""COMPUTED_VALUE"""),"64acca35")</f>
        <v>64acca35</v>
      </c>
      <c r="B94" s="1" t="str">
        <f>IFERROR(__xludf.DUMMYFUNCTION("""COMPUTED_VALUE"""),"e92c9a87")</f>
        <v>e92c9a87</v>
      </c>
      <c r="C94" s="1" t="str">
        <f>IFERROR(__xludf.DUMMYFUNCTION("""COMPUTED_VALUE"""),"b77b1c64")</f>
        <v>b77b1c64</v>
      </c>
      <c r="D94" s="1">
        <f>IFERROR(__xludf.DUMMYFUNCTION("""COMPUTED_VALUE"""),24.0)</f>
        <v>24</v>
      </c>
      <c r="E94" s="1">
        <f>IFERROR(__xludf.DUMMYFUNCTION("""COMPUTED_VALUE"""),1.58)</f>
        <v>1.58</v>
      </c>
      <c r="F94" s="1"/>
      <c r="G94" s="1"/>
      <c r="H94" s="29">
        <f t="array" ref="H94">IF(B94="","",
DATE(
YEAR(INDEX(Purchases_Import!$B:$B, MATCH(B94, Purchases_Import!$A:$A, 0))),
MONTH(INDEX(Purchases_Import!$B:$B, MATCH(B94, Purchases_Import!$A:$A, 0))),
1
))</f>
        <v>46023</v>
      </c>
      <c r="I94" s="2">
        <f t="shared" si="1"/>
        <v>24</v>
      </c>
    </row>
    <row r="95">
      <c r="A95" s="1" t="str">
        <f>IFERROR(__xludf.DUMMYFUNCTION("""COMPUTED_VALUE"""),"9c429b0f")</f>
        <v>9c429b0f</v>
      </c>
      <c r="B95" s="1" t="str">
        <f>IFERROR(__xludf.DUMMYFUNCTION("""COMPUTED_VALUE"""),"f083a594")</f>
        <v>f083a594</v>
      </c>
      <c r="C95" s="1" t="str">
        <f>IFERROR(__xludf.DUMMYFUNCTION("""COMPUTED_VALUE"""),"0002")</f>
        <v>0002</v>
      </c>
      <c r="D95" s="1">
        <f>IFERROR(__xludf.DUMMYFUNCTION("""COMPUTED_VALUE"""),360.0)</f>
        <v>360</v>
      </c>
      <c r="E95" s="1">
        <f>IFERROR(__xludf.DUMMYFUNCTION("""COMPUTED_VALUE"""),0.3)</f>
        <v>0.3</v>
      </c>
      <c r="F95" s="1"/>
      <c r="G95" s="1"/>
      <c r="H95" s="29">
        <f t="array" ref="H95">IF(B95="","",
DATE(
YEAR(INDEX(Purchases_Import!$B:$B, MATCH(B95, Purchases_Import!$A:$A, 0))),
MONTH(INDEX(Purchases_Import!$B:$B, MATCH(B95, Purchases_Import!$A:$A, 0))),
1
))</f>
        <v>46023</v>
      </c>
      <c r="I95" s="2">
        <f t="shared" si="1"/>
        <v>360</v>
      </c>
    </row>
    <row r="96">
      <c r="A96" s="1" t="str">
        <f>IFERROR(__xludf.DUMMYFUNCTION("""COMPUTED_VALUE"""),"9cfd915b")</f>
        <v>9cfd915b</v>
      </c>
      <c r="B96" s="1" t="str">
        <f>IFERROR(__xludf.DUMMYFUNCTION("""COMPUTED_VALUE"""),"89b6dac5")</f>
        <v>89b6dac5</v>
      </c>
      <c r="C96" s="1" t="str">
        <f>IFERROR(__xludf.DUMMYFUNCTION("""COMPUTED_VALUE"""),"e28d366b")</f>
        <v>e28d366b</v>
      </c>
      <c r="D96" s="1">
        <f>IFERROR(__xludf.DUMMYFUNCTION("""COMPUTED_VALUE"""),36.0)</f>
        <v>36</v>
      </c>
      <c r="E96" s="1"/>
      <c r="F96" s="1"/>
      <c r="G96" s="1"/>
      <c r="H96" s="29">
        <f t="array" ref="H96">IF(B96="","",
DATE(
YEAR(INDEX(Purchases_Import!$B:$B, MATCH(B96, Purchases_Import!$A:$A, 0))),
MONTH(INDEX(Purchases_Import!$B:$B, MATCH(B96, Purchases_Import!$A:$A, 0))),
1
))</f>
        <v>46023</v>
      </c>
      <c r="I96" s="2">
        <f t="shared" si="1"/>
        <v>36</v>
      </c>
    </row>
    <row r="97">
      <c r="A97" s="1" t="str">
        <f>IFERROR(__xludf.DUMMYFUNCTION("""COMPUTED_VALUE"""),"d40b18c9")</f>
        <v>d40b18c9</v>
      </c>
      <c r="B97" s="1" t="str">
        <f>IFERROR(__xludf.DUMMYFUNCTION("""COMPUTED_VALUE"""),"ac1c5cd1")</f>
        <v>ac1c5cd1</v>
      </c>
      <c r="C97" s="1" t="str">
        <f>IFERROR(__xludf.DUMMYFUNCTION("""COMPUTED_VALUE"""),"d5b5f9d1")</f>
        <v>d5b5f9d1</v>
      </c>
      <c r="D97" s="1">
        <f>IFERROR(__xludf.DUMMYFUNCTION("""COMPUTED_VALUE"""),30.0)</f>
        <v>30</v>
      </c>
      <c r="E97" s="1">
        <f>IFERROR(__xludf.DUMMYFUNCTION("""COMPUTED_VALUE"""),2.6)</f>
        <v>2.6</v>
      </c>
      <c r="F97" s="1"/>
      <c r="G97" s="1"/>
      <c r="H97" s="29">
        <f t="array" ref="H97">IF(B97="","",
DATE(
YEAR(INDEX(Purchases_Import!$B:$B, MATCH(B97, Purchases_Import!$A:$A, 0))),
MONTH(INDEX(Purchases_Import!$B:$B, MATCH(B97, Purchases_Import!$A:$A, 0))),
1
))</f>
        <v>46023</v>
      </c>
      <c r="I97" s="2">
        <f t="shared" si="1"/>
        <v>30</v>
      </c>
    </row>
    <row r="98">
      <c r="A98" s="1" t="str">
        <f>IFERROR(__xludf.DUMMYFUNCTION("""COMPUTED_VALUE"""),"e0f07051")</f>
        <v>e0f07051</v>
      </c>
      <c r="B98" s="1" t="str">
        <f>IFERROR(__xludf.DUMMYFUNCTION("""COMPUTED_VALUE"""),"ac1c5cd1")</f>
        <v>ac1c5cd1</v>
      </c>
      <c r="C98" s="1" t="str">
        <f>IFERROR(__xludf.DUMMYFUNCTION("""COMPUTED_VALUE"""),"0af806f8")</f>
        <v>0af806f8</v>
      </c>
      <c r="D98" s="1">
        <f>IFERROR(__xludf.DUMMYFUNCTION("""COMPUTED_VALUE"""),30.0)</f>
        <v>30</v>
      </c>
      <c r="E98" s="1">
        <f>IFERROR(__xludf.DUMMYFUNCTION("""COMPUTED_VALUE"""),2.66)</f>
        <v>2.66</v>
      </c>
      <c r="F98" s="1"/>
      <c r="G98" s="1"/>
      <c r="H98" s="29">
        <f t="array" ref="H98">IF(B98="","",
DATE(
YEAR(INDEX(Purchases_Import!$B:$B, MATCH(B98, Purchases_Import!$A:$A, 0))),
MONTH(INDEX(Purchases_Import!$B:$B, MATCH(B98, Purchases_Import!$A:$A, 0))),
1
))</f>
        <v>46023</v>
      </c>
      <c r="I98" s="2">
        <f t="shared" si="1"/>
        <v>30</v>
      </c>
    </row>
    <row r="99">
      <c r="A99" s="1" t="str">
        <f>IFERROR(__xludf.DUMMYFUNCTION("""COMPUTED_VALUE"""),"f618bca2")</f>
        <v>f618bca2</v>
      </c>
      <c r="B99" s="1" t="str">
        <f>IFERROR(__xludf.DUMMYFUNCTION("""COMPUTED_VALUE"""),"ac1c5cd1")</f>
        <v>ac1c5cd1</v>
      </c>
      <c r="C99" s="1" t="str">
        <f>IFERROR(__xludf.DUMMYFUNCTION("""COMPUTED_VALUE"""),"0001")</f>
        <v>0001</v>
      </c>
      <c r="D99" s="1">
        <f>IFERROR(__xludf.DUMMYFUNCTION("""COMPUTED_VALUE"""),45.0)</f>
        <v>45</v>
      </c>
      <c r="E99" s="1">
        <f>IFERROR(__xludf.DUMMYFUNCTION("""COMPUTED_VALUE"""),2.8)</f>
        <v>2.8</v>
      </c>
      <c r="F99" s="1"/>
      <c r="G99" s="1"/>
      <c r="H99" s="29">
        <f t="array" ref="H99">IF(B99="","",
DATE(
YEAR(INDEX(Purchases_Import!$B:$B, MATCH(B99, Purchases_Import!$A:$A, 0))),
MONTH(INDEX(Purchases_Import!$B:$B, MATCH(B99, Purchases_Import!$A:$A, 0))),
1
))</f>
        <v>46023</v>
      </c>
      <c r="I99" s="2">
        <f t="shared" si="1"/>
        <v>45</v>
      </c>
    </row>
    <row r="100">
      <c r="A100" s="1" t="str">
        <f>IFERROR(__xludf.DUMMYFUNCTION("""COMPUTED_VALUE"""),"be73bb30")</f>
        <v>be73bb30</v>
      </c>
      <c r="B100" s="1" t="str">
        <f>IFERROR(__xludf.DUMMYFUNCTION("""COMPUTED_VALUE"""),"ac1c5cd1")</f>
        <v>ac1c5cd1</v>
      </c>
      <c r="C100" s="1" t="str">
        <f>IFERROR(__xludf.DUMMYFUNCTION("""COMPUTED_VALUE"""),"0006")</f>
        <v>0006</v>
      </c>
      <c r="D100" s="1">
        <f>IFERROR(__xludf.DUMMYFUNCTION("""COMPUTED_VALUE"""),36.0)</f>
        <v>36</v>
      </c>
      <c r="E100" s="1">
        <f>IFERROR(__xludf.DUMMYFUNCTION("""COMPUTED_VALUE"""),3.08)</f>
        <v>3.08</v>
      </c>
      <c r="F100" s="1"/>
      <c r="G100" s="1"/>
      <c r="H100" s="29">
        <f t="array" ref="H100">IF(B100="","",
DATE(
YEAR(INDEX(Purchases_Import!$B:$B, MATCH(B100, Purchases_Import!$A:$A, 0))),
MONTH(INDEX(Purchases_Import!$B:$B, MATCH(B100, Purchases_Import!$A:$A, 0))),
1
))</f>
        <v>46023</v>
      </c>
      <c r="I100" s="2">
        <f t="shared" si="1"/>
        <v>36</v>
      </c>
    </row>
    <row r="101">
      <c r="A101" s="1" t="str">
        <f>IFERROR(__xludf.DUMMYFUNCTION("""COMPUTED_VALUE"""),"4f1a67cb")</f>
        <v>4f1a67cb</v>
      </c>
      <c r="B101" s="1" t="str">
        <f>IFERROR(__xludf.DUMMYFUNCTION("""COMPUTED_VALUE"""),"ac1c5cd1")</f>
        <v>ac1c5cd1</v>
      </c>
      <c r="C101" s="1" t="str">
        <f>IFERROR(__xludf.DUMMYFUNCTION("""COMPUTED_VALUE"""),"52c15a06")</f>
        <v>52c15a06</v>
      </c>
      <c r="D101" s="1">
        <f>IFERROR(__xludf.DUMMYFUNCTION("""COMPUTED_VALUE"""),36.0)</f>
        <v>36</v>
      </c>
      <c r="E101" s="1">
        <f>IFERROR(__xludf.DUMMYFUNCTION("""COMPUTED_VALUE"""),3.5)</f>
        <v>3.5</v>
      </c>
      <c r="F101" s="1"/>
      <c r="G101" s="1"/>
      <c r="H101" s="29">
        <f t="array" ref="H101">IF(B101="","",
DATE(
YEAR(INDEX(Purchases_Import!$B:$B, MATCH(B101, Purchases_Import!$A:$A, 0))),
MONTH(INDEX(Purchases_Import!$B:$B, MATCH(B101, Purchases_Import!$A:$A, 0))),
1
))</f>
        <v>46023</v>
      </c>
      <c r="I101" s="2">
        <f t="shared" si="1"/>
        <v>36</v>
      </c>
    </row>
    <row r="102">
      <c r="A102" s="1" t="str">
        <f>IFERROR(__xludf.DUMMYFUNCTION("""COMPUTED_VALUE"""),"01b7c755")</f>
        <v>01b7c755</v>
      </c>
      <c r="B102" s="1" t="str">
        <f>IFERROR(__xludf.DUMMYFUNCTION("""COMPUTED_VALUE"""),"ac1c5cd1")</f>
        <v>ac1c5cd1</v>
      </c>
      <c r="C102" s="1" t="str">
        <f>IFERROR(__xludf.DUMMYFUNCTION("""COMPUTED_VALUE"""),"0019")</f>
        <v>0019</v>
      </c>
      <c r="D102" s="1">
        <f>IFERROR(__xludf.DUMMYFUNCTION("""COMPUTED_VALUE"""),144.0)</f>
        <v>144</v>
      </c>
      <c r="E102" s="1">
        <f>IFERROR(__xludf.DUMMYFUNCTION("""COMPUTED_VALUE"""),1.33)</f>
        <v>1.33</v>
      </c>
      <c r="F102" s="1"/>
      <c r="G102" s="1"/>
      <c r="H102" s="29">
        <f t="array" ref="H102">IF(B102="","",
DATE(
YEAR(INDEX(Purchases_Import!$B:$B, MATCH(B102, Purchases_Import!$A:$A, 0))),
MONTH(INDEX(Purchases_Import!$B:$B, MATCH(B102, Purchases_Import!$A:$A, 0))),
1
))</f>
        <v>46023</v>
      </c>
      <c r="I102" s="2">
        <f t="shared" si="1"/>
        <v>144</v>
      </c>
    </row>
    <row r="103">
      <c r="A103" s="1" t="str">
        <f>IFERROR(__xludf.DUMMYFUNCTION("""COMPUTED_VALUE"""),"f5e6915e")</f>
        <v>f5e6915e</v>
      </c>
      <c r="B103" s="1" t="str">
        <f>IFERROR(__xludf.DUMMYFUNCTION("""COMPUTED_VALUE"""),"ac1c5cd1")</f>
        <v>ac1c5cd1</v>
      </c>
      <c r="C103" s="1" t="str">
        <f>IFERROR(__xludf.DUMMYFUNCTION("""COMPUTED_VALUE"""),"83dd14b5")</f>
        <v>83dd14b5</v>
      </c>
      <c r="D103" s="1">
        <f>IFERROR(__xludf.DUMMYFUNCTION("""COMPUTED_VALUE"""),96.0)</f>
        <v>96</v>
      </c>
      <c r="E103" s="1">
        <f>IFERROR(__xludf.DUMMYFUNCTION("""COMPUTED_VALUE"""),0.45)</f>
        <v>0.45</v>
      </c>
      <c r="F103" s="1"/>
      <c r="G103" s="1"/>
      <c r="H103" s="29">
        <f t="array" ref="H103">IF(B103="","",
DATE(
YEAR(INDEX(Purchases_Import!$B:$B, MATCH(B103, Purchases_Import!$A:$A, 0))),
MONTH(INDEX(Purchases_Import!$B:$B, MATCH(B103, Purchases_Import!$A:$A, 0))),
1
))</f>
        <v>46023</v>
      </c>
      <c r="I103" s="2">
        <f t="shared" si="1"/>
        <v>96</v>
      </c>
    </row>
    <row r="104">
      <c r="A104" s="1" t="str">
        <f>IFERROR(__xludf.DUMMYFUNCTION("""COMPUTED_VALUE"""),"9884f24d")</f>
        <v>9884f24d</v>
      </c>
      <c r="B104" s="1" t="str">
        <f>IFERROR(__xludf.DUMMYFUNCTION("""COMPUTED_VALUE"""),"ac1c5cd1")</f>
        <v>ac1c5cd1</v>
      </c>
      <c r="C104" s="1" t="str">
        <f>IFERROR(__xludf.DUMMYFUNCTION("""COMPUTED_VALUE"""),"bb6c2490")</f>
        <v>bb6c2490</v>
      </c>
      <c r="D104" s="1">
        <f>IFERROR(__xludf.DUMMYFUNCTION("""COMPUTED_VALUE"""),72.0)</f>
        <v>72</v>
      </c>
      <c r="E104" s="1">
        <f>IFERROR(__xludf.DUMMYFUNCTION("""COMPUTED_VALUE"""),2.78)</f>
        <v>2.78</v>
      </c>
      <c r="F104" s="1"/>
      <c r="G104" s="1"/>
      <c r="H104" s="29">
        <f t="array" ref="H104">IF(B104="","",
DATE(
YEAR(INDEX(Purchases_Import!$B:$B, MATCH(B104, Purchases_Import!$A:$A, 0))),
MONTH(INDEX(Purchases_Import!$B:$B, MATCH(B104, Purchases_Import!$A:$A, 0))),
1
))</f>
        <v>46023</v>
      </c>
      <c r="I104" s="2">
        <f t="shared" si="1"/>
        <v>72</v>
      </c>
    </row>
    <row r="105">
      <c r="A105" s="1" t="str">
        <f>IFERROR(__xludf.DUMMYFUNCTION("""COMPUTED_VALUE"""),"92321605")</f>
        <v>92321605</v>
      </c>
      <c r="B105" s="1" t="str">
        <f>IFERROR(__xludf.DUMMYFUNCTION("""COMPUTED_VALUE"""),"f7d5fa28")</f>
        <v>f7d5fa28</v>
      </c>
      <c r="C105" s="1" t="str">
        <f>IFERROR(__xludf.DUMMYFUNCTION("""COMPUTED_VALUE"""),"0021")</f>
        <v>0021</v>
      </c>
      <c r="D105" s="1">
        <f>IFERROR(__xludf.DUMMYFUNCTION("""COMPUTED_VALUE"""),72.0)</f>
        <v>72</v>
      </c>
      <c r="E105" s="1">
        <f>IFERROR(__xludf.DUMMYFUNCTION("""COMPUTED_VALUE"""),2.25)</f>
        <v>2.25</v>
      </c>
      <c r="F105" s="1"/>
      <c r="G105" s="1"/>
      <c r="H105" s="29">
        <f t="array" ref="H105">IF(B105="","",
DATE(
YEAR(INDEX(Purchases_Import!$B:$B, MATCH(B105, Purchases_Import!$A:$A, 0))),
MONTH(INDEX(Purchases_Import!$B:$B, MATCH(B105, Purchases_Import!$A:$A, 0))),
1
))</f>
        <v>46023</v>
      </c>
      <c r="I105" s="2">
        <f t="shared" si="1"/>
        <v>72</v>
      </c>
    </row>
    <row r="106">
      <c r="A106" s="1" t="str">
        <f>IFERROR(__xludf.DUMMYFUNCTION("""COMPUTED_VALUE"""),"3edc4001")</f>
        <v>3edc4001</v>
      </c>
      <c r="B106" s="1" t="str">
        <f>IFERROR(__xludf.DUMMYFUNCTION("""COMPUTED_VALUE"""),"4d039dc9")</f>
        <v>4d039dc9</v>
      </c>
      <c r="C106" s="1" t="str">
        <f>IFERROR(__xludf.DUMMYFUNCTION("""COMPUTED_VALUE"""),"0064")</f>
        <v>0064</v>
      </c>
      <c r="D106" s="1">
        <f>IFERROR(__xludf.DUMMYFUNCTION("""COMPUTED_VALUE"""),24.0)</f>
        <v>24</v>
      </c>
      <c r="E106" s="1">
        <f>IFERROR(__xludf.DUMMYFUNCTION("""COMPUTED_VALUE"""),2.08)</f>
        <v>2.08</v>
      </c>
      <c r="F106" s="1"/>
      <c r="G106" s="1"/>
      <c r="H106" s="29">
        <f t="array" ref="H106">IF(B106="","",
DATE(
YEAR(INDEX(Purchases_Import!$B:$B, MATCH(B106, Purchases_Import!$A:$A, 0))),
MONTH(INDEX(Purchases_Import!$B:$B, MATCH(B106, Purchases_Import!$A:$A, 0))),
1
))</f>
        <v>46023</v>
      </c>
      <c r="I106" s="2">
        <f t="shared" si="1"/>
        <v>24</v>
      </c>
    </row>
    <row r="107">
      <c r="A107" s="1" t="str">
        <f>IFERROR(__xludf.DUMMYFUNCTION("""COMPUTED_VALUE"""),"442c8b61")</f>
        <v>442c8b61</v>
      </c>
      <c r="B107" s="1" t="str">
        <f>IFERROR(__xludf.DUMMYFUNCTION("""COMPUTED_VALUE"""),"fdf7f301")</f>
        <v>fdf7f301</v>
      </c>
      <c r="C107" s="1" t="str">
        <f>IFERROR(__xludf.DUMMYFUNCTION("""COMPUTED_VALUE"""),"0021")</f>
        <v>0021</v>
      </c>
      <c r="D107" s="1">
        <f>IFERROR(__xludf.DUMMYFUNCTION("""COMPUTED_VALUE"""),24.0)</f>
        <v>24</v>
      </c>
      <c r="E107" s="1">
        <f>IFERROR(__xludf.DUMMYFUNCTION("""COMPUTED_VALUE"""),2.25)</f>
        <v>2.25</v>
      </c>
      <c r="F107" s="1"/>
      <c r="G107" s="1"/>
      <c r="H107" s="29">
        <f t="array" ref="H107">IF(B107="","",
DATE(
YEAR(INDEX(Purchases_Import!$B:$B, MATCH(B107, Purchases_Import!$A:$A, 0))),
MONTH(INDEX(Purchases_Import!$B:$B, MATCH(B107, Purchases_Import!$A:$A, 0))),
1
))</f>
        <v>46023</v>
      </c>
      <c r="I107" s="2">
        <f t="shared" si="1"/>
        <v>24</v>
      </c>
    </row>
    <row r="108">
      <c r="A108" s="1" t="str">
        <f>IFERROR(__xludf.DUMMYFUNCTION("""COMPUTED_VALUE"""),"f9fbc85e")</f>
        <v>f9fbc85e</v>
      </c>
      <c r="B108" s="1" t="str">
        <f>IFERROR(__xludf.DUMMYFUNCTION("""COMPUTED_VALUE"""),"fdf7f301")</f>
        <v>fdf7f301</v>
      </c>
      <c r="C108" s="1" t="str">
        <f>IFERROR(__xludf.DUMMYFUNCTION("""COMPUTED_VALUE"""),"ccaf1c68")</f>
        <v>ccaf1c68</v>
      </c>
      <c r="D108" s="1">
        <f>IFERROR(__xludf.DUMMYFUNCTION("""COMPUTED_VALUE"""),24.0)</f>
        <v>24</v>
      </c>
      <c r="E108" s="1">
        <f>IFERROR(__xludf.DUMMYFUNCTION("""COMPUTED_VALUE"""),1.9)</f>
        <v>1.9</v>
      </c>
      <c r="F108" s="1"/>
      <c r="G108" s="1"/>
      <c r="H108" s="29">
        <f t="array" ref="H108">IF(B108="","",
DATE(
YEAR(INDEX(Purchases_Import!$B:$B, MATCH(B108, Purchases_Import!$A:$A, 0))),
MONTH(INDEX(Purchases_Import!$B:$B, MATCH(B108, Purchases_Import!$A:$A, 0))),
1
))</f>
        <v>46023</v>
      </c>
      <c r="I108" s="2">
        <f t="shared" si="1"/>
        <v>24</v>
      </c>
    </row>
    <row r="109">
      <c r="A109" s="1" t="str">
        <f>IFERROR(__xludf.DUMMYFUNCTION("""COMPUTED_VALUE"""),"8020253f")</f>
        <v>8020253f</v>
      </c>
      <c r="B109" s="1" t="str">
        <f>IFERROR(__xludf.DUMMYFUNCTION("""COMPUTED_VALUE"""),"734ff3d1")</f>
        <v>734ff3d1</v>
      </c>
      <c r="C109" s="1" t="str">
        <f>IFERROR(__xludf.DUMMYFUNCTION("""COMPUTED_VALUE"""),"0011")</f>
        <v>0011</v>
      </c>
      <c r="D109" s="1">
        <f>IFERROR(__xludf.DUMMYFUNCTION("""COMPUTED_VALUE"""),72.0)</f>
        <v>72</v>
      </c>
      <c r="E109" s="1">
        <f>IFERROR(__xludf.DUMMYFUNCTION("""COMPUTED_VALUE"""),3.5)</f>
        <v>3.5</v>
      </c>
      <c r="F109" s="1"/>
      <c r="G109" s="1"/>
      <c r="H109" s="29">
        <f t="array" ref="H109">IF(B109="","",
DATE(
YEAR(INDEX(Purchases_Import!$B:$B, MATCH(B109, Purchases_Import!$A:$A, 0))),
MONTH(INDEX(Purchases_Import!$B:$B, MATCH(B109, Purchases_Import!$A:$A, 0))),
1
))</f>
        <v>46023</v>
      </c>
      <c r="I109" s="2">
        <f t="shared" si="1"/>
        <v>72</v>
      </c>
    </row>
    <row r="110">
      <c r="A110" s="1" t="str">
        <f>IFERROR(__xludf.DUMMYFUNCTION("""COMPUTED_VALUE"""),"a83e3d54")</f>
        <v>a83e3d54</v>
      </c>
      <c r="B110" s="1" t="str">
        <f>IFERROR(__xludf.DUMMYFUNCTION("""COMPUTED_VALUE"""),"1ce7341e")</f>
        <v>1ce7341e</v>
      </c>
      <c r="C110" s="1" t="str">
        <f>IFERROR(__xludf.DUMMYFUNCTION("""COMPUTED_VALUE"""),"0010")</f>
        <v>0010</v>
      </c>
      <c r="D110" s="1">
        <f>IFERROR(__xludf.DUMMYFUNCTION("""COMPUTED_VALUE"""),36.0)</f>
        <v>36</v>
      </c>
      <c r="E110" s="1">
        <f>IFERROR(__xludf.DUMMYFUNCTION("""COMPUTED_VALUE"""),5.83)</f>
        <v>5.83</v>
      </c>
      <c r="F110" s="1"/>
      <c r="G110" s="1"/>
      <c r="H110" s="29">
        <f t="array" ref="H110">IF(B110="","",
DATE(
YEAR(INDEX(Purchases_Import!$B:$B, MATCH(B110, Purchases_Import!$A:$A, 0))),
MONTH(INDEX(Purchases_Import!$B:$B, MATCH(B110, Purchases_Import!$A:$A, 0))),
1
))</f>
        <v>46023</v>
      </c>
      <c r="I110" s="2">
        <f t="shared" si="1"/>
        <v>36</v>
      </c>
    </row>
    <row r="111">
      <c r="A111" s="1" t="str">
        <f>IFERROR(__xludf.DUMMYFUNCTION("""COMPUTED_VALUE"""),"faeb48c7")</f>
        <v>faeb48c7</v>
      </c>
      <c r="B111" s="1" t="str">
        <f>IFERROR(__xludf.DUMMYFUNCTION("""COMPUTED_VALUE"""),"0bfbcdf8")</f>
        <v>0bfbcdf8</v>
      </c>
      <c r="C111" s="1" t="str">
        <f>IFERROR(__xludf.DUMMYFUNCTION("""COMPUTED_VALUE"""),"6670c5c1")</f>
        <v>6670c5c1</v>
      </c>
      <c r="D111" s="1">
        <f>IFERROR(__xludf.DUMMYFUNCTION("""COMPUTED_VALUE"""),24.0)</f>
        <v>24</v>
      </c>
      <c r="E111" s="1">
        <f>IFERROR(__xludf.DUMMYFUNCTION("""COMPUTED_VALUE"""),1.75)</f>
        <v>1.75</v>
      </c>
      <c r="F111" s="1"/>
      <c r="G111" s="1"/>
      <c r="H111" s="29">
        <f t="array" ref="H111">IF(B111="","",
DATE(
YEAR(INDEX(Purchases_Import!$B:$B, MATCH(B111, Purchases_Import!$A:$A, 0))),
MONTH(INDEX(Purchases_Import!$B:$B, MATCH(B111, Purchases_Import!$A:$A, 0))),
1
))</f>
        <v>46023</v>
      </c>
      <c r="I111" s="2">
        <f t="shared" si="1"/>
        <v>24</v>
      </c>
    </row>
    <row r="112">
      <c r="A112" s="1" t="str">
        <f>IFERROR(__xludf.DUMMYFUNCTION("""COMPUTED_VALUE"""),"32df60a4")</f>
        <v>32df60a4</v>
      </c>
      <c r="B112" s="1" t="str">
        <f>IFERROR(__xludf.DUMMYFUNCTION("""COMPUTED_VALUE"""),"6a3aa8bd")</f>
        <v>6a3aa8bd</v>
      </c>
      <c r="C112" s="1" t="str">
        <f>IFERROR(__xludf.DUMMYFUNCTION("""COMPUTED_VALUE"""),"0086")</f>
        <v>0086</v>
      </c>
      <c r="D112" s="1">
        <f>IFERROR(__xludf.DUMMYFUNCTION("""COMPUTED_VALUE"""),20.0)</f>
        <v>20</v>
      </c>
      <c r="E112" s="1">
        <f>IFERROR(__xludf.DUMMYFUNCTION("""COMPUTED_VALUE"""),4.7)</f>
        <v>4.7</v>
      </c>
      <c r="F112" s="1"/>
      <c r="G112" s="1"/>
      <c r="H112" s="29">
        <f t="array" ref="H112">IF(B112="","",
DATE(
YEAR(INDEX(Purchases_Import!$B:$B, MATCH(B112, Purchases_Import!$A:$A, 0))),
MONTH(INDEX(Purchases_Import!$B:$B, MATCH(B112, Purchases_Import!$A:$A, 0))),
1
))</f>
        <v>46023</v>
      </c>
      <c r="I112" s="2">
        <f t="shared" si="1"/>
        <v>20</v>
      </c>
    </row>
    <row r="113">
      <c r="A113" s="1" t="str">
        <f>IFERROR(__xludf.DUMMYFUNCTION("""COMPUTED_VALUE"""),"a1a1584a")</f>
        <v>a1a1584a</v>
      </c>
      <c r="B113" s="1" t="str">
        <f>IFERROR(__xludf.DUMMYFUNCTION("""COMPUTED_VALUE"""),"a20743b8")</f>
        <v>a20743b8</v>
      </c>
      <c r="C113" s="1" t="str">
        <f>IFERROR(__xludf.DUMMYFUNCTION("""COMPUTED_VALUE"""),"0086")</f>
        <v>0086</v>
      </c>
      <c r="D113" s="1">
        <f>IFERROR(__xludf.DUMMYFUNCTION("""COMPUTED_VALUE"""),60.0)</f>
        <v>60</v>
      </c>
      <c r="E113" s="1">
        <f>IFERROR(__xludf.DUMMYFUNCTION("""COMPUTED_VALUE"""),4.7)</f>
        <v>4.7</v>
      </c>
      <c r="F113" s="1"/>
      <c r="G113" s="1"/>
      <c r="H113" s="29">
        <f t="array" ref="H113">IF(B113="","",
DATE(
YEAR(INDEX(Purchases_Import!$B:$B, MATCH(B113, Purchases_Import!$A:$A, 0))),
MONTH(INDEX(Purchases_Import!$B:$B, MATCH(B113, Purchases_Import!$A:$A, 0))),
1
))</f>
        <v>46023</v>
      </c>
      <c r="I113" s="2">
        <f t="shared" si="1"/>
        <v>60</v>
      </c>
    </row>
    <row r="114">
      <c r="A114" s="1" t="str">
        <f>IFERROR(__xludf.DUMMYFUNCTION("""COMPUTED_VALUE"""),"bea62b0f")</f>
        <v>bea62b0f</v>
      </c>
      <c r="B114" s="1" t="str">
        <f>IFERROR(__xludf.DUMMYFUNCTION("""COMPUTED_VALUE"""),"ed3a5920")</f>
        <v>ed3a5920</v>
      </c>
      <c r="C114" s="1" t="str">
        <f>IFERROR(__xludf.DUMMYFUNCTION("""COMPUTED_VALUE"""),"0029")</f>
        <v>0029</v>
      </c>
      <c r="D114" s="1">
        <f>IFERROR(__xludf.DUMMYFUNCTION("""COMPUTED_VALUE"""),24.0)</f>
        <v>24</v>
      </c>
      <c r="E114" s="1">
        <f>IFERROR(__xludf.DUMMYFUNCTION("""COMPUTED_VALUE"""),2.25)</f>
        <v>2.25</v>
      </c>
      <c r="F114" s="1"/>
      <c r="G114" s="1"/>
      <c r="H114" s="29">
        <f t="array" ref="H114">IF(B114="","",
DATE(
YEAR(INDEX(Purchases_Import!$B:$B, MATCH(B114, Purchases_Import!$A:$A, 0))),
MONTH(INDEX(Purchases_Import!$B:$B, MATCH(B114, Purchases_Import!$A:$A, 0))),
1
))</f>
        <v>46023</v>
      </c>
      <c r="I114" s="2">
        <f t="shared" si="1"/>
        <v>24</v>
      </c>
    </row>
    <row r="115">
      <c r="A115" s="1" t="str">
        <f>IFERROR(__xludf.DUMMYFUNCTION("""COMPUTED_VALUE"""),"90cdcf72")</f>
        <v>90cdcf72</v>
      </c>
      <c r="B115" s="1" t="str">
        <f>IFERROR(__xludf.DUMMYFUNCTION("""COMPUTED_VALUE"""),"95c7360c")</f>
        <v>95c7360c</v>
      </c>
      <c r="C115" s="1" t="str">
        <f>IFERROR(__xludf.DUMMYFUNCTION("""COMPUTED_VALUE"""),"95c3e2cf")</f>
        <v>95c3e2cf</v>
      </c>
      <c r="D115" s="1">
        <f>IFERROR(__xludf.DUMMYFUNCTION("""COMPUTED_VALUE"""),20.0)</f>
        <v>20</v>
      </c>
      <c r="E115" s="1"/>
      <c r="F115" s="1"/>
      <c r="G115" s="1"/>
      <c r="H115" s="29">
        <f t="array" ref="H115">IF(B115="","",
DATE(
YEAR(INDEX(Purchases_Import!$B:$B, MATCH(B115, Purchases_Import!$A:$A, 0))),
MONTH(INDEX(Purchases_Import!$B:$B, MATCH(B115, Purchases_Import!$A:$A, 0))),
1
))</f>
        <v>46023</v>
      </c>
      <c r="I115" s="2">
        <f t="shared" si="1"/>
        <v>20</v>
      </c>
    </row>
    <row r="116">
      <c r="A116" s="1" t="str">
        <f>IFERROR(__xludf.DUMMYFUNCTION("""COMPUTED_VALUE"""),"d30ad69b")</f>
        <v>d30ad69b</v>
      </c>
      <c r="B116" s="1" t="str">
        <f>IFERROR(__xludf.DUMMYFUNCTION("""COMPUTED_VALUE"""),"b3935ba3")</f>
        <v>b3935ba3</v>
      </c>
      <c r="C116" s="1" t="str">
        <f>IFERROR(__xludf.DUMMYFUNCTION("""COMPUTED_VALUE"""),"78233e6f")</f>
        <v>78233e6f</v>
      </c>
      <c r="D116" s="1">
        <f>IFERROR(__xludf.DUMMYFUNCTION("""COMPUTED_VALUE"""),24.0)</f>
        <v>24</v>
      </c>
      <c r="E116" s="1">
        <f>IFERROR(__xludf.DUMMYFUNCTION("""COMPUTED_VALUE"""),3.17)</f>
        <v>3.17</v>
      </c>
      <c r="F116" s="1"/>
      <c r="G116" s="1"/>
      <c r="H116" s="29">
        <f t="array" ref="H116">IF(B116="","",
DATE(
YEAR(INDEX(Purchases_Import!$B:$B, MATCH(B116, Purchases_Import!$A:$A, 0))),
MONTH(INDEX(Purchases_Import!$B:$B, MATCH(B116, Purchases_Import!$A:$A, 0))),
1
))</f>
        <v>46023</v>
      </c>
      <c r="I116" s="2">
        <f t="shared" si="1"/>
        <v>24</v>
      </c>
    </row>
    <row r="117">
      <c r="A117" s="1" t="str">
        <f>IFERROR(__xludf.DUMMYFUNCTION("""COMPUTED_VALUE"""),"90b6058c")</f>
        <v>90b6058c</v>
      </c>
      <c r="B117" s="1" t="str">
        <f>IFERROR(__xludf.DUMMYFUNCTION("""COMPUTED_VALUE"""),"41556c2c")</f>
        <v>41556c2c</v>
      </c>
      <c r="C117" s="1" t="str">
        <f>IFERROR(__xludf.DUMMYFUNCTION("""COMPUTED_VALUE"""),"0003")</f>
        <v>0003</v>
      </c>
      <c r="D117" s="1">
        <f>IFERROR(__xludf.DUMMYFUNCTION("""COMPUTED_VALUE"""),25.0)</f>
        <v>25</v>
      </c>
      <c r="E117" s="1">
        <f>IFERROR(__xludf.DUMMYFUNCTION("""COMPUTED_VALUE"""),4.88)</f>
        <v>4.88</v>
      </c>
      <c r="F117" s="1"/>
      <c r="G117" s="1"/>
      <c r="H117" s="29">
        <f t="array" ref="H117">IF(B117="","",
DATE(
YEAR(INDEX(Purchases_Import!$B:$B, MATCH(B117, Purchases_Import!$A:$A, 0))),
MONTH(INDEX(Purchases_Import!$B:$B, MATCH(B117, Purchases_Import!$A:$A, 0))),
1
))</f>
        <v>46023</v>
      </c>
      <c r="I117" s="2">
        <f t="shared" si="1"/>
        <v>25</v>
      </c>
    </row>
    <row r="118">
      <c r="A118" s="1" t="str">
        <f>IFERROR(__xludf.DUMMYFUNCTION("""COMPUTED_VALUE"""),"27dd939e")</f>
        <v>27dd939e</v>
      </c>
      <c r="B118" s="1" t="str">
        <f>IFERROR(__xludf.DUMMYFUNCTION("""COMPUTED_VALUE"""),"14f9bebd")</f>
        <v>14f9bebd</v>
      </c>
      <c r="C118" s="1" t="str">
        <f>IFERROR(__xludf.DUMMYFUNCTION("""COMPUTED_VALUE"""),"0002")</f>
        <v>0002</v>
      </c>
      <c r="D118" s="1">
        <f>IFERROR(__xludf.DUMMYFUNCTION("""COMPUTED_VALUE"""),300.0)</f>
        <v>300</v>
      </c>
      <c r="E118" s="1">
        <f>IFERROR(__xludf.DUMMYFUNCTION("""COMPUTED_VALUE"""),0.3)</f>
        <v>0.3</v>
      </c>
      <c r="F118" s="1"/>
      <c r="G118" s="1"/>
      <c r="H118" s="29">
        <f t="array" ref="H118">IF(B118="","",
DATE(
YEAR(INDEX(Purchases_Import!$B:$B, MATCH(B118, Purchases_Import!$A:$A, 0))),
MONTH(INDEX(Purchases_Import!$B:$B, MATCH(B118, Purchases_Import!$A:$A, 0))),
1
))</f>
        <v>46023</v>
      </c>
      <c r="I118" s="2">
        <f t="shared" si="1"/>
        <v>300</v>
      </c>
    </row>
    <row r="119">
      <c r="A119" s="1" t="str">
        <f>IFERROR(__xludf.DUMMYFUNCTION("""COMPUTED_VALUE"""),"bcbbfa96")</f>
        <v>bcbbfa96</v>
      </c>
      <c r="B119" s="1" t="str">
        <f>IFERROR(__xludf.DUMMYFUNCTION("""COMPUTED_VALUE"""),"74a12150")</f>
        <v>74a12150</v>
      </c>
      <c r="C119" s="1" t="str">
        <f>IFERROR(__xludf.DUMMYFUNCTION("""COMPUTED_VALUE"""),"0021")</f>
        <v>0021</v>
      </c>
      <c r="D119" s="1">
        <f>IFERROR(__xludf.DUMMYFUNCTION("""COMPUTED_VALUE"""),24.0)</f>
        <v>24</v>
      </c>
      <c r="E119" s="1">
        <f>IFERROR(__xludf.DUMMYFUNCTION("""COMPUTED_VALUE"""),2.25)</f>
        <v>2.25</v>
      </c>
      <c r="F119" s="1"/>
      <c r="G119" s="1"/>
      <c r="H119" s="29">
        <f t="array" ref="H119">IF(B119="","",
DATE(
YEAR(INDEX(Purchases_Import!$B:$B, MATCH(B119, Purchases_Import!$A:$A, 0))),
MONTH(INDEX(Purchases_Import!$B:$B, MATCH(B119, Purchases_Import!$A:$A, 0))),
1
))</f>
        <v>46023</v>
      </c>
      <c r="I119" s="2">
        <f t="shared" si="1"/>
        <v>24</v>
      </c>
    </row>
    <row r="120">
      <c r="A120" s="1" t="str">
        <f>IFERROR(__xludf.DUMMYFUNCTION("""COMPUTED_VALUE"""),"9f5106e7")</f>
        <v>9f5106e7</v>
      </c>
      <c r="B120" s="1" t="str">
        <f>IFERROR(__xludf.DUMMYFUNCTION("""COMPUTED_VALUE"""),"c0422ab4")</f>
        <v>c0422ab4</v>
      </c>
      <c r="C120" s="1" t="str">
        <f>IFERROR(__xludf.DUMMYFUNCTION("""COMPUTED_VALUE"""),"bb6c2490")</f>
        <v>bb6c2490</v>
      </c>
      <c r="D120" s="1">
        <f>IFERROR(__xludf.DUMMYFUNCTION("""COMPUTED_VALUE"""),36.0)</f>
        <v>36</v>
      </c>
      <c r="E120" s="1">
        <f>IFERROR(__xludf.DUMMYFUNCTION("""COMPUTED_VALUE"""),2.78)</f>
        <v>2.78</v>
      </c>
      <c r="F120" s="1"/>
      <c r="G120" s="1"/>
      <c r="H120" s="29">
        <f t="array" ref="H120">IF(B120="","",
DATE(
YEAR(INDEX(Purchases_Import!$B:$B, MATCH(B120, Purchases_Import!$A:$A, 0))),
MONTH(INDEX(Purchases_Import!$B:$B, MATCH(B120, Purchases_Import!$A:$A, 0))),
1
))</f>
        <v>46023</v>
      </c>
      <c r="I120" s="2">
        <f t="shared" si="1"/>
        <v>36</v>
      </c>
    </row>
    <row r="121">
      <c r="A121" s="1" t="str">
        <f>IFERROR(__xludf.DUMMYFUNCTION("""COMPUTED_VALUE"""),"eb1a5eb3")</f>
        <v>eb1a5eb3</v>
      </c>
      <c r="B121" s="1" t="str">
        <f>IFERROR(__xludf.DUMMYFUNCTION("""COMPUTED_VALUE"""),"fc17b57a")</f>
        <v>fc17b57a</v>
      </c>
      <c r="C121" s="1" t="str">
        <f>IFERROR(__xludf.DUMMYFUNCTION("""COMPUTED_VALUE"""),"0021")</f>
        <v>0021</v>
      </c>
      <c r="D121" s="1">
        <f>IFERROR(__xludf.DUMMYFUNCTION("""COMPUTED_VALUE"""),72.0)</f>
        <v>72</v>
      </c>
      <c r="E121" s="1">
        <f>IFERROR(__xludf.DUMMYFUNCTION("""COMPUTED_VALUE"""),2.25)</f>
        <v>2.25</v>
      </c>
      <c r="F121" s="1"/>
      <c r="G121" s="1"/>
      <c r="H121" s="29">
        <f t="array" ref="H121">IF(B121="","",
DATE(
YEAR(INDEX(Purchases_Import!$B:$B, MATCH(B121, Purchases_Import!$A:$A, 0))),
MONTH(INDEX(Purchases_Import!$B:$B, MATCH(B121, Purchases_Import!$A:$A, 0))),
1
))</f>
        <v>46023</v>
      </c>
      <c r="I121" s="2">
        <f t="shared" si="1"/>
        <v>72</v>
      </c>
    </row>
    <row r="122">
      <c r="A122" s="1" t="str">
        <f>IFERROR(__xludf.DUMMYFUNCTION("""COMPUTED_VALUE"""),"f2d78c90")</f>
        <v>f2d78c90</v>
      </c>
      <c r="B122" s="1" t="str">
        <f>IFERROR(__xludf.DUMMYFUNCTION("""COMPUTED_VALUE"""),"fe1e1aa7")</f>
        <v>fe1e1aa7</v>
      </c>
      <c r="C122" s="1" t="str">
        <f>IFERROR(__xludf.DUMMYFUNCTION("""COMPUTED_VALUE"""),"f2959682")</f>
        <v>f2959682</v>
      </c>
      <c r="D122" s="1"/>
      <c r="E122" s="1">
        <f>IFERROR(__xludf.DUMMYFUNCTION("""COMPUTED_VALUE"""),1.0)</f>
        <v>1</v>
      </c>
      <c r="F122" s="1"/>
      <c r="G122" s="1"/>
      <c r="H122" s="29">
        <f t="array" ref="H122">IF(B122="","",
DATE(
YEAR(INDEX(Purchases_Import!$B:$B, MATCH(B122, Purchases_Import!$A:$A, 0))),
MONTH(INDEX(Purchases_Import!$B:$B, MATCH(B122, Purchases_Import!$A:$A, 0))),
1
))</f>
        <v>46054</v>
      </c>
      <c r="I122" s="2" t="str">
        <f t="shared" si="1"/>
        <v/>
      </c>
    </row>
    <row r="123">
      <c r="A123" s="1" t="str">
        <f>IFERROR(__xludf.DUMMYFUNCTION("""COMPUTED_VALUE"""),"e0b146a0")</f>
        <v>e0b146a0</v>
      </c>
      <c r="B123" s="1" t="str">
        <f>IFERROR(__xludf.DUMMYFUNCTION("""COMPUTED_VALUE"""),"6fd29f74")</f>
        <v>6fd29f74</v>
      </c>
      <c r="C123" s="1" t="str">
        <f>IFERROR(__xludf.DUMMYFUNCTION("""COMPUTED_VALUE"""),"f2959682")</f>
        <v>f2959682</v>
      </c>
      <c r="D123" s="1"/>
      <c r="E123" s="1">
        <f>IFERROR(__xludf.DUMMYFUNCTION("""COMPUTED_VALUE"""),1.0)</f>
        <v>1</v>
      </c>
      <c r="F123" s="1"/>
      <c r="G123" s="1"/>
      <c r="H123" s="29">
        <f t="array" ref="H123">IF(B123="","",
DATE(
YEAR(INDEX(Purchases_Import!$B:$B, MATCH(B123, Purchases_Import!$A:$A, 0))),
MONTH(INDEX(Purchases_Import!$B:$B, MATCH(B123, Purchases_Import!$A:$A, 0))),
1
))</f>
        <v>46023</v>
      </c>
      <c r="I123" s="2" t="str">
        <f t="shared" si="1"/>
        <v/>
      </c>
    </row>
    <row r="124">
      <c r="A124" s="1" t="str">
        <f>IFERROR(__xludf.DUMMYFUNCTION("""COMPUTED_VALUE"""),"2ef7c6a9")</f>
        <v>2ef7c6a9</v>
      </c>
      <c r="B124" s="1" t="str">
        <f>IFERROR(__xludf.DUMMYFUNCTION("""COMPUTED_VALUE"""),"cfbae1fe")</f>
        <v>cfbae1fe</v>
      </c>
      <c r="C124" s="1" t="str">
        <f>IFERROR(__xludf.DUMMYFUNCTION("""COMPUTED_VALUE"""),"f2959682")</f>
        <v>f2959682</v>
      </c>
      <c r="D124" s="1">
        <f>IFERROR(__xludf.DUMMYFUNCTION("""COMPUTED_VALUE"""),150.0)</f>
        <v>150</v>
      </c>
      <c r="E124" s="1">
        <f>IFERROR(__xludf.DUMMYFUNCTION("""COMPUTED_VALUE"""),1.0)</f>
        <v>1</v>
      </c>
      <c r="F124" s="1"/>
      <c r="G124" s="1"/>
      <c r="H124" s="29">
        <f t="array" ref="H124">IF(B124="","",
DATE(
YEAR(INDEX(Purchases_Import!$B:$B, MATCH(B124, Purchases_Import!$A:$A, 0))),
MONTH(INDEX(Purchases_Import!$B:$B, MATCH(B124, Purchases_Import!$A:$A, 0))),
1
))</f>
        <v>46023</v>
      </c>
      <c r="I124" s="2">
        <f t="shared" si="1"/>
        <v>150</v>
      </c>
    </row>
    <row r="125">
      <c r="A125" s="1" t="str">
        <f>IFERROR(__xludf.DUMMYFUNCTION("""COMPUTED_VALUE"""),"b0346496")</f>
        <v>b0346496</v>
      </c>
      <c r="B125" s="1" t="str">
        <f>IFERROR(__xludf.DUMMYFUNCTION("""COMPUTED_VALUE"""),"afbcc7d1")</f>
        <v>afbcc7d1</v>
      </c>
      <c r="C125" s="1" t="str">
        <f>IFERROR(__xludf.DUMMYFUNCTION("""COMPUTED_VALUE"""),"f2959682")</f>
        <v>f2959682</v>
      </c>
      <c r="D125" s="1"/>
      <c r="E125" s="1">
        <f>IFERROR(__xludf.DUMMYFUNCTION("""COMPUTED_VALUE"""),1.0)</f>
        <v>1</v>
      </c>
      <c r="F125" s="1"/>
      <c r="G125" s="1"/>
      <c r="H125" s="29">
        <f t="array" ref="H125">IF(B125="","",
DATE(
YEAR(INDEX(Purchases_Import!$B:$B, MATCH(B125, Purchases_Import!$A:$A, 0))),
MONTH(INDEX(Purchases_Import!$B:$B, MATCH(B125, Purchases_Import!$A:$A, 0))),
1
))</f>
        <v>46023</v>
      </c>
      <c r="I125" s="2" t="str">
        <f t="shared" si="1"/>
        <v/>
      </c>
    </row>
    <row r="126">
      <c r="A126" s="1" t="str">
        <f>IFERROR(__xludf.DUMMYFUNCTION("""COMPUTED_VALUE"""),"da40e9b8")</f>
        <v>da40e9b8</v>
      </c>
      <c r="B126" s="1" t="str">
        <f>IFERROR(__xludf.DUMMYFUNCTION("""COMPUTED_VALUE"""),"a325dbef")</f>
        <v>a325dbef</v>
      </c>
      <c r="C126" s="1" t="str">
        <f>IFERROR(__xludf.DUMMYFUNCTION("""COMPUTED_VALUE"""),"f2959682")</f>
        <v>f2959682</v>
      </c>
      <c r="D126" s="1"/>
      <c r="E126" s="1">
        <f>IFERROR(__xludf.DUMMYFUNCTION("""COMPUTED_VALUE"""),1.0)</f>
        <v>1</v>
      </c>
      <c r="F126" s="1"/>
      <c r="G126" s="1"/>
      <c r="H126" s="29">
        <f t="array" ref="H126">IF(B126="","",
DATE(
YEAR(INDEX(Purchases_Import!$B:$B, MATCH(B126, Purchases_Import!$A:$A, 0))),
MONTH(INDEX(Purchases_Import!$B:$B, MATCH(B126, Purchases_Import!$A:$A, 0))),
1
))</f>
        <v>46054</v>
      </c>
      <c r="I126" s="2" t="str">
        <f t="shared" si="1"/>
        <v/>
      </c>
    </row>
    <row r="127">
      <c r="A127" s="1" t="str">
        <f>IFERROR(__xludf.DUMMYFUNCTION("""COMPUTED_VALUE"""),"e9653578")</f>
        <v>e9653578</v>
      </c>
      <c r="B127" s="1" t="str">
        <f>IFERROR(__xludf.DUMMYFUNCTION("""COMPUTED_VALUE"""),"c6aff753")</f>
        <v>c6aff753</v>
      </c>
      <c r="C127" s="1" t="str">
        <f>IFERROR(__xludf.DUMMYFUNCTION("""COMPUTED_VALUE"""),"f2959682")</f>
        <v>f2959682</v>
      </c>
      <c r="D127" s="1">
        <f>IFERROR(__xludf.DUMMYFUNCTION("""COMPUTED_VALUE"""),1.0)</f>
        <v>1</v>
      </c>
      <c r="E127" s="1">
        <f>IFERROR(__xludf.DUMMYFUNCTION("""COMPUTED_VALUE"""),1.0)</f>
        <v>1</v>
      </c>
      <c r="F127" s="1"/>
      <c r="G127" s="1"/>
      <c r="H127" s="29">
        <f t="array" ref="H127">IF(B127="","",
DATE(
YEAR(INDEX(Purchases_Import!$B:$B, MATCH(B127, Purchases_Import!$A:$A, 0))),
MONTH(INDEX(Purchases_Import!$B:$B, MATCH(B127, Purchases_Import!$A:$A, 0))),
1
))</f>
        <v>46054</v>
      </c>
      <c r="I127" s="2">
        <f t="shared" si="1"/>
        <v>1</v>
      </c>
    </row>
    <row r="128">
      <c r="A128" s="1" t="str">
        <f>IFERROR(__xludf.DUMMYFUNCTION("""COMPUTED_VALUE"""),"a1f767c6")</f>
        <v>a1f767c6</v>
      </c>
      <c r="B128" s="1" t="str">
        <f>IFERROR(__xludf.DUMMYFUNCTION("""COMPUTED_VALUE"""),"31ff09fe")</f>
        <v>31ff09fe</v>
      </c>
      <c r="C128" s="1" t="str">
        <f>IFERROR(__xludf.DUMMYFUNCTION("""COMPUTED_VALUE"""),"0086")</f>
        <v>0086</v>
      </c>
      <c r="D128" s="1">
        <f>IFERROR(__xludf.DUMMYFUNCTION("""COMPUTED_VALUE"""),100.0)</f>
        <v>100</v>
      </c>
      <c r="E128" s="1">
        <f>IFERROR(__xludf.DUMMYFUNCTION("""COMPUTED_VALUE"""),4.7)</f>
        <v>4.7</v>
      </c>
      <c r="F128" s="1"/>
      <c r="G128" s="1"/>
      <c r="H128" s="29">
        <f t="array" ref="H128">IF(B128="","",
DATE(
YEAR(INDEX(Purchases_Import!$B:$B, MATCH(B128, Purchases_Import!$A:$A, 0))),
MONTH(INDEX(Purchases_Import!$B:$B, MATCH(B128, Purchases_Import!$A:$A, 0))),
1
))</f>
        <v>46054</v>
      </c>
      <c r="I128" s="2">
        <f t="shared" si="1"/>
        <v>100</v>
      </c>
    </row>
    <row r="129">
      <c r="A129" s="1" t="str">
        <f>IFERROR(__xludf.DUMMYFUNCTION("""COMPUTED_VALUE"""),"c249c575")</f>
        <v>c249c575</v>
      </c>
      <c r="B129" s="1" t="str">
        <f>IFERROR(__xludf.DUMMYFUNCTION("""COMPUTED_VALUE"""),"e7b42511")</f>
        <v>e7b42511</v>
      </c>
      <c r="C129" s="1" t="str">
        <f>IFERROR(__xludf.DUMMYFUNCTION("""COMPUTED_VALUE"""),"f2959682")</f>
        <v>f2959682</v>
      </c>
      <c r="D129" s="1">
        <f>IFERROR(__xludf.DUMMYFUNCTION("""COMPUTED_VALUE"""),1.0)</f>
        <v>1</v>
      </c>
      <c r="E129" s="1">
        <f>IFERROR(__xludf.DUMMYFUNCTION("""COMPUTED_VALUE"""),1.0)</f>
        <v>1</v>
      </c>
      <c r="F129" s="1"/>
      <c r="G129" s="1"/>
      <c r="H129" s="29">
        <f t="array" ref="H129">IF(B129="","",
DATE(
YEAR(INDEX(Purchases_Import!$B:$B, MATCH(B129, Purchases_Import!$A:$A, 0))),
MONTH(INDEX(Purchases_Import!$B:$B, MATCH(B129, Purchases_Import!$A:$A, 0))),
1
))</f>
        <v>46054</v>
      </c>
      <c r="I129" s="2">
        <f t="shared" si="1"/>
        <v>1</v>
      </c>
    </row>
    <row r="130">
      <c r="A130" s="1" t="str">
        <f>IFERROR(__xludf.DUMMYFUNCTION("""COMPUTED_VALUE"""),"b93c1383")</f>
        <v>b93c1383</v>
      </c>
      <c r="B130" s="1" t="str">
        <f>IFERROR(__xludf.DUMMYFUNCTION("""COMPUTED_VALUE"""),"8a70271d")</f>
        <v>8a70271d</v>
      </c>
      <c r="C130" s="1" t="str">
        <f>IFERROR(__xludf.DUMMYFUNCTION("""COMPUTED_VALUE"""),"0086")</f>
        <v>0086</v>
      </c>
      <c r="D130" s="1">
        <f>IFERROR(__xludf.DUMMYFUNCTION("""COMPUTED_VALUE"""),70.0)</f>
        <v>70</v>
      </c>
      <c r="E130" s="1">
        <f>IFERROR(__xludf.DUMMYFUNCTION("""COMPUTED_VALUE"""),4.7)</f>
        <v>4.7</v>
      </c>
      <c r="F130" s="1"/>
      <c r="G130" s="1"/>
      <c r="H130" s="29">
        <f t="array" ref="H130">IF(B130="","",
DATE(
YEAR(INDEX(Purchases_Import!$B:$B, MATCH(B130, Purchases_Import!$A:$A, 0))),
MONTH(INDEX(Purchases_Import!$B:$B, MATCH(B130, Purchases_Import!$A:$A, 0))),
1
))</f>
        <v>46054</v>
      </c>
      <c r="I130" s="2">
        <f t="shared" si="1"/>
        <v>70</v>
      </c>
    </row>
    <row r="131">
      <c r="A131" s="1" t="str">
        <f>IFERROR(__xludf.DUMMYFUNCTION("""COMPUTED_VALUE"""),"86464f2b")</f>
        <v>86464f2b</v>
      </c>
      <c r="B131" s="1" t="str">
        <f>IFERROR(__xludf.DUMMYFUNCTION("""COMPUTED_VALUE"""),"a5df8846")</f>
        <v>a5df8846</v>
      </c>
      <c r="C131" s="1" t="str">
        <f>IFERROR(__xludf.DUMMYFUNCTION("""COMPUTED_VALUE"""),"f2959682")</f>
        <v>f2959682</v>
      </c>
      <c r="D131" s="1">
        <f>IFERROR(__xludf.DUMMYFUNCTION("""COMPUTED_VALUE"""),1.0)</f>
        <v>1</v>
      </c>
      <c r="E131" s="1">
        <f>IFERROR(__xludf.DUMMYFUNCTION("""COMPUTED_VALUE"""),1.0)</f>
        <v>1</v>
      </c>
      <c r="F131" s="1"/>
      <c r="G131" s="1"/>
      <c r="H131" s="29">
        <f t="array" ref="H131">IF(B131="","",
DATE(
YEAR(INDEX(Purchases_Import!$B:$B, MATCH(B131, Purchases_Import!$A:$A, 0))),
MONTH(INDEX(Purchases_Import!$B:$B, MATCH(B131, Purchases_Import!$A:$A, 0))),
1
))</f>
        <v>46054</v>
      </c>
      <c r="I131" s="2">
        <f t="shared" si="1"/>
        <v>1</v>
      </c>
    </row>
    <row r="132">
      <c r="A132" s="1" t="str">
        <f>IFERROR(__xludf.DUMMYFUNCTION("""COMPUTED_VALUE"""),"98ddf6b7")</f>
        <v>98ddf6b7</v>
      </c>
      <c r="B132" s="1" t="str">
        <f>IFERROR(__xludf.DUMMYFUNCTION("""COMPUTED_VALUE"""),"8c868700")</f>
        <v>8c868700</v>
      </c>
      <c r="C132" s="1" t="str">
        <f>IFERROR(__xludf.DUMMYFUNCTION("""COMPUTED_VALUE"""),"f2959682")</f>
        <v>f2959682</v>
      </c>
      <c r="D132" s="1">
        <f>IFERROR(__xludf.DUMMYFUNCTION("""COMPUTED_VALUE"""),0.0)</f>
        <v>0</v>
      </c>
      <c r="E132" s="1">
        <f>IFERROR(__xludf.DUMMYFUNCTION("""COMPUTED_VALUE"""),1.0)</f>
        <v>1</v>
      </c>
      <c r="F132" s="1"/>
      <c r="G132" s="1"/>
      <c r="H132" s="29">
        <f t="array" ref="H132">IF(B132="","",
DATE(
YEAR(INDEX(Purchases_Import!$B:$B, MATCH(B132, Purchases_Import!$A:$A, 0))),
MONTH(INDEX(Purchases_Import!$B:$B, MATCH(B132, Purchases_Import!$A:$A, 0))),
1
))</f>
        <v>46054</v>
      </c>
      <c r="I132" s="2">
        <f t="shared" si="1"/>
        <v>0</v>
      </c>
    </row>
    <row r="133">
      <c r="A133" s="1" t="str">
        <f>IFERROR(__xludf.DUMMYFUNCTION("""COMPUTED_VALUE"""),"160861b7")</f>
        <v>160861b7</v>
      </c>
      <c r="B133" s="1" t="str">
        <f>IFERROR(__xludf.DUMMYFUNCTION("""COMPUTED_VALUE"""),"78bf660c")</f>
        <v>78bf660c</v>
      </c>
      <c r="C133" s="1" t="str">
        <f>IFERROR(__xludf.DUMMYFUNCTION("""COMPUTED_VALUE"""),"0002")</f>
        <v>0002</v>
      </c>
      <c r="D133" s="1">
        <f>IFERROR(__xludf.DUMMYFUNCTION("""COMPUTED_VALUE"""),600.0)</f>
        <v>600</v>
      </c>
      <c r="E133" s="1">
        <f>IFERROR(__xludf.DUMMYFUNCTION("""COMPUTED_VALUE"""),0.3)</f>
        <v>0.3</v>
      </c>
      <c r="F133" s="1"/>
      <c r="G133" s="1"/>
      <c r="H133" s="29">
        <f t="array" ref="H133">IF(B133="","",
DATE(
YEAR(INDEX(Purchases_Import!$B:$B, MATCH(B133, Purchases_Import!$A:$A, 0))),
MONTH(INDEX(Purchases_Import!$B:$B, MATCH(B133, Purchases_Import!$A:$A, 0))),
1
))</f>
        <v>46054</v>
      </c>
      <c r="I133" s="2">
        <f t="shared" si="1"/>
        <v>600</v>
      </c>
    </row>
    <row r="134">
      <c r="A134" s="1" t="str">
        <f>IFERROR(__xludf.DUMMYFUNCTION("""COMPUTED_VALUE"""),"8e986f03")</f>
        <v>8e986f03</v>
      </c>
      <c r="B134" s="1" t="str">
        <f>IFERROR(__xludf.DUMMYFUNCTION("""COMPUTED_VALUE"""),"1e8e1725")</f>
        <v>1e8e1725</v>
      </c>
      <c r="C134" s="1" t="str">
        <f>IFERROR(__xludf.DUMMYFUNCTION("""COMPUTED_VALUE"""),"c099f042")</f>
        <v>c099f042</v>
      </c>
      <c r="D134" s="1">
        <f>IFERROR(__xludf.DUMMYFUNCTION("""COMPUTED_VALUE"""),80.0)</f>
        <v>80</v>
      </c>
      <c r="E134" s="1"/>
      <c r="F134" s="1"/>
      <c r="G134" s="1"/>
      <c r="H134" s="29">
        <f t="array" ref="H134">IF(B134="","",
DATE(
YEAR(INDEX(Purchases_Import!$B:$B, MATCH(B134, Purchases_Import!$A:$A, 0))),
MONTH(INDEX(Purchases_Import!$B:$B, MATCH(B134, Purchases_Import!$A:$A, 0))),
1
))</f>
        <v>46054</v>
      </c>
      <c r="I134" s="2">
        <f t="shared" si="1"/>
        <v>80</v>
      </c>
    </row>
    <row r="135">
      <c r="A135" s="1" t="str">
        <f>IFERROR(__xludf.DUMMYFUNCTION("""COMPUTED_VALUE"""),"706e0fbf")</f>
        <v>706e0fbf</v>
      </c>
      <c r="B135" s="1" t="str">
        <f>IFERROR(__xludf.DUMMYFUNCTION("""COMPUTED_VALUE"""),"205b5873")</f>
        <v>205b5873</v>
      </c>
      <c r="C135" s="1" t="str">
        <f>IFERROR(__xludf.DUMMYFUNCTION("""COMPUTED_VALUE"""),"c80ae9f2")</f>
        <v>c80ae9f2</v>
      </c>
      <c r="D135" s="1">
        <f>IFERROR(__xludf.DUMMYFUNCTION("""COMPUTED_VALUE"""),12.0)</f>
        <v>12</v>
      </c>
      <c r="E135" s="1">
        <f>IFERROR(__xludf.DUMMYFUNCTION("""COMPUTED_VALUE"""),4.5)</f>
        <v>4.5</v>
      </c>
      <c r="F135" s="1"/>
      <c r="G135" s="1"/>
      <c r="H135" s="29">
        <f t="array" ref="H135">IF(B135="","",
DATE(
YEAR(INDEX(Purchases_Import!$B:$B, MATCH(B135, Purchases_Import!$A:$A, 0))),
MONTH(INDEX(Purchases_Import!$B:$B, MATCH(B135, Purchases_Import!$A:$A, 0))),
1
))</f>
        <v>46054</v>
      </c>
      <c r="I135" s="2">
        <f t="shared" si="1"/>
        <v>12</v>
      </c>
    </row>
    <row r="136">
      <c r="A136" s="1" t="str">
        <f>IFERROR(__xludf.DUMMYFUNCTION("""COMPUTED_VALUE"""),"0fa66f6f")</f>
        <v>0fa66f6f</v>
      </c>
      <c r="B136" s="1" t="str">
        <f>IFERROR(__xludf.DUMMYFUNCTION("""COMPUTED_VALUE"""),"205b5873")</f>
        <v>205b5873</v>
      </c>
      <c r="C136" s="1" t="str">
        <f>IFERROR(__xludf.DUMMYFUNCTION("""COMPUTED_VALUE"""),"cf6c9481")</f>
        <v>cf6c9481</v>
      </c>
      <c r="D136" s="1">
        <f>IFERROR(__xludf.DUMMYFUNCTION("""COMPUTED_VALUE"""),16.0)</f>
        <v>16</v>
      </c>
      <c r="E136" s="1"/>
      <c r="F136" s="1"/>
      <c r="G136" s="1"/>
      <c r="H136" s="29">
        <f t="array" ref="H136">IF(B136="","",
DATE(
YEAR(INDEX(Purchases_Import!$B:$B, MATCH(B136, Purchases_Import!$A:$A, 0))),
MONTH(INDEX(Purchases_Import!$B:$B, MATCH(B136, Purchases_Import!$A:$A, 0))),
1
))</f>
        <v>46054</v>
      </c>
      <c r="I136" s="2">
        <f t="shared" si="1"/>
        <v>16</v>
      </c>
    </row>
    <row r="137">
      <c r="A137" s="1" t="str">
        <f>IFERROR(__xludf.DUMMYFUNCTION("""COMPUTED_VALUE"""),"bf81c9b2")</f>
        <v>bf81c9b2</v>
      </c>
      <c r="B137" s="1" t="str">
        <f>IFERROR(__xludf.DUMMYFUNCTION("""COMPUTED_VALUE"""),"205b5873")</f>
        <v>205b5873</v>
      </c>
      <c r="C137" s="1" t="str">
        <f>IFERROR(__xludf.DUMMYFUNCTION("""COMPUTED_VALUE"""),"1039e79c")</f>
        <v>1039e79c</v>
      </c>
      <c r="D137" s="1">
        <f>IFERROR(__xludf.DUMMYFUNCTION("""COMPUTED_VALUE"""),12.0)</f>
        <v>12</v>
      </c>
      <c r="E137" s="1"/>
      <c r="F137" s="1"/>
      <c r="G137" s="1"/>
      <c r="H137" s="29">
        <f t="array" ref="H137">IF(B137="","",
DATE(
YEAR(INDEX(Purchases_Import!$B:$B, MATCH(B137, Purchases_Import!$A:$A, 0))),
MONTH(INDEX(Purchases_Import!$B:$B, MATCH(B137, Purchases_Import!$A:$A, 0))),
1
))</f>
        <v>46054</v>
      </c>
      <c r="I137" s="2">
        <f t="shared" si="1"/>
        <v>12</v>
      </c>
    </row>
    <row r="138">
      <c r="A138" s="1" t="str">
        <f>IFERROR(__xludf.DUMMYFUNCTION("""COMPUTED_VALUE"""),"0e8ae15b")</f>
        <v>0e8ae15b</v>
      </c>
      <c r="B138" s="1" t="str">
        <f>IFERROR(__xludf.DUMMYFUNCTION("""COMPUTED_VALUE"""),"e6061ec0")</f>
        <v>e6061ec0</v>
      </c>
      <c r="C138" s="1" t="str">
        <f>IFERROR(__xludf.DUMMYFUNCTION("""COMPUTED_VALUE"""),"12b96290")</f>
        <v>12b96290</v>
      </c>
      <c r="D138" s="1">
        <f>IFERROR(__xludf.DUMMYFUNCTION("""COMPUTED_VALUE"""),30.0)</f>
        <v>30</v>
      </c>
      <c r="E138" s="1">
        <f>IFERROR(__xludf.DUMMYFUNCTION("""COMPUTED_VALUE"""),2.8)</f>
        <v>2.8</v>
      </c>
      <c r="F138" s="1"/>
      <c r="G138" s="1"/>
      <c r="H138" s="29">
        <f t="array" ref="H138">IF(B138="","",
DATE(
YEAR(INDEX(Purchases_Import!$B:$B, MATCH(B138, Purchases_Import!$A:$A, 0))),
MONTH(INDEX(Purchases_Import!$B:$B, MATCH(B138, Purchases_Import!$A:$A, 0))),
1
))</f>
        <v>46054</v>
      </c>
      <c r="I138" s="2">
        <f t="shared" si="1"/>
        <v>30</v>
      </c>
    </row>
    <row r="139">
      <c r="A139" s="1" t="str">
        <f>IFERROR(__xludf.DUMMYFUNCTION("""COMPUTED_VALUE"""),"33dc146c")</f>
        <v>33dc146c</v>
      </c>
      <c r="B139" s="1" t="str">
        <f>IFERROR(__xludf.DUMMYFUNCTION("""COMPUTED_VALUE"""),"e6061ec0")</f>
        <v>e6061ec0</v>
      </c>
      <c r="C139" s="1" t="str">
        <f>IFERROR(__xludf.DUMMYFUNCTION("""COMPUTED_VALUE"""),"0001")</f>
        <v>0001</v>
      </c>
      <c r="D139" s="1">
        <f>IFERROR(__xludf.DUMMYFUNCTION("""COMPUTED_VALUE"""),75.0)</f>
        <v>75</v>
      </c>
      <c r="E139" s="1">
        <f>IFERROR(__xludf.DUMMYFUNCTION("""COMPUTED_VALUE"""),2.8)</f>
        <v>2.8</v>
      </c>
      <c r="F139" s="1"/>
      <c r="G139" s="1"/>
      <c r="H139" s="29">
        <f t="array" ref="H139">IF(B139="","",
DATE(
YEAR(INDEX(Purchases_Import!$B:$B, MATCH(B139, Purchases_Import!$A:$A, 0))),
MONTH(INDEX(Purchases_Import!$B:$B, MATCH(B139, Purchases_Import!$A:$A, 0))),
1
))</f>
        <v>46054</v>
      </c>
      <c r="I139" s="2">
        <f t="shared" si="1"/>
        <v>75</v>
      </c>
    </row>
    <row r="140">
      <c r="A140" s="1" t="str">
        <f>IFERROR(__xludf.DUMMYFUNCTION("""COMPUTED_VALUE"""),"4e7d4635")</f>
        <v>4e7d4635</v>
      </c>
      <c r="B140" s="1" t="str">
        <f>IFERROR(__xludf.DUMMYFUNCTION("""COMPUTED_VALUE"""),"e6061ec0")</f>
        <v>e6061ec0</v>
      </c>
      <c r="C140" s="1" t="str">
        <f>IFERROR(__xludf.DUMMYFUNCTION("""COMPUTED_VALUE"""),"0af806f8")</f>
        <v>0af806f8</v>
      </c>
      <c r="D140" s="1">
        <f>IFERROR(__xludf.DUMMYFUNCTION("""COMPUTED_VALUE"""),195.0)</f>
        <v>195</v>
      </c>
      <c r="E140" s="1">
        <f>IFERROR(__xludf.DUMMYFUNCTION("""COMPUTED_VALUE"""),2.66)</f>
        <v>2.66</v>
      </c>
      <c r="F140" s="1"/>
      <c r="G140" s="1"/>
      <c r="H140" s="29">
        <f t="array" ref="H140">IF(B140="","",
DATE(
YEAR(INDEX(Purchases_Import!$B:$B, MATCH(B140, Purchases_Import!$A:$A, 0))),
MONTH(INDEX(Purchases_Import!$B:$B, MATCH(B140, Purchases_Import!$A:$A, 0))),
1
))</f>
        <v>46054</v>
      </c>
      <c r="I140" s="2">
        <f t="shared" si="1"/>
        <v>195</v>
      </c>
    </row>
    <row r="141">
      <c r="A141" s="1" t="str">
        <f>IFERROR(__xludf.DUMMYFUNCTION("""COMPUTED_VALUE"""),"1121bc9c")</f>
        <v>1121bc9c</v>
      </c>
      <c r="B141" s="1" t="str">
        <f>IFERROR(__xludf.DUMMYFUNCTION("""COMPUTED_VALUE"""),"699bb18e")</f>
        <v>699bb18e</v>
      </c>
      <c r="C141" s="1" t="str">
        <f>IFERROR(__xludf.DUMMYFUNCTION("""COMPUTED_VALUE"""),"0025")</f>
        <v>0025</v>
      </c>
      <c r="D141" s="1">
        <f>IFERROR(__xludf.DUMMYFUNCTION("""COMPUTED_VALUE"""),10.0)</f>
        <v>10</v>
      </c>
      <c r="E141" s="1">
        <f>IFERROR(__xludf.DUMMYFUNCTION("""COMPUTED_VALUE"""),4.64)</f>
        <v>4.64</v>
      </c>
      <c r="F141" s="1"/>
      <c r="G141" s="1"/>
      <c r="H141" s="29">
        <f t="array" ref="H141">IF(B141="","",
DATE(
YEAR(INDEX(Purchases_Import!$B:$B, MATCH(B141, Purchases_Import!$A:$A, 0))),
MONTH(INDEX(Purchases_Import!$B:$B, MATCH(B141, Purchases_Import!$A:$A, 0))),
1
))</f>
        <v>46054</v>
      </c>
      <c r="I141" s="2">
        <f t="shared" si="1"/>
        <v>10</v>
      </c>
    </row>
    <row r="142">
      <c r="A142" s="1" t="str">
        <f>IFERROR(__xludf.DUMMYFUNCTION("""COMPUTED_VALUE"""),"534eee23")</f>
        <v>534eee23</v>
      </c>
      <c r="B142" s="1" t="str">
        <f>IFERROR(__xludf.DUMMYFUNCTION("""COMPUTED_VALUE"""),"699bb18e")</f>
        <v>699bb18e</v>
      </c>
      <c r="C142" s="1" t="str">
        <f>IFERROR(__xludf.DUMMYFUNCTION("""COMPUTED_VALUE"""),"0014")</f>
        <v>0014</v>
      </c>
      <c r="D142" s="1">
        <f>IFERROR(__xludf.DUMMYFUNCTION("""COMPUTED_VALUE"""),20.0)</f>
        <v>20</v>
      </c>
      <c r="E142" s="1">
        <f>IFERROR(__xludf.DUMMYFUNCTION("""COMPUTED_VALUE"""),5.9)</f>
        <v>5.9</v>
      </c>
      <c r="F142" s="1"/>
      <c r="G142" s="1"/>
      <c r="H142" s="29">
        <f t="array" ref="H142">IF(B142="","",
DATE(
YEAR(INDEX(Purchases_Import!$B:$B, MATCH(B142, Purchases_Import!$A:$A, 0))),
MONTH(INDEX(Purchases_Import!$B:$B, MATCH(B142, Purchases_Import!$A:$A, 0))),
1
))</f>
        <v>46054</v>
      </c>
      <c r="I142" s="2">
        <f t="shared" si="1"/>
        <v>20</v>
      </c>
    </row>
    <row r="143">
      <c r="A143" s="1" t="str">
        <f>IFERROR(__xludf.DUMMYFUNCTION("""COMPUTED_VALUE"""),"e171013b")</f>
        <v>e171013b</v>
      </c>
      <c r="B143" s="1" t="str">
        <f>IFERROR(__xludf.DUMMYFUNCTION("""COMPUTED_VALUE"""),"699bb18e")</f>
        <v>699bb18e</v>
      </c>
      <c r="C143" s="1" t="str">
        <f>IFERROR(__xludf.DUMMYFUNCTION("""COMPUTED_VALUE"""),"cf6c9481")</f>
        <v>cf6c9481</v>
      </c>
      <c r="D143" s="1">
        <f>IFERROR(__xludf.DUMMYFUNCTION("""COMPUTED_VALUE"""),80.0)</f>
        <v>80</v>
      </c>
      <c r="E143" s="1"/>
      <c r="F143" s="1"/>
      <c r="G143" s="1"/>
      <c r="H143" s="29">
        <f t="array" ref="H143">IF(B143="","",
DATE(
YEAR(INDEX(Purchases_Import!$B:$B, MATCH(B143, Purchases_Import!$A:$A, 0))),
MONTH(INDEX(Purchases_Import!$B:$B, MATCH(B143, Purchases_Import!$A:$A, 0))),
1
))</f>
        <v>46054</v>
      </c>
      <c r="I143" s="2">
        <f t="shared" si="1"/>
        <v>80</v>
      </c>
    </row>
    <row r="144">
      <c r="A144" s="1" t="str">
        <f>IFERROR(__xludf.DUMMYFUNCTION("""COMPUTED_VALUE"""),"075b2234")</f>
        <v>075b2234</v>
      </c>
      <c r="B144" s="1" t="str">
        <f>IFERROR(__xludf.DUMMYFUNCTION("""COMPUTED_VALUE"""),"081080d2")</f>
        <v>081080d2</v>
      </c>
      <c r="C144" s="1" t="str">
        <f>IFERROR(__xludf.DUMMYFUNCTION("""COMPUTED_VALUE"""),"12b96290")</f>
        <v>12b96290</v>
      </c>
      <c r="D144" s="1">
        <f>IFERROR(__xludf.DUMMYFUNCTION("""COMPUTED_VALUE"""),15.0)</f>
        <v>15</v>
      </c>
      <c r="E144" s="1">
        <f>IFERROR(__xludf.DUMMYFUNCTION("""COMPUTED_VALUE"""),2.8)</f>
        <v>2.8</v>
      </c>
      <c r="F144" s="1"/>
      <c r="G144" s="1"/>
      <c r="H144" s="29">
        <f t="array" ref="H144">IF(B144="","",
DATE(
YEAR(INDEX(Purchases_Import!$B:$B, MATCH(B144, Purchases_Import!$A:$A, 0))),
MONTH(INDEX(Purchases_Import!$B:$B, MATCH(B144, Purchases_Import!$A:$A, 0))),
1
))</f>
        <v>46054</v>
      </c>
      <c r="I144" s="2">
        <f t="shared" si="1"/>
        <v>15</v>
      </c>
    </row>
    <row r="145">
      <c r="A145" s="1" t="str">
        <f>IFERROR(__xludf.DUMMYFUNCTION("""COMPUTED_VALUE"""),"8c604ecb")</f>
        <v>8c604ecb</v>
      </c>
      <c r="B145" s="1" t="str">
        <f>IFERROR(__xludf.DUMMYFUNCTION("""COMPUTED_VALUE"""),"081080d2")</f>
        <v>081080d2</v>
      </c>
      <c r="C145" s="1" t="str">
        <f>IFERROR(__xludf.DUMMYFUNCTION("""COMPUTED_VALUE"""),"0001")</f>
        <v>0001</v>
      </c>
      <c r="D145" s="1">
        <f>IFERROR(__xludf.DUMMYFUNCTION("""COMPUTED_VALUE"""),165.0)</f>
        <v>165</v>
      </c>
      <c r="E145" s="1">
        <f>IFERROR(__xludf.DUMMYFUNCTION("""COMPUTED_VALUE"""),2.8)</f>
        <v>2.8</v>
      </c>
      <c r="F145" s="1"/>
      <c r="G145" s="1"/>
      <c r="H145" s="29">
        <f t="array" ref="H145">IF(B145="","",
DATE(
YEAR(INDEX(Purchases_Import!$B:$B, MATCH(B145, Purchases_Import!$A:$A, 0))),
MONTH(INDEX(Purchases_Import!$B:$B, MATCH(B145, Purchases_Import!$A:$A, 0))),
1
))</f>
        <v>46054</v>
      </c>
      <c r="I145" s="2">
        <f t="shared" si="1"/>
        <v>165</v>
      </c>
    </row>
    <row r="146">
      <c r="A146" s="1" t="str">
        <f>IFERROR(__xludf.DUMMYFUNCTION("""COMPUTED_VALUE"""),"5e40f867")</f>
        <v>5e40f867</v>
      </c>
      <c r="B146" s="1" t="str">
        <f>IFERROR(__xludf.DUMMYFUNCTION("""COMPUTED_VALUE"""),"081080d2")</f>
        <v>081080d2</v>
      </c>
      <c r="C146" s="1" t="str">
        <f>IFERROR(__xludf.DUMMYFUNCTION("""COMPUTED_VALUE"""),"0af806f8")</f>
        <v>0af806f8</v>
      </c>
      <c r="D146" s="1">
        <f>IFERROR(__xludf.DUMMYFUNCTION("""COMPUTED_VALUE"""),120.0)</f>
        <v>120</v>
      </c>
      <c r="E146" s="1">
        <f>IFERROR(__xludf.DUMMYFUNCTION("""COMPUTED_VALUE"""),2.66)</f>
        <v>2.66</v>
      </c>
      <c r="F146" s="1"/>
      <c r="G146" s="1"/>
      <c r="H146" s="29">
        <f t="array" ref="H146">IF(B146="","",
DATE(
YEAR(INDEX(Purchases_Import!$B:$B, MATCH(B146, Purchases_Import!$A:$A, 0))),
MONTH(INDEX(Purchases_Import!$B:$B, MATCH(B146, Purchases_Import!$A:$A, 0))),
1
))</f>
        <v>46054</v>
      </c>
      <c r="I146" s="2">
        <f t="shared" si="1"/>
        <v>120</v>
      </c>
    </row>
    <row r="147">
      <c r="A147" s="1" t="str">
        <f>IFERROR(__xludf.DUMMYFUNCTION("""COMPUTED_VALUE"""),"f9940e55")</f>
        <v>f9940e55</v>
      </c>
      <c r="B147" s="1" t="str">
        <f>IFERROR(__xludf.DUMMYFUNCTION("""COMPUTED_VALUE"""),"5edb299b")</f>
        <v>5edb299b</v>
      </c>
      <c r="C147" s="1" t="str">
        <f>IFERROR(__xludf.DUMMYFUNCTION("""COMPUTED_VALUE"""),"0032")</f>
        <v>0032</v>
      </c>
      <c r="D147" s="1">
        <f>IFERROR(__xludf.DUMMYFUNCTION("""COMPUTED_VALUE"""),81.0)</f>
        <v>81</v>
      </c>
      <c r="E147" s="1">
        <f>IFERROR(__xludf.DUMMYFUNCTION("""COMPUTED_VALUE"""),2.0)</f>
        <v>2</v>
      </c>
      <c r="F147" s="1"/>
      <c r="G147" s="1"/>
      <c r="H147" s="29">
        <f t="array" ref="H147">IF(B147="","",
DATE(
YEAR(INDEX(Purchases_Import!$B:$B, MATCH(B147, Purchases_Import!$A:$A, 0))),
MONTH(INDEX(Purchases_Import!$B:$B, MATCH(B147, Purchases_Import!$A:$A, 0))),
1
))</f>
        <v>46054</v>
      </c>
      <c r="I147" s="2">
        <f t="shared" si="1"/>
        <v>81</v>
      </c>
    </row>
    <row r="148">
      <c r="A148" s="1" t="str">
        <f>IFERROR(__xludf.DUMMYFUNCTION("""COMPUTED_VALUE"""),"c30e0b5a")</f>
        <v>c30e0b5a</v>
      </c>
      <c r="B148" s="1" t="str">
        <f>IFERROR(__xludf.DUMMYFUNCTION("""COMPUTED_VALUE"""),"5edb299b")</f>
        <v>5edb299b</v>
      </c>
      <c r="C148" s="1" t="str">
        <f>IFERROR(__xludf.DUMMYFUNCTION("""COMPUTED_VALUE"""),"0038")</f>
        <v>0038</v>
      </c>
      <c r="D148" s="1">
        <f>IFERROR(__xludf.DUMMYFUNCTION("""COMPUTED_VALUE"""),18.0)</f>
        <v>18</v>
      </c>
      <c r="E148" s="1">
        <f>IFERROR(__xludf.DUMMYFUNCTION("""COMPUTED_VALUE"""),6.12)</f>
        <v>6.12</v>
      </c>
      <c r="F148" s="1"/>
      <c r="G148" s="1"/>
      <c r="H148" s="29">
        <f t="array" ref="H148">IF(B148="","",
DATE(
YEAR(INDEX(Purchases_Import!$B:$B, MATCH(B148, Purchases_Import!$A:$A, 0))),
MONTH(INDEX(Purchases_Import!$B:$B, MATCH(B148, Purchases_Import!$A:$A, 0))),
1
))</f>
        <v>46054</v>
      </c>
      <c r="I148" s="2">
        <f t="shared" si="1"/>
        <v>18</v>
      </c>
    </row>
    <row r="149">
      <c r="A149" s="1" t="str">
        <f>IFERROR(__xludf.DUMMYFUNCTION("""COMPUTED_VALUE"""),"c5f193e7")</f>
        <v>c5f193e7</v>
      </c>
      <c r="B149" s="1" t="str">
        <f>IFERROR(__xludf.DUMMYFUNCTION("""COMPUTED_VALUE"""),"5edb299b")</f>
        <v>5edb299b</v>
      </c>
      <c r="C149" s="1" t="str">
        <f>IFERROR(__xludf.DUMMYFUNCTION("""COMPUTED_VALUE"""),"0029")</f>
        <v>0029</v>
      </c>
      <c r="D149" s="1">
        <f>IFERROR(__xludf.DUMMYFUNCTION("""COMPUTED_VALUE"""),72.0)</f>
        <v>72</v>
      </c>
      <c r="E149" s="1">
        <f>IFERROR(__xludf.DUMMYFUNCTION("""COMPUTED_VALUE"""),2.25)</f>
        <v>2.25</v>
      </c>
      <c r="F149" s="1"/>
      <c r="G149" s="1"/>
      <c r="H149" s="29">
        <f t="array" ref="H149">IF(B149="","",
DATE(
YEAR(INDEX(Purchases_Import!$B:$B, MATCH(B149, Purchases_Import!$A:$A, 0))),
MONTH(INDEX(Purchases_Import!$B:$B, MATCH(B149, Purchases_Import!$A:$A, 0))),
1
))</f>
        <v>46054</v>
      </c>
      <c r="I149" s="2">
        <f t="shared" si="1"/>
        <v>72</v>
      </c>
    </row>
    <row r="150">
      <c r="A150" s="1" t="str">
        <f>IFERROR(__xludf.DUMMYFUNCTION("""COMPUTED_VALUE"""),"0afeb2e3")</f>
        <v>0afeb2e3</v>
      </c>
      <c r="B150" s="1" t="str">
        <f>IFERROR(__xludf.DUMMYFUNCTION("""COMPUTED_VALUE"""),"5911af10")</f>
        <v>5911af10</v>
      </c>
      <c r="C150" s="1" t="str">
        <f>IFERROR(__xludf.DUMMYFUNCTION("""COMPUTED_VALUE"""),"0049")</f>
        <v>0049</v>
      </c>
      <c r="D150" s="1">
        <f>IFERROR(__xludf.DUMMYFUNCTION("""COMPUTED_VALUE"""),48.0)</f>
        <v>48</v>
      </c>
      <c r="E150" s="1">
        <f>IFERROR(__xludf.DUMMYFUNCTION("""COMPUTED_VALUE"""),1.93)</f>
        <v>1.93</v>
      </c>
      <c r="F150" s="1"/>
      <c r="G150" s="1"/>
      <c r="H150" s="29">
        <f t="array" ref="H150">IF(B150="","",
DATE(
YEAR(INDEX(Purchases_Import!$B:$B, MATCH(B150, Purchases_Import!$A:$A, 0))),
MONTH(INDEX(Purchases_Import!$B:$B, MATCH(B150, Purchases_Import!$A:$A, 0))),
1
))</f>
        <v>46054</v>
      </c>
      <c r="I150" s="2">
        <f t="shared" si="1"/>
        <v>48</v>
      </c>
    </row>
    <row r="151">
      <c r="A151" s="1" t="str">
        <f>IFERROR(__xludf.DUMMYFUNCTION("""COMPUTED_VALUE"""),"0e5dfaef")</f>
        <v>0e5dfaef</v>
      </c>
      <c r="B151" s="1" t="str">
        <f>IFERROR(__xludf.DUMMYFUNCTION("""COMPUTED_VALUE"""),"5911af10")</f>
        <v>5911af10</v>
      </c>
      <c r="C151" s="1" t="str">
        <f>IFERROR(__xludf.DUMMYFUNCTION("""COMPUTED_VALUE"""),"0025")</f>
        <v>0025</v>
      </c>
      <c r="D151" s="1">
        <f>IFERROR(__xludf.DUMMYFUNCTION("""COMPUTED_VALUE"""),10.0)</f>
        <v>10</v>
      </c>
      <c r="E151" s="1">
        <f>IFERROR(__xludf.DUMMYFUNCTION("""COMPUTED_VALUE"""),4.64)</f>
        <v>4.64</v>
      </c>
      <c r="F151" s="1"/>
      <c r="G151" s="1"/>
      <c r="H151" s="29">
        <f t="array" ref="H151">IF(B151="","",
DATE(
YEAR(INDEX(Purchases_Import!$B:$B, MATCH(B151, Purchases_Import!$A:$A, 0))),
MONTH(INDEX(Purchases_Import!$B:$B, MATCH(B151, Purchases_Import!$A:$A, 0))),
1
))</f>
        <v>46054</v>
      </c>
      <c r="I151" s="2">
        <f t="shared" si="1"/>
        <v>10</v>
      </c>
    </row>
    <row r="152">
      <c r="A152" s="1" t="str">
        <f>IFERROR(__xludf.DUMMYFUNCTION("""COMPUTED_VALUE"""),"4f536c26")</f>
        <v>4f536c26</v>
      </c>
      <c r="B152" s="1" t="str">
        <f>IFERROR(__xludf.DUMMYFUNCTION("""COMPUTED_VALUE"""),"5911af10")</f>
        <v>5911af10</v>
      </c>
      <c r="C152" s="1" t="str">
        <f>IFERROR(__xludf.DUMMYFUNCTION("""COMPUTED_VALUE"""),"0014")</f>
        <v>0014</v>
      </c>
      <c r="D152" s="1">
        <f>IFERROR(__xludf.DUMMYFUNCTION("""COMPUTED_VALUE"""),10.0)</f>
        <v>10</v>
      </c>
      <c r="E152" s="1">
        <f>IFERROR(__xludf.DUMMYFUNCTION("""COMPUTED_VALUE"""),5.9)</f>
        <v>5.9</v>
      </c>
      <c r="F152" s="1"/>
      <c r="G152" s="1"/>
      <c r="H152" s="29">
        <f t="array" ref="H152">IF(B152="","",
DATE(
YEAR(INDEX(Purchases_Import!$B:$B, MATCH(B152, Purchases_Import!$A:$A, 0))),
MONTH(INDEX(Purchases_Import!$B:$B, MATCH(B152, Purchases_Import!$A:$A, 0))),
1
))</f>
        <v>46054</v>
      </c>
      <c r="I152" s="2">
        <f t="shared" si="1"/>
        <v>10</v>
      </c>
    </row>
    <row r="153">
      <c r="A153" s="1" t="str">
        <f>IFERROR(__xludf.DUMMYFUNCTION("""COMPUTED_VALUE"""),"27aae9b8")</f>
        <v>27aae9b8</v>
      </c>
      <c r="B153" s="1" t="str">
        <f>IFERROR(__xludf.DUMMYFUNCTION("""COMPUTED_VALUE"""),"bef5de38")</f>
        <v>bef5de38</v>
      </c>
      <c r="C153" s="1" t="str">
        <f>IFERROR(__xludf.DUMMYFUNCTION("""COMPUTED_VALUE"""),"0011")</f>
        <v>0011</v>
      </c>
      <c r="D153" s="1">
        <f>IFERROR(__xludf.DUMMYFUNCTION("""COMPUTED_VALUE"""),96.0)</f>
        <v>96</v>
      </c>
      <c r="E153" s="1">
        <f>IFERROR(__xludf.DUMMYFUNCTION("""COMPUTED_VALUE"""),3.5)</f>
        <v>3.5</v>
      </c>
      <c r="F153" s="1"/>
      <c r="G153" s="1"/>
      <c r="H153" s="29">
        <f t="array" ref="H153">IF(B153="","",
DATE(
YEAR(INDEX(Purchases_Import!$B:$B, MATCH(B153, Purchases_Import!$A:$A, 0))),
MONTH(INDEX(Purchases_Import!$B:$B, MATCH(B153, Purchases_Import!$A:$A, 0))),
1
))</f>
        <v>46054</v>
      </c>
      <c r="I153" s="2">
        <f t="shared" si="1"/>
        <v>96</v>
      </c>
    </row>
    <row r="154">
      <c r="A154" s="1" t="str">
        <f>IFERROR(__xludf.DUMMYFUNCTION("""COMPUTED_VALUE"""),"faabfa13")</f>
        <v>faabfa13</v>
      </c>
      <c r="B154" s="1" t="str">
        <f>IFERROR(__xludf.DUMMYFUNCTION("""COMPUTED_VALUE"""),"bef5de38")</f>
        <v>bef5de38</v>
      </c>
      <c r="C154" s="1" t="str">
        <f>IFERROR(__xludf.DUMMYFUNCTION("""COMPUTED_VALUE"""),"83dd14b5")</f>
        <v>83dd14b5</v>
      </c>
      <c r="D154" s="1">
        <f>IFERROR(__xludf.DUMMYFUNCTION("""COMPUTED_VALUE"""),96.0)</f>
        <v>96</v>
      </c>
      <c r="E154" s="1">
        <f>IFERROR(__xludf.DUMMYFUNCTION("""COMPUTED_VALUE"""),0.45)</f>
        <v>0.45</v>
      </c>
      <c r="F154" s="1"/>
      <c r="G154" s="1"/>
      <c r="H154" s="29">
        <f t="array" ref="H154">IF(B154="","",
DATE(
YEAR(INDEX(Purchases_Import!$B:$B, MATCH(B154, Purchases_Import!$A:$A, 0))),
MONTH(INDEX(Purchases_Import!$B:$B, MATCH(B154, Purchases_Import!$A:$A, 0))),
1
))</f>
        <v>46054</v>
      </c>
      <c r="I154" s="2">
        <f t="shared" si="1"/>
        <v>96</v>
      </c>
    </row>
    <row r="155">
      <c r="A155" s="1" t="str">
        <f>IFERROR(__xludf.DUMMYFUNCTION("""COMPUTED_VALUE"""),"05c371c4")</f>
        <v>05c371c4</v>
      </c>
      <c r="B155" s="1" t="str">
        <f>IFERROR(__xludf.DUMMYFUNCTION("""COMPUTED_VALUE"""),"5a06a350")</f>
        <v>5a06a350</v>
      </c>
      <c r="C155" s="1" t="str">
        <f>IFERROR(__xludf.DUMMYFUNCTION("""COMPUTED_VALUE"""),"0003")</f>
        <v>0003</v>
      </c>
      <c r="D155" s="1">
        <f>IFERROR(__xludf.DUMMYFUNCTION("""COMPUTED_VALUE"""),24.0)</f>
        <v>24</v>
      </c>
      <c r="E155" s="1">
        <f>IFERROR(__xludf.DUMMYFUNCTION("""COMPUTED_VALUE"""),4.88)</f>
        <v>4.88</v>
      </c>
      <c r="F155" s="1"/>
      <c r="G155" s="1"/>
      <c r="H155" s="29">
        <f t="array" ref="H155">IF(B155="","",
DATE(
YEAR(INDEX(Purchases_Import!$B:$B, MATCH(B155, Purchases_Import!$A:$A, 0))),
MONTH(INDEX(Purchases_Import!$B:$B, MATCH(B155, Purchases_Import!$A:$A, 0))),
1
))</f>
        <v>46054</v>
      </c>
      <c r="I155" s="2">
        <f t="shared" si="1"/>
        <v>24</v>
      </c>
    </row>
    <row r="156">
      <c r="A156" s="1" t="str">
        <f>IFERROR(__xludf.DUMMYFUNCTION("""COMPUTED_VALUE"""),"9b2e7bf3")</f>
        <v>9b2e7bf3</v>
      </c>
      <c r="B156" s="1" t="str">
        <f>IFERROR(__xludf.DUMMYFUNCTION("""COMPUTED_VALUE"""),"5a06a350")</f>
        <v>5a06a350</v>
      </c>
      <c r="C156" s="1" t="str">
        <f>IFERROR(__xludf.DUMMYFUNCTION("""COMPUTED_VALUE"""),"0019")</f>
        <v>0019</v>
      </c>
      <c r="D156" s="1">
        <f>IFERROR(__xludf.DUMMYFUNCTION("""COMPUTED_VALUE"""),120.0)</f>
        <v>120</v>
      </c>
      <c r="E156" s="1">
        <f>IFERROR(__xludf.DUMMYFUNCTION("""COMPUTED_VALUE"""),1.33)</f>
        <v>1.33</v>
      </c>
      <c r="F156" s="1"/>
      <c r="G156" s="1"/>
      <c r="H156" s="29">
        <f t="array" ref="H156">IF(B156="","",
DATE(
YEAR(INDEX(Purchases_Import!$B:$B, MATCH(B156, Purchases_Import!$A:$A, 0))),
MONTH(INDEX(Purchases_Import!$B:$B, MATCH(B156, Purchases_Import!$A:$A, 0))),
1
))</f>
        <v>46054</v>
      </c>
      <c r="I156" s="2">
        <f t="shared" si="1"/>
        <v>120</v>
      </c>
    </row>
    <row r="157">
      <c r="A157" s="1" t="str">
        <f>IFERROR(__xludf.DUMMYFUNCTION("""COMPUTED_VALUE"""),"a3a6289d")</f>
        <v>a3a6289d</v>
      </c>
      <c r="B157" s="1" t="str">
        <f>IFERROR(__xludf.DUMMYFUNCTION("""COMPUTED_VALUE"""),"5a06a350")</f>
        <v>5a06a350</v>
      </c>
      <c r="C157" s="1" t="str">
        <f>IFERROR(__xludf.DUMMYFUNCTION("""COMPUTED_VALUE"""),"0054")</f>
        <v>0054</v>
      </c>
      <c r="D157" s="1">
        <f>IFERROR(__xludf.DUMMYFUNCTION("""COMPUTED_VALUE"""),48.0)</f>
        <v>48</v>
      </c>
      <c r="E157" s="1">
        <f>IFERROR(__xludf.DUMMYFUNCTION("""COMPUTED_VALUE"""),2.25)</f>
        <v>2.25</v>
      </c>
      <c r="F157" s="1"/>
      <c r="G157" s="1"/>
      <c r="H157" s="29">
        <f t="array" ref="H157">IF(B157="","",
DATE(
YEAR(INDEX(Purchases_Import!$B:$B, MATCH(B157, Purchases_Import!$A:$A, 0))),
MONTH(INDEX(Purchases_Import!$B:$B, MATCH(B157, Purchases_Import!$A:$A, 0))),
1
))</f>
        <v>46054</v>
      </c>
      <c r="I157" s="2">
        <f t="shared" si="1"/>
        <v>48</v>
      </c>
    </row>
    <row r="158">
      <c r="A158" s="1" t="str">
        <f>IFERROR(__xludf.DUMMYFUNCTION("""COMPUTED_VALUE"""),"f27fb694")</f>
        <v>f27fb694</v>
      </c>
      <c r="B158" s="1" t="str">
        <f>IFERROR(__xludf.DUMMYFUNCTION("""COMPUTED_VALUE"""),"5a06a350")</f>
        <v>5a06a350</v>
      </c>
      <c r="C158" s="1" t="str">
        <f>IFERROR(__xludf.DUMMYFUNCTION("""COMPUTED_VALUE"""),"83dd14b5")</f>
        <v>83dd14b5</v>
      </c>
      <c r="D158" s="1">
        <f>IFERROR(__xludf.DUMMYFUNCTION("""COMPUTED_VALUE"""),72.0)</f>
        <v>72</v>
      </c>
      <c r="E158" s="1">
        <f>IFERROR(__xludf.DUMMYFUNCTION("""COMPUTED_VALUE"""),0.45)</f>
        <v>0.45</v>
      </c>
      <c r="F158" s="1"/>
      <c r="G158" s="1"/>
      <c r="H158" s="29">
        <f t="array" ref="H158">IF(B158="","",
DATE(
YEAR(INDEX(Purchases_Import!$B:$B, MATCH(B158, Purchases_Import!$A:$A, 0))),
MONTH(INDEX(Purchases_Import!$B:$B, MATCH(B158, Purchases_Import!$A:$A, 0))),
1
))</f>
        <v>46054</v>
      </c>
      <c r="I158" s="2">
        <f t="shared" si="1"/>
        <v>72</v>
      </c>
    </row>
    <row r="159">
      <c r="A159" s="1" t="str">
        <f>IFERROR(__xludf.DUMMYFUNCTION("""COMPUTED_VALUE"""),"d66b311c")</f>
        <v>d66b311c</v>
      </c>
      <c r="B159" s="1" t="str">
        <f>IFERROR(__xludf.DUMMYFUNCTION("""COMPUTED_VALUE"""),"b19189c2")</f>
        <v>b19189c2</v>
      </c>
      <c r="C159" s="1" t="str">
        <f>IFERROR(__xludf.DUMMYFUNCTION("""COMPUTED_VALUE"""),"c80ae9f2")</f>
        <v>c80ae9f2</v>
      </c>
      <c r="D159" s="1">
        <f>IFERROR(__xludf.DUMMYFUNCTION("""COMPUTED_VALUE"""),12.0)</f>
        <v>12</v>
      </c>
      <c r="E159" s="1">
        <f>IFERROR(__xludf.DUMMYFUNCTION("""COMPUTED_VALUE"""),4.5)</f>
        <v>4.5</v>
      </c>
      <c r="F159" s="1"/>
      <c r="G159" s="1"/>
      <c r="H159" s="29">
        <f t="array" ref="H159">IF(B159="","",
DATE(
YEAR(INDEX(Purchases_Import!$B:$B, MATCH(B159, Purchases_Import!$A:$A, 0))),
MONTH(INDEX(Purchases_Import!$B:$B, MATCH(B159, Purchases_Import!$A:$A, 0))),
1
))</f>
        <v>46054</v>
      </c>
      <c r="I159" s="2">
        <f t="shared" si="1"/>
        <v>12</v>
      </c>
    </row>
    <row r="160">
      <c r="A160" s="1" t="str">
        <f>IFERROR(__xludf.DUMMYFUNCTION("""COMPUTED_VALUE"""),"1074f005")</f>
        <v>1074f005</v>
      </c>
      <c r="B160" s="1" t="str">
        <f>IFERROR(__xludf.DUMMYFUNCTION("""COMPUTED_VALUE"""),"b19189c2")</f>
        <v>b19189c2</v>
      </c>
      <c r="C160" s="1" t="str">
        <f>IFERROR(__xludf.DUMMYFUNCTION("""COMPUTED_VALUE"""),"0014")</f>
        <v>0014</v>
      </c>
      <c r="D160" s="1">
        <f>IFERROR(__xludf.DUMMYFUNCTION("""COMPUTED_VALUE"""),10.0)</f>
        <v>10</v>
      </c>
      <c r="E160" s="1">
        <f>IFERROR(__xludf.DUMMYFUNCTION("""COMPUTED_VALUE"""),5.9)</f>
        <v>5.9</v>
      </c>
      <c r="F160" s="1"/>
      <c r="G160" s="1"/>
      <c r="H160" s="29">
        <f t="array" ref="H160">IF(B160="","",
DATE(
YEAR(INDEX(Purchases_Import!$B:$B, MATCH(B160, Purchases_Import!$A:$A, 0))),
MONTH(INDEX(Purchases_Import!$B:$B, MATCH(B160, Purchases_Import!$A:$A, 0))),
1
))</f>
        <v>46054</v>
      </c>
      <c r="I160" s="2">
        <f t="shared" si="1"/>
        <v>10</v>
      </c>
    </row>
    <row r="161">
      <c r="A161" s="1" t="str">
        <f>IFERROR(__xludf.DUMMYFUNCTION("""COMPUTED_VALUE"""),"8b229d6e")</f>
        <v>8b229d6e</v>
      </c>
      <c r="B161" s="1" t="str">
        <f>IFERROR(__xludf.DUMMYFUNCTION("""COMPUTED_VALUE"""),"b19189c2")</f>
        <v>b19189c2</v>
      </c>
      <c r="C161" s="1" t="str">
        <f>IFERROR(__xludf.DUMMYFUNCTION("""COMPUTED_VALUE"""),"0027")</f>
        <v>0027</v>
      </c>
      <c r="D161" s="1">
        <f>IFERROR(__xludf.DUMMYFUNCTION("""COMPUTED_VALUE"""),50.0)</f>
        <v>50</v>
      </c>
      <c r="E161" s="1">
        <f>IFERROR(__xludf.DUMMYFUNCTION("""COMPUTED_VALUE"""),3.28)</f>
        <v>3.28</v>
      </c>
      <c r="F161" s="1"/>
      <c r="G161" s="1"/>
      <c r="H161" s="29">
        <f t="array" ref="H161">IF(B161="","",
DATE(
YEAR(INDEX(Purchases_Import!$B:$B, MATCH(B161, Purchases_Import!$A:$A, 0))),
MONTH(INDEX(Purchases_Import!$B:$B, MATCH(B161, Purchases_Import!$A:$A, 0))),
1
))</f>
        <v>46054</v>
      </c>
      <c r="I161" s="2">
        <f t="shared" si="1"/>
        <v>50</v>
      </c>
    </row>
    <row r="162">
      <c r="A162" s="1" t="str">
        <f>IFERROR(__xludf.DUMMYFUNCTION("""COMPUTED_VALUE"""),"8e74c45d")</f>
        <v>8e74c45d</v>
      </c>
      <c r="B162" s="1" t="str">
        <f>IFERROR(__xludf.DUMMYFUNCTION("""COMPUTED_VALUE"""),"b19189c2")</f>
        <v>b19189c2</v>
      </c>
      <c r="C162" s="1" t="str">
        <f>IFERROR(__xludf.DUMMYFUNCTION("""COMPUTED_VALUE"""),"0025")</f>
        <v>0025</v>
      </c>
      <c r="D162" s="1">
        <f>IFERROR(__xludf.DUMMYFUNCTION("""COMPUTED_VALUE"""),20.0)</f>
        <v>20</v>
      </c>
      <c r="E162" s="1">
        <f>IFERROR(__xludf.DUMMYFUNCTION("""COMPUTED_VALUE"""),4.64)</f>
        <v>4.64</v>
      </c>
      <c r="F162" s="1"/>
      <c r="G162" s="1"/>
      <c r="H162" s="29">
        <f t="array" ref="H162">IF(B162="","",
DATE(
YEAR(INDEX(Purchases_Import!$B:$B, MATCH(B162, Purchases_Import!$A:$A, 0))),
MONTH(INDEX(Purchases_Import!$B:$B, MATCH(B162, Purchases_Import!$A:$A, 0))),
1
))</f>
        <v>46054</v>
      </c>
      <c r="I162" s="2">
        <f t="shared" si="1"/>
        <v>20</v>
      </c>
    </row>
    <row r="163">
      <c r="A163" s="1" t="str">
        <f>IFERROR(__xludf.DUMMYFUNCTION("""COMPUTED_VALUE"""),"7662b4c4")</f>
        <v>7662b4c4</v>
      </c>
      <c r="B163" s="1" t="str">
        <f>IFERROR(__xludf.DUMMYFUNCTION("""COMPUTED_VALUE"""),"b19189c2")</f>
        <v>b19189c2</v>
      </c>
      <c r="C163" s="1" t="str">
        <f>IFERROR(__xludf.DUMMYFUNCTION("""COMPUTED_VALUE"""),"0049")</f>
        <v>0049</v>
      </c>
      <c r="D163" s="1">
        <f>IFERROR(__xludf.DUMMYFUNCTION("""COMPUTED_VALUE"""),24.0)</f>
        <v>24</v>
      </c>
      <c r="E163" s="1">
        <f>IFERROR(__xludf.DUMMYFUNCTION("""COMPUTED_VALUE"""),1.93)</f>
        <v>1.93</v>
      </c>
      <c r="F163" s="1"/>
      <c r="G163" s="1"/>
      <c r="H163" s="29">
        <f t="array" ref="H163">IF(B163="","",
DATE(
YEAR(INDEX(Purchases_Import!$B:$B, MATCH(B163, Purchases_Import!$A:$A, 0))),
MONTH(INDEX(Purchases_Import!$B:$B, MATCH(B163, Purchases_Import!$A:$A, 0))),
1
))</f>
        <v>46054</v>
      </c>
      <c r="I163" s="2">
        <f t="shared" si="1"/>
        <v>24</v>
      </c>
    </row>
    <row r="164">
      <c r="A164" s="1" t="str">
        <f>IFERROR(__xludf.DUMMYFUNCTION("""COMPUTED_VALUE"""),"6c25211b")</f>
        <v>6c25211b</v>
      </c>
      <c r="B164" s="1" t="str">
        <f>IFERROR(__xludf.DUMMYFUNCTION("""COMPUTED_VALUE"""),"b19189c2")</f>
        <v>b19189c2</v>
      </c>
      <c r="C164" s="1" t="str">
        <f>IFERROR(__xludf.DUMMYFUNCTION("""COMPUTED_VALUE"""),"0030")</f>
        <v>0030</v>
      </c>
      <c r="D164" s="1">
        <f>IFERROR(__xludf.DUMMYFUNCTION("""COMPUTED_VALUE"""),10.0)</f>
        <v>10</v>
      </c>
      <c r="E164" s="1">
        <f>IFERROR(__xludf.DUMMYFUNCTION("""COMPUTED_VALUE"""),4.45)</f>
        <v>4.45</v>
      </c>
      <c r="F164" s="1"/>
      <c r="G164" s="1"/>
      <c r="H164" s="29">
        <f t="array" ref="H164">IF(B164="","",
DATE(
YEAR(INDEX(Purchases_Import!$B:$B, MATCH(B164, Purchases_Import!$A:$A, 0))),
MONTH(INDEX(Purchases_Import!$B:$B, MATCH(B164, Purchases_Import!$A:$A, 0))),
1
))</f>
        <v>46054</v>
      </c>
      <c r="I164" s="2">
        <f t="shared" si="1"/>
        <v>10</v>
      </c>
    </row>
    <row r="165">
      <c r="A165" s="1" t="str">
        <f>IFERROR(__xludf.DUMMYFUNCTION("""COMPUTED_VALUE"""),"4bb7cea5")</f>
        <v>4bb7cea5</v>
      </c>
      <c r="B165" s="1" t="str">
        <f>IFERROR(__xludf.DUMMYFUNCTION("""COMPUTED_VALUE"""),"b19189c2")</f>
        <v>b19189c2</v>
      </c>
      <c r="C165" s="1" t="str">
        <f>IFERROR(__xludf.DUMMYFUNCTION("""COMPUTED_VALUE"""),"0086")</f>
        <v>0086</v>
      </c>
      <c r="D165" s="1">
        <f>IFERROR(__xludf.DUMMYFUNCTION("""COMPUTED_VALUE"""),10.0)</f>
        <v>10</v>
      </c>
      <c r="E165" s="1">
        <f>IFERROR(__xludf.DUMMYFUNCTION("""COMPUTED_VALUE"""),4.7)</f>
        <v>4.7</v>
      </c>
      <c r="F165" s="1"/>
      <c r="G165" s="1"/>
      <c r="H165" s="29">
        <f t="array" ref="H165">IF(B165="","",
DATE(
YEAR(INDEX(Purchases_Import!$B:$B, MATCH(B165, Purchases_Import!$A:$A, 0))),
MONTH(INDEX(Purchases_Import!$B:$B, MATCH(B165, Purchases_Import!$A:$A, 0))),
1
))</f>
        <v>46054</v>
      </c>
      <c r="I165" s="2">
        <f t="shared" si="1"/>
        <v>10</v>
      </c>
    </row>
    <row r="166">
      <c r="A166" s="1" t="str">
        <f>IFERROR(__xludf.DUMMYFUNCTION("""COMPUTED_VALUE"""),"1beb47fc")</f>
        <v>1beb47fc</v>
      </c>
      <c r="B166" s="1" t="str">
        <f>IFERROR(__xludf.DUMMYFUNCTION("""COMPUTED_VALUE"""),"bcb95171")</f>
        <v>bcb95171</v>
      </c>
      <c r="C166" s="1" t="str">
        <f>IFERROR(__xludf.DUMMYFUNCTION("""COMPUTED_VALUE"""),"0001")</f>
        <v>0001</v>
      </c>
      <c r="D166" s="1">
        <f>IFERROR(__xludf.DUMMYFUNCTION("""COMPUTED_VALUE"""),105.0)</f>
        <v>105</v>
      </c>
      <c r="E166" s="1">
        <f>IFERROR(__xludf.DUMMYFUNCTION("""COMPUTED_VALUE"""),2.8)</f>
        <v>2.8</v>
      </c>
      <c r="F166" s="1"/>
      <c r="G166" s="1"/>
      <c r="H166" s="29">
        <f t="array" ref="H166">IF(B166="","",
DATE(
YEAR(INDEX(Purchases_Import!$B:$B, MATCH(B166, Purchases_Import!$A:$A, 0))),
MONTH(INDEX(Purchases_Import!$B:$B, MATCH(B166, Purchases_Import!$A:$A, 0))),
1
))</f>
        <v>46054</v>
      </c>
      <c r="I166" s="2">
        <f t="shared" si="1"/>
        <v>105</v>
      </c>
    </row>
    <row r="167">
      <c r="A167" s="1" t="str">
        <f>IFERROR(__xludf.DUMMYFUNCTION("""COMPUTED_VALUE"""),"b7d2a755")</f>
        <v>b7d2a755</v>
      </c>
      <c r="B167" s="1" t="str">
        <f>IFERROR(__xludf.DUMMYFUNCTION("""COMPUTED_VALUE"""),"bcb95171")</f>
        <v>bcb95171</v>
      </c>
      <c r="C167" s="1" t="str">
        <f>IFERROR(__xludf.DUMMYFUNCTION("""COMPUTED_VALUE"""),"0af806f8")</f>
        <v>0af806f8</v>
      </c>
      <c r="D167" s="1">
        <f>IFERROR(__xludf.DUMMYFUNCTION("""COMPUTED_VALUE"""),105.0)</f>
        <v>105</v>
      </c>
      <c r="E167" s="1">
        <f>IFERROR(__xludf.DUMMYFUNCTION("""COMPUTED_VALUE"""),2.66)</f>
        <v>2.66</v>
      </c>
      <c r="F167" s="1"/>
      <c r="G167" s="1"/>
      <c r="H167" s="29">
        <f t="array" ref="H167">IF(B167="","",
DATE(
YEAR(INDEX(Purchases_Import!$B:$B, MATCH(B167, Purchases_Import!$A:$A, 0))),
MONTH(INDEX(Purchases_Import!$B:$B, MATCH(B167, Purchases_Import!$A:$A, 0))),
1
))</f>
        <v>46054</v>
      </c>
      <c r="I167" s="2">
        <f t="shared" si="1"/>
        <v>105</v>
      </c>
    </row>
    <row r="168">
      <c r="A168" s="1" t="str">
        <f>IFERROR(__xludf.DUMMYFUNCTION("""COMPUTED_VALUE"""),"4e170e67")</f>
        <v>4e170e67</v>
      </c>
      <c r="B168" s="1" t="str">
        <f>IFERROR(__xludf.DUMMYFUNCTION("""COMPUTED_VALUE"""),"bcb95171")</f>
        <v>bcb95171</v>
      </c>
      <c r="C168" s="1" t="str">
        <f>IFERROR(__xludf.DUMMYFUNCTION("""COMPUTED_VALUE"""),"c099f042")</f>
        <v>c099f042</v>
      </c>
      <c r="D168" s="1">
        <f>IFERROR(__xludf.DUMMYFUNCTION("""COMPUTED_VALUE"""),40.0)</f>
        <v>40</v>
      </c>
      <c r="E168" s="1"/>
      <c r="F168" s="1"/>
      <c r="G168" s="1"/>
      <c r="H168" s="29">
        <f t="array" ref="H168">IF(B168="","",
DATE(
YEAR(INDEX(Purchases_Import!$B:$B, MATCH(B168, Purchases_Import!$A:$A, 0))),
MONTH(INDEX(Purchases_Import!$B:$B, MATCH(B168, Purchases_Import!$A:$A, 0))),
1
))</f>
        <v>46054</v>
      </c>
      <c r="I168" s="2">
        <f t="shared" si="1"/>
        <v>40</v>
      </c>
    </row>
    <row r="169">
      <c r="A169" s="1" t="str">
        <f>IFERROR(__xludf.DUMMYFUNCTION("""COMPUTED_VALUE"""),"7d8529c1")</f>
        <v>7d8529c1</v>
      </c>
      <c r="B169" s="1" t="str">
        <f>IFERROR(__xludf.DUMMYFUNCTION("""COMPUTED_VALUE"""),"5f9fc030")</f>
        <v>5f9fc030</v>
      </c>
      <c r="C169" s="1" t="str">
        <f>IFERROR(__xludf.DUMMYFUNCTION("""COMPUTED_VALUE"""),"0027")</f>
        <v>0027</v>
      </c>
      <c r="D169" s="1">
        <f>IFERROR(__xludf.DUMMYFUNCTION("""COMPUTED_VALUE"""),25.0)</f>
        <v>25</v>
      </c>
      <c r="E169" s="1">
        <f>IFERROR(__xludf.DUMMYFUNCTION("""COMPUTED_VALUE"""),3.28)</f>
        <v>3.28</v>
      </c>
      <c r="F169" s="1"/>
      <c r="G169" s="1"/>
      <c r="H169" s="29">
        <f t="array" ref="H169">IF(B169="","",
DATE(
YEAR(INDEX(Purchases_Import!$B:$B, MATCH(B169, Purchases_Import!$A:$A, 0))),
MONTH(INDEX(Purchases_Import!$B:$B, MATCH(B169, Purchases_Import!$A:$A, 0))),
1
))</f>
        <v>46054</v>
      </c>
      <c r="I169" s="2">
        <f t="shared" si="1"/>
        <v>25</v>
      </c>
    </row>
    <row r="170">
      <c r="A170" s="1" t="str">
        <f>IFERROR(__xludf.DUMMYFUNCTION("""COMPUTED_VALUE"""),"3acfc3cf")</f>
        <v>3acfc3cf</v>
      </c>
      <c r="B170" s="1" t="str">
        <f>IFERROR(__xludf.DUMMYFUNCTION("""COMPUTED_VALUE"""),"5f9fc030")</f>
        <v>5f9fc030</v>
      </c>
      <c r="C170" s="1" t="str">
        <f>IFERROR(__xludf.DUMMYFUNCTION("""COMPUTED_VALUE"""),"0014")</f>
        <v>0014</v>
      </c>
      <c r="D170" s="1">
        <f>IFERROR(__xludf.DUMMYFUNCTION("""COMPUTED_VALUE"""),10.0)</f>
        <v>10</v>
      </c>
      <c r="E170" s="1">
        <f>IFERROR(__xludf.DUMMYFUNCTION("""COMPUTED_VALUE"""),5.9)</f>
        <v>5.9</v>
      </c>
      <c r="F170" s="1"/>
      <c r="G170" s="1"/>
      <c r="H170" s="29">
        <f t="array" ref="H170">IF(B170="","",
DATE(
YEAR(INDEX(Purchases_Import!$B:$B, MATCH(B170, Purchases_Import!$A:$A, 0))),
MONTH(INDEX(Purchases_Import!$B:$B, MATCH(B170, Purchases_Import!$A:$A, 0))),
1
))</f>
        <v>46054</v>
      </c>
      <c r="I170" s="2">
        <f t="shared" si="1"/>
        <v>10</v>
      </c>
    </row>
    <row r="171">
      <c r="A171" s="1" t="str">
        <f>IFERROR(__xludf.DUMMYFUNCTION("""COMPUTED_VALUE"""),"571fb792")</f>
        <v>571fb792</v>
      </c>
      <c r="B171" s="1" t="str">
        <f>IFERROR(__xludf.DUMMYFUNCTION("""COMPUTED_VALUE"""),"5f9fc030")</f>
        <v>5f9fc030</v>
      </c>
      <c r="C171" s="1" t="str">
        <f>IFERROR(__xludf.DUMMYFUNCTION("""COMPUTED_VALUE"""),"cd21eb57")</f>
        <v>cd21eb57</v>
      </c>
      <c r="D171" s="1">
        <f>IFERROR(__xludf.DUMMYFUNCTION("""COMPUTED_VALUE"""),48.0)</f>
        <v>48</v>
      </c>
      <c r="E171" s="1"/>
      <c r="F171" s="1"/>
      <c r="G171" s="1"/>
      <c r="H171" s="29">
        <f t="array" ref="H171">IF(B171="","",
DATE(
YEAR(INDEX(Purchases_Import!$B:$B, MATCH(B171, Purchases_Import!$A:$A, 0))),
MONTH(INDEX(Purchases_Import!$B:$B, MATCH(B171, Purchases_Import!$A:$A, 0))),
1
))</f>
        <v>46054</v>
      </c>
      <c r="I171" s="2">
        <f t="shared" si="1"/>
        <v>48</v>
      </c>
    </row>
    <row r="172">
      <c r="A172" s="1" t="str">
        <f>IFERROR(__xludf.DUMMYFUNCTION("""COMPUTED_VALUE"""),"0428c63a")</f>
        <v>0428c63a</v>
      </c>
      <c r="B172" s="1" t="str">
        <f>IFERROR(__xludf.DUMMYFUNCTION("""COMPUTED_VALUE"""),"7c315092")</f>
        <v>7c315092</v>
      </c>
      <c r="C172" s="1" t="str">
        <f>IFERROR(__xludf.DUMMYFUNCTION("""COMPUTED_VALUE"""),"bb6c2490")</f>
        <v>bb6c2490</v>
      </c>
      <c r="D172" s="1">
        <f>IFERROR(__xludf.DUMMYFUNCTION("""COMPUTED_VALUE"""),126.0)</f>
        <v>126</v>
      </c>
      <c r="E172" s="1">
        <f>IFERROR(__xludf.DUMMYFUNCTION("""COMPUTED_VALUE"""),2.78)</f>
        <v>2.78</v>
      </c>
      <c r="F172" s="1"/>
      <c r="G172" s="1"/>
      <c r="H172" s="29">
        <f t="array" ref="H172">IF(B172="","",
DATE(
YEAR(INDEX(Purchases_Import!$B:$B, MATCH(B172, Purchases_Import!$A:$A, 0))),
MONTH(INDEX(Purchases_Import!$B:$B, MATCH(B172, Purchases_Import!$A:$A, 0))),
1
))</f>
        <v>46054</v>
      </c>
      <c r="I172" s="2">
        <f t="shared" si="1"/>
        <v>126</v>
      </c>
    </row>
    <row r="173">
      <c r="A173" s="1" t="str">
        <f>IFERROR(__xludf.DUMMYFUNCTION("""COMPUTED_VALUE"""),"fb03da86")</f>
        <v>fb03da86</v>
      </c>
      <c r="B173" s="1" t="str">
        <f>IFERROR(__xludf.DUMMYFUNCTION("""COMPUTED_VALUE"""),"7c315092")</f>
        <v>7c315092</v>
      </c>
      <c r="C173" s="1" t="str">
        <f>IFERROR(__xludf.DUMMYFUNCTION("""COMPUTED_VALUE"""),"0021")</f>
        <v>0021</v>
      </c>
      <c r="D173" s="1">
        <f>IFERROR(__xludf.DUMMYFUNCTION("""COMPUTED_VALUE"""),72.0)</f>
        <v>72</v>
      </c>
      <c r="E173" s="1">
        <f>IFERROR(__xludf.DUMMYFUNCTION("""COMPUTED_VALUE"""),2.25)</f>
        <v>2.25</v>
      </c>
      <c r="F173" s="1"/>
      <c r="G173" s="1"/>
      <c r="H173" s="29">
        <f t="array" ref="H173">IF(B173="","",
DATE(
YEAR(INDEX(Purchases_Import!$B:$B, MATCH(B173, Purchases_Import!$A:$A, 0))),
MONTH(INDEX(Purchases_Import!$B:$B, MATCH(B173, Purchases_Import!$A:$A, 0))),
1
))</f>
        <v>46054</v>
      </c>
      <c r="I173" s="2">
        <f t="shared" si="1"/>
        <v>72</v>
      </c>
    </row>
    <row r="174">
      <c r="A174" s="1" t="str">
        <f>IFERROR(__xludf.DUMMYFUNCTION("""COMPUTED_VALUE"""),"519d6854")</f>
        <v>519d6854</v>
      </c>
      <c r="B174" s="1" t="str">
        <f>IFERROR(__xludf.DUMMYFUNCTION("""COMPUTED_VALUE"""),"7c315092")</f>
        <v>7c315092</v>
      </c>
      <c r="C174" s="1" t="str">
        <f>IFERROR(__xludf.DUMMYFUNCTION("""COMPUTED_VALUE"""),"0064")</f>
        <v>0064</v>
      </c>
      <c r="D174" s="1">
        <f>IFERROR(__xludf.DUMMYFUNCTION("""COMPUTED_VALUE"""),27.0)</f>
        <v>27</v>
      </c>
      <c r="E174" s="1">
        <f>IFERROR(__xludf.DUMMYFUNCTION("""COMPUTED_VALUE"""),2.08)</f>
        <v>2.08</v>
      </c>
      <c r="F174" s="1"/>
      <c r="G174" s="1"/>
      <c r="H174" s="29">
        <f t="array" ref="H174">IF(B174="","",
DATE(
YEAR(INDEX(Purchases_Import!$B:$B, MATCH(B174, Purchases_Import!$A:$A, 0))),
MONTH(INDEX(Purchases_Import!$B:$B, MATCH(B174, Purchases_Import!$A:$A, 0))),
1
))</f>
        <v>46054</v>
      </c>
      <c r="I174" s="2">
        <f t="shared" si="1"/>
        <v>27</v>
      </c>
    </row>
    <row r="175">
      <c r="A175" s="1" t="str">
        <f>IFERROR(__xludf.DUMMYFUNCTION("""COMPUTED_VALUE"""),"9cf372bf")</f>
        <v>9cf372bf</v>
      </c>
      <c r="B175" s="1" t="str">
        <f>IFERROR(__xludf.DUMMYFUNCTION("""COMPUTED_VALUE"""),"7c315092")</f>
        <v>7c315092</v>
      </c>
      <c r="C175" s="1" t="str">
        <f>IFERROR(__xludf.DUMMYFUNCTION("""COMPUTED_VALUE"""),"0019")</f>
        <v>0019</v>
      </c>
      <c r="D175" s="1">
        <f>IFERROR(__xludf.DUMMYFUNCTION("""COMPUTED_VALUE"""),96.0)</f>
        <v>96</v>
      </c>
      <c r="E175" s="1">
        <f>IFERROR(__xludf.DUMMYFUNCTION("""COMPUTED_VALUE"""),1.33)</f>
        <v>1.33</v>
      </c>
      <c r="F175" s="1"/>
      <c r="G175" s="1"/>
      <c r="H175" s="29">
        <f t="array" ref="H175">IF(B175="","",
DATE(
YEAR(INDEX(Purchases_Import!$B:$B, MATCH(B175, Purchases_Import!$A:$A, 0))),
MONTH(INDEX(Purchases_Import!$B:$B, MATCH(B175, Purchases_Import!$A:$A, 0))),
1
))</f>
        <v>46054</v>
      </c>
      <c r="I175" s="2">
        <f t="shared" si="1"/>
        <v>96</v>
      </c>
    </row>
    <row r="176">
      <c r="A176" s="1" t="str">
        <f>IFERROR(__xludf.DUMMYFUNCTION("""COMPUTED_VALUE"""),"f47862b9")</f>
        <v>f47862b9</v>
      </c>
      <c r="B176" s="1" t="str">
        <f>IFERROR(__xludf.DUMMYFUNCTION("""COMPUTED_VALUE"""),"666228c0")</f>
        <v>666228c0</v>
      </c>
      <c r="C176" s="1" t="str">
        <f>IFERROR(__xludf.DUMMYFUNCTION("""COMPUTED_VALUE"""),"0002")</f>
        <v>0002</v>
      </c>
      <c r="D176" s="1">
        <f>IFERROR(__xludf.DUMMYFUNCTION("""COMPUTED_VALUE"""),600.0)</f>
        <v>600</v>
      </c>
      <c r="E176" s="1">
        <f>IFERROR(__xludf.DUMMYFUNCTION("""COMPUTED_VALUE"""),0.3)</f>
        <v>0.3</v>
      </c>
      <c r="F176" s="1"/>
      <c r="G176" s="1"/>
      <c r="H176" s="29">
        <f t="array" ref="H176">IF(B176="","",
DATE(
YEAR(INDEX(Purchases_Import!$B:$B, MATCH(B176, Purchases_Import!$A:$A, 0))),
MONTH(INDEX(Purchases_Import!$B:$B, MATCH(B176, Purchases_Import!$A:$A, 0))),
1
))</f>
        <v>46054</v>
      </c>
      <c r="I176" s="2">
        <f t="shared" si="1"/>
        <v>600</v>
      </c>
    </row>
    <row r="177">
      <c r="A177" s="1" t="str">
        <f>IFERROR(__xludf.DUMMYFUNCTION("""COMPUTED_VALUE"""),"4f1fc02d")</f>
        <v>4f1fc02d</v>
      </c>
      <c r="B177" s="1" t="str">
        <f>IFERROR(__xludf.DUMMYFUNCTION("""COMPUTED_VALUE"""),"a02d1fa8")</f>
        <v>a02d1fa8</v>
      </c>
      <c r="C177" s="1" t="str">
        <f>IFERROR(__xludf.DUMMYFUNCTION("""COMPUTED_VALUE"""),"0001")</f>
        <v>0001</v>
      </c>
      <c r="D177" s="1">
        <f>IFERROR(__xludf.DUMMYFUNCTION("""COMPUTED_VALUE"""),21.0)</f>
        <v>21</v>
      </c>
      <c r="E177" s="1">
        <f>IFERROR(__xludf.DUMMYFUNCTION("""COMPUTED_VALUE"""),2.8)</f>
        <v>2.8</v>
      </c>
      <c r="F177" s="1"/>
      <c r="G177" s="1"/>
      <c r="H177" s="29">
        <f t="array" ref="H177">IF(B177="","",
DATE(
YEAR(INDEX(Purchases_Import!$B:$B, MATCH(B177, Purchases_Import!$A:$A, 0))),
MONTH(INDEX(Purchases_Import!$B:$B, MATCH(B177, Purchases_Import!$A:$A, 0))),
1
))</f>
        <v>46054</v>
      </c>
      <c r="I177" s="2">
        <f t="shared" si="1"/>
        <v>21</v>
      </c>
    </row>
    <row r="178">
      <c r="A178" s="1" t="str">
        <f>IFERROR(__xludf.DUMMYFUNCTION("""COMPUTED_VALUE"""),"0e9c4abf")</f>
        <v>0e9c4abf</v>
      </c>
      <c r="B178" s="1" t="str">
        <f>IFERROR(__xludf.DUMMYFUNCTION("""COMPUTED_VALUE"""),"24f2992a")</f>
        <v>24f2992a</v>
      </c>
      <c r="C178" s="1" t="str">
        <f>IFERROR(__xludf.DUMMYFUNCTION("""COMPUTED_VALUE"""),"0011")</f>
        <v>0011</v>
      </c>
      <c r="D178" s="1">
        <f>IFERROR(__xludf.DUMMYFUNCTION("""COMPUTED_VALUE"""),120.0)</f>
        <v>120</v>
      </c>
      <c r="E178" s="1">
        <f>IFERROR(__xludf.DUMMYFUNCTION("""COMPUTED_VALUE"""),3.5)</f>
        <v>3.5</v>
      </c>
      <c r="F178" s="1"/>
      <c r="G178" s="1"/>
      <c r="H178" s="29">
        <f t="array" ref="H178">IF(B178="","",
DATE(
YEAR(INDEX(Purchases_Import!$B:$B, MATCH(B178, Purchases_Import!$A:$A, 0))),
MONTH(INDEX(Purchases_Import!$B:$B, MATCH(B178, Purchases_Import!$A:$A, 0))),
1
))</f>
        <v>46054</v>
      </c>
      <c r="I178" s="2">
        <f t="shared" si="1"/>
        <v>120</v>
      </c>
    </row>
    <row r="179">
      <c r="A179" s="1" t="str">
        <f>IFERROR(__xludf.DUMMYFUNCTION("""COMPUTED_VALUE"""),"28ba9016")</f>
        <v>28ba9016</v>
      </c>
      <c r="B179" s="1" t="str">
        <f>IFERROR(__xludf.DUMMYFUNCTION("""COMPUTED_VALUE"""),"49781d38")</f>
        <v>49781d38</v>
      </c>
      <c r="C179" s="1" t="str">
        <f>IFERROR(__xludf.DUMMYFUNCTION("""COMPUTED_VALUE"""),"0029")</f>
        <v>0029</v>
      </c>
      <c r="D179" s="1">
        <f>IFERROR(__xludf.DUMMYFUNCTION("""COMPUTED_VALUE"""),72.0)</f>
        <v>72</v>
      </c>
      <c r="E179" s="1">
        <f>IFERROR(__xludf.DUMMYFUNCTION("""COMPUTED_VALUE"""),2.25)</f>
        <v>2.25</v>
      </c>
      <c r="F179" s="1"/>
      <c r="G179" s="1"/>
      <c r="H179" s="29">
        <f t="array" ref="H179">IF(B179="","",
DATE(
YEAR(INDEX(Purchases_Import!$B:$B, MATCH(B179, Purchases_Import!$A:$A, 0))),
MONTH(INDEX(Purchases_Import!$B:$B, MATCH(B179, Purchases_Import!$A:$A, 0))),
1
))</f>
        <v>46054</v>
      </c>
      <c r="I179" s="2">
        <f t="shared" si="1"/>
        <v>72</v>
      </c>
    </row>
    <row r="180">
      <c r="A180" s="1" t="str">
        <f>IFERROR(__xludf.DUMMYFUNCTION("""COMPUTED_VALUE"""),"6ed8090f")</f>
        <v>6ed8090f</v>
      </c>
      <c r="B180" s="1" t="str">
        <f>IFERROR(__xludf.DUMMYFUNCTION("""COMPUTED_VALUE"""),"49781d38")</f>
        <v>49781d38</v>
      </c>
      <c r="C180" s="1" t="str">
        <f>IFERROR(__xludf.DUMMYFUNCTION("""COMPUTED_VALUE"""),"83dd14b5")</f>
        <v>83dd14b5</v>
      </c>
      <c r="D180" s="1">
        <f>IFERROR(__xludf.DUMMYFUNCTION("""COMPUTED_VALUE"""),120.0)</f>
        <v>120</v>
      </c>
      <c r="E180" s="1">
        <f>IFERROR(__xludf.DUMMYFUNCTION("""COMPUTED_VALUE"""),0.45)</f>
        <v>0.45</v>
      </c>
      <c r="F180" s="1"/>
      <c r="G180" s="1"/>
      <c r="H180" s="29">
        <f t="array" ref="H180">IF(B180="","",
DATE(
YEAR(INDEX(Purchases_Import!$B:$B, MATCH(B180, Purchases_Import!$A:$A, 0))),
MONTH(INDEX(Purchases_Import!$B:$B, MATCH(B180, Purchases_Import!$A:$A, 0))),
1
))</f>
        <v>46054</v>
      </c>
      <c r="I180" s="2">
        <f t="shared" si="1"/>
        <v>120</v>
      </c>
    </row>
    <row r="181">
      <c r="A181" s="1" t="str">
        <f>IFERROR(__xludf.DUMMYFUNCTION("""COMPUTED_VALUE"""),"414152a4")</f>
        <v>414152a4</v>
      </c>
      <c r="B181" s="1" t="str">
        <f>IFERROR(__xludf.DUMMYFUNCTION("""COMPUTED_VALUE"""),"49781d38")</f>
        <v>49781d38</v>
      </c>
      <c r="C181" s="1" t="str">
        <f>IFERROR(__xludf.DUMMYFUNCTION("""COMPUTED_VALUE"""),"1b6b5ed6")</f>
        <v>1b6b5ed6</v>
      </c>
      <c r="D181" s="1">
        <f>IFERROR(__xludf.DUMMYFUNCTION("""COMPUTED_VALUE"""),120.0)</f>
        <v>120</v>
      </c>
      <c r="E181" s="1"/>
      <c r="F181" s="1"/>
      <c r="G181" s="1"/>
      <c r="H181" s="29">
        <f t="array" ref="H181">IF(B181="","",
DATE(
YEAR(INDEX(Purchases_Import!$B:$B, MATCH(B181, Purchases_Import!$A:$A, 0))),
MONTH(INDEX(Purchases_Import!$B:$B, MATCH(B181, Purchases_Import!$A:$A, 0))),
1
))</f>
        <v>46054</v>
      </c>
      <c r="I181" s="2">
        <f t="shared" si="1"/>
        <v>120</v>
      </c>
    </row>
    <row r="182">
      <c r="A182" s="1" t="str">
        <f>IFERROR(__xludf.DUMMYFUNCTION("""COMPUTED_VALUE"""),"e0bb1e06")</f>
        <v>e0bb1e06</v>
      </c>
      <c r="B182" s="1" t="str">
        <f>IFERROR(__xludf.DUMMYFUNCTION("""COMPUTED_VALUE"""),"e44fac19")</f>
        <v>e44fac19</v>
      </c>
      <c r="C182" s="1" t="str">
        <f>IFERROR(__xludf.DUMMYFUNCTION("""COMPUTED_VALUE"""),"0030")</f>
        <v>0030</v>
      </c>
      <c r="D182" s="1">
        <f>IFERROR(__xludf.DUMMYFUNCTION("""COMPUTED_VALUE"""),10.0)</f>
        <v>10</v>
      </c>
      <c r="E182" s="1">
        <f>IFERROR(__xludf.DUMMYFUNCTION("""COMPUTED_VALUE"""),4.45)</f>
        <v>4.45</v>
      </c>
      <c r="F182" s="1"/>
      <c r="G182" s="1"/>
      <c r="H182" s="29">
        <f t="array" ref="H182">IF(B182="","",
DATE(
YEAR(INDEX(Purchases_Import!$B:$B, MATCH(B182, Purchases_Import!$A:$A, 0))),
MONTH(INDEX(Purchases_Import!$B:$B, MATCH(B182, Purchases_Import!$A:$A, 0))),
1
))</f>
        <v>46054</v>
      </c>
      <c r="I182" s="2">
        <f t="shared" si="1"/>
        <v>10</v>
      </c>
    </row>
    <row r="183">
      <c r="A183" s="1" t="str">
        <f>IFERROR(__xludf.DUMMYFUNCTION("""COMPUTED_VALUE"""),"25457c5a")</f>
        <v>25457c5a</v>
      </c>
      <c r="B183" s="1" t="str">
        <f>IFERROR(__xludf.DUMMYFUNCTION("""COMPUTED_VALUE"""),"fa326fde")</f>
        <v>fa326fde</v>
      </c>
      <c r="C183" s="1" t="str">
        <f>IFERROR(__xludf.DUMMYFUNCTION("""COMPUTED_VALUE"""),"0001")</f>
        <v>0001</v>
      </c>
      <c r="D183" s="1">
        <f>IFERROR(__xludf.DUMMYFUNCTION("""COMPUTED_VALUE"""),705.0)</f>
        <v>705</v>
      </c>
      <c r="E183" s="1">
        <f>IFERROR(__xludf.DUMMYFUNCTION("""COMPUTED_VALUE"""),2.8)</f>
        <v>2.8</v>
      </c>
      <c r="F183" s="1"/>
      <c r="G183" s="1"/>
      <c r="H183" s="29">
        <f t="array" ref="H183">IF(B183="","",
DATE(
YEAR(INDEX(Purchases_Import!$B:$B, MATCH(B183, Purchases_Import!$A:$A, 0))),
MONTH(INDEX(Purchases_Import!$B:$B, MATCH(B183, Purchases_Import!$A:$A, 0))),
1
))</f>
        <v>46054</v>
      </c>
      <c r="I183" s="2">
        <f t="shared" si="1"/>
        <v>705</v>
      </c>
    </row>
    <row r="184">
      <c r="A184" s="1" t="str">
        <f>IFERROR(__xludf.DUMMYFUNCTION("""COMPUTED_VALUE"""),"343a23e8")</f>
        <v>343a23e8</v>
      </c>
      <c r="B184" s="1" t="str">
        <f>IFERROR(__xludf.DUMMYFUNCTION("""COMPUTED_VALUE"""),"fa326fde")</f>
        <v>fa326fde</v>
      </c>
      <c r="C184" s="1" t="str">
        <f>IFERROR(__xludf.DUMMYFUNCTION("""COMPUTED_VALUE"""),"bb6c2490")</f>
        <v>bb6c2490</v>
      </c>
      <c r="D184" s="1">
        <f>IFERROR(__xludf.DUMMYFUNCTION("""COMPUTED_VALUE"""),90.0)</f>
        <v>90</v>
      </c>
      <c r="E184" s="1">
        <f>IFERROR(__xludf.DUMMYFUNCTION("""COMPUTED_VALUE"""),2.78)</f>
        <v>2.78</v>
      </c>
      <c r="F184" s="1"/>
      <c r="G184" s="1"/>
      <c r="H184" s="29">
        <f t="array" ref="H184">IF(B184="","",
DATE(
YEAR(INDEX(Purchases_Import!$B:$B, MATCH(B184, Purchases_Import!$A:$A, 0))),
MONTH(INDEX(Purchases_Import!$B:$B, MATCH(B184, Purchases_Import!$A:$A, 0))),
1
))</f>
        <v>46054</v>
      </c>
      <c r="I184" s="2">
        <f t="shared" si="1"/>
        <v>90</v>
      </c>
    </row>
    <row r="185">
      <c r="A185" s="1" t="str">
        <f>IFERROR(__xludf.DUMMYFUNCTION("""COMPUTED_VALUE"""),"e1c6944c")</f>
        <v>e1c6944c</v>
      </c>
      <c r="B185" s="1" t="str">
        <f>IFERROR(__xludf.DUMMYFUNCTION("""COMPUTED_VALUE"""),"fa326fde")</f>
        <v>fa326fde</v>
      </c>
      <c r="C185" s="1" t="str">
        <f>IFERROR(__xludf.DUMMYFUNCTION("""COMPUTED_VALUE"""),"0011")</f>
        <v>0011</v>
      </c>
      <c r="D185" s="1">
        <f>IFERROR(__xludf.DUMMYFUNCTION("""COMPUTED_VALUE"""),120.0)</f>
        <v>120</v>
      </c>
      <c r="E185" s="1">
        <f>IFERROR(__xludf.DUMMYFUNCTION("""COMPUTED_VALUE"""),3.5)</f>
        <v>3.5</v>
      </c>
      <c r="F185" s="1"/>
      <c r="G185" s="1"/>
      <c r="H185" s="29">
        <f t="array" ref="H185">IF(B185="","",
DATE(
YEAR(INDEX(Purchases_Import!$B:$B, MATCH(B185, Purchases_Import!$A:$A, 0))),
MONTH(INDEX(Purchases_Import!$B:$B, MATCH(B185, Purchases_Import!$A:$A, 0))),
1
))</f>
        <v>46054</v>
      </c>
      <c r="I185" s="2">
        <f t="shared" si="1"/>
        <v>120</v>
      </c>
    </row>
    <row r="186">
      <c r="A186" s="1" t="str">
        <f>IFERROR(__xludf.DUMMYFUNCTION("""COMPUTED_VALUE"""),"56cb97b4")</f>
        <v>56cb97b4</v>
      </c>
      <c r="B186" s="1" t="str">
        <f>IFERROR(__xludf.DUMMYFUNCTION("""COMPUTED_VALUE"""),"4d8053dc")</f>
        <v>4d8053dc</v>
      </c>
      <c r="C186" s="1" t="str">
        <f>IFERROR(__xludf.DUMMYFUNCTION("""COMPUTED_VALUE"""),"0032")</f>
        <v>0032</v>
      </c>
      <c r="D186" s="1">
        <f>IFERROR(__xludf.DUMMYFUNCTION("""COMPUTED_VALUE"""),108.0)</f>
        <v>108</v>
      </c>
      <c r="E186" s="1">
        <f>IFERROR(__xludf.DUMMYFUNCTION("""COMPUTED_VALUE"""),2.0)</f>
        <v>2</v>
      </c>
      <c r="F186" s="1"/>
      <c r="G186" s="1"/>
      <c r="H186" s="29">
        <f t="array" ref="H186">IF(B186="","",
DATE(
YEAR(INDEX(Purchases_Import!$B:$B, MATCH(B186, Purchases_Import!$A:$A, 0))),
MONTH(INDEX(Purchases_Import!$B:$B, MATCH(B186, Purchases_Import!$A:$A, 0))),
1
))</f>
        <v>46054</v>
      </c>
      <c r="I186" s="2">
        <f t="shared" si="1"/>
        <v>108</v>
      </c>
    </row>
    <row r="187">
      <c r="A187" s="1" t="str">
        <f>IFERROR(__xludf.DUMMYFUNCTION("""COMPUTED_VALUE"""),"68a7dff2")</f>
        <v>68a7dff2</v>
      </c>
      <c r="B187" s="1" t="str">
        <f>IFERROR(__xludf.DUMMYFUNCTION("""COMPUTED_VALUE"""),"f1314e9b")</f>
        <v>f1314e9b</v>
      </c>
      <c r="C187" s="1" t="str">
        <f>IFERROR(__xludf.DUMMYFUNCTION("""COMPUTED_VALUE"""),"0021")</f>
        <v>0021</v>
      </c>
      <c r="D187" s="1">
        <f>IFERROR(__xludf.DUMMYFUNCTION("""COMPUTED_VALUE"""),72.0)</f>
        <v>72</v>
      </c>
      <c r="E187" s="1">
        <f>IFERROR(__xludf.DUMMYFUNCTION("""COMPUTED_VALUE"""),2.25)</f>
        <v>2.25</v>
      </c>
      <c r="F187" s="1"/>
      <c r="G187" s="1"/>
      <c r="H187" s="29">
        <f t="array" ref="H187">IF(B187="","",
DATE(
YEAR(INDEX(Purchases_Import!$B:$B, MATCH(B187, Purchases_Import!$A:$A, 0))),
MONTH(INDEX(Purchases_Import!$B:$B, MATCH(B187, Purchases_Import!$A:$A, 0))),
1
))</f>
        <v>46054</v>
      </c>
      <c r="I187" s="2">
        <f t="shared" si="1"/>
        <v>72</v>
      </c>
    </row>
    <row r="188">
      <c r="A188" s="1" t="str">
        <f>IFERROR(__xludf.DUMMYFUNCTION("""COMPUTED_VALUE"""),"2b615241")</f>
        <v>2b615241</v>
      </c>
      <c r="B188" s="1" t="str">
        <f>IFERROR(__xludf.DUMMYFUNCTION("""COMPUTED_VALUE"""),"f1314e9b")</f>
        <v>f1314e9b</v>
      </c>
      <c r="C188" s="1" t="str">
        <f>IFERROR(__xludf.DUMMYFUNCTION("""COMPUTED_VALUE"""),"0029")</f>
        <v>0029</v>
      </c>
      <c r="D188" s="1">
        <f>IFERROR(__xludf.DUMMYFUNCTION("""COMPUTED_VALUE"""),168.0)</f>
        <v>168</v>
      </c>
      <c r="E188" s="1">
        <f>IFERROR(__xludf.DUMMYFUNCTION("""COMPUTED_VALUE"""),2.25)</f>
        <v>2.25</v>
      </c>
      <c r="F188" s="1"/>
      <c r="G188" s="1"/>
      <c r="H188" s="29">
        <f t="array" ref="H188">IF(B188="","",
DATE(
YEAR(INDEX(Purchases_Import!$B:$B, MATCH(B188, Purchases_Import!$A:$A, 0))),
MONTH(INDEX(Purchases_Import!$B:$B, MATCH(B188, Purchases_Import!$A:$A, 0))),
1
))</f>
        <v>46054</v>
      </c>
      <c r="I188" s="2">
        <f t="shared" si="1"/>
        <v>168</v>
      </c>
    </row>
    <row r="189">
      <c r="A189" s="1" t="str">
        <f>IFERROR(__xludf.DUMMYFUNCTION("""COMPUTED_VALUE"""),"98c3a863")</f>
        <v>98c3a863</v>
      </c>
      <c r="B189" s="1" t="str">
        <f>IFERROR(__xludf.DUMMYFUNCTION("""COMPUTED_VALUE"""),"f1314e9b")</f>
        <v>f1314e9b</v>
      </c>
      <c r="C189" s="1" t="str">
        <f>IFERROR(__xludf.DUMMYFUNCTION("""COMPUTED_VALUE"""),"83dd14b5")</f>
        <v>83dd14b5</v>
      </c>
      <c r="D189" s="1">
        <f>IFERROR(__xludf.DUMMYFUNCTION("""COMPUTED_VALUE"""),144.0)</f>
        <v>144</v>
      </c>
      <c r="E189" s="1">
        <f>IFERROR(__xludf.DUMMYFUNCTION("""COMPUTED_VALUE"""),0.45)</f>
        <v>0.45</v>
      </c>
      <c r="F189" s="1"/>
      <c r="G189" s="1"/>
      <c r="H189" s="29">
        <f t="array" ref="H189">IF(B189="","",
DATE(
YEAR(INDEX(Purchases_Import!$B:$B, MATCH(B189, Purchases_Import!$A:$A, 0))),
MONTH(INDEX(Purchases_Import!$B:$B, MATCH(B189, Purchases_Import!$A:$A, 0))),
1
))</f>
        <v>46054</v>
      </c>
      <c r="I189" s="2">
        <f t="shared" si="1"/>
        <v>144</v>
      </c>
    </row>
    <row r="190">
      <c r="A190" s="1" t="str">
        <f>IFERROR(__xludf.DUMMYFUNCTION("""COMPUTED_VALUE"""),"5ace2728")</f>
        <v>5ace2728</v>
      </c>
      <c r="B190" s="1" t="str">
        <f>IFERROR(__xludf.DUMMYFUNCTION("""COMPUTED_VALUE"""),"58f0f51e")</f>
        <v>58f0f51e</v>
      </c>
      <c r="C190" s="1" t="str">
        <f>IFERROR(__xludf.DUMMYFUNCTION("""COMPUTED_VALUE"""),"0011")</f>
        <v>0011</v>
      </c>
      <c r="D190" s="1">
        <f>IFERROR(__xludf.DUMMYFUNCTION("""COMPUTED_VALUE"""),120.0)</f>
        <v>120</v>
      </c>
      <c r="E190" s="1">
        <f>IFERROR(__xludf.DUMMYFUNCTION("""COMPUTED_VALUE"""),3.5)</f>
        <v>3.5</v>
      </c>
      <c r="F190" s="1"/>
      <c r="G190" s="1"/>
      <c r="H190" s="29">
        <f t="array" ref="H190">IF(B190="","",
DATE(
YEAR(INDEX(Purchases_Import!$B:$B, MATCH(B190, Purchases_Import!$A:$A, 0))),
MONTH(INDEX(Purchases_Import!$B:$B, MATCH(B190, Purchases_Import!$A:$A, 0))),
1
))</f>
        <v>46054</v>
      </c>
      <c r="I190" s="2">
        <f t="shared" si="1"/>
        <v>120</v>
      </c>
    </row>
    <row r="191">
      <c r="A191" s="1" t="str">
        <f>IFERROR(__xludf.DUMMYFUNCTION("""COMPUTED_VALUE"""),"96247439")</f>
        <v>96247439</v>
      </c>
      <c r="B191" s="1" t="str">
        <f>IFERROR(__xludf.DUMMYFUNCTION("""COMPUTED_VALUE"""),"58f0f51e")</f>
        <v>58f0f51e</v>
      </c>
      <c r="C191" s="1" t="str">
        <f>IFERROR(__xludf.DUMMYFUNCTION("""COMPUTED_VALUE"""),"0032")</f>
        <v>0032</v>
      </c>
      <c r="D191" s="1">
        <f>IFERROR(__xludf.DUMMYFUNCTION("""COMPUTED_VALUE"""),162.0)</f>
        <v>162</v>
      </c>
      <c r="E191" s="1">
        <f>IFERROR(__xludf.DUMMYFUNCTION("""COMPUTED_VALUE"""),2.0)</f>
        <v>2</v>
      </c>
      <c r="F191" s="1"/>
      <c r="G191" s="1"/>
      <c r="H191" s="29">
        <f t="array" ref="H191">IF(B191="","",
DATE(
YEAR(INDEX(Purchases_Import!$B:$B, MATCH(B191, Purchases_Import!$A:$A, 0))),
MONTH(INDEX(Purchases_Import!$B:$B, MATCH(B191, Purchases_Import!$A:$A, 0))),
1
))</f>
        <v>46054</v>
      </c>
      <c r="I191" s="2">
        <f t="shared" si="1"/>
        <v>162</v>
      </c>
    </row>
    <row r="192">
      <c r="A192" s="1" t="str">
        <f>IFERROR(__xludf.DUMMYFUNCTION("""COMPUTED_VALUE"""),"301929d7")</f>
        <v>301929d7</v>
      </c>
      <c r="B192" s="1" t="str">
        <f>IFERROR(__xludf.DUMMYFUNCTION("""COMPUTED_VALUE"""),"8fe7beb3")</f>
        <v>8fe7beb3</v>
      </c>
      <c r="C192" s="1" t="str">
        <f>IFERROR(__xludf.DUMMYFUNCTION("""COMPUTED_VALUE"""),"0002")</f>
        <v>0002</v>
      </c>
      <c r="D192" s="1">
        <f>IFERROR(__xludf.DUMMYFUNCTION("""COMPUTED_VALUE"""),480.0)</f>
        <v>480</v>
      </c>
      <c r="E192" s="1">
        <f>IFERROR(__xludf.DUMMYFUNCTION("""COMPUTED_VALUE"""),0.3)</f>
        <v>0.3</v>
      </c>
      <c r="F192" s="1"/>
      <c r="G192" s="1"/>
      <c r="H192" s="29">
        <f t="array" ref="H192">IF(B192="","",
DATE(
YEAR(INDEX(Purchases_Import!$B:$B, MATCH(B192, Purchases_Import!$A:$A, 0))),
MONTH(INDEX(Purchases_Import!$B:$B, MATCH(B192, Purchases_Import!$A:$A, 0))),
1
))</f>
        <v>46054</v>
      </c>
      <c r="I192" s="2">
        <f t="shared" si="1"/>
        <v>480</v>
      </c>
    </row>
    <row r="193">
      <c r="A193" s="1" t="str">
        <f>IFERROR(__xludf.DUMMYFUNCTION("""COMPUTED_VALUE"""),"dd730e2c")</f>
        <v>dd730e2c</v>
      </c>
      <c r="B193" s="1" t="str">
        <f>IFERROR(__xludf.DUMMYFUNCTION("""COMPUTED_VALUE"""),"2200b6da")</f>
        <v>2200b6da</v>
      </c>
      <c r="C193" s="1" t="str">
        <f>IFERROR(__xludf.DUMMYFUNCTION("""COMPUTED_VALUE"""),"0021")</f>
        <v>0021</v>
      </c>
      <c r="D193" s="1">
        <f>IFERROR(__xludf.DUMMYFUNCTION("""COMPUTED_VALUE"""),96.0)</f>
        <v>96</v>
      </c>
      <c r="E193" s="1">
        <f>IFERROR(__xludf.DUMMYFUNCTION("""COMPUTED_VALUE"""),2.25)</f>
        <v>2.25</v>
      </c>
      <c r="F193" s="1"/>
      <c r="G193" s="1"/>
      <c r="H193" s="29">
        <f t="array" ref="H193">IF(B193="","",
DATE(
YEAR(INDEX(Purchases_Import!$B:$B, MATCH(B193, Purchases_Import!$A:$A, 0))),
MONTH(INDEX(Purchases_Import!$B:$B, MATCH(B193, Purchases_Import!$A:$A, 0))),
1
))</f>
        <v>46082</v>
      </c>
      <c r="I193" s="2">
        <f t="shared" si="1"/>
        <v>96</v>
      </c>
    </row>
    <row r="194">
      <c r="A194" s="1" t="str">
        <f>IFERROR(__xludf.DUMMYFUNCTION("""COMPUTED_VALUE"""),"41f1fb14")</f>
        <v>41f1fb14</v>
      </c>
      <c r="B194" s="1" t="str">
        <f>IFERROR(__xludf.DUMMYFUNCTION("""COMPUTED_VALUE"""),"2200b6da")</f>
        <v>2200b6da</v>
      </c>
      <c r="C194" s="1" t="str">
        <f>IFERROR(__xludf.DUMMYFUNCTION("""COMPUTED_VALUE"""),"0016")</f>
        <v>0016</v>
      </c>
      <c r="D194" s="1">
        <f>IFERROR(__xludf.DUMMYFUNCTION("""COMPUTED_VALUE"""),24.0)</f>
        <v>24</v>
      </c>
      <c r="E194" s="1">
        <f>IFERROR(__xludf.DUMMYFUNCTION("""COMPUTED_VALUE"""),0.92)</f>
        <v>0.92</v>
      </c>
      <c r="F194" s="1"/>
      <c r="G194" s="1"/>
      <c r="H194" s="29">
        <f t="array" ref="H194">IF(B194="","",
DATE(
YEAR(INDEX(Purchases_Import!$B:$B, MATCH(B194, Purchases_Import!$A:$A, 0))),
MONTH(INDEX(Purchases_Import!$B:$B, MATCH(B194, Purchases_Import!$A:$A, 0))),
1
))</f>
        <v>46082</v>
      </c>
      <c r="I194" s="2">
        <f t="shared" si="1"/>
        <v>24</v>
      </c>
    </row>
    <row r="195">
      <c r="A195" s="1" t="str">
        <f>IFERROR(__xludf.DUMMYFUNCTION("""COMPUTED_VALUE"""),"b6d70bc5")</f>
        <v>b6d70bc5</v>
      </c>
      <c r="B195" s="1" t="str">
        <f>IFERROR(__xludf.DUMMYFUNCTION("""COMPUTED_VALUE"""),"edecceb3")</f>
        <v>edecceb3</v>
      </c>
      <c r="C195" s="1" t="str">
        <f>IFERROR(__xludf.DUMMYFUNCTION("""COMPUTED_VALUE"""),"0049")</f>
        <v>0049</v>
      </c>
      <c r="D195" s="1">
        <f>IFERROR(__xludf.DUMMYFUNCTION("""COMPUTED_VALUE"""),60.0)</f>
        <v>60</v>
      </c>
      <c r="E195" s="1">
        <f>IFERROR(__xludf.DUMMYFUNCTION("""COMPUTED_VALUE"""),1.93)</f>
        <v>1.93</v>
      </c>
      <c r="F195" s="1"/>
      <c r="G195" s="1"/>
      <c r="H195" s="29">
        <f t="array" ref="H195">IF(B195="","",
DATE(
YEAR(INDEX(Purchases_Import!$B:$B, MATCH(B195, Purchases_Import!$A:$A, 0))),
MONTH(INDEX(Purchases_Import!$B:$B, MATCH(B195, Purchases_Import!$A:$A, 0))),
1
))</f>
        <v>46082</v>
      </c>
      <c r="I195" s="2">
        <f t="shared" si="1"/>
        <v>60</v>
      </c>
    </row>
    <row r="196">
      <c r="A196" s="1" t="str">
        <f>IFERROR(__xludf.DUMMYFUNCTION("""COMPUTED_VALUE"""),"692bed82")</f>
        <v>692bed82</v>
      </c>
      <c r="B196" s="1" t="str">
        <f>IFERROR(__xludf.DUMMYFUNCTION("""COMPUTED_VALUE"""),"30ca239d")</f>
        <v>30ca239d</v>
      </c>
      <c r="C196" s="1" t="str">
        <f>IFERROR(__xludf.DUMMYFUNCTION("""COMPUTED_VALUE"""),"12b96290")</f>
        <v>12b96290</v>
      </c>
      <c r="D196" s="1">
        <f>IFERROR(__xludf.DUMMYFUNCTION("""COMPUTED_VALUE"""),105.0)</f>
        <v>105</v>
      </c>
      <c r="E196" s="1">
        <f>IFERROR(__xludf.DUMMYFUNCTION("""COMPUTED_VALUE"""),2.8)</f>
        <v>2.8</v>
      </c>
      <c r="F196" s="1"/>
      <c r="G196" s="1"/>
      <c r="H196" s="29">
        <f t="array" ref="H196">IF(B196="","",
DATE(
YEAR(INDEX(Purchases_Import!$B:$B, MATCH(B196, Purchases_Import!$A:$A, 0))),
MONTH(INDEX(Purchases_Import!$B:$B, MATCH(B196, Purchases_Import!$A:$A, 0))),
1
))</f>
        <v>46082</v>
      </c>
      <c r="I196" s="2">
        <f t="shared" si="1"/>
        <v>105</v>
      </c>
    </row>
    <row r="197">
      <c r="A197" s="1" t="str">
        <f>IFERROR(__xludf.DUMMYFUNCTION("""COMPUTED_VALUE"""),"3443655f")</f>
        <v>3443655f</v>
      </c>
      <c r="B197" s="1" t="str">
        <f>IFERROR(__xludf.DUMMYFUNCTION("""COMPUTED_VALUE"""),"30ca239d")</f>
        <v>30ca239d</v>
      </c>
      <c r="C197" s="1" t="str">
        <f>IFERROR(__xludf.DUMMYFUNCTION("""COMPUTED_VALUE"""),"b3204174")</f>
        <v>b3204174</v>
      </c>
      <c r="D197" s="1">
        <f>IFERROR(__xludf.DUMMYFUNCTION("""COMPUTED_VALUE"""),100.0)</f>
        <v>100</v>
      </c>
      <c r="E197" s="1"/>
      <c r="F197" s="1"/>
      <c r="G197" s="1"/>
      <c r="H197" s="29">
        <f t="array" ref="H197">IF(B197="","",
DATE(
YEAR(INDEX(Purchases_Import!$B:$B, MATCH(B197, Purchases_Import!$A:$A, 0))),
MONTH(INDEX(Purchases_Import!$B:$B, MATCH(B197, Purchases_Import!$A:$A, 0))),
1
))</f>
        <v>46082</v>
      </c>
      <c r="I197" s="2">
        <f t="shared" si="1"/>
        <v>100</v>
      </c>
    </row>
    <row r="198">
      <c r="A198" s="1" t="str">
        <f>IFERROR(__xludf.DUMMYFUNCTION("""COMPUTED_VALUE"""),"ff6a126a")</f>
        <v>ff6a126a</v>
      </c>
      <c r="B198" s="1" t="str">
        <f>IFERROR(__xludf.DUMMYFUNCTION("""COMPUTED_VALUE"""),"43f4b2f6")</f>
        <v>43f4b2f6</v>
      </c>
      <c r="C198" s="1" t="str">
        <f>IFERROR(__xludf.DUMMYFUNCTION("""COMPUTED_VALUE"""),"0049")</f>
        <v>0049</v>
      </c>
      <c r="D198" s="1">
        <f>IFERROR(__xludf.DUMMYFUNCTION("""COMPUTED_VALUE"""),42.0)</f>
        <v>42</v>
      </c>
      <c r="E198" s="1">
        <f>IFERROR(__xludf.DUMMYFUNCTION("""COMPUTED_VALUE"""),1.93)</f>
        <v>1.93</v>
      </c>
      <c r="F198" s="1"/>
      <c r="G198" s="1"/>
      <c r="H198" s="29">
        <f t="array" ref="H198">IF(B198="","",
DATE(
YEAR(INDEX(Purchases_Import!$B:$B, MATCH(B198, Purchases_Import!$A:$A, 0))),
MONTH(INDEX(Purchases_Import!$B:$B, MATCH(B198, Purchases_Import!$A:$A, 0))),
1
))</f>
        <v>46082</v>
      </c>
      <c r="I198" s="2">
        <f t="shared" si="1"/>
        <v>42</v>
      </c>
    </row>
    <row r="199">
      <c r="A199" s="1" t="str">
        <f>IFERROR(__xludf.DUMMYFUNCTION("""COMPUTED_VALUE"""),"5947ae88")</f>
        <v>5947ae88</v>
      </c>
      <c r="B199" s="1" t="str">
        <f>IFERROR(__xludf.DUMMYFUNCTION("""COMPUTED_VALUE"""),"43f4b2f6")</f>
        <v>43f4b2f6</v>
      </c>
      <c r="C199" s="1" t="str">
        <f>IFERROR(__xludf.DUMMYFUNCTION("""COMPUTED_VALUE"""),"cf6c9481")</f>
        <v>cf6c9481</v>
      </c>
      <c r="D199" s="1">
        <f>IFERROR(__xludf.DUMMYFUNCTION("""COMPUTED_VALUE"""),48.0)</f>
        <v>48</v>
      </c>
      <c r="E199" s="1"/>
      <c r="F199" s="1"/>
      <c r="G199" s="1"/>
      <c r="H199" s="29">
        <f t="array" ref="H199">IF(B199="","",
DATE(
YEAR(INDEX(Purchases_Import!$B:$B, MATCH(B199, Purchases_Import!$A:$A, 0))),
MONTH(INDEX(Purchases_Import!$B:$B, MATCH(B199, Purchases_Import!$A:$A, 0))),
1
))</f>
        <v>46082</v>
      </c>
      <c r="I199" s="2">
        <f t="shared" si="1"/>
        <v>48</v>
      </c>
    </row>
    <row r="200">
      <c r="A200" s="1" t="str">
        <f>IFERROR(__xludf.DUMMYFUNCTION("""COMPUTED_VALUE"""),"a21f3a11")</f>
        <v>a21f3a11</v>
      </c>
      <c r="B200" s="1" t="str">
        <f>IFERROR(__xludf.DUMMYFUNCTION("""COMPUTED_VALUE"""),"43f4b2f6")</f>
        <v>43f4b2f6</v>
      </c>
      <c r="C200" s="1" t="str">
        <f>IFERROR(__xludf.DUMMYFUNCTION("""COMPUTED_VALUE"""),"0086")</f>
        <v>0086</v>
      </c>
      <c r="D200" s="1">
        <f>IFERROR(__xludf.DUMMYFUNCTION("""COMPUTED_VALUE"""),50.0)</f>
        <v>50</v>
      </c>
      <c r="E200" s="1">
        <f>IFERROR(__xludf.DUMMYFUNCTION("""COMPUTED_VALUE"""),4.7)</f>
        <v>4.7</v>
      </c>
      <c r="F200" s="1"/>
      <c r="G200" s="1"/>
      <c r="H200" s="29">
        <f t="array" ref="H200">IF(B200="","",
DATE(
YEAR(INDEX(Purchases_Import!$B:$B, MATCH(B200, Purchases_Import!$A:$A, 0))),
MONTH(INDEX(Purchases_Import!$B:$B, MATCH(B200, Purchases_Import!$A:$A, 0))),
1
))</f>
        <v>46082</v>
      </c>
      <c r="I200" s="2">
        <f t="shared" si="1"/>
        <v>50</v>
      </c>
    </row>
    <row r="201">
      <c r="A201" s="1" t="str">
        <f>IFERROR(__xludf.DUMMYFUNCTION("""COMPUTED_VALUE"""),"6447d849")</f>
        <v>6447d849</v>
      </c>
      <c r="B201" s="1" t="str">
        <f>IFERROR(__xludf.DUMMYFUNCTION("""COMPUTED_VALUE"""),"35cb0a30")</f>
        <v>35cb0a30</v>
      </c>
      <c r="C201" s="1"/>
      <c r="D201" s="1"/>
      <c r="E201" s="1"/>
      <c r="F201" s="1"/>
      <c r="G201" s="1"/>
      <c r="H201" s="29">
        <f t="array" ref="H201">IF(B201="","",
DATE(
YEAR(INDEX(Purchases_Import!$B:$B, MATCH(B201, Purchases_Import!$A:$A, 0))),
MONTH(INDEX(Purchases_Import!$B:$B, MATCH(B201, Purchases_Import!$A:$A, 0))),
1
))</f>
        <v>46082</v>
      </c>
      <c r="I201" s="2" t="str">
        <f t="shared" si="1"/>
        <v/>
      </c>
    </row>
    <row r="202">
      <c r="A202" s="1" t="str">
        <f>IFERROR(__xludf.DUMMYFUNCTION("""COMPUTED_VALUE"""),"a23b2766")</f>
        <v>a23b2766</v>
      </c>
      <c r="B202" s="1" t="str">
        <f>IFERROR(__xludf.DUMMYFUNCTION("""COMPUTED_VALUE"""),"35cb0a30")</f>
        <v>35cb0a30</v>
      </c>
      <c r="C202" s="1" t="str">
        <f>IFERROR(__xludf.DUMMYFUNCTION("""COMPUTED_VALUE"""),"a19879cf")</f>
        <v>a19879cf</v>
      </c>
      <c r="D202" s="1">
        <f>IFERROR(__xludf.DUMMYFUNCTION("""COMPUTED_VALUE"""),24.0)</f>
        <v>24</v>
      </c>
      <c r="E202" s="1"/>
      <c r="F202" s="1"/>
      <c r="G202" s="1"/>
      <c r="H202" s="29">
        <f t="array" ref="H202">IF(B202="","",
DATE(
YEAR(INDEX(Purchases_Import!$B:$B, MATCH(B202, Purchases_Import!$A:$A, 0))),
MONTH(INDEX(Purchases_Import!$B:$B, MATCH(B202, Purchases_Import!$A:$A, 0))),
1
))</f>
        <v>46082</v>
      </c>
      <c r="I202" s="2">
        <f t="shared" si="1"/>
        <v>24</v>
      </c>
    </row>
    <row r="203">
      <c r="A203" s="1" t="str">
        <f>IFERROR(__xludf.DUMMYFUNCTION("""COMPUTED_VALUE"""),"5a3626f6")</f>
        <v>5a3626f6</v>
      </c>
      <c r="B203" s="1" t="str">
        <f>IFERROR(__xludf.DUMMYFUNCTION("""COMPUTED_VALUE"""),"35cb0a30")</f>
        <v>35cb0a30</v>
      </c>
      <c r="C203" s="1" t="str">
        <f>IFERROR(__xludf.DUMMYFUNCTION("""COMPUTED_VALUE"""),"27c8f623")</f>
        <v>27c8f623</v>
      </c>
      <c r="D203" s="1">
        <f>IFERROR(__xludf.DUMMYFUNCTION("""COMPUTED_VALUE"""),24.0)</f>
        <v>24</v>
      </c>
      <c r="E203" s="1"/>
      <c r="F203" s="1"/>
      <c r="G203" s="1"/>
      <c r="H203" s="29">
        <f t="array" ref="H203">IF(B203="","",
DATE(
YEAR(INDEX(Purchases_Import!$B:$B, MATCH(B203, Purchases_Import!$A:$A, 0))),
MONTH(INDEX(Purchases_Import!$B:$B, MATCH(B203, Purchases_Import!$A:$A, 0))),
1
))</f>
        <v>46082</v>
      </c>
      <c r="I203" s="2">
        <f t="shared" si="1"/>
        <v>24</v>
      </c>
    </row>
    <row r="204">
      <c r="A204" s="1" t="str">
        <f>IFERROR(__xludf.DUMMYFUNCTION("""COMPUTED_VALUE"""),"3329d897")</f>
        <v>3329d897</v>
      </c>
      <c r="B204" s="1" t="str">
        <f>IFERROR(__xludf.DUMMYFUNCTION("""COMPUTED_VALUE"""),"35cb0a30")</f>
        <v>35cb0a30</v>
      </c>
      <c r="C204" s="1" t="str">
        <f>IFERROR(__xludf.DUMMYFUNCTION("""COMPUTED_VALUE"""),"02d86a9b")</f>
        <v>02d86a9b</v>
      </c>
      <c r="D204" s="1">
        <f>IFERROR(__xludf.DUMMYFUNCTION("""COMPUTED_VALUE"""),24.0)</f>
        <v>24</v>
      </c>
      <c r="E204" s="1"/>
      <c r="F204" s="1"/>
      <c r="G204" s="1"/>
      <c r="H204" s="29">
        <f t="array" ref="H204">IF(B204="","",
DATE(
YEAR(INDEX(Purchases_Import!$B:$B, MATCH(B204, Purchases_Import!$A:$A, 0))),
MONTH(INDEX(Purchases_Import!$B:$B, MATCH(B204, Purchases_Import!$A:$A, 0))),
1
))</f>
        <v>46082</v>
      </c>
      <c r="I204" s="2">
        <f t="shared" si="1"/>
        <v>24</v>
      </c>
    </row>
    <row r="205">
      <c r="A205" s="1" t="str">
        <f>IFERROR(__xludf.DUMMYFUNCTION("""COMPUTED_VALUE"""),"4d11cb5b")</f>
        <v>4d11cb5b</v>
      </c>
      <c r="B205" s="1" t="str">
        <f>IFERROR(__xludf.DUMMYFUNCTION("""COMPUTED_VALUE"""),"fd017c96")</f>
        <v>fd017c96</v>
      </c>
      <c r="C205" s="1" t="str">
        <f>IFERROR(__xludf.DUMMYFUNCTION("""COMPUTED_VALUE"""),"0001")</f>
        <v>0001</v>
      </c>
      <c r="D205" s="1">
        <f>IFERROR(__xludf.DUMMYFUNCTION("""COMPUTED_VALUE"""),60.0)</f>
        <v>60</v>
      </c>
      <c r="E205" s="1">
        <f>IFERROR(__xludf.DUMMYFUNCTION("""COMPUTED_VALUE"""),2.8)</f>
        <v>2.8</v>
      </c>
      <c r="F205" s="1"/>
      <c r="G205" s="1"/>
      <c r="H205" s="29">
        <f t="array" ref="H205">IF(B205="","",
DATE(
YEAR(INDEX(Purchases_Import!$B:$B, MATCH(B205, Purchases_Import!$A:$A, 0))),
MONTH(INDEX(Purchases_Import!$B:$B, MATCH(B205, Purchases_Import!$A:$A, 0))),
1
))</f>
        <v>46082</v>
      </c>
      <c r="I205" s="2">
        <f t="shared" si="1"/>
        <v>60</v>
      </c>
    </row>
    <row r="206">
      <c r="A206" s="1"/>
      <c r="B206" s="1"/>
      <c r="C206" s="1"/>
      <c r="D206" s="1"/>
      <c r="E206" s="1"/>
      <c r="F206" s="1"/>
      <c r="G206" s="1"/>
      <c r="H206" s="1" t="str">
        <f t="array" ref="H206">IF(B206="","",
DATE(
YEAR(INDEX(Purchases_Import!$B:$B, MATCH(B206, Purchases_Import!$A:$A, 0))),
MONTH(INDEX(Purchases_Import!$B:$B, MATCH(B206, Purchases_Import!$A:$A, 0))),
1
))</f>
        <v/>
      </c>
      <c r="I206" s="2" t="str">
        <f t="shared" si="1"/>
        <v/>
      </c>
    </row>
    <row r="207">
      <c r="A207" s="1" t="str">
        <f>IFERROR(__xludf.DUMMYFUNCTION("""COMPUTED_VALUE"""),"2bde9ce7")</f>
        <v>2bde9ce7</v>
      </c>
      <c r="B207" s="1" t="str">
        <f>IFERROR(__xludf.DUMMYFUNCTION("""COMPUTED_VALUE"""),"fd017c96")</f>
        <v>fd017c96</v>
      </c>
      <c r="C207" s="1" t="str">
        <f>IFERROR(__xludf.DUMMYFUNCTION("""COMPUTED_VALUE"""),"bb6c2490")</f>
        <v>bb6c2490</v>
      </c>
      <c r="D207" s="1">
        <f>IFERROR(__xludf.DUMMYFUNCTION("""COMPUTED_VALUE"""),72.0)</f>
        <v>72</v>
      </c>
      <c r="E207" s="1">
        <f>IFERROR(__xludf.DUMMYFUNCTION("""COMPUTED_VALUE"""),2.78)</f>
        <v>2.78</v>
      </c>
      <c r="F207" s="1"/>
      <c r="G207" s="1"/>
      <c r="H207" s="29">
        <f t="array" ref="H207">IF(B207="","",
DATE(
YEAR(INDEX(Purchases_Import!$B:$B, MATCH(B207, Purchases_Import!$A:$A, 0))),
MONTH(INDEX(Purchases_Import!$B:$B, MATCH(B207, Purchases_Import!$A:$A, 0))),
1
))</f>
        <v>46082</v>
      </c>
      <c r="I207" s="2">
        <f t="shared" si="1"/>
        <v>72</v>
      </c>
    </row>
    <row r="208">
      <c r="A208" s="1" t="str">
        <f>IFERROR(__xludf.DUMMYFUNCTION("""COMPUTED_VALUE"""),"596465ea")</f>
        <v>596465ea</v>
      </c>
      <c r="B208" s="1" t="str">
        <f>IFERROR(__xludf.DUMMYFUNCTION("""COMPUTED_VALUE"""),"fd017c96")</f>
        <v>fd017c96</v>
      </c>
      <c r="C208" s="1" t="str">
        <f>IFERROR(__xludf.DUMMYFUNCTION("""COMPUTED_VALUE"""),"c099f042")</f>
        <v>c099f042</v>
      </c>
      <c r="D208" s="1">
        <f>IFERROR(__xludf.DUMMYFUNCTION("""COMPUTED_VALUE"""),40.0)</f>
        <v>40</v>
      </c>
      <c r="E208" s="1"/>
      <c r="F208" s="1"/>
      <c r="G208" s="1"/>
      <c r="H208" s="29">
        <f t="array" ref="H208">IF(B208="","",
DATE(
YEAR(INDEX(Purchases_Import!$B:$B, MATCH(B208, Purchases_Import!$A:$A, 0))),
MONTH(INDEX(Purchases_Import!$B:$B, MATCH(B208, Purchases_Import!$A:$A, 0))),
1
))</f>
        <v>46082</v>
      </c>
      <c r="I208" s="2">
        <f t="shared" si="1"/>
        <v>40</v>
      </c>
    </row>
    <row r="209">
      <c r="A209" s="1" t="str">
        <f>IFERROR(__xludf.DUMMYFUNCTION("""COMPUTED_VALUE"""),"da32693b")</f>
        <v>da32693b</v>
      </c>
      <c r="B209" s="1" t="str">
        <f>IFERROR(__xludf.DUMMYFUNCTION("""COMPUTED_VALUE"""),"fd017c96")</f>
        <v>fd017c96</v>
      </c>
      <c r="C209" s="1" t="str">
        <f>IFERROR(__xludf.DUMMYFUNCTION("""COMPUTED_VALUE"""),"83dd14b5")</f>
        <v>83dd14b5</v>
      </c>
      <c r="D209" s="1">
        <f>IFERROR(__xludf.DUMMYFUNCTION("""COMPUTED_VALUE"""),240.0)</f>
        <v>240</v>
      </c>
      <c r="E209" s="1">
        <f>IFERROR(__xludf.DUMMYFUNCTION("""COMPUTED_VALUE"""),0.45)</f>
        <v>0.45</v>
      </c>
      <c r="F209" s="1"/>
      <c r="G209" s="1"/>
      <c r="H209" s="29">
        <f t="array" ref="H209">IF(B209="","",
DATE(
YEAR(INDEX(Purchases_Import!$B:$B, MATCH(B209, Purchases_Import!$A:$A, 0))),
MONTH(INDEX(Purchases_Import!$B:$B, MATCH(B209, Purchases_Import!$A:$A, 0))),
1
))</f>
        <v>46082</v>
      </c>
      <c r="I209" s="2">
        <f t="shared" si="1"/>
        <v>240</v>
      </c>
    </row>
    <row r="210">
      <c r="A210" s="1" t="str">
        <f>IFERROR(__xludf.DUMMYFUNCTION("""COMPUTED_VALUE"""),"978bbea4")</f>
        <v>978bbea4</v>
      </c>
      <c r="B210" s="1" t="str">
        <f>IFERROR(__xludf.DUMMYFUNCTION("""COMPUTED_VALUE"""),"f00c0ff5")</f>
        <v>f00c0ff5</v>
      </c>
      <c r="C210" s="1" t="str">
        <f>IFERROR(__xludf.DUMMYFUNCTION("""COMPUTED_VALUE"""),"0029")</f>
        <v>0029</v>
      </c>
      <c r="D210" s="1">
        <f>IFERROR(__xludf.DUMMYFUNCTION("""COMPUTED_VALUE"""),96.0)</f>
        <v>96</v>
      </c>
      <c r="E210" s="1">
        <f>IFERROR(__xludf.DUMMYFUNCTION("""COMPUTED_VALUE"""),2.25)</f>
        <v>2.25</v>
      </c>
      <c r="F210" s="1"/>
      <c r="G210" s="1"/>
      <c r="H210" s="29">
        <f t="array" ref="H210">IF(B210="","",
DATE(
YEAR(INDEX(Purchases_Import!$B:$B, MATCH(B210, Purchases_Import!$A:$A, 0))),
MONTH(INDEX(Purchases_Import!$B:$B, MATCH(B210, Purchases_Import!$A:$A, 0))),
1
))</f>
        <v>46082</v>
      </c>
      <c r="I210" s="2">
        <f t="shared" si="1"/>
        <v>96</v>
      </c>
    </row>
    <row r="211">
      <c r="A211" s="1" t="str">
        <f>IFERROR(__xludf.DUMMYFUNCTION("""COMPUTED_VALUE"""),"b283eade")</f>
        <v>b283eade</v>
      </c>
      <c r="B211" s="1" t="str">
        <f>IFERROR(__xludf.DUMMYFUNCTION("""COMPUTED_VALUE"""),"f00c0ff5")</f>
        <v>f00c0ff5</v>
      </c>
      <c r="C211" s="1" t="str">
        <f>IFERROR(__xludf.DUMMYFUNCTION("""COMPUTED_VALUE"""),"0054")</f>
        <v>0054</v>
      </c>
      <c r="D211" s="1">
        <f>IFERROR(__xludf.DUMMYFUNCTION("""COMPUTED_VALUE"""),42.0)</f>
        <v>42</v>
      </c>
      <c r="E211" s="1">
        <f>IFERROR(__xludf.DUMMYFUNCTION("""COMPUTED_VALUE"""),2.25)</f>
        <v>2.25</v>
      </c>
      <c r="F211" s="1"/>
      <c r="G211" s="1"/>
      <c r="H211" s="29">
        <f t="array" ref="H211">IF(B211="","",
DATE(
YEAR(INDEX(Purchases_Import!$B:$B, MATCH(B211, Purchases_Import!$A:$A, 0))),
MONTH(INDEX(Purchases_Import!$B:$B, MATCH(B211, Purchases_Import!$A:$A, 0))),
1
))</f>
        <v>46082</v>
      </c>
      <c r="I211" s="2">
        <f t="shared" si="1"/>
        <v>42</v>
      </c>
    </row>
    <row r="212">
      <c r="A212" s="1" t="str">
        <f>IFERROR(__xludf.DUMMYFUNCTION("""COMPUTED_VALUE"""),"972ac7be")</f>
        <v>972ac7be</v>
      </c>
      <c r="B212" s="1" t="str">
        <f>IFERROR(__xludf.DUMMYFUNCTION("""COMPUTED_VALUE"""),"f00c0ff5")</f>
        <v>f00c0ff5</v>
      </c>
      <c r="C212" s="1" t="str">
        <f>IFERROR(__xludf.DUMMYFUNCTION("""COMPUTED_VALUE"""),"a3f74383")</f>
        <v>a3f74383</v>
      </c>
      <c r="D212" s="1">
        <f>IFERROR(__xludf.DUMMYFUNCTION("""COMPUTED_VALUE"""),24.0)</f>
        <v>24</v>
      </c>
      <c r="E212" s="1">
        <f>IFERROR(__xludf.DUMMYFUNCTION("""COMPUTED_VALUE"""),2.25)</f>
        <v>2.25</v>
      </c>
      <c r="F212" s="1"/>
      <c r="G212" s="1"/>
      <c r="H212" s="29">
        <f t="array" ref="H212">IF(B212="","",
DATE(
YEAR(INDEX(Purchases_Import!$B:$B, MATCH(B212, Purchases_Import!$A:$A, 0))),
MONTH(INDEX(Purchases_Import!$B:$B, MATCH(B212, Purchases_Import!$A:$A, 0))),
1
))</f>
        <v>46082</v>
      </c>
      <c r="I212" s="2">
        <f t="shared" si="1"/>
        <v>24</v>
      </c>
    </row>
    <row r="213">
      <c r="A213" s="1" t="str">
        <f>IFERROR(__xludf.DUMMYFUNCTION("""COMPUTED_VALUE"""),"1af3c1ed")</f>
        <v>1af3c1ed</v>
      </c>
      <c r="B213" s="1" t="str">
        <f>IFERROR(__xludf.DUMMYFUNCTION("""COMPUTED_VALUE"""),"f00c0ff5")</f>
        <v>f00c0ff5</v>
      </c>
      <c r="C213" s="1" t="str">
        <f>IFERROR(__xludf.DUMMYFUNCTION("""COMPUTED_VALUE"""),"699ad05d")</f>
        <v>699ad05d</v>
      </c>
      <c r="D213" s="1">
        <f>IFERROR(__xludf.DUMMYFUNCTION("""COMPUTED_VALUE"""),24.0)</f>
        <v>24</v>
      </c>
      <c r="E213" s="1"/>
      <c r="F213" s="1"/>
      <c r="G213" s="1"/>
      <c r="H213" s="29">
        <f t="array" ref="H213">IF(B213="","",
DATE(
YEAR(INDEX(Purchases_Import!$B:$B, MATCH(B213, Purchases_Import!$A:$A, 0))),
MONTH(INDEX(Purchases_Import!$B:$B, MATCH(B213, Purchases_Import!$A:$A, 0))),
1
))</f>
        <v>46082</v>
      </c>
      <c r="I213" s="2">
        <f t="shared" si="1"/>
        <v>24</v>
      </c>
    </row>
    <row r="214">
      <c r="A214" s="1" t="str">
        <f>IFERROR(__xludf.DUMMYFUNCTION("""COMPUTED_VALUE"""),"9b80fd68")</f>
        <v>9b80fd68</v>
      </c>
      <c r="B214" s="1" t="str">
        <f>IFERROR(__xludf.DUMMYFUNCTION("""COMPUTED_VALUE"""),"db31e3f8")</f>
        <v>db31e3f8</v>
      </c>
      <c r="C214" s="1" t="str">
        <f>IFERROR(__xludf.DUMMYFUNCTION("""COMPUTED_VALUE"""),"d5b5f9d1")</f>
        <v>d5b5f9d1</v>
      </c>
      <c r="D214" s="1">
        <f>IFERROR(__xludf.DUMMYFUNCTION("""COMPUTED_VALUE"""),30.0)</f>
        <v>30</v>
      </c>
      <c r="E214" s="1">
        <f>IFERROR(__xludf.DUMMYFUNCTION("""COMPUTED_VALUE"""),2.6)</f>
        <v>2.6</v>
      </c>
      <c r="F214" s="1"/>
      <c r="G214" s="1"/>
      <c r="H214" s="29">
        <f t="array" ref="H214">IF(B214="","",
DATE(
YEAR(INDEX(Purchases_Import!$B:$B, MATCH(B214, Purchases_Import!$A:$A, 0))),
MONTH(INDEX(Purchases_Import!$B:$B, MATCH(B214, Purchases_Import!$A:$A, 0))),
1
))</f>
        <v>46082</v>
      </c>
      <c r="I214" s="2">
        <f t="shared" si="1"/>
        <v>30</v>
      </c>
    </row>
    <row r="215">
      <c r="A215" s="1" t="str">
        <f>IFERROR(__xludf.DUMMYFUNCTION("""COMPUTED_VALUE"""),"6e19312c")</f>
        <v>6e19312c</v>
      </c>
      <c r="B215" s="1" t="str">
        <f>IFERROR(__xludf.DUMMYFUNCTION("""COMPUTED_VALUE"""),"e5fb83ab")</f>
        <v>e5fb83ab</v>
      </c>
      <c r="C215" s="1" t="str">
        <f>IFERROR(__xludf.DUMMYFUNCTION("""COMPUTED_VALUE"""),"cb9e809e")</f>
        <v>cb9e809e</v>
      </c>
      <c r="D215" s="1">
        <f>IFERROR(__xludf.DUMMYFUNCTION("""COMPUTED_VALUE"""),60.0)</f>
        <v>60</v>
      </c>
      <c r="E215" s="1"/>
      <c r="F215" s="1"/>
      <c r="G215" s="1"/>
      <c r="H215" s="29">
        <f t="array" ref="H215">IF(B215="","",
DATE(
YEAR(INDEX(Purchases_Import!$B:$B, MATCH(B215, Purchases_Import!$A:$A, 0))),
MONTH(INDEX(Purchases_Import!$B:$B, MATCH(B215, Purchases_Import!$A:$A, 0))),
1
))</f>
        <v>46082</v>
      </c>
      <c r="I215" s="2">
        <f t="shared" si="1"/>
        <v>60</v>
      </c>
    </row>
    <row r="216">
      <c r="A216" s="1" t="str">
        <f>IFERROR(__xludf.DUMMYFUNCTION("""COMPUTED_VALUE"""),"4ea53d63")</f>
        <v>4ea53d63</v>
      </c>
      <c r="B216" s="1" t="str">
        <f>IFERROR(__xludf.DUMMYFUNCTION("""COMPUTED_VALUE"""),"e5fb83ab")</f>
        <v>e5fb83ab</v>
      </c>
      <c r="C216" s="1" t="str">
        <f>IFERROR(__xludf.DUMMYFUNCTION("""COMPUTED_VALUE"""),"a19879cf")</f>
        <v>a19879cf</v>
      </c>
      <c r="D216" s="1">
        <f>IFERROR(__xludf.DUMMYFUNCTION("""COMPUTED_VALUE"""),42.0)</f>
        <v>42</v>
      </c>
      <c r="E216" s="1"/>
      <c r="F216" s="1"/>
      <c r="G216" s="1"/>
      <c r="H216" s="29">
        <f t="array" ref="H216">IF(B216="","",
DATE(
YEAR(INDEX(Purchases_Import!$B:$B, MATCH(B216, Purchases_Import!$A:$A, 0))),
MONTH(INDEX(Purchases_Import!$B:$B, MATCH(B216, Purchases_Import!$A:$A, 0))),
1
))</f>
        <v>46082</v>
      </c>
      <c r="I216" s="2">
        <f t="shared" si="1"/>
        <v>42</v>
      </c>
    </row>
    <row r="217">
      <c r="A217" s="1" t="str">
        <f>IFERROR(__xludf.DUMMYFUNCTION("""COMPUTED_VALUE"""),"ce2394ad")</f>
        <v>ce2394ad</v>
      </c>
      <c r="B217" s="1" t="str">
        <f>IFERROR(__xludf.DUMMYFUNCTION("""COMPUTED_VALUE"""),"e5fb83ab")</f>
        <v>e5fb83ab</v>
      </c>
      <c r="C217" s="1" t="str">
        <f>IFERROR(__xludf.DUMMYFUNCTION("""COMPUTED_VALUE"""),"02d86a9b")</f>
        <v>02d86a9b</v>
      </c>
      <c r="D217" s="1">
        <f>IFERROR(__xludf.DUMMYFUNCTION("""COMPUTED_VALUE"""),24.0)</f>
        <v>24</v>
      </c>
      <c r="E217" s="1"/>
      <c r="F217" s="1"/>
      <c r="G217" s="1"/>
      <c r="H217" s="29">
        <f t="array" ref="H217">IF(B217="","",
DATE(
YEAR(INDEX(Purchases_Import!$B:$B, MATCH(B217, Purchases_Import!$A:$A, 0))),
MONTH(INDEX(Purchases_Import!$B:$B, MATCH(B217, Purchases_Import!$A:$A, 0))),
1
))</f>
        <v>46082</v>
      </c>
      <c r="I217" s="2">
        <f t="shared" si="1"/>
        <v>24</v>
      </c>
    </row>
    <row r="218">
      <c r="A218" s="1" t="str">
        <f>IFERROR(__xludf.DUMMYFUNCTION("""COMPUTED_VALUE"""),"966302c0")</f>
        <v>966302c0</v>
      </c>
      <c r="B218" s="1" t="str">
        <f>IFERROR(__xludf.DUMMYFUNCTION("""COMPUTED_VALUE"""),"e5fb83ab")</f>
        <v>e5fb83ab</v>
      </c>
      <c r="C218" s="1" t="str">
        <f>IFERROR(__xludf.DUMMYFUNCTION("""COMPUTED_VALUE"""),"27c8f623")</f>
        <v>27c8f623</v>
      </c>
      <c r="D218" s="1">
        <f>IFERROR(__xludf.DUMMYFUNCTION("""COMPUTED_VALUE"""),24.0)</f>
        <v>24</v>
      </c>
      <c r="E218" s="1"/>
      <c r="F218" s="1"/>
      <c r="G218" s="1"/>
      <c r="H218" s="29">
        <f t="array" ref="H218">IF(B218="","",
DATE(
YEAR(INDEX(Purchases_Import!$B:$B, MATCH(B218, Purchases_Import!$A:$A, 0))),
MONTH(INDEX(Purchases_Import!$B:$B, MATCH(B218, Purchases_Import!$A:$A, 0))),
1
))</f>
        <v>46082</v>
      </c>
      <c r="I218" s="2">
        <f t="shared" si="1"/>
        <v>24</v>
      </c>
    </row>
    <row r="219">
      <c r="A219" s="1" t="str">
        <f>IFERROR(__xludf.DUMMYFUNCTION("""COMPUTED_VALUE"""),"4846cf0a")</f>
        <v>4846cf0a</v>
      </c>
      <c r="B219" s="1" t="str">
        <f>IFERROR(__xludf.DUMMYFUNCTION("""COMPUTED_VALUE"""),"e5fb83ab")</f>
        <v>e5fb83ab</v>
      </c>
      <c r="C219" s="1" t="str">
        <f>IFERROR(__xludf.DUMMYFUNCTION("""COMPUTED_VALUE"""),"bb4d1bd1")</f>
        <v>bb4d1bd1</v>
      </c>
      <c r="D219" s="1">
        <f>IFERROR(__xludf.DUMMYFUNCTION("""COMPUTED_VALUE"""),24.0)</f>
        <v>24</v>
      </c>
      <c r="E219" s="1"/>
      <c r="F219" s="1"/>
      <c r="G219" s="1"/>
      <c r="H219" s="29">
        <f t="array" ref="H219">IF(B219="","",
DATE(
YEAR(INDEX(Purchases_Import!$B:$B, MATCH(B219, Purchases_Import!$A:$A, 0))),
MONTH(INDEX(Purchases_Import!$B:$B, MATCH(B219, Purchases_Import!$A:$A, 0))),
1
))</f>
        <v>46082</v>
      </c>
      <c r="I219" s="2">
        <f t="shared" si="1"/>
        <v>24</v>
      </c>
    </row>
    <row r="220">
      <c r="A220" s="1" t="str">
        <f>IFERROR(__xludf.DUMMYFUNCTION("""COMPUTED_VALUE"""),"70d8353d")</f>
        <v>70d8353d</v>
      </c>
      <c r="B220" s="1" t="str">
        <f>IFERROR(__xludf.DUMMYFUNCTION("""COMPUTED_VALUE"""),"e5fb83ab")</f>
        <v>e5fb83ab</v>
      </c>
      <c r="C220" s="1" t="str">
        <f>IFERROR(__xludf.DUMMYFUNCTION("""COMPUTED_VALUE"""),"0021")</f>
        <v>0021</v>
      </c>
      <c r="D220" s="1">
        <f>IFERROR(__xludf.DUMMYFUNCTION("""COMPUTED_VALUE"""),42.0)</f>
        <v>42</v>
      </c>
      <c r="E220" s="1">
        <f>IFERROR(__xludf.DUMMYFUNCTION("""COMPUTED_VALUE"""),2.25)</f>
        <v>2.25</v>
      </c>
      <c r="F220" s="1"/>
      <c r="G220" s="1"/>
      <c r="H220" s="29">
        <f t="array" ref="H220">IF(B220="","",
DATE(
YEAR(INDEX(Purchases_Import!$B:$B, MATCH(B220, Purchases_Import!$A:$A, 0))),
MONTH(INDEX(Purchases_Import!$B:$B, MATCH(B220, Purchases_Import!$A:$A, 0))),
1
))</f>
        <v>46082</v>
      </c>
      <c r="I220" s="2">
        <f t="shared" si="1"/>
        <v>42</v>
      </c>
    </row>
    <row r="221">
      <c r="A221" s="1" t="str">
        <f>IFERROR(__xludf.DUMMYFUNCTION("""COMPUTED_VALUE"""),"15d19515")</f>
        <v>15d19515</v>
      </c>
      <c r="B221" s="1" t="str">
        <f>IFERROR(__xludf.DUMMYFUNCTION("""COMPUTED_VALUE"""),"e5fb83ab")</f>
        <v>e5fb83ab</v>
      </c>
      <c r="C221" s="1" t="str">
        <f>IFERROR(__xludf.DUMMYFUNCTION("""COMPUTED_VALUE"""),"57a5617b")</f>
        <v>57a5617b</v>
      </c>
      <c r="D221" s="1">
        <f>IFERROR(__xludf.DUMMYFUNCTION("""COMPUTED_VALUE"""),42.0)</f>
        <v>42</v>
      </c>
      <c r="E221" s="1"/>
      <c r="F221" s="1"/>
      <c r="G221" s="1"/>
      <c r="H221" s="29">
        <f t="array" ref="H221">IF(B221="","",
DATE(
YEAR(INDEX(Purchases_Import!$B:$B, MATCH(B221, Purchases_Import!$A:$A, 0))),
MONTH(INDEX(Purchases_Import!$B:$B, MATCH(B221, Purchases_Import!$A:$A, 0))),
1
))</f>
        <v>46082</v>
      </c>
      <c r="I221" s="2">
        <f t="shared" si="1"/>
        <v>42</v>
      </c>
    </row>
    <row r="222">
      <c r="A222" s="1" t="str">
        <f>IFERROR(__xludf.DUMMYFUNCTION("""COMPUTED_VALUE"""),"8d403860")</f>
        <v>8d403860</v>
      </c>
      <c r="B222" s="1" t="str">
        <f>IFERROR(__xludf.DUMMYFUNCTION("""COMPUTED_VALUE"""),"e5fb83ab")</f>
        <v>e5fb83ab</v>
      </c>
      <c r="C222" s="1" t="str">
        <f>IFERROR(__xludf.DUMMYFUNCTION("""COMPUTED_VALUE"""),"0001")</f>
        <v>0001</v>
      </c>
      <c r="D222" s="1">
        <f>IFERROR(__xludf.DUMMYFUNCTION("""COMPUTED_VALUE"""),135.0)</f>
        <v>135</v>
      </c>
      <c r="E222" s="1">
        <f>IFERROR(__xludf.DUMMYFUNCTION("""COMPUTED_VALUE"""),2.8)</f>
        <v>2.8</v>
      </c>
      <c r="F222" s="1"/>
      <c r="G222" s="1"/>
      <c r="H222" s="29">
        <f t="array" ref="H222">IF(B222="","",
DATE(
YEAR(INDEX(Purchases_Import!$B:$B, MATCH(B222, Purchases_Import!$A:$A, 0))),
MONTH(INDEX(Purchases_Import!$B:$B, MATCH(B222, Purchases_Import!$A:$A, 0))),
1
))</f>
        <v>46082</v>
      </c>
      <c r="I222" s="2">
        <f t="shared" si="1"/>
        <v>135</v>
      </c>
    </row>
    <row r="223">
      <c r="A223" s="1" t="str">
        <f>IFERROR(__xludf.DUMMYFUNCTION("""COMPUTED_VALUE"""),"e8a93825")</f>
        <v>e8a93825</v>
      </c>
      <c r="B223" s="1" t="str">
        <f>IFERROR(__xludf.DUMMYFUNCTION("""COMPUTED_VALUE"""),"e5fb83ab")</f>
        <v>e5fb83ab</v>
      </c>
      <c r="C223" s="1" t="str">
        <f>IFERROR(__xludf.DUMMYFUNCTION("""COMPUTED_VALUE"""),"0af806f8")</f>
        <v>0af806f8</v>
      </c>
      <c r="D223" s="1">
        <f>IFERROR(__xludf.DUMMYFUNCTION("""COMPUTED_VALUE"""),45.0)</f>
        <v>45</v>
      </c>
      <c r="E223" s="1">
        <f>IFERROR(__xludf.DUMMYFUNCTION("""COMPUTED_VALUE"""),2.66)</f>
        <v>2.66</v>
      </c>
      <c r="F223" s="1"/>
      <c r="G223" s="1"/>
      <c r="H223" s="29">
        <f t="array" ref="H223">IF(B223="","",
DATE(
YEAR(INDEX(Purchases_Import!$B:$B, MATCH(B223, Purchases_Import!$A:$A, 0))),
MONTH(INDEX(Purchases_Import!$B:$B, MATCH(B223, Purchases_Import!$A:$A, 0))),
1
))</f>
        <v>46082</v>
      </c>
      <c r="I223" s="2">
        <f t="shared" si="1"/>
        <v>45</v>
      </c>
    </row>
    <row r="224">
      <c r="A224" s="1" t="str">
        <f>IFERROR(__xludf.DUMMYFUNCTION("""COMPUTED_VALUE"""),"2e6404ac")</f>
        <v>2e6404ac</v>
      </c>
      <c r="B224" s="1" t="str">
        <f>IFERROR(__xludf.DUMMYFUNCTION("""COMPUTED_VALUE"""),"e5fb83ab")</f>
        <v>e5fb83ab</v>
      </c>
      <c r="C224" s="1" t="str">
        <f>IFERROR(__xludf.DUMMYFUNCTION("""COMPUTED_VALUE"""),"12b96290")</f>
        <v>12b96290</v>
      </c>
      <c r="D224" s="1">
        <f>IFERROR(__xludf.DUMMYFUNCTION("""COMPUTED_VALUE"""),30.0)</f>
        <v>30</v>
      </c>
      <c r="E224" s="1">
        <f>IFERROR(__xludf.DUMMYFUNCTION("""COMPUTED_VALUE"""),2.8)</f>
        <v>2.8</v>
      </c>
      <c r="F224" s="1"/>
      <c r="G224" s="1"/>
      <c r="H224" s="29">
        <f t="array" ref="H224">IF(B224="","",
DATE(
YEAR(INDEX(Purchases_Import!$B:$B, MATCH(B224, Purchases_Import!$A:$A, 0))),
MONTH(INDEX(Purchases_Import!$B:$B, MATCH(B224, Purchases_Import!$A:$A, 0))),
1
))</f>
        <v>46082</v>
      </c>
      <c r="I224" s="2">
        <f t="shared" si="1"/>
        <v>30</v>
      </c>
    </row>
    <row r="225">
      <c r="A225" s="1" t="str">
        <f>IFERROR(__xludf.DUMMYFUNCTION("""COMPUTED_VALUE"""),"336ae5d9")</f>
        <v>336ae5d9</v>
      </c>
      <c r="B225" s="1" t="str">
        <f>IFERROR(__xludf.DUMMYFUNCTION("""COMPUTED_VALUE"""),"e5fb83ab")</f>
        <v>e5fb83ab</v>
      </c>
      <c r="C225" s="1" t="str">
        <f>IFERROR(__xludf.DUMMYFUNCTION("""COMPUTED_VALUE"""),"d5b5f9d1")</f>
        <v>d5b5f9d1</v>
      </c>
      <c r="D225" s="1">
        <f>IFERROR(__xludf.DUMMYFUNCTION("""COMPUTED_VALUE"""),90.0)</f>
        <v>90</v>
      </c>
      <c r="E225" s="1">
        <f>IFERROR(__xludf.DUMMYFUNCTION("""COMPUTED_VALUE"""),2.6)</f>
        <v>2.6</v>
      </c>
      <c r="F225" s="1"/>
      <c r="G225" s="1"/>
      <c r="H225" s="29">
        <f t="array" ref="H225">IF(B225="","",
DATE(
YEAR(INDEX(Purchases_Import!$B:$B, MATCH(B225, Purchases_Import!$A:$A, 0))),
MONTH(INDEX(Purchases_Import!$B:$B, MATCH(B225, Purchases_Import!$A:$A, 0))),
1
))</f>
        <v>46082</v>
      </c>
      <c r="I225" s="2">
        <f t="shared" si="1"/>
        <v>90</v>
      </c>
    </row>
    <row r="226">
      <c r="A226" s="1" t="str">
        <f>IFERROR(__xludf.DUMMYFUNCTION("""COMPUTED_VALUE"""),"8d4abd04")</f>
        <v>8d4abd04</v>
      </c>
      <c r="B226" s="1" t="str">
        <f>IFERROR(__xludf.DUMMYFUNCTION("""COMPUTED_VALUE"""),"e420d6a9")</f>
        <v>e420d6a9</v>
      </c>
      <c r="C226" s="1" t="str">
        <f>IFERROR(__xludf.DUMMYFUNCTION("""COMPUTED_VALUE"""),"cf6c9481")</f>
        <v>cf6c9481</v>
      </c>
      <c r="D226" s="1">
        <f>IFERROR(__xludf.DUMMYFUNCTION("""COMPUTED_VALUE"""),96.0)</f>
        <v>96</v>
      </c>
      <c r="E226" s="1"/>
      <c r="F226" s="1"/>
      <c r="G226" s="1"/>
      <c r="H226" s="29">
        <f t="array" ref="H226">IF(B226="","",
DATE(
YEAR(INDEX(Purchases_Import!$B:$B, MATCH(B226, Purchases_Import!$A:$A, 0))),
MONTH(INDEX(Purchases_Import!$B:$B, MATCH(B226, Purchases_Import!$A:$A, 0))),
1
))</f>
        <v>46082</v>
      </c>
      <c r="I226" s="2">
        <f t="shared" si="1"/>
        <v>96</v>
      </c>
    </row>
    <row r="227">
      <c r="A227" s="1" t="str">
        <f>IFERROR(__xludf.DUMMYFUNCTION("""COMPUTED_VALUE"""),"f73b04f9")</f>
        <v>f73b04f9</v>
      </c>
      <c r="B227" s="1" t="str">
        <f>IFERROR(__xludf.DUMMYFUNCTION("""COMPUTED_VALUE"""),"fbd124cf")</f>
        <v>fbd124cf</v>
      </c>
      <c r="C227" s="1" t="str">
        <f>IFERROR(__xludf.DUMMYFUNCTION("""COMPUTED_VALUE"""),"bb6c2490")</f>
        <v>bb6c2490</v>
      </c>
      <c r="D227" s="1">
        <f>IFERROR(__xludf.DUMMYFUNCTION("""COMPUTED_VALUE"""),126.0)</f>
        <v>126</v>
      </c>
      <c r="E227" s="1">
        <f>IFERROR(__xludf.DUMMYFUNCTION("""COMPUTED_VALUE"""),2.78)</f>
        <v>2.78</v>
      </c>
      <c r="F227" s="1"/>
      <c r="G227" s="1"/>
      <c r="H227" s="29">
        <f t="array" ref="H227">IF(B227="","",
DATE(
YEAR(INDEX(Purchases_Import!$B:$B, MATCH(B227, Purchases_Import!$A:$A, 0))),
MONTH(INDEX(Purchases_Import!$B:$B, MATCH(B227, Purchases_Import!$A:$A, 0))),
1
))</f>
        <v>46082</v>
      </c>
      <c r="I227" s="2">
        <f t="shared" si="1"/>
        <v>126</v>
      </c>
    </row>
    <row r="228">
      <c r="A228" s="1" t="str">
        <f>IFERROR(__xludf.DUMMYFUNCTION("""COMPUTED_VALUE"""),"92a0ed17")</f>
        <v>92a0ed17</v>
      </c>
      <c r="B228" s="1" t="str">
        <f>IFERROR(__xludf.DUMMYFUNCTION("""COMPUTED_VALUE"""),"fbd124cf")</f>
        <v>fbd124cf</v>
      </c>
      <c r="C228" s="1" t="str">
        <f>IFERROR(__xludf.DUMMYFUNCTION("""COMPUTED_VALUE"""),"c099f042")</f>
        <v>c099f042</v>
      </c>
      <c r="D228" s="1">
        <f>IFERROR(__xludf.DUMMYFUNCTION("""COMPUTED_VALUE"""),60.0)</f>
        <v>60</v>
      </c>
      <c r="E228" s="1"/>
      <c r="F228" s="1"/>
      <c r="G228" s="1"/>
      <c r="H228" s="29">
        <f t="array" ref="H228">IF(B228="","",
DATE(
YEAR(INDEX(Purchases_Import!$B:$B, MATCH(B228, Purchases_Import!$A:$A, 0))),
MONTH(INDEX(Purchases_Import!$B:$B, MATCH(B228, Purchases_Import!$A:$A, 0))),
1
))</f>
        <v>46082</v>
      </c>
      <c r="I228" s="2">
        <f t="shared" si="1"/>
        <v>60</v>
      </c>
    </row>
    <row r="229">
      <c r="A229" s="1" t="str">
        <f>IFERROR(__xludf.DUMMYFUNCTION("""COMPUTED_VALUE"""),"5fe0bf3b")</f>
        <v>5fe0bf3b</v>
      </c>
      <c r="B229" s="1" t="str">
        <f>IFERROR(__xludf.DUMMYFUNCTION("""COMPUTED_VALUE"""),"82c76ea5")</f>
        <v>82c76ea5</v>
      </c>
      <c r="C229" s="1" t="str">
        <f>IFERROR(__xludf.DUMMYFUNCTION("""COMPUTED_VALUE"""),"0011")</f>
        <v>0011</v>
      </c>
      <c r="D229" s="1">
        <f>IFERROR(__xludf.DUMMYFUNCTION("""COMPUTED_VALUE"""),120.0)</f>
        <v>120</v>
      </c>
      <c r="E229" s="1">
        <f>IFERROR(__xludf.DUMMYFUNCTION("""COMPUTED_VALUE"""),3.5)</f>
        <v>3.5</v>
      </c>
      <c r="F229" s="1"/>
      <c r="G229" s="1"/>
      <c r="H229" s="29">
        <f t="array" ref="H229">IF(B229="","",
DATE(
YEAR(INDEX(Purchases_Import!$B:$B, MATCH(B229, Purchases_Import!$A:$A, 0))),
MONTH(INDEX(Purchases_Import!$B:$B, MATCH(B229, Purchases_Import!$A:$A, 0))),
1
))</f>
        <v>46082</v>
      </c>
      <c r="I229" s="2">
        <f t="shared" si="1"/>
        <v>120</v>
      </c>
    </row>
    <row r="230">
      <c r="A230" s="1" t="str">
        <f>IFERROR(__xludf.DUMMYFUNCTION("""COMPUTED_VALUE"""),"fa52c8ce")</f>
        <v>fa52c8ce</v>
      </c>
      <c r="B230" s="1" t="str">
        <f>IFERROR(__xludf.DUMMYFUNCTION("""COMPUTED_VALUE"""),"c71a5b2c")</f>
        <v>c71a5b2c</v>
      </c>
      <c r="C230" s="1" t="str">
        <f>IFERROR(__xludf.DUMMYFUNCTION("""COMPUTED_VALUE"""),"0019")</f>
        <v>0019</v>
      </c>
      <c r="D230" s="1">
        <f>IFERROR(__xludf.DUMMYFUNCTION("""COMPUTED_VALUE"""),96.0)</f>
        <v>96</v>
      </c>
      <c r="E230" s="1">
        <f>IFERROR(__xludf.DUMMYFUNCTION("""COMPUTED_VALUE"""),1.33)</f>
        <v>1.33</v>
      </c>
      <c r="F230" s="1"/>
      <c r="G230" s="1"/>
      <c r="H230" s="29">
        <f t="array" ref="H230">IF(B230="","",
DATE(
YEAR(INDEX(Purchases_Import!$B:$B, MATCH(B230, Purchases_Import!$A:$A, 0))),
MONTH(INDEX(Purchases_Import!$B:$B, MATCH(B230, Purchases_Import!$A:$A, 0))),
1
))</f>
        <v>46082</v>
      </c>
      <c r="I230" s="2">
        <f t="shared" si="1"/>
        <v>96</v>
      </c>
    </row>
    <row r="231">
      <c r="A231" s="1" t="str">
        <f>IFERROR(__xludf.DUMMYFUNCTION("""COMPUTED_VALUE"""),"6c35ebde")</f>
        <v>6c35ebde</v>
      </c>
      <c r="B231" s="1" t="str">
        <f>IFERROR(__xludf.DUMMYFUNCTION("""COMPUTED_VALUE"""),"c71a5b2c")</f>
        <v>c71a5b2c</v>
      </c>
      <c r="C231" s="1" t="str">
        <f>IFERROR(__xludf.DUMMYFUNCTION("""COMPUTED_VALUE"""),"0029")</f>
        <v>0029</v>
      </c>
      <c r="D231" s="1">
        <f>IFERROR(__xludf.DUMMYFUNCTION("""COMPUTED_VALUE"""),72.0)</f>
        <v>72</v>
      </c>
      <c r="E231" s="1">
        <f>IFERROR(__xludf.DUMMYFUNCTION("""COMPUTED_VALUE"""),2.25)</f>
        <v>2.25</v>
      </c>
      <c r="F231" s="1"/>
      <c r="G231" s="1"/>
      <c r="H231" s="29">
        <f t="array" ref="H231">IF(B231="","",
DATE(
YEAR(INDEX(Purchases_Import!$B:$B, MATCH(B231, Purchases_Import!$A:$A, 0))),
MONTH(INDEX(Purchases_Import!$B:$B, MATCH(B231, Purchases_Import!$A:$A, 0))),
1
))</f>
        <v>46082</v>
      </c>
      <c r="I231" s="2">
        <f t="shared" si="1"/>
        <v>72</v>
      </c>
    </row>
    <row r="232">
      <c r="A232" s="1" t="str">
        <f>IFERROR(__xludf.DUMMYFUNCTION("""COMPUTED_VALUE"""),"b6eb9ac7")</f>
        <v>b6eb9ac7</v>
      </c>
      <c r="B232" s="1" t="str">
        <f>IFERROR(__xludf.DUMMYFUNCTION("""COMPUTED_VALUE"""),"c71a5b2c")</f>
        <v>c71a5b2c</v>
      </c>
      <c r="C232" s="1" t="str">
        <f>IFERROR(__xludf.DUMMYFUNCTION("""COMPUTED_VALUE"""),"a3f74383")</f>
        <v>a3f74383</v>
      </c>
      <c r="D232" s="1">
        <f>IFERROR(__xludf.DUMMYFUNCTION("""COMPUTED_VALUE"""),24.0)</f>
        <v>24</v>
      </c>
      <c r="E232" s="1">
        <f>IFERROR(__xludf.DUMMYFUNCTION("""COMPUTED_VALUE"""),2.25)</f>
        <v>2.25</v>
      </c>
      <c r="F232" s="1"/>
      <c r="G232" s="1"/>
      <c r="H232" s="29">
        <f t="array" ref="H232">IF(B232="","",
DATE(
YEAR(INDEX(Purchases_Import!$B:$B, MATCH(B232, Purchases_Import!$A:$A, 0))),
MONTH(INDEX(Purchases_Import!$B:$B, MATCH(B232, Purchases_Import!$A:$A, 0))),
1
))</f>
        <v>46082</v>
      </c>
      <c r="I232" s="2">
        <f t="shared" si="1"/>
        <v>24</v>
      </c>
    </row>
    <row r="233">
      <c r="A233" s="1" t="str">
        <f>IFERROR(__xludf.DUMMYFUNCTION("""COMPUTED_VALUE"""),"c3a8e7fc")</f>
        <v>c3a8e7fc</v>
      </c>
      <c r="B233" s="1" t="str">
        <f>IFERROR(__xludf.DUMMYFUNCTION("""COMPUTED_VALUE"""),"c71a5b2c")</f>
        <v>c71a5b2c</v>
      </c>
      <c r="C233" s="1" t="str">
        <f>IFERROR(__xludf.DUMMYFUNCTION("""COMPUTED_VALUE"""),"0054")</f>
        <v>0054</v>
      </c>
      <c r="D233" s="1">
        <f>IFERROR(__xludf.DUMMYFUNCTION("""COMPUTED_VALUE"""),24.0)</f>
        <v>24</v>
      </c>
      <c r="E233" s="1">
        <f>IFERROR(__xludf.DUMMYFUNCTION("""COMPUTED_VALUE"""),2.25)</f>
        <v>2.25</v>
      </c>
      <c r="F233" s="1"/>
      <c r="G233" s="1"/>
      <c r="H233" s="29">
        <f t="array" ref="H233">IF(B233="","",
DATE(
YEAR(INDEX(Purchases_Import!$B:$B, MATCH(B233, Purchases_Import!$A:$A, 0))),
MONTH(INDEX(Purchases_Import!$B:$B, MATCH(B233, Purchases_Import!$A:$A, 0))),
1
))</f>
        <v>46082</v>
      </c>
      <c r="I233" s="2">
        <f t="shared" si="1"/>
        <v>24</v>
      </c>
    </row>
    <row r="234">
      <c r="A234" s="1" t="str">
        <f>IFERROR(__xludf.DUMMYFUNCTION("""COMPUTED_VALUE"""),"d086a420")</f>
        <v>d086a420</v>
      </c>
      <c r="B234" s="1" t="str">
        <f>IFERROR(__xludf.DUMMYFUNCTION("""COMPUTED_VALUE"""),"c71a5b2c")</f>
        <v>c71a5b2c</v>
      </c>
      <c r="C234" s="1" t="str">
        <f>IFERROR(__xludf.DUMMYFUNCTION("""COMPUTED_VALUE"""),"0af806f8")</f>
        <v>0af806f8</v>
      </c>
      <c r="D234" s="1">
        <f>IFERROR(__xludf.DUMMYFUNCTION("""COMPUTED_VALUE"""),60.0)</f>
        <v>60</v>
      </c>
      <c r="E234" s="1">
        <f>IFERROR(__xludf.DUMMYFUNCTION("""COMPUTED_VALUE"""),2.66)</f>
        <v>2.66</v>
      </c>
      <c r="F234" s="1"/>
      <c r="G234" s="1"/>
      <c r="H234" s="29">
        <f t="array" ref="H234">IF(B234="","",
DATE(
YEAR(INDEX(Purchases_Import!$B:$B, MATCH(B234, Purchases_Import!$A:$A, 0))),
MONTH(INDEX(Purchases_Import!$B:$B, MATCH(B234, Purchases_Import!$A:$A, 0))),
1
))</f>
        <v>46082</v>
      </c>
      <c r="I234" s="2">
        <f t="shared" si="1"/>
        <v>60</v>
      </c>
    </row>
    <row r="235">
      <c r="A235" s="1" t="str">
        <f>IFERROR(__xludf.DUMMYFUNCTION("""COMPUTED_VALUE"""),"a72a32c4")</f>
        <v>a72a32c4</v>
      </c>
      <c r="B235" s="1" t="str">
        <f>IFERROR(__xludf.DUMMYFUNCTION("""COMPUTED_VALUE"""),"c71a5b2c")</f>
        <v>c71a5b2c</v>
      </c>
      <c r="C235" s="1" t="str">
        <f>IFERROR(__xludf.DUMMYFUNCTION("""COMPUTED_VALUE"""),"12b96290")</f>
        <v>12b96290</v>
      </c>
      <c r="D235" s="1">
        <f>IFERROR(__xludf.DUMMYFUNCTION("""COMPUTED_VALUE"""),90.0)</f>
        <v>90</v>
      </c>
      <c r="E235" s="1">
        <f>IFERROR(__xludf.DUMMYFUNCTION("""COMPUTED_VALUE"""),3.0)</f>
        <v>3</v>
      </c>
      <c r="F235" s="1"/>
      <c r="G235" s="1"/>
      <c r="H235" s="29">
        <f t="array" ref="H235">IF(B235="","",
DATE(
YEAR(INDEX(Purchases_Import!$B:$B, MATCH(B235, Purchases_Import!$A:$A, 0))),
MONTH(INDEX(Purchases_Import!$B:$B, MATCH(B235, Purchases_Import!$A:$A, 0))),
1
))</f>
        <v>46082</v>
      </c>
      <c r="I235" s="2">
        <f t="shared" si="1"/>
        <v>90</v>
      </c>
    </row>
    <row r="236">
      <c r="A236" s="1" t="str">
        <f>IFERROR(__xludf.DUMMYFUNCTION("""COMPUTED_VALUE"""),"eb5b8558")</f>
        <v>eb5b8558</v>
      </c>
      <c r="B236" s="1" t="str">
        <f>IFERROR(__xludf.DUMMYFUNCTION("""COMPUTED_VALUE"""),"c71a5b2c")</f>
        <v>c71a5b2c</v>
      </c>
      <c r="C236" s="1" t="str">
        <f>IFERROR(__xludf.DUMMYFUNCTION("""COMPUTED_VALUE"""),"0001")</f>
        <v>0001</v>
      </c>
      <c r="D236" s="1">
        <f>IFERROR(__xludf.DUMMYFUNCTION("""COMPUTED_VALUE"""),75.0)</f>
        <v>75</v>
      </c>
      <c r="E236" s="1">
        <f>IFERROR(__xludf.DUMMYFUNCTION("""COMPUTED_VALUE"""),2.8)</f>
        <v>2.8</v>
      </c>
      <c r="F236" s="1"/>
      <c r="G236" s="1"/>
      <c r="H236" s="29">
        <f t="array" ref="H236">IF(B236="","",
DATE(
YEAR(INDEX(Purchases_Import!$B:$B, MATCH(B236, Purchases_Import!$A:$A, 0))),
MONTH(INDEX(Purchases_Import!$B:$B, MATCH(B236, Purchases_Import!$A:$A, 0))),
1
))</f>
        <v>46082</v>
      </c>
      <c r="I236" s="2">
        <f t="shared" si="1"/>
        <v>75</v>
      </c>
    </row>
    <row r="237">
      <c r="A237" s="1" t="str">
        <f>IFERROR(__xludf.DUMMYFUNCTION("""COMPUTED_VALUE"""),"9231ff7c")</f>
        <v>9231ff7c</v>
      </c>
      <c r="B237" s="1" t="str">
        <f>IFERROR(__xludf.DUMMYFUNCTION("""COMPUTED_VALUE"""),"c71a5b2c")</f>
        <v>c71a5b2c</v>
      </c>
      <c r="C237" s="1" t="str">
        <f>IFERROR(__xludf.DUMMYFUNCTION("""COMPUTED_VALUE"""),"0011")</f>
        <v>0011</v>
      </c>
      <c r="D237" s="1">
        <f>IFERROR(__xludf.DUMMYFUNCTION("""COMPUTED_VALUE"""),48.0)</f>
        <v>48</v>
      </c>
      <c r="E237" s="1">
        <f>IFERROR(__xludf.DUMMYFUNCTION("""COMPUTED_VALUE"""),3.5)</f>
        <v>3.5</v>
      </c>
      <c r="F237" s="1"/>
      <c r="G237" s="1"/>
      <c r="H237" s="29">
        <f t="array" ref="H237">IF(B237="","",
DATE(
YEAR(INDEX(Purchases_Import!$B:$B, MATCH(B237, Purchases_Import!$A:$A, 0))),
MONTH(INDEX(Purchases_Import!$B:$B, MATCH(B237, Purchases_Import!$A:$A, 0))),
1
))</f>
        <v>46082</v>
      </c>
      <c r="I237" s="2">
        <f t="shared" si="1"/>
        <v>48</v>
      </c>
    </row>
    <row r="238">
      <c r="A238" s="1" t="str">
        <f>IFERROR(__xludf.DUMMYFUNCTION("""COMPUTED_VALUE"""),"50558860")</f>
        <v>50558860</v>
      </c>
      <c r="B238" s="1" t="str">
        <f>IFERROR(__xludf.DUMMYFUNCTION("""COMPUTED_VALUE"""),"0aabb6d2")</f>
        <v>0aabb6d2</v>
      </c>
      <c r="C238" s="1" t="str">
        <f>IFERROR(__xludf.DUMMYFUNCTION("""COMPUTED_VALUE"""),"0086")</f>
        <v>0086</v>
      </c>
      <c r="D238" s="1">
        <f>IFERROR(__xludf.DUMMYFUNCTION("""COMPUTED_VALUE"""),50.0)</f>
        <v>50</v>
      </c>
      <c r="E238" s="1">
        <f>IFERROR(__xludf.DUMMYFUNCTION("""COMPUTED_VALUE"""),4.7)</f>
        <v>4.7</v>
      </c>
      <c r="F238" s="1"/>
      <c r="G238" s="1"/>
      <c r="H238" s="29">
        <f t="array" ref="H238">IF(B238="","",
DATE(
YEAR(INDEX(Purchases_Import!$B:$B, MATCH(B238, Purchases_Import!$A:$A, 0))),
MONTH(INDEX(Purchases_Import!$B:$B, MATCH(B238, Purchases_Import!$A:$A, 0))),
1
))</f>
        <v>46082</v>
      </c>
      <c r="I238" s="2">
        <f t="shared" si="1"/>
        <v>50</v>
      </c>
    </row>
    <row r="239">
      <c r="A239" s="1" t="str">
        <f>IFERROR(__xludf.DUMMYFUNCTION("""COMPUTED_VALUE"""),"18773adf")</f>
        <v>18773adf</v>
      </c>
      <c r="B239" s="1" t="str">
        <f>IFERROR(__xludf.DUMMYFUNCTION("""COMPUTED_VALUE"""),"0aabb6d2")</f>
        <v>0aabb6d2</v>
      </c>
      <c r="C239" s="1" t="str">
        <f>IFERROR(__xludf.DUMMYFUNCTION("""COMPUTED_VALUE"""),"0027")</f>
        <v>0027</v>
      </c>
      <c r="D239" s="1">
        <f>IFERROR(__xludf.DUMMYFUNCTION("""COMPUTED_VALUE"""),30.0)</f>
        <v>30</v>
      </c>
      <c r="E239" s="1">
        <f>IFERROR(__xludf.DUMMYFUNCTION("""COMPUTED_VALUE"""),3.28)</f>
        <v>3.28</v>
      </c>
      <c r="F239" s="1"/>
      <c r="G239" s="1"/>
      <c r="H239" s="29">
        <f t="array" ref="H239">IF(B239="","",
DATE(
YEAR(INDEX(Purchases_Import!$B:$B, MATCH(B239, Purchases_Import!$A:$A, 0))),
MONTH(INDEX(Purchases_Import!$B:$B, MATCH(B239, Purchases_Import!$A:$A, 0))),
1
))</f>
        <v>46082</v>
      </c>
      <c r="I239" s="2">
        <f t="shared" si="1"/>
        <v>30</v>
      </c>
    </row>
    <row r="240">
      <c r="A240" s="1" t="str">
        <f>IFERROR(__xludf.DUMMYFUNCTION("""COMPUTED_VALUE"""),"1389f293")</f>
        <v>1389f293</v>
      </c>
      <c r="B240" s="1" t="str">
        <f>IFERROR(__xludf.DUMMYFUNCTION("""COMPUTED_VALUE"""),"0aabb6d2")</f>
        <v>0aabb6d2</v>
      </c>
      <c r="C240" s="1" t="str">
        <f>IFERROR(__xludf.DUMMYFUNCTION("""COMPUTED_VALUE"""),"0014")</f>
        <v>0014</v>
      </c>
      <c r="D240" s="1">
        <f>IFERROR(__xludf.DUMMYFUNCTION("""COMPUTED_VALUE"""),20.0)</f>
        <v>20</v>
      </c>
      <c r="E240" s="1">
        <f>IFERROR(__xludf.DUMMYFUNCTION("""COMPUTED_VALUE"""),5.9)</f>
        <v>5.9</v>
      </c>
      <c r="F240" s="1"/>
      <c r="G240" s="1"/>
      <c r="H240" s="29">
        <f t="array" ref="H240">IF(B240="","",
DATE(
YEAR(INDEX(Purchases_Import!$B:$B, MATCH(B240, Purchases_Import!$A:$A, 0))),
MONTH(INDEX(Purchases_Import!$B:$B, MATCH(B240, Purchases_Import!$A:$A, 0))),
1
))</f>
        <v>46082</v>
      </c>
      <c r="I240" s="2">
        <f t="shared" si="1"/>
        <v>20</v>
      </c>
    </row>
    <row r="241">
      <c r="A241" s="1" t="str">
        <f>IFERROR(__xludf.DUMMYFUNCTION("""COMPUTED_VALUE"""),"b873f41d")</f>
        <v>b873f41d</v>
      </c>
      <c r="B241" s="1" t="str">
        <f>IFERROR(__xludf.DUMMYFUNCTION("""COMPUTED_VALUE"""),"1144b357")</f>
        <v>1144b357</v>
      </c>
      <c r="C241" s="1" t="str">
        <f>IFERROR(__xludf.DUMMYFUNCTION("""COMPUTED_VALUE"""),"02d86a9b")</f>
        <v>02d86a9b</v>
      </c>
      <c r="D241" s="1">
        <f>IFERROR(__xludf.DUMMYFUNCTION("""COMPUTED_VALUE"""),24.0)</f>
        <v>24</v>
      </c>
      <c r="E241" s="1"/>
      <c r="F241" s="1"/>
      <c r="G241" s="1"/>
      <c r="H241" s="29">
        <f t="array" ref="H241">IF(B241="","",
DATE(
YEAR(INDEX(Purchases_Import!$B:$B, MATCH(B241, Purchases_Import!$A:$A, 0))),
MONTH(INDEX(Purchases_Import!$B:$B, MATCH(B241, Purchases_Import!$A:$A, 0))),
1
))</f>
        <v>46082</v>
      </c>
      <c r="I241" s="2">
        <f t="shared" si="1"/>
        <v>24</v>
      </c>
    </row>
    <row r="242">
      <c r="A242" s="1" t="str">
        <f>IFERROR(__xludf.DUMMYFUNCTION("""COMPUTED_VALUE"""),"8e881d32")</f>
        <v>8e881d32</v>
      </c>
      <c r="B242" s="1" t="str">
        <f>IFERROR(__xludf.DUMMYFUNCTION("""COMPUTED_VALUE"""),"1144b357")</f>
        <v>1144b357</v>
      </c>
      <c r="C242" s="1" t="str">
        <f>IFERROR(__xludf.DUMMYFUNCTION("""COMPUTED_VALUE"""),"bb4d1bd1")</f>
        <v>bb4d1bd1</v>
      </c>
      <c r="D242" s="1">
        <f>IFERROR(__xludf.DUMMYFUNCTION("""COMPUTED_VALUE"""),48.0)</f>
        <v>48</v>
      </c>
      <c r="E242" s="1"/>
      <c r="F242" s="1"/>
      <c r="G242" s="1"/>
      <c r="H242" s="29">
        <f t="array" ref="H242">IF(B242="","",
DATE(
YEAR(INDEX(Purchases_Import!$B:$B, MATCH(B242, Purchases_Import!$A:$A, 0))),
MONTH(INDEX(Purchases_Import!$B:$B, MATCH(B242, Purchases_Import!$A:$A, 0))),
1
))</f>
        <v>46082</v>
      </c>
      <c r="I242" s="2">
        <f t="shared" si="1"/>
        <v>48</v>
      </c>
    </row>
    <row r="243">
      <c r="A243" s="1" t="str">
        <f>IFERROR(__xludf.DUMMYFUNCTION("""COMPUTED_VALUE"""),"ec2a98f9")</f>
        <v>ec2a98f9</v>
      </c>
      <c r="B243" s="1" t="str">
        <f>IFERROR(__xludf.DUMMYFUNCTION("""COMPUTED_VALUE"""),"1144b357")</f>
        <v>1144b357</v>
      </c>
      <c r="C243" s="1" t="str">
        <f>IFERROR(__xludf.DUMMYFUNCTION("""COMPUTED_VALUE"""),"a19879cf")</f>
        <v>a19879cf</v>
      </c>
      <c r="D243" s="1">
        <f>IFERROR(__xludf.DUMMYFUNCTION("""COMPUTED_VALUE"""),72.0)</f>
        <v>72</v>
      </c>
      <c r="E243" s="1"/>
      <c r="F243" s="1"/>
      <c r="G243" s="1"/>
      <c r="H243" s="29">
        <f t="array" ref="H243">IF(B243="","",
DATE(
YEAR(INDEX(Purchases_Import!$B:$B, MATCH(B243, Purchases_Import!$A:$A, 0))),
MONTH(INDEX(Purchases_Import!$B:$B, MATCH(B243, Purchases_Import!$A:$A, 0))),
1
))</f>
        <v>46082</v>
      </c>
      <c r="I243" s="2">
        <f t="shared" si="1"/>
        <v>72</v>
      </c>
    </row>
    <row r="244">
      <c r="A244" s="1" t="str">
        <f>IFERROR(__xludf.DUMMYFUNCTION("""COMPUTED_VALUE"""),"5f816593")</f>
        <v>5f816593</v>
      </c>
      <c r="B244" s="1" t="str">
        <f>IFERROR(__xludf.DUMMYFUNCTION("""COMPUTED_VALUE"""),"1144b357")</f>
        <v>1144b357</v>
      </c>
      <c r="C244" s="1" t="str">
        <f>IFERROR(__xludf.DUMMYFUNCTION("""COMPUTED_VALUE"""),"0f694cb5")</f>
        <v>0f694cb5</v>
      </c>
      <c r="D244" s="1">
        <f>IFERROR(__xludf.DUMMYFUNCTION("""COMPUTED_VALUE"""),48.0)</f>
        <v>48</v>
      </c>
      <c r="E244" s="1"/>
      <c r="F244" s="1"/>
      <c r="G244" s="1"/>
      <c r="H244" s="29">
        <f t="array" ref="H244">IF(B244="","",
DATE(
YEAR(INDEX(Purchases_Import!$B:$B, MATCH(B244, Purchases_Import!$A:$A, 0))),
MONTH(INDEX(Purchases_Import!$B:$B, MATCH(B244, Purchases_Import!$A:$A, 0))),
1
))</f>
        <v>46082</v>
      </c>
      <c r="I244" s="2">
        <f t="shared" si="1"/>
        <v>48</v>
      </c>
    </row>
    <row r="245">
      <c r="A245" s="1" t="str">
        <f>IFERROR(__xludf.DUMMYFUNCTION("""COMPUTED_VALUE"""),"254be214")</f>
        <v>254be214</v>
      </c>
      <c r="B245" s="1" t="str">
        <f>IFERROR(__xludf.DUMMYFUNCTION("""COMPUTED_VALUE"""),"1144b357")</f>
        <v>1144b357</v>
      </c>
      <c r="C245" s="1" t="str">
        <f>IFERROR(__xludf.DUMMYFUNCTION("""COMPUTED_VALUE"""),"0064")</f>
        <v>0064</v>
      </c>
      <c r="D245" s="1">
        <f>IFERROR(__xludf.DUMMYFUNCTION("""COMPUTED_VALUE"""),54.0)</f>
        <v>54</v>
      </c>
      <c r="E245" s="1">
        <f>IFERROR(__xludf.DUMMYFUNCTION("""COMPUTED_VALUE"""),2.08)</f>
        <v>2.08</v>
      </c>
      <c r="F245" s="1"/>
      <c r="G245" s="1"/>
      <c r="H245" s="29">
        <f t="array" ref="H245">IF(B245="","",
DATE(
YEAR(INDEX(Purchases_Import!$B:$B, MATCH(B245, Purchases_Import!$A:$A, 0))),
MONTH(INDEX(Purchases_Import!$B:$B, MATCH(B245, Purchases_Import!$A:$A, 0))),
1
))</f>
        <v>46082</v>
      </c>
      <c r="I245" s="2">
        <f t="shared" si="1"/>
        <v>54</v>
      </c>
    </row>
    <row r="246">
      <c r="A246" s="1" t="str">
        <f>IFERROR(__xludf.DUMMYFUNCTION("""COMPUTED_VALUE"""),"fd4dd005")</f>
        <v>fd4dd005</v>
      </c>
      <c r="B246" s="1" t="str">
        <f>IFERROR(__xludf.DUMMYFUNCTION("""COMPUTED_VALUE"""),"1144b357")</f>
        <v>1144b357</v>
      </c>
      <c r="C246" s="1" t="str">
        <f>IFERROR(__xludf.DUMMYFUNCTION("""COMPUTED_VALUE"""),"0032")</f>
        <v>0032</v>
      </c>
      <c r="D246" s="1">
        <f>IFERROR(__xludf.DUMMYFUNCTION("""COMPUTED_VALUE"""),54.0)</f>
        <v>54</v>
      </c>
      <c r="E246" s="1">
        <f>IFERROR(__xludf.DUMMYFUNCTION("""COMPUTED_VALUE"""),2.0)</f>
        <v>2</v>
      </c>
      <c r="F246" s="1"/>
      <c r="G246" s="1"/>
      <c r="H246" s="29">
        <f t="array" ref="H246">IF(B246="","",
DATE(
YEAR(INDEX(Purchases_Import!$B:$B, MATCH(B246, Purchases_Import!$A:$A, 0))),
MONTH(INDEX(Purchases_Import!$B:$B, MATCH(B246, Purchases_Import!$A:$A, 0))),
1
))</f>
        <v>46082</v>
      </c>
      <c r="I246" s="2">
        <f t="shared" si="1"/>
        <v>54</v>
      </c>
    </row>
    <row r="247">
      <c r="A247" s="1" t="str">
        <f>IFERROR(__xludf.DUMMYFUNCTION("""COMPUTED_VALUE"""),"14d80b99")</f>
        <v>14d80b99</v>
      </c>
      <c r="B247" s="1" t="str">
        <f>IFERROR(__xludf.DUMMYFUNCTION("""COMPUTED_VALUE"""),"1144b357")</f>
        <v>1144b357</v>
      </c>
      <c r="C247" s="1" t="str">
        <f>IFERROR(__xludf.DUMMYFUNCTION("""COMPUTED_VALUE"""),"cb9e809e")</f>
        <v>cb9e809e</v>
      </c>
      <c r="D247" s="1">
        <f>IFERROR(__xludf.DUMMYFUNCTION("""COMPUTED_VALUE"""),72.0)</f>
        <v>72</v>
      </c>
      <c r="E247" s="1"/>
      <c r="F247" s="1"/>
      <c r="G247" s="1"/>
      <c r="H247" s="29">
        <f t="array" ref="H247">IF(B247="","",
DATE(
YEAR(INDEX(Purchases_Import!$B:$B, MATCH(B247, Purchases_Import!$A:$A, 0))),
MONTH(INDEX(Purchases_Import!$B:$B, MATCH(B247, Purchases_Import!$A:$A, 0))),
1
))</f>
        <v>46082</v>
      </c>
      <c r="I247" s="2">
        <f t="shared" si="1"/>
        <v>72</v>
      </c>
    </row>
    <row r="248">
      <c r="A248" s="1" t="str">
        <f>IFERROR(__xludf.DUMMYFUNCTION("""COMPUTED_VALUE"""),"ccbe772a")</f>
        <v>ccbe772a</v>
      </c>
      <c r="B248" s="1" t="str">
        <f>IFERROR(__xludf.DUMMYFUNCTION("""COMPUTED_VALUE"""),"1144b357")</f>
        <v>1144b357</v>
      </c>
      <c r="C248" s="1" t="str">
        <f>IFERROR(__xludf.DUMMYFUNCTION("""COMPUTED_VALUE"""),"0049")</f>
        <v>0049</v>
      </c>
      <c r="D248" s="1">
        <f>IFERROR(__xludf.DUMMYFUNCTION("""COMPUTED_VALUE"""),48.0)</f>
        <v>48</v>
      </c>
      <c r="E248" s="1">
        <f>IFERROR(__xludf.DUMMYFUNCTION("""COMPUTED_VALUE"""),1.93)</f>
        <v>1.93</v>
      </c>
      <c r="F248" s="1"/>
      <c r="G248" s="1"/>
      <c r="H248" s="29">
        <f t="array" ref="H248">IF(B248="","",
DATE(
YEAR(INDEX(Purchases_Import!$B:$B, MATCH(B248, Purchases_Import!$A:$A, 0))),
MONTH(INDEX(Purchases_Import!$B:$B, MATCH(B248, Purchases_Import!$A:$A, 0))),
1
))</f>
        <v>46082</v>
      </c>
      <c r="I248" s="2">
        <f t="shared" si="1"/>
        <v>48</v>
      </c>
    </row>
    <row r="249">
      <c r="A249" s="1" t="str">
        <f>IFERROR(__xludf.DUMMYFUNCTION("""COMPUTED_VALUE"""),"f23ce909")</f>
        <v>f23ce909</v>
      </c>
      <c r="B249" s="1" t="str">
        <f>IFERROR(__xludf.DUMMYFUNCTION("""COMPUTED_VALUE"""),"1144b357")</f>
        <v>1144b357</v>
      </c>
      <c r="C249" s="1" t="str">
        <f>IFERROR(__xludf.DUMMYFUNCTION("""COMPUTED_VALUE"""),"0021")</f>
        <v>0021</v>
      </c>
      <c r="D249" s="1">
        <f>IFERROR(__xludf.DUMMYFUNCTION("""COMPUTED_VALUE"""),24.0)</f>
        <v>24</v>
      </c>
      <c r="E249" s="1">
        <f>IFERROR(__xludf.DUMMYFUNCTION("""COMPUTED_VALUE"""),2.25)</f>
        <v>2.25</v>
      </c>
      <c r="F249" s="1"/>
      <c r="G249" s="1"/>
      <c r="H249" s="29">
        <f t="array" ref="H249">IF(B249="","",
DATE(
YEAR(INDEX(Purchases_Import!$B:$B, MATCH(B249, Purchases_Import!$A:$A, 0))),
MONTH(INDEX(Purchases_Import!$B:$B, MATCH(B249, Purchases_Import!$A:$A, 0))),
1
))</f>
        <v>46082</v>
      </c>
      <c r="I249" s="2">
        <f t="shared" si="1"/>
        <v>24</v>
      </c>
    </row>
    <row r="250">
      <c r="A250" s="1" t="str">
        <f>IFERROR(__xludf.DUMMYFUNCTION("""COMPUTED_VALUE"""),"2565d1bf")</f>
        <v>2565d1bf</v>
      </c>
      <c r="B250" s="1" t="str">
        <f>IFERROR(__xludf.DUMMYFUNCTION("""COMPUTED_VALUE"""),"de4ec195")</f>
        <v>de4ec195</v>
      </c>
      <c r="C250" s="1" t="str">
        <f>IFERROR(__xludf.DUMMYFUNCTION("""COMPUTED_VALUE"""),"0002")</f>
        <v>0002</v>
      </c>
      <c r="D250" s="1">
        <f>IFERROR(__xludf.DUMMYFUNCTION("""COMPUTED_VALUE"""),600.0)</f>
        <v>600</v>
      </c>
      <c r="E250" s="1">
        <f>IFERROR(__xludf.DUMMYFUNCTION("""COMPUTED_VALUE"""),0.3)</f>
        <v>0.3</v>
      </c>
      <c r="F250" s="1"/>
      <c r="G250" s="1"/>
      <c r="H250" s="29">
        <f t="array" ref="H250">IF(B250="","",
DATE(
YEAR(INDEX(Purchases_Import!$B:$B, MATCH(B250, Purchases_Import!$A:$A, 0))),
MONTH(INDEX(Purchases_Import!$B:$B, MATCH(B250, Purchases_Import!$A:$A, 0))),
1
))</f>
        <v>46082</v>
      </c>
      <c r="I250" s="2">
        <f t="shared" si="1"/>
        <v>600</v>
      </c>
    </row>
    <row r="251">
      <c r="A251" s="1" t="str">
        <f>IFERROR(__xludf.DUMMYFUNCTION("""COMPUTED_VALUE"""),"88754900")</f>
        <v>88754900</v>
      </c>
      <c r="B251" s="1" t="str">
        <f>IFERROR(__xludf.DUMMYFUNCTION("""COMPUTED_VALUE"""),"c71a5b2c")</f>
        <v>c71a5b2c</v>
      </c>
      <c r="C251" s="1" t="str">
        <f>IFERROR(__xludf.DUMMYFUNCTION("""COMPUTED_VALUE"""),"bb6c2490")</f>
        <v>bb6c2490</v>
      </c>
      <c r="D251" s="1">
        <f>IFERROR(__xludf.DUMMYFUNCTION("""COMPUTED_VALUE"""),36.0)</f>
        <v>36</v>
      </c>
      <c r="E251" s="1">
        <f>IFERROR(__xludf.DUMMYFUNCTION("""COMPUTED_VALUE"""),2.78)</f>
        <v>2.78</v>
      </c>
      <c r="F251" s="1"/>
      <c r="G251" s="1"/>
      <c r="H251" s="29">
        <f t="array" ref="H251">IF(B251="","",
DATE(
YEAR(INDEX(Purchases_Import!$B:$B, MATCH(B251, Purchases_Import!$A:$A, 0))),
MONTH(INDEX(Purchases_Import!$B:$B, MATCH(B251, Purchases_Import!$A:$A, 0))),
1
))</f>
        <v>46082</v>
      </c>
      <c r="I251" s="2">
        <f t="shared" si="1"/>
        <v>36</v>
      </c>
    </row>
    <row r="252">
      <c r="A252" s="1" t="str">
        <f>IFERROR(__xludf.DUMMYFUNCTION("""COMPUTED_VALUE"""),"ebeb7b14")</f>
        <v>ebeb7b14</v>
      </c>
      <c r="B252" s="1" t="str">
        <f>IFERROR(__xludf.DUMMYFUNCTION("""COMPUTED_VALUE"""),"6502020e")</f>
        <v>6502020e</v>
      </c>
      <c r="C252" s="1" t="str">
        <f>IFERROR(__xludf.DUMMYFUNCTION("""COMPUTED_VALUE"""),"0010")</f>
        <v>0010</v>
      </c>
      <c r="D252" s="1">
        <f>IFERROR(__xludf.DUMMYFUNCTION("""COMPUTED_VALUE"""),14.0)</f>
        <v>14</v>
      </c>
      <c r="E252" s="1">
        <f>IFERROR(__xludf.DUMMYFUNCTION("""COMPUTED_VALUE"""),5.83)</f>
        <v>5.83</v>
      </c>
      <c r="F252" s="1"/>
      <c r="G252" s="1"/>
      <c r="H252" s="29">
        <f t="array" ref="H252">IF(B252="","",
DATE(
YEAR(INDEX(Purchases_Import!$B:$B, MATCH(B252, Purchases_Import!$A:$A, 0))),
MONTH(INDEX(Purchases_Import!$B:$B, MATCH(B252, Purchases_Import!$A:$A, 0))),
1
))</f>
        <v>46082</v>
      </c>
      <c r="I252" s="2">
        <f t="shared" si="1"/>
        <v>14</v>
      </c>
    </row>
    <row r="253">
      <c r="A253" s="1" t="str">
        <f>IFERROR(__xludf.DUMMYFUNCTION("""COMPUTED_VALUE"""),"ead8ce07")</f>
        <v>ead8ce07</v>
      </c>
      <c r="B253" s="1" t="str">
        <f>IFERROR(__xludf.DUMMYFUNCTION("""COMPUTED_VALUE"""),"6502020e")</f>
        <v>6502020e</v>
      </c>
      <c r="C253" s="1" t="str">
        <f>IFERROR(__xludf.DUMMYFUNCTION("""COMPUTED_VALUE"""),"0086")</f>
        <v>0086</v>
      </c>
      <c r="D253" s="1">
        <f>IFERROR(__xludf.DUMMYFUNCTION("""COMPUTED_VALUE"""),80.0)</f>
        <v>80</v>
      </c>
      <c r="E253" s="1">
        <f>IFERROR(__xludf.DUMMYFUNCTION("""COMPUTED_VALUE"""),4.7)</f>
        <v>4.7</v>
      </c>
      <c r="F253" s="1"/>
      <c r="G253" s="1"/>
      <c r="H253" s="29">
        <f t="array" ref="H253">IF(B253="","",
DATE(
YEAR(INDEX(Purchases_Import!$B:$B, MATCH(B253, Purchases_Import!$A:$A, 0))),
MONTH(INDEX(Purchases_Import!$B:$B, MATCH(B253, Purchases_Import!$A:$A, 0))),
1
))</f>
        <v>46082</v>
      </c>
      <c r="I253" s="2">
        <f t="shared" si="1"/>
        <v>80</v>
      </c>
    </row>
    <row r="254">
      <c r="A254" s="1" t="str">
        <f>IFERROR(__xludf.DUMMYFUNCTION("""COMPUTED_VALUE"""),"d7590c41")</f>
        <v>d7590c41</v>
      </c>
      <c r="B254" s="1" t="str">
        <f>IFERROR(__xludf.DUMMYFUNCTION("""COMPUTED_VALUE"""),"0717bd0b")</f>
        <v>0717bd0b</v>
      </c>
      <c r="C254" s="1" t="str">
        <f>IFERROR(__xludf.DUMMYFUNCTION("""COMPUTED_VALUE"""),"bb6c2490")</f>
        <v>bb6c2490</v>
      </c>
      <c r="D254" s="1">
        <f>IFERROR(__xludf.DUMMYFUNCTION("""COMPUTED_VALUE"""),108.0)</f>
        <v>108</v>
      </c>
      <c r="E254" s="1">
        <f>IFERROR(__xludf.DUMMYFUNCTION("""COMPUTED_VALUE"""),2.78)</f>
        <v>2.78</v>
      </c>
      <c r="F254" s="1"/>
      <c r="G254" s="1"/>
      <c r="H254" s="29">
        <f t="array" ref="H254">IF(B254="","",
DATE(
YEAR(INDEX(Purchases_Import!$B:$B, MATCH(B254, Purchases_Import!$A:$A, 0))),
MONTH(INDEX(Purchases_Import!$B:$B, MATCH(B254, Purchases_Import!$A:$A, 0))),
1
))</f>
        <v>46082</v>
      </c>
      <c r="I254" s="2">
        <f t="shared" si="1"/>
        <v>108</v>
      </c>
    </row>
    <row r="255">
      <c r="A255" s="1" t="str">
        <f>IFERROR(__xludf.DUMMYFUNCTION("""COMPUTED_VALUE"""),"347f81c9")</f>
        <v>347f81c9</v>
      </c>
      <c r="B255" s="1" t="str">
        <f>IFERROR(__xludf.DUMMYFUNCTION("""COMPUTED_VALUE"""),"0717bd0b")</f>
        <v>0717bd0b</v>
      </c>
      <c r="C255" s="1" t="str">
        <f>IFERROR(__xludf.DUMMYFUNCTION("""COMPUTED_VALUE"""),"bb4d1bd1")</f>
        <v>bb4d1bd1</v>
      </c>
      <c r="D255" s="1">
        <f>IFERROR(__xludf.DUMMYFUNCTION("""COMPUTED_VALUE"""),72.0)</f>
        <v>72</v>
      </c>
      <c r="E255" s="1"/>
      <c r="F255" s="1"/>
      <c r="G255" s="1"/>
      <c r="H255" s="29">
        <f t="array" ref="H255">IF(B255="","",
DATE(
YEAR(INDEX(Purchases_Import!$B:$B, MATCH(B255, Purchases_Import!$A:$A, 0))),
MONTH(INDEX(Purchases_Import!$B:$B, MATCH(B255, Purchases_Import!$A:$A, 0))),
1
))</f>
        <v>46082</v>
      </c>
      <c r="I255" s="2">
        <f t="shared" si="1"/>
        <v>72</v>
      </c>
    </row>
    <row r="256">
      <c r="A256" s="1" t="str">
        <f>IFERROR(__xludf.DUMMYFUNCTION("""COMPUTED_VALUE"""),"8ece2c0e")</f>
        <v>8ece2c0e</v>
      </c>
      <c r="B256" s="1" t="str">
        <f>IFERROR(__xludf.DUMMYFUNCTION("""COMPUTED_VALUE"""),"0717bd0b")</f>
        <v>0717bd0b</v>
      </c>
      <c r="C256" s="1" t="str">
        <f>IFERROR(__xludf.DUMMYFUNCTION("""COMPUTED_VALUE"""),"02d86a9b")</f>
        <v>02d86a9b</v>
      </c>
      <c r="D256" s="1">
        <f>IFERROR(__xludf.DUMMYFUNCTION("""COMPUTED_VALUE"""),48.0)</f>
        <v>48</v>
      </c>
      <c r="E256" s="1"/>
      <c r="F256" s="1"/>
      <c r="G256" s="1"/>
      <c r="H256" s="29">
        <f t="array" ref="H256">IF(B256="","",
DATE(
YEAR(INDEX(Purchases_Import!$B:$B, MATCH(B256, Purchases_Import!$A:$A, 0))),
MONTH(INDEX(Purchases_Import!$B:$B, MATCH(B256, Purchases_Import!$A:$A, 0))),
1
))</f>
        <v>46082</v>
      </c>
      <c r="I256" s="2">
        <f t="shared" si="1"/>
        <v>48</v>
      </c>
    </row>
    <row r="257">
      <c r="A257" s="1" t="str">
        <f>IFERROR(__xludf.DUMMYFUNCTION("""COMPUTED_VALUE"""),"3cec928e")</f>
        <v>3cec928e</v>
      </c>
      <c r="B257" s="1" t="str">
        <f>IFERROR(__xludf.DUMMYFUNCTION("""COMPUTED_VALUE"""),"0717bd0b")</f>
        <v>0717bd0b</v>
      </c>
      <c r="C257" s="1" t="str">
        <f>IFERROR(__xludf.DUMMYFUNCTION("""COMPUTED_VALUE"""),"27c8f623")</f>
        <v>27c8f623</v>
      </c>
      <c r="D257" s="1">
        <f>IFERROR(__xludf.DUMMYFUNCTION("""COMPUTED_VALUE"""),48.0)</f>
        <v>48</v>
      </c>
      <c r="E257" s="1"/>
      <c r="F257" s="1"/>
      <c r="G257" s="1"/>
      <c r="H257" s="29">
        <f t="array" ref="H257">IF(B257="","",
DATE(
YEAR(INDEX(Purchases_Import!$B:$B, MATCH(B257, Purchases_Import!$A:$A, 0))),
MONTH(INDEX(Purchases_Import!$B:$B, MATCH(B257, Purchases_Import!$A:$A, 0))),
1
))</f>
        <v>46082</v>
      </c>
      <c r="I257" s="2">
        <f t="shared" si="1"/>
        <v>48</v>
      </c>
    </row>
    <row r="258">
      <c r="A258" s="1" t="str">
        <f>IFERROR(__xludf.DUMMYFUNCTION("""COMPUTED_VALUE"""),"b5d0d234")</f>
        <v>b5d0d234</v>
      </c>
      <c r="B258" s="1" t="str">
        <f>IFERROR(__xludf.DUMMYFUNCTION("""COMPUTED_VALUE"""),"0717bd0b")</f>
        <v>0717bd0b</v>
      </c>
      <c r="C258" s="1" t="str">
        <f>IFERROR(__xludf.DUMMYFUNCTION("""COMPUTED_VALUE"""),"0021")</f>
        <v>0021</v>
      </c>
      <c r="D258" s="1">
        <f>IFERROR(__xludf.DUMMYFUNCTION("""COMPUTED_VALUE"""),24.0)</f>
        <v>24</v>
      </c>
      <c r="E258" s="1">
        <f>IFERROR(__xludf.DUMMYFUNCTION("""COMPUTED_VALUE"""),2.25)</f>
        <v>2.25</v>
      </c>
      <c r="F258" s="1"/>
      <c r="G258" s="1"/>
      <c r="H258" s="29">
        <f t="array" ref="H258">IF(B258="","",
DATE(
YEAR(INDEX(Purchases_Import!$B:$B, MATCH(B258, Purchases_Import!$A:$A, 0))),
MONTH(INDEX(Purchases_Import!$B:$B, MATCH(B258, Purchases_Import!$A:$A, 0))),
1
))</f>
        <v>46082</v>
      </c>
      <c r="I258" s="2">
        <f t="shared" si="1"/>
        <v>24</v>
      </c>
    </row>
    <row r="259">
      <c r="A259" s="1" t="str">
        <f>IFERROR(__xludf.DUMMYFUNCTION("""COMPUTED_VALUE"""),"4c020ca9")</f>
        <v>4c020ca9</v>
      </c>
      <c r="B259" s="1" t="str">
        <f>IFERROR(__xludf.DUMMYFUNCTION("""COMPUTED_VALUE"""),"0717bd0b")</f>
        <v>0717bd0b</v>
      </c>
      <c r="C259" s="1" t="str">
        <f>IFERROR(__xludf.DUMMYFUNCTION("""COMPUTED_VALUE"""),"0011")</f>
        <v>0011</v>
      </c>
      <c r="D259" s="1">
        <f>IFERROR(__xludf.DUMMYFUNCTION("""COMPUTED_VALUE"""),48.0)</f>
        <v>48</v>
      </c>
      <c r="E259" s="1">
        <f>IFERROR(__xludf.DUMMYFUNCTION("""COMPUTED_VALUE"""),3.5)</f>
        <v>3.5</v>
      </c>
      <c r="F259" s="1"/>
      <c r="G259" s="1"/>
      <c r="H259" s="29">
        <f t="array" ref="H259">IF(B259="","",
DATE(
YEAR(INDEX(Purchases_Import!$B:$B, MATCH(B259, Purchases_Import!$A:$A, 0))),
MONTH(INDEX(Purchases_Import!$B:$B, MATCH(B259, Purchases_Import!$A:$A, 0))),
1
))</f>
        <v>46082</v>
      </c>
      <c r="I259" s="2">
        <f t="shared" si="1"/>
        <v>48</v>
      </c>
    </row>
    <row r="260">
      <c r="A260" s="1" t="str">
        <f>IFERROR(__xludf.DUMMYFUNCTION("""COMPUTED_VALUE"""),"5a0ed536")</f>
        <v>5a0ed536</v>
      </c>
      <c r="B260" s="1" t="str">
        <f>IFERROR(__xludf.DUMMYFUNCTION("""COMPUTED_VALUE"""),"161a86ec")</f>
        <v>161a86ec</v>
      </c>
      <c r="C260" s="1" t="str">
        <f>IFERROR(__xludf.DUMMYFUNCTION("""COMPUTED_VALUE"""),"12b96290")</f>
        <v>12b96290</v>
      </c>
      <c r="D260" s="1">
        <f>IFERROR(__xludf.DUMMYFUNCTION("""COMPUTED_VALUE"""),75.0)</f>
        <v>75</v>
      </c>
      <c r="E260" s="1">
        <f>IFERROR(__xludf.DUMMYFUNCTION("""COMPUTED_VALUE"""),3.0)</f>
        <v>3</v>
      </c>
      <c r="F260" s="1"/>
      <c r="G260" s="1"/>
      <c r="H260" s="29">
        <f t="array" ref="H260">IF(B260="","",
DATE(
YEAR(INDEX(Purchases_Import!$B:$B, MATCH(B260, Purchases_Import!$A:$A, 0))),
MONTH(INDEX(Purchases_Import!$B:$B, MATCH(B260, Purchases_Import!$A:$A, 0))),
1
))</f>
        <v>46082</v>
      </c>
      <c r="I260" s="2">
        <f t="shared" si="1"/>
        <v>75</v>
      </c>
    </row>
    <row r="261">
      <c r="A261" s="1" t="str">
        <f>IFERROR(__xludf.DUMMYFUNCTION("""COMPUTED_VALUE"""),"9bb46db2")</f>
        <v>9bb46db2</v>
      </c>
      <c r="B261" s="1" t="str">
        <f>IFERROR(__xludf.DUMMYFUNCTION("""COMPUTED_VALUE"""),"161a86ec")</f>
        <v>161a86ec</v>
      </c>
      <c r="C261" s="1" t="str">
        <f>IFERROR(__xludf.DUMMYFUNCTION("""COMPUTED_VALUE"""),"0001")</f>
        <v>0001</v>
      </c>
      <c r="D261" s="1">
        <f>IFERROR(__xludf.DUMMYFUNCTION("""COMPUTED_VALUE"""),150.0)</f>
        <v>150</v>
      </c>
      <c r="E261" s="1">
        <f>IFERROR(__xludf.DUMMYFUNCTION("""COMPUTED_VALUE"""),2.8)</f>
        <v>2.8</v>
      </c>
      <c r="F261" s="1"/>
      <c r="G261" s="1"/>
      <c r="H261" s="29">
        <f t="array" ref="H261">IF(B261="","",
DATE(
YEAR(INDEX(Purchases_Import!$B:$B, MATCH(B261, Purchases_Import!$A:$A, 0))),
MONTH(INDEX(Purchases_Import!$B:$B, MATCH(B261, Purchases_Import!$A:$A, 0))),
1
))</f>
        <v>46082</v>
      </c>
      <c r="I261" s="2">
        <f t="shared" si="1"/>
        <v>150</v>
      </c>
    </row>
    <row r="262">
      <c r="A262" s="1" t="str">
        <f>IFERROR(__xludf.DUMMYFUNCTION("""COMPUTED_VALUE"""),"e124ebbd")</f>
        <v>e124ebbd</v>
      </c>
      <c r="B262" s="1" t="str">
        <f>IFERROR(__xludf.DUMMYFUNCTION("""COMPUTED_VALUE"""),"161a86ec")</f>
        <v>161a86ec</v>
      </c>
      <c r="C262" s="1" t="str">
        <f>IFERROR(__xludf.DUMMYFUNCTION("""COMPUTED_VALUE"""),"0054")</f>
        <v>0054</v>
      </c>
      <c r="D262" s="1">
        <f>IFERROR(__xludf.DUMMYFUNCTION("""COMPUTED_VALUE"""),48.0)</f>
        <v>48</v>
      </c>
      <c r="E262" s="1">
        <f>IFERROR(__xludf.DUMMYFUNCTION("""COMPUTED_VALUE"""),2.25)</f>
        <v>2.25</v>
      </c>
      <c r="F262" s="1"/>
      <c r="G262" s="1"/>
      <c r="H262" s="29">
        <f t="array" ref="H262">IF(B262="","",
DATE(
YEAR(INDEX(Purchases_Import!$B:$B, MATCH(B262, Purchases_Import!$A:$A, 0))),
MONTH(INDEX(Purchases_Import!$B:$B, MATCH(B262, Purchases_Import!$A:$A, 0))),
1
))</f>
        <v>46082</v>
      </c>
      <c r="I262" s="2">
        <f t="shared" si="1"/>
        <v>48</v>
      </c>
    </row>
    <row r="263">
      <c r="A263" s="1" t="str">
        <f>IFERROR(__xludf.DUMMYFUNCTION("""COMPUTED_VALUE"""),"b6829c28")</f>
        <v>b6829c28</v>
      </c>
      <c r="B263" s="1" t="str">
        <f>IFERROR(__xludf.DUMMYFUNCTION("""COMPUTED_VALUE"""),"dd9b4145")</f>
        <v>dd9b4145</v>
      </c>
      <c r="C263" s="1" t="str">
        <f>IFERROR(__xludf.DUMMYFUNCTION("""COMPUTED_VALUE"""),"0002")</f>
        <v>0002</v>
      </c>
      <c r="D263" s="1">
        <f>IFERROR(__xludf.DUMMYFUNCTION("""COMPUTED_VALUE"""),600.0)</f>
        <v>600</v>
      </c>
      <c r="E263" s="1">
        <f>IFERROR(__xludf.DUMMYFUNCTION("""COMPUTED_VALUE"""),0.3)</f>
        <v>0.3</v>
      </c>
      <c r="F263" s="1"/>
      <c r="G263" s="1"/>
      <c r="H263" s="29">
        <f t="array" ref="H263">IF(B263="","",
DATE(
YEAR(INDEX(Purchases_Import!$B:$B, MATCH(B263, Purchases_Import!$A:$A, 0))),
MONTH(INDEX(Purchases_Import!$B:$B, MATCH(B263, Purchases_Import!$A:$A, 0))),
1
))</f>
        <v>46082</v>
      </c>
      <c r="I263" s="2">
        <f t="shared" si="1"/>
        <v>600</v>
      </c>
    </row>
    <row r="264">
      <c r="A264" s="1" t="str">
        <f>IFERROR(__xludf.DUMMYFUNCTION("""COMPUTED_VALUE"""),"6a8804c1")</f>
        <v>6a8804c1</v>
      </c>
      <c r="B264" s="1" t="str">
        <f>IFERROR(__xludf.DUMMYFUNCTION("""COMPUTED_VALUE"""),"90f9d1f9")</f>
        <v>90f9d1f9</v>
      </c>
      <c r="C264" s="1" t="str">
        <f>IFERROR(__xludf.DUMMYFUNCTION("""COMPUTED_VALUE"""),"0014")</f>
        <v>0014</v>
      </c>
      <c r="D264" s="1">
        <f>IFERROR(__xludf.DUMMYFUNCTION("""COMPUTED_VALUE"""),20.0)</f>
        <v>20</v>
      </c>
      <c r="E264" s="1">
        <f>IFERROR(__xludf.DUMMYFUNCTION("""COMPUTED_VALUE"""),5.9)</f>
        <v>5.9</v>
      </c>
      <c r="F264" s="1"/>
      <c r="G264" s="1"/>
      <c r="H264" s="29">
        <f t="array" ref="H264">IF(B264="","",
DATE(
YEAR(INDEX(Purchases_Import!$B:$B, MATCH(B264, Purchases_Import!$A:$A, 0))),
MONTH(INDEX(Purchases_Import!$B:$B, MATCH(B264, Purchases_Import!$A:$A, 0))),
1
))</f>
        <v>46082</v>
      </c>
      <c r="I264" s="2">
        <f t="shared" si="1"/>
        <v>20</v>
      </c>
    </row>
    <row r="265">
      <c r="A265" s="1" t="str">
        <f>IFERROR(__xludf.DUMMYFUNCTION("""COMPUTED_VALUE"""),"54c7634d")</f>
        <v>54c7634d</v>
      </c>
      <c r="B265" s="1" t="str">
        <f>IFERROR(__xludf.DUMMYFUNCTION("""COMPUTED_VALUE"""),"868835ce")</f>
        <v>868835ce</v>
      </c>
      <c r="C265" s="1" t="str">
        <f>IFERROR(__xludf.DUMMYFUNCTION("""COMPUTED_VALUE"""),"0011")</f>
        <v>0011</v>
      </c>
      <c r="D265" s="1">
        <f>IFERROR(__xludf.DUMMYFUNCTION("""COMPUTED_VALUE"""),120.0)</f>
        <v>120</v>
      </c>
      <c r="E265" s="1">
        <f>IFERROR(__xludf.DUMMYFUNCTION("""COMPUTED_VALUE"""),3.5)</f>
        <v>3.5</v>
      </c>
      <c r="F265" s="1"/>
      <c r="G265" s="1"/>
      <c r="H265" s="29">
        <f t="array" ref="H265">IF(B265="","",
DATE(
YEAR(INDEX(Purchases_Import!$B:$B, MATCH(B265, Purchases_Import!$A:$A, 0))),
MONTH(INDEX(Purchases_Import!$B:$B, MATCH(B265, Purchases_Import!$A:$A, 0))),
1
))</f>
        <v>46082</v>
      </c>
      <c r="I265" s="2">
        <f t="shared" si="1"/>
        <v>120</v>
      </c>
    </row>
    <row r="266">
      <c r="A266" s="1" t="str">
        <f>IFERROR(__xludf.DUMMYFUNCTION("""COMPUTED_VALUE"""),"42b2fed8")</f>
        <v>42b2fed8</v>
      </c>
      <c r="B266" s="1" t="str">
        <f>IFERROR(__xludf.DUMMYFUNCTION("""COMPUTED_VALUE"""),"7a0e9897")</f>
        <v>7a0e9897</v>
      </c>
      <c r="C266" s="1" t="str">
        <f>IFERROR(__xludf.DUMMYFUNCTION("""COMPUTED_VALUE"""),"0029")</f>
        <v>0029</v>
      </c>
      <c r="D266" s="1">
        <f>IFERROR(__xludf.DUMMYFUNCTION("""COMPUTED_VALUE"""),72.0)</f>
        <v>72</v>
      </c>
      <c r="E266" s="1">
        <f>IFERROR(__xludf.DUMMYFUNCTION("""COMPUTED_VALUE"""),2.25)</f>
        <v>2.25</v>
      </c>
      <c r="F266" s="1"/>
      <c r="G266" s="1"/>
      <c r="H266" s="29">
        <f t="array" ref="H266">IF(B266="","",
DATE(
YEAR(INDEX(Purchases_Import!$B:$B, MATCH(B266, Purchases_Import!$A:$A, 0))),
MONTH(INDEX(Purchases_Import!$B:$B, MATCH(B266, Purchases_Import!$A:$A, 0))),
1
))</f>
        <v>46082</v>
      </c>
      <c r="I266" s="2">
        <f t="shared" si="1"/>
        <v>72</v>
      </c>
    </row>
    <row r="267">
      <c r="A267" s="1" t="str">
        <f>IFERROR(__xludf.DUMMYFUNCTION("""COMPUTED_VALUE"""),"87bea15e")</f>
        <v>87bea15e</v>
      </c>
      <c r="B267" s="1" t="str">
        <f>IFERROR(__xludf.DUMMYFUNCTION("""COMPUTED_VALUE"""),"7a0e9897")</f>
        <v>7a0e9897</v>
      </c>
      <c r="C267" s="1" t="str">
        <f>IFERROR(__xludf.DUMMYFUNCTION("""COMPUTED_VALUE"""),"0032")</f>
        <v>0032</v>
      </c>
      <c r="D267" s="1">
        <f>IFERROR(__xludf.DUMMYFUNCTION("""COMPUTED_VALUE"""),54.0)</f>
        <v>54</v>
      </c>
      <c r="E267" s="1">
        <f>IFERROR(__xludf.DUMMYFUNCTION("""COMPUTED_VALUE"""),2.0)</f>
        <v>2</v>
      </c>
      <c r="F267" s="1"/>
      <c r="G267" s="1"/>
      <c r="H267" s="29">
        <f t="array" ref="H267">IF(B267="","",
DATE(
YEAR(INDEX(Purchases_Import!$B:$B, MATCH(B267, Purchases_Import!$A:$A, 0))),
MONTH(INDEX(Purchases_Import!$B:$B, MATCH(B267, Purchases_Import!$A:$A, 0))),
1
))</f>
        <v>46082</v>
      </c>
      <c r="I267" s="2">
        <f t="shared" si="1"/>
        <v>54</v>
      </c>
    </row>
    <row r="268">
      <c r="A268" s="1" t="str">
        <f>IFERROR(__xludf.DUMMYFUNCTION("""COMPUTED_VALUE"""),"ae6221cb")</f>
        <v>ae6221cb</v>
      </c>
      <c r="B268" s="1" t="str">
        <f>IFERROR(__xludf.DUMMYFUNCTION("""COMPUTED_VALUE"""),"4087a248")</f>
        <v>4087a248</v>
      </c>
      <c r="C268" s="1" t="str">
        <f>IFERROR(__xludf.DUMMYFUNCTION("""COMPUTED_VALUE"""),"a19879cf")</f>
        <v>a19879cf</v>
      </c>
      <c r="D268" s="1">
        <f>IFERROR(__xludf.DUMMYFUNCTION("""COMPUTED_VALUE"""),24.0)</f>
        <v>24</v>
      </c>
      <c r="E268" s="1"/>
      <c r="F268" s="1"/>
      <c r="G268" s="1"/>
      <c r="H268" s="29">
        <f t="array" ref="H268">IF(B268="","",
DATE(
YEAR(INDEX(Purchases_Import!$B:$B, MATCH(B268, Purchases_Import!$A:$A, 0))),
MONTH(INDEX(Purchases_Import!$B:$B, MATCH(B268, Purchases_Import!$A:$A, 0))),
1
))</f>
        <v>46082</v>
      </c>
      <c r="I268" s="2">
        <f t="shared" si="1"/>
        <v>24</v>
      </c>
    </row>
    <row r="269">
      <c r="A269" s="1" t="str">
        <f>IFERROR(__xludf.DUMMYFUNCTION("""COMPUTED_VALUE"""),"df9639ec")</f>
        <v>df9639ec</v>
      </c>
      <c r="B269" s="1" t="str">
        <f>IFERROR(__xludf.DUMMYFUNCTION("""COMPUTED_VALUE"""),"4087a248")</f>
        <v>4087a248</v>
      </c>
      <c r="C269" s="1" t="str">
        <f>IFERROR(__xludf.DUMMYFUNCTION("""COMPUTED_VALUE"""),"27c8f623")</f>
        <v>27c8f623</v>
      </c>
      <c r="D269" s="1">
        <f>IFERROR(__xludf.DUMMYFUNCTION("""COMPUTED_VALUE"""),24.0)</f>
        <v>24</v>
      </c>
      <c r="E269" s="1"/>
      <c r="F269" s="1"/>
      <c r="G269" s="1"/>
      <c r="H269" s="29">
        <f t="array" ref="H269">IF(B269="","",
DATE(
YEAR(INDEX(Purchases_Import!$B:$B, MATCH(B269, Purchases_Import!$A:$A, 0))),
MONTH(INDEX(Purchases_Import!$B:$B, MATCH(B269, Purchases_Import!$A:$A, 0))),
1
))</f>
        <v>46082</v>
      </c>
      <c r="I269" s="2">
        <f t="shared" si="1"/>
        <v>24</v>
      </c>
    </row>
    <row r="270">
      <c r="A270" s="1" t="str">
        <f>IFERROR(__xludf.DUMMYFUNCTION("""COMPUTED_VALUE"""),"d0ab429f")</f>
        <v>d0ab429f</v>
      </c>
      <c r="B270" s="1" t="str">
        <f>IFERROR(__xludf.DUMMYFUNCTION("""COMPUTED_VALUE"""),"4087a248")</f>
        <v>4087a248</v>
      </c>
      <c r="C270" s="1" t="str">
        <f>IFERROR(__xludf.DUMMYFUNCTION("""COMPUTED_VALUE"""),"02d86a9b")</f>
        <v>02d86a9b</v>
      </c>
      <c r="D270" s="1">
        <f>IFERROR(__xludf.DUMMYFUNCTION("""COMPUTED_VALUE"""),24.0)</f>
        <v>24</v>
      </c>
      <c r="E270" s="1"/>
      <c r="F270" s="1"/>
      <c r="G270" s="1"/>
      <c r="H270" s="29">
        <f t="array" ref="H270">IF(B270="","",
DATE(
YEAR(INDEX(Purchases_Import!$B:$B, MATCH(B270, Purchases_Import!$A:$A, 0))),
MONTH(INDEX(Purchases_Import!$B:$B, MATCH(B270, Purchases_Import!$A:$A, 0))),
1
))</f>
        <v>46082</v>
      </c>
      <c r="I270" s="2">
        <f t="shared" si="1"/>
        <v>24</v>
      </c>
    </row>
    <row r="271">
      <c r="A271" s="1" t="str">
        <f>IFERROR(__xludf.DUMMYFUNCTION("""COMPUTED_VALUE"""),"5fd21417")</f>
        <v>5fd21417</v>
      </c>
      <c r="B271" s="1" t="str">
        <f>IFERROR(__xludf.DUMMYFUNCTION("""COMPUTED_VALUE"""),"20efc97b")</f>
        <v>20efc97b</v>
      </c>
      <c r="C271" s="1" t="str">
        <f>IFERROR(__xludf.DUMMYFUNCTION("""COMPUTED_VALUE"""),"0011")</f>
        <v>0011</v>
      </c>
      <c r="D271" s="1">
        <f>IFERROR(__xludf.DUMMYFUNCTION("""COMPUTED_VALUE"""),72.0)</f>
        <v>72</v>
      </c>
      <c r="E271" s="1">
        <f>IFERROR(__xludf.DUMMYFUNCTION("""COMPUTED_VALUE"""),3.5)</f>
        <v>3.5</v>
      </c>
      <c r="F271" s="1"/>
      <c r="G271" s="1"/>
      <c r="H271" s="29">
        <f t="array" ref="H271">IF(B271="","",
DATE(
YEAR(INDEX(Purchases_Import!$B:$B, MATCH(B271, Purchases_Import!$A:$A, 0))),
MONTH(INDEX(Purchases_Import!$B:$B, MATCH(B271, Purchases_Import!$A:$A, 0))),
1
))</f>
        <v>46082</v>
      </c>
      <c r="I271" s="2">
        <f t="shared" si="1"/>
        <v>72</v>
      </c>
    </row>
    <row r="272">
      <c r="A272" s="1" t="str">
        <f>IFERROR(__xludf.DUMMYFUNCTION("""COMPUTED_VALUE"""),"a513d075")</f>
        <v>a513d075</v>
      </c>
      <c r="B272" s="1" t="str">
        <f>IFERROR(__xludf.DUMMYFUNCTION("""COMPUTED_VALUE"""),"20efc97b")</f>
        <v>20efc97b</v>
      </c>
      <c r="C272" s="1" t="str">
        <f>IFERROR(__xludf.DUMMYFUNCTION("""COMPUTED_VALUE"""),"0001")</f>
        <v>0001</v>
      </c>
      <c r="D272" s="1">
        <f>IFERROR(__xludf.DUMMYFUNCTION("""COMPUTED_VALUE"""),75.0)</f>
        <v>75</v>
      </c>
      <c r="E272" s="1">
        <f>IFERROR(__xludf.DUMMYFUNCTION("""COMPUTED_VALUE"""),2.8)</f>
        <v>2.8</v>
      </c>
      <c r="F272" s="1"/>
      <c r="G272" s="1"/>
      <c r="H272" s="29">
        <f t="array" ref="H272">IF(B272="","",
DATE(
YEAR(INDEX(Purchases_Import!$B:$B, MATCH(B272, Purchases_Import!$A:$A, 0))),
MONTH(INDEX(Purchases_Import!$B:$B, MATCH(B272, Purchases_Import!$A:$A, 0))),
1
))</f>
        <v>46082</v>
      </c>
      <c r="I272" s="2">
        <f t="shared" si="1"/>
        <v>75</v>
      </c>
    </row>
    <row r="273">
      <c r="A273" s="1" t="str">
        <f>IFERROR(__xludf.DUMMYFUNCTION("""COMPUTED_VALUE"""),"11a34bc0")</f>
        <v>11a34bc0</v>
      </c>
      <c r="B273" s="1" t="str">
        <f>IFERROR(__xludf.DUMMYFUNCTION("""COMPUTED_VALUE"""),"20efc97b")</f>
        <v>20efc97b</v>
      </c>
      <c r="C273" s="1" t="str">
        <f>IFERROR(__xludf.DUMMYFUNCTION("""COMPUTED_VALUE"""),"12b96290")</f>
        <v>12b96290</v>
      </c>
      <c r="D273" s="1">
        <f>IFERROR(__xludf.DUMMYFUNCTION("""COMPUTED_VALUE"""),75.0)</f>
        <v>75</v>
      </c>
      <c r="E273" s="1">
        <f>IFERROR(__xludf.DUMMYFUNCTION("""COMPUTED_VALUE"""),3.0)</f>
        <v>3</v>
      </c>
      <c r="F273" s="1"/>
      <c r="G273" s="1"/>
      <c r="H273" s="29">
        <f t="array" ref="H273">IF(B273="","",
DATE(
YEAR(INDEX(Purchases_Import!$B:$B, MATCH(B273, Purchases_Import!$A:$A, 0))),
MONTH(INDEX(Purchases_Import!$B:$B, MATCH(B273, Purchases_Import!$A:$A, 0))),
1
))</f>
        <v>46082</v>
      </c>
      <c r="I273" s="2">
        <f t="shared" si="1"/>
        <v>75</v>
      </c>
    </row>
    <row r="274">
      <c r="A274" s="1" t="str">
        <f>IFERROR(__xludf.DUMMYFUNCTION("""COMPUTED_VALUE"""),"fe823021")</f>
        <v>fe823021</v>
      </c>
      <c r="B274" s="1" t="str">
        <f>IFERROR(__xludf.DUMMYFUNCTION("""COMPUTED_VALUE"""),"20efc97b")</f>
        <v>20efc97b</v>
      </c>
      <c r="C274" s="1" t="str">
        <f>IFERROR(__xludf.DUMMYFUNCTION("""COMPUTED_VALUE"""),"0029")</f>
        <v>0029</v>
      </c>
      <c r="D274" s="1">
        <f>IFERROR(__xludf.DUMMYFUNCTION("""COMPUTED_VALUE"""),48.0)</f>
        <v>48</v>
      </c>
      <c r="E274" s="1">
        <f>IFERROR(__xludf.DUMMYFUNCTION("""COMPUTED_VALUE"""),2.25)</f>
        <v>2.25</v>
      </c>
      <c r="F274" s="1"/>
      <c r="G274" s="1"/>
      <c r="H274" s="29">
        <f t="array" ref="H274">IF(B274="","",
DATE(
YEAR(INDEX(Purchases_Import!$B:$B, MATCH(B274, Purchases_Import!$A:$A, 0))),
MONTH(INDEX(Purchases_Import!$B:$B, MATCH(B274, Purchases_Import!$A:$A, 0))),
1
))</f>
        <v>46082</v>
      </c>
      <c r="I274" s="2">
        <f t="shared" si="1"/>
        <v>48</v>
      </c>
    </row>
    <row r="275">
      <c r="A275" s="1" t="str">
        <f>IFERROR(__xludf.DUMMYFUNCTION("""COMPUTED_VALUE"""),"8b0e257a")</f>
        <v>8b0e257a</v>
      </c>
      <c r="B275" s="1" t="str">
        <f>IFERROR(__xludf.DUMMYFUNCTION("""COMPUTED_VALUE"""),"20efc97b")</f>
        <v>20efc97b</v>
      </c>
      <c r="C275" s="1" t="str">
        <f>IFERROR(__xludf.DUMMYFUNCTION("""COMPUTED_VALUE"""),"0021")</f>
        <v>0021</v>
      </c>
      <c r="D275" s="1">
        <f>IFERROR(__xludf.DUMMYFUNCTION("""COMPUTED_VALUE"""),48.0)</f>
        <v>48</v>
      </c>
      <c r="E275" s="1">
        <f>IFERROR(__xludf.DUMMYFUNCTION("""COMPUTED_VALUE"""),2.25)</f>
        <v>2.25</v>
      </c>
      <c r="F275" s="1"/>
      <c r="G275" s="1"/>
      <c r="H275" s="29">
        <f t="array" ref="H275">IF(B275="","",
DATE(
YEAR(INDEX(Purchases_Import!$B:$B, MATCH(B275, Purchases_Import!$A:$A, 0))),
MONTH(INDEX(Purchases_Import!$B:$B, MATCH(B275, Purchases_Import!$A:$A, 0))),
1
))</f>
        <v>46082</v>
      </c>
      <c r="I275" s="2">
        <f t="shared" si="1"/>
        <v>48</v>
      </c>
    </row>
    <row r="276">
      <c r="A276" s="1" t="str">
        <f>IFERROR(__xludf.DUMMYFUNCTION("""COMPUTED_VALUE"""),"e4752543")</f>
        <v>e4752543</v>
      </c>
      <c r="B276" s="1" t="str">
        <f>IFERROR(__xludf.DUMMYFUNCTION("""COMPUTED_VALUE"""),"1a253598")</f>
        <v>1a253598</v>
      </c>
      <c r="C276" s="1" t="str">
        <f>IFERROR(__xludf.DUMMYFUNCTION("""COMPUTED_VALUE"""),"0049")</f>
        <v>0049</v>
      </c>
      <c r="D276" s="1">
        <f>IFERROR(__xludf.DUMMYFUNCTION("""COMPUTED_VALUE"""),24.0)</f>
        <v>24</v>
      </c>
      <c r="E276" s="1">
        <f>IFERROR(__xludf.DUMMYFUNCTION("""COMPUTED_VALUE"""),1.93)</f>
        <v>1.93</v>
      </c>
      <c r="F276" s="1"/>
      <c r="G276" s="1"/>
      <c r="H276" s="29">
        <f t="array" ref="H276">IF(B276="","",
DATE(
YEAR(INDEX(Purchases_Import!$B:$B, MATCH(B276, Purchases_Import!$A:$A, 0))),
MONTH(INDEX(Purchases_Import!$B:$B, MATCH(B276, Purchases_Import!$A:$A, 0))),
1
))</f>
        <v>46082</v>
      </c>
      <c r="I276" s="2">
        <f t="shared" si="1"/>
        <v>24</v>
      </c>
    </row>
    <row r="277">
      <c r="A277" s="1" t="str">
        <f>IFERROR(__xludf.DUMMYFUNCTION("""COMPUTED_VALUE"""),"db3e4dd2")</f>
        <v>db3e4dd2</v>
      </c>
      <c r="B277" s="1" t="str">
        <f>IFERROR(__xludf.DUMMYFUNCTION("""COMPUTED_VALUE"""),"1a253598")</f>
        <v>1a253598</v>
      </c>
      <c r="C277" s="1" t="str">
        <f>IFERROR(__xludf.DUMMYFUNCTION("""COMPUTED_VALUE"""),"cb9e809e")</f>
        <v>cb9e809e</v>
      </c>
      <c r="D277" s="1">
        <f>IFERROR(__xludf.DUMMYFUNCTION("""COMPUTED_VALUE"""),12.0)</f>
        <v>12</v>
      </c>
      <c r="E277" s="1"/>
      <c r="F277" s="1"/>
      <c r="G277" s="1"/>
      <c r="H277" s="29">
        <f t="array" ref="H277">IF(B277="","",
DATE(
YEAR(INDEX(Purchases_Import!$B:$B, MATCH(B277, Purchases_Import!$A:$A, 0))),
MONTH(INDEX(Purchases_Import!$B:$B, MATCH(B277, Purchases_Import!$A:$A, 0))),
1
))</f>
        <v>46082</v>
      </c>
      <c r="I277" s="2">
        <f t="shared" si="1"/>
        <v>12</v>
      </c>
    </row>
    <row r="278">
      <c r="A278" s="1" t="str">
        <f>IFERROR(__xludf.DUMMYFUNCTION("""COMPUTED_VALUE"""),"b32c9d07")</f>
        <v>b32c9d07</v>
      </c>
      <c r="B278" s="1" t="str">
        <f>IFERROR(__xludf.DUMMYFUNCTION("""COMPUTED_VALUE"""),"41b292a0")</f>
        <v>41b292a0</v>
      </c>
      <c r="C278" s="1" t="str">
        <f>IFERROR(__xludf.DUMMYFUNCTION("""COMPUTED_VALUE"""),"0011")</f>
        <v>0011</v>
      </c>
      <c r="D278" s="1">
        <f>IFERROR(__xludf.DUMMYFUNCTION("""COMPUTED_VALUE"""),240.0)</f>
        <v>240</v>
      </c>
      <c r="E278" s="1">
        <f>IFERROR(__xludf.DUMMYFUNCTION("""COMPUTED_VALUE"""),3.5)</f>
        <v>3.5</v>
      </c>
      <c r="F278" s="1"/>
      <c r="G278" s="1"/>
      <c r="H278" s="29">
        <f t="array" ref="H278">IF(B278="","",
DATE(
YEAR(INDEX(Purchases_Import!$B:$B, MATCH(B278, Purchases_Import!$A:$A, 0))),
MONTH(INDEX(Purchases_Import!$B:$B, MATCH(B278, Purchases_Import!$A:$A, 0))),
1
))</f>
        <v>46082</v>
      </c>
      <c r="I278" s="2">
        <f t="shared" si="1"/>
        <v>240</v>
      </c>
    </row>
    <row r="279">
      <c r="A279" s="1" t="str">
        <f>IFERROR(__xludf.DUMMYFUNCTION("""COMPUTED_VALUE"""),"e47b2332")</f>
        <v>e47b2332</v>
      </c>
      <c r="B279" s="1" t="str">
        <f>IFERROR(__xludf.DUMMYFUNCTION("""COMPUTED_VALUE"""),"41b292a0")</f>
        <v>41b292a0</v>
      </c>
      <c r="C279" s="1" t="str">
        <f>IFERROR(__xludf.DUMMYFUNCTION("""COMPUTED_VALUE"""),"c099f042")</f>
        <v>c099f042</v>
      </c>
      <c r="D279" s="1">
        <f>IFERROR(__xludf.DUMMYFUNCTION("""COMPUTED_VALUE"""),140.0)</f>
        <v>140</v>
      </c>
      <c r="E279" s="1"/>
      <c r="F279" s="1"/>
      <c r="G279" s="1"/>
      <c r="H279" s="29">
        <f t="array" ref="H279">IF(B279="","",
DATE(
YEAR(INDEX(Purchases_Import!$B:$B, MATCH(B279, Purchases_Import!$A:$A, 0))),
MONTH(INDEX(Purchases_Import!$B:$B, MATCH(B279, Purchases_Import!$A:$A, 0))),
1
))</f>
        <v>46082</v>
      </c>
      <c r="I279" s="2">
        <f t="shared" si="1"/>
        <v>140</v>
      </c>
    </row>
    <row r="280">
      <c r="A280" s="1" t="str">
        <f>IFERROR(__xludf.DUMMYFUNCTION("""COMPUTED_VALUE"""),"f956a2c8")</f>
        <v>f956a2c8</v>
      </c>
      <c r="B280" s="1" t="str">
        <f>IFERROR(__xludf.DUMMYFUNCTION("""COMPUTED_VALUE"""),"41b292a0")</f>
        <v>41b292a0</v>
      </c>
      <c r="C280" s="1" t="str">
        <f>IFERROR(__xludf.DUMMYFUNCTION("""COMPUTED_VALUE"""),"83dd14b5")</f>
        <v>83dd14b5</v>
      </c>
      <c r="D280" s="1">
        <f>IFERROR(__xludf.DUMMYFUNCTION("""COMPUTED_VALUE"""),240.0)</f>
        <v>240</v>
      </c>
      <c r="E280" s="1">
        <f>IFERROR(__xludf.DUMMYFUNCTION("""COMPUTED_VALUE"""),0.45)</f>
        <v>0.45</v>
      </c>
      <c r="F280" s="1"/>
      <c r="G280" s="1"/>
      <c r="H280" s="29">
        <f t="array" ref="H280">IF(B280="","",
DATE(
YEAR(INDEX(Purchases_Import!$B:$B, MATCH(B280, Purchases_Import!$A:$A, 0))),
MONTH(INDEX(Purchases_Import!$B:$B, MATCH(B280, Purchases_Import!$A:$A, 0))),
1
))</f>
        <v>46082</v>
      </c>
      <c r="I280" s="2">
        <f t="shared" si="1"/>
        <v>240</v>
      </c>
    </row>
    <row r="281">
      <c r="A281" s="1" t="str">
        <f>IFERROR(__xludf.DUMMYFUNCTION("""COMPUTED_VALUE"""),"9b21841a")</f>
        <v>9b21841a</v>
      </c>
      <c r="B281" s="1" t="str">
        <f>IFERROR(__xludf.DUMMYFUNCTION("""COMPUTED_VALUE"""),"41b292a0")</f>
        <v>41b292a0</v>
      </c>
      <c r="C281" s="1" t="str">
        <f>IFERROR(__xludf.DUMMYFUNCTION("""COMPUTED_VALUE"""),"0019")</f>
        <v>0019</v>
      </c>
      <c r="D281" s="1">
        <f>IFERROR(__xludf.DUMMYFUNCTION("""COMPUTED_VALUE"""),72.0)</f>
        <v>72</v>
      </c>
      <c r="E281" s="1">
        <f>IFERROR(__xludf.DUMMYFUNCTION("""COMPUTED_VALUE"""),1.33)</f>
        <v>1.33</v>
      </c>
      <c r="F281" s="1"/>
      <c r="G281" s="1"/>
      <c r="H281" s="29">
        <f t="array" ref="H281">IF(B281="","",
DATE(
YEAR(INDEX(Purchases_Import!$B:$B, MATCH(B281, Purchases_Import!$A:$A, 0))),
MONTH(INDEX(Purchases_Import!$B:$B, MATCH(B281, Purchases_Import!$A:$A, 0))),
1
))</f>
        <v>46082</v>
      </c>
      <c r="I281" s="2">
        <f t="shared" si="1"/>
        <v>72</v>
      </c>
    </row>
    <row r="282">
      <c r="A282" s="1" t="str">
        <f>IFERROR(__xludf.DUMMYFUNCTION("""COMPUTED_VALUE"""),"4eac2d3f")</f>
        <v>4eac2d3f</v>
      </c>
      <c r="B282" s="1" t="str">
        <f>IFERROR(__xludf.DUMMYFUNCTION("""COMPUTED_VALUE"""),"316f5491")</f>
        <v>316f5491</v>
      </c>
      <c r="C282" s="1" t="str">
        <f>IFERROR(__xludf.DUMMYFUNCTION("""COMPUTED_VALUE"""),"0021")</f>
        <v>0021</v>
      </c>
      <c r="D282" s="1">
        <f>IFERROR(__xludf.DUMMYFUNCTION("""COMPUTED_VALUE"""),120.0)</f>
        <v>120</v>
      </c>
      <c r="E282" s="1">
        <f>IFERROR(__xludf.DUMMYFUNCTION("""COMPUTED_VALUE"""),2.25)</f>
        <v>2.25</v>
      </c>
      <c r="F282" s="1"/>
      <c r="G282" s="1"/>
      <c r="H282" s="29">
        <f t="array" ref="H282">IF(B282="","",
DATE(
YEAR(INDEX(Purchases_Import!$B:$B, MATCH(B282, Purchases_Import!$A:$A, 0))),
MONTH(INDEX(Purchases_Import!$B:$B, MATCH(B282, Purchases_Import!$A:$A, 0))),
1
))</f>
        <v>46082</v>
      </c>
      <c r="I282" s="2">
        <f t="shared" si="1"/>
        <v>120</v>
      </c>
    </row>
    <row r="283">
      <c r="A283" s="1" t="str">
        <f>IFERROR(__xludf.DUMMYFUNCTION("""COMPUTED_VALUE"""),"a964cadc")</f>
        <v>a964cadc</v>
      </c>
      <c r="B283" s="1" t="str">
        <f>IFERROR(__xludf.DUMMYFUNCTION("""COMPUTED_VALUE"""),"316f5491")</f>
        <v>316f5491</v>
      </c>
      <c r="C283" s="1" t="str">
        <f>IFERROR(__xludf.DUMMYFUNCTION("""COMPUTED_VALUE"""),"0033")</f>
        <v>0033</v>
      </c>
      <c r="D283" s="1">
        <f>IFERROR(__xludf.DUMMYFUNCTION("""COMPUTED_VALUE"""),24.0)</f>
        <v>24</v>
      </c>
      <c r="E283" s="1">
        <f>IFERROR(__xludf.DUMMYFUNCTION("""COMPUTED_VALUE"""),1.33)</f>
        <v>1.33</v>
      </c>
      <c r="F283" s="1"/>
      <c r="G283" s="1"/>
      <c r="H283" s="29">
        <f t="array" ref="H283">IF(B283="","",
DATE(
YEAR(INDEX(Purchases_Import!$B:$B, MATCH(B283, Purchases_Import!$A:$A, 0))),
MONTH(INDEX(Purchases_Import!$B:$B, MATCH(B283, Purchases_Import!$A:$A, 0))),
1
))</f>
        <v>46082</v>
      </c>
      <c r="I283" s="2">
        <f t="shared" si="1"/>
        <v>24</v>
      </c>
    </row>
    <row r="284">
      <c r="A284" s="1" t="str">
        <f>IFERROR(__xludf.DUMMYFUNCTION("""COMPUTED_VALUE"""),"35079701")</f>
        <v>35079701</v>
      </c>
      <c r="B284" s="1" t="str">
        <f>IFERROR(__xludf.DUMMYFUNCTION("""COMPUTED_VALUE"""),"316f5491")</f>
        <v>316f5491</v>
      </c>
      <c r="C284" s="1" t="str">
        <f>IFERROR(__xludf.DUMMYFUNCTION("""COMPUTED_VALUE"""),"0038")</f>
        <v>0038</v>
      </c>
      <c r="D284" s="1">
        <f>IFERROR(__xludf.DUMMYFUNCTION("""COMPUTED_VALUE"""),16.0)</f>
        <v>16</v>
      </c>
      <c r="E284" s="1">
        <f>IFERROR(__xludf.DUMMYFUNCTION("""COMPUTED_VALUE"""),6.12)</f>
        <v>6.12</v>
      </c>
      <c r="F284" s="1"/>
      <c r="G284" s="1"/>
      <c r="H284" s="29">
        <f t="array" ref="H284">IF(B284="","",
DATE(
YEAR(INDEX(Purchases_Import!$B:$B, MATCH(B284, Purchases_Import!$A:$A, 0))),
MONTH(INDEX(Purchases_Import!$B:$B, MATCH(B284, Purchases_Import!$A:$A, 0))),
1
))</f>
        <v>46082</v>
      </c>
      <c r="I284" s="2">
        <f t="shared" si="1"/>
        <v>16</v>
      </c>
    </row>
    <row r="285">
      <c r="A285" s="1" t="str">
        <f>IFERROR(__xludf.DUMMYFUNCTION("""COMPUTED_VALUE"""),"efd5d69f")</f>
        <v>efd5d69f</v>
      </c>
      <c r="B285" s="1" t="str">
        <f>IFERROR(__xludf.DUMMYFUNCTION("""COMPUTED_VALUE"""),"316f5491")</f>
        <v>316f5491</v>
      </c>
      <c r="C285" s="1" t="str">
        <f>IFERROR(__xludf.DUMMYFUNCTION("""COMPUTED_VALUE"""),"0001")</f>
        <v>0001</v>
      </c>
      <c r="D285" s="1">
        <f>IFERROR(__xludf.DUMMYFUNCTION("""COMPUTED_VALUE"""),195.0)</f>
        <v>195</v>
      </c>
      <c r="E285" s="1">
        <f>IFERROR(__xludf.DUMMYFUNCTION("""COMPUTED_VALUE"""),2.8)</f>
        <v>2.8</v>
      </c>
      <c r="F285" s="1"/>
      <c r="G285" s="1"/>
      <c r="H285" s="29">
        <f t="array" ref="H285">IF(B285="","",
DATE(
YEAR(INDEX(Purchases_Import!$B:$B, MATCH(B285, Purchases_Import!$A:$A, 0))),
MONTH(INDEX(Purchases_Import!$B:$B, MATCH(B285, Purchases_Import!$A:$A, 0))),
1
))</f>
        <v>46082</v>
      </c>
      <c r="I285" s="2">
        <f t="shared" si="1"/>
        <v>195</v>
      </c>
    </row>
    <row r="286">
      <c r="A286" s="1" t="str">
        <f>IFERROR(__xludf.DUMMYFUNCTION("""COMPUTED_VALUE"""),"3615bba9")</f>
        <v>3615bba9</v>
      </c>
      <c r="B286" s="1" t="str">
        <f>IFERROR(__xludf.DUMMYFUNCTION("""COMPUTED_VALUE"""),"316f5491")</f>
        <v>316f5491</v>
      </c>
      <c r="C286" s="1" t="str">
        <f>IFERROR(__xludf.DUMMYFUNCTION("""COMPUTED_VALUE"""),"12b96290")</f>
        <v>12b96290</v>
      </c>
      <c r="D286" s="1">
        <f>IFERROR(__xludf.DUMMYFUNCTION("""COMPUTED_VALUE"""),105.0)</f>
        <v>105</v>
      </c>
      <c r="E286" s="1">
        <f>IFERROR(__xludf.DUMMYFUNCTION("""COMPUTED_VALUE"""),3.0)</f>
        <v>3</v>
      </c>
      <c r="F286" s="1"/>
      <c r="G286" s="1"/>
      <c r="H286" s="29">
        <f t="array" ref="H286">IF(B286="","",
DATE(
YEAR(INDEX(Purchases_Import!$B:$B, MATCH(B286, Purchases_Import!$A:$A, 0))),
MONTH(INDEX(Purchases_Import!$B:$B, MATCH(B286, Purchases_Import!$A:$A, 0))),
1
))</f>
        <v>46082</v>
      </c>
      <c r="I286" s="2">
        <f t="shared" si="1"/>
        <v>105</v>
      </c>
    </row>
    <row r="287">
      <c r="A287" s="1" t="str">
        <f>IFERROR(__xludf.DUMMYFUNCTION("""COMPUTED_VALUE"""),"f2609c7f")</f>
        <v>f2609c7f</v>
      </c>
      <c r="B287" s="1" t="str">
        <f>IFERROR(__xludf.DUMMYFUNCTION("""COMPUTED_VALUE"""),"316f5491")</f>
        <v>316f5491</v>
      </c>
      <c r="C287" s="1" t="str">
        <f>IFERROR(__xludf.DUMMYFUNCTION("""COMPUTED_VALUE"""),"0054")</f>
        <v>0054</v>
      </c>
      <c r="D287" s="1">
        <f>IFERROR(__xludf.DUMMYFUNCTION("""COMPUTED_VALUE"""),48.0)</f>
        <v>48</v>
      </c>
      <c r="E287" s="1">
        <f>IFERROR(__xludf.DUMMYFUNCTION("""COMPUTED_VALUE"""),2.25)</f>
        <v>2.25</v>
      </c>
      <c r="F287" s="1"/>
      <c r="G287" s="1"/>
      <c r="H287" s="29">
        <f t="array" ref="H287">IF(B287="","",
DATE(
YEAR(INDEX(Purchases_Import!$B:$B, MATCH(B287, Purchases_Import!$A:$A, 0))),
MONTH(INDEX(Purchases_Import!$B:$B, MATCH(B287, Purchases_Import!$A:$A, 0))),
1
))</f>
        <v>46082</v>
      </c>
      <c r="I287" s="2">
        <f t="shared" si="1"/>
        <v>48</v>
      </c>
    </row>
    <row r="288">
      <c r="A288" s="1" t="str">
        <f>IFERROR(__xludf.DUMMYFUNCTION("""COMPUTED_VALUE"""),"f8ff3508")</f>
        <v>f8ff3508</v>
      </c>
      <c r="B288" s="1" t="str">
        <f>IFERROR(__xludf.DUMMYFUNCTION("""COMPUTED_VALUE"""),"316f5491")</f>
        <v>316f5491</v>
      </c>
      <c r="C288" s="1" t="str">
        <f>IFERROR(__xludf.DUMMYFUNCTION("""COMPUTED_VALUE"""),"a3f74383")</f>
        <v>a3f74383</v>
      </c>
      <c r="D288" s="1">
        <f>IFERROR(__xludf.DUMMYFUNCTION("""COMPUTED_VALUE"""),48.0)</f>
        <v>48</v>
      </c>
      <c r="E288" s="1">
        <f>IFERROR(__xludf.DUMMYFUNCTION("""COMPUTED_VALUE"""),2.25)</f>
        <v>2.25</v>
      </c>
      <c r="F288" s="1"/>
      <c r="G288" s="1"/>
      <c r="H288" s="29">
        <f t="array" ref="H288">IF(B288="","",
DATE(
YEAR(INDEX(Purchases_Import!$B:$B, MATCH(B288, Purchases_Import!$A:$A, 0))),
MONTH(INDEX(Purchases_Import!$B:$B, MATCH(B288, Purchases_Import!$A:$A, 0))),
1
))</f>
        <v>46082</v>
      </c>
      <c r="I288" s="2">
        <f t="shared" si="1"/>
        <v>48</v>
      </c>
    </row>
    <row r="289">
      <c r="A289" s="1" t="str">
        <f>IFERROR(__xludf.DUMMYFUNCTION("""COMPUTED_VALUE"""),"5e5b2a18")</f>
        <v>5e5b2a18</v>
      </c>
      <c r="B289" s="1" t="str">
        <f>IFERROR(__xludf.DUMMYFUNCTION("""COMPUTED_VALUE"""),"316f5491")</f>
        <v>316f5491</v>
      </c>
      <c r="C289" s="1" t="str">
        <f>IFERROR(__xludf.DUMMYFUNCTION("""COMPUTED_VALUE"""),"57a5617b")</f>
        <v>57a5617b</v>
      </c>
      <c r="D289" s="1">
        <f>IFERROR(__xludf.DUMMYFUNCTION("""COMPUTED_VALUE"""),24.0)</f>
        <v>24</v>
      </c>
      <c r="E289" s="1"/>
      <c r="F289" s="1"/>
      <c r="G289" s="1"/>
      <c r="H289" s="29">
        <f t="array" ref="H289">IF(B289="","",
DATE(
YEAR(INDEX(Purchases_Import!$B:$B, MATCH(B289, Purchases_Import!$A:$A, 0))),
MONTH(INDEX(Purchases_Import!$B:$B, MATCH(B289, Purchases_Import!$A:$A, 0))),
1
))</f>
        <v>46082</v>
      </c>
      <c r="I289" s="2">
        <f t="shared" si="1"/>
        <v>24</v>
      </c>
    </row>
    <row r="290">
      <c r="A290" s="1" t="str">
        <f>IFERROR(__xludf.DUMMYFUNCTION("""COMPUTED_VALUE"""),"83c8077e")</f>
        <v>83c8077e</v>
      </c>
      <c r="B290" s="1" t="str">
        <f>IFERROR(__xludf.DUMMYFUNCTION("""COMPUTED_VALUE"""),"011b17d4")</f>
        <v>011b17d4</v>
      </c>
      <c r="C290" s="1" t="str">
        <f>IFERROR(__xludf.DUMMYFUNCTION("""COMPUTED_VALUE"""),"bb6c2490")</f>
        <v>bb6c2490</v>
      </c>
      <c r="D290" s="1">
        <f>IFERROR(__xludf.DUMMYFUNCTION("""COMPUTED_VALUE"""),144.0)</f>
        <v>144</v>
      </c>
      <c r="E290" s="1">
        <f>IFERROR(__xludf.DUMMYFUNCTION("""COMPUTED_VALUE"""),2.78)</f>
        <v>2.78</v>
      </c>
      <c r="F290" s="1"/>
      <c r="G290" s="1"/>
      <c r="H290" s="29">
        <f t="array" ref="H290">IF(B290="","",
DATE(
YEAR(INDEX(Purchases_Import!$B:$B, MATCH(B290, Purchases_Import!$A:$A, 0))),
MONTH(INDEX(Purchases_Import!$B:$B, MATCH(B290, Purchases_Import!$A:$A, 0))),
1
))</f>
        <v>46082</v>
      </c>
      <c r="I290" s="2">
        <f t="shared" si="1"/>
        <v>144</v>
      </c>
    </row>
    <row r="291">
      <c r="A291" s="1" t="str">
        <f>IFERROR(__xludf.DUMMYFUNCTION("""COMPUTED_VALUE"""),"82ca5495")</f>
        <v>82ca5495</v>
      </c>
      <c r="B291" s="1" t="str">
        <f>IFERROR(__xludf.DUMMYFUNCTION("""COMPUTED_VALUE"""),"011b17d4")</f>
        <v>011b17d4</v>
      </c>
      <c r="C291" s="1" t="str">
        <f>IFERROR(__xludf.DUMMYFUNCTION("""COMPUTED_VALUE"""),"bb4d1bd1")</f>
        <v>bb4d1bd1</v>
      </c>
      <c r="D291" s="1">
        <f>IFERROR(__xludf.DUMMYFUNCTION("""COMPUTED_VALUE"""),72.0)</f>
        <v>72</v>
      </c>
      <c r="E291" s="1"/>
      <c r="F291" s="1"/>
      <c r="G291" s="1"/>
      <c r="H291" s="29">
        <f t="array" ref="H291">IF(B291="","",
DATE(
YEAR(INDEX(Purchases_Import!$B:$B, MATCH(B291, Purchases_Import!$A:$A, 0))),
MONTH(INDEX(Purchases_Import!$B:$B, MATCH(B291, Purchases_Import!$A:$A, 0))),
1
))</f>
        <v>46082</v>
      </c>
      <c r="I291" s="2">
        <f t="shared" si="1"/>
        <v>72</v>
      </c>
    </row>
    <row r="292">
      <c r="A292" s="1" t="str">
        <f>IFERROR(__xludf.DUMMYFUNCTION("""COMPUTED_VALUE"""),"48661d47")</f>
        <v>48661d47</v>
      </c>
      <c r="B292" s="1" t="str">
        <f>IFERROR(__xludf.DUMMYFUNCTION("""COMPUTED_VALUE"""),"011b17d4")</f>
        <v>011b17d4</v>
      </c>
      <c r="C292" s="1" t="str">
        <f>IFERROR(__xludf.DUMMYFUNCTION("""COMPUTED_VALUE"""),"0005")</f>
        <v>0005</v>
      </c>
      <c r="D292" s="1">
        <f>IFERROR(__xludf.DUMMYFUNCTION("""COMPUTED_VALUE"""),24.0)</f>
        <v>24</v>
      </c>
      <c r="E292" s="1">
        <f>IFERROR(__xludf.DUMMYFUNCTION("""COMPUTED_VALUE"""),2.0)</f>
        <v>2</v>
      </c>
      <c r="F292" s="1"/>
      <c r="G292" s="1"/>
      <c r="H292" s="29">
        <f t="array" ref="H292">IF(B292="","",
DATE(
YEAR(INDEX(Purchases_Import!$B:$B, MATCH(B292, Purchases_Import!$A:$A, 0))),
MONTH(INDEX(Purchases_Import!$B:$B, MATCH(B292, Purchases_Import!$A:$A, 0))),
1
))</f>
        <v>46082</v>
      </c>
      <c r="I292" s="2">
        <f t="shared" si="1"/>
        <v>24</v>
      </c>
    </row>
    <row r="293">
      <c r="A293" s="1" t="str">
        <f>IFERROR(__xludf.DUMMYFUNCTION("""COMPUTED_VALUE"""),"1fca08bc")</f>
        <v>1fca08bc</v>
      </c>
      <c r="B293" s="1" t="str">
        <f>IFERROR(__xludf.DUMMYFUNCTION("""COMPUTED_VALUE"""),"011b17d4")</f>
        <v>011b17d4</v>
      </c>
      <c r="C293" s="1" t="str">
        <f>IFERROR(__xludf.DUMMYFUNCTION("""COMPUTED_VALUE"""),"a19879cf")</f>
        <v>a19879cf</v>
      </c>
      <c r="D293" s="1">
        <f>IFERROR(__xludf.DUMMYFUNCTION("""COMPUTED_VALUE"""),72.0)</f>
        <v>72</v>
      </c>
      <c r="E293" s="1"/>
      <c r="F293" s="1"/>
      <c r="G293" s="1"/>
      <c r="H293" s="29">
        <f t="array" ref="H293">IF(B293="","",
DATE(
YEAR(INDEX(Purchases_Import!$B:$B, MATCH(B293, Purchases_Import!$A:$A, 0))),
MONTH(INDEX(Purchases_Import!$B:$B, MATCH(B293, Purchases_Import!$A:$A, 0))),
1
))</f>
        <v>46082</v>
      </c>
      <c r="I293" s="2">
        <f t="shared" si="1"/>
        <v>72</v>
      </c>
    </row>
    <row r="294">
      <c r="A294" s="1" t="str">
        <f>IFERROR(__xludf.DUMMYFUNCTION("""COMPUTED_VALUE"""),"ad162167")</f>
        <v>ad162167</v>
      </c>
      <c r="B294" s="1" t="str">
        <f>IFERROR(__xludf.DUMMYFUNCTION("""COMPUTED_VALUE"""),"011b17d4")</f>
        <v>011b17d4</v>
      </c>
      <c r="C294" s="1" t="str">
        <f>IFERROR(__xludf.DUMMYFUNCTION("""COMPUTED_VALUE"""),"02d86a9b")</f>
        <v>02d86a9b</v>
      </c>
      <c r="D294" s="1">
        <f>IFERROR(__xludf.DUMMYFUNCTION("""COMPUTED_VALUE"""),48.0)</f>
        <v>48</v>
      </c>
      <c r="E294" s="1"/>
      <c r="F294" s="1"/>
      <c r="G294" s="1"/>
      <c r="H294" s="29">
        <f t="array" ref="H294">IF(B294="","",
DATE(
YEAR(INDEX(Purchases_Import!$B:$B, MATCH(B294, Purchases_Import!$A:$A, 0))),
MONTH(INDEX(Purchases_Import!$B:$B, MATCH(B294, Purchases_Import!$A:$A, 0))),
1
))</f>
        <v>46082</v>
      </c>
      <c r="I294" s="2">
        <f t="shared" si="1"/>
        <v>48</v>
      </c>
    </row>
    <row r="295">
      <c r="A295" s="1" t="str">
        <f>IFERROR(__xludf.DUMMYFUNCTION("""COMPUTED_VALUE"""),"f696e40e")</f>
        <v>f696e40e</v>
      </c>
      <c r="B295" s="1" t="str">
        <f>IFERROR(__xludf.DUMMYFUNCTION("""COMPUTED_VALUE"""),"011b17d4")</f>
        <v>011b17d4</v>
      </c>
      <c r="C295" s="1" t="str">
        <f>IFERROR(__xludf.DUMMYFUNCTION("""COMPUTED_VALUE"""),"27c8f623")</f>
        <v>27c8f623</v>
      </c>
      <c r="D295" s="1">
        <f>IFERROR(__xludf.DUMMYFUNCTION("""COMPUTED_VALUE"""),48.0)</f>
        <v>48</v>
      </c>
      <c r="E295" s="1"/>
      <c r="F295" s="1"/>
      <c r="G295" s="1"/>
      <c r="H295" s="29">
        <f t="array" ref="H295">IF(B295="","",
DATE(
YEAR(INDEX(Purchases_Import!$B:$B, MATCH(B295, Purchases_Import!$A:$A, 0))),
MONTH(INDEX(Purchases_Import!$B:$B, MATCH(B295, Purchases_Import!$A:$A, 0))),
1
))</f>
        <v>46082</v>
      </c>
      <c r="I295" s="2">
        <f t="shared" si="1"/>
        <v>48</v>
      </c>
    </row>
    <row r="296">
      <c r="A296" s="1" t="str">
        <f>IFERROR(__xludf.DUMMYFUNCTION("""COMPUTED_VALUE"""),"6fd96e25")</f>
        <v>6fd96e25</v>
      </c>
      <c r="B296" s="1" t="str">
        <f>IFERROR(__xludf.DUMMYFUNCTION("""COMPUTED_VALUE"""),"011b17d4")</f>
        <v>011b17d4</v>
      </c>
      <c r="C296" s="1" t="str">
        <f>IFERROR(__xludf.DUMMYFUNCTION("""COMPUTED_VALUE"""),"0014")</f>
        <v>0014</v>
      </c>
      <c r="D296" s="1">
        <f>IFERROR(__xludf.DUMMYFUNCTION("""COMPUTED_VALUE"""),10.0)</f>
        <v>10</v>
      </c>
      <c r="E296" s="1">
        <f>IFERROR(__xludf.DUMMYFUNCTION("""COMPUTED_VALUE"""),5.9)</f>
        <v>5.9</v>
      </c>
      <c r="F296" s="1"/>
      <c r="G296" s="1"/>
      <c r="H296" s="29">
        <f t="array" ref="H296">IF(B296="","",
DATE(
YEAR(INDEX(Purchases_Import!$B:$B, MATCH(B296, Purchases_Import!$A:$A, 0))),
MONTH(INDEX(Purchases_Import!$B:$B, MATCH(B296, Purchases_Import!$A:$A, 0))),
1
))</f>
        <v>46082</v>
      </c>
      <c r="I296" s="2">
        <f t="shared" si="1"/>
        <v>10</v>
      </c>
    </row>
    <row r="297">
      <c r="A297" s="1" t="str">
        <f>IFERROR(__xludf.DUMMYFUNCTION("""COMPUTED_VALUE"""),"167cdb77")</f>
        <v>167cdb77</v>
      </c>
      <c r="B297" s="1" t="str">
        <f>IFERROR(__xludf.DUMMYFUNCTION("""COMPUTED_VALUE"""),"011b17d4")</f>
        <v>011b17d4</v>
      </c>
      <c r="C297" s="1" t="str">
        <f>IFERROR(__xludf.DUMMYFUNCTION("""COMPUTED_VALUE"""),"cb9e809e")</f>
        <v>cb9e809e</v>
      </c>
      <c r="D297" s="1">
        <f>IFERROR(__xludf.DUMMYFUNCTION("""COMPUTED_VALUE"""),84.0)</f>
        <v>84</v>
      </c>
      <c r="E297" s="1"/>
      <c r="F297" s="1"/>
      <c r="G297" s="1"/>
      <c r="H297" s="29">
        <f t="array" ref="H297">IF(B297="","",
DATE(
YEAR(INDEX(Purchases_Import!$B:$B, MATCH(B297, Purchases_Import!$A:$A, 0))),
MONTH(INDEX(Purchases_Import!$B:$B, MATCH(B297, Purchases_Import!$A:$A, 0))),
1
))</f>
        <v>46082</v>
      </c>
      <c r="I297" s="2">
        <f t="shared" si="1"/>
        <v>84</v>
      </c>
    </row>
    <row r="298">
      <c r="A298" s="1" t="str">
        <f>IFERROR(__xludf.DUMMYFUNCTION("""COMPUTED_VALUE"""),"3147d5be")</f>
        <v>3147d5be</v>
      </c>
      <c r="B298" s="1" t="str">
        <f>IFERROR(__xludf.DUMMYFUNCTION("""COMPUTED_VALUE"""),"011b17d4")</f>
        <v>011b17d4</v>
      </c>
      <c r="C298" s="1" t="str">
        <f>IFERROR(__xludf.DUMMYFUNCTION("""COMPUTED_VALUE"""),"0049")</f>
        <v>0049</v>
      </c>
      <c r="D298" s="1">
        <f>IFERROR(__xludf.DUMMYFUNCTION("""COMPUTED_VALUE"""),48.0)</f>
        <v>48</v>
      </c>
      <c r="E298" s="1">
        <f>IFERROR(__xludf.DUMMYFUNCTION("""COMPUTED_VALUE"""),1.93)</f>
        <v>1.93</v>
      </c>
      <c r="F298" s="1"/>
      <c r="G298" s="1"/>
      <c r="H298" s="29">
        <f t="array" ref="H298">IF(B298="","",
DATE(
YEAR(INDEX(Purchases_Import!$B:$B, MATCH(B298, Purchases_Import!$A:$A, 0))),
MONTH(INDEX(Purchases_Import!$B:$B, MATCH(B298, Purchases_Import!$A:$A, 0))),
1
))</f>
        <v>46082</v>
      </c>
      <c r="I298" s="2">
        <f t="shared" si="1"/>
        <v>48</v>
      </c>
    </row>
    <row r="299">
      <c r="A299" s="1" t="str">
        <f>IFERROR(__xludf.DUMMYFUNCTION("""COMPUTED_VALUE"""),"b846737a")</f>
        <v>b846737a</v>
      </c>
      <c r="B299" s="1" t="str">
        <f>IFERROR(__xludf.DUMMYFUNCTION("""COMPUTED_VALUE"""),"fa6cc36f")</f>
        <v>fa6cc36f</v>
      </c>
      <c r="C299" s="1" t="str">
        <f>IFERROR(__xludf.DUMMYFUNCTION("""COMPUTED_VALUE"""),"0086")</f>
        <v>0086</v>
      </c>
      <c r="D299" s="1">
        <f>IFERROR(__xludf.DUMMYFUNCTION("""COMPUTED_VALUE"""),60.0)</f>
        <v>60</v>
      </c>
      <c r="E299" s="1">
        <f>IFERROR(__xludf.DUMMYFUNCTION("""COMPUTED_VALUE"""),4.7)</f>
        <v>4.7</v>
      </c>
      <c r="F299" s="1"/>
      <c r="G299" s="1"/>
      <c r="H299" s="29">
        <f t="array" ref="H299">IF(B299="","",
DATE(
YEAR(INDEX(Purchases_Import!$B:$B, MATCH(B299, Purchases_Import!$A:$A, 0))),
MONTH(INDEX(Purchases_Import!$B:$B, MATCH(B299, Purchases_Import!$A:$A, 0))),
1
))</f>
        <v>46082</v>
      </c>
      <c r="I299" s="2">
        <f t="shared" si="1"/>
        <v>60</v>
      </c>
    </row>
    <row r="300">
      <c r="A300" s="1" t="str">
        <f>IFERROR(__xludf.DUMMYFUNCTION("""COMPUTED_VALUE"""),"0810a8f1")</f>
        <v>0810a8f1</v>
      </c>
      <c r="B300" s="1" t="str">
        <f>IFERROR(__xludf.DUMMYFUNCTION("""COMPUTED_VALUE"""),"fa6cc36f")</f>
        <v>fa6cc36f</v>
      </c>
      <c r="C300" s="1" t="str">
        <f>IFERROR(__xludf.DUMMYFUNCTION("""COMPUTED_VALUE"""),"cf6c9481")</f>
        <v>cf6c9481</v>
      </c>
      <c r="D300" s="1">
        <f>IFERROR(__xludf.DUMMYFUNCTION("""COMPUTED_VALUE"""),22.0)</f>
        <v>22</v>
      </c>
      <c r="E300" s="1"/>
      <c r="F300" s="1"/>
      <c r="G300" s="1"/>
      <c r="H300" s="29">
        <f t="array" ref="H300">IF(B300="","",
DATE(
YEAR(INDEX(Purchases_Import!$B:$B, MATCH(B300, Purchases_Import!$A:$A, 0))),
MONTH(INDEX(Purchases_Import!$B:$B, MATCH(B300, Purchases_Import!$A:$A, 0))),
1
))</f>
        <v>46082</v>
      </c>
      <c r="I300" s="2">
        <f t="shared" si="1"/>
        <v>22</v>
      </c>
    </row>
    <row r="301">
      <c r="A301" s="1" t="str">
        <f>IFERROR(__xludf.DUMMYFUNCTION("""COMPUTED_VALUE"""),"07e806b3")</f>
        <v>07e806b3</v>
      </c>
      <c r="B301" s="1" t="str">
        <f>IFERROR(__xludf.DUMMYFUNCTION("""COMPUTED_VALUE"""),"ad41d324")</f>
        <v>ad41d324</v>
      </c>
      <c r="C301" s="1" t="str">
        <f>IFERROR(__xludf.DUMMYFUNCTION("""COMPUTED_VALUE"""),"0029")</f>
        <v>0029</v>
      </c>
      <c r="D301" s="1">
        <f>IFERROR(__xludf.DUMMYFUNCTION("""COMPUTED_VALUE"""),120.0)</f>
        <v>120</v>
      </c>
      <c r="E301" s="1">
        <f>IFERROR(__xludf.DUMMYFUNCTION("""COMPUTED_VALUE"""),2.25)</f>
        <v>2.25</v>
      </c>
      <c r="F301" s="1"/>
      <c r="G301" s="1"/>
      <c r="H301" s="29">
        <f t="array" ref="H301">IF(B301="","",
DATE(
YEAR(INDEX(Purchases_Import!$B:$B, MATCH(B301, Purchases_Import!$A:$A, 0))),
MONTH(INDEX(Purchases_Import!$B:$B, MATCH(B301, Purchases_Import!$A:$A, 0))),
1
))</f>
        <v>46082</v>
      </c>
      <c r="I301" s="2">
        <f t="shared" si="1"/>
        <v>120</v>
      </c>
    </row>
    <row r="302">
      <c r="A302" s="1" t="str">
        <f>IFERROR(__xludf.DUMMYFUNCTION("""COMPUTED_VALUE"""),"a5d1cabf")</f>
        <v>a5d1cabf</v>
      </c>
      <c r="B302" s="1" t="str">
        <f>IFERROR(__xludf.DUMMYFUNCTION("""COMPUTED_VALUE"""),"ad41d324")</f>
        <v>ad41d324</v>
      </c>
      <c r="C302" s="1" t="str">
        <f>IFERROR(__xludf.DUMMYFUNCTION("""COMPUTED_VALUE"""),"0054")</f>
        <v>0054</v>
      </c>
      <c r="D302" s="1">
        <f>IFERROR(__xludf.DUMMYFUNCTION("""COMPUTED_VALUE"""),72.0)</f>
        <v>72</v>
      </c>
      <c r="E302" s="1">
        <f>IFERROR(__xludf.DUMMYFUNCTION("""COMPUTED_VALUE"""),2.25)</f>
        <v>2.25</v>
      </c>
      <c r="F302" s="1"/>
      <c r="G302" s="1"/>
      <c r="H302" s="29">
        <f t="array" ref="H302">IF(B302="","",
DATE(
YEAR(INDEX(Purchases_Import!$B:$B, MATCH(B302, Purchases_Import!$A:$A, 0))),
MONTH(INDEX(Purchases_Import!$B:$B, MATCH(B302, Purchases_Import!$A:$A, 0))),
1
))</f>
        <v>46082</v>
      </c>
      <c r="I302" s="2">
        <f t="shared" si="1"/>
        <v>72</v>
      </c>
    </row>
    <row r="303">
      <c r="A303" s="1" t="str">
        <f>IFERROR(__xludf.DUMMYFUNCTION("""COMPUTED_VALUE"""),"3296c55a")</f>
        <v>3296c55a</v>
      </c>
      <c r="B303" s="1" t="str">
        <f>IFERROR(__xludf.DUMMYFUNCTION("""COMPUTED_VALUE"""),"ad41d324")</f>
        <v>ad41d324</v>
      </c>
      <c r="C303" s="1" t="str">
        <f>IFERROR(__xludf.DUMMYFUNCTION("""COMPUTED_VALUE"""),"a3f74383")</f>
        <v>a3f74383</v>
      </c>
      <c r="D303" s="1">
        <f>IFERROR(__xludf.DUMMYFUNCTION("""COMPUTED_VALUE"""),72.0)</f>
        <v>72</v>
      </c>
      <c r="E303" s="1">
        <f>IFERROR(__xludf.DUMMYFUNCTION("""COMPUTED_VALUE"""),2.25)</f>
        <v>2.25</v>
      </c>
      <c r="F303" s="1"/>
      <c r="G303" s="1"/>
      <c r="H303" s="29">
        <f t="array" ref="H303">IF(B303="","",
DATE(
YEAR(INDEX(Purchases_Import!$B:$B, MATCH(B303, Purchases_Import!$A:$A, 0))),
MONTH(INDEX(Purchases_Import!$B:$B, MATCH(B303, Purchases_Import!$A:$A, 0))),
1
))</f>
        <v>46082</v>
      </c>
      <c r="I303" s="2">
        <f t="shared" si="1"/>
        <v>72</v>
      </c>
    </row>
    <row r="304">
      <c r="A304" s="1" t="str">
        <f>IFERROR(__xludf.DUMMYFUNCTION("""COMPUTED_VALUE"""),"09d023ee")</f>
        <v>09d023ee</v>
      </c>
      <c r="B304" s="1" t="str">
        <f>IFERROR(__xludf.DUMMYFUNCTION("""COMPUTED_VALUE"""),"ad41d324")</f>
        <v>ad41d324</v>
      </c>
      <c r="C304" s="1" t="str">
        <f>IFERROR(__xludf.DUMMYFUNCTION("""COMPUTED_VALUE"""),"0053")</f>
        <v>0053</v>
      </c>
      <c r="D304" s="1">
        <f>IFERROR(__xludf.DUMMYFUNCTION("""COMPUTED_VALUE"""),24.0)</f>
        <v>24</v>
      </c>
      <c r="E304" s="1">
        <f>IFERROR(__xludf.DUMMYFUNCTION("""COMPUTED_VALUE"""),2.25)</f>
        <v>2.25</v>
      </c>
      <c r="F304" s="1"/>
      <c r="G304" s="1"/>
      <c r="H304" s="29">
        <f t="array" ref="H304">IF(B304="","",
DATE(
YEAR(INDEX(Purchases_Import!$B:$B, MATCH(B304, Purchases_Import!$A:$A, 0))),
MONTH(INDEX(Purchases_Import!$B:$B, MATCH(B304, Purchases_Import!$A:$A, 0))),
1
))</f>
        <v>46082</v>
      </c>
      <c r="I304" s="2">
        <f t="shared" si="1"/>
        <v>24</v>
      </c>
    </row>
    <row r="305">
      <c r="A305" s="1" t="str">
        <f>IFERROR(__xludf.DUMMYFUNCTION("""COMPUTED_VALUE"""),"81abd1ce")</f>
        <v>81abd1ce</v>
      </c>
      <c r="B305" s="1" t="str">
        <f>IFERROR(__xludf.DUMMYFUNCTION("""COMPUTED_VALUE"""),"bd35a5cf")</f>
        <v>bd35a5cf</v>
      </c>
      <c r="C305" s="1" t="str">
        <f>IFERROR(__xludf.DUMMYFUNCTION("""COMPUTED_VALUE"""),"0002")</f>
        <v>0002</v>
      </c>
      <c r="D305" s="1">
        <f>IFERROR(__xludf.DUMMYFUNCTION("""COMPUTED_VALUE"""),600.0)</f>
        <v>600</v>
      </c>
      <c r="E305" s="1">
        <f>IFERROR(__xludf.DUMMYFUNCTION("""COMPUTED_VALUE"""),0.3)</f>
        <v>0.3</v>
      </c>
      <c r="F305" s="1"/>
      <c r="G305" s="1"/>
      <c r="H305" s="29">
        <f t="array" ref="H305">IF(B305="","",
DATE(
YEAR(INDEX(Purchases_Import!$B:$B, MATCH(B305, Purchases_Import!$A:$A, 0))),
MONTH(INDEX(Purchases_Import!$B:$B, MATCH(B305, Purchases_Import!$A:$A, 0))),
1
))</f>
        <v>46082</v>
      </c>
      <c r="I305" s="2">
        <f t="shared" si="1"/>
        <v>600</v>
      </c>
    </row>
    <row r="306">
      <c r="A306" s="1" t="str">
        <f>IFERROR(__xludf.DUMMYFUNCTION("""COMPUTED_VALUE"""),"ce31ff02")</f>
        <v>ce31ff02</v>
      </c>
      <c r="B306" s="1" t="str">
        <f>IFERROR(__xludf.DUMMYFUNCTION("""COMPUTED_VALUE"""),"fb914ad9")</f>
        <v>fb914ad9</v>
      </c>
      <c r="C306" s="1" t="str">
        <f>IFERROR(__xludf.DUMMYFUNCTION("""COMPUTED_VALUE"""),"0027")</f>
        <v>0027</v>
      </c>
      <c r="D306" s="1">
        <f>IFERROR(__xludf.DUMMYFUNCTION("""COMPUTED_VALUE"""),25.0)</f>
        <v>25</v>
      </c>
      <c r="E306" s="1">
        <f>IFERROR(__xludf.DUMMYFUNCTION("""COMPUTED_VALUE"""),3.28)</f>
        <v>3.28</v>
      </c>
      <c r="F306" s="1"/>
      <c r="G306" s="1"/>
      <c r="H306" s="29">
        <f t="array" ref="H306">IF(B306="","",
DATE(
YEAR(INDEX(Purchases_Import!$B:$B, MATCH(B306, Purchases_Import!$A:$A, 0))),
MONTH(INDEX(Purchases_Import!$B:$B, MATCH(B306, Purchases_Import!$A:$A, 0))),
1
))</f>
        <v>46082</v>
      </c>
      <c r="I306" s="2">
        <f t="shared" si="1"/>
        <v>25</v>
      </c>
    </row>
    <row r="307">
      <c r="A307" s="1" t="str">
        <f>IFERROR(__xludf.DUMMYFUNCTION("""COMPUTED_VALUE"""),"2d990937")</f>
        <v>2d990937</v>
      </c>
      <c r="B307" s="1" t="str">
        <f>IFERROR(__xludf.DUMMYFUNCTION("""COMPUTED_VALUE"""),"fb914ad9")</f>
        <v>fb914ad9</v>
      </c>
      <c r="C307" s="1" t="str">
        <f>IFERROR(__xludf.DUMMYFUNCTION("""COMPUTED_VALUE"""),"cf6c9481")</f>
        <v>cf6c9481</v>
      </c>
      <c r="D307" s="1">
        <f>IFERROR(__xludf.DUMMYFUNCTION("""COMPUTED_VALUE"""),40.0)</f>
        <v>40</v>
      </c>
      <c r="E307" s="1"/>
      <c r="F307" s="1"/>
      <c r="G307" s="1"/>
      <c r="H307" s="29">
        <f t="array" ref="H307">IF(B307="","",
DATE(
YEAR(INDEX(Purchases_Import!$B:$B, MATCH(B307, Purchases_Import!$A:$A, 0))),
MONTH(INDEX(Purchases_Import!$B:$B, MATCH(B307, Purchases_Import!$A:$A, 0))),
1
))</f>
        <v>46082</v>
      </c>
      <c r="I307" s="2">
        <f t="shared" si="1"/>
        <v>40</v>
      </c>
    </row>
    <row r="308">
      <c r="A308" s="1" t="str">
        <f>IFERROR(__xludf.DUMMYFUNCTION("""COMPUTED_VALUE"""),"9334cc5c")</f>
        <v>9334cc5c</v>
      </c>
      <c r="B308" s="1" t="str">
        <f>IFERROR(__xludf.DUMMYFUNCTION("""COMPUTED_VALUE"""),"fb914ad9")</f>
        <v>fb914ad9</v>
      </c>
      <c r="C308" s="1" t="str">
        <f>IFERROR(__xludf.DUMMYFUNCTION("""COMPUTED_VALUE"""),"0049")</f>
        <v>0049</v>
      </c>
      <c r="D308" s="1">
        <f>IFERROR(__xludf.DUMMYFUNCTION("""COMPUTED_VALUE"""),48.0)</f>
        <v>48</v>
      </c>
      <c r="E308" s="1">
        <f>IFERROR(__xludf.DUMMYFUNCTION("""COMPUTED_VALUE"""),1.93)</f>
        <v>1.93</v>
      </c>
      <c r="F308" s="1"/>
      <c r="G308" s="1"/>
      <c r="H308" s="29">
        <f t="array" ref="H308">IF(B308="","",
DATE(
YEAR(INDEX(Purchases_Import!$B:$B, MATCH(B308, Purchases_Import!$A:$A, 0))),
MONTH(INDEX(Purchases_Import!$B:$B, MATCH(B308, Purchases_Import!$A:$A, 0))),
1
))</f>
        <v>46082</v>
      </c>
      <c r="I308" s="2">
        <f t="shared" si="1"/>
        <v>48</v>
      </c>
    </row>
    <row r="309">
      <c r="A309" s="1" t="str">
        <f>IFERROR(__xludf.DUMMYFUNCTION("""COMPUTED_VALUE"""),"dee216ed")</f>
        <v>dee216ed</v>
      </c>
      <c r="B309" s="1" t="str">
        <f>IFERROR(__xludf.DUMMYFUNCTION("""COMPUTED_VALUE"""),"fb914ad9")</f>
        <v>fb914ad9</v>
      </c>
      <c r="C309" s="1" t="str">
        <f>IFERROR(__xludf.DUMMYFUNCTION("""COMPUTED_VALUE"""),"0086")</f>
        <v>0086</v>
      </c>
      <c r="D309" s="1">
        <f>IFERROR(__xludf.DUMMYFUNCTION("""COMPUTED_VALUE"""),40.0)</f>
        <v>40</v>
      </c>
      <c r="E309" s="1">
        <f>IFERROR(__xludf.DUMMYFUNCTION("""COMPUTED_VALUE"""),4.7)</f>
        <v>4.7</v>
      </c>
      <c r="F309" s="1"/>
      <c r="G309" s="1"/>
      <c r="H309" s="29">
        <f t="array" ref="H309">IF(B309="","",
DATE(
YEAR(INDEX(Purchases_Import!$B:$B, MATCH(B309, Purchases_Import!$A:$A, 0))),
MONTH(INDEX(Purchases_Import!$B:$B, MATCH(B309, Purchases_Import!$A:$A, 0))),
1
))</f>
        <v>46082</v>
      </c>
      <c r="I309" s="2">
        <f t="shared" si="1"/>
        <v>40</v>
      </c>
    </row>
    <row r="310">
      <c r="A310" s="1" t="str">
        <f>IFERROR(__xludf.DUMMYFUNCTION("""COMPUTED_VALUE"""),"a600e82e")</f>
        <v>a600e82e</v>
      </c>
      <c r="B310" s="1" t="str">
        <f>IFERROR(__xludf.DUMMYFUNCTION("""COMPUTED_VALUE"""),"a48e4ced")</f>
        <v>a48e4ced</v>
      </c>
      <c r="C310" s="1" t="str">
        <f>IFERROR(__xludf.DUMMYFUNCTION("""COMPUTED_VALUE"""),"0011")</f>
        <v>0011</v>
      </c>
      <c r="D310" s="1">
        <f>IFERROR(__xludf.DUMMYFUNCTION("""COMPUTED_VALUE"""),48.0)</f>
        <v>48</v>
      </c>
      <c r="E310" s="1">
        <f>IFERROR(__xludf.DUMMYFUNCTION("""COMPUTED_VALUE"""),3.5)</f>
        <v>3.5</v>
      </c>
      <c r="F310" s="1"/>
      <c r="G310" s="1"/>
      <c r="H310" s="29">
        <f t="array" ref="H310">IF(B310="","",
DATE(
YEAR(INDEX(Purchases_Import!$B:$B, MATCH(B310, Purchases_Import!$A:$A, 0))),
MONTH(INDEX(Purchases_Import!$B:$B, MATCH(B310, Purchases_Import!$A:$A, 0))),
1
))</f>
        <v>46082</v>
      </c>
      <c r="I310" s="2">
        <f t="shared" si="1"/>
        <v>48</v>
      </c>
    </row>
    <row r="311">
      <c r="A311" s="1" t="str">
        <f>IFERROR(__xludf.DUMMYFUNCTION("""COMPUTED_VALUE"""),"002a75ef")</f>
        <v>002a75ef</v>
      </c>
      <c r="B311" s="1" t="str">
        <f>IFERROR(__xludf.DUMMYFUNCTION("""COMPUTED_VALUE"""),"a48e4ced")</f>
        <v>a48e4ced</v>
      </c>
      <c r="C311" s="1" t="str">
        <f>IFERROR(__xludf.DUMMYFUNCTION("""COMPUTED_VALUE"""),"bb6c2490")</f>
        <v>bb6c2490</v>
      </c>
      <c r="D311" s="1">
        <f>IFERROR(__xludf.DUMMYFUNCTION("""COMPUTED_VALUE"""),36.0)</f>
        <v>36</v>
      </c>
      <c r="E311" s="1">
        <f>IFERROR(__xludf.DUMMYFUNCTION("""COMPUTED_VALUE"""),2.78)</f>
        <v>2.78</v>
      </c>
      <c r="F311" s="1"/>
      <c r="G311" s="1"/>
      <c r="H311" s="29">
        <f t="array" ref="H311">IF(B311="","",
DATE(
YEAR(INDEX(Purchases_Import!$B:$B, MATCH(B311, Purchases_Import!$A:$A, 0))),
MONTH(INDEX(Purchases_Import!$B:$B, MATCH(B311, Purchases_Import!$A:$A, 0))),
1
))</f>
        <v>46082</v>
      </c>
      <c r="I311" s="2">
        <f t="shared" si="1"/>
        <v>36</v>
      </c>
    </row>
    <row r="312">
      <c r="A312" s="1" t="str">
        <f>IFERROR(__xludf.DUMMYFUNCTION("""COMPUTED_VALUE"""),"1274a1da")</f>
        <v>1274a1da</v>
      </c>
      <c r="B312" s="1" t="str">
        <f>IFERROR(__xludf.DUMMYFUNCTION("""COMPUTED_VALUE"""),"a48e4ced")</f>
        <v>a48e4ced</v>
      </c>
      <c r="C312" s="1" t="str">
        <f>IFERROR(__xludf.DUMMYFUNCTION("""COMPUTED_VALUE"""),"c099f042")</f>
        <v>c099f042</v>
      </c>
      <c r="D312" s="1">
        <f>IFERROR(__xludf.DUMMYFUNCTION("""COMPUTED_VALUE"""),80.0)</f>
        <v>80</v>
      </c>
      <c r="E312" s="1"/>
      <c r="F312" s="1"/>
      <c r="G312" s="1"/>
      <c r="H312" s="29">
        <f t="array" ref="H312">IF(B312="","",
DATE(
YEAR(INDEX(Purchases_Import!$B:$B, MATCH(B312, Purchases_Import!$A:$A, 0))),
MONTH(INDEX(Purchases_Import!$B:$B, MATCH(B312, Purchases_Import!$A:$A, 0))),
1
))</f>
        <v>46082</v>
      </c>
      <c r="I312" s="2">
        <f t="shared" si="1"/>
        <v>80</v>
      </c>
    </row>
    <row r="313">
      <c r="A313" s="1" t="str">
        <f>IFERROR(__xludf.DUMMYFUNCTION("""COMPUTED_VALUE"""),"36360316")</f>
        <v>36360316</v>
      </c>
      <c r="B313" s="1" t="str">
        <f>IFERROR(__xludf.DUMMYFUNCTION("""COMPUTED_VALUE"""),"a48e4ced")</f>
        <v>a48e4ced</v>
      </c>
      <c r="C313" s="1" t="str">
        <f>IFERROR(__xludf.DUMMYFUNCTION("""COMPUTED_VALUE"""),"83dd14b5")</f>
        <v>83dd14b5</v>
      </c>
      <c r="D313" s="1">
        <f>IFERROR(__xludf.DUMMYFUNCTION("""COMPUTED_VALUE"""),240.0)</f>
        <v>240</v>
      </c>
      <c r="E313" s="1">
        <f>IFERROR(__xludf.DUMMYFUNCTION("""COMPUTED_VALUE"""),0.45)</f>
        <v>0.45</v>
      </c>
      <c r="F313" s="1"/>
      <c r="G313" s="1"/>
      <c r="H313" s="29">
        <f t="array" ref="H313">IF(B313="","",
DATE(
YEAR(INDEX(Purchases_Import!$B:$B, MATCH(B313, Purchases_Import!$A:$A, 0))),
MONTH(INDEX(Purchases_Import!$B:$B, MATCH(B313, Purchases_Import!$A:$A, 0))),
1
))</f>
        <v>46082</v>
      </c>
      <c r="I313" s="2">
        <f t="shared" si="1"/>
        <v>240</v>
      </c>
    </row>
    <row r="314">
      <c r="A314" s="1" t="str">
        <f>IFERROR(__xludf.DUMMYFUNCTION("""COMPUTED_VALUE"""),"88193fe0")</f>
        <v>88193fe0</v>
      </c>
      <c r="B314" s="1" t="str">
        <f>IFERROR(__xludf.DUMMYFUNCTION("""COMPUTED_VALUE"""),"ffb86cee")</f>
        <v>ffb86cee</v>
      </c>
      <c r="C314" s="1" t="str">
        <f>IFERROR(__xludf.DUMMYFUNCTION("""COMPUTED_VALUE"""),"0001")</f>
        <v>0001</v>
      </c>
      <c r="D314" s="1">
        <f>IFERROR(__xludf.DUMMYFUNCTION("""COMPUTED_VALUE"""),75.0)</f>
        <v>75</v>
      </c>
      <c r="E314" s="1">
        <f>IFERROR(__xludf.DUMMYFUNCTION("""COMPUTED_VALUE"""),2.8)</f>
        <v>2.8</v>
      </c>
      <c r="F314" s="1"/>
      <c r="G314" s="1"/>
      <c r="H314" s="29">
        <f t="array" ref="H314">IF(B314="","",
DATE(
YEAR(INDEX(Purchases_Import!$B:$B, MATCH(B314, Purchases_Import!$A:$A, 0))),
MONTH(INDEX(Purchases_Import!$B:$B, MATCH(B314, Purchases_Import!$A:$A, 0))),
1
))</f>
        <v>46082</v>
      </c>
      <c r="I314" s="2">
        <f t="shared" si="1"/>
        <v>75</v>
      </c>
    </row>
    <row r="315">
      <c r="A315" s="1" t="str">
        <f>IFERROR(__xludf.DUMMYFUNCTION("""COMPUTED_VALUE"""),"3bd97a50")</f>
        <v>3bd97a50</v>
      </c>
      <c r="B315" s="1" t="str">
        <f>IFERROR(__xludf.DUMMYFUNCTION("""COMPUTED_VALUE"""),"ffb86cee")</f>
        <v>ffb86cee</v>
      </c>
      <c r="C315" s="1" t="str">
        <f>IFERROR(__xludf.DUMMYFUNCTION("""COMPUTED_VALUE"""),"12b96290")</f>
        <v>12b96290</v>
      </c>
      <c r="D315" s="1">
        <f>IFERROR(__xludf.DUMMYFUNCTION("""COMPUTED_VALUE"""),30.0)</f>
        <v>30</v>
      </c>
      <c r="E315" s="1">
        <f>IFERROR(__xludf.DUMMYFUNCTION("""COMPUTED_VALUE"""),3.0)</f>
        <v>3</v>
      </c>
      <c r="F315" s="1"/>
      <c r="G315" s="1"/>
      <c r="H315" s="29">
        <f t="array" ref="H315">IF(B315="","",
DATE(
YEAR(INDEX(Purchases_Import!$B:$B, MATCH(B315, Purchases_Import!$A:$A, 0))),
MONTH(INDEX(Purchases_Import!$B:$B, MATCH(B315, Purchases_Import!$A:$A, 0))),
1
))</f>
        <v>46082</v>
      </c>
      <c r="I315" s="2">
        <f t="shared" si="1"/>
        <v>30</v>
      </c>
    </row>
    <row r="316">
      <c r="A316" s="1" t="str">
        <f>IFERROR(__xludf.DUMMYFUNCTION("""COMPUTED_VALUE"""),"1b0d794e")</f>
        <v>1b0d794e</v>
      </c>
      <c r="B316" s="1" t="str">
        <f>IFERROR(__xludf.DUMMYFUNCTION("""COMPUTED_VALUE"""),"ffb86cee")</f>
        <v>ffb86cee</v>
      </c>
      <c r="C316" s="1" t="str">
        <f>IFERROR(__xludf.DUMMYFUNCTION("""COMPUTED_VALUE"""),"0af806f8")</f>
        <v>0af806f8</v>
      </c>
      <c r="D316" s="1">
        <f>IFERROR(__xludf.DUMMYFUNCTION("""COMPUTED_VALUE"""),45.0)</f>
        <v>45</v>
      </c>
      <c r="E316" s="1">
        <f>IFERROR(__xludf.DUMMYFUNCTION("""COMPUTED_VALUE"""),2.66)</f>
        <v>2.66</v>
      </c>
      <c r="F316" s="1"/>
      <c r="G316" s="1"/>
      <c r="H316" s="29">
        <f t="array" ref="H316">IF(B316="","",
DATE(
YEAR(INDEX(Purchases_Import!$B:$B, MATCH(B316, Purchases_Import!$A:$A, 0))),
MONTH(INDEX(Purchases_Import!$B:$B, MATCH(B316, Purchases_Import!$A:$A, 0))),
1
))</f>
        <v>46082</v>
      </c>
      <c r="I316" s="2">
        <f t="shared" si="1"/>
        <v>45</v>
      </c>
    </row>
    <row r="317">
      <c r="A317" s="1" t="str">
        <f>IFERROR(__xludf.DUMMYFUNCTION("""COMPUTED_VALUE"""),"bcdc1e12")</f>
        <v>bcdc1e12</v>
      </c>
      <c r="B317" s="1" t="str">
        <f>IFERROR(__xludf.DUMMYFUNCTION("""COMPUTED_VALUE"""),"ffb86cee")</f>
        <v>ffb86cee</v>
      </c>
      <c r="C317" s="1" t="str">
        <f>IFERROR(__xludf.DUMMYFUNCTION("""COMPUTED_VALUE"""),"0019")</f>
        <v>0019</v>
      </c>
      <c r="D317" s="1">
        <f>IFERROR(__xludf.DUMMYFUNCTION("""COMPUTED_VALUE"""),72.0)</f>
        <v>72</v>
      </c>
      <c r="E317" s="1">
        <f>IFERROR(__xludf.DUMMYFUNCTION("""COMPUTED_VALUE"""),1.33)</f>
        <v>1.33</v>
      </c>
      <c r="F317" s="1"/>
      <c r="G317" s="1"/>
      <c r="H317" s="29">
        <f t="array" ref="H317">IF(B317="","",
DATE(
YEAR(INDEX(Purchases_Import!$B:$B, MATCH(B317, Purchases_Import!$A:$A, 0))),
MONTH(INDEX(Purchases_Import!$B:$B, MATCH(B317, Purchases_Import!$A:$A, 0))),
1
))</f>
        <v>46082</v>
      </c>
      <c r="I317" s="2">
        <f t="shared" si="1"/>
        <v>72</v>
      </c>
    </row>
    <row r="318">
      <c r="A318" s="1" t="str">
        <f>IFERROR(__xludf.DUMMYFUNCTION("""COMPUTED_VALUE"""),"2eee6df3")</f>
        <v>2eee6df3</v>
      </c>
      <c r="B318" s="1" t="str">
        <f>IFERROR(__xludf.DUMMYFUNCTION("""COMPUTED_VALUE"""),"ffb86cee")</f>
        <v>ffb86cee</v>
      </c>
      <c r="C318" s="1" t="str">
        <f>IFERROR(__xludf.DUMMYFUNCTION("""COMPUTED_VALUE"""),"0021")</f>
        <v>0021</v>
      </c>
      <c r="D318" s="1">
        <f>IFERROR(__xludf.DUMMYFUNCTION("""COMPUTED_VALUE"""),48.0)</f>
        <v>48</v>
      </c>
      <c r="E318" s="1">
        <f>IFERROR(__xludf.DUMMYFUNCTION("""COMPUTED_VALUE"""),2.25)</f>
        <v>2.25</v>
      </c>
      <c r="F318" s="1"/>
      <c r="G318" s="1"/>
      <c r="H318" s="29">
        <f t="array" ref="H318">IF(B318="","",
DATE(
YEAR(INDEX(Purchases_Import!$B:$B, MATCH(B318, Purchases_Import!$A:$A, 0))),
MONTH(INDEX(Purchases_Import!$B:$B, MATCH(B318, Purchases_Import!$A:$A, 0))),
1
))</f>
        <v>46082</v>
      </c>
      <c r="I318" s="2">
        <f t="shared" si="1"/>
        <v>48</v>
      </c>
    </row>
    <row r="319">
      <c r="A319" s="1" t="str">
        <f>IFERROR(__xludf.DUMMYFUNCTION("""COMPUTED_VALUE"""),"d3e52aaf")</f>
        <v>d3e52aaf</v>
      </c>
      <c r="B319" s="1" t="str">
        <f>IFERROR(__xludf.DUMMYFUNCTION("""COMPUTED_VALUE"""),"ffb86cee")</f>
        <v>ffb86cee</v>
      </c>
      <c r="C319" s="1" t="str">
        <f>IFERROR(__xludf.DUMMYFUNCTION("""COMPUTED_VALUE"""),"0029")</f>
        <v>0029</v>
      </c>
      <c r="D319" s="1">
        <f>IFERROR(__xludf.DUMMYFUNCTION("""COMPUTED_VALUE"""),24.0)</f>
        <v>24</v>
      </c>
      <c r="E319" s="1">
        <f>IFERROR(__xludf.DUMMYFUNCTION("""COMPUTED_VALUE"""),2.25)</f>
        <v>2.25</v>
      </c>
      <c r="F319" s="1"/>
      <c r="G319" s="1"/>
      <c r="H319" s="29">
        <f t="array" ref="H319">IF(B319="","",
DATE(
YEAR(INDEX(Purchases_Import!$B:$B, MATCH(B319, Purchases_Import!$A:$A, 0))),
MONTH(INDEX(Purchases_Import!$B:$B, MATCH(B319, Purchases_Import!$A:$A, 0))),
1
))</f>
        <v>46082</v>
      </c>
      <c r="I319" s="2">
        <f t="shared" si="1"/>
        <v>24</v>
      </c>
    </row>
    <row r="320">
      <c r="A320" s="1" t="str">
        <f>IFERROR(__xludf.DUMMYFUNCTION("""COMPUTED_VALUE"""),"285cf01b")</f>
        <v>285cf01b</v>
      </c>
      <c r="B320" s="1" t="str">
        <f>IFERROR(__xludf.DUMMYFUNCTION("""COMPUTED_VALUE"""),"ffb86cee")</f>
        <v>ffb86cee</v>
      </c>
      <c r="C320" s="1" t="str">
        <f>IFERROR(__xludf.DUMMYFUNCTION("""COMPUTED_VALUE"""),"0005")</f>
        <v>0005</v>
      </c>
      <c r="D320" s="1">
        <f>IFERROR(__xludf.DUMMYFUNCTION("""COMPUTED_VALUE"""),24.0)</f>
        <v>24</v>
      </c>
      <c r="E320" s="1">
        <f>IFERROR(__xludf.DUMMYFUNCTION("""COMPUTED_VALUE"""),2.0)</f>
        <v>2</v>
      </c>
      <c r="F320" s="1"/>
      <c r="G320" s="1"/>
      <c r="H320" s="29">
        <f t="array" ref="H320">IF(B320="","",
DATE(
YEAR(INDEX(Purchases_Import!$B:$B, MATCH(B320, Purchases_Import!$A:$A, 0))),
MONTH(INDEX(Purchases_Import!$B:$B, MATCH(B320, Purchases_Import!$A:$A, 0))),
1
))</f>
        <v>46082</v>
      </c>
      <c r="I320" s="2">
        <f t="shared" si="1"/>
        <v>24</v>
      </c>
    </row>
    <row r="321">
      <c r="A321" s="1" t="str">
        <f>IFERROR(__xludf.DUMMYFUNCTION("""COMPUTED_VALUE"""),"d684c0e8")</f>
        <v>d684c0e8</v>
      </c>
      <c r="B321" s="1" t="str">
        <f>IFERROR(__xludf.DUMMYFUNCTION("""COMPUTED_VALUE"""),"ffb86cee")</f>
        <v>ffb86cee</v>
      </c>
      <c r="C321" s="1" t="str">
        <f>IFERROR(__xludf.DUMMYFUNCTION("""COMPUTED_VALUE"""),"0064")</f>
        <v>0064</v>
      </c>
      <c r="D321" s="1">
        <f>IFERROR(__xludf.DUMMYFUNCTION("""COMPUTED_VALUE"""),81.0)</f>
        <v>81</v>
      </c>
      <c r="E321" s="1">
        <f>IFERROR(__xludf.DUMMYFUNCTION("""COMPUTED_VALUE"""),2.08)</f>
        <v>2.08</v>
      </c>
      <c r="F321" s="1"/>
      <c r="G321" s="1"/>
      <c r="H321" s="29">
        <f t="array" ref="H321">IF(B321="","",
DATE(
YEAR(INDEX(Purchases_Import!$B:$B, MATCH(B321, Purchases_Import!$A:$A, 0))),
MONTH(INDEX(Purchases_Import!$B:$B, MATCH(B321, Purchases_Import!$A:$A, 0))),
1
))</f>
        <v>46082</v>
      </c>
      <c r="I321" s="2">
        <f t="shared" si="1"/>
        <v>81</v>
      </c>
    </row>
    <row r="322">
      <c r="A322" s="1" t="str">
        <f>IFERROR(__xludf.DUMMYFUNCTION("""COMPUTED_VALUE"""),"2ca80b90")</f>
        <v>2ca80b90</v>
      </c>
      <c r="B322" s="1" t="str">
        <f>IFERROR(__xludf.DUMMYFUNCTION("""COMPUTED_VALUE"""),"ffb86cee")</f>
        <v>ffb86cee</v>
      </c>
      <c r="C322" s="1" t="str">
        <f>IFERROR(__xludf.DUMMYFUNCTION("""COMPUTED_VALUE"""),"0032")</f>
        <v>0032</v>
      </c>
      <c r="D322" s="1">
        <f>IFERROR(__xludf.DUMMYFUNCTION("""COMPUTED_VALUE"""),81.0)</f>
        <v>81</v>
      </c>
      <c r="E322" s="1">
        <f>IFERROR(__xludf.DUMMYFUNCTION("""COMPUTED_VALUE"""),2.0)</f>
        <v>2</v>
      </c>
      <c r="F322" s="1"/>
      <c r="G322" s="1"/>
      <c r="H322" s="29">
        <f t="array" ref="H322">IF(B322="","",
DATE(
YEAR(INDEX(Purchases_Import!$B:$B, MATCH(B322, Purchases_Import!$A:$A, 0))),
MONTH(INDEX(Purchases_Import!$B:$B, MATCH(B322, Purchases_Import!$A:$A, 0))),
1
))</f>
        <v>46082</v>
      </c>
      <c r="I322" s="2">
        <f t="shared" si="1"/>
        <v>81</v>
      </c>
    </row>
    <row r="323">
      <c r="A323" s="1" t="str">
        <f>IFERROR(__xludf.DUMMYFUNCTION("""COMPUTED_VALUE"""),"b11d5d6a")</f>
        <v>b11d5d6a</v>
      </c>
      <c r="B323" s="1" t="str">
        <f>IFERROR(__xludf.DUMMYFUNCTION("""COMPUTED_VALUE"""),"ffb86cee")</f>
        <v>ffb86cee</v>
      </c>
      <c r="C323" s="1" t="str">
        <f>IFERROR(__xludf.DUMMYFUNCTION("""COMPUTED_VALUE"""),"1b6b5ed6")</f>
        <v>1b6b5ed6</v>
      </c>
      <c r="D323" s="1">
        <f>IFERROR(__xludf.DUMMYFUNCTION("""COMPUTED_VALUE"""),120.0)</f>
        <v>120</v>
      </c>
      <c r="E323" s="1"/>
      <c r="F323" s="1"/>
      <c r="G323" s="1"/>
      <c r="H323" s="29">
        <f t="array" ref="H323">IF(B323="","",
DATE(
YEAR(INDEX(Purchases_Import!$B:$B, MATCH(B323, Purchases_Import!$A:$A, 0))),
MONTH(INDEX(Purchases_Import!$B:$B, MATCH(B323, Purchases_Import!$A:$A, 0))),
1
))</f>
        <v>46082</v>
      </c>
      <c r="I323" s="2">
        <f t="shared" si="1"/>
        <v>120</v>
      </c>
    </row>
    <row r="324">
      <c r="A324" s="1" t="str">
        <f>IFERROR(__xludf.DUMMYFUNCTION("""COMPUTED_VALUE"""),"fc28a547")</f>
        <v>fc28a547</v>
      </c>
      <c r="B324" s="1" t="str">
        <f>IFERROR(__xludf.DUMMYFUNCTION("""COMPUTED_VALUE"""),"ffb86cee")</f>
        <v>ffb86cee</v>
      </c>
      <c r="C324" s="1" t="str">
        <f>IFERROR(__xludf.DUMMYFUNCTION("""COMPUTED_VALUE"""),"0038")</f>
        <v>0038</v>
      </c>
      <c r="D324" s="1">
        <f>IFERROR(__xludf.DUMMYFUNCTION("""COMPUTED_VALUE"""),16.0)</f>
        <v>16</v>
      </c>
      <c r="E324" s="1">
        <f>IFERROR(__xludf.DUMMYFUNCTION("""COMPUTED_VALUE"""),6.12)</f>
        <v>6.12</v>
      </c>
      <c r="F324" s="1"/>
      <c r="G324" s="1"/>
      <c r="H324" s="29">
        <f t="array" ref="H324">IF(B324="","",
DATE(
YEAR(INDEX(Purchases_Import!$B:$B, MATCH(B324, Purchases_Import!$A:$A, 0))),
MONTH(INDEX(Purchases_Import!$B:$B, MATCH(B324, Purchases_Import!$A:$A, 0))),
1
))</f>
        <v>46082</v>
      </c>
      <c r="I324" s="2">
        <f t="shared" si="1"/>
        <v>16</v>
      </c>
    </row>
    <row r="325">
      <c r="A325" s="1" t="str">
        <f>IFERROR(__xludf.DUMMYFUNCTION("""COMPUTED_VALUE"""),"7697b718")</f>
        <v>7697b718</v>
      </c>
      <c r="B325" s="1" t="str">
        <f>IFERROR(__xludf.DUMMYFUNCTION("""COMPUTED_VALUE"""),"ffb86cee")</f>
        <v>ffb86cee</v>
      </c>
      <c r="C325" s="1" t="str">
        <f>IFERROR(__xludf.DUMMYFUNCTION("""COMPUTED_VALUE"""),"bb6c2490")</f>
        <v>bb6c2490</v>
      </c>
      <c r="D325" s="1">
        <f>IFERROR(__xludf.DUMMYFUNCTION("""COMPUTED_VALUE"""),36.0)</f>
        <v>36</v>
      </c>
      <c r="E325" s="1">
        <f>IFERROR(__xludf.DUMMYFUNCTION("""COMPUTED_VALUE"""),2.78)</f>
        <v>2.78</v>
      </c>
      <c r="F325" s="1"/>
      <c r="G325" s="1"/>
      <c r="H325" s="29">
        <f t="array" ref="H325">IF(B325="","",
DATE(
YEAR(INDEX(Purchases_Import!$B:$B, MATCH(B325, Purchases_Import!$A:$A, 0))),
MONTH(INDEX(Purchases_Import!$B:$B, MATCH(B325, Purchases_Import!$A:$A, 0))),
1
))</f>
        <v>46082</v>
      </c>
      <c r="I325" s="2">
        <f t="shared" si="1"/>
        <v>36</v>
      </c>
    </row>
    <row r="326">
      <c r="A326" s="1" t="str">
        <f>IFERROR(__xludf.DUMMYFUNCTION("""COMPUTED_VALUE"""),"f75d067e")</f>
        <v>f75d067e</v>
      </c>
      <c r="B326" s="1" t="str">
        <f>IFERROR(__xludf.DUMMYFUNCTION("""COMPUTED_VALUE"""),"bb81e412")</f>
        <v>bb81e412</v>
      </c>
      <c r="C326" s="1" t="str">
        <f>IFERROR(__xludf.DUMMYFUNCTION("""COMPUTED_VALUE"""),"cb9e809e")</f>
        <v>cb9e809e</v>
      </c>
      <c r="D326" s="1">
        <f>IFERROR(__xludf.DUMMYFUNCTION("""COMPUTED_VALUE"""),60.0)</f>
        <v>60</v>
      </c>
      <c r="E326" s="1"/>
      <c r="F326" s="1"/>
      <c r="G326" s="1"/>
      <c r="H326" s="29">
        <f t="array" ref="H326">IF(B326="","",
DATE(
YEAR(INDEX(Purchases_Import!$B:$B, MATCH(B326, Purchases_Import!$A:$A, 0))),
MONTH(INDEX(Purchases_Import!$B:$B, MATCH(B326, Purchases_Import!$A:$A, 0))),
1
))</f>
        <v>46082</v>
      </c>
      <c r="I326" s="2">
        <f t="shared" si="1"/>
        <v>60</v>
      </c>
    </row>
    <row r="327">
      <c r="A327" s="1" t="str">
        <f>IFERROR(__xludf.DUMMYFUNCTION("""COMPUTED_VALUE"""),"c88ced99")</f>
        <v>c88ced99</v>
      </c>
      <c r="B327" s="1" t="str">
        <f>IFERROR(__xludf.DUMMYFUNCTION("""COMPUTED_VALUE"""),"bb81e412")</f>
        <v>bb81e412</v>
      </c>
      <c r="C327" s="1" t="str">
        <f>IFERROR(__xludf.DUMMYFUNCTION("""COMPUTED_VALUE"""),"bb4d1bd1")</f>
        <v>bb4d1bd1</v>
      </c>
      <c r="D327" s="1">
        <f>IFERROR(__xludf.DUMMYFUNCTION("""COMPUTED_VALUE"""),48.0)</f>
        <v>48</v>
      </c>
      <c r="E327" s="1"/>
      <c r="F327" s="1"/>
      <c r="G327" s="1"/>
      <c r="H327" s="29">
        <f t="array" ref="H327">IF(B327="","",
DATE(
YEAR(INDEX(Purchases_Import!$B:$B, MATCH(B327, Purchases_Import!$A:$A, 0))),
MONTH(INDEX(Purchases_Import!$B:$B, MATCH(B327, Purchases_Import!$A:$A, 0))),
1
))</f>
        <v>46082</v>
      </c>
      <c r="I327" s="2">
        <f t="shared" si="1"/>
        <v>48</v>
      </c>
    </row>
    <row r="328">
      <c r="A328" s="1" t="str">
        <f>IFERROR(__xludf.DUMMYFUNCTION("""COMPUTED_VALUE"""),"45f76613")</f>
        <v>45f76613</v>
      </c>
      <c r="B328" s="1" t="str">
        <f>IFERROR(__xludf.DUMMYFUNCTION("""COMPUTED_VALUE"""),"bb81e412")</f>
        <v>bb81e412</v>
      </c>
      <c r="C328" s="1" t="str">
        <f>IFERROR(__xludf.DUMMYFUNCTION("""COMPUTED_VALUE"""),"02d86a9b")</f>
        <v>02d86a9b</v>
      </c>
      <c r="D328" s="1">
        <f>IFERROR(__xludf.DUMMYFUNCTION("""COMPUTED_VALUE"""),72.0)</f>
        <v>72</v>
      </c>
      <c r="E328" s="1"/>
      <c r="F328" s="1"/>
      <c r="G328" s="1"/>
      <c r="H328" s="29">
        <f t="array" ref="H328">IF(B328="","",
DATE(
YEAR(INDEX(Purchases_Import!$B:$B, MATCH(B328, Purchases_Import!$A:$A, 0))),
MONTH(INDEX(Purchases_Import!$B:$B, MATCH(B328, Purchases_Import!$A:$A, 0))),
1
))</f>
        <v>46082</v>
      </c>
      <c r="I328" s="2">
        <f t="shared" si="1"/>
        <v>72</v>
      </c>
    </row>
    <row r="329">
      <c r="A329" s="1" t="str">
        <f>IFERROR(__xludf.DUMMYFUNCTION("""COMPUTED_VALUE"""),"87eec690")</f>
        <v>87eec690</v>
      </c>
      <c r="B329" s="1" t="str">
        <f>IFERROR(__xludf.DUMMYFUNCTION("""COMPUTED_VALUE"""),"bb81e412")</f>
        <v>bb81e412</v>
      </c>
      <c r="C329" s="1" t="str">
        <f>IFERROR(__xludf.DUMMYFUNCTION("""COMPUTED_VALUE"""),"a19879cf")</f>
        <v>a19879cf</v>
      </c>
      <c r="D329" s="1">
        <f>IFERROR(__xludf.DUMMYFUNCTION("""COMPUTED_VALUE"""),120.0)</f>
        <v>120</v>
      </c>
      <c r="E329" s="1"/>
      <c r="F329" s="1"/>
      <c r="G329" s="1"/>
      <c r="H329" s="29">
        <f t="array" ref="H329">IF(B329="","",
DATE(
YEAR(INDEX(Purchases_Import!$B:$B, MATCH(B329, Purchases_Import!$A:$A, 0))),
MONTH(INDEX(Purchases_Import!$B:$B, MATCH(B329, Purchases_Import!$A:$A, 0))),
1
))</f>
        <v>46082</v>
      </c>
      <c r="I329" s="2">
        <f t="shared" si="1"/>
        <v>120</v>
      </c>
    </row>
    <row r="330">
      <c r="A330" s="1" t="str">
        <f>IFERROR(__xludf.DUMMYFUNCTION("""COMPUTED_VALUE"""),"406882ee")</f>
        <v>406882ee</v>
      </c>
      <c r="B330" s="1" t="str">
        <f>IFERROR(__xludf.DUMMYFUNCTION("""COMPUTED_VALUE"""),"4f7d1480")</f>
        <v>4f7d1480</v>
      </c>
      <c r="C330" s="1" t="str">
        <f>IFERROR(__xludf.DUMMYFUNCTION("""COMPUTED_VALUE"""),"0014")</f>
        <v>0014</v>
      </c>
      <c r="D330" s="1">
        <f>IFERROR(__xludf.DUMMYFUNCTION("""COMPUTED_VALUE"""),10.0)</f>
        <v>10</v>
      </c>
      <c r="E330" s="1">
        <f>IFERROR(__xludf.DUMMYFUNCTION("""COMPUTED_VALUE"""),5.9)</f>
        <v>5.9</v>
      </c>
      <c r="F330" s="1"/>
      <c r="G330" s="1"/>
      <c r="H330" s="29">
        <f t="array" ref="H330">IF(B330="","",
DATE(
YEAR(INDEX(Purchases_Import!$B:$B, MATCH(B330, Purchases_Import!$A:$A, 0))),
MONTH(INDEX(Purchases_Import!$B:$B, MATCH(B330, Purchases_Import!$A:$A, 0))),
1
))</f>
        <v>46082</v>
      </c>
      <c r="I330" s="2">
        <f t="shared" si="1"/>
        <v>10</v>
      </c>
    </row>
    <row r="331">
      <c r="A331" s="1" t="str">
        <f>IFERROR(__xludf.DUMMYFUNCTION("""COMPUTED_VALUE"""),"1932945b")</f>
        <v>1932945b</v>
      </c>
      <c r="B331" s="1" t="str">
        <f>IFERROR(__xludf.DUMMYFUNCTION("""COMPUTED_VALUE"""),"4f7d1480")</f>
        <v>4f7d1480</v>
      </c>
      <c r="C331" s="1" t="str">
        <f>IFERROR(__xludf.DUMMYFUNCTION("""COMPUTED_VALUE"""),"0086")</f>
        <v>0086</v>
      </c>
      <c r="D331" s="1">
        <f>IFERROR(__xludf.DUMMYFUNCTION("""COMPUTED_VALUE"""),30.0)</f>
        <v>30</v>
      </c>
      <c r="E331" s="1">
        <f>IFERROR(__xludf.DUMMYFUNCTION("""COMPUTED_VALUE"""),4.7)</f>
        <v>4.7</v>
      </c>
      <c r="F331" s="1"/>
      <c r="G331" s="1"/>
      <c r="H331" s="29">
        <f t="array" ref="H331">IF(B331="","",
DATE(
YEAR(INDEX(Purchases_Import!$B:$B, MATCH(B331, Purchases_Import!$A:$A, 0))),
MONTH(INDEX(Purchases_Import!$B:$B, MATCH(B331, Purchases_Import!$A:$A, 0))),
1
))</f>
        <v>46082</v>
      </c>
      <c r="I331" s="2">
        <f t="shared" si="1"/>
        <v>30</v>
      </c>
    </row>
    <row r="332">
      <c r="A332" s="1" t="str">
        <f>IFERROR(__xludf.DUMMYFUNCTION("""COMPUTED_VALUE"""),"2517498f")</f>
        <v>2517498f</v>
      </c>
      <c r="B332" s="1" t="str">
        <f>IFERROR(__xludf.DUMMYFUNCTION("""COMPUTED_VALUE"""),"4dee2d99")</f>
        <v>4dee2d99</v>
      </c>
      <c r="C332" s="1" t="str">
        <f>IFERROR(__xludf.DUMMYFUNCTION("""COMPUTED_VALUE"""),"0011")</f>
        <v>0011</v>
      </c>
      <c r="D332" s="1">
        <f>IFERROR(__xludf.DUMMYFUNCTION("""COMPUTED_VALUE"""),72.0)</f>
        <v>72</v>
      </c>
      <c r="E332" s="1">
        <f>IFERROR(__xludf.DUMMYFUNCTION("""COMPUTED_VALUE"""),3.5)</f>
        <v>3.5</v>
      </c>
      <c r="F332" s="1"/>
      <c r="G332" s="1"/>
      <c r="H332" s="29">
        <f t="array" ref="H332">IF(B332="","",
DATE(
YEAR(INDEX(Purchases_Import!$B:$B, MATCH(B332, Purchases_Import!$A:$A, 0))),
MONTH(INDEX(Purchases_Import!$B:$B, MATCH(B332, Purchases_Import!$A:$A, 0))),
1
))</f>
        <v>46113</v>
      </c>
      <c r="I332" s="2">
        <f t="shared" si="1"/>
        <v>72</v>
      </c>
    </row>
    <row r="333">
      <c r="A333" s="1" t="str">
        <f>IFERROR(__xludf.DUMMYFUNCTION("""COMPUTED_VALUE"""),"d75b4a7c")</f>
        <v>d75b4a7c</v>
      </c>
      <c r="B333" s="1" t="str">
        <f>IFERROR(__xludf.DUMMYFUNCTION("""COMPUTED_VALUE"""),"4dee2d99")</f>
        <v>4dee2d99</v>
      </c>
      <c r="C333" s="1" t="str">
        <f>IFERROR(__xludf.DUMMYFUNCTION("""COMPUTED_VALUE"""),"0021")</f>
        <v>0021</v>
      </c>
      <c r="D333" s="1">
        <f>IFERROR(__xludf.DUMMYFUNCTION("""COMPUTED_VALUE"""),120.0)</f>
        <v>120</v>
      </c>
      <c r="E333" s="1">
        <f>IFERROR(__xludf.DUMMYFUNCTION("""COMPUTED_VALUE"""),2.25)</f>
        <v>2.25</v>
      </c>
      <c r="F333" s="1"/>
      <c r="G333" s="1"/>
      <c r="H333" s="29">
        <f t="array" ref="H333">IF(B333="","",
DATE(
YEAR(INDEX(Purchases_Import!$B:$B, MATCH(B333, Purchases_Import!$A:$A, 0))),
MONTH(INDEX(Purchases_Import!$B:$B, MATCH(B333, Purchases_Import!$A:$A, 0))),
1
))</f>
        <v>46113</v>
      </c>
      <c r="I333" s="2">
        <f t="shared" si="1"/>
        <v>120</v>
      </c>
    </row>
    <row r="334">
      <c r="A334" s="1" t="str">
        <f>IFERROR(__xludf.DUMMYFUNCTION("""COMPUTED_VALUE"""),"89f348d6")</f>
        <v>89f348d6</v>
      </c>
      <c r="B334" s="1" t="str">
        <f>IFERROR(__xludf.DUMMYFUNCTION("""COMPUTED_VALUE"""),"4dee2d99")</f>
        <v>4dee2d99</v>
      </c>
      <c r="C334" s="1" t="str">
        <f>IFERROR(__xludf.DUMMYFUNCTION("""COMPUTED_VALUE"""),"bb6c2490")</f>
        <v>bb6c2490</v>
      </c>
      <c r="D334" s="1">
        <f>IFERROR(__xludf.DUMMYFUNCTION("""COMPUTED_VALUE"""),36.0)</f>
        <v>36</v>
      </c>
      <c r="E334" s="1">
        <f>IFERROR(__xludf.DUMMYFUNCTION("""COMPUTED_VALUE"""),2.78)</f>
        <v>2.78</v>
      </c>
      <c r="F334" s="1"/>
      <c r="G334" s="1"/>
      <c r="H334" s="29">
        <f t="array" ref="H334">IF(B334="","",
DATE(
YEAR(INDEX(Purchases_Import!$B:$B, MATCH(B334, Purchases_Import!$A:$A, 0))),
MONTH(INDEX(Purchases_Import!$B:$B, MATCH(B334, Purchases_Import!$A:$A, 0))),
1
))</f>
        <v>46113</v>
      </c>
      <c r="I334" s="2">
        <f t="shared" si="1"/>
        <v>36</v>
      </c>
    </row>
    <row r="335">
      <c r="A335" s="1" t="str">
        <f>IFERROR(__xludf.DUMMYFUNCTION("""COMPUTED_VALUE"""),"c8d4286b")</f>
        <v>c8d4286b</v>
      </c>
      <c r="B335" s="1" t="str">
        <f>IFERROR(__xludf.DUMMYFUNCTION("""COMPUTED_VALUE"""),"4dee2d99")</f>
        <v>4dee2d99</v>
      </c>
      <c r="C335" s="1" t="str">
        <f>IFERROR(__xludf.DUMMYFUNCTION("""COMPUTED_VALUE"""),"0029")</f>
        <v>0029</v>
      </c>
      <c r="D335" s="1">
        <f>IFERROR(__xludf.DUMMYFUNCTION("""COMPUTED_VALUE"""),96.0)</f>
        <v>96</v>
      </c>
      <c r="E335" s="1">
        <f>IFERROR(__xludf.DUMMYFUNCTION("""COMPUTED_VALUE"""),2.25)</f>
        <v>2.25</v>
      </c>
      <c r="F335" s="1"/>
      <c r="G335" s="1"/>
      <c r="H335" s="29">
        <f t="array" ref="H335">IF(B335="","",
DATE(
YEAR(INDEX(Purchases_Import!$B:$B, MATCH(B335, Purchases_Import!$A:$A, 0))),
MONTH(INDEX(Purchases_Import!$B:$B, MATCH(B335, Purchases_Import!$A:$A, 0))),
1
))</f>
        <v>46113</v>
      </c>
      <c r="I335" s="2">
        <f t="shared" si="1"/>
        <v>96</v>
      </c>
    </row>
    <row r="336">
      <c r="A336" s="1" t="str">
        <f>IFERROR(__xludf.DUMMYFUNCTION("""COMPUTED_VALUE"""),"b65dcdfc")</f>
        <v>b65dcdfc</v>
      </c>
      <c r="B336" s="1" t="str">
        <f>IFERROR(__xludf.DUMMYFUNCTION("""COMPUTED_VALUE"""),"4dee2d99")</f>
        <v>4dee2d99</v>
      </c>
      <c r="C336" s="1" t="str">
        <f>IFERROR(__xludf.DUMMYFUNCTION("""COMPUTED_VALUE"""),"0054")</f>
        <v>0054</v>
      </c>
      <c r="D336" s="1">
        <f>IFERROR(__xludf.DUMMYFUNCTION("""COMPUTED_VALUE"""),24.0)</f>
        <v>24</v>
      </c>
      <c r="E336" s="1">
        <f>IFERROR(__xludf.DUMMYFUNCTION("""COMPUTED_VALUE"""),2.25)</f>
        <v>2.25</v>
      </c>
      <c r="F336" s="1"/>
      <c r="G336" s="1"/>
      <c r="H336" s="29">
        <f t="array" ref="H336">IF(B336="","",
DATE(
YEAR(INDEX(Purchases_Import!$B:$B, MATCH(B336, Purchases_Import!$A:$A, 0))),
MONTH(INDEX(Purchases_Import!$B:$B, MATCH(B336, Purchases_Import!$A:$A, 0))),
1
))</f>
        <v>46113</v>
      </c>
      <c r="I336" s="2">
        <f t="shared" si="1"/>
        <v>24</v>
      </c>
    </row>
    <row r="337">
      <c r="A337" s="1" t="str">
        <f>IFERROR(__xludf.DUMMYFUNCTION("""COMPUTED_VALUE"""),"de2e6e04")</f>
        <v>de2e6e04</v>
      </c>
      <c r="B337" s="1" t="str">
        <f>IFERROR(__xludf.DUMMYFUNCTION("""COMPUTED_VALUE"""),"4dee2d99")</f>
        <v>4dee2d99</v>
      </c>
      <c r="C337" s="1" t="str">
        <f>IFERROR(__xludf.DUMMYFUNCTION("""COMPUTED_VALUE"""),"649eaeb5")</f>
        <v>649eaeb5</v>
      </c>
      <c r="D337" s="1">
        <f>IFERROR(__xludf.DUMMYFUNCTION("""COMPUTED_VALUE"""),48.0)</f>
        <v>48</v>
      </c>
      <c r="E337" s="1"/>
      <c r="F337" s="1"/>
      <c r="G337" s="1"/>
      <c r="H337" s="29">
        <f t="array" ref="H337">IF(B337="","",
DATE(
YEAR(INDEX(Purchases_Import!$B:$B, MATCH(B337, Purchases_Import!$A:$A, 0))),
MONTH(INDEX(Purchases_Import!$B:$B, MATCH(B337, Purchases_Import!$A:$A, 0))),
1
))</f>
        <v>46113</v>
      </c>
      <c r="I337" s="2">
        <f t="shared" si="1"/>
        <v>48</v>
      </c>
    </row>
    <row r="338">
      <c r="A338" s="1" t="str">
        <f>IFERROR(__xludf.DUMMYFUNCTION("""COMPUTED_VALUE"""),"d71f2763")</f>
        <v>d71f2763</v>
      </c>
      <c r="B338" s="1" t="str">
        <f>IFERROR(__xludf.DUMMYFUNCTION("""COMPUTED_VALUE"""),"4dee2d99")</f>
        <v>4dee2d99</v>
      </c>
      <c r="C338" s="1" t="str">
        <f>IFERROR(__xludf.DUMMYFUNCTION("""COMPUTED_VALUE"""),"0001")</f>
        <v>0001</v>
      </c>
      <c r="D338" s="1">
        <f>IFERROR(__xludf.DUMMYFUNCTION("""COMPUTED_VALUE"""),150.0)</f>
        <v>150</v>
      </c>
      <c r="E338" s="1">
        <f>IFERROR(__xludf.DUMMYFUNCTION("""COMPUTED_VALUE"""),2.8)</f>
        <v>2.8</v>
      </c>
      <c r="F338" s="1"/>
      <c r="G338" s="1"/>
      <c r="H338" s="29">
        <f t="array" ref="H338">IF(B338="","",
DATE(
YEAR(INDEX(Purchases_Import!$B:$B, MATCH(B338, Purchases_Import!$A:$A, 0))),
MONTH(INDEX(Purchases_Import!$B:$B, MATCH(B338, Purchases_Import!$A:$A, 0))),
1
))</f>
        <v>46113</v>
      </c>
      <c r="I338" s="2">
        <f t="shared" si="1"/>
        <v>150</v>
      </c>
    </row>
    <row r="339">
      <c r="A339" s="1" t="str">
        <f>IFERROR(__xludf.DUMMYFUNCTION("""COMPUTED_VALUE"""),"93fd2dee")</f>
        <v>93fd2dee</v>
      </c>
      <c r="B339" s="1" t="str">
        <f>IFERROR(__xludf.DUMMYFUNCTION("""COMPUTED_VALUE"""),"4dee2d99")</f>
        <v>4dee2d99</v>
      </c>
      <c r="C339" s="1" t="str">
        <f>IFERROR(__xludf.DUMMYFUNCTION("""COMPUTED_VALUE"""),"0019")</f>
        <v>0019</v>
      </c>
      <c r="D339" s="1">
        <f>IFERROR(__xludf.DUMMYFUNCTION("""COMPUTED_VALUE"""),48.0)</f>
        <v>48</v>
      </c>
      <c r="E339" s="1">
        <f>IFERROR(__xludf.DUMMYFUNCTION("""COMPUTED_VALUE"""),1.33)</f>
        <v>1.33</v>
      </c>
      <c r="F339" s="1"/>
      <c r="G339" s="1"/>
      <c r="H339" s="29">
        <f t="array" ref="H339">IF(B339="","",
DATE(
YEAR(INDEX(Purchases_Import!$B:$B, MATCH(B339, Purchases_Import!$A:$A, 0))),
MONTH(INDEX(Purchases_Import!$B:$B, MATCH(B339, Purchases_Import!$A:$A, 0))),
1
))</f>
        <v>46113</v>
      </c>
      <c r="I339" s="2">
        <f t="shared" si="1"/>
        <v>48</v>
      </c>
    </row>
    <row r="340">
      <c r="A340" s="1" t="str">
        <f>IFERROR(__xludf.DUMMYFUNCTION("""COMPUTED_VALUE"""),"ffc86fb3")</f>
        <v>ffc86fb3</v>
      </c>
      <c r="B340" s="1" t="str">
        <f>IFERROR(__xludf.DUMMYFUNCTION("""COMPUTED_VALUE"""),"4dee2d99")</f>
        <v>4dee2d99</v>
      </c>
      <c r="C340" s="1" t="str">
        <f>IFERROR(__xludf.DUMMYFUNCTION("""COMPUTED_VALUE"""),"f998044c")</f>
        <v>f998044c</v>
      </c>
      <c r="D340" s="1">
        <f>IFERROR(__xludf.DUMMYFUNCTION("""COMPUTED_VALUE"""),20.0)</f>
        <v>20</v>
      </c>
      <c r="E340" s="1"/>
      <c r="F340" s="1"/>
      <c r="G340" s="1"/>
      <c r="H340" s="29">
        <f t="array" ref="H340">IF(B340="","",
DATE(
YEAR(INDEX(Purchases_Import!$B:$B, MATCH(B340, Purchases_Import!$A:$A, 0))),
MONTH(INDEX(Purchases_Import!$B:$B, MATCH(B340, Purchases_Import!$A:$A, 0))),
1
))</f>
        <v>46113</v>
      </c>
      <c r="I340" s="2">
        <f t="shared" si="1"/>
        <v>20</v>
      </c>
    </row>
    <row r="341">
      <c r="A341" s="1" t="str">
        <f>IFERROR(__xludf.DUMMYFUNCTION("""COMPUTED_VALUE"""),"825cf0fe")</f>
        <v>825cf0fe</v>
      </c>
      <c r="B341" s="1" t="str">
        <f>IFERROR(__xludf.DUMMYFUNCTION("""COMPUTED_VALUE"""),"4dee2d99")</f>
        <v>4dee2d99</v>
      </c>
      <c r="C341" s="1" t="str">
        <f>IFERROR(__xludf.DUMMYFUNCTION("""COMPUTED_VALUE"""),"220a28b9")</f>
        <v>220a28b9</v>
      </c>
      <c r="D341" s="1">
        <f>IFERROR(__xludf.DUMMYFUNCTION("""COMPUTED_VALUE"""),12.0)</f>
        <v>12</v>
      </c>
      <c r="E341" s="1"/>
      <c r="F341" s="1"/>
      <c r="G341" s="1"/>
      <c r="H341" s="29">
        <f t="array" ref="H341">IF(B341="","",
DATE(
YEAR(INDEX(Purchases_Import!$B:$B, MATCH(B341, Purchases_Import!$A:$A, 0))),
MONTH(INDEX(Purchases_Import!$B:$B, MATCH(B341, Purchases_Import!$A:$A, 0))),
1
))</f>
        <v>46113</v>
      </c>
      <c r="I341" s="2">
        <f t="shared" si="1"/>
        <v>12</v>
      </c>
    </row>
    <row r="342">
      <c r="A342" s="1" t="str">
        <f>IFERROR(__xludf.DUMMYFUNCTION("""COMPUTED_VALUE"""),"7cabd2c1")</f>
        <v>7cabd2c1</v>
      </c>
      <c r="B342" s="1" t="str">
        <f>IFERROR(__xludf.DUMMYFUNCTION("""COMPUTED_VALUE"""),"c8a65d6e")</f>
        <v>c8a65d6e</v>
      </c>
      <c r="C342" s="1" t="str">
        <f>IFERROR(__xludf.DUMMYFUNCTION("""COMPUTED_VALUE"""),"cb9e809e")</f>
        <v>cb9e809e</v>
      </c>
      <c r="D342" s="1">
        <f>IFERROR(__xludf.DUMMYFUNCTION("""COMPUTED_VALUE"""),60.0)</f>
        <v>60</v>
      </c>
      <c r="E342" s="1"/>
      <c r="F342" s="1"/>
      <c r="G342" s="1"/>
      <c r="H342" s="29">
        <f t="array" ref="H342">IF(B342="","",
DATE(
YEAR(INDEX(Purchases_Import!$B:$B, MATCH(B342, Purchases_Import!$A:$A, 0))),
MONTH(INDEX(Purchases_Import!$B:$B, MATCH(B342, Purchases_Import!$A:$A, 0))),
1
))</f>
        <v>46113</v>
      </c>
      <c r="I342" s="2">
        <f t="shared" si="1"/>
        <v>60</v>
      </c>
    </row>
    <row r="343">
      <c r="A343" s="1" t="str">
        <f>IFERROR(__xludf.DUMMYFUNCTION("""COMPUTED_VALUE"""),"2c98ef4a")</f>
        <v>2c98ef4a</v>
      </c>
      <c r="B343" s="1" t="str">
        <f>IFERROR(__xludf.DUMMYFUNCTION("""COMPUTED_VALUE"""),"c8a65d6e")</f>
        <v>c8a65d6e</v>
      </c>
      <c r="C343" s="1" t="str">
        <f>IFERROR(__xludf.DUMMYFUNCTION("""COMPUTED_VALUE"""),"0049")</f>
        <v>0049</v>
      </c>
      <c r="D343" s="1">
        <f>IFERROR(__xludf.DUMMYFUNCTION("""COMPUTED_VALUE"""),48.0)</f>
        <v>48</v>
      </c>
      <c r="E343" s="1">
        <f>IFERROR(__xludf.DUMMYFUNCTION("""COMPUTED_VALUE"""),1.93)</f>
        <v>1.93</v>
      </c>
      <c r="F343" s="1"/>
      <c r="G343" s="1"/>
      <c r="H343" s="29">
        <f t="array" ref="H343">IF(B343="","",
DATE(
YEAR(INDEX(Purchases_Import!$B:$B, MATCH(B343, Purchases_Import!$A:$A, 0))),
MONTH(INDEX(Purchases_Import!$B:$B, MATCH(B343, Purchases_Import!$A:$A, 0))),
1
))</f>
        <v>46113</v>
      </c>
      <c r="I343" s="2">
        <f t="shared" si="1"/>
        <v>48</v>
      </c>
    </row>
    <row r="344">
      <c r="A344" s="1" t="str">
        <f>IFERROR(__xludf.DUMMYFUNCTION("""COMPUTED_VALUE"""),"e48eeaa0")</f>
        <v>e48eeaa0</v>
      </c>
      <c r="B344" s="1" t="str">
        <f>IFERROR(__xludf.DUMMYFUNCTION("""COMPUTED_VALUE"""),"c8a65d6e")</f>
        <v>c8a65d6e</v>
      </c>
      <c r="C344" s="1" t="str">
        <f>IFERROR(__xludf.DUMMYFUNCTION("""COMPUTED_VALUE"""),"27c8f623")</f>
        <v>27c8f623</v>
      </c>
      <c r="D344" s="1">
        <f>IFERROR(__xludf.DUMMYFUNCTION("""COMPUTED_VALUE"""),72.0)</f>
        <v>72</v>
      </c>
      <c r="E344" s="1"/>
      <c r="F344" s="1"/>
      <c r="G344" s="1"/>
      <c r="H344" s="29">
        <f t="array" ref="H344">IF(B344="","",
DATE(
YEAR(INDEX(Purchases_Import!$B:$B, MATCH(B344, Purchases_Import!$A:$A, 0))),
MONTH(INDEX(Purchases_Import!$B:$B, MATCH(B344, Purchases_Import!$A:$A, 0))),
1
))</f>
        <v>46113</v>
      </c>
      <c r="I344" s="2">
        <f t="shared" si="1"/>
        <v>72</v>
      </c>
    </row>
    <row r="345">
      <c r="A345" s="1" t="str">
        <f>IFERROR(__xludf.DUMMYFUNCTION("""COMPUTED_VALUE"""),"448522d0")</f>
        <v>448522d0</v>
      </c>
      <c r="B345" s="1" t="str">
        <f>IFERROR(__xludf.DUMMYFUNCTION("""COMPUTED_VALUE"""),"c8a65d6e")</f>
        <v>c8a65d6e</v>
      </c>
      <c r="C345" s="1" t="str">
        <f>IFERROR(__xludf.DUMMYFUNCTION("""COMPUTED_VALUE"""),"a19879cf")</f>
        <v>a19879cf</v>
      </c>
      <c r="D345" s="1">
        <f>IFERROR(__xludf.DUMMYFUNCTION("""COMPUTED_VALUE"""),72.0)</f>
        <v>72</v>
      </c>
      <c r="E345" s="1"/>
      <c r="F345" s="1"/>
      <c r="G345" s="1"/>
      <c r="H345" s="29">
        <f t="array" ref="H345">IF(B345="","",
DATE(
YEAR(INDEX(Purchases_Import!$B:$B, MATCH(B345, Purchases_Import!$A:$A, 0))),
MONTH(INDEX(Purchases_Import!$B:$B, MATCH(B345, Purchases_Import!$A:$A, 0))),
1
))</f>
        <v>46113</v>
      </c>
      <c r="I345" s="2">
        <f t="shared" si="1"/>
        <v>72</v>
      </c>
    </row>
    <row r="346">
      <c r="A346" s="1" t="str">
        <f>IFERROR(__xludf.DUMMYFUNCTION("""COMPUTED_VALUE"""),"92c7dfa7")</f>
        <v>92c7dfa7</v>
      </c>
      <c r="B346" s="1" t="str">
        <f>IFERROR(__xludf.DUMMYFUNCTION("""COMPUTED_VALUE"""),"c8a65d6e")</f>
        <v>c8a65d6e</v>
      </c>
      <c r="C346" s="1" t="str">
        <f>IFERROR(__xludf.DUMMYFUNCTION("""COMPUTED_VALUE"""),"bb4d1bd1")</f>
        <v>bb4d1bd1</v>
      </c>
      <c r="D346" s="1">
        <f>IFERROR(__xludf.DUMMYFUNCTION("""COMPUTED_VALUE"""),96.0)</f>
        <v>96</v>
      </c>
      <c r="E346" s="1"/>
      <c r="F346" s="1"/>
      <c r="G346" s="1"/>
      <c r="H346" s="29">
        <f t="array" ref="H346">IF(B346="","",
DATE(
YEAR(INDEX(Purchases_Import!$B:$B, MATCH(B346, Purchases_Import!$A:$A, 0))),
MONTH(INDEX(Purchases_Import!$B:$B, MATCH(B346, Purchases_Import!$A:$A, 0))),
1
))</f>
        <v>46113</v>
      </c>
      <c r="I346" s="2">
        <f t="shared" si="1"/>
        <v>96</v>
      </c>
    </row>
    <row r="347">
      <c r="A347" s="1" t="str">
        <f>IFERROR(__xludf.DUMMYFUNCTION("""COMPUTED_VALUE"""),"89fc9a90")</f>
        <v>89fc9a90</v>
      </c>
      <c r="B347" s="1" t="str">
        <f>IFERROR(__xludf.DUMMYFUNCTION("""COMPUTED_VALUE"""),"9fead2ae")</f>
        <v>9fead2ae</v>
      </c>
      <c r="C347" s="1" t="str">
        <f>IFERROR(__xludf.DUMMYFUNCTION("""COMPUTED_VALUE"""),"0086")</f>
        <v>0086</v>
      </c>
      <c r="D347" s="1">
        <f>IFERROR(__xludf.DUMMYFUNCTION("""COMPUTED_VALUE"""),20.0)</f>
        <v>20</v>
      </c>
      <c r="E347" s="1">
        <f>IFERROR(__xludf.DUMMYFUNCTION("""COMPUTED_VALUE"""),4.7)</f>
        <v>4.7</v>
      </c>
      <c r="F347" s="1"/>
      <c r="G347" s="1"/>
      <c r="H347" s="29">
        <f t="array" ref="H347">IF(B347="","",
DATE(
YEAR(INDEX(Purchases_Import!$B:$B, MATCH(B347, Purchases_Import!$A:$A, 0))),
MONTH(INDEX(Purchases_Import!$B:$B, MATCH(B347, Purchases_Import!$A:$A, 0))),
1
))</f>
        <v>46113</v>
      </c>
      <c r="I347" s="2">
        <f t="shared" si="1"/>
        <v>20</v>
      </c>
    </row>
    <row r="348">
      <c r="A348" s="1" t="str">
        <f>IFERROR(__xludf.DUMMYFUNCTION("""COMPUTED_VALUE"""),"0ea2dd13")</f>
        <v>0ea2dd13</v>
      </c>
      <c r="B348" s="1" t="str">
        <f>IFERROR(__xludf.DUMMYFUNCTION("""COMPUTED_VALUE"""),"9fead2ae")</f>
        <v>9fead2ae</v>
      </c>
      <c r="C348" s="1" t="str">
        <f>IFERROR(__xludf.DUMMYFUNCTION("""COMPUTED_VALUE"""),"c80ae9f2")</f>
        <v>c80ae9f2</v>
      </c>
      <c r="D348" s="1">
        <f>IFERROR(__xludf.DUMMYFUNCTION("""COMPUTED_VALUE"""),12.0)</f>
        <v>12</v>
      </c>
      <c r="E348" s="1">
        <f>IFERROR(__xludf.DUMMYFUNCTION("""COMPUTED_VALUE"""),4.5)</f>
        <v>4.5</v>
      </c>
      <c r="F348" s="1"/>
      <c r="G348" s="1"/>
      <c r="H348" s="29">
        <f t="array" ref="H348">IF(B348="","",
DATE(
YEAR(INDEX(Purchases_Import!$B:$B, MATCH(B348, Purchases_Import!$A:$A, 0))),
MONTH(INDEX(Purchases_Import!$B:$B, MATCH(B348, Purchases_Import!$A:$A, 0))),
1
))</f>
        <v>46113</v>
      </c>
      <c r="I348" s="2">
        <f t="shared" si="1"/>
        <v>12</v>
      </c>
    </row>
    <row r="349">
      <c r="A349" s="1" t="str">
        <f>IFERROR(__xludf.DUMMYFUNCTION("""COMPUTED_VALUE"""),"b7450662")</f>
        <v>b7450662</v>
      </c>
      <c r="B349" s="1" t="str">
        <f>IFERROR(__xludf.DUMMYFUNCTION("""COMPUTED_VALUE"""),"9fead2ae")</f>
        <v>9fead2ae</v>
      </c>
      <c r="C349" s="1" t="str">
        <f>IFERROR(__xludf.DUMMYFUNCTION("""COMPUTED_VALUE"""),"0014")</f>
        <v>0014</v>
      </c>
      <c r="D349" s="1">
        <f>IFERROR(__xludf.DUMMYFUNCTION("""COMPUTED_VALUE"""),10.0)</f>
        <v>10</v>
      </c>
      <c r="E349" s="1">
        <f>IFERROR(__xludf.DUMMYFUNCTION("""COMPUTED_VALUE"""),5.9)</f>
        <v>5.9</v>
      </c>
      <c r="F349" s="1"/>
      <c r="G349" s="1"/>
      <c r="H349" s="29">
        <f t="array" ref="H349">IF(B349="","",
DATE(
YEAR(INDEX(Purchases_Import!$B:$B, MATCH(B349, Purchases_Import!$A:$A, 0))),
MONTH(INDEX(Purchases_Import!$B:$B, MATCH(B349, Purchases_Import!$A:$A, 0))),
1
))</f>
        <v>46113</v>
      </c>
      <c r="I349" s="2">
        <f t="shared" si="1"/>
        <v>10</v>
      </c>
    </row>
    <row r="350">
      <c r="A350" s="1" t="str">
        <f>IFERROR(__xludf.DUMMYFUNCTION("""COMPUTED_VALUE"""),"0fac0de4")</f>
        <v>0fac0de4</v>
      </c>
      <c r="B350" s="1" t="str">
        <f>IFERROR(__xludf.DUMMYFUNCTION("""COMPUTED_VALUE"""),"9fead2ae")</f>
        <v>9fead2ae</v>
      </c>
      <c r="C350" s="1" t="str">
        <f>IFERROR(__xludf.DUMMYFUNCTION("""COMPUTED_VALUE"""),"0018")</f>
        <v>0018</v>
      </c>
      <c r="D350" s="1">
        <f>IFERROR(__xludf.DUMMYFUNCTION("""COMPUTED_VALUE"""),7.0)</f>
        <v>7</v>
      </c>
      <c r="E350" s="1">
        <f>IFERROR(__xludf.DUMMYFUNCTION("""COMPUTED_VALUE"""),24.0)</f>
        <v>24</v>
      </c>
      <c r="F350" s="1"/>
      <c r="G350" s="1"/>
      <c r="H350" s="29">
        <f t="array" ref="H350">IF(B350="","",
DATE(
YEAR(INDEX(Purchases_Import!$B:$B, MATCH(B350, Purchases_Import!$A:$A, 0))),
MONTH(INDEX(Purchases_Import!$B:$B, MATCH(B350, Purchases_Import!$A:$A, 0))),
1
))</f>
        <v>46113</v>
      </c>
      <c r="I350" s="2">
        <f t="shared" si="1"/>
        <v>7</v>
      </c>
    </row>
    <row r="351">
      <c r="A351" s="1" t="str">
        <f>IFERROR(__xludf.DUMMYFUNCTION("""COMPUTED_VALUE"""),"d081f76f")</f>
        <v>d081f76f</v>
      </c>
      <c r="B351" s="1" t="str">
        <f>IFERROR(__xludf.DUMMYFUNCTION("""COMPUTED_VALUE"""),"9fead2ae")</f>
        <v>9fead2ae</v>
      </c>
      <c r="C351" s="1" t="str">
        <f>IFERROR(__xludf.DUMMYFUNCTION("""COMPUTED_VALUE"""),"bb6c2490")</f>
        <v>bb6c2490</v>
      </c>
      <c r="D351" s="1">
        <f>IFERROR(__xludf.DUMMYFUNCTION("""COMPUTED_VALUE"""),180.0)</f>
        <v>180</v>
      </c>
      <c r="E351" s="1">
        <f>IFERROR(__xludf.DUMMYFUNCTION("""COMPUTED_VALUE"""),2.78)</f>
        <v>2.78</v>
      </c>
      <c r="F351" s="1"/>
      <c r="G351" s="1"/>
      <c r="H351" s="29">
        <f t="array" ref="H351">IF(B351="","",
DATE(
YEAR(INDEX(Purchases_Import!$B:$B, MATCH(B351, Purchases_Import!$A:$A, 0))),
MONTH(INDEX(Purchases_Import!$B:$B, MATCH(B351, Purchases_Import!$A:$A, 0))),
1
))</f>
        <v>46113</v>
      </c>
      <c r="I351" s="2">
        <f t="shared" si="1"/>
        <v>180</v>
      </c>
    </row>
    <row r="352">
      <c r="A352" s="1" t="str">
        <f>IFERROR(__xludf.DUMMYFUNCTION("""COMPUTED_VALUE"""),"03eeb86e")</f>
        <v>03eeb86e</v>
      </c>
      <c r="B352" s="1" t="str">
        <f>IFERROR(__xludf.DUMMYFUNCTION("""COMPUTED_VALUE"""),"9fead2ae")</f>
        <v>9fead2ae</v>
      </c>
      <c r="C352" s="1" t="str">
        <f>IFERROR(__xludf.DUMMYFUNCTION("""COMPUTED_VALUE"""),"cf6c9481")</f>
        <v>cf6c9481</v>
      </c>
      <c r="D352" s="1">
        <f>IFERROR(__xludf.DUMMYFUNCTION("""COMPUTED_VALUE"""),10.0)</f>
        <v>10</v>
      </c>
      <c r="E352" s="1"/>
      <c r="F352" s="1"/>
      <c r="G352" s="1"/>
      <c r="H352" s="29">
        <f t="array" ref="H352">IF(B352="","",
DATE(
YEAR(INDEX(Purchases_Import!$B:$B, MATCH(B352, Purchases_Import!$A:$A, 0))),
MONTH(INDEX(Purchases_Import!$B:$B, MATCH(B352, Purchases_Import!$A:$A, 0))),
1
))</f>
        <v>46113</v>
      </c>
      <c r="I352" s="2">
        <f t="shared" si="1"/>
        <v>10</v>
      </c>
    </row>
    <row r="353">
      <c r="A353" s="1" t="str">
        <f>IFERROR(__xludf.DUMMYFUNCTION("""COMPUTED_VALUE"""),"eb276cf6")</f>
        <v>eb276cf6</v>
      </c>
      <c r="B353" s="1" t="str">
        <f>IFERROR(__xludf.DUMMYFUNCTION("""COMPUTED_VALUE"""),"03ab8e87")</f>
        <v>03ab8e87</v>
      </c>
      <c r="C353" s="1" t="str">
        <f>IFERROR(__xludf.DUMMYFUNCTION("""COMPUTED_VALUE"""),"0002")</f>
        <v>0002</v>
      </c>
      <c r="D353" s="1">
        <f>IFERROR(__xludf.DUMMYFUNCTION("""COMPUTED_VALUE"""),720.0)</f>
        <v>720</v>
      </c>
      <c r="E353" s="1">
        <f>IFERROR(__xludf.DUMMYFUNCTION("""COMPUTED_VALUE"""),0.3)</f>
        <v>0.3</v>
      </c>
      <c r="F353" s="1"/>
      <c r="G353" s="1"/>
      <c r="H353" s="29">
        <f t="array" ref="H353">IF(B353="","",
DATE(
YEAR(INDEX(Purchases_Import!$B:$B, MATCH(B353, Purchases_Import!$A:$A, 0))),
MONTH(INDEX(Purchases_Import!$B:$B, MATCH(B353, Purchases_Import!$A:$A, 0))),
1
))</f>
        <v>46113</v>
      </c>
      <c r="I353" s="2">
        <f t="shared" si="1"/>
        <v>720</v>
      </c>
    </row>
    <row r="354">
      <c r="A354" s="1" t="str">
        <f>IFERROR(__xludf.DUMMYFUNCTION("""COMPUTED_VALUE"""),"5c092b7e")</f>
        <v>5c092b7e</v>
      </c>
      <c r="B354" s="1" t="str">
        <f>IFERROR(__xludf.DUMMYFUNCTION("""COMPUTED_VALUE"""),"a1578cc1")</f>
        <v>a1578cc1</v>
      </c>
      <c r="C354" s="1" t="str">
        <f>IFERROR(__xludf.DUMMYFUNCTION("""COMPUTED_VALUE"""),"0018")</f>
        <v>0018</v>
      </c>
      <c r="D354" s="1">
        <f>IFERROR(__xludf.DUMMYFUNCTION("""COMPUTED_VALUE"""),5.0)</f>
        <v>5</v>
      </c>
      <c r="E354" s="1">
        <f>IFERROR(__xludf.DUMMYFUNCTION("""COMPUTED_VALUE"""),24.0)</f>
        <v>24</v>
      </c>
      <c r="F354" s="1"/>
      <c r="G354" s="1"/>
      <c r="H354" s="29">
        <f t="array" ref="H354">IF(B354="","",
DATE(
YEAR(INDEX(Purchases_Import!$B:$B, MATCH(B354, Purchases_Import!$A:$A, 0))),
MONTH(INDEX(Purchases_Import!$B:$B, MATCH(B354, Purchases_Import!$A:$A, 0))),
1
))</f>
        <v>46113</v>
      </c>
      <c r="I354" s="2">
        <f t="shared" si="1"/>
        <v>5</v>
      </c>
    </row>
    <row r="355">
      <c r="A355" s="1" t="str">
        <f>IFERROR(__xludf.DUMMYFUNCTION("""COMPUTED_VALUE"""),"da315e04")</f>
        <v>da315e04</v>
      </c>
      <c r="B355" s="1" t="str">
        <f>IFERROR(__xludf.DUMMYFUNCTION("""COMPUTED_VALUE"""),"a1578cc1")</f>
        <v>a1578cc1</v>
      </c>
      <c r="C355" s="1" t="str">
        <f>IFERROR(__xludf.DUMMYFUNCTION("""COMPUTED_VALUE"""),"0024")</f>
        <v>0024</v>
      </c>
      <c r="D355" s="1">
        <f>IFERROR(__xludf.DUMMYFUNCTION("""COMPUTED_VALUE"""),10.0)</f>
        <v>10</v>
      </c>
      <c r="E355" s="1">
        <f>IFERROR(__xludf.DUMMYFUNCTION("""COMPUTED_VALUE"""),2.4)</f>
        <v>2.4</v>
      </c>
      <c r="F355" s="1"/>
      <c r="G355" s="1"/>
      <c r="H355" s="29">
        <f t="array" ref="H355">IF(B355="","",
DATE(
YEAR(INDEX(Purchases_Import!$B:$B, MATCH(B355, Purchases_Import!$A:$A, 0))),
MONTH(INDEX(Purchases_Import!$B:$B, MATCH(B355, Purchases_Import!$A:$A, 0))),
1
))</f>
        <v>46113</v>
      </c>
      <c r="I355" s="2">
        <f t="shared" si="1"/>
        <v>10</v>
      </c>
    </row>
    <row r="356">
      <c r="A356" s="1" t="str">
        <f>IFERROR(__xludf.DUMMYFUNCTION("""COMPUTED_VALUE"""),"30cf9659")</f>
        <v>30cf9659</v>
      </c>
      <c r="B356" s="1" t="str">
        <f>IFERROR(__xludf.DUMMYFUNCTION("""COMPUTED_VALUE"""),"fc1fe687")</f>
        <v>fc1fe687</v>
      </c>
      <c r="C356" s="1" t="str">
        <f>IFERROR(__xludf.DUMMYFUNCTION("""COMPUTED_VALUE"""),"0f694cb5")</f>
        <v>0f694cb5</v>
      </c>
      <c r="D356" s="1">
        <f>IFERROR(__xludf.DUMMYFUNCTION("""COMPUTED_VALUE"""),48.0)</f>
        <v>48</v>
      </c>
      <c r="E356" s="1"/>
      <c r="F356" s="1"/>
      <c r="G356" s="1"/>
      <c r="H356" s="29">
        <f t="array" ref="H356">IF(B356="","",
DATE(
YEAR(INDEX(Purchases_Import!$B:$B, MATCH(B356, Purchases_Import!$A:$A, 0))),
MONTH(INDEX(Purchases_Import!$B:$B, MATCH(B356, Purchases_Import!$A:$A, 0))),
1
))</f>
        <v>46113</v>
      </c>
      <c r="I356" s="2">
        <f t="shared" si="1"/>
        <v>48</v>
      </c>
    </row>
    <row r="357">
      <c r="A357" s="1" t="str">
        <f>IFERROR(__xludf.DUMMYFUNCTION("""COMPUTED_VALUE"""),"e12ac01a")</f>
        <v>e12ac01a</v>
      </c>
      <c r="B357" s="1" t="str">
        <f>IFERROR(__xludf.DUMMYFUNCTION("""COMPUTED_VALUE"""),"3c818630")</f>
        <v>3c818630</v>
      </c>
      <c r="C357" s="1" t="str">
        <f>IFERROR(__xludf.DUMMYFUNCTION("""COMPUTED_VALUE"""),"0014")</f>
        <v>0014</v>
      </c>
      <c r="D357" s="1">
        <f>IFERROR(__xludf.DUMMYFUNCTION("""COMPUTED_VALUE"""),30.0)</f>
        <v>30</v>
      </c>
      <c r="E357" s="1">
        <f>IFERROR(__xludf.DUMMYFUNCTION("""COMPUTED_VALUE"""),5.9)</f>
        <v>5.9</v>
      </c>
      <c r="F357" s="1"/>
      <c r="G357" s="1"/>
      <c r="H357" s="29">
        <f t="array" ref="H357">IF(B357="","",
DATE(
YEAR(INDEX(Purchases_Import!$B:$B, MATCH(B357, Purchases_Import!$A:$A, 0))),
MONTH(INDEX(Purchases_Import!$B:$B, MATCH(B357, Purchases_Import!$A:$A, 0))),
1
))</f>
        <v>46113</v>
      </c>
      <c r="I357" s="2">
        <f t="shared" si="1"/>
        <v>30</v>
      </c>
    </row>
    <row r="358">
      <c r="A358" s="1" t="str">
        <f>IFERROR(__xludf.DUMMYFUNCTION("""COMPUTED_VALUE"""),"a7a5bed5")</f>
        <v>a7a5bed5</v>
      </c>
      <c r="B358" s="1" t="str">
        <f>IFERROR(__xludf.DUMMYFUNCTION("""COMPUTED_VALUE"""),"2f593f55")</f>
        <v>2f593f55</v>
      </c>
      <c r="C358" s="1" t="str">
        <f>IFERROR(__xludf.DUMMYFUNCTION("""COMPUTED_VALUE"""),"0af806f8")</f>
        <v>0af806f8</v>
      </c>
      <c r="D358" s="1">
        <f>IFERROR(__xludf.DUMMYFUNCTION("""COMPUTED_VALUE"""),90.0)</f>
        <v>90</v>
      </c>
      <c r="E358" s="1">
        <f>IFERROR(__xludf.DUMMYFUNCTION("""COMPUTED_VALUE"""),2.66)</f>
        <v>2.66</v>
      </c>
      <c r="F358" s="1"/>
      <c r="G358" s="1"/>
      <c r="H358" s="29">
        <f t="array" ref="H358">IF(B358="","",
DATE(
YEAR(INDEX(Purchases_Import!$B:$B, MATCH(B358, Purchases_Import!$A:$A, 0))),
MONTH(INDEX(Purchases_Import!$B:$B, MATCH(B358, Purchases_Import!$A:$A, 0))),
1
))</f>
        <v>46113</v>
      </c>
      <c r="I358" s="2">
        <f t="shared" si="1"/>
        <v>90</v>
      </c>
    </row>
    <row r="359">
      <c r="A359" s="1" t="str">
        <f>IFERROR(__xludf.DUMMYFUNCTION("""COMPUTED_VALUE"""),"bad0164a")</f>
        <v>bad0164a</v>
      </c>
      <c r="B359" s="1" t="str">
        <f>IFERROR(__xludf.DUMMYFUNCTION("""COMPUTED_VALUE"""),"2f593f55")</f>
        <v>2f593f55</v>
      </c>
      <c r="C359" s="1" t="str">
        <f>IFERROR(__xludf.DUMMYFUNCTION("""COMPUTED_VALUE"""),"0001")</f>
        <v>0001</v>
      </c>
      <c r="D359" s="1">
        <f>IFERROR(__xludf.DUMMYFUNCTION("""COMPUTED_VALUE"""),60.0)</f>
        <v>60</v>
      </c>
      <c r="E359" s="1">
        <f>IFERROR(__xludf.DUMMYFUNCTION("""COMPUTED_VALUE"""),2.8)</f>
        <v>2.8</v>
      </c>
      <c r="F359" s="1"/>
      <c r="G359" s="1"/>
      <c r="H359" s="29">
        <f t="array" ref="H359">IF(B359="","",
DATE(
YEAR(INDEX(Purchases_Import!$B:$B, MATCH(B359, Purchases_Import!$A:$A, 0))),
MONTH(INDEX(Purchases_Import!$B:$B, MATCH(B359, Purchases_Import!$A:$A, 0))),
1
))</f>
        <v>46113</v>
      </c>
      <c r="I359" s="2">
        <f t="shared" si="1"/>
        <v>60</v>
      </c>
    </row>
    <row r="360">
      <c r="A360" s="1" t="str">
        <f>IFERROR(__xludf.DUMMYFUNCTION("""COMPUTED_VALUE"""),"86ea96b9")</f>
        <v>86ea96b9</v>
      </c>
      <c r="B360" s="1" t="str">
        <f>IFERROR(__xludf.DUMMYFUNCTION("""COMPUTED_VALUE"""),"2529f781")</f>
        <v>2529f781</v>
      </c>
      <c r="C360" s="1" t="str">
        <f>IFERROR(__xludf.DUMMYFUNCTION("""COMPUTED_VALUE"""),"0027")</f>
        <v>0027</v>
      </c>
      <c r="D360" s="1">
        <f>IFERROR(__xludf.DUMMYFUNCTION("""COMPUTED_VALUE"""),50.0)</f>
        <v>50</v>
      </c>
      <c r="E360" s="1">
        <f>IFERROR(__xludf.DUMMYFUNCTION("""COMPUTED_VALUE"""),3.28)</f>
        <v>3.28</v>
      </c>
      <c r="F360" s="1"/>
      <c r="G360" s="1"/>
      <c r="H360" s="29">
        <f t="array" ref="H360">IF(B360="","",
DATE(
YEAR(INDEX(Purchases_Import!$B:$B, MATCH(B360, Purchases_Import!$A:$A, 0))),
MONTH(INDEX(Purchases_Import!$B:$B, MATCH(B360, Purchases_Import!$A:$A, 0))),
1
))</f>
        <v>46113</v>
      </c>
      <c r="I360" s="2">
        <f t="shared" si="1"/>
        <v>50</v>
      </c>
    </row>
    <row r="361">
      <c r="A361" s="1" t="str">
        <f>IFERROR(__xludf.DUMMYFUNCTION("""COMPUTED_VALUE"""),"35b769ef")</f>
        <v>35b769ef</v>
      </c>
      <c r="B361" s="1" t="str">
        <f>IFERROR(__xludf.DUMMYFUNCTION("""COMPUTED_VALUE"""),"9fead2ae")</f>
        <v>9fead2ae</v>
      </c>
      <c r="C361" s="1" t="str">
        <f>IFERROR(__xludf.DUMMYFUNCTION("""COMPUTED_VALUE"""),"0063")</f>
        <v>0063</v>
      </c>
      <c r="D361" s="1">
        <f>IFERROR(__xludf.DUMMYFUNCTION("""COMPUTED_VALUE"""),20.0)</f>
        <v>20</v>
      </c>
      <c r="E361" s="1">
        <f>IFERROR(__xludf.DUMMYFUNCTION("""COMPUTED_VALUE"""),5.0)</f>
        <v>5</v>
      </c>
      <c r="F361" s="1"/>
      <c r="G361" s="1"/>
      <c r="H361" s="29">
        <f t="array" ref="H361">IF(B361="","",
DATE(
YEAR(INDEX(Purchases_Import!$B:$B, MATCH(B361, Purchases_Import!$A:$A, 0))),
MONTH(INDEX(Purchases_Import!$B:$B, MATCH(B361, Purchases_Import!$A:$A, 0))),
1
))</f>
        <v>46113</v>
      </c>
      <c r="I361" s="2">
        <f t="shared" si="1"/>
        <v>20</v>
      </c>
    </row>
    <row r="362">
      <c r="A362" s="1" t="str">
        <f>IFERROR(__xludf.DUMMYFUNCTION("""COMPUTED_VALUE"""),"e7306737")</f>
        <v>e7306737</v>
      </c>
      <c r="B362" s="1" t="str">
        <f>IFERROR(__xludf.DUMMYFUNCTION("""COMPUTED_VALUE"""),"cabe7632")</f>
        <v>cabe7632</v>
      </c>
      <c r="C362" s="1" t="str">
        <f>IFERROR(__xludf.DUMMYFUNCTION("""COMPUTED_VALUE"""),"ed187a9e")</f>
        <v>ed187a9e</v>
      </c>
      <c r="D362" s="1">
        <f>IFERROR(__xludf.DUMMYFUNCTION("""COMPUTED_VALUE"""),24.0)</f>
        <v>24</v>
      </c>
      <c r="E362" s="1">
        <f>IFERROR(__xludf.DUMMYFUNCTION("""COMPUTED_VALUE"""),3.5)</f>
        <v>3.5</v>
      </c>
      <c r="F362" s="1"/>
      <c r="G362" s="1"/>
      <c r="H362" s="29">
        <f t="array" ref="H362">IF(B362="","",
DATE(
YEAR(INDEX(Purchases_Import!$B:$B, MATCH(B362, Purchases_Import!$A:$A, 0))),
MONTH(INDEX(Purchases_Import!$B:$B, MATCH(B362, Purchases_Import!$A:$A, 0))),
1
))</f>
        <v>46113</v>
      </c>
      <c r="I362" s="2">
        <f t="shared" si="1"/>
        <v>24</v>
      </c>
    </row>
    <row r="363">
      <c r="A363" s="1" t="str">
        <f>IFERROR(__xludf.DUMMYFUNCTION("""COMPUTED_VALUE"""),"a47c2b6e")</f>
        <v>a47c2b6e</v>
      </c>
      <c r="B363" s="1" t="str">
        <f>IFERROR(__xludf.DUMMYFUNCTION("""COMPUTED_VALUE"""),"cabe7632")</f>
        <v>cabe7632</v>
      </c>
      <c r="C363" s="1" t="str">
        <f>IFERROR(__xludf.DUMMYFUNCTION("""COMPUTED_VALUE"""),"0033")</f>
        <v>0033</v>
      </c>
      <c r="D363" s="1">
        <f>IFERROR(__xludf.DUMMYFUNCTION("""COMPUTED_VALUE"""),24.0)</f>
        <v>24</v>
      </c>
      <c r="E363" s="1">
        <f>IFERROR(__xludf.DUMMYFUNCTION("""COMPUTED_VALUE"""),1.33)</f>
        <v>1.33</v>
      </c>
      <c r="F363" s="1"/>
      <c r="G363" s="1"/>
      <c r="H363" s="29">
        <f t="array" ref="H363">IF(B363="","",
DATE(
YEAR(INDEX(Purchases_Import!$B:$B, MATCH(B363, Purchases_Import!$A:$A, 0))),
MONTH(INDEX(Purchases_Import!$B:$B, MATCH(B363, Purchases_Import!$A:$A, 0))),
1
))</f>
        <v>46113</v>
      </c>
      <c r="I363" s="2">
        <f t="shared" si="1"/>
        <v>24</v>
      </c>
    </row>
    <row r="364">
      <c r="A364" s="1" t="str">
        <f>IFERROR(__xludf.DUMMYFUNCTION("""COMPUTED_VALUE"""),"50378b34")</f>
        <v>50378b34</v>
      </c>
      <c r="B364" s="1" t="str">
        <f>IFERROR(__xludf.DUMMYFUNCTION("""COMPUTED_VALUE"""),"a1578cc1")</f>
        <v>a1578cc1</v>
      </c>
      <c r="C364" s="1" t="str">
        <f>IFERROR(__xludf.DUMMYFUNCTION("""COMPUTED_VALUE"""),"0086")</f>
        <v>0086</v>
      </c>
      <c r="D364" s="1">
        <f>IFERROR(__xludf.DUMMYFUNCTION("""COMPUTED_VALUE"""),40.0)</f>
        <v>40</v>
      </c>
      <c r="E364" s="1">
        <f>IFERROR(__xludf.DUMMYFUNCTION("""COMPUTED_VALUE"""),4.7)</f>
        <v>4.7</v>
      </c>
      <c r="F364" s="1"/>
      <c r="G364" s="1"/>
      <c r="H364" s="29">
        <f t="array" ref="H364">IF(B364="","",
DATE(
YEAR(INDEX(Purchases_Import!$B:$B, MATCH(B364, Purchases_Import!$A:$A, 0))),
MONTH(INDEX(Purchases_Import!$B:$B, MATCH(B364, Purchases_Import!$A:$A, 0))),
1
))</f>
        <v>46113</v>
      </c>
      <c r="I364" s="2">
        <f t="shared" si="1"/>
        <v>40</v>
      </c>
    </row>
    <row r="365">
      <c r="A365" s="1" t="str">
        <f>IFERROR(__xludf.DUMMYFUNCTION("""COMPUTED_VALUE"""),"43dd1549")</f>
        <v>43dd1549</v>
      </c>
      <c r="B365" s="1" t="str">
        <f>IFERROR(__xludf.DUMMYFUNCTION("""COMPUTED_VALUE"""),"6306d763")</f>
        <v>6306d763</v>
      </c>
      <c r="C365" s="1" t="str">
        <f>IFERROR(__xludf.DUMMYFUNCTION("""COMPUTED_VALUE"""),"52149040")</f>
        <v>52149040</v>
      </c>
      <c r="D365" s="1"/>
      <c r="E365" s="1">
        <f>IFERROR(__xludf.DUMMYFUNCTION("""COMPUTED_VALUE"""),2.0)</f>
        <v>2</v>
      </c>
      <c r="F365" s="1">
        <f>IFERROR(__xludf.DUMMYFUNCTION("""COMPUTED_VALUE"""),10.0)</f>
        <v>10</v>
      </c>
      <c r="G365" s="1"/>
      <c r="H365" s="1" t="str">
        <f t="array" ref="H365">IF(B365="","",
DATE(
YEAR(INDEX(Purchases_Import!$B:$B, MATCH(B365, Purchases_Import!$A:$A, 0))),
MONTH(INDEX(Purchases_Import!$B:$B, MATCH(B365, Purchases_Import!$A:$A, 0))),
1
))</f>
        <v>#N/A</v>
      </c>
      <c r="I365" s="2" t="str">
        <f t="shared" si="1"/>
        <v/>
      </c>
    </row>
    <row r="366">
      <c r="A366" s="1"/>
      <c r="B366" s="1"/>
      <c r="C366" s="1"/>
      <c r="D366" s="1"/>
      <c r="E366" s="1"/>
      <c r="F366" s="1"/>
      <c r="G366" s="1"/>
      <c r="H366" s="1" t="str">
        <f t="array" ref="H366">IF(B366="","",
DATE(
YEAR(INDEX(Purchases_Import!$B:$B, MATCH(B366, Purchases_Import!$A:$A, 0))),
MONTH(INDEX(Purchases_Import!$B:$B, MATCH(B366, Purchases_Import!$A:$A, 0))),
1
))</f>
        <v/>
      </c>
      <c r="I366" s="2" t="str">
        <f t="shared" si="1"/>
        <v/>
      </c>
    </row>
    <row r="367">
      <c r="A367" s="1" t="str">
        <f>IFERROR(__xludf.DUMMYFUNCTION("""COMPUTED_VALUE"""),"69dc9f4b")</f>
        <v>69dc9f4b</v>
      </c>
      <c r="B367" s="1" t="str">
        <f>IFERROR(__xludf.DUMMYFUNCTION("""COMPUTED_VALUE"""),"9f636573")</f>
        <v>9f636573</v>
      </c>
      <c r="C367" s="1" t="str">
        <f>IFERROR(__xludf.DUMMYFUNCTION("""COMPUTED_VALUE"""),"0086")</f>
        <v>0086</v>
      </c>
      <c r="D367" s="1"/>
      <c r="E367" s="1">
        <f>IFERROR(__xludf.DUMMYFUNCTION("""COMPUTED_VALUE"""),4.7)</f>
        <v>4.7</v>
      </c>
      <c r="F367" s="1">
        <f>IFERROR(__xludf.DUMMYFUNCTION("""COMPUTED_VALUE"""),4.0)</f>
        <v>4</v>
      </c>
      <c r="G367" s="1">
        <f>IFERROR(__xludf.DUMMYFUNCTION("""COMPUTED_VALUE"""),40.0)</f>
        <v>40</v>
      </c>
      <c r="H367" s="29">
        <f t="array" ref="H367">IF(B367="","",
DATE(
YEAR(INDEX(Purchases_Import!$B:$B, MATCH(B367, Purchases_Import!$A:$A, 0))),
MONTH(INDEX(Purchases_Import!$B:$B, MATCH(B367, Purchases_Import!$A:$A, 0))),
1
))</f>
        <v>46113</v>
      </c>
      <c r="I367" s="2">
        <f t="shared" si="1"/>
        <v>40</v>
      </c>
    </row>
    <row r="368">
      <c r="A368" s="1" t="str">
        <f>IFERROR(__xludf.DUMMYFUNCTION("""COMPUTED_VALUE"""),"c60770d3")</f>
        <v>c60770d3</v>
      </c>
      <c r="B368" s="1" t="str">
        <f>IFERROR(__xludf.DUMMYFUNCTION("""COMPUTED_VALUE"""),"9f636573")</f>
        <v>9f636573</v>
      </c>
      <c r="C368" s="1" t="str">
        <f>IFERROR(__xludf.DUMMYFUNCTION("""COMPUTED_VALUE"""),"c80ae9f2")</f>
        <v>c80ae9f2</v>
      </c>
      <c r="D368" s="1"/>
      <c r="E368" s="1">
        <f>IFERROR(__xludf.DUMMYFUNCTION("""COMPUTED_VALUE"""),4.5)</f>
        <v>4.5</v>
      </c>
      <c r="F368" s="1">
        <f>IFERROR(__xludf.DUMMYFUNCTION("""COMPUTED_VALUE"""),1.0)</f>
        <v>1</v>
      </c>
      <c r="G368" s="1">
        <f>IFERROR(__xludf.DUMMYFUNCTION("""COMPUTED_VALUE"""),12.0)</f>
        <v>12</v>
      </c>
      <c r="H368" s="29">
        <f t="array" ref="H368">IF(B368="","",
DATE(
YEAR(INDEX(Purchases_Import!$B:$B, MATCH(B368, Purchases_Import!$A:$A, 0))),
MONTH(INDEX(Purchases_Import!$B:$B, MATCH(B368, Purchases_Import!$A:$A, 0))),
1
))</f>
        <v>46113</v>
      </c>
      <c r="I368" s="2">
        <f t="shared" si="1"/>
        <v>12</v>
      </c>
    </row>
    <row r="369">
      <c r="A369" s="1" t="str">
        <f>IFERROR(__xludf.DUMMYFUNCTION("""COMPUTED_VALUE"""),"b9143ea3")</f>
        <v>b9143ea3</v>
      </c>
      <c r="B369" s="1" t="str">
        <f>IFERROR(__xludf.DUMMYFUNCTION("""COMPUTED_VALUE"""),"9f636573")</f>
        <v>9f636573</v>
      </c>
      <c r="C369" s="1" t="str">
        <f>IFERROR(__xludf.DUMMYFUNCTION("""COMPUTED_VALUE"""),"0038")</f>
        <v>0038</v>
      </c>
      <c r="D369" s="1"/>
      <c r="E369" s="1">
        <f>IFERROR(__xludf.DUMMYFUNCTION("""COMPUTED_VALUE"""),6.12)</f>
        <v>6.12</v>
      </c>
      <c r="F369" s="1">
        <f>IFERROR(__xludf.DUMMYFUNCTION("""COMPUTED_VALUE"""),1.0)</f>
        <v>1</v>
      </c>
      <c r="G369" s="1">
        <f>IFERROR(__xludf.DUMMYFUNCTION("""COMPUTED_VALUE"""),16.0)</f>
        <v>16</v>
      </c>
      <c r="H369" s="29">
        <f t="array" ref="H369">IF(B369="","",
DATE(
YEAR(INDEX(Purchases_Import!$B:$B, MATCH(B369, Purchases_Import!$A:$A, 0))),
MONTH(INDEX(Purchases_Import!$B:$B, MATCH(B369, Purchases_Import!$A:$A, 0))),
1
))</f>
        <v>46113</v>
      </c>
      <c r="I369" s="2">
        <f t="shared" si="1"/>
        <v>16</v>
      </c>
    </row>
    <row r="370">
      <c r="A370" s="1" t="str">
        <f>IFERROR(__xludf.DUMMYFUNCTION("""COMPUTED_VALUE"""),"e2e8f65e")</f>
        <v>e2e8f65e</v>
      </c>
      <c r="B370" s="1" t="str">
        <f>IFERROR(__xludf.DUMMYFUNCTION("""COMPUTED_VALUE"""),"683bf08a")</f>
        <v>683bf08a</v>
      </c>
      <c r="C370" s="1" t="str">
        <f>IFERROR(__xludf.DUMMYFUNCTION("""COMPUTED_VALUE"""),"cb9e809e")</f>
        <v>cb9e809e</v>
      </c>
      <c r="D370" s="1">
        <f>IFERROR(__xludf.DUMMYFUNCTION("""COMPUTED_VALUE"""),24.0)</f>
        <v>24</v>
      </c>
      <c r="E370" s="1"/>
      <c r="F370" s="1">
        <f>IFERROR(__xludf.DUMMYFUNCTION("""COMPUTED_VALUE"""),2.0)</f>
        <v>2</v>
      </c>
      <c r="G370" s="1">
        <f>IFERROR(__xludf.DUMMYFUNCTION("""COMPUTED_VALUE"""),24.0)</f>
        <v>24</v>
      </c>
      <c r="H370" s="29">
        <f t="array" ref="H370">IF(B370="","",
DATE(
YEAR(INDEX(Purchases_Import!$B:$B, MATCH(B370, Purchases_Import!$A:$A, 0))),
MONTH(INDEX(Purchases_Import!$B:$B, MATCH(B370, Purchases_Import!$A:$A, 0))),
1
))</f>
        <v>46113</v>
      </c>
      <c r="I370" s="2">
        <f t="shared" si="1"/>
        <v>24</v>
      </c>
    </row>
    <row r="371">
      <c r="A371" s="1" t="str">
        <f>IFERROR(__xludf.DUMMYFUNCTION("""COMPUTED_VALUE"""),"35e7317a")</f>
        <v>35e7317a</v>
      </c>
      <c r="B371" s="1" t="str">
        <f>IFERROR(__xludf.DUMMYFUNCTION("""COMPUTED_VALUE"""),"c1e1d389")</f>
        <v>c1e1d389</v>
      </c>
      <c r="C371" s="1" t="str">
        <f>IFERROR(__xludf.DUMMYFUNCTION("""COMPUTED_VALUE"""),"0049")</f>
        <v>0049</v>
      </c>
      <c r="D371" s="1"/>
      <c r="E371" s="1">
        <f>IFERROR(__xludf.DUMMYFUNCTION("""COMPUTED_VALUE"""),1.93)</f>
        <v>1.93</v>
      </c>
      <c r="F371" s="1">
        <f>IFERROR(__xludf.DUMMYFUNCTION("""COMPUTED_VALUE"""),1.0)</f>
        <v>1</v>
      </c>
      <c r="G371" s="1">
        <f>IFERROR(__xludf.DUMMYFUNCTION("""COMPUTED_VALUE"""),24.0)</f>
        <v>24</v>
      </c>
      <c r="H371" s="29">
        <f t="array" ref="H371">IF(B371="","",
DATE(
YEAR(INDEX(Purchases_Import!$B:$B, MATCH(B371, Purchases_Import!$A:$A, 0))),
MONTH(INDEX(Purchases_Import!$B:$B, MATCH(B371, Purchases_Import!$A:$A, 0))),
1
))</f>
        <v>46113</v>
      </c>
      <c r="I371" s="2">
        <f t="shared" si="1"/>
        <v>24</v>
      </c>
    </row>
    <row r="372">
      <c r="A372" s="1" t="str">
        <f>IFERROR(__xludf.DUMMYFUNCTION("""COMPUTED_VALUE"""),"c2342d84")</f>
        <v>c2342d84</v>
      </c>
      <c r="B372" s="1" t="str">
        <f>IFERROR(__xludf.DUMMYFUNCTION("""COMPUTED_VALUE"""),"c1e1d389")</f>
        <v>c1e1d389</v>
      </c>
      <c r="C372" s="1" t="str">
        <f>IFERROR(__xludf.DUMMYFUNCTION("""COMPUTED_VALUE"""),"cb9e809e")</f>
        <v>cb9e809e</v>
      </c>
      <c r="D372" s="1"/>
      <c r="E372" s="1"/>
      <c r="F372" s="1">
        <f>IFERROR(__xludf.DUMMYFUNCTION("""COMPUTED_VALUE"""),5.0)</f>
        <v>5</v>
      </c>
      <c r="G372" s="1">
        <f>IFERROR(__xludf.DUMMYFUNCTION("""COMPUTED_VALUE"""),60.0)</f>
        <v>60</v>
      </c>
      <c r="H372" s="29">
        <f t="array" ref="H372">IF(B372="","",
DATE(
YEAR(INDEX(Purchases_Import!$B:$B, MATCH(B372, Purchases_Import!$A:$A, 0))),
MONTH(INDEX(Purchases_Import!$B:$B, MATCH(B372, Purchases_Import!$A:$A, 0))),
1
))</f>
        <v>46113</v>
      </c>
      <c r="I372" s="2">
        <f t="shared" si="1"/>
        <v>60</v>
      </c>
    </row>
    <row r="373">
      <c r="A373" s="1" t="str">
        <f>IFERROR(__xludf.DUMMYFUNCTION("""COMPUTED_VALUE"""),"aca96549")</f>
        <v>aca96549</v>
      </c>
      <c r="B373" s="1" t="str">
        <f>IFERROR(__xludf.DUMMYFUNCTION("""COMPUTED_VALUE"""),"c1e1d389")</f>
        <v>c1e1d389</v>
      </c>
      <c r="C373" s="1" t="str">
        <f>IFERROR(__xludf.DUMMYFUNCTION("""COMPUTED_VALUE"""),"0064")</f>
        <v>0064</v>
      </c>
      <c r="D373" s="1"/>
      <c r="E373" s="1">
        <f>IFERROR(__xludf.DUMMYFUNCTION("""COMPUTED_VALUE"""),2.08)</f>
        <v>2.08</v>
      </c>
      <c r="F373" s="1">
        <f>IFERROR(__xludf.DUMMYFUNCTION("""COMPUTED_VALUE"""),1.0)</f>
        <v>1</v>
      </c>
      <c r="G373" s="1">
        <f>IFERROR(__xludf.DUMMYFUNCTION("""COMPUTED_VALUE"""),27.0)</f>
        <v>27</v>
      </c>
      <c r="H373" s="29">
        <f t="array" ref="H373">IF(B373="","",
DATE(
YEAR(INDEX(Purchases_Import!$B:$B, MATCH(B373, Purchases_Import!$A:$A, 0))),
MONTH(INDEX(Purchases_Import!$B:$B, MATCH(B373, Purchases_Import!$A:$A, 0))),
1
))</f>
        <v>46113</v>
      </c>
      <c r="I373" s="2">
        <f t="shared" si="1"/>
        <v>27</v>
      </c>
    </row>
    <row r="374">
      <c r="A374" s="1" t="str">
        <f>IFERROR(__xludf.DUMMYFUNCTION("""COMPUTED_VALUE"""),"8fc3621f")</f>
        <v>8fc3621f</v>
      </c>
      <c r="B374" s="1" t="str">
        <f>IFERROR(__xludf.DUMMYFUNCTION("""COMPUTED_VALUE"""),"c1e1d389")</f>
        <v>c1e1d389</v>
      </c>
      <c r="C374" s="1" t="str">
        <f>IFERROR(__xludf.DUMMYFUNCTION("""COMPUTED_VALUE"""),"0032")</f>
        <v>0032</v>
      </c>
      <c r="D374" s="1"/>
      <c r="E374" s="1">
        <f>IFERROR(__xludf.DUMMYFUNCTION("""COMPUTED_VALUE"""),2.0)</f>
        <v>2</v>
      </c>
      <c r="F374" s="1">
        <f>IFERROR(__xludf.DUMMYFUNCTION("""COMPUTED_VALUE"""),2.0)</f>
        <v>2</v>
      </c>
      <c r="G374" s="1">
        <f>IFERROR(__xludf.DUMMYFUNCTION("""COMPUTED_VALUE"""),54.0)</f>
        <v>54</v>
      </c>
      <c r="H374" s="29">
        <f t="array" ref="H374">IF(B374="","",
DATE(
YEAR(INDEX(Purchases_Import!$B:$B, MATCH(B374, Purchases_Import!$A:$A, 0))),
MONTH(INDEX(Purchases_Import!$B:$B, MATCH(B374, Purchases_Import!$A:$A, 0))),
1
))</f>
        <v>46113</v>
      </c>
      <c r="I374" s="2">
        <f t="shared" si="1"/>
        <v>54</v>
      </c>
    </row>
    <row r="375">
      <c r="A375" s="1" t="str">
        <f>IFERROR(__xludf.DUMMYFUNCTION("""COMPUTED_VALUE"""),"9a2f4b82")</f>
        <v>9a2f4b82</v>
      </c>
      <c r="B375" s="1" t="str">
        <f>IFERROR(__xludf.DUMMYFUNCTION("""COMPUTED_VALUE"""),"557cdc68")</f>
        <v>557cdc68</v>
      </c>
      <c r="C375" s="1" t="str">
        <f>IFERROR(__xludf.DUMMYFUNCTION("""COMPUTED_VALUE"""),"cf6c9481")</f>
        <v>cf6c9481</v>
      </c>
      <c r="D375" s="1">
        <f>IFERROR(__xludf.DUMMYFUNCTION("""COMPUTED_VALUE"""),20.0)</f>
        <v>20</v>
      </c>
      <c r="E375" s="1"/>
      <c r="F375" s="1"/>
      <c r="G375" s="1">
        <f>IFERROR(__xludf.DUMMYFUNCTION("""COMPUTED_VALUE"""),20.0)</f>
        <v>20</v>
      </c>
      <c r="H375" s="29">
        <f t="array" ref="H375">IF(B375="","",
DATE(
YEAR(INDEX(Purchases_Import!$B:$B, MATCH(B375, Purchases_Import!$A:$A, 0))),
MONTH(INDEX(Purchases_Import!$B:$B, MATCH(B375, Purchases_Import!$A:$A, 0))),
1
))</f>
        <v>46113</v>
      </c>
      <c r="I375" s="2">
        <f t="shared" si="1"/>
        <v>20</v>
      </c>
    </row>
    <row r="376">
      <c r="A376" s="1" t="str">
        <f>IFERROR(__xludf.DUMMYFUNCTION("""COMPUTED_VALUE"""),"e068266b")</f>
        <v>e068266b</v>
      </c>
      <c r="B376" s="1" t="str">
        <f>IFERROR(__xludf.DUMMYFUNCTION("""COMPUTED_VALUE"""),"557cdc68")</f>
        <v>557cdc68</v>
      </c>
      <c r="C376" s="1" t="str">
        <f>IFERROR(__xludf.DUMMYFUNCTION("""COMPUTED_VALUE"""),"bb4d1bd1")</f>
        <v>bb4d1bd1</v>
      </c>
      <c r="D376" s="1">
        <f>IFERROR(__xludf.DUMMYFUNCTION("""COMPUTED_VALUE"""),48.0)</f>
        <v>48</v>
      </c>
      <c r="E376" s="1"/>
      <c r="F376" s="1"/>
      <c r="G376" s="1">
        <f>IFERROR(__xludf.DUMMYFUNCTION("""COMPUTED_VALUE"""),48.0)</f>
        <v>48</v>
      </c>
      <c r="H376" s="29">
        <f t="array" ref="H376">IF(B376="","",
DATE(
YEAR(INDEX(Purchases_Import!$B:$B, MATCH(B376, Purchases_Import!$A:$A, 0))),
MONTH(INDEX(Purchases_Import!$B:$B, MATCH(B376, Purchases_Import!$A:$A, 0))),
1
))</f>
        <v>46113</v>
      </c>
      <c r="I376" s="2">
        <f t="shared" si="1"/>
        <v>48</v>
      </c>
    </row>
    <row r="377">
      <c r="A377" s="1" t="str">
        <f>IFERROR(__xludf.DUMMYFUNCTION("""COMPUTED_VALUE"""),"258eaa66")</f>
        <v>258eaa66</v>
      </c>
      <c r="B377" s="1" t="str">
        <f>IFERROR(__xludf.DUMMYFUNCTION("""COMPUTED_VALUE"""),"557cdc68")</f>
        <v>557cdc68</v>
      </c>
      <c r="C377" s="1" t="str">
        <f>IFERROR(__xludf.DUMMYFUNCTION("""COMPUTED_VALUE"""),"0024")</f>
        <v>0024</v>
      </c>
      <c r="D377" s="1">
        <f>IFERROR(__xludf.DUMMYFUNCTION("""COMPUTED_VALUE"""),10.0)</f>
        <v>10</v>
      </c>
      <c r="E377" s="1">
        <f>IFERROR(__xludf.DUMMYFUNCTION("""COMPUTED_VALUE"""),2.4)</f>
        <v>2.4</v>
      </c>
      <c r="F377" s="1"/>
      <c r="G377" s="1">
        <f>IFERROR(__xludf.DUMMYFUNCTION("""COMPUTED_VALUE"""),10.0)</f>
        <v>10</v>
      </c>
      <c r="H377" s="29">
        <f t="array" ref="H377">IF(B377="","",
DATE(
YEAR(INDEX(Purchases_Import!$B:$B, MATCH(B377, Purchases_Import!$A:$A, 0))),
MONTH(INDEX(Purchases_Import!$B:$B, MATCH(B377, Purchases_Import!$A:$A, 0))),
1
))</f>
        <v>46113</v>
      </c>
      <c r="I377" s="2">
        <f t="shared" si="1"/>
        <v>10</v>
      </c>
    </row>
    <row r="378">
      <c r="A378" s="1" t="str">
        <f>IFERROR(__xludf.DUMMYFUNCTION("""COMPUTED_VALUE"""),"891737b4")</f>
        <v>891737b4</v>
      </c>
      <c r="B378" s="1" t="str">
        <f>IFERROR(__xludf.DUMMYFUNCTION("""COMPUTED_VALUE"""),"d97919fb")</f>
        <v>d97919fb</v>
      </c>
      <c r="C378" s="1" t="str">
        <f>IFERROR(__xludf.DUMMYFUNCTION("""COMPUTED_VALUE"""),"0011")</f>
        <v>0011</v>
      </c>
      <c r="D378" s="1"/>
      <c r="E378" s="1">
        <f>IFERROR(__xludf.DUMMYFUNCTION("""COMPUTED_VALUE"""),3.5)</f>
        <v>3.5</v>
      </c>
      <c r="F378" s="1">
        <f>IFERROR(__xludf.DUMMYFUNCTION("""COMPUTED_VALUE"""),1.0)</f>
        <v>1</v>
      </c>
      <c r="G378" s="1">
        <f>IFERROR(__xludf.DUMMYFUNCTION("""COMPUTED_VALUE"""),24.0)</f>
        <v>24</v>
      </c>
      <c r="H378" s="29">
        <f t="array" ref="H378">IF(B378="","",
DATE(
YEAR(INDEX(Purchases_Import!$B:$B, MATCH(B378, Purchases_Import!$A:$A, 0))),
MONTH(INDEX(Purchases_Import!$B:$B, MATCH(B378, Purchases_Import!$A:$A, 0))),
1
))</f>
        <v>46113</v>
      </c>
      <c r="I378" s="2">
        <f t="shared" si="1"/>
        <v>24</v>
      </c>
    </row>
    <row r="379">
      <c r="A379" s="1" t="str">
        <f>IFERROR(__xludf.DUMMYFUNCTION("""COMPUTED_VALUE"""),"b79a7bd0")</f>
        <v>b79a7bd0</v>
      </c>
      <c r="B379" s="1" t="str">
        <f>IFERROR(__xludf.DUMMYFUNCTION("""COMPUTED_VALUE"""),"d97919fb")</f>
        <v>d97919fb</v>
      </c>
      <c r="C379" s="1" t="str">
        <f>IFERROR(__xludf.DUMMYFUNCTION("""COMPUTED_VALUE"""),"02d86a9b")</f>
        <v>02d86a9b</v>
      </c>
      <c r="D379" s="1">
        <f>IFERROR(__xludf.DUMMYFUNCTION("""COMPUTED_VALUE"""),24.0)</f>
        <v>24</v>
      </c>
      <c r="E379" s="1"/>
      <c r="F379" s="1"/>
      <c r="G379" s="1">
        <f>IFERROR(__xludf.DUMMYFUNCTION("""COMPUTED_VALUE"""),24.0)</f>
        <v>24</v>
      </c>
      <c r="H379" s="29">
        <f t="array" ref="H379">IF(B379="","",
DATE(
YEAR(INDEX(Purchases_Import!$B:$B, MATCH(B379, Purchases_Import!$A:$A, 0))),
MONTH(INDEX(Purchases_Import!$B:$B, MATCH(B379, Purchases_Import!$A:$A, 0))),
1
))</f>
        <v>46113</v>
      </c>
      <c r="I379" s="2">
        <f t="shared" si="1"/>
        <v>24</v>
      </c>
    </row>
    <row r="380">
      <c r="A380" s="1" t="str">
        <f>IFERROR(__xludf.DUMMYFUNCTION("""COMPUTED_VALUE"""),"fb022d25")</f>
        <v>fb022d25</v>
      </c>
      <c r="B380" s="1" t="str">
        <f>IFERROR(__xludf.DUMMYFUNCTION("""COMPUTED_VALUE"""),"d97919fb")</f>
        <v>d97919fb</v>
      </c>
      <c r="C380" s="1" t="str">
        <f>IFERROR(__xludf.DUMMYFUNCTION("""COMPUTED_VALUE"""),"0032")</f>
        <v>0032</v>
      </c>
      <c r="D380" s="1"/>
      <c r="E380" s="1">
        <f>IFERROR(__xludf.DUMMYFUNCTION("""COMPUTED_VALUE"""),2.0)</f>
        <v>2</v>
      </c>
      <c r="F380" s="1">
        <f>IFERROR(__xludf.DUMMYFUNCTION("""COMPUTED_VALUE"""),2.0)</f>
        <v>2</v>
      </c>
      <c r="G380" s="1">
        <f>IFERROR(__xludf.DUMMYFUNCTION("""COMPUTED_VALUE"""),54.0)</f>
        <v>54</v>
      </c>
      <c r="H380" s="29">
        <f t="array" ref="H380">IF(B380="","",
DATE(
YEAR(INDEX(Purchases_Import!$B:$B, MATCH(B380, Purchases_Import!$A:$A, 0))),
MONTH(INDEX(Purchases_Import!$B:$B, MATCH(B380, Purchases_Import!$A:$A, 0))),
1
))</f>
        <v>46113</v>
      </c>
      <c r="I380" s="2">
        <f t="shared" si="1"/>
        <v>54</v>
      </c>
    </row>
    <row r="381">
      <c r="A381" s="1" t="str">
        <f>IFERROR(__xludf.DUMMYFUNCTION("""COMPUTED_VALUE"""),"aa57c17a")</f>
        <v>aa57c17a</v>
      </c>
      <c r="B381" s="1" t="str">
        <f>IFERROR(__xludf.DUMMYFUNCTION("""COMPUTED_VALUE"""),"d97919fb")</f>
        <v>d97919fb</v>
      </c>
      <c r="C381" s="1" t="str">
        <f>IFERROR(__xludf.DUMMYFUNCTION("""COMPUTED_VALUE"""),"1b6b5ed6")</f>
        <v>1b6b5ed6</v>
      </c>
      <c r="D381" s="1">
        <f>IFERROR(__xludf.DUMMYFUNCTION("""COMPUTED_VALUE"""),120.0)</f>
        <v>120</v>
      </c>
      <c r="E381" s="1"/>
      <c r="F381" s="1"/>
      <c r="G381" s="1">
        <f>IFERROR(__xludf.DUMMYFUNCTION("""COMPUTED_VALUE"""),120.0)</f>
        <v>120</v>
      </c>
      <c r="H381" s="29">
        <f t="array" ref="H381">IF(B381="","",
DATE(
YEAR(INDEX(Purchases_Import!$B:$B, MATCH(B381, Purchases_Import!$A:$A, 0))),
MONTH(INDEX(Purchases_Import!$B:$B, MATCH(B381, Purchases_Import!$A:$A, 0))),
1
))</f>
        <v>46113</v>
      </c>
      <c r="I381" s="2">
        <f t="shared" si="1"/>
        <v>120</v>
      </c>
    </row>
    <row r="382">
      <c r="A382" s="1" t="str">
        <f>IFERROR(__xludf.DUMMYFUNCTION("""COMPUTED_VALUE"""),"5aa49eb1")</f>
        <v>5aa49eb1</v>
      </c>
      <c r="B382" s="1" t="str">
        <f>IFERROR(__xludf.DUMMYFUNCTION("""COMPUTED_VALUE"""),"d97919fb")</f>
        <v>d97919fb</v>
      </c>
      <c r="C382" s="1" t="str">
        <f>IFERROR(__xludf.DUMMYFUNCTION("""COMPUTED_VALUE"""),"70bdbe11")</f>
        <v>70bdbe11</v>
      </c>
      <c r="D382" s="1">
        <f>IFERROR(__xludf.DUMMYFUNCTION("""COMPUTED_VALUE"""),24.0)</f>
        <v>24</v>
      </c>
      <c r="E382" s="1"/>
      <c r="F382" s="1"/>
      <c r="G382" s="1">
        <f>IFERROR(__xludf.DUMMYFUNCTION("""COMPUTED_VALUE"""),24.0)</f>
        <v>24</v>
      </c>
      <c r="H382" s="29">
        <f t="array" ref="H382">IF(B382="","",
DATE(
YEAR(INDEX(Purchases_Import!$B:$B, MATCH(B382, Purchases_Import!$A:$A, 0))),
MONTH(INDEX(Purchases_Import!$B:$B, MATCH(B382, Purchases_Import!$A:$A, 0))),
1
))</f>
        <v>46113</v>
      </c>
      <c r="I382" s="2">
        <f t="shared" si="1"/>
        <v>24</v>
      </c>
    </row>
    <row r="383">
      <c r="A383" s="1" t="str">
        <f>IFERROR(__xludf.DUMMYFUNCTION("""COMPUTED_VALUE"""),"737a2d0d")</f>
        <v>737a2d0d</v>
      </c>
      <c r="B383" s="1" t="str">
        <f>IFERROR(__xludf.DUMMYFUNCTION("""COMPUTED_VALUE"""),"d97919fb")</f>
        <v>d97919fb</v>
      </c>
      <c r="C383" s="1" t="str">
        <f>IFERROR(__xludf.DUMMYFUNCTION("""COMPUTED_VALUE"""),"0029")</f>
        <v>0029</v>
      </c>
      <c r="D383" s="1">
        <f>IFERROR(__xludf.DUMMYFUNCTION("""COMPUTED_VALUE"""),48.0)</f>
        <v>48</v>
      </c>
      <c r="E383" s="1">
        <f>IFERROR(__xludf.DUMMYFUNCTION("""COMPUTED_VALUE"""),2.25)</f>
        <v>2.25</v>
      </c>
      <c r="F383" s="1"/>
      <c r="G383" s="1">
        <f>IFERROR(__xludf.DUMMYFUNCTION("""COMPUTED_VALUE"""),48.0)</f>
        <v>48</v>
      </c>
      <c r="H383" s="29">
        <f t="array" ref="H383">IF(B383="","",
DATE(
YEAR(INDEX(Purchases_Import!$B:$B, MATCH(B383, Purchases_Import!$A:$A, 0))),
MONTH(INDEX(Purchases_Import!$B:$B, MATCH(B383, Purchases_Import!$A:$A, 0))),
1
))</f>
        <v>46113</v>
      </c>
      <c r="I383" s="2">
        <f t="shared" si="1"/>
        <v>48</v>
      </c>
    </row>
    <row r="384">
      <c r="A384" s="1" t="str">
        <f>IFERROR(__xludf.DUMMYFUNCTION("""COMPUTED_VALUE"""),"bda0d345")</f>
        <v>bda0d345</v>
      </c>
      <c r="B384" s="1" t="str">
        <f>IFERROR(__xludf.DUMMYFUNCTION("""COMPUTED_VALUE"""),"d97919fb")</f>
        <v>d97919fb</v>
      </c>
      <c r="C384" s="1" t="str">
        <f>IFERROR(__xludf.DUMMYFUNCTION("""COMPUTED_VALUE"""),"406a1fee")</f>
        <v>406a1fee</v>
      </c>
      <c r="D384" s="1">
        <f>IFERROR(__xludf.DUMMYFUNCTION("""COMPUTED_VALUE"""),48.0)</f>
        <v>48</v>
      </c>
      <c r="E384" s="1"/>
      <c r="F384" s="1"/>
      <c r="G384" s="1">
        <f>IFERROR(__xludf.DUMMYFUNCTION("""COMPUTED_VALUE"""),48.0)</f>
        <v>48</v>
      </c>
      <c r="H384" s="29">
        <f t="array" ref="H384">IF(B384="","",
DATE(
YEAR(INDEX(Purchases_Import!$B:$B, MATCH(B384, Purchases_Import!$A:$A, 0))),
MONTH(INDEX(Purchases_Import!$B:$B, MATCH(B384, Purchases_Import!$A:$A, 0))),
1
))</f>
        <v>46113</v>
      </c>
      <c r="I384" s="2">
        <f t="shared" si="1"/>
        <v>48</v>
      </c>
    </row>
    <row r="385">
      <c r="A385" s="1" t="str">
        <f>IFERROR(__xludf.DUMMYFUNCTION("""COMPUTED_VALUE"""),"5c227a5b")</f>
        <v>5c227a5b</v>
      </c>
      <c r="B385" s="1" t="str">
        <f>IFERROR(__xludf.DUMMYFUNCTION("""COMPUTED_VALUE"""),"e4b28613")</f>
        <v>e4b28613</v>
      </c>
      <c r="C385" s="1" t="str">
        <f>IFERROR(__xludf.DUMMYFUNCTION("""COMPUTED_VALUE"""),"0033")</f>
        <v>0033</v>
      </c>
      <c r="D385" s="1">
        <f>IFERROR(__xludf.DUMMYFUNCTION("""COMPUTED_VALUE"""),24.0)</f>
        <v>24</v>
      </c>
      <c r="E385" s="1">
        <f>IFERROR(__xludf.DUMMYFUNCTION("""COMPUTED_VALUE"""),1.33)</f>
        <v>1.33</v>
      </c>
      <c r="F385" s="1"/>
      <c r="G385" s="1">
        <f>IFERROR(__xludf.DUMMYFUNCTION("""COMPUTED_VALUE"""),24.0)</f>
        <v>24</v>
      </c>
      <c r="H385" s="29">
        <f t="array" ref="H385">IF(B385="","",
DATE(
YEAR(INDEX(Purchases_Import!$B:$B, MATCH(B385, Purchases_Import!$A:$A, 0))),
MONTH(INDEX(Purchases_Import!$B:$B, MATCH(B385, Purchases_Import!$A:$A, 0))),
1
))</f>
        <v>46113</v>
      </c>
      <c r="I385" s="2">
        <f t="shared" si="1"/>
        <v>24</v>
      </c>
    </row>
    <row r="386">
      <c r="A386" s="1" t="str">
        <f>IFERROR(__xludf.DUMMYFUNCTION("""COMPUTED_VALUE"""),"351317a3")</f>
        <v>351317a3</v>
      </c>
      <c r="B386" s="1" t="str">
        <f>IFERROR(__xludf.DUMMYFUNCTION("""COMPUTED_VALUE"""),"e4b28613")</f>
        <v>e4b28613</v>
      </c>
      <c r="C386" s="1" t="str">
        <f>IFERROR(__xludf.DUMMYFUNCTION("""COMPUTED_VALUE"""),"0af806f8")</f>
        <v>0af806f8</v>
      </c>
      <c r="D386" s="1"/>
      <c r="E386" s="1">
        <f>IFERROR(__xludf.DUMMYFUNCTION("""COMPUTED_VALUE"""),2.66)</f>
        <v>2.66</v>
      </c>
      <c r="F386" s="1">
        <f>IFERROR(__xludf.DUMMYFUNCTION("""COMPUTED_VALUE"""),4.0)</f>
        <v>4</v>
      </c>
      <c r="G386" s="1">
        <f>IFERROR(__xludf.DUMMYFUNCTION("""COMPUTED_VALUE"""),60.0)</f>
        <v>60</v>
      </c>
      <c r="H386" s="29">
        <f t="array" ref="H386">IF(B386="","",
DATE(
YEAR(INDEX(Purchases_Import!$B:$B, MATCH(B386, Purchases_Import!$A:$A, 0))),
MONTH(INDEX(Purchases_Import!$B:$B, MATCH(B386, Purchases_Import!$A:$A, 0))),
1
))</f>
        <v>46113</v>
      </c>
      <c r="I386" s="2">
        <f t="shared" si="1"/>
        <v>60</v>
      </c>
    </row>
    <row r="387">
      <c r="A387" s="1" t="str">
        <f>IFERROR(__xludf.DUMMYFUNCTION("""COMPUTED_VALUE"""),"c0b629c5")</f>
        <v>c0b629c5</v>
      </c>
      <c r="B387" s="1" t="str">
        <f>IFERROR(__xludf.DUMMYFUNCTION("""COMPUTED_VALUE"""),"e4b28613")</f>
        <v>e4b28613</v>
      </c>
      <c r="C387" s="1" t="str">
        <f>IFERROR(__xludf.DUMMYFUNCTION("""COMPUTED_VALUE"""),"0001")</f>
        <v>0001</v>
      </c>
      <c r="D387" s="1"/>
      <c r="E387" s="1">
        <f>IFERROR(__xludf.DUMMYFUNCTION("""COMPUTED_VALUE"""),2.8)</f>
        <v>2.8</v>
      </c>
      <c r="F387" s="1">
        <f>IFERROR(__xludf.DUMMYFUNCTION("""COMPUTED_VALUE"""),6.0)</f>
        <v>6</v>
      </c>
      <c r="G387" s="1">
        <f>IFERROR(__xludf.DUMMYFUNCTION("""COMPUTED_VALUE"""),90.0)</f>
        <v>90</v>
      </c>
      <c r="H387" s="29">
        <f t="array" ref="H387">IF(B387="","",
DATE(
YEAR(INDEX(Purchases_Import!$B:$B, MATCH(B387, Purchases_Import!$A:$A, 0))),
MONTH(INDEX(Purchases_Import!$B:$B, MATCH(B387, Purchases_Import!$A:$A, 0))),
1
))</f>
        <v>46113</v>
      </c>
      <c r="I387" s="2">
        <f t="shared" si="1"/>
        <v>90</v>
      </c>
    </row>
    <row r="388">
      <c r="A388" s="1" t="str">
        <f>IFERROR(__xludf.DUMMYFUNCTION("""COMPUTED_VALUE"""),"35de1f00")</f>
        <v>35de1f00</v>
      </c>
      <c r="B388" s="1" t="str">
        <f>IFERROR(__xludf.DUMMYFUNCTION("""COMPUTED_VALUE"""),"49752fc8")</f>
        <v>49752fc8</v>
      </c>
      <c r="C388" s="1" t="str">
        <f>IFERROR(__xludf.DUMMYFUNCTION("""COMPUTED_VALUE"""),"eda833ca")</f>
        <v>eda833ca</v>
      </c>
      <c r="D388" s="1"/>
      <c r="E388" s="1"/>
      <c r="F388" s="1">
        <f>IFERROR(__xludf.DUMMYFUNCTION("""COMPUTED_VALUE"""),6.0)</f>
        <v>6</v>
      </c>
      <c r="G388" s="1">
        <f>IFERROR(__xludf.DUMMYFUNCTION("""COMPUTED_VALUE"""),108.0)</f>
        <v>108</v>
      </c>
      <c r="H388" s="29">
        <f t="array" ref="H388">IF(B388="","",
DATE(
YEAR(INDEX(Purchases_Import!$B:$B, MATCH(B388, Purchases_Import!$A:$A, 0))),
MONTH(INDEX(Purchases_Import!$B:$B, MATCH(B388, Purchases_Import!$A:$A, 0))),
1
))</f>
        <v>46113</v>
      </c>
      <c r="I388" s="2">
        <f t="shared" si="1"/>
        <v>108</v>
      </c>
    </row>
    <row r="389">
      <c r="A389" s="1" t="str">
        <f>IFERROR(__xludf.DUMMYFUNCTION("""COMPUTED_VALUE"""),"4c8305fe")</f>
        <v>4c8305fe</v>
      </c>
      <c r="B389" s="1" t="str">
        <f>IFERROR(__xludf.DUMMYFUNCTION("""COMPUTED_VALUE"""),"49752fc8")</f>
        <v>49752fc8</v>
      </c>
      <c r="C389" s="1" t="str">
        <f>IFERROR(__xludf.DUMMYFUNCTION("""COMPUTED_VALUE"""),"f30d8158")</f>
        <v>f30d8158</v>
      </c>
      <c r="D389" s="1">
        <f>IFERROR(__xludf.DUMMYFUNCTION("""COMPUTED_VALUE"""),30.0)</f>
        <v>30</v>
      </c>
      <c r="E389" s="1"/>
      <c r="F389" s="1"/>
      <c r="G389" s="1">
        <f>IFERROR(__xludf.DUMMYFUNCTION("""COMPUTED_VALUE"""),30.0)</f>
        <v>30</v>
      </c>
      <c r="H389" s="29">
        <f t="array" ref="H389">IF(B389="","",
DATE(
YEAR(INDEX(Purchases_Import!$B:$B, MATCH(B389, Purchases_Import!$A:$A, 0))),
MONTH(INDEX(Purchases_Import!$B:$B, MATCH(B389, Purchases_Import!$A:$A, 0))),
1
))</f>
        <v>46113</v>
      </c>
      <c r="I389" s="2">
        <f t="shared" si="1"/>
        <v>30</v>
      </c>
    </row>
    <row r="390">
      <c r="A390" s="1" t="str">
        <f>IFERROR(__xludf.DUMMYFUNCTION("""COMPUTED_VALUE"""),"c6acf998")</f>
        <v>c6acf998</v>
      </c>
      <c r="B390" s="1" t="str">
        <f>IFERROR(__xludf.DUMMYFUNCTION("""COMPUTED_VALUE"""),"80a016cc")</f>
        <v>80a016cc</v>
      </c>
      <c r="C390" s="1" t="str">
        <f>IFERROR(__xludf.DUMMYFUNCTION("""COMPUTED_VALUE"""),"0014")</f>
        <v>0014</v>
      </c>
      <c r="D390" s="1">
        <f>IFERROR(__xludf.DUMMYFUNCTION("""COMPUTED_VALUE"""),30.0)</f>
        <v>30</v>
      </c>
      <c r="E390" s="1">
        <f>IFERROR(__xludf.DUMMYFUNCTION("""COMPUTED_VALUE"""),5.9)</f>
        <v>5.9</v>
      </c>
      <c r="F390" s="1"/>
      <c r="G390" s="1">
        <f>IFERROR(__xludf.DUMMYFUNCTION("""COMPUTED_VALUE"""),30.0)</f>
        <v>30</v>
      </c>
      <c r="H390" s="29">
        <f t="array" ref="H390">IF(B390="","",
DATE(
YEAR(INDEX(Purchases_Import!$B:$B, MATCH(B390, Purchases_Import!$A:$A, 0))),
MONTH(INDEX(Purchases_Import!$B:$B, MATCH(B390, Purchases_Import!$A:$A, 0))),
1
))</f>
        <v>46113</v>
      </c>
      <c r="I390" s="2">
        <f t="shared" si="1"/>
        <v>30</v>
      </c>
    </row>
    <row r="391">
      <c r="A391" s="1" t="str">
        <f>IFERROR(__xludf.DUMMYFUNCTION("""COMPUTED_VALUE"""),"30a8a4fd")</f>
        <v>30a8a4fd</v>
      </c>
      <c r="B391" s="1" t="str">
        <f>IFERROR(__xludf.DUMMYFUNCTION("""COMPUTED_VALUE"""),"80a016cc")</f>
        <v>80a016cc</v>
      </c>
      <c r="C391" s="1" t="str">
        <f>IFERROR(__xludf.DUMMYFUNCTION("""COMPUTED_VALUE"""),"a19879cf")</f>
        <v>a19879cf</v>
      </c>
      <c r="D391" s="1">
        <f>IFERROR(__xludf.DUMMYFUNCTION("""COMPUTED_VALUE"""),48.0)</f>
        <v>48</v>
      </c>
      <c r="E391" s="1"/>
      <c r="F391" s="1"/>
      <c r="G391" s="1">
        <f>IFERROR(__xludf.DUMMYFUNCTION("""COMPUTED_VALUE"""),48.0)</f>
        <v>48</v>
      </c>
      <c r="H391" s="29">
        <f t="array" ref="H391">IF(B391="","",
DATE(
YEAR(INDEX(Purchases_Import!$B:$B, MATCH(B391, Purchases_Import!$A:$A, 0))),
MONTH(INDEX(Purchases_Import!$B:$B, MATCH(B391, Purchases_Import!$A:$A, 0))),
1
))</f>
        <v>46113</v>
      </c>
      <c r="I391" s="2">
        <f t="shared" si="1"/>
        <v>48</v>
      </c>
    </row>
    <row r="392">
      <c r="A392" s="1" t="str">
        <f>IFERROR(__xludf.DUMMYFUNCTION("""COMPUTED_VALUE"""),"73010df4")</f>
        <v>73010df4</v>
      </c>
      <c r="B392" s="1" t="str">
        <f>IFERROR(__xludf.DUMMYFUNCTION("""COMPUTED_VALUE"""),"80a016cc")</f>
        <v>80a016cc</v>
      </c>
      <c r="C392" s="1" t="str">
        <f>IFERROR(__xludf.DUMMYFUNCTION("""COMPUTED_VALUE"""),"02d86a9b")</f>
        <v>02d86a9b</v>
      </c>
      <c r="D392" s="1">
        <f>IFERROR(__xludf.DUMMYFUNCTION("""COMPUTED_VALUE"""),24.0)</f>
        <v>24</v>
      </c>
      <c r="E392" s="1"/>
      <c r="F392" s="1"/>
      <c r="G392" s="1">
        <f>IFERROR(__xludf.DUMMYFUNCTION("""COMPUTED_VALUE"""),24.0)</f>
        <v>24</v>
      </c>
      <c r="H392" s="29">
        <f t="array" ref="H392">IF(B392="","",
DATE(
YEAR(INDEX(Purchases_Import!$B:$B, MATCH(B392, Purchases_Import!$A:$A, 0))),
MONTH(INDEX(Purchases_Import!$B:$B, MATCH(B392, Purchases_Import!$A:$A, 0))),
1
))</f>
        <v>46113</v>
      </c>
      <c r="I392" s="2">
        <f t="shared" si="1"/>
        <v>24</v>
      </c>
    </row>
    <row r="393">
      <c r="A393" s="1" t="str">
        <f>IFERROR(__xludf.DUMMYFUNCTION("""COMPUTED_VALUE"""),"4a40604b")</f>
        <v>4a40604b</v>
      </c>
      <c r="B393" s="1" t="str">
        <f>IFERROR(__xludf.DUMMYFUNCTION("""COMPUTED_VALUE"""),"80a016cc")</f>
        <v>80a016cc</v>
      </c>
      <c r="C393" s="1" t="str">
        <f>IFERROR(__xludf.DUMMYFUNCTION("""COMPUTED_VALUE"""),"bb4d1bd1")</f>
        <v>bb4d1bd1</v>
      </c>
      <c r="D393" s="1">
        <f>IFERROR(__xludf.DUMMYFUNCTION("""COMPUTED_VALUE"""),24.0)</f>
        <v>24</v>
      </c>
      <c r="E393" s="1"/>
      <c r="F393" s="1"/>
      <c r="G393" s="1">
        <f>IFERROR(__xludf.DUMMYFUNCTION("""COMPUTED_VALUE"""),24.0)</f>
        <v>24</v>
      </c>
      <c r="H393" s="29">
        <f t="array" ref="H393">IF(B393="","",
DATE(
YEAR(INDEX(Purchases_Import!$B:$B, MATCH(B393, Purchases_Import!$A:$A, 0))),
MONTH(INDEX(Purchases_Import!$B:$B, MATCH(B393, Purchases_Import!$A:$A, 0))),
1
))</f>
        <v>46113</v>
      </c>
      <c r="I393" s="2">
        <f t="shared" si="1"/>
        <v>24</v>
      </c>
    </row>
    <row r="394">
      <c r="A394" s="1" t="str">
        <f>IFERROR(__xludf.DUMMYFUNCTION("""COMPUTED_VALUE"""),"5874fa55")</f>
        <v>5874fa55</v>
      </c>
      <c r="B394" s="1" t="str">
        <f>IFERROR(__xludf.DUMMYFUNCTION("""COMPUTED_VALUE"""),"80a016cc")</f>
        <v>80a016cc</v>
      </c>
      <c r="C394" s="1" t="str">
        <f>IFERROR(__xludf.DUMMYFUNCTION("""COMPUTED_VALUE"""),"0038")</f>
        <v>0038</v>
      </c>
      <c r="D394" s="1">
        <f>IFERROR(__xludf.DUMMYFUNCTION("""COMPUTED_VALUE"""),18.0)</f>
        <v>18</v>
      </c>
      <c r="E394" s="1">
        <f>IFERROR(__xludf.DUMMYFUNCTION("""COMPUTED_VALUE"""),6.12)</f>
        <v>6.12</v>
      </c>
      <c r="F394" s="1"/>
      <c r="G394" s="1">
        <f>IFERROR(__xludf.DUMMYFUNCTION("""COMPUTED_VALUE"""),18.0)</f>
        <v>18</v>
      </c>
      <c r="H394" s="29">
        <f t="array" ref="H394">IF(B394="","",
DATE(
YEAR(INDEX(Purchases_Import!$B:$B, MATCH(B394, Purchases_Import!$A:$A, 0))),
MONTH(INDEX(Purchases_Import!$B:$B, MATCH(B394, Purchases_Import!$A:$A, 0))),
1
))</f>
        <v>46113</v>
      </c>
      <c r="I394" s="2">
        <f t="shared" si="1"/>
        <v>18</v>
      </c>
    </row>
    <row r="395">
      <c r="A395" s="1" t="str">
        <f>IFERROR(__xludf.DUMMYFUNCTION("""COMPUTED_VALUE"""),"cbdab8c9")</f>
        <v>cbdab8c9</v>
      </c>
      <c r="B395" s="1" t="str">
        <f>IFERROR(__xludf.DUMMYFUNCTION("""COMPUTED_VALUE"""),"80a016cc")</f>
        <v>80a016cc</v>
      </c>
      <c r="C395" s="1" t="str">
        <f>IFERROR(__xludf.DUMMYFUNCTION("""COMPUTED_VALUE"""),"0032")</f>
        <v>0032</v>
      </c>
      <c r="D395" s="1"/>
      <c r="E395" s="1">
        <f>IFERROR(__xludf.DUMMYFUNCTION("""COMPUTED_VALUE"""),2.0)</f>
        <v>2</v>
      </c>
      <c r="F395" s="1">
        <f>IFERROR(__xludf.DUMMYFUNCTION("""COMPUTED_VALUE"""),2.0)</f>
        <v>2</v>
      </c>
      <c r="G395" s="1">
        <f>IFERROR(__xludf.DUMMYFUNCTION("""COMPUTED_VALUE"""),54.0)</f>
        <v>54</v>
      </c>
      <c r="H395" s="29">
        <f t="array" ref="H395">IF(B395="","",
DATE(
YEAR(INDEX(Purchases_Import!$B:$B, MATCH(B395, Purchases_Import!$A:$A, 0))),
MONTH(INDEX(Purchases_Import!$B:$B, MATCH(B395, Purchases_Import!$A:$A, 0))),
1
))</f>
        <v>46113</v>
      </c>
      <c r="I395" s="2">
        <f t="shared" si="1"/>
        <v>54</v>
      </c>
    </row>
    <row r="396">
      <c r="A396" s="1" t="str">
        <f>IFERROR(__xludf.DUMMYFUNCTION("""COMPUTED_VALUE"""),"4baa1552")</f>
        <v>4baa1552</v>
      </c>
      <c r="B396" s="1" t="str">
        <f>IFERROR(__xludf.DUMMYFUNCTION("""COMPUTED_VALUE"""),"80a016cc")</f>
        <v>80a016cc</v>
      </c>
      <c r="C396" s="1" t="str">
        <f>IFERROR(__xludf.DUMMYFUNCTION("""COMPUTED_VALUE"""),"0064")</f>
        <v>0064</v>
      </c>
      <c r="D396" s="1"/>
      <c r="E396" s="1">
        <f>IFERROR(__xludf.DUMMYFUNCTION("""COMPUTED_VALUE"""),2.08)</f>
        <v>2.08</v>
      </c>
      <c r="F396" s="1">
        <f>IFERROR(__xludf.DUMMYFUNCTION("""COMPUTED_VALUE"""),2.0)</f>
        <v>2</v>
      </c>
      <c r="G396" s="1">
        <f>IFERROR(__xludf.DUMMYFUNCTION("""COMPUTED_VALUE"""),54.0)</f>
        <v>54</v>
      </c>
      <c r="H396" s="29">
        <f t="array" ref="H396">IF(B396="","",
DATE(
YEAR(INDEX(Purchases_Import!$B:$B, MATCH(B396, Purchases_Import!$A:$A, 0))),
MONTH(INDEX(Purchases_Import!$B:$B, MATCH(B396, Purchases_Import!$A:$A, 0))),
1
))</f>
        <v>46113</v>
      </c>
      <c r="I396" s="2">
        <f t="shared" si="1"/>
        <v>54</v>
      </c>
    </row>
    <row r="397">
      <c r="A397" s="1" t="str">
        <f>IFERROR(__xludf.DUMMYFUNCTION("""COMPUTED_VALUE"""),"6d01e564")</f>
        <v>6d01e564</v>
      </c>
      <c r="B397" s="1" t="str">
        <f>IFERROR(__xludf.DUMMYFUNCTION("""COMPUTED_VALUE"""),"80a016cc")</f>
        <v>80a016cc</v>
      </c>
      <c r="C397" s="1" t="str">
        <f>IFERROR(__xludf.DUMMYFUNCTION("""COMPUTED_VALUE"""),"220a28b9")</f>
        <v>220a28b9</v>
      </c>
      <c r="D397" s="1">
        <f>IFERROR(__xludf.DUMMYFUNCTION("""COMPUTED_VALUE"""),12.0)</f>
        <v>12</v>
      </c>
      <c r="E397" s="1"/>
      <c r="F397" s="1"/>
      <c r="G397" s="1">
        <f>IFERROR(__xludf.DUMMYFUNCTION("""COMPUTED_VALUE"""),12.0)</f>
        <v>12</v>
      </c>
      <c r="H397" s="29">
        <f t="array" ref="H397">IF(B397="","",
DATE(
YEAR(INDEX(Purchases_Import!$B:$B, MATCH(B397, Purchases_Import!$A:$A, 0))),
MONTH(INDEX(Purchases_Import!$B:$B, MATCH(B397, Purchases_Import!$A:$A, 0))),
1
))</f>
        <v>46113</v>
      </c>
      <c r="I397" s="2">
        <f t="shared" si="1"/>
        <v>12</v>
      </c>
    </row>
    <row r="398">
      <c r="A398" s="1" t="str">
        <f>IFERROR(__xludf.DUMMYFUNCTION("""COMPUTED_VALUE"""),"31ae74c9")</f>
        <v>31ae74c9</v>
      </c>
      <c r="B398" s="1" t="str">
        <f>IFERROR(__xludf.DUMMYFUNCTION("""COMPUTED_VALUE"""),"80a016cc")</f>
        <v>80a016cc</v>
      </c>
      <c r="C398" s="1" t="str">
        <f>IFERROR(__xludf.DUMMYFUNCTION("""COMPUTED_VALUE"""),"0011")</f>
        <v>0011</v>
      </c>
      <c r="D398" s="1"/>
      <c r="E398" s="1">
        <f>IFERROR(__xludf.DUMMYFUNCTION("""COMPUTED_VALUE"""),3.5)</f>
        <v>3.5</v>
      </c>
      <c r="F398" s="1">
        <f>IFERROR(__xludf.DUMMYFUNCTION("""COMPUTED_VALUE"""),2.0)</f>
        <v>2</v>
      </c>
      <c r="G398" s="1">
        <f>IFERROR(__xludf.DUMMYFUNCTION("""COMPUTED_VALUE"""),48.0)</f>
        <v>48</v>
      </c>
      <c r="H398" s="29">
        <f t="array" ref="H398">IF(B398="","",
DATE(
YEAR(INDEX(Purchases_Import!$B:$B, MATCH(B398, Purchases_Import!$A:$A, 0))),
MONTH(INDEX(Purchases_Import!$B:$B, MATCH(B398, Purchases_Import!$A:$A, 0))),
1
))</f>
        <v>46113</v>
      </c>
      <c r="I398" s="2">
        <f t="shared" si="1"/>
        <v>48</v>
      </c>
    </row>
    <row r="399">
      <c r="A399" s="1" t="str">
        <f>IFERROR(__xludf.DUMMYFUNCTION("""COMPUTED_VALUE"""),"eec82aff")</f>
        <v>eec82aff</v>
      </c>
      <c r="B399" s="1" t="str">
        <f>IFERROR(__xludf.DUMMYFUNCTION("""COMPUTED_VALUE"""),"80a016cc")</f>
        <v>80a016cc</v>
      </c>
      <c r="C399" s="1" t="str">
        <f>IFERROR(__xludf.DUMMYFUNCTION("""COMPUTED_VALUE"""),"ed187a9e")</f>
        <v>ed187a9e</v>
      </c>
      <c r="D399" s="1">
        <f>IFERROR(__xludf.DUMMYFUNCTION("""COMPUTED_VALUE"""),24.0)</f>
        <v>24</v>
      </c>
      <c r="E399" s="1">
        <f>IFERROR(__xludf.DUMMYFUNCTION("""COMPUTED_VALUE"""),3.5)</f>
        <v>3.5</v>
      </c>
      <c r="F399" s="1"/>
      <c r="G399" s="1">
        <f>IFERROR(__xludf.DUMMYFUNCTION("""COMPUTED_VALUE"""),24.0)</f>
        <v>24</v>
      </c>
      <c r="H399" s="29">
        <f t="array" ref="H399">IF(B399="","",
DATE(
YEAR(INDEX(Purchases_Import!$B:$B, MATCH(B399, Purchases_Import!$A:$A, 0))),
MONTH(INDEX(Purchases_Import!$B:$B, MATCH(B399, Purchases_Import!$A:$A, 0))),
1
))</f>
        <v>46113</v>
      </c>
      <c r="I399" s="2">
        <f t="shared" si="1"/>
        <v>24</v>
      </c>
    </row>
    <row r="400">
      <c r="A400" s="1" t="str">
        <f>IFERROR(__xludf.DUMMYFUNCTION("""COMPUTED_VALUE"""),"1411baef")</f>
        <v>1411baef</v>
      </c>
      <c r="B400" s="1" t="str">
        <f>IFERROR(__xludf.DUMMYFUNCTION("""COMPUTED_VALUE"""),"80a016cc")</f>
        <v>80a016cc</v>
      </c>
      <c r="C400" s="1" t="str">
        <f>IFERROR(__xludf.DUMMYFUNCTION("""COMPUTED_VALUE"""),"70bdbe11")</f>
        <v>70bdbe11</v>
      </c>
      <c r="D400" s="1">
        <f>IFERROR(__xludf.DUMMYFUNCTION("""COMPUTED_VALUE"""),24.0)</f>
        <v>24</v>
      </c>
      <c r="E400" s="1"/>
      <c r="F400" s="1"/>
      <c r="G400" s="1">
        <f>IFERROR(__xludf.DUMMYFUNCTION("""COMPUTED_VALUE"""),24.0)</f>
        <v>24</v>
      </c>
      <c r="H400" s="29">
        <f t="array" ref="H400">IF(B400="","",
DATE(
YEAR(INDEX(Purchases_Import!$B:$B, MATCH(B400, Purchases_Import!$A:$A, 0))),
MONTH(INDEX(Purchases_Import!$B:$B, MATCH(B400, Purchases_Import!$A:$A, 0))),
1
))</f>
        <v>46113</v>
      </c>
      <c r="I400" s="2">
        <f t="shared" si="1"/>
        <v>24</v>
      </c>
    </row>
    <row r="401">
      <c r="A401" s="1" t="str">
        <f>IFERROR(__xludf.DUMMYFUNCTION("""COMPUTED_VALUE"""),"6a36aae8")</f>
        <v>6a36aae8</v>
      </c>
      <c r="B401" s="1" t="str">
        <f>IFERROR(__xludf.DUMMYFUNCTION("""COMPUTED_VALUE"""),"fbd37e83")</f>
        <v>fbd37e83</v>
      </c>
      <c r="C401" s="1" t="str">
        <f>IFERROR(__xludf.DUMMYFUNCTION("""COMPUTED_VALUE"""),"c099f042")</f>
        <v>c099f042</v>
      </c>
      <c r="D401" s="1"/>
      <c r="E401" s="1"/>
      <c r="F401" s="1">
        <f>IFERROR(__xludf.DUMMYFUNCTION("""COMPUTED_VALUE"""),4.0)</f>
        <v>4</v>
      </c>
      <c r="G401" s="1">
        <f>IFERROR(__xludf.DUMMYFUNCTION("""COMPUTED_VALUE"""),80.0)</f>
        <v>80</v>
      </c>
      <c r="H401" s="29">
        <f t="array" ref="H401">IF(B401="","",
DATE(
YEAR(INDEX(Purchases_Import!$B:$B, MATCH(B401, Purchases_Import!$A:$A, 0))),
MONTH(INDEX(Purchases_Import!$B:$B, MATCH(B401, Purchases_Import!$A:$A, 0))),
1
))</f>
        <v>46113</v>
      </c>
      <c r="I401" s="2">
        <f t="shared" si="1"/>
        <v>80</v>
      </c>
    </row>
    <row r="402">
      <c r="A402" s="1" t="str">
        <f>IFERROR(__xludf.DUMMYFUNCTION("""COMPUTED_VALUE"""),"d358bdf3")</f>
        <v>d358bdf3</v>
      </c>
      <c r="B402" s="1" t="str">
        <f>IFERROR(__xludf.DUMMYFUNCTION("""COMPUTED_VALUE"""),"fbd37e83")</f>
        <v>fbd37e83</v>
      </c>
      <c r="C402" s="1" t="str">
        <f>IFERROR(__xludf.DUMMYFUNCTION("""COMPUTED_VALUE"""),"0021")</f>
        <v>0021</v>
      </c>
      <c r="D402" s="1"/>
      <c r="E402" s="1">
        <f>IFERROR(__xludf.DUMMYFUNCTION("""COMPUTED_VALUE"""),2.25)</f>
        <v>2.25</v>
      </c>
      <c r="F402" s="1">
        <f>IFERROR(__xludf.DUMMYFUNCTION("""COMPUTED_VALUE"""),2.0)</f>
        <v>2</v>
      </c>
      <c r="G402" s="1">
        <f>IFERROR(__xludf.DUMMYFUNCTION("""COMPUTED_VALUE"""),48.0)</f>
        <v>48</v>
      </c>
      <c r="H402" s="29">
        <f t="array" ref="H402">IF(B402="","",
DATE(
YEAR(INDEX(Purchases_Import!$B:$B, MATCH(B402, Purchases_Import!$A:$A, 0))),
MONTH(INDEX(Purchases_Import!$B:$B, MATCH(B402, Purchases_Import!$A:$A, 0))),
1
))</f>
        <v>46113</v>
      </c>
      <c r="I402" s="2">
        <f t="shared" si="1"/>
        <v>48</v>
      </c>
    </row>
    <row r="403">
      <c r="A403" s="1" t="str">
        <f>IFERROR(__xludf.DUMMYFUNCTION("""COMPUTED_VALUE"""),"e4977324")</f>
        <v>e4977324</v>
      </c>
      <c r="B403" s="1" t="str">
        <f>IFERROR(__xludf.DUMMYFUNCTION("""COMPUTED_VALUE"""),"fbd37e83")</f>
        <v>fbd37e83</v>
      </c>
      <c r="C403" s="1" t="str">
        <f>IFERROR(__xludf.DUMMYFUNCTION("""COMPUTED_VALUE"""),"b3204174")</f>
        <v>b3204174</v>
      </c>
      <c r="D403" s="1">
        <f>IFERROR(__xludf.DUMMYFUNCTION("""COMPUTED_VALUE"""),48.0)</f>
        <v>48</v>
      </c>
      <c r="E403" s="1"/>
      <c r="F403" s="1"/>
      <c r="G403" s="1">
        <f>IFERROR(__xludf.DUMMYFUNCTION("""COMPUTED_VALUE"""),48.0)</f>
        <v>48</v>
      </c>
      <c r="H403" s="29">
        <f t="array" ref="H403">IF(B403="","",
DATE(
YEAR(INDEX(Purchases_Import!$B:$B, MATCH(B403, Purchases_Import!$A:$A, 0))),
MONTH(INDEX(Purchases_Import!$B:$B, MATCH(B403, Purchases_Import!$A:$A, 0))),
1
))</f>
        <v>46113</v>
      </c>
      <c r="I403" s="2">
        <f t="shared" si="1"/>
        <v>48</v>
      </c>
    </row>
    <row r="404">
      <c r="A404" s="1" t="str">
        <f>IFERROR(__xludf.DUMMYFUNCTION("""COMPUTED_VALUE"""),"16d60217")</f>
        <v>16d60217</v>
      </c>
      <c r="B404" s="1" t="str">
        <f>IFERROR(__xludf.DUMMYFUNCTION("""COMPUTED_VALUE"""),"56c2e6a0")</f>
        <v>56c2e6a0</v>
      </c>
      <c r="C404" s="1" t="str">
        <f>IFERROR(__xludf.DUMMYFUNCTION("""COMPUTED_VALUE"""),"0049")</f>
        <v>0049</v>
      </c>
      <c r="D404" s="1"/>
      <c r="E404" s="1">
        <f>IFERROR(__xludf.DUMMYFUNCTION("""COMPUTED_VALUE"""),1.93)</f>
        <v>1.93</v>
      </c>
      <c r="F404" s="1">
        <f>IFERROR(__xludf.DUMMYFUNCTION("""COMPUTED_VALUE"""),2.0)</f>
        <v>2</v>
      </c>
      <c r="G404" s="1">
        <f>IFERROR(__xludf.DUMMYFUNCTION("""COMPUTED_VALUE"""),48.0)</f>
        <v>48</v>
      </c>
      <c r="H404" s="29">
        <f t="array" ref="H404">IF(B404="","",
DATE(
YEAR(INDEX(Purchases_Import!$B:$B, MATCH(B404, Purchases_Import!$A:$A, 0))),
MONTH(INDEX(Purchases_Import!$B:$B, MATCH(B404, Purchases_Import!$A:$A, 0))),
1
))</f>
        <v>46113</v>
      </c>
      <c r="I404" s="2">
        <f t="shared" si="1"/>
        <v>48</v>
      </c>
    </row>
    <row r="405">
      <c r="A405" s="1" t="str">
        <f>IFERROR(__xludf.DUMMYFUNCTION("""COMPUTED_VALUE"""),"c3c5ff6f")</f>
        <v>c3c5ff6f</v>
      </c>
      <c r="B405" s="1" t="str">
        <f>IFERROR(__xludf.DUMMYFUNCTION("""COMPUTED_VALUE"""),"56c2e6a0")</f>
        <v>56c2e6a0</v>
      </c>
      <c r="C405" s="1" t="str">
        <f>IFERROR(__xludf.DUMMYFUNCTION("""COMPUTED_VALUE"""),"cb9e809e")</f>
        <v>cb9e809e</v>
      </c>
      <c r="D405" s="1"/>
      <c r="E405" s="1"/>
      <c r="F405" s="1">
        <f>IFERROR(__xludf.DUMMYFUNCTION("""COMPUTED_VALUE"""),5.0)</f>
        <v>5</v>
      </c>
      <c r="G405" s="1">
        <f>IFERROR(__xludf.DUMMYFUNCTION("""COMPUTED_VALUE"""),60.0)</f>
        <v>60</v>
      </c>
      <c r="H405" s="29">
        <f t="array" ref="H405">IF(B405="","",
DATE(
YEAR(INDEX(Purchases_Import!$B:$B, MATCH(B405, Purchases_Import!$A:$A, 0))),
MONTH(INDEX(Purchases_Import!$B:$B, MATCH(B405, Purchases_Import!$A:$A, 0))),
1
))</f>
        <v>46113</v>
      </c>
      <c r="I405" s="2">
        <f t="shared" si="1"/>
        <v>60</v>
      </c>
    </row>
    <row r="406">
      <c r="A406" s="1" t="str">
        <f>IFERROR(__xludf.DUMMYFUNCTION("""COMPUTED_VALUE"""),"93ca3c79")</f>
        <v>93ca3c79</v>
      </c>
      <c r="B406" s="1" t="str">
        <f>IFERROR(__xludf.DUMMYFUNCTION("""COMPUTED_VALUE"""),"8efceb90")</f>
        <v>8efceb90</v>
      </c>
      <c r="C406" s="1" t="str">
        <f>IFERROR(__xludf.DUMMYFUNCTION("""COMPUTED_VALUE"""),"0002")</f>
        <v>0002</v>
      </c>
      <c r="D406" s="1"/>
      <c r="E406" s="1">
        <f>IFERROR(__xludf.DUMMYFUNCTION("""COMPUTED_VALUE"""),0.3)</f>
        <v>0.3</v>
      </c>
      <c r="F406" s="1">
        <f>IFERROR(__xludf.DUMMYFUNCTION("""COMPUTED_VALUE"""),10.0)</f>
        <v>10</v>
      </c>
      <c r="G406" s="1">
        <f>IFERROR(__xludf.DUMMYFUNCTION("""COMPUTED_VALUE"""),120.0)</f>
        <v>120</v>
      </c>
      <c r="H406" s="29">
        <f t="array" ref="H406">IF(B406="","",
DATE(
YEAR(INDEX(Purchases_Import!$B:$B, MATCH(B406, Purchases_Import!$A:$A, 0))),
MONTH(INDEX(Purchases_Import!$B:$B, MATCH(B406, Purchases_Import!$A:$A, 0))),
1
))</f>
        <v>46113</v>
      </c>
      <c r="I406" s="2">
        <f t="shared" si="1"/>
        <v>120</v>
      </c>
    </row>
    <row r="407">
      <c r="A407" s="1" t="str">
        <f>IFERROR(__xludf.DUMMYFUNCTION("""COMPUTED_VALUE"""),"937681f6")</f>
        <v>937681f6</v>
      </c>
      <c r="B407" s="1" t="str">
        <f>IFERROR(__xludf.DUMMYFUNCTION("""COMPUTED_VALUE"""),"042b4059")</f>
        <v>042b4059</v>
      </c>
      <c r="C407" s="1" t="str">
        <f>IFERROR(__xludf.DUMMYFUNCTION("""COMPUTED_VALUE"""),"0014")</f>
        <v>0014</v>
      </c>
      <c r="D407" s="1">
        <f>IFERROR(__xludf.DUMMYFUNCTION("""COMPUTED_VALUE"""),30.0)</f>
        <v>30</v>
      </c>
      <c r="E407" s="1">
        <f>IFERROR(__xludf.DUMMYFUNCTION("""COMPUTED_VALUE"""),5.9)</f>
        <v>5.9</v>
      </c>
      <c r="F407" s="1"/>
      <c r="G407" s="1">
        <f>IFERROR(__xludf.DUMMYFUNCTION("""COMPUTED_VALUE"""),30.0)</f>
        <v>30</v>
      </c>
      <c r="H407" s="29">
        <f t="array" ref="H407">IF(B407="","",
DATE(
YEAR(INDEX(Purchases_Import!$B:$B, MATCH(B407, Purchases_Import!$A:$A, 0))),
MONTH(INDEX(Purchases_Import!$B:$B, MATCH(B407, Purchases_Import!$A:$A, 0))),
1
))</f>
        <v>46113</v>
      </c>
      <c r="I407" s="2">
        <f t="shared" si="1"/>
        <v>30</v>
      </c>
    </row>
    <row r="408">
      <c r="A408" s="1" t="str">
        <f>IFERROR(__xludf.DUMMYFUNCTION("""COMPUTED_VALUE"""),"19b5e5c0")</f>
        <v>19b5e5c0</v>
      </c>
      <c r="B408" s="1" t="str">
        <f>IFERROR(__xludf.DUMMYFUNCTION("""COMPUTED_VALUE"""),"042b4059")</f>
        <v>042b4059</v>
      </c>
      <c r="C408" s="1" t="str">
        <f>IFERROR(__xludf.DUMMYFUNCTION("""COMPUTED_VALUE"""),"0011")</f>
        <v>0011</v>
      </c>
      <c r="D408" s="1"/>
      <c r="E408" s="1">
        <f>IFERROR(__xludf.DUMMYFUNCTION("""COMPUTED_VALUE"""),3.5)</f>
        <v>3.5</v>
      </c>
      <c r="F408" s="1">
        <f>IFERROR(__xludf.DUMMYFUNCTION("""COMPUTED_VALUE"""),2.0)</f>
        <v>2</v>
      </c>
      <c r="G408" s="1">
        <f>IFERROR(__xludf.DUMMYFUNCTION("""COMPUTED_VALUE"""),48.0)</f>
        <v>48</v>
      </c>
      <c r="H408" s="29">
        <f t="array" ref="H408">IF(B408="","",
DATE(
YEAR(INDEX(Purchases_Import!$B:$B, MATCH(B408, Purchases_Import!$A:$A, 0))),
MONTH(INDEX(Purchases_Import!$B:$B, MATCH(B408, Purchases_Import!$A:$A, 0))),
1
))</f>
        <v>46113</v>
      </c>
      <c r="I408" s="2">
        <f t="shared" si="1"/>
        <v>48</v>
      </c>
    </row>
    <row r="409">
      <c r="A409" s="1" t="str">
        <f>IFERROR(__xludf.DUMMYFUNCTION("""COMPUTED_VALUE"""),"95deb780")</f>
        <v>95deb780</v>
      </c>
      <c r="B409" s="1" t="str">
        <f>IFERROR(__xludf.DUMMYFUNCTION("""COMPUTED_VALUE"""),"042b4059")</f>
        <v>042b4059</v>
      </c>
      <c r="C409" s="1" t="str">
        <f>IFERROR(__xludf.DUMMYFUNCTION("""COMPUTED_VALUE"""),"bb6c2490")</f>
        <v>bb6c2490</v>
      </c>
      <c r="D409" s="1"/>
      <c r="E409" s="1">
        <f>IFERROR(__xludf.DUMMYFUNCTION("""COMPUTED_VALUE"""),2.78)</f>
        <v>2.78</v>
      </c>
      <c r="F409" s="1">
        <f>IFERROR(__xludf.DUMMYFUNCTION("""COMPUTED_VALUE"""),8.0)</f>
        <v>8</v>
      </c>
      <c r="G409" s="1">
        <f>IFERROR(__xludf.DUMMYFUNCTION("""COMPUTED_VALUE"""),144.0)</f>
        <v>144</v>
      </c>
      <c r="H409" s="29">
        <f t="array" ref="H409">IF(B409="","",
DATE(
YEAR(INDEX(Purchases_Import!$B:$B, MATCH(B409, Purchases_Import!$A:$A, 0))),
MONTH(INDEX(Purchases_Import!$B:$B, MATCH(B409, Purchases_Import!$A:$A, 0))),
1
))</f>
        <v>46113</v>
      </c>
      <c r="I409" s="2">
        <f t="shared" si="1"/>
        <v>144</v>
      </c>
    </row>
    <row r="410">
      <c r="A410" s="1" t="str">
        <f>IFERROR(__xludf.DUMMYFUNCTION("""COMPUTED_VALUE"""),"e088a983")</f>
        <v>e088a983</v>
      </c>
      <c r="B410" s="1" t="str">
        <f>IFERROR(__xludf.DUMMYFUNCTION("""COMPUTED_VALUE"""),"042b4059")</f>
        <v>042b4059</v>
      </c>
      <c r="C410" s="1" t="str">
        <f>IFERROR(__xludf.DUMMYFUNCTION("""COMPUTED_VALUE"""),"0001")</f>
        <v>0001</v>
      </c>
      <c r="D410" s="1"/>
      <c r="E410" s="1">
        <f>IFERROR(__xludf.DUMMYFUNCTION("""COMPUTED_VALUE"""),2.8)</f>
        <v>2.8</v>
      </c>
      <c r="F410" s="1">
        <f>IFERROR(__xludf.DUMMYFUNCTION("""COMPUTED_VALUE"""),2.0)</f>
        <v>2</v>
      </c>
      <c r="G410" s="1">
        <f>IFERROR(__xludf.DUMMYFUNCTION("""COMPUTED_VALUE"""),30.0)</f>
        <v>30</v>
      </c>
      <c r="H410" s="29">
        <f t="array" ref="H410">IF(B410="","",
DATE(
YEAR(INDEX(Purchases_Import!$B:$B, MATCH(B410, Purchases_Import!$A:$A, 0))),
MONTH(INDEX(Purchases_Import!$B:$B, MATCH(B410, Purchases_Import!$A:$A, 0))),
1
))</f>
        <v>46113</v>
      </c>
      <c r="I410" s="2">
        <f t="shared" si="1"/>
        <v>30</v>
      </c>
    </row>
    <row r="411">
      <c r="A411" s="1" t="str">
        <f>IFERROR(__xludf.DUMMYFUNCTION("""COMPUTED_VALUE"""),"f66dd816")</f>
        <v>f66dd816</v>
      </c>
      <c r="B411" s="1" t="str">
        <f>IFERROR(__xludf.DUMMYFUNCTION("""COMPUTED_VALUE"""),"042b4059")</f>
        <v>042b4059</v>
      </c>
      <c r="C411" s="1" t="str">
        <f>IFERROR(__xludf.DUMMYFUNCTION("""COMPUTED_VALUE"""),"12b96290")</f>
        <v>12b96290</v>
      </c>
      <c r="D411" s="1"/>
      <c r="E411" s="1">
        <f>IFERROR(__xludf.DUMMYFUNCTION("""COMPUTED_VALUE"""),3.0)</f>
        <v>3</v>
      </c>
      <c r="F411" s="1">
        <f>IFERROR(__xludf.DUMMYFUNCTION("""COMPUTED_VALUE"""),2.0)</f>
        <v>2</v>
      </c>
      <c r="G411" s="1">
        <f>IFERROR(__xludf.DUMMYFUNCTION("""COMPUTED_VALUE"""),30.0)</f>
        <v>30</v>
      </c>
      <c r="H411" s="29">
        <f t="array" ref="H411">IF(B411="","",
DATE(
YEAR(INDEX(Purchases_Import!$B:$B, MATCH(B411, Purchases_Import!$A:$A, 0))),
MONTH(INDEX(Purchases_Import!$B:$B, MATCH(B411, Purchases_Import!$A:$A, 0))),
1
))</f>
        <v>46113</v>
      </c>
      <c r="I411" s="2">
        <f t="shared" si="1"/>
        <v>30</v>
      </c>
    </row>
    <row r="412">
      <c r="A412" s="1" t="str">
        <f>IFERROR(__xludf.DUMMYFUNCTION("""COMPUTED_VALUE"""),"e6542ab3")</f>
        <v>e6542ab3</v>
      </c>
      <c r="B412" s="1" t="str">
        <f>IFERROR(__xludf.DUMMYFUNCTION("""COMPUTED_VALUE"""),"042b4059")</f>
        <v>042b4059</v>
      </c>
      <c r="C412" s="1" t="str">
        <f>IFERROR(__xludf.DUMMYFUNCTION("""COMPUTED_VALUE"""),"a19879cf")</f>
        <v>a19879cf</v>
      </c>
      <c r="D412" s="1">
        <f>IFERROR(__xludf.DUMMYFUNCTION("""COMPUTED_VALUE"""),48.0)</f>
        <v>48</v>
      </c>
      <c r="E412" s="1"/>
      <c r="F412" s="1"/>
      <c r="G412" s="1">
        <f>IFERROR(__xludf.DUMMYFUNCTION("""COMPUTED_VALUE"""),48.0)</f>
        <v>48</v>
      </c>
      <c r="H412" s="29">
        <f t="array" ref="H412">IF(B412="","",
DATE(
YEAR(INDEX(Purchases_Import!$B:$B, MATCH(B412, Purchases_Import!$A:$A, 0))),
MONTH(INDEX(Purchases_Import!$B:$B, MATCH(B412, Purchases_Import!$A:$A, 0))),
1
))</f>
        <v>46113</v>
      </c>
      <c r="I412" s="2">
        <f t="shared" si="1"/>
        <v>48</v>
      </c>
    </row>
    <row r="413">
      <c r="A413" s="1" t="str">
        <f>IFERROR(__xludf.DUMMYFUNCTION("""COMPUTED_VALUE"""),"8e7e48cb")</f>
        <v>8e7e48cb</v>
      </c>
      <c r="B413" s="1" t="str">
        <f>IFERROR(__xludf.DUMMYFUNCTION("""COMPUTED_VALUE"""),"042b4059")</f>
        <v>042b4059</v>
      </c>
      <c r="C413" s="1" t="str">
        <f>IFERROR(__xludf.DUMMYFUNCTION("""COMPUTED_VALUE"""),"02d86a9b")</f>
        <v>02d86a9b</v>
      </c>
      <c r="D413" s="1">
        <f>IFERROR(__xludf.DUMMYFUNCTION("""COMPUTED_VALUE"""),24.0)</f>
        <v>24</v>
      </c>
      <c r="E413" s="1"/>
      <c r="F413" s="1"/>
      <c r="G413" s="1">
        <f>IFERROR(__xludf.DUMMYFUNCTION("""COMPUTED_VALUE"""),24.0)</f>
        <v>24</v>
      </c>
      <c r="H413" s="29">
        <f t="array" ref="H413">IF(B413="","",
DATE(
YEAR(INDEX(Purchases_Import!$B:$B, MATCH(B413, Purchases_Import!$A:$A, 0))),
MONTH(INDEX(Purchases_Import!$B:$B, MATCH(B413, Purchases_Import!$A:$A, 0))),
1
))</f>
        <v>46113</v>
      </c>
      <c r="I413" s="2">
        <f t="shared" si="1"/>
        <v>24</v>
      </c>
    </row>
    <row r="414">
      <c r="A414" s="1" t="str">
        <f>IFERROR(__xludf.DUMMYFUNCTION("""COMPUTED_VALUE"""),"04d9f6a7")</f>
        <v>04d9f6a7</v>
      </c>
      <c r="B414" s="1" t="str">
        <f>IFERROR(__xludf.DUMMYFUNCTION("""COMPUTED_VALUE"""),"042b4059")</f>
        <v>042b4059</v>
      </c>
      <c r="C414" s="1" t="str">
        <f>IFERROR(__xludf.DUMMYFUNCTION("""COMPUTED_VALUE"""),"bb4d1bd1")</f>
        <v>bb4d1bd1</v>
      </c>
      <c r="D414" s="1">
        <f>IFERROR(__xludf.DUMMYFUNCTION("""COMPUTED_VALUE"""),24.0)</f>
        <v>24</v>
      </c>
      <c r="E414" s="1"/>
      <c r="F414" s="1"/>
      <c r="G414" s="1">
        <f>IFERROR(__xludf.DUMMYFUNCTION("""COMPUTED_VALUE"""),24.0)</f>
        <v>24</v>
      </c>
      <c r="H414" s="29">
        <f t="array" ref="H414">IF(B414="","",
DATE(
YEAR(INDEX(Purchases_Import!$B:$B, MATCH(B414, Purchases_Import!$A:$A, 0))),
MONTH(INDEX(Purchases_Import!$B:$B, MATCH(B414, Purchases_Import!$A:$A, 0))),
1
))</f>
        <v>46113</v>
      </c>
      <c r="I414" s="2">
        <f t="shared" si="1"/>
        <v>24</v>
      </c>
    </row>
    <row r="415">
      <c r="A415" s="1" t="str">
        <f>IFERROR(__xludf.DUMMYFUNCTION("""COMPUTED_VALUE"""),"2890637d")</f>
        <v>2890637d</v>
      </c>
      <c r="B415" s="1" t="str">
        <f>IFERROR(__xludf.DUMMYFUNCTION("""COMPUTED_VALUE"""),"042b4059")</f>
        <v>042b4059</v>
      </c>
      <c r="C415" s="1" t="str">
        <f>IFERROR(__xludf.DUMMYFUNCTION("""COMPUTED_VALUE"""),"0029")</f>
        <v>0029</v>
      </c>
      <c r="D415" s="1">
        <f>IFERROR(__xludf.DUMMYFUNCTION("""COMPUTED_VALUE"""),48.0)</f>
        <v>48</v>
      </c>
      <c r="E415" s="1">
        <f>IFERROR(__xludf.DUMMYFUNCTION("""COMPUTED_VALUE"""),2.25)</f>
        <v>2.25</v>
      </c>
      <c r="F415" s="1"/>
      <c r="G415" s="1">
        <f>IFERROR(__xludf.DUMMYFUNCTION("""COMPUTED_VALUE"""),48.0)</f>
        <v>48</v>
      </c>
      <c r="H415" s="29">
        <f t="array" ref="H415">IF(B415="","",
DATE(
YEAR(INDEX(Purchases_Import!$B:$B, MATCH(B415, Purchases_Import!$A:$A, 0))),
MONTH(INDEX(Purchases_Import!$B:$B, MATCH(B415, Purchases_Import!$A:$A, 0))),
1
))</f>
        <v>46113</v>
      </c>
      <c r="I415" s="2">
        <f t="shared" si="1"/>
        <v>48</v>
      </c>
    </row>
    <row r="416">
      <c r="A416" s="1" t="str">
        <f>IFERROR(__xludf.DUMMYFUNCTION("""COMPUTED_VALUE"""),"5cba296d")</f>
        <v>5cba296d</v>
      </c>
      <c r="B416" s="1" t="str">
        <f>IFERROR(__xludf.DUMMYFUNCTION("""COMPUTED_VALUE"""),"60491f07")</f>
        <v>60491f07</v>
      </c>
      <c r="C416" s="1" t="str">
        <f>IFERROR(__xludf.DUMMYFUNCTION("""COMPUTED_VALUE"""),"c099f042")</f>
        <v>c099f042</v>
      </c>
      <c r="D416" s="1"/>
      <c r="E416" s="1"/>
      <c r="F416" s="1">
        <f>IFERROR(__xludf.DUMMYFUNCTION("""COMPUTED_VALUE"""),6.0)</f>
        <v>6</v>
      </c>
      <c r="G416" s="1">
        <f>IFERROR(__xludf.DUMMYFUNCTION("""COMPUTED_VALUE"""),120.0)</f>
        <v>120</v>
      </c>
      <c r="H416" s="29">
        <f t="array" ref="H416">IF(B416="","",
DATE(
YEAR(INDEX(Purchases_Import!$B:$B, MATCH(B416, Purchases_Import!$A:$A, 0))),
MONTH(INDEX(Purchases_Import!$B:$B, MATCH(B416, Purchases_Import!$A:$A, 0))),
1
))</f>
        <v>46113</v>
      </c>
      <c r="I416" s="2">
        <f t="shared" si="1"/>
        <v>120</v>
      </c>
    </row>
    <row r="417">
      <c r="A417" s="1" t="str">
        <f>IFERROR(__xludf.DUMMYFUNCTION("""COMPUTED_VALUE"""),"0ee625c9")</f>
        <v>0ee625c9</v>
      </c>
      <c r="B417" s="1" t="str">
        <f>IFERROR(__xludf.DUMMYFUNCTION("""COMPUTED_VALUE"""),"05b7d2e6")</f>
        <v>05b7d2e6</v>
      </c>
      <c r="C417" s="1" t="str">
        <f>IFERROR(__xludf.DUMMYFUNCTION("""COMPUTED_VALUE"""),"0002")</f>
        <v>0002</v>
      </c>
      <c r="D417" s="1"/>
      <c r="E417" s="1">
        <f>IFERROR(__xludf.DUMMYFUNCTION("""COMPUTED_VALUE"""),0.3)</f>
        <v>0.3</v>
      </c>
      <c r="F417" s="1">
        <f>IFERROR(__xludf.DUMMYFUNCTION("""COMPUTED_VALUE"""),20.0)</f>
        <v>20</v>
      </c>
      <c r="G417" s="1">
        <f>IFERROR(__xludf.DUMMYFUNCTION("""COMPUTED_VALUE"""),240.0)</f>
        <v>240</v>
      </c>
      <c r="H417" s="29">
        <f t="array" ref="H417">IF(B417="","",
DATE(
YEAR(INDEX(Purchases_Import!$B:$B, MATCH(B417, Purchases_Import!$A:$A, 0))),
MONTH(INDEX(Purchases_Import!$B:$B, MATCH(B417, Purchases_Import!$A:$A, 0))),
1
))</f>
        <v>46113</v>
      </c>
      <c r="I417" s="2">
        <f t="shared" si="1"/>
        <v>240</v>
      </c>
    </row>
    <row r="418">
      <c r="A418" s="1" t="str">
        <f>IFERROR(__xludf.DUMMYFUNCTION("""COMPUTED_VALUE"""),"f9426c8e")</f>
        <v>f9426c8e</v>
      </c>
      <c r="B418" s="1" t="str">
        <f>IFERROR(__xludf.DUMMYFUNCTION("""COMPUTED_VALUE"""),"7f904a80")</f>
        <v>7f904a80</v>
      </c>
      <c r="C418" s="1" t="str">
        <f>IFERROR(__xludf.DUMMYFUNCTION("""COMPUTED_VALUE"""),"cf6c9481")</f>
        <v>cf6c9481</v>
      </c>
      <c r="D418" s="1">
        <f>IFERROR(__xludf.DUMMYFUNCTION("""COMPUTED_VALUE"""),30.0)</f>
        <v>30</v>
      </c>
      <c r="E418" s="1"/>
      <c r="F418" s="1"/>
      <c r="G418" s="1">
        <f>IFERROR(__xludf.DUMMYFUNCTION("""COMPUTED_VALUE"""),30.0)</f>
        <v>30</v>
      </c>
      <c r="H418" s="29">
        <f t="array" ref="H418">IF(B418="","",
DATE(
YEAR(INDEX(Purchases_Import!$B:$B, MATCH(B418, Purchases_Import!$A:$A, 0))),
MONTH(INDEX(Purchases_Import!$B:$B, MATCH(B418, Purchases_Import!$A:$A, 0))),
1
))</f>
        <v>46113</v>
      </c>
      <c r="I418" s="2">
        <f t="shared" si="1"/>
        <v>30</v>
      </c>
    </row>
    <row r="419">
      <c r="A419" s="1" t="str">
        <f>IFERROR(__xludf.DUMMYFUNCTION("""COMPUTED_VALUE"""),"0d55cceb")</f>
        <v>0d55cceb</v>
      </c>
      <c r="B419" s="1" t="str">
        <f>IFERROR(__xludf.DUMMYFUNCTION("""COMPUTED_VALUE"""),"b0a218ab")</f>
        <v>b0a218ab</v>
      </c>
      <c r="C419" s="1" t="str">
        <f>IFERROR(__xludf.DUMMYFUNCTION("""COMPUTED_VALUE"""),"0001")</f>
        <v>0001</v>
      </c>
      <c r="D419" s="1"/>
      <c r="E419" s="1">
        <f>IFERROR(__xludf.DUMMYFUNCTION("""COMPUTED_VALUE"""),2.8)</f>
        <v>2.8</v>
      </c>
      <c r="F419" s="1">
        <f>IFERROR(__xludf.DUMMYFUNCTION("""COMPUTED_VALUE"""),4.0)</f>
        <v>4</v>
      </c>
      <c r="G419" s="1">
        <f>IFERROR(__xludf.DUMMYFUNCTION("""COMPUTED_VALUE"""),60.0)</f>
        <v>60</v>
      </c>
      <c r="H419" s="29">
        <f t="array" ref="H419">IF(B419="","",
DATE(
YEAR(INDEX(Purchases_Import!$B:$B, MATCH(B419, Purchases_Import!$A:$A, 0))),
MONTH(INDEX(Purchases_Import!$B:$B, MATCH(B419, Purchases_Import!$A:$A, 0))),
1
))</f>
        <v>46113</v>
      </c>
      <c r="I419" s="2">
        <f t="shared" si="1"/>
        <v>60</v>
      </c>
    </row>
    <row r="420">
      <c r="A420" s="1" t="str">
        <f>IFERROR(__xludf.DUMMYFUNCTION("""COMPUTED_VALUE"""),"ab00e6e8")</f>
        <v>ab00e6e8</v>
      </c>
      <c r="B420" s="1" t="str">
        <f>IFERROR(__xludf.DUMMYFUNCTION("""COMPUTED_VALUE"""),"b0a218ab")</f>
        <v>b0a218ab</v>
      </c>
      <c r="C420" s="1" t="str">
        <f>IFERROR(__xludf.DUMMYFUNCTION("""COMPUTED_VALUE"""),"12b96290")</f>
        <v>12b96290</v>
      </c>
      <c r="D420" s="1"/>
      <c r="E420" s="1">
        <f>IFERROR(__xludf.DUMMYFUNCTION("""COMPUTED_VALUE"""),3.0)</f>
        <v>3</v>
      </c>
      <c r="F420" s="1">
        <f>IFERROR(__xludf.DUMMYFUNCTION("""COMPUTED_VALUE"""),2.0)</f>
        <v>2</v>
      </c>
      <c r="G420" s="1">
        <f>IFERROR(__xludf.DUMMYFUNCTION("""COMPUTED_VALUE"""),30.0)</f>
        <v>30</v>
      </c>
      <c r="H420" s="29">
        <f t="array" ref="H420">IF(B420="","",
DATE(
YEAR(INDEX(Purchases_Import!$B:$B, MATCH(B420, Purchases_Import!$A:$A, 0))),
MONTH(INDEX(Purchases_Import!$B:$B, MATCH(B420, Purchases_Import!$A:$A, 0))),
1
))</f>
        <v>46113</v>
      </c>
      <c r="I420" s="2">
        <f t="shared" si="1"/>
        <v>30</v>
      </c>
    </row>
    <row r="421">
      <c r="A421" s="1" t="str">
        <f>IFERROR(__xludf.DUMMYFUNCTION("""COMPUTED_VALUE"""),"5c9ddce6")</f>
        <v>5c9ddce6</v>
      </c>
      <c r="B421" s="1" t="str">
        <f>IFERROR(__xludf.DUMMYFUNCTION("""COMPUTED_VALUE"""),"b0a218ab")</f>
        <v>b0a218ab</v>
      </c>
      <c r="C421" s="1" t="str">
        <f>IFERROR(__xludf.DUMMYFUNCTION("""COMPUTED_VALUE"""),"0014")</f>
        <v>0014</v>
      </c>
      <c r="D421" s="1">
        <f>IFERROR(__xludf.DUMMYFUNCTION("""COMPUTED_VALUE"""),15.0)</f>
        <v>15</v>
      </c>
      <c r="E421" s="1">
        <f>IFERROR(__xludf.DUMMYFUNCTION("""COMPUTED_VALUE"""),5.9)</f>
        <v>5.9</v>
      </c>
      <c r="F421" s="1"/>
      <c r="G421" s="1">
        <f>IFERROR(__xludf.DUMMYFUNCTION("""COMPUTED_VALUE"""),15.0)</f>
        <v>15</v>
      </c>
      <c r="H421" s="29">
        <f t="array" ref="H421">IF(B421="","",
DATE(
YEAR(INDEX(Purchases_Import!$B:$B, MATCH(B421, Purchases_Import!$A:$A, 0))),
MONTH(INDEX(Purchases_Import!$B:$B, MATCH(B421, Purchases_Import!$A:$A, 0))),
1
))</f>
        <v>46113</v>
      </c>
      <c r="I421" s="2">
        <f t="shared" si="1"/>
        <v>15</v>
      </c>
    </row>
    <row r="422">
      <c r="A422" s="1" t="str">
        <f>IFERROR(__xludf.DUMMYFUNCTION("""COMPUTED_VALUE"""),"868885ff")</f>
        <v>868885ff</v>
      </c>
      <c r="B422" s="1" t="str">
        <f>IFERROR(__xludf.DUMMYFUNCTION("""COMPUTED_VALUE"""),"b0a218ab")</f>
        <v>b0a218ab</v>
      </c>
      <c r="C422" s="1" t="str">
        <f>IFERROR(__xludf.DUMMYFUNCTION("""COMPUTED_VALUE"""),"02d86a9b")</f>
        <v>02d86a9b</v>
      </c>
      <c r="D422" s="1">
        <f>IFERROR(__xludf.DUMMYFUNCTION("""COMPUTED_VALUE"""),72.0)</f>
        <v>72</v>
      </c>
      <c r="E422" s="1"/>
      <c r="F422" s="1"/>
      <c r="G422" s="1">
        <f>IFERROR(__xludf.DUMMYFUNCTION("""COMPUTED_VALUE"""),72.0)</f>
        <v>72</v>
      </c>
      <c r="H422" s="29">
        <f t="array" ref="H422">IF(B422="","",
DATE(
YEAR(INDEX(Purchases_Import!$B:$B, MATCH(B422, Purchases_Import!$A:$A, 0))),
MONTH(INDEX(Purchases_Import!$B:$B, MATCH(B422, Purchases_Import!$A:$A, 0))),
1
))</f>
        <v>46113</v>
      </c>
      <c r="I422" s="2">
        <f t="shared" si="1"/>
        <v>72</v>
      </c>
    </row>
    <row r="423">
      <c r="A423" s="1" t="str">
        <f>IFERROR(__xludf.DUMMYFUNCTION("""COMPUTED_VALUE"""),"329ee4bd")</f>
        <v>329ee4bd</v>
      </c>
      <c r="B423" s="1" t="str">
        <f>IFERROR(__xludf.DUMMYFUNCTION("""COMPUTED_VALUE"""),"b0a218ab")</f>
        <v>b0a218ab</v>
      </c>
      <c r="C423" s="1" t="str">
        <f>IFERROR(__xludf.DUMMYFUNCTION("""COMPUTED_VALUE"""),"bb4d1bd1")</f>
        <v>bb4d1bd1</v>
      </c>
      <c r="D423" s="1">
        <f>IFERROR(__xludf.DUMMYFUNCTION("""COMPUTED_VALUE"""),72.0)</f>
        <v>72</v>
      </c>
      <c r="E423" s="1"/>
      <c r="F423" s="1"/>
      <c r="G423" s="1">
        <f>IFERROR(__xludf.DUMMYFUNCTION("""COMPUTED_VALUE"""),72.0)</f>
        <v>72</v>
      </c>
      <c r="H423" s="29">
        <f t="array" ref="H423">IF(B423="","",
DATE(
YEAR(INDEX(Purchases_Import!$B:$B, MATCH(B423, Purchases_Import!$A:$A, 0))),
MONTH(INDEX(Purchases_Import!$B:$B, MATCH(B423, Purchases_Import!$A:$A, 0))),
1
))</f>
        <v>46113</v>
      </c>
      <c r="I423" s="2">
        <f t="shared" si="1"/>
        <v>72</v>
      </c>
    </row>
    <row r="424">
      <c r="A424" s="1" t="str">
        <f>IFERROR(__xludf.DUMMYFUNCTION("""COMPUTED_VALUE"""),"8eafe69b")</f>
        <v>8eafe69b</v>
      </c>
      <c r="B424" s="1" t="str">
        <f>IFERROR(__xludf.DUMMYFUNCTION("""COMPUTED_VALUE"""),"b0a218ab")</f>
        <v>b0a218ab</v>
      </c>
      <c r="C424" s="1" t="str">
        <f>IFERROR(__xludf.DUMMYFUNCTION("""COMPUTED_VALUE"""),"0011")</f>
        <v>0011</v>
      </c>
      <c r="D424" s="1">
        <f>IFERROR(__xludf.DUMMYFUNCTION("""COMPUTED_VALUE"""),48.0)</f>
        <v>48</v>
      </c>
      <c r="E424" s="1">
        <f>IFERROR(__xludf.DUMMYFUNCTION("""COMPUTED_VALUE"""),3.5)</f>
        <v>3.5</v>
      </c>
      <c r="F424" s="1"/>
      <c r="G424" s="1">
        <f>IFERROR(__xludf.DUMMYFUNCTION("""COMPUTED_VALUE"""),48.0)</f>
        <v>48</v>
      </c>
      <c r="H424" s="29">
        <f t="array" ref="H424">IF(B424="","",
DATE(
YEAR(INDEX(Purchases_Import!$B:$B, MATCH(B424, Purchases_Import!$A:$A, 0))),
MONTH(INDEX(Purchases_Import!$B:$B, MATCH(B424, Purchases_Import!$A:$A, 0))),
1
))</f>
        <v>46113</v>
      </c>
      <c r="I424" s="2">
        <f t="shared" si="1"/>
        <v>48</v>
      </c>
    </row>
    <row r="425">
      <c r="A425" s="1" t="str">
        <f>IFERROR(__xludf.DUMMYFUNCTION("""COMPUTED_VALUE"""),"df35c8c0")</f>
        <v>df35c8c0</v>
      </c>
      <c r="B425" s="1" t="str">
        <f>IFERROR(__xludf.DUMMYFUNCTION("""COMPUTED_VALUE"""),"b0a218ab")</f>
        <v>b0a218ab</v>
      </c>
      <c r="C425" s="1" t="str">
        <f>IFERROR(__xludf.DUMMYFUNCTION("""COMPUTED_VALUE"""),"0029")</f>
        <v>0029</v>
      </c>
      <c r="D425" s="1">
        <f>IFERROR(__xludf.DUMMYFUNCTION("""COMPUTED_VALUE"""),72.0)</f>
        <v>72</v>
      </c>
      <c r="E425" s="1">
        <f>IFERROR(__xludf.DUMMYFUNCTION("""COMPUTED_VALUE"""),2.25)</f>
        <v>2.25</v>
      </c>
      <c r="F425" s="1"/>
      <c r="G425" s="1">
        <f>IFERROR(__xludf.DUMMYFUNCTION("""COMPUTED_VALUE"""),72.0)</f>
        <v>72</v>
      </c>
      <c r="H425" s="29">
        <f t="array" ref="H425">IF(B425="","",
DATE(
YEAR(INDEX(Purchases_Import!$B:$B, MATCH(B425, Purchases_Import!$A:$A, 0))),
MONTH(INDEX(Purchases_Import!$B:$B, MATCH(B425, Purchases_Import!$A:$A, 0))),
1
))</f>
        <v>46113</v>
      </c>
      <c r="I425" s="2">
        <f t="shared" si="1"/>
        <v>72</v>
      </c>
    </row>
    <row r="426">
      <c r="A426" s="1" t="str">
        <f>IFERROR(__xludf.DUMMYFUNCTION("""COMPUTED_VALUE"""),"06f48e4e")</f>
        <v>06f48e4e</v>
      </c>
      <c r="B426" s="1" t="str">
        <f>IFERROR(__xludf.DUMMYFUNCTION("""COMPUTED_VALUE"""),"3f2a94d8")</f>
        <v>3f2a94d8</v>
      </c>
      <c r="C426" s="1" t="str">
        <f>IFERROR(__xludf.DUMMYFUNCTION("""COMPUTED_VALUE"""),"0001")</f>
        <v>0001</v>
      </c>
      <c r="D426" s="1"/>
      <c r="E426" s="1">
        <f>IFERROR(__xludf.DUMMYFUNCTION("""COMPUTED_VALUE"""),2.8)</f>
        <v>2.8</v>
      </c>
      <c r="F426" s="1">
        <f>IFERROR(__xludf.DUMMYFUNCTION("""COMPUTED_VALUE"""),2.0)</f>
        <v>2</v>
      </c>
      <c r="G426" s="1">
        <f>IFERROR(__xludf.DUMMYFUNCTION("""COMPUTED_VALUE"""),30.0)</f>
        <v>30</v>
      </c>
      <c r="H426" s="29">
        <f t="array" ref="H426">IF(B426="","",
DATE(
YEAR(INDEX(Purchases_Import!$B:$B, MATCH(B426, Purchases_Import!$A:$A, 0))),
MONTH(INDEX(Purchases_Import!$B:$B, MATCH(B426, Purchases_Import!$A:$A, 0))),
1
))</f>
        <v>46113</v>
      </c>
      <c r="I426" s="2">
        <f t="shared" si="1"/>
        <v>30</v>
      </c>
    </row>
    <row r="427">
      <c r="A427" s="1" t="str">
        <f>IFERROR(__xludf.DUMMYFUNCTION("""COMPUTED_VALUE"""),"07eb031e")</f>
        <v>07eb031e</v>
      </c>
      <c r="B427" s="1" t="str">
        <f>IFERROR(__xludf.DUMMYFUNCTION("""COMPUTED_VALUE"""),"3f2a94d8")</f>
        <v>3f2a94d8</v>
      </c>
      <c r="C427" s="1" t="str">
        <f>IFERROR(__xludf.DUMMYFUNCTION("""COMPUTED_VALUE"""),"0049")</f>
        <v>0049</v>
      </c>
      <c r="D427" s="1"/>
      <c r="E427" s="1">
        <f>IFERROR(__xludf.DUMMYFUNCTION("""COMPUTED_VALUE"""),1.93)</f>
        <v>1.93</v>
      </c>
      <c r="F427" s="1">
        <f>IFERROR(__xludf.DUMMYFUNCTION("""COMPUTED_VALUE"""),1.0)</f>
        <v>1</v>
      </c>
      <c r="G427" s="1">
        <f>IFERROR(__xludf.DUMMYFUNCTION("""COMPUTED_VALUE"""),24.0)</f>
        <v>24</v>
      </c>
      <c r="H427" s="29">
        <f t="array" ref="H427">IF(B427="","",
DATE(
YEAR(INDEX(Purchases_Import!$B:$B, MATCH(B427, Purchases_Import!$A:$A, 0))),
MONTH(INDEX(Purchases_Import!$B:$B, MATCH(B427, Purchases_Import!$A:$A, 0))),
1
))</f>
        <v>46113</v>
      </c>
      <c r="I427" s="2">
        <f t="shared" si="1"/>
        <v>24</v>
      </c>
    </row>
    <row r="428">
      <c r="A428" s="1" t="str">
        <f>IFERROR(__xludf.DUMMYFUNCTION("""COMPUTED_VALUE"""),"c2073a32")</f>
        <v>c2073a32</v>
      </c>
      <c r="B428" s="1" t="str">
        <f>IFERROR(__xludf.DUMMYFUNCTION("""COMPUTED_VALUE"""),"3f2a94d8")</f>
        <v>3f2a94d8</v>
      </c>
      <c r="C428" s="1" t="str">
        <f>IFERROR(__xludf.DUMMYFUNCTION("""COMPUTED_VALUE"""),"0064")</f>
        <v>0064</v>
      </c>
      <c r="D428" s="1"/>
      <c r="E428" s="1">
        <f>IFERROR(__xludf.DUMMYFUNCTION("""COMPUTED_VALUE"""),2.08)</f>
        <v>2.08</v>
      </c>
      <c r="F428" s="1">
        <f>IFERROR(__xludf.DUMMYFUNCTION("""COMPUTED_VALUE"""),2.0)</f>
        <v>2</v>
      </c>
      <c r="G428" s="1">
        <f>IFERROR(__xludf.DUMMYFUNCTION("""COMPUTED_VALUE"""),54.0)</f>
        <v>54</v>
      </c>
      <c r="H428" s="29">
        <f t="array" ref="H428">IF(B428="","",
DATE(
YEAR(INDEX(Purchases_Import!$B:$B, MATCH(B428, Purchases_Import!$A:$A, 0))),
MONTH(INDEX(Purchases_Import!$B:$B, MATCH(B428, Purchases_Import!$A:$A, 0))),
1
))</f>
        <v>46113</v>
      </c>
      <c r="I428" s="2">
        <f t="shared" si="1"/>
        <v>54</v>
      </c>
    </row>
    <row r="429">
      <c r="A429" s="1" t="str">
        <f>IFERROR(__xludf.DUMMYFUNCTION("""COMPUTED_VALUE"""),"c69754bc")</f>
        <v>c69754bc</v>
      </c>
      <c r="B429" s="1" t="str">
        <f>IFERROR(__xludf.DUMMYFUNCTION("""COMPUTED_VALUE"""),"3f2a94d8")</f>
        <v>3f2a94d8</v>
      </c>
      <c r="C429" s="1" t="str">
        <f>IFERROR(__xludf.DUMMYFUNCTION("""COMPUTED_VALUE"""),"0032")</f>
        <v>0032</v>
      </c>
      <c r="D429" s="1"/>
      <c r="E429" s="1">
        <f>IFERROR(__xludf.DUMMYFUNCTION("""COMPUTED_VALUE"""),2.0)</f>
        <v>2</v>
      </c>
      <c r="F429" s="1">
        <f>IFERROR(__xludf.DUMMYFUNCTION("""COMPUTED_VALUE"""),2.0)</f>
        <v>2</v>
      </c>
      <c r="G429" s="1">
        <f>IFERROR(__xludf.DUMMYFUNCTION("""COMPUTED_VALUE"""),54.0)</f>
        <v>54</v>
      </c>
      <c r="H429" s="29">
        <f t="array" ref="H429">IF(B429="","",
DATE(
YEAR(INDEX(Purchases_Import!$B:$B, MATCH(B429, Purchases_Import!$A:$A, 0))),
MONTH(INDEX(Purchases_Import!$B:$B, MATCH(B429, Purchases_Import!$A:$A, 0))),
1
))</f>
        <v>46113</v>
      </c>
      <c r="I429" s="2">
        <f t="shared" si="1"/>
        <v>54</v>
      </c>
    </row>
    <row r="430">
      <c r="A430" s="1" t="str">
        <f>IFERROR(__xludf.DUMMYFUNCTION("""COMPUTED_VALUE"""),"3a8f80cf")</f>
        <v>3a8f80cf</v>
      </c>
      <c r="B430" s="1" t="str">
        <f>IFERROR(__xludf.DUMMYFUNCTION("""COMPUTED_VALUE"""),"3f2a94d8")</f>
        <v>3f2a94d8</v>
      </c>
      <c r="C430" s="1" t="str">
        <f>IFERROR(__xludf.DUMMYFUNCTION("""COMPUTED_VALUE"""),"0024")</f>
        <v>0024</v>
      </c>
      <c r="D430" s="1">
        <f>IFERROR(__xludf.DUMMYFUNCTION("""COMPUTED_VALUE"""),10.0)</f>
        <v>10</v>
      </c>
      <c r="E430" s="1">
        <f>IFERROR(__xludf.DUMMYFUNCTION("""COMPUTED_VALUE"""),2.4)</f>
        <v>2.4</v>
      </c>
      <c r="F430" s="1"/>
      <c r="G430" s="1">
        <f>IFERROR(__xludf.DUMMYFUNCTION("""COMPUTED_VALUE"""),10.0)</f>
        <v>10</v>
      </c>
      <c r="H430" s="29">
        <f t="array" ref="H430">IF(B430="","",
DATE(
YEAR(INDEX(Purchases_Import!$B:$B, MATCH(B430, Purchases_Import!$A:$A, 0))),
MONTH(INDEX(Purchases_Import!$B:$B, MATCH(B430, Purchases_Import!$A:$A, 0))),
1
))</f>
        <v>46113</v>
      </c>
      <c r="I430" s="2">
        <f t="shared" si="1"/>
        <v>10</v>
      </c>
    </row>
    <row r="431">
      <c r="A431" s="1" t="str">
        <f>IFERROR(__xludf.DUMMYFUNCTION("""COMPUTED_VALUE"""),"b786c96a")</f>
        <v>b786c96a</v>
      </c>
      <c r="B431" s="1" t="str">
        <f>IFERROR(__xludf.DUMMYFUNCTION("""COMPUTED_VALUE"""),"e78fc3c9")</f>
        <v>e78fc3c9</v>
      </c>
      <c r="C431" s="1" t="str">
        <f>IFERROR(__xludf.DUMMYFUNCTION("""COMPUTED_VALUE"""),"0001")</f>
        <v>0001</v>
      </c>
      <c r="D431" s="1"/>
      <c r="E431" s="1">
        <f>IFERROR(__xludf.DUMMYFUNCTION("""COMPUTED_VALUE"""),2.8)</f>
        <v>2.8</v>
      </c>
      <c r="F431" s="1">
        <f>IFERROR(__xludf.DUMMYFUNCTION("""COMPUTED_VALUE"""),22.0)</f>
        <v>22</v>
      </c>
      <c r="G431" s="1">
        <f>IFERROR(__xludf.DUMMYFUNCTION("""COMPUTED_VALUE"""),330.0)</f>
        <v>330</v>
      </c>
      <c r="H431" s="29">
        <f t="array" ref="H431">IF(B431="","",
DATE(
YEAR(INDEX(Purchases_Import!$B:$B, MATCH(B431, Purchases_Import!$A:$A, 0))),
MONTH(INDEX(Purchases_Import!$B:$B, MATCH(B431, Purchases_Import!$A:$A, 0))),
1
))</f>
        <v>46113</v>
      </c>
      <c r="I431" s="2">
        <f t="shared" si="1"/>
        <v>330</v>
      </c>
    </row>
    <row r="432">
      <c r="A432" s="1" t="str">
        <f>IFERROR(__xludf.DUMMYFUNCTION("""COMPUTED_VALUE"""),"236e44f8")</f>
        <v>236e44f8</v>
      </c>
      <c r="B432" s="1" t="str">
        <f>IFERROR(__xludf.DUMMYFUNCTION("""COMPUTED_VALUE"""),"e78fc3c9")</f>
        <v>e78fc3c9</v>
      </c>
      <c r="C432" s="1" t="str">
        <f>IFERROR(__xludf.DUMMYFUNCTION("""COMPUTED_VALUE"""),"12b96290")</f>
        <v>12b96290</v>
      </c>
      <c r="D432" s="1"/>
      <c r="E432" s="1">
        <f>IFERROR(__xludf.DUMMYFUNCTION("""COMPUTED_VALUE"""),3.0)</f>
        <v>3</v>
      </c>
      <c r="F432" s="1">
        <f>IFERROR(__xludf.DUMMYFUNCTION("""COMPUTED_VALUE"""),7.0)</f>
        <v>7</v>
      </c>
      <c r="G432" s="1">
        <f>IFERROR(__xludf.DUMMYFUNCTION("""COMPUTED_VALUE"""),105.0)</f>
        <v>105</v>
      </c>
      <c r="H432" s="29">
        <f t="array" ref="H432">IF(B432="","",
DATE(
YEAR(INDEX(Purchases_Import!$B:$B, MATCH(B432, Purchases_Import!$A:$A, 0))),
MONTH(INDEX(Purchases_Import!$B:$B, MATCH(B432, Purchases_Import!$A:$A, 0))),
1
))</f>
        <v>46113</v>
      </c>
      <c r="I432" s="2">
        <f t="shared" si="1"/>
        <v>105</v>
      </c>
    </row>
    <row r="433">
      <c r="A433" s="1" t="str">
        <f>IFERROR(__xludf.DUMMYFUNCTION("""COMPUTED_VALUE"""),"41d8caaa")</f>
        <v>41d8caaa</v>
      </c>
      <c r="B433" s="1" t="str">
        <f>IFERROR(__xludf.DUMMYFUNCTION("""COMPUTED_VALUE"""),"ead44bd8")</f>
        <v>ead44bd8</v>
      </c>
      <c r="C433" s="1" t="str">
        <f>IFERROR(__xludf.DUMMYFUNCTION("""COMPUTED_VALUE"""),"0027")</f>
        <v>0027</v>
      </c>
      <c r="D433" s="1">
        <f>IFERROR(__xludf.DUMMYFUNCTION("""COMPUTED_VALUE"""),25.0)</f>
        <v>25</v>
      </c>
      <c r="E433" s="1">
        <f>IFERROR(__xludf.DUMMYFUNCTION("""COMPUTED_VALUE"""),3.28)</f>
        <v>3.28</v>
      </c>
      <c r="F433" s="1"/>
      <c r="G433" s="1">
        <f>IFERROR(__xludf.DUMMYFUNCTION("""COMPUTED_VALUE"""),25.0)</f>
        <v>25</v>
      </c>
      <c r="H433" s="29">
        <f t="array" ref="H433">IF(B433="","",
DATE(
YEAR(INDEX(Purchases_Import!$B:$B, MATCH(B433, Purchases_Import!$A:$A, 0))),
MONTH(INDEX(Purchases_Import!$B:$B, MATCH(B433, Purchases_Import!$A:$A, 0))),
1
))</f>
        <v>46113</v>
      </c>
      <c r="I433" s="2">
        <f t="shared" si="1"/>
        <v>25</v>
      </c>
    </row>
    <row r="434">
      <c r="A434" s="1" t="str">
        <f>IFERROR(__xludf.DUMMYFUNCTION("""COMPUTED_VALUE"""),"9a701f6c")</f>
        <v>9a701f6c</v>
      </c>
      <c r="B434" s="1" t="str">
        <f>IFERROR(__xludf.DUMMYFUNCTION("""COMPUTED_VALUE"""),"ead44bd8")</f>
        <v>ead44bd8</v>
      </c>
      <c r="C434" s="1" t="str">
        <f>IFERROR(__xludf.DUMMYFUNCTION("""COMPUTED_VALUE"""),"0029")</f>
        <v>0029</v>
      </c>
      <c r="D434" s="1"/>
      <c r="E434" s="1">
        <f>IFERROR(__xludf.DUMMYFUNCTION("""COMPUTED_VALUE"""),2.25)</f>
        <v>2.25</v>
      </c>
      <c r="F434" s="1">
        <f>IFERROR(__xludf.DUMMYFUNCTION("""COMPUTED_VALUE"""),1.0)</f>
        <v>1</v>
      </c>
      <c r="G434" s="1">
        <f>IFERROR(__xludf.DUMMYFUNCTION("""COMPUTED_VALUE"""),24.0)</f>
        <v>24</v>
      </c>
      <c r="H434" s="29">
        <f t="array" ref="H434">IF(B434="","",
DATE(
YEAR(INDEX(Purchases_Import!$B:$B, MATCH(B434, Purchases_Import!$A:$A, 0))),
MONTH(INDEX(Purchases_Import!$B:$B, MATCH(B434, Purchases_Import!$A:$A, 0))),
1
))</f>
        <v>46113</v>
      </c>
      <c r="I434" s="2">
        <f t="shared" si="1"/>
        <v>24</v>
      </c>
    </row>
    <row r="435">
      <c r="A435" s="1" t="str">
        <f>IFERROR(__xludf.DUMMYFUNCTION("""COMPUTED_VALUE"""),"67840516")</f>
        <v>67840516</v>
      </c>
      <c r="B435" s="1" t="str">
        <f>IFERROR(__xludf.DUMMYFUNCTION("""COMPUTED_VALUE"""),"ead44bd8")</f>
        <v>ead44bd8</v>
      </c>
      <c r="C435" s="1" t="str">
        <f>IFERROR(__xludf.DUMMYFUNCTION("""COMPUTED_VALUE"""),"70bdbe11")</f>
        <v>70bdbe11</v>
      </c>
      <c r="D435" s="1">
        <f>IFERROR(__xludf.DUMMYFUNCTION("""COMPUTED_VALUE"""),48.0)</f>
        <v>48</v>
      </c>
      <c r="E435" s="1"/>
      <c r="F435" s="1"/>
      <c r="G435" s="1">
        <f>IFERROR(__xludf.DUMMYFUNCTION("""COMPUTED_VALUE"""),48.0)</f>
        <v>48</v>
      </c>
      <c r="H435" s="29">
        <f t="array" ref="H435">IF(B435="","",
DATE(
YEAR(INDEX(Purchases_Import!$B:$B, MATCH(B435, Purchases_Import!$A:$A, 0))),
MONTH(INDEX(Purchases_Import!$B:$B, MATCH(B435, Purchases_Import!$A:$A, 0))),
1
))</f>
        <v>46113</v>
      </c>
      <c r="I435" s="2">
        <f t="shared" si="1"/>
        <v>48</v>
      </c>
    </row>
    <row r="436">
      <c r="A436" s="1" t="str">
        <f>IFERROR(__xludf.DUMMYFUNCTION("""COMPUTED_VALUE"""),"ea99cba0")</f>
        <v>ea99cba0</v>
      </c>
      <c r="B436" s="1" t="str">
        <f>IFERROR(__xludf.DUMMYFUNCTION("""COMPUTED_VALUE"""),"ead44bd8")</f>
        <v>ead44bd8</v>
      </c>
      <c r="C436" s="1" t="str">
        <f>IFERROR(__xludf.DUMMYFUNCTION("""COMPUTED_VALUE"""),"0014")</f>
        <v>0014</v>
      </c>
      <c r="D436" s="1">
        <f>IFERROR(__xludf.DUMMYFUNCTION("""COMPUTED_VALUE"""),30.0)</f>
        <v>30</v>
      </c>
      <c r="E436" s="1">
        <f>IFERROR(__xludf.DUMMYFUNCTION("""COMPUTED_VALUE"""),5.9)</f>
        <v>5.9</v>
      </c>
      <c r="F436" s="1"/>
      <c r="G436" s="1">
        <f>IFERROR(__xludf.DUMMYFUNCTION("""COMPUTED_VALUE"""),30.0)</f>
        <v>30</v>
      </c>
      <c r="H436" s="29">
        <f t="array" ref="H436">IF(B436="","",
DATE(
YEAR(INDEX(Purchases_Import!$B:$B, MATCH(B436, Purchases_Import!$A:$A, 0))),
MONTH(INDEX(Purchases_Import!$B:$B, MATCH(B436, Purchases_Import!$A:$A, 0))),
1
))</f>
        <v>46113</v>
      </c>
      <c r="I436" s="2">
        <f t="shared" si="1"/>
        <v>30</v>
      </c>
    </row>
    <row r="437">
      <c r="A437" s="1" t="str">
        <f>IFERROR(__xludf.DUMMYFUNCTION("""COMPUTED_VALUE"""),"46e5612a")</f>
        <v>46e5612a</v>
      </c>
      <c r="B437" s="1" t="str">
        <f>IFERROR(__xludf.DUMMYFUNCTION("""COMPUTED_VALUE"""),"ead44bd8")</f>
        <v>ead44bd8</v>
      </c>
      <c r="C437" s="1" t="str">
        <f>IFERROR(__xludf.DUMMYFUNCTION("""COMPUTED_VALUE"""),"bb6c2490")</f>
        <v>bb6c2490</v>
      </c>
      <c r="D437" s="1"/>
      <c r="E437" s="1">
        <f>IFERROR(__xludf.DUMMYFUNCTION("""COMPUTED_VALUE"""),2.78)</f>
        <v>2.78</v>
      </c>
      <c r="F437" s="1">
        <f>IFERROR(__xludf.DUMMYFUNCTION("""COMPUTED_VALUE"""),3.0)</f>
        <v>3</v>
      </c>
      <c r="G437" s="1">
        <f>IFERROR(__xludf.DUMMYFUNCTION("""COMPUTED_VALUE"""),54.0)</f>
        <v>54</v>
      </c>
      <c r="H437" s="29">
        <f t="array" ref="H437">IF(B437="","",
DATE(
YEAR(INDEX(Purchases_Import!$B:$B, MATCH(B437, Purchases_Import!$A:$A, 0))),
MONTH(INDEX(Purchases_Import!$B:$B, MATCH(B437, Purchases_Import!$A:$A, 0))),
1
))</f>
        <v>46113</v>
      </c>
      <c r="I437" s="2">
        <f t="shared" si="1"/>
        <v>54</v>
      </c>
    </row>
    <row r="438">
      <c r="A438" s="1" t="str">
        <f>IFERROR(__xludf.DUMMYFUNCTION("""COMPUTED_VALUE"""),"acd71c30")</f>
        <v>acd71c30</v>
      </c>
      <c r="B438" s="1" t="str">
        <f>IFERROR(__xludf.DUMMYFUNCTION("""COMPUTED_VALUE"""),"ead44bd8")</f>
        <v>ead44bd8</v>
      </c>
      <c r="C438" s="1" t="str">
        <f>IFERROR(__xludf.DUMMYFUNCTION("""COMPUTED_VALUE"""),"a19879cf")</f>
        <v>a19879cf</v>
      </c>
      <c r="D438" s="1"/>
      <c r="E438" s="1"/>
      <c r="F438" s="1">
        <f>IFERROR(__xludf.DUMMYFUNCTION("""COMPUTED_VALUE"""),3.0)</f>
        <v>3</v>
      </c>
      <c r="G438" s="1">
        <f>IFERROR(__xludf.DUMMYFUNCTION("""COMPUTED_VALUE"""),72.0)</f>
        <v>72</v>
      </c>
      <c r="H438" s="29">
        <f t="array" ref="H438">IF(B438="","",
DATE(
YEAR(INDEX(Purchases_Import!$B:$B, MATCH(B438, Purchases_Import!$A:$A, 0))),
MONTH(INDEX(Purchases_Import!$B:$B, MATCH(B438, Purchases_Import!$A:$A, 0))),
1
))</f>
        <v>46113</v>
      </c>
      <c r="I438" s="2">
        <f t="shared" si="1"/>
        <v>72</v>
      </c>
    </row>
    <row r="439">
      <c r="A439" s="1" t="str">
        <f>IFERROR(__xludf.DUMMYFUNCTION("""COMPUTED_VALUE"""),"58b62aad")</f>
        <v>58b62aad</v>
      </c>
      <c r="B439" s="1" t="str">
        <f>IFERROR(__xludf.DUMMYFUNCTION("""COMPUTED_VALUE"""),"ead44bd8")</f>
        <v>ead44bd8</v>
      </c>
      <c r="C439" s="1" t="str">
        <f>IFERROR(__xludf.DUMMYFUNCTION("""COMPUTED_VALUE"""),"bb4d1bd1")</f>
        <v>bb4d1bd1</v>
      </c>
      <c r="D439" s="1"/>
      <c r="E439" s="1"/>
      <c r="F439" s="1">
        <f>IFERROR(__xludf.DUMMYFUNCTION("""COMPUTED_VALUE"""),3.0)</f>
        <v>3</v>
      </c>
      <c r="G439" s="1">
        <f>IFERROR(__xludf.DUMMYFUNCTION("""COMPUTED_VALUE"""),72.0)</f>
        <v>72</v>
      </c>
      <c r="H439" s="29">
        <f t="array" ref="H439">IF(B439="","",
DATE(
YEAR(INDEX(Purchases_Import!$B:$B, MATCH(B439, Purchases_Import!$A:$A, 0))),
MONTH(INDEX(Purchases_Import!$B:$B, MATCH(B439, Purchases_Import!$A:$A, 0))),
1
))</f>
        <v>46113</v>
      </c>
      <c r="I439" s="2">
        <f t="shared" si="1"/>
        <v>72</v>
      </c>
    </row>
    <row r="440">
      <c r="A440" s="1" t="str">
        <f>IFERROR(__xludf.DUMMYFUNCTION("""COMPUTED_VALUE"""),"bf1aa088")</f>
        <v>bf1aa088</v>
      </c>
      <c r="B440" s="1" t="str">
        <f>IFERROR(__xludf.DUMMYFUNCTION("""COMPUTED_VALUE"""),"ead44bd8")</f>
        <v>ead44bd8</v>
      </c>
      <c r="C440" s="1" t="str">
        <f>IFERROR(__xludf.DUMMYFUNCTION("""COMPUTED_VALUE"""),"02d86a9b")</f>
        <v>02d86a9b</v>
      </c>
      <c r="D440" s="1"/>
      <c r="E440" s="1"/>
      <c r="F440" s="1">
        <f>IFERROR(__xludf.DUMMYFUNCTION("""COMPUTED_VALUE"""),4.0)</f>
        <v>4</v>
      </c>
      <c r="G440" s="1">
        <f>IFERROR(__xludf.DUMMYFUNCTION("""COMPUTED_VALUE"""),96.0)</f>
        <v>96</v>
      </c>
      <c r="H440" s="29">
        <f t="array" ref="H440">IF(B440="","",
DATE(
YEAR(INDEX(Purchases_Import!$B:$B, MATCH(B440, Purchases_Import!$A:$A, 0))),
MONTH(INDEX(Purchases_Import!$B:$B, MATCH(B440, Purchases_Import!$A:$A, 0))),
1
))</f>
        <v>46113</v>
      </c>
      <c r="I440" s="2">
        <f t="shared" si="1"/>
        <v>96</v>
      </c>
    </row>
    <row r="441">
      <c r="A441" s="1" t="str">
        <f>IFERROR(__xludf.DUMMYFUNCTION("""COMPUTED_VALUE"""),"896c41af")</f>
        <v>896c41af</v>
      </c>
      <c r="B441" s="1" t="str">
        <f>IFERROR(__xludf.DUMMYFUNCTION("""COMPUTED_VALUE"""),"691f5194")</f>
        <v>691f5194</v>
      </c>
      <c r="C441" s="1" t="str">
        <f>IFERROR(__xludf.DUMMYFUNCTION("""COMPUTED_VALUE"""),"cf6c9481")</f>
        <v>cf6c9481</v>
      </c>
      <c r="D441" s="1">
        <f>IFERROR(__xludf.DUMMYFUNCTION("""COMPUTED_VALUE"""),30.0)</f>
        <v>30</v>
      </c>
      <c r="E441" s="1"/>
      <c r="F441" s="1"/>
      <c r="G441" s="1">
        <f>IFERROR(__xludf.DUMMYFUNCTION("""COMPUTED_VALUE"""),30.0)</f>
        <v>30</v>
      </c>
      <c r="H441" s="29">
        <f t="array" ref="H441">IF(B441="","",
DATE(
YEAR(INDEX(Purchases_Import!$B:$B, MATCH(B441, Purchases_Import!$A:$A, 0))),
MONTH(INDEX(Purchases_Import!$B:$B, MATCH(B441, Purchases_Import!$A:$A, 0))),
1
))</f>
        <v>46113</v>
      </c>
      <c r="I441" s="2">
        <f t="shared" si="1"/>
        <v>30</v>
      </c>
    </row>
    <row r="442">
      <c r="A442" s="1" t="str">
        <f>IFERROR(__xludf.DUMMYFUNCTION("""COMPUTED_VALUE"""),"fbbb480e")</f>
        <v>fbbb480e</v>
      </c>
      <c r="B442" s="1" t="str">
        <f>IFERROR(__xludf.DUMMYFUNCTION("""COMPUTED_VALUE"""),"37093ad1")</f>
        <v>37093ad1</v>
      </c>
      <c r="C442" s="1" t="str">
        <f>IFERROR(__xludf.DUMMYFUNCTION("""COMPUTED_VALUE"""),"0002")</f>
        <v>0002</v>
      </c>
      <c r="D442" s="1"/>
      <c r="E442" s="1">
        <f>IFERROR(__xludf.DUMMYFUNCTION("""COMPUTED_VALUE"""),0.3)</f>
        <v>0.3</v>
      </c>
      <c r="F442" s="1">
        <f>IFERROR(__xludf.DUMMYFUNCTION("""COMPUTED_VALUE"""),99.0)</f>
        <v>99</v>
      </c>
      <c r="G442" s="1">
        <f>IFERROR(__xludf.DUMMYFUNCTION("""COMPUTED_VALUE"""),1188.0)</f>
        <v>1188</v>
      </c>
      <c r="H442" s="29">
        <f t="array" ref="H442">IF(B442="","",
DATE(
YEAR(INDEX(Purchases_Import!$B:$B, MATCH(B442, Purchases_Import!$A:$A, 0))),
MONTH(INDEX(Purchases_Import!$B:$B, MATCH(B442, Purchases_Import!$A:$A, 0))),
1
))</f>
        <v>46113</v>
      </c>
      <c r="I442" s="2">
        <f t="shared" si="1"/>
        <v>1188</v>
      </c>
    </row>
    <row r="443">
      <c r="A443" s="1" t="str">
        <f>IFERROR(__xludf.DUMMYFUNCTION("""COMPUTED_VALUE"""),"6bc5632f")</f>
        <v>6bc5632f</v>
      </c>
      <c r="B443" s="1" t="str">
        <f>IFERROR(__xludf.DUMMYFUNCTION("""COMPUTED_VALUE"""),"94b7eba6")</f>
        <v>94b7eba6</v>
      </c>
      <c r="C443" s="1" t="str">
        <f>IFERROR(__xludf.DUMMYFUNCTION("""COMPUTED_VALUE"""),"0002")</f>
        <v>0002</v>
      </c>
      <c r="D443" s="1"/>
      <c r="E443" s="1">
        <f>IFERROR(__xludf.DUMMYFUNCTION("""COMPUTED_VALUE"""),0.3)</f>
        <v>0.3</v>
      </c>
      <c r="F443" s="1">
        <f>IFERROR(__xludf.DUMMYFUNCTION("""COMPUTED_VALUE"""),5.0)</f>
        <v>5</v>
      </c>
      <c r="G443" s="1">
        <f>IFERROR(__xludf.DUMMYFUNCTION("""COMPUTED_VALUE"""),60.0)</f>
        <v>60</v>
      </c>
      <c r="H443" s="29">
        <f t="array" ref="H443">IF(B443="","",
DATE(
YEAR(INDEX(Purchases_Import!$B:$B, MATCH(B443, Purchases_Import!$A:$A, 0))),
MONTH(INDEX(Purchases_Import!$B:$B, MATCH(B443, Purchases_Import!$A:$A, 0))),
1
))</f>
        <v>46113</v>
      </c>
      <c r="I443" s="2">
        <f t="shared" si="1"/>
        <v>60</v>
      </c>
    </row>
    <row r="444">
      <c r="A444" s="1" t="str">
        <f>IFERROR(__xludf.DUMMYFUNCTION("""COMPUTED_VALUE"""),"faef5939")</f>
        <v>faef5939</v>
      </c>
      <c r="B444" s="1" t="str">
        <f>IFERROR(__xludf.DUMMYFUNCTION("""COMPUTED_VALUE"""),"f19003a8")</f>
        <v>f19003a8</v>
      </c>
      <c r="C444" s="1" t="str">
        <f>IFERROR(__xludf.DUMMYFUNCTION("""COMPUTED_VALUE"""),"0024")</f>
        <v>0024</v>
      </c>
      <c r="D444" s="1">
        <f>IFERROR(__xludf.DUMMYFUNCTION("""COMPUTED_VALUE"""),10.0)</f>
        <v>10</v>
      </c>
      <c r="E444" s="1">
        <f>IFERROR(__xludf.DUMMYFUNCTION("""COMPUTED_VALUE"""),2.4)</f>
        <v>2.4</v>
      </c>
      <c r="F444" s="1"/>
      <c r="G444" s="1">
        <f>IFERROR(__xludf.DUMMYFUNCTION("""COMPUTED_VALUE"""),10.0)</f>
        <v>10</v>
      </c>
      <c r="H444" s="29">
        <f t="array" ref="H444">IF(B444="","",
DATE(
YEAR(INDEX(Purchases_Import!$B:$B, MATCH(B444, Purchases_Import!$A:$A, 0))),
MONTH(INDEX(Purchases_Import!$B:$B, MATCH(B444, Purchases_Import!$A:$A, 0))),
1
))</f>
        <v>46113</v>
      </c>
      <c r="I444" s="2">
        <f t="shared" si="1"/>
        <v>10</v>
      </c>
    </row>
    <row r="445">
      <c r="A445" s="1" t="str">
        <f>IFERROR(__xludf.DUMMYFUNCTION("""COMPUTED_VALUE"""),"a90efe46")</f>
        <v>a90efe46</v>
      </c>
      <c r="B445" s="1" t="str">
        <f>IFERROR(__xludf.DUMMYFUNCTION("""COMPUTED_VALUE"""),"f19003a8")</f>
        <v>f19003a8</v>
      </c>
      <c r="C445" s="1" t="str">
        <f>IFERROR(__xludf.DUMMYFUNCTION("""COMPUTED_VALUE"""),"bb6c2490")</f>
        <v>bb6c2490</v>
      </c>
      <c r="D445" s="1"/>
      <c r="E445" s="1">
        <f>IFERROR(__xludf.DUMMYFUNCTION("""COMPUTED_VALUE"""),2.78)</f>
        <v>2.78</v>
      </c>
      <c r="F445" s="1">
        <f>IFERROR(__xludf.DUMMYFUNCTION("""COMPUTED_VALUE"""),2.0)</f>
        <v>2</v>
      </c>
      <c r="G445" s="1">
        <f>IFERROR(__xludf.DUMMYFUNCTION("""COMPUTED_VALUE"""),36.0)</f>
        <v>36</v>
      </c>
      <c r="H445" s="29">
        <f t="array" ref="H445">IF(B445="","",
DATE(
YEAR(INDEX(Purchases_Import!$B:$B, MATCH(B445, Purchases_Import!$A:$A, 0))),
MONTH(INDEX(Purchases_Import!$B:$B, MATCH(B445, Purchases_Import!$A:$A, 0))),
1
))</f>
        <v>46113</v>
      </c>
      <c r="I445" s="2">
        <f t="shared" si="1"/>
        <v>36</v>
      </c>
    </row>
    <row r="446">
      <c r="A446" s="1" t="str">
        <f>IFERROR(__xludf.DUMMYFUNCTION("""COMPUTED_VALUE"""),"246d140f")</f>
        <v>246d140f</v>
      </c>
      <c r="B446" s="1" t="str">
        <f>IFERROR(__xludf.DUMMYFUNCTION("""COMPUTED_VALUE"""),"f19003a8")</f>
        <v>f19003a8</v>
      </c>
      <c r="C446" s="1" t="str">
        <f>IFERROR(__xludf.DUMMYFUNCTION("""COMPUTED_VALUE"""),"220a28b9")</f>
        <v>220a28b9</v>
      </c>
      <c r="D446" s="1">
        <f>IFERROR(__xludf.DUMMYFUNCTION("""COMPUTED_VALUE"""),12.0)</f>
        <v>12</v>
      </c>
      <c r="E446" s="1"/>
      <c r="F446" s="1"/>
      <c r="G446" s="1">
        <f>IFERROR(__xludf.DUMMYFUNCTION("""COMPUTED_VALUE"""),12.0)</f>
        <v>12</v>
      </c>
      <c r="H446" s="29">
        <f t="array" ref="H446">IF(B446="","",
DATE(
YEAR(INDEX(Purchases_Import!$B:$B, MATCH(B446, Purchases_Import!$A:$A, 0))),
MONTH(INDEX(Purchases_Import!$B:$B, MATCH(B446, Purchases_Import!$A:$A, 0))),
1
))</f>
        <v>46113</v>
      </c>
      <c r="I446" s="2">
        <f t="shared" si="1"/>
        <v>12</v>
      </c>
    </row>
    <row r="447">
      <c r="A447" s="1" t="str">
        <f>IFERROR(__xludf.DUMMYFUNCTION("""COMPUTED_VALUE"""),"6fe5e4be")</f>
        <v>6fe5e4be</v>
      </c>
      <c r="B447" s="1" t="str">
        <f>IFERROR(__xludf.DUMMYFUNCTION("""COMPUTED_VALUE"""),"fb40a272")</f>
        <v>fb40a272</v>
      </c>
      <c r="C447" s="1" t="str">
        <f>IFERROR(__xludf.DUMMYFUNCTION("""COMPUTED_VALUE"""),"0011")</f>
        <v>0011</v>
      </c>
      <c r="D447" s="1"/>
      <c r="E447" s="1">
        <f>IFERROR(__xludf.DUMMYFUNCTION("""COMPUTED_VALUE"""),3.5)</f>
        <v>3.5</v>
      </c>
      <c r="F447" s="1">
        <f>IFERROR(__xludf.DUMMYFUNCTION("""COMPUTED_VALUE"""),5.0)</f>
        <v>5</v>
      </c>
      <c r="G447" s="1">
        <f>IFERROR(__xludf.DUMMYFUNCTION("""COMPUTED_VALUE"""),120.0)</f>
        <v>120</v>
      </c>
      <c r="H447" s="29">
        <f t="array" ref="H447">IF(B447="","",
DATE(
YEAR(INDEX(Purchases_Import!$B:$B, MATCH(B447, Purchases_Import!$A:$A, 0))),
MONTH(INDEX(Purchases_Import!$B:$B, MATCH(B447, Purchases_Import!$A:$A, 0))),
1
))</f>
        <v>46113</v>
      </c>
      <c r="I447" s="2">
        <f t="shared" si="1"/>
        <v>120</v>
      </c>
    </row>
    <row r="448">
      <c r="A448" s="1" t="str">
        <f>IFERROR(__xludf.DUMMYFUNCTION("""COMPUTED_VALUE"""),"76b4e990")</f>
        <v>76b4e990</v>
      </c>
      <c r="B448" s="1" t="str">
        <f>IFERROR(__xludf.DUMMYFUNCTION("""COMPUTED_VALUE"""),"fb40a272")</f>
        <v>fb40a272</v>
      </c>
      <c r="C448" s="1" t="str">
        <f>IFERROR(__xludf.DUMMYFUNCTION("""COMPUTED_VALUE"""),"0029")</f>
        <v>0029</v>
      </c>
      <c r="D448" s="1"/>
      <c r="E448" s="1">
        <f>IFERROR(__xludf.DUMMYFUNCTION("""COMPUTED_VALUE"""),2.25)</f>
        <v>2.25</v>
      </c>
      <c r="F448" s="1">
        <f>IFERROR(__xludf.DUMMYFUNCTION("""COMPUTED_VALUE"""),5.0)</f>
        <v>5</v>
      </c>
      <c r="G448" s="1">
        <f>IFERROR(__xludf.DUMMYFUNCTION("""COMPUTED_VALUE"""),120.0)</f>
        <v>120</v>
      </c>
      <c r="H448" s="29">
        <f t="array" ref="H448">IF(B448="","",
DATE(
YEAR(INDEX(Purchases_Import!$B:$B, MATCH(B448, Purchases_Import!$A:$A, 0))),
MONTH(INDEX(Purchases_Import!$B:$B, MATCH(B448, Purchases_Import!$A:$A, 0))),
1
))</f>
        <v>46113</v>
      </c>
      <c r="I448" s="2">
        <f t="shared" si="1"/>
        <v>120</v>
      </c>
    </row>
    <row r="449">
      <c r="A449" s="1" t="str">
        <f>IFERROR(__xludf.DUMMYFUNCTION("""COMPUTED_VALUE"""),"46b8bafa")</f>
        <v>46b8bafa</v>
      </c>
      <c r="B449" s="1" t="str">
        <f>IFERROR(__xludf.DUMMYFUNCTION("""COMPUTED_VALUE"""),"fb40a272")</f>
        <v>fb40a272</v>
      </c>
      <c r="C449" s="1" t="str">
        <f>IFERROR(__xludf.DUMMYFUNCTION("""COMPUTED_VALUE"""),"70bdbe11")</f>
        <v>70bdbe11</v>
      </c>
      <c r="D449" s="1">
        <f>IFERROR(__xludf.DUMMYFUNCTION("""COMPUTED_VALUE"""),72.0)</f>
        <v>72</v>
      </c>
      <c r="E449" s="1"/>
      <c r="F449" s="1">
        <f>IFERROR(__xludf.DUMMYFUNCTION("""COMPUTED_VALUE"""),0.0)</f>
        <v>0</v>
      </c>
      <c r="G449" s="1">
        <f>IFERROR(__xludf.DUMMYFUNCTION("""COMPUTED_VALUE"""),72.0)</f>
        <v>72</v>
      </c>
      <c r="H449" s="29">
        <f t="array" ref="H449">IF(B449="","",
DATE(
YEAR(INDEX(Purchases_Import!$B:$B, MATCH(B449, Purchases_Import!$A:$A, 0))),
MONTH(INDEX(Purchases_Import!$B:$B, MATCH(B449, Purchases_Import!$A:$A, 0))),
1
))</f>
        <v>46113</v>
      </c>
      <c r="I449" s="2">
        <f t="shared" si="1"/>
        <v>72</v>
      </c>
    </row>
    <row r="450">
      <c r="A450" s="1" t="str">
        <f>IFERROR(__xludf.DUMMYFUNCTION("""COMPUTED_VALUE"""),"e4ba5070")</f>
        <v>e4ba5070</v>
      </c>
      <c r="B450" s="1" t="str">
        <f>IFERROR(__xludf.DUMMYFUNCTION("""COMPUTED_VALUE"""),"fb40a272")</f>
        <v>fb40a272</v>
      </c>
      <c r="C450" s="1" t="str">
        <f>IFERROR(__xludf.DUMMYFUNCTION("""COMPUTED_VALUE"""),"0027")</f>
        <v>0027</v>
      </c>
      <c r="D450" s="1">
        <f>IFERROR(__xludf.DUMMYFUNCTION("""COMPUTED_VALUE"""),50.0)</f>
        <v>50</v>
      </c>
      <c r="E450" s="1">
        <f>IFERROR(__xludf.DUMMYFUNCTION("""COMPUTED_VALUE"""),3.28)</f>
        <v>3.28</v>
      </c>
      <c r="F450" s="1"/>
      <c r="G450" s="1">
        <f>IFERROR(__xludf.DUMMYFUNCTION("""COMPUTED_VALUE"""),50.0)</f>
        <v>50</v>
      </c>
      <c r="H450" s="29">
        <f t="array" ref="H450">IF(B450="","",
DATE(
YEAR(INDEX(Purchases_Import!$B:$B, MATCH(B450, Purchases_Import!$A:$A, 0))),
MONTH(INDEX(Purchases_Import!$B:$B, MATCH(B450, Purchases_Import!$A:$A, 0))),
1
))</f>
        <v>46113</v>
      </c>
      <c r="I450" s="2">
        <f t="shared" si="1"/>
        <v>50</v>
      </c>
    </row>
    <row r="451">
      <c r="A451" s="1" t="str">
        <f>IFERROR(__xludf.DUMMYFUNCTION("""COMPUTED_VALUE"""),"effb6aaa")</f>
        <v>effb6aaa</v>
      </c>
      <c r="B451" s="1" t="str">
        <f>IFERROR(__xludf.DUMMYFUNCTION("""COMPUTED_VALUE"""),"fb40a272")</f>
        <v>fb40a272</v>
      </c>
      <c r="C451" s="1" t="str">
        <f>IFERROR(__xludf.DUMMYFUNCTION("""COMPUTED_VALUE"""),"0024")</f>
        <v>0024</v>
      </c>
      <c r="D451" s="1">
        <f>IFERROR(__xludf.DUMMYFUNCTION("""COMPUTED_VALUE"""),10.0)</f>
        <v>10</v>
      </c>
      <c r="E451" s="1">
        <f>IFERROR(__xludf.DUMMYFUNCTION("""COMPUTED_VALUE"""),2.4)</f>
        <v>2.4</v>
      </c>
      <c r="F451" s="1"/>
      <c r="G451" s="1">
        <f>IFERROR(__xludf.DUMMYFUNCTION("""COMPUTED_VALUE"""),10.0)</f>
        <v>10</v>
      </c>
      <c r="H451" s="29">
        <f t="array" ref="H451">IF(B451="","",
DATE(
YEAR(INDEX(Purchases_Import!$B:$B, MATCH(B451, Purchases_Import!$A:$A, 0))),
MONTH(INDEX(Purchases_Import!$B:$B, MATCH(B451, Purchases_Import!$A:$A, 0))),
1
))</f>
        <v>46113</v>
      </c>
      <c r="I451" s="2">
        <f t="shared" si="1"/>
        <v>10</v>
      </c>
    </row>
    <row r="452">
      <c r="A452" s="1" t="str">
        <f>IFERROR(__xludf.DUMMYFUNCTION("""COMPUTED_VALUE"""),"9c073489")</f>
        <v>9c073489</v>
      </c>
      <c r="B452" s="1" t="str">
        <f>IFERROR(__xludf.DUMMYFUNCTION("""COMPUTED_VALUE"""),"fb40a272")</f>
        <v>fb40a272</v>
      </c>
      <c r="C452" s="1" t="str">
        <f>IFERROR(__xludf.DUMMYFUNCTION("""COMPUTED_VALUE"""),"0014")</f>
        <v>0014</v>
      </c>
      <c r="D452" s="1">
        <f>IFERROR(__xludf.DUMMYFUNCTION("""COMPUTED_VALUE"""),60.0)</f>
        <v>60</v>
      </c>
      <c r="E452" s="1">
        <f>IFERROR(__xludf.DUMMYFUNCTION("""COMPUTED_VALUE"""),5.9)</f>
        <v>5.9</v>
      </c>
      <c r="F452" s="1"/>
      <c r="G452" s="1">
        <f>IFERROR(__xludf.DUMMYFUNCTION("""COMPUTED_VALUE"""),60.0)</f>
        <v>60</v>
      </c>
      <c r="H452" s="29">
        <f t="array" ref="H452">IF(B452="","",
DATE(
YEAR(INDEX(Purchases_Import!$B:$B, MATCH(B452, Purchases_Import!$A:$A, 0))),
MONTH(INDEX(Purchases_Import!$B:$B, MATCH(B452, Purchases_Import!$A:$A, 0))),
1
))</f>
        <v>46113</v>
      </c>
      <c r="I452" s="2">
        <f t="shared" si="1"/>
        <v>60</v>
      </c>
    </row>
    <row r="453">
      <c r="A453" s="1" t="str">
        <f>IFERROR(__xludf.DUMMYFUNCTION("""COMPUTED_VALUE"""),"ae65a43b")</f>
        <v>ae65a43b</v>
      </c>
      <c r="B453" s="1" t="str">
        <f>IFERROR(__xludf.DUMMYFUNCTION("""COMPUTED_VALUE"""),"4c061a87")</f>
        <v>4c061a87</v>
      </c>
      <c r="C453" s="1" t="str">
        <f>IFERROR(__xludf.DUMMYFUNCTION("""COMPUTED_VALUE"""),"cb9e809e")</f>
        <v>cb9e809e</v>
      </c>
      <c r="D453" s="1"/>
      <c r="E453" s="1"/>
      <c r="F453" s="1">
        <f>IFERROR(__xludf.DUMMYFUNCTION("""COMPUTED_VALUE"""),3.0)</f>
        <v>3</v>
      </c>
      <c r="G453" s="1">
        <f>IFERROR(__xludf.DUMMYFUNCTION("""COMPUTED_VALUE"""),36.0)</f>
        <v>36</v>
      </c>
      <c r="H453" s="29">
        <f t="array" ref="H453">IF(B453="","",
DATE(
YEAR(INDEX(Purchases_Import!$B:$B, MATCH(B453, Purchases_Import!$A:$A, 0))),
MONTH(INDEX(Purchases_Import!$B:$B, MATCH(B453, Purchases_Import!$A:$A, 0))),
1
))</f>
        <v>46113</v>
      </c>
      <c r="I453" s="2">
        <f t="shared" si="1"/>
        <v>36</v>
      </c>
    </row>
    <row r="454">
      <c r="A454" s="1" t="str">
        <f>IFERROR(__xludf.DUMMYFUNCTION("""COMPUTED_VALUE"""),"cde7928e")</f>
        <v>cde7928e</v>
      </c>
      <c r="B454" s="1" t="str">
        <f>IFERROR(__xludf.DUMMYFUNCTION("""COMPUTED_VALUE"""),"4c061a87")</f>
        <v>4c061a87</v>
      </c>
      <c r="C454" s="1" t="str">
        <f>IFERROR(__xludf.DUMMYFUNCTION("""COMPUTED_VALUE"""),"0033")</f>
        <v>0033</v>
      </c>
      <c r="D454" s="1">
        <f>IFERROR(__xludf.DUMMYFUNCTION("""COMPUTED_VALUE"""),24.0)</f>
        <v>24</v>
      </c>
      <c r="E454" s="1">
        <f>IFERROR(__xludf.DUMMYFUNCTION("""COMPUTED_VALUE"""),1.33)</f>
        <v>1.33</v>
      </c>
      <c r="F454" s="1"/>
      <c r="G454" s="1">
        <f>IFERROR(__xludf.DUMMYFUNCTION("""COMPUTED_VALUE"""),24.0)</f>
        <v>24</v>
      </c>
      <c r="H454" s="29">
        <f t="array" ref="H454">IF(B454="","",
DATE(
YEAR(INDEX(Purchases_Import!$B:$B, MATCH(B454, Purchases_Import!$A:$A, 0))),
MONTH(INDEX(Purchases_Import!$B:$B, MATCH(B454, Purchases_Import!$A:$A, 0))),
1
))</f>
        <v>46113</v>
      </c>
      <c r="I454" s="2">
        <f t="shared" si="1"/>
        <v>24</v>
      </c>
    </row>
    <row r="455">
      <c r="A455" s="1" t="str">
        <f>IFERROR(__xludf.DUMMYFUNCTION("""COMPUTED_VALUE"""),"0d06fae0")</f>
        <v>0d06fae0</v>
      </c>
      <c r="B455" s="1" t="str">
        <f>IFERROR(__xludf.DUMMYFUNCTION("""COMPUTED_VALUE"""),"b00e6b07")</f>
        <v>b00e6b07</v>
      </c>
      <c r="C455" s="1" t="str">
        <f>IFERROR(__xludf.DUMMYFUNCTION("""COMPUTED_VALUE"""),"1039e79c")</f>
        <v>1039e79c</v>
      </c>
      <c r="D455" s="1">
        <f>IFERROR(__xludf.DUMMYFUNCTION("""COMPUTED_VALUE"""),48.0)</f>
        <v>48</v>
      </c>
      <c r="E455" s="1"/>
      <c r="F455" s="1"/>
      <c r="G455" s="1">
        <f>IFERROR(__xludf.DUMMYFUNCTION("""COMPUTED_VALUE"""),48.0)</f>
        <v>48</v>
      </c>
      <c r="H455" s="29">
        <f t="array" ref="H455">IF(B455="","",
DATE(
YEAR(INDEX(Purchases_Import!$B:$B, MATCH(B455, Purchases_Import!$A:$A, 0))),
MONTH(INDEX(Purchases_Import!$B:$B, MATCH(B455, Purchases_Import!$A:$A, 0))),
1
))</f>
        <v>46113</v>
      </c>
      <c r="I455" s="2">
        <f t="shared" si="1"/>
        <v>48</v>
      </c>
    </row>
    <row r="456">
      <c r="A456" s="1" t="str">
        <f>IFERROR(__xludf.DUMMYFUNCTION("""COMPUTED_VALUE"""),"095fd249")</f>
        <v>095fd249</v>
      </c>
      <c r="B456" s="1" t="str">
        <f>IFERROR(__xludf.DUMMYFUNCTION("""COMPUTED_VALUE"""),"b00e6b07")</f>
        <v>b00e6b07</v>
      </c>
      <c r="C456" s="1" t="str">
        <f>IFERROR(__xludf.DUMMYFUNCTION("""COMPUTED_VALUE"""),"951a092f")</f>
        <v>951a092f</v>
      </c>
      <c r="D456" s="1">
        <f>IFERROR(__xludf.DUMMYFUNCTION("""COMPUTED_VALUE"""),30.0)</f>
        <v>30</v>
      </c>
      <c r="E456" s="1"/>
      <c r="F456" s="1"/>
      <c r="G456" s="1">
        <f>IFERROR(__xludf.DUMMYFUNCTION("""COMPUTED_VALUE"""),30.0)</f>
        <v>30</v>
      </c>
      <c r="H456" s="29">
        <f t="array" ref="H456">IF(B456="","",
DATE(
YEAR(INDEX(Purchases_Import!$B:$B, MATCH(B456, Purchases_Import!$A:$A, 0))),
MONTH(INDEX(Purchases_Import!$B:$B, MATCH(B456, Purchases_Import!$A:$A, 0))),
1
))</f>
        <v>46113</v>
      </c>
      <c r="I456" s="2">
        <f t="shared" si="1"/>
        <v>30</v>
      </c>
    </row>
    <row r="457">
      <c r="A457" s="1" t="str">
        <f>IFERROR(__xludf.DUMMYFUNCTION("""COMPUTED_VALUE"""),"71679415")</f>
        <v>71679415</v>
      </c>
      <c r="B457" s="1" t="str">
        <f>IFERROR(__xludf.DUMMYFUNCTION("""COMPUTED_VALUE"""),"b00e6b07")</f>
        <v>b00e6b07</v>
      </c>
      <c r="C457" s="1" t="str">
        <f>IFERROR(__xludf.DUMMYFUNCTION("""COMPUTED_VALUE"""),"cf6c9481")</f>
        <v>cf6c9481</v>
      </c>
      <c r="D457" s="1">
        <f>IFERROR(__xludf.DUMMYFUNCTION("""COMPUTED_VALUE"""),48.0)</f>
        <v>48</v>
      </c>
      <c r="E457" s="1"/>
      <c r="F457" s="1"/>
      <c r="G457" s="1">
        <f>IFERROR(__xludf.DUMMYFUNCTION("""COMPUTED_VALUE"""),48.0)</f>
        <v>48</v>
      </c>
      <c r="H457" s="29">
        <f t="array" ref="H457">IF(B457="","",
DATE(
YEAR(INDEX(Purchases_Import!$B:$B, MATCH(B457, Purchases_Import!$A:$A, 0))),
MONTH(INDEX(Purchases_Import!$B:$B, MATCH(B457, Purchases_Import!$A:$A, 0))),
1
))</f>
        <v>46113</v>
      </c>
      <c r="I457" s="2">
        <f t="shared" si="1"/>
        <v>48</v>
      </c>
    </row>
    <row r="458">
      <c r="A458" s="1" t="str">
        <f>IFERROR(__xludf.DUMMYFUNCTION("""COMPUTED_VALUE"""),"c7d88548")</f>
        <v>c7d88548</v>
      </c>
      <c r="B458" s="1" t="str">
        <f>IFERROR(__xludf.DUMMYFUNCTION("""COMPUTED_VALUE"""),"4c061a87")</f>
        <v>4c061a87</v>
      </c>
      <c r="C458" s="1" t="str">
        <f>IFERROR(__xludf.DUMMYFUNCTION("""COMPUTED_VALUE"""),"6c787857")</f>
        <v>6c787857</v>
      </c>
      <c r="D458" s="1"/>
      <c r="E458" s="1"/>
      <c r="F458" s="1">
        <f>IFERROR(__xludf.DUMMYFUNCTION("""COMPUTED_VALUE"""),1.0)</f>
        <v>1</v>
      </c>
      <c r="G458" s="1">
        <f>IFERROR(__xludf.DUMMYFUNCTION("""COMPUTED_VALUE"""),24.0)</f>
        <v>24</v>
      </c>
      <c r="H458" s="29">
        <f t="array" ref="H458">IF(B458="","",
DATE(
YEAR(INDEX(Purchases_Import!$B:$B, MATCH(B458, Purchases_Import!$A:$A, 0))),
MONTH(INDEX(Purchases_Import!$B:$B, MATCH(B458, Purchases_Import!$A:$A, 0))),
1
))</f>
        <v>46113</v>
      </c>
    </row>
    <row r="459">
      <c r="A459" s="1" t="str">
        <f>IFERROR(__xludf.DUMMYFUNCTION("""COMPUTED_VALUE"""),"803c4bf8")</f>
        <v>803c4bf8</v>
      </c>
      <c r="B459" s="1" t="str">
        <f>IFERROR(__xludf.DUMMYFUNCTION("""COMPUTED_VALUE"""),"32e56c2c")</f>
        <v>32e56c2c</v>
      </c>
      <c r="C459" s="1" t="str">
        <f>IFERROR(__xludf.DUMMYFUNCTION("""COMPUTED_VALUE"""),"0f694cb5")</f>
        <v>0f694cb5</v>
      </c>
      <c r="D459" s="1">
        <f>IFERROR(__xludf.DUMMYFUNCTION("""COMPUTED_VALUE"""),48.0)</f>
        <v>48</v>
      </c>
      <c r="E459" s="1"/>
      <c r="F459" s="1"/>
      <c r="G459" s="1">
        <f>IFERROR(__xludf.DUMMYFUNCTION("""COMPUTED_VALUE"""),48.0)</f>
        <v>48</v>
      </c>
      <c r="H459" s="29">
        <f t="array" ref="H459">IF(B459="","",
DATE(
YEAR(INDEX(Purchases_Import!$B:$B, MATCH(B459, Purchases_Import!$A:$A, 0))),
MONTH(INDEX(Purchases_Import!$B:$B, MATCH(B459, Purchases_Import!$A:$A, 0))),
1
))</f>
        <v>46113</v>
      </c>
    </row>
    <row r="460">
      <c r="A460" s="1" t="str">
        <f>IFERROR(__xludf.DUMMYFUNCTION("""COMPUTED_VALUE"""),"32ae3e18")</f>
        <v>32ae3e18</v>
      </c>
      <c r="B460" s="1" t="str">
        <f>IFERROR(__xludf.DUMMYFUNCTION("""COMPUTED_VALUE"""),"626d0b59")</f>
        <v>626d0b59</v>
      </c>
      <c r="C460" s="1" t="str">
        <f>IFERROR(__xludf.DUMMYFUNCTION("""COMPUTED_VALUE"""),"0021")</f>
        <v>0021</v>
      </c>
      <c r="D460" s="1"/>
      <c r="E460" s="1">
        <f>IFERROR(__xludf.DUMMYFUNCTION("""COMPUTED_VALUE"""),2.25)</f>
        <v>2.25</v>
      </c>
      <c r="F460" s="1">
        <f>IFERROR(__xludf.DUMMYFUNCTION("""COMPUTED_VALUE"""),3.0)</f>
        <v>3</v>
      </c>
      <c r="G460" s="1">
        <f>IFERROR(__xludf.DUMMYFUNCTION("""COMPUTED_VALUE"""),72.0)</f>
        <v>72</v>
      </c>
      <c r="H460" s="29">
        <f t="array" ref="H460">IF(B460="","",
DATE(
YEAR(INDEX(Purchases_Import!$B:$B, MATCH(B460, Purchases_Import!$A:$A, 0))),
MONTH(INDEX(Purchases_Import!$B:$B, MATCH(B460, Purchases_Import!$A:$A, 0))),
1
))</f>
        <v>46113</v>
      </c>
    </row>
    <row r="461">
      <c r="A461" s="1" t="str">
        <f>IFERROR(__xludf.DUMMYFUNCTION("""COMPUTED_VALUE"""),"1d8dcf49")</f>
        <v>1d8dcf49</v>
      </c>
      <c r="B461" s="1" t="str">
        <f>IFERROR(__xludf.DUMMYFUNCTION("""COMPUTED_VALUE"""),"626d0b59")</f>
        <v>626d0b59</v>
      </c>
      <c r="C461" s="1" t="str">
        <f>IFERROR(__xludf.DUMMYFUNCTION("""COMPUTED_VALUE"""),"c099f042")</f>
        <v>c099f042</v>
      </c>
      <c r="D461" s="1"/>
      <c r="E461" s="1"/>
      <c r="F461" s="1">
        <f>IFERROR(__xludf.DUMMYFUNCTION("""COMPUTED_VALUE"""),3.0)</f>
        <v>3</v>
      </c>
      <c r="G461" s="1">
        <f>IFERROR(__xludf.DUMMYFUNCTION("""COMPUTED_VALUE"""),60.0)</f>
        <v>60</v>
      </c>
      <c r="H461" s="29">
        <f t="array" ref="H461">IF(B461="","",
DATE(
YEAR(INDEX(Purchases_Import!$B:$B, MATCH(B461, Purchases_Import!$A:$A, 0))),
MONTH(INDEX(Purchases_Import!$B:$B, MATCH(B461, Purchases_Import!$A:$A, 0))),
1
))</f>
        <v>46113</v>
      </c>
    </row>
    <row r="462">
      <c r="A462" s="1" t="str">
        <f>IFERROR(__xludf.DUMMYFUNCTION("""COMPUTED_VALUE"""),"51939601")</f>
        <v>51939601</v>
      </c>
      <c r="B462" s="1" t="str">
        <f>IFERROR(__xludf.DUMMYFUNCTION("""COMPUTED_VALUE"""),"0407b6ca")</f>
        <v>0407b6ca</v>
      </c>
      <c r="C462" s="1" t="str">
        <f>IFERROR(__xludf.DUMMYFUNCTION("""COMPUTED_VALUE"""),"0032")</f>
        <v>0032</v>
      </c>
      <c r="D462" s="1"/>
      <c r="E462" s="1">
        <f>IFERROR(__xludf.DUMMYFUNCTION("""COMPUTED_VALUE"""),2.0)</f>
        <v>2</v>
      </c>
      <c r="F462" s="1">
        <f>IFERROR(__xludf.DUMMYFUNCTION("""COMPUTED_VALUE"""),2.0)</f>
        <v>2</v>
      </c>
      <c r="G462" s="1">
        <f>IFERROR(__xludf.DUMMYFUNCTION("""COMPUTED_VALUE"""),54.0)</f>
        <v>54</v>
      </c>
      <c r="H462" s="29">
        <f t="array" ref="H462">IF(B462="","",
DATE(
YEAR(INDEX(Purchases_Import!$B:$B, MATCH(B462, Purchases_Import!$A:$A, 0))),
MONTH(INDEX(Purchases_Import!$B:$B, MATCH(B462, Purchases_Import!$A:$A, 0))),
1
))</f>
        <v>46113</v>
      </c>
    </row>
    <row r="463">
      <c r="A463" s="1" t="str">
        <f>IFERROR(__xludf.DUMMYFUNCTION("""COMPUTED_VALUE"""),"3d4ad1bd")</f>
        <v>3d4ad1bd</v>
      </c>
      <c r="B463" s="1" t="str">
        <f>IFERROR(__xludf.DUMMYFUNCTION("""COMPUTED_VALUE"""),"0407b6ca")</f>
        <v>0407b6ca</v>
      </c>
      <c r="C463" s="1" t="str">
        <f>IFERROR(__xludf.DUMMYFUNCTION("""COMPUTED_VALUE"""),"0064")</f>
        <v>0064</v>
      </c>
      <c r="D463" s="1"/>
      <c r="E463" s="1">
        <f>IFERROR(__xludf.DUMMYFUNCTION("""COMPUTED_VALUE"""),2.08)</f>
        <v>2.08</v>
      </c>
      <c r="F463" s="1">
        <f>IFERROR(__xludf.DUMMYFUNCTION("""COMPUTED_VALUE"""),2.0)</f>
        <v>2</v>
      </c>
      <c r="G463" s="1">
        <f>IFERROR(__xludf.DUMMYFUNCTION("""COMPUTED_VALUE"""),54.0)</f>
        <v>54</v>
      </c>
      <c r="H463" s="29">
        <f t="array" ref="H463">IF(B463="","",
DATE(
YEAR(INDEX(Purchases_Import!$B:$B, MATCH(B463, Purchases_Import!$A:$A, 0))),
MONTH(INDEX(Purchases_Import!$B:$B, MATCH(B463, Purchases_Import!$A:$A, 0))),
1
))</f>
        <v>46113</v>
      </c>
    </row>
    <row r="464">
      <c r="A464" s="1" t="str">
        <f>IFERROR(__xludf.DUMMYFUNCTION("""COMPUTED_VALUE"""),"f334a219")</f>
        <v>f334a219</v>
      </c>
      <c r="B464" s="1" t="str">
        <f>IFERROR(__xludf.DUMMYFUNCTION("""COMPUTED_VALUE"""),"0407b6ca")</f>
        <v>0407b6ca</v>
      </c>
      <c r="C464" s="1" t="str">
        <f>IFERROR(__xludf.DUMMYFUNCTION("""COMPUTED_VALUE"""),"a19879cf")</f>
        <v>a19879cf</v>
      </c>
      <c r="D464" s="1"/>
      <c r="E464" s="1"/>
      <c r="F464" s="1">
        <f>IFERROR(__xludf.DUMMYFUNCTION("""COMPUTED_VALUE"""),2.0)</f>
        <v>2</v>
      </c>
      <c r="G464" s="1">
        <f>IFERROR(__xludf.DUMMYFUNCTION("""COMPUTED_VALUE"""),48.0)</f>
        <v>48</v>
      </c>
      <c r="H464" s="29">
        <f t="array" ref="H464">IF(B464="","",
DATE(
YEAR(INDEX(Purchases_Import!$B:$B, MATCH(B464, Purchases_Import!$A:$A, 0))),
MONTH(INDEX(Purchases_Import!$B:$B, MATCH(B464, Purchases_Import!$A:$A, 0))),
1
))</f>
        <v>46113</v>
      </c>
    </row>
    <row r="465">
      <c r="A465" s="1" t="str">
        <f>IFERROR(__xludf.DUMMYFUNCTION("""COMPUTED_VALUE"""),"a88613e7")</f>
        <v>a88613e7</v>
      </c>
      <c r="B465" s="1" t="str">
        <f>IFERROR(__xludf.DUMMYFUNCTION("""COMPUTED_VALUE"""),"0407b6ca")</f>
        <v>0407b6ca</v>
      </c>
      <c r="C465" s="1" t="str">
        <f>IFERROR(__xludf.DUMMYFUNCTION("""COMPUTED_VALUE"""),"eda833ca")</f>
        <v>eda833ca</v>
      </c>
      <c r="D465" s="1"/>
      <c r="E465" s="1"/>
      <c r="F465" s="1">
        <f>IFERROR(__xludf.DUMMYFUNCTION("""COMPUTED_VALUE"""),2.0)</f>
        <v>2</v>
      </c>
      <c r="G465" s="1">
        <f>IFERROR(__xludf.DUMMYFUNCTION("""COMPUTED_VALUE"""),36.0)</f>
        <v>36</v>
      </c>
      <c r="H465" s="29">
        <f t="array" ref="H465">IF(B465="","",
DATE(
YEAR(INDEX(Purchases_Import!$B:$B, MATCH(B465, Purchases_Import!$A:$A, 0))),
MONTH(INDEX(Purchases_Import!$B:$B, MATCH(B465, Purchases_Import!$A:$A, 0))),
1
))</f>
        <v>46113</v>
      </c>
    </row>
    <row r="466">
      <c r="A466" s="1" t="str">
        <f>IFERROR(__xludf.DUMMYFUNCTION("""COMPUTED_VALUE"""),"240ad157")</f>
        <v>240ad157</v>
      </c>
      <c r="B466" s="1" t="str">
        <f>IFERROR(__xludf.DUMMYFUNCTION("""COMPUTED_VALUE"""),"9b692f1d")</f>
        <v>9b692f1d</v>
      </c>
      <c r="C466" s="1" t="str">
        <f>IFERROR(__xludf.DUMMYFUNCTION("""COMPUTED_VALUE"""),"0011")</f>
        <v>0011</v>
      </c>
      <c r="D466" s="1"/>
      <c r="E466" s="1">
        <f>IFERROR(__xludf.DUMMYFUNCTION("""COMPUTED_VALUE"""),3.5)</f>
        <v>3.5</v>
      </c>
      <c r="F466" s="1">
        <f>IFERROR(__xludf.DUMMYFUNCTION("""COMPUTED_VALUE"""),2.0)</f>
        <v>2</v>
      </c>
      <c r="G466" s="1">
        <f>IFERROR(__xludf.DUMMYFUNCTION("""COMPUTED_VALUE"""),48.0)</f>
        <v>48</v>
      </c>
    </row>
    <row r="467">
      <c r="A467" s="1" t="str">
        <f>IFERROR(__xludf.DUMMYFUNCTION("""COMPUTED_VALUE"""),"20845107")</f>
        <v>20845107</v>
      </c>
      <c r="B467" s="1" t="str">
        <f>IFERROR(__xludf.DUMMYFUNCTION("""COMPUTED_VALUE"""),"9b692f1d")</f>
        <v>9b692f1d</v>
      </c>
      <c r="C467" s="1" t="str">
        <f>IFERROR(__xludf.DUMMYFUNCTION("""COMPUTED_VALUE"""),"0029")</f>
        <v>0029</v>
      </c>
      <c r="D467" s="1"/>
      <c r="E467" s="1">
        <f>IFERROR(__xludf.DUMMYFUNCTION("""COMPUTED_VALUE"""),2.25)</f>
        <v>2.25</v>
      </c>
      <c r="F467" s="1">
        <f>IFERROR(__xludf.DUMMYFUNCTION("""COMPUTED_VALUE"""),2.0)</f>
        <v>2</v>
      </c>
      <c r="G467" s="1">
        <f>IFERROR(__xludf.DUMMYFUNCTION("""COMPUTED_VALUE"""),48.0)</f>
        <v>48</v>
      </c>
    </row>
    <row r="468">
      <c r="A468" s="1" t="str">
        <f>IFERROR(__xludf.DUMMYFUNCTION("""COMPUTED_VALUE"""),"4c79fba8")</f>
        <v>4c79fba8</v>
      </c>
      <c r="B468" s="1" t="str">
        <f>IFERROR(__xludf.DUMMYFUNCTION("""COMPUTED_VALUE"""),"9b692f1d")</f>
        <v>9b692f1d</v>
      </c>
      <c r="C468" s="1" t="str">
        <f>IFERROR(__xludf.DUMMYFUNCTION("""COMPUTED_VALUE"""),"83dd14b5")</f>
        <v>83dd14b5</v>
      </c>
      <c r="D468" s="1"/>
      <c r="E468" s="1">
        <f>IFERROR(__xludf.DUMMYFUNCTION("""COMPUTED_VALUE"""),0.45)</f>
        <v>0.45</v>
      </c>
      <c r="F468" s="1">
        <f>IFERROR(__xludf.DUMMYFUNCTION("""COMPUTED_VALUE"""),4.0)</f>
        <v>4</v>
      </c>
      <c r="G468" s="1">
        <f>IFERROR(__xludf.DUMMYFUNCTION("""COMPUTED_VALUE"""),0.0)</f>
        <v>0</v>
      </c>
    </row>
    <row r="469">
      <c r="A469" s="1" t="str">
        <f>IFERROR(__xludf.DUMMYFUNCTION("""COMPUTED_VALUE"""),"a7622c6f")</f>
        <v>a7622c6f</v>
      </c>
      <c r="B469" s="1" t="str">
        <f>IFERROR(__xludf.DUMMYFUNCTION("""COMPUTED_VALUE"""),"9b692f1d")</f>
        <v>9b692f1d</v>
      </c>
      <c r="C469" s="1" t="str">
        <f>IFERROR(__xludf.DUMMYFUNCTION("""COMPUTED_VALUE"""),"0027")</f>
        <v>0027</v>
      </c>
      <c r="D469" s="1"/>
      <c r="E469" s="1">
        <f>IFERROR(__xludf.DUMMYFUNCTION("""COMPUTED_VALUE"""),3.28)</f>
        <v>3.28</v>
      </c>
      <c r="F469" s="1">
        <f>IFERROR(__xludf.DUMMYFUNCTION("""COMPUTED_VALUE"""),1.0)</f>
        <v>1</v>
      </c>
      <c r="G469" s="1">
        <f>IFERROR(__xludf.DUMMYFUNCTION("""COMPUTED_VALUE"""),0.0)</f>
        <v>0</v>
      </c>
    </row>
    <row r="470">
      <c r="A470" s="1" t="str">
        <f>IFERROR(__xludf.DUMMYFUNCTION("""COMPUTED_VALUE"""),"3b8875bc")</f>
        <v>3b8875bc</v>
      </c>
      <c r="B470" s="1" t="str">
        <f>IFERROR(__xludf.DUMMYFUNCTION("""COMPUTED_VALUE"""),"9b692f1d")</f>
        <v>9b692f1d</v>
      </c>
      <c r="C470" s="1" t="str">
        <f>IFERROR(__xludf.DUMMYFUNCTION("""COMPUTED_VALUE"""),"0019")</f>
        <v>0019</v>
      </c>
      <c r="D470" s="1"/>
      <c r="E470" s="1">
        <f>IFERROR(__xludf.DUMMYFUNCTION("""COMPUTED_VALUE"""),1.33)</f>
        <v>1.33</v>
      </c>
      <c r="F470" s="1">
        <f>IFERROR(__xludf.DUMMYFUNCTION("""COMPUTED_VALUE"""),2.0)</f>
        <v>2</v>
      </c>
      <c r="G470" s="1">
        <f>IFERROR(__xludf.DUMMYFUNCTION("""COMPUTED_VALUE"""),0.0)</f>
        <v>0</v>
      </c>
    </row>
    <row r="471">
      <c r="A471" s="1" t="str">
        <f>IFERROR(__xludf.DUMMYFUNCTION("""COMPUTED_VALUE"""),"7d5c0f00")</f>
        <v>7d5c0f00</v>
      </c>
      <c r="B471" s="1" t="str">
        <f>IFERROR(__xludf.DUMMYFUNCTION("""COMPUTED_VALUE"""),"9b692f1d")</f>
        <v>9b692f1d</v>
      </c>
      <c r="C471" s="1" t="str">
        <f>IFERROR(__xludf.DUMMYFUNCTION("""COMPUTED_VALUE"""),"a19879cf")</f>
        <v>a19879cf</v>
      </c>
      <c r="D471" s="1"/>
      <c r="E471" s="1"/>
      <c r="F471" s="1">
        <f>IFERROR(__xludf.DUMMYFUNCTION("""COMPUTED_VALUE"""),1.0)</f>
        <v>1</v>
      </c>
      <c r="G471" s="1">
        <f>IFERROR(__xludf.DUMMYFUNCTION("""COMPUTED_VALUE"""),24.0)</f>
        <v>24</v>
      </c>
    </row>
    <row r="472">
      <c r="A472" s="1" t="str">
        <f>IFERROR(__xludf.DUMMYFUNCTION("""COMPUTED_VALUE"""),"a5462acb")</f>
        <v>a5462acb</v>
      </c>
      <c r="B472" s="1" t="str">
        <f>IFERROR(__xludf.DUMMYFUNCTION("""COMPUTED_VALUE"""),"9b692f1d")</f>
        <v>9b692f1d</v>
      </c>
      <c r="C472" s="1" t="str">
        <f>IFERROR(__xludf.DUMMYFUNCTION("""COMPUTED_VALUE"""),"0032")</f>
        <v>0032</v>
      </c>
      <c r="D472" s="1"/>
      <c r="E472" s="1">
        <f>IFERROR(__xludf.DUMMYFUNCTION("""COMPUTED_VALUE"""),2.0)</f>
        <v>2</v>
      </c>
      <c r="F472" s="1">
        <f>IFERROR(__xludf.DUMMYFUNCTION("""COMPUTED_VALUE"""),3.0)</f>
        <v>3</v>
      </c>
      <c r="G472" s="1">
        <f>IFERROR(__xludf.DUMMYFUNCTION("""COMPUTED_VALUE"""),81.0)</f>
        <v>81</v>
      </c>
    </row>
    <row r="473">
      <c r="A473" s="1" t="str">
        <f>IFERROR(__xludf.DUMMYFUNCTION("""COMPUTED_VALUE"""),"bad7a50e")</f>
        <v>bad7a50e</v>
      </c>
      <c r="B473" s="1" t="str">
        <f>IFERROR(__xludf.DUMMYFUNCTION("""COMPUTED_VALUE"""),"9b692f1d")</f>
        <v>9b692f1d</v>
      </c>
      <c r="C473" s="1" t="str">
        <f>IFERROR(__xludf.DUMMYFUNCTION("""COMPUTED_VALUE"""),"0064")</f>
        <v>0064</v>
      </c>
      <c r="D473" s="1"/>
      <c r="E473" s="1">
        <f>IFERROR(__xludf.DUMMYFUNCTION("""COMPUTED_VALUE"""),2.08)</f>
        <v>2.08</v>
      </c>
      <c r="F473" s="1">
        <f>IFERROR(__xludf.DUMMYFUNCTION("""COMPUTED_VALUE"""),2.0)</f>
        <v>2</v>
      </c>
      <c r="G473" s="1">
        <f>IFERROR(__xludf.DUMMYFUNCTION("""COMPUTED_VALUE"""),54.0)</f>
        <v>54</v>
      </c>
    </row>
    <row r="474">
      <c r="A474" s="1" t="str">
        <f>IFERROR(__xludf.DUMMYFUNCTION("""COMPUTED_VALUE"""),"f68d7569")</f>
        <v>f68d7569</v>
      </c>
      <c r="B474" s="1" t="str">
        <f>IFERROR(__xludf.DUMMYFUNCTION("""COMPUTED_VALUE"""),"9b692f1d")</f>
        <v>9b692f1d</v>
      </c>
      <c r="C474" s="1" t="str">
        <f>IFERROR(__xludf.DUMMYFUNCTION("""COMPUTED_VALUE"""),"70bdbe11")</f>
        <v>70bdbe11</v>
      </c>
      <c r="D474" s="1"/>
      <c r="E474" s="1"/>
      <c r="F474" s="1">
        <f>IFERROR(__xludf.DUMMYFUNCTION("""COMPUTED_VALUE"""),1.0)</f>
        <v>1</v>
      </c>
      <c r="G474" s="1">
        <f>IFERROR(__xludf.DUMMYFUNCTION("""COMPUTED_VALUE"""),24.0)</f>
        <v>24</v>
      </c>
    </row>
    <row r="475">
      <c r="A475" s="1" t="str">
        <f>IFERROR(__xludf.DUMMYFUNCTION("""COMPUTED_VALUE"""),"313cd631")</f>
        <v>313cd631</v>
      </c>
      <c r="B475" s="1" t="str">
        <f>IFERROR(__xludf.DUMMYFUNCTION("""COMPUTED_VALUE"""),"15948e0d")</f>
        <v>15948e0d</v>
      </c>
      <c r="C475" s="1" t="str">
        <f>IFERROR(__xludf.DUMMYFUNCTION("""COMPUTED_VALUE"""),"bb4d1bd1")</f>
        <v>bb4d1bd1</v>
      </c>
      <c r="D475" s="1"/>
      <c r="E475" s="1"/>
      <c r="F475" s="1">
        <f>IFERROR(__xludf.DUMMYFUNCTION("""COMPUTED_VALUE"""),1.0)</f>
        <v>1</v>
      </c>
      <c r="G475" s="1">
        <f>IFERROR(__xludf.DUMMYFUNCTION("""COMPUTED_VALUE"""),24.0)</f>
        <v>24</v>
      </c>
    </row>
    <row r="476">
      <c r="A476" s="1" t="str">
        <f>IFERROR(__xludf.DUMMYFUNCTION("""COMPUTED_VALUE"""),"55ae9528")</f>
        <v>55ae9528</v>
      </c>
      <c r="B476" s="1" t="str">
        <f>IFERROR(__xludf.DUMMYFUNCTION("""COMPUTED_VALUE"""),"15948e0d")</f>
        <v>15948e0d</v>
      </c>
      <c r="C476" s="1" t="str">
        <f>IFERROR(__xludf.DUMMYFUNCTION("""COMPUTED_VALUE"""),"02d86a9b")</f>
        <v>02d86a9b</v>
      </c>
      <c r="D476" s="1"/>
      <c r="E476" s="1"/>
      <c r="F476" s="1">
        <f>IFERROR(__xludf.DUMMYFUNCTION("""COMPUTED_VALUE"""),3.0)</f>
        <v>3</v>
      </c>
      <c r="G476" s="1">
        <f>IFERROR(__xludf.DUMMYFUNCTION("""COMPUTED_VALUE"""),72.0)</f>
        <v>72</v>
      </c>
    </row>
    <row r="477">
      <c r="A477" s="1" t="str">
        <f>IFERROR(__xludf.DUMMYFUNCTION("""COMPUTED_VALUE"""),"fb80d64a")</f>
        <v>fb80d64a</v>
      </c>
      <c r="B477" s="1" t="str">
        <f>IFERROR(__xludf.DUMMYFUNCTION("""COMPUTED_VALUE"""),"15948e0d")</f>
        <v>15948e0d</v>
      </c>
      <c r="C477" s="1" t="str">
        <f>IFERROR(__xludf.DUMMYFUNCTION("""COMPUTED_VALUE"""),"a19879cf")</f>
        <v>a19879cf</v>
      </c>
      <c r="D477" s="1"/>
      <c r="E477" s="1"/>
      <c r="F477" s="1">
        <f>IFERROR(__xludf.DUMMYFUNCTION("""COMPUTED_VALUE"""),2.0)</f>
        <v>2</v>
      </c>
      <c r="G477" s="1">
        <f>IFERROR(__xludf.DUMMYFUNCTION("""COMPUTED_VALUE"""),48.0)</f>
        <v>48</v>
      </c>
    </row>
    <row r="478">
      <c r="A478" s="1" t="str">
        <f>IFERROR(__xludf.DUMMYFUNCTION("""COMPUTED_VALUE"""),"501d9653")</f>
        <v>501d9653</v>
      </c>
      <c r="B478" s="1" t="str">
        <f>IFERROR(__xludf.DUMMYFUNCTION("""COMPUTED_VALUE"""),"15948e0d")</f>
        <v>15948e0d</v>
      </c>
      <c r="C478" s="1" t="str">
        <f>IFERROR(__xludf.DUMMYFUNCTION("""COMPUTED_VALUE"""),"6c787857")</f>
        <v>6c787857</v>
      </c>
      <c r="D478" s="1"/>
      <c r="E478" s="1"/>
      <c r="F478" s="1">
        <f>IFERROR(__xludf.DUMMYFUNCTION("""COMPUTED_VALUE"""),1.0)</f>
        <v>1</v>
      </c>
      <c r="G478" s="1">
        <f>IFERROR(__xludf.DUMMYFUNCTION("""COMPUTED_VALUE"""),24.0)</f>
        <v>24</v>
      </c>
    </row>
    <row r="479">
      <c r="A479" s="1" t="str">
        <f>IFERROR(__xludf.DUMMYFUNCTION("""COMPUTED_VALUE"""),"0f202c66")</f>
        <v>0f202c66</v>
      </c>
      <c r="B479" s="1" t="str">
        <f>IFERROR(__xludf.DUMMYFUNCTION("""COMPUTED_VALUE"""),"15948e0d")</f>
        <v>15948e0d</v>
      </c>
      <c r="C479" s="1" t="str">
        <f>IFERROR(__xludf.DUMMYFUNCTION("""COMPUTED_VALUE"""),"0033")</f>
        <v>0033</v>
      </c>
      <c r="D479" s="1"/>
      <c r="E479" s="1">
        <f>IFERROR(__xludf.DUMMYFUNCTION("""COMPUTED_VALUE"""),1.33)</f>
        <v>1.33</v>
      </c>
      <c r="F479" s="1">
        <f>IFERROR(__xludf.DUMMYFUNCTION("""COMPUTED_VALUE"""),1.0)</f>
        <v>1</v>
      </c>
      <c r="G479" s="1">
        <f>IFERROR(__xludf.DUMMYFUNCTION("""COMPUTED_VALUE"""),0.0)</f>
        <v>0</v>
      </c>
    </row>
    <row r="480">
      <c r="A480" s="1" t="str">
        <f>IFERROR(__xludf.DUMMYFUNCTION("""COMPUTED_VALUE"""),"4e291d0f")</f>
        <v>4e291d0f</v>
      </c>
      <c r="B480" s="1" t="str">
        <f>IFERROR(__xludf.DUMMYFUNCTION("""COMPUTED_VALUE"""),"15948e0d")</f>
        <v>15948e0d</v>
      </c>
      <c r="C480" s="1" t="str">
        <f>IFERROR(__xludf.DUMMYFUNCTION("""COMPUTED_VALUE"""),"eda833ca")</f>
        <v>eda833ca</v>
      </c>
      <c r="D480" s="1"/>
      <c r="E480" s="1"/>
      <c r="F480" s="1">
        <f>IFERROR(__xludf.DUMMYFUNCTION("""COMPUTED_VALUE"""),2.0)</f>
        <v>2</v>
      </c>
      <c r="G480" s="1">
        <f>IFERROR(__xludf.DUMMYFUNCTION("""COMPUTED_VALUE"""),36.0)</f>
        <v>36</v>
      </c>
    </row>
    <row r="481">
      <c r="A481" s="1" t="str">
        <f>IFERROR(__xludf.DUMMYFUNCTION("""COMPUTED_VALUE"""),"134000cc")</f>
        <v>134000cc</v>
      </c>
      <c r="B481" s="1" t="str">
        <f>IFERROR(__xludf.DUMMYFUNCTION("""COMPUTED_VALUE"""),"15948e0d")</f>
        <v>15948e0d</v>
      </c>
      <c r="C481" s="1" t="str">
        <f>IFERROR(__xludf.DUMMYFUNCTION("""COMPUTED_VALUE"""),"0f694cb5")</f>
        <v>0f694cb5</v>
      </c>
      <c r="D481" s="1"/>
      <c r="E481" s="1"/>
      <c r="F481" s="1">
        <f>IFERROR(__xludf.DUMMYFUNCTION("""COMPUTED_VALUE"""),2.0)</f>
        <v>2</v>
      </c>
      <c r="G481" s="1">
        <f>IFERROR(__xludf.DUMMYFUNCTION("""COMPUTED_VALUE"""),24.0)</f>
        <v>24</v>
      </c>
    </row>
    <row r="482">
      <c r="A482" s="1" t="str">
        <f>IFERROR(__xludf.DUMMYFUNCTION("""COMPUTED_VALUE"""),"77f48efa")</f>
        <v>77f48efa</v>
      </c>
      <c r="B482" s="1" t="str">
        <f>IFERROR(__xludf.DUMMYFUNCTION("""COMPUTED_VALUE"""),"8588cab5")</f>
        <v>8588cab5</v>
      </c>
      <c r="C482" s="1" t="str">
        <f>IFERROR(__xludf.DUMMYFUNCTION("""COMPUTED_VALUE"""),"7221daf3")</f>
        <v>7221daf3</v>
      </c>
      <c r="D482" s="1">
        <f>IFERROR(__xludf.DUMMYFUNCTION("""COMPUTED_VALUE"""),29.0)</f>
        <v>29</v>
      </c>
      <c r="E482" s="1"/>
      <c r="F482" s="1"/>
      <c r="G482" s="1">
        <f>IFERROR(__xludf.DUMMYFUNCTION("""COMPUTED_VALUE"""),29.0)</f>
        <v>29</v>
      </c>
    </row>
    <row r="483">
      <c r="A483" s="1" t="str">
        <f>IFERROR(__xludf.DUMMYFUNCTION("""COMPUTED_VALUE"""),"8c8aa3ef")</f>
        <v>8c8aa3ef</v>
      </c>
      <c r="B483" s="1" t="str">
        <f>IFERROR(__xludf.DUMMYFUNCTION("""COMPUTED_VALUE"""),"8588cab5")</f>
        <v>8588cab5</v>
      </c>
      <c r="C483" s="1" t="str">
        <f>IFERROR(__xludf.DUMMYFUNCTION("""COMPUTED_VALUE"""),"0038")</f>
        <v>0038</v>
      </c>
      <c r="D483" s="1">
        <f>IFERROR(__xludf.DUMMYFUNCTION("""COMPUTED_VALUE"""),16.0)</f>
        <v>16</v>
      </c>
      <c r="E483" s="1">
        <f>IFERROR(__xludf.DUMMYFUNCTION("""COMPUTED_VALUE"""),6.12)</f>
        <v>6.12</v>
      </c>
      <c r="F483" s="1"/>
      <c r="G483" s="1">
        <f>IFERROR(__xludf.DUMMYFUNCTION("""COMPUTED_VALUE"""),16.0)</f>
        <v>16</v>
      </c>
    </row>
    <row r="484">
      <c r="A484" s="1" t="str">
        <f>IFERROR(__xludf.DUMMYFUNCTION("""COMPUTED_VALUE"""),"979e813b")</f>
        <v>979e813b</v>
      </c>
      <c r="B484" s="1" t="str">
        <f>IFERROR(__xludf.DUMMYFUNCTION("""COMPUTED_VALUE"""),"ab54e6b0")</f>
        <v>ab54e6b0</v>
      </c>
      <c r="C484" s="1" t="str">
        <f>IFERROR(__xludf.DUMMYFUNCTION("""COMPUTED_VALUE"""),"c099f042")</f>
        <v>c099f042</v>
      </c>
      <c r="D484" s="1"/>
      <c r="E484" s="1"/>
      <c r="F484" s="1">
        <f>IFERROR(__xludf.DUMMYFUNCTION("""COMPUTED_VALUE"""),8.0)</f>
        <v>8</v>
      </c>
      <c r="G484" s="1">
        <f>IFERROR(__xludf.DUMMYFUNCTION("""COMPUTED_VALUE"""),160.0)</f>
        <v>160</v>
      </c>
    </row>
    <row r="485">
      <c r="A485" s="1" t="str">
        <f>IFERROR(__xludf.DUMMYFUNCTION("""COMPUTED_VALUE"""),"73544fd3")</f>
        <v>73544fd3</v>
      </c>
      <c r="B485" s="1" t="str">
        <f>IFERROR(__xludf.DUMMYFUNCTION("""COMPUTED_VALUE"""),"4046a521")</f>
        <v>4046a521</v>
      </c>
      <c r="C485" s="1" t="str">
        <f>IFERROR(__xludf.DUMMYFUNCTION("""COMPUTED_VALUE"""),"0001")</f>
        <v>0001</v>
      </c>
      <c r="D485" s="1"/>
      <c r="E485" s="1">
        <f>IFERROR(__xludf.DUMMYFUNCTION("""COMPUTED_VALUE"""),2.8)</f>
        <v>2.8</v>
      </c>
      <c r="F485" s="1">
        <f>IFERROR(__xludf.DUMMYFUNCTION("""COMPUTED_VALUE"""),12.0)</f>
        <v>12</v>
      </c>
      <c r="G485" s="1">
        <f>IFERROR(__xludf.DUMMYFUNCTION("""COMPUTED_VALUE"""),180.0)</f>
        <v>180</v>
      </c>
    </row>
    <row r="486">
      <c r="A486" s="1" t="str">
        <f>IFERROR(__xludf.DUMMYFUNCTION("""COMPUTED_VALUE"""),"eaa7fccc")</f>
        <v>eaa7fccc</v>
      </c>
      <c r="B486" s="1" t="str">
        <f>IFERROR(__xludf.DUMMYFUNCTION("""COMPUTED_VALUE"""),"4046a521")</f>
        <v>4046a521</v>
      </c>
      <c r="C486" s="1" t="str">
        <f>IFERROR(__xludf.DUMMYFUNCTION("""COMPUTED_VALUE"""),"12b96290")</f>
        <v>12b96290</v>
      </c>
      <c r="D486" s="1"/>
      <c r="E486" s="1">
        <f>IFERROR(__xludf.DUMMYFUNCTION("""COMPUTED_VALUE"""),3.0)</f>
        <v>3</v>
      </c>
      <c r="F486" s="1">
        <f>IFERROR(__xludf.DUMMYFUNCTION("""COMPUTED_VALUE"""),12.0)</f>
        <v>12</v>
      </c>
      <c r="G486" s="1">
        <f>IFERROR(__xludf.DUMMYFUNCTION("""COMPUTED_VALUE"""),180.0)</f>
        <v>180</v>
      </c>
    </row>
    <row r="487">
      <c r="A487" s="1" t="str">
        <f>IFERROR(__xludf.DUMMYFUNCTION("""COMPUTED_VALUE"""),"8fff79a1")</f>
        <v>8fff79a1</v>
      </c>
      <c r="B487" s="1" t="str">
        <f>IFERROR(__xludf.DUMMYFUNCTION("""COMPUTED_VALUE"""),"4046a521")</f>
        <v>4046a521</v>
      </c>
      <c r="C487" s="1" t="str">
        <f>IFERROR(__xludf.DUMMYFUNCTION("""COMPUTED_VALUE"""),"c22010ef")</f>
        <v>c22010ef</v>
      </c>
      <c r="D487" s="1"/>
      <c r="E487" s="1"/>
      <c r="F487" s="1">
        <f>IFERROR(__xludf.DUMMYFUNCTION("""COMPUTED_VALUE"""),5.0)</f>
        <v>5</v>
      </c>
      <c r="G487" s="1">
        <f>IFERROR(__xludf.DUMMYFUNCTION("""COMPUTED_VALUE"""),75.0)</f>
        <v>75</v>
      </c>
    </row>
    <row r="488">
      <c r="A488" s="1" t="str">
        <f>IFERROR(__xludf.DUMMYFUNCTION("""COMPUTED_VALUE"""),"4b7d222e")</f>
        <v>4b7d222e</v>
      </c>
      <c r="B488" s="1" t="str">
        <f>IFERROR(__xludf.DUMMYFUNCTION("""COMPUTED_VALUE"""),"4046a521")</f>
        <v>4046a521</v>
      </c>
      <c r="C488" s="1" t="str">
        <f>IFERROR(__xludf.DUMMYFUNCTION("""COMPUTED_VALUE"""),"d5b5f9d1")</f>
        <v>d5b5f9d1</v>
      </c>
      <c r="D488" s="1"/>
      <c r="E488" s="1">
        <f>IFERROR(__xludf.DUMMYFUNCTION("""COMPUTED_VALUE"""),2.6)</f>
        <v>2.6</v>
      </c>
      <c r="F488" s="1">
        <f>IFERROR(__xludf.DUMMYFUNCTION("""COMPUTED_VALUE"""),1.0)</f>
        <v>1</v>
      </c>
      <c r="G488" s="1">
        <f>IFERROR(__xludf.DUMMYFUNCTION("""COMPUTED_VALUE"""),15.0)</f>
        <v>15</v>
      </c>
    </row>
    <row r="489">
      <c r="A489" s="1" t="str">
        <f>IFERROR(__xludf.DUMMYFUNCTION("""COMPUTED_VALUE"""),"61f34dba")</f>
        <v>61f34dba</v>
      </c>
      <c r="B489" s="1" t="str">
        <f>IFERROR(__xludf.DUMMYFUNCTION("""COMPUTED_VALUE"""),"138a44eb")</f>
        <v>138a44eb</v>
      </c>
      <c r="C489" s="1" t="str">
        <f>IFERROR(__xludf.DUMMYFUNCTION("""COMPUTED_VALUE"""),"8ed00567")</f>
        <v>8ed00567</v>
      </c>
      <c r="D489" s="1">
        <f>IFERROR(__xludf.DUMMYFUNCTION("""COMPUTED_VALUE"""),24.0)</f>
        <v>24</v>
      </c>
      <c r="E489" s="1"/>
      <c r="F489" s="1"/>
      <c r="G489" s="1">
        <f>IFERROR(__xludf.DUMMYFUNCTION("""COMPUTED_VALUE"""),24.0)</f>
        <v>24</v>
      </c>
    </row>
    <row r="490">
      <c r="A490" s="1" t="str">
        <f>IFERROR(__xludf.DUMMYFUNCTION("""COMPUTED_VALUE"""),"ecbf08be")</f>
        <v>ecbf08be</v>
      </c>
      <c r="B490" s="1" t="str">
        <f>IFERROR(__xludf.DUMMYFUNCTION("""COMPUTED_VALUE"""),"138a44eb")</f>
        <v>138a44eb</v>
      </c>
      <c r="C490" s="1" t="str">
        <f>IFERROR(__xludf.DUMMYFUNCTION("""COMPUTED_VALUE"""),"0011")</f>
        <v>0011</v>
      </c>
      <c r="D490" s="1"/>
      <c r="E490" s="1">
        <f>IFERROR(__xludf.DUMMYFUNCTION("""COMPUTED_VALUE"""),3.5)</f>
        <v>3.5</v>
      </c>
      <c r="F490" s="1">
        <f>IFERROR(__xludf.DUMMYFUNCTION("""COMPUTED_VALUE"""),4.0)</f>
        <v>4</v>
      </c>
      <c r="G490" s="1">
        <f>IFERROR(__xludf.DUMMYFUNCTION("""COMPUTED_VALUE"""),96.0)</f>
        <v>96</v>
      </c>
    </row>
    <row r="491">
      <c r="A491" s="1" t="str">
        <f>IFERROR(__xludf.DUMMYFUNCTION("""COMPUTED_VALUE"""),"8171a697")</f>
        <v>8171a697</v>
      </c>
      <c r="B491" s="1" t="str">
        <f>IFERROR(__xludf.DUMMYFUNCTION("""COMPUTED_VALUE"""),"138a44eb")</f>
        <v>138a44eb</v>
      </c>
      <c r="C491" s="1" t="str">
        <f>IFERROR(__xludf.DUMMYFUNCTION("""COMPUTED_VALUE"""),"0014")</f>
        <v>0014</v>
      </c>
      <c r="D491" s="1">
        <f>IFERROR(__xludf.DUMMYFUNCTION("""COMPUTED_VALUE"""),30.0)</f>
        <v>30</v>
      </c>
      <c r="E491" s="1">
        <f>IFERROR(__xludf.DUMMYFUNCTION("""COMPUTED_VALUE"""),5.9)</f>
        <v>5.9</v>
      </c>
      <c r="F491" s="1"/>
      <c r="G491" s="1">
        <f>IFERROR(__xludf.DUMMYFUNCTION("""COMPUTED_VALUE"""),30.0)</f>
        <v>30</v>
      </c>
    </row>
    <row r="492">
      <c r="A492" s="1" t="str">
        <f>IFERROR(__xludf.DUMMYFUNCTION("""COMPUTED_VALUE"""),"c4f1005f")</f>
        <v>c4f1005f</v>
      </c>
      <c r="B492" s="1" t="str">
        <f>IFERROR(__xludf.DUMMYFUNCTION("""COMPUTED_VALUE"""),"467b9a30")</f>
        <v>467b9a30</v>
      </c>
      <c r="C492" s="1" t="str">
        <f>IFERROR(__xludf.DUMMYFUNCTION("""COMPUTED_VALUE"""),"02d86a9b")</f>
        <v>02d86a9b</v>
      </c>
      <c r="D492" s="1"/>
      <c r="E492" s="1"/>
      <c r="F492" s="1">
        <f>IFERROR(__xludf.DUMMYFUNCTION("""COMPUTED_VALUE"""),2.0)</f>
        <v>2</v>
      </c>
      <c r="G492" s="1">
        <f>IFERROR(__xludf.DUMMYFUNCTION("""COMPUTED_VALUE"""),48.0)</f>
        <v>48</v>
      </c>
    </row>
    <row r="493">
      <c r="A493" s="1" t="str">
        <f>IFERROR(__xludf.DUMMYFUNCTION("""COMPUTED_VALUE"""),"3037badc")</f>
        <v>3037badc</v>
      </c>
      <c r="B493" s="1" t="str">
        <f>IFERROR(__xludf.DUMMYFUNCTION("""COMPUTED_VALUE"""),"467b9a30")</f>
        <v>467b9a30</v>
      </c>
      <c r="C493" s="1" t="str">
        <f>IFERROR(__xludf.DUMMYFUNCTION("""COMPUTED_VALUE"""),"a19879cf")</f>
        <v>a19879cf</v>
      </c>
      <c r="D493" s="1"/>
      <c r="E493" s="1"/>
      <c r="F493" s="1">
        <f>IFERROR(__xludf.DUMMYFUNCTION("""COMPUTED_VALUE"""),2.0)</f>
        <v>2</v>
      </c>
      <c r="G493" s="1">
        <f>IFERROR(__xludf.DUMMYFUNCTION("""COMPUTED_VALUE"""),48.0)</f>
        <v>48</v>
      </c>
    </row>
    <row r="494">
      <c r="A494" s="1" t="str">
        <f>IFERROR(__xludf.DUMMYFUNCTION("""COMPUTED_VALUE"""),"3ffae986")</f>
        <v>3ffae986</v>
      </c>
      <c r="B494" s="1" t="str">
        <f>IFERROR(__xludf.DUMMYFUNCTION("""COMPUTED_VALUE"""),"467b9a30")</f>
        <v>467b9a30</v>
      </c>
      <c r="C494" s="1" t="str">
        <f>IFERROR(__xludf.DUMMYFUNCTION("""COMPUTED_VALUE"""),"6c787857")</f>
        <v>6c787857</v>
      </c>
      <c r="D494" s="1">
        <f>IFERROR(__xludf.DUMMYFUNCTION("""COMPUTED_VALUE"""),24.0)</f>
        <v>24</v>
      </c>
      <c r="E494" s="1"/>
      <c r="F494" s="1"/>
      <c r="G494" s="1">
        <f>IFERROR(__xludf.DUMMYFUNCTION("""COMPUTED_VALUE"""),24.0)</f>
        <v>24</v>
      </c>
    </row>
    <row r="495">
      <c r="A495" s="1" t="str">
        <f>IFERROR(__xludf.DUMMYFUNCTION("""COMPUTED_VALUE"""),"3d2ef391")</f>
        <v>3d2ef391</v>
      </c>
      <c r="B495" s="1" t="str">
        <f>IFERROR(__xludf.DUMMYFUNCTION("""COMPUTED_VALUE"""),"8c24f1f2")</f>
        <v>8c24f1f2</v>
      </c>
      <c r="C495" s="1" t="str">
        <f>IFERROR(__xludf.DUMMYFUNCTION("""COMPUTED_VALUE"""),"0002")</f>
        <v>0002</v>
      </c>
      <c r="D495" s="1"/>
      <c r="E495" s="1">
        <f>IFERROR(__xludf.DUMMYFUNCTION("""COMPUTED_VALUE"""),0.3)</f>
        <v>0.3</v>
      </c>
      <c r="F495" s="1">
        <f>IFERROR(__xludf.DUMMYFUNCTION("""COMPUTED_VALUE"""),101.0)</f>
        <v>101</v>
      </c>
      <c r="G495" s="1">
        <f>IFERROR(__xludf.DUMMYFUNCTION("""COMPUTED_VALUE"""),1212.0)</f>
        <v>1212</v>
      </c>
    </row>
    <row r="496">
      <c r="A496" s="1" t="str">
        <f>IFERROR(__xludf.DUMMYFUNCTION("""COMPUTED_VALUE"""),"2421ca38")</f>
        <v>2421ca38</v>
      </c>
      <c r="B496" s="1" t="str">
        <f>IFERROR(__xludf.DUMMYFUNCTION("""COMPUTED_VALUE"""),"851a886d")</f>
        <v>851a886d</v>
      </c>
      <c r="C496" s="1" t="str">
        <f>IFERROR(__xludf.DUMMYFUNCTION("""COMPUTED_VALUE"""),"8ed00567")</f>
        <v>8ed00567</v>
      </c>
      <c r="D496" s="1">
        <f>IFERROR(__xludf.DUMMYFUNCTION("""COMPUTED_VALUE"""),48.0)</f>
        <v>48</v>
      </c>
      <c r="E496" s="1"/>
      <c r="F496" s="1"/>
      <c r="G496" s="1">
        <f>IFERROR(__xludf.DUMMYFUNCTION("""COMPUTED_VALUE"""),48.0)</f>
        <v>48</v>
      </c>
    </row>
    <row r="497">
      <c r="A497" s="1" t="str">
        <f>IFERROR(__xludf.DUMMYFUNCTION("""COMPUTED_VALUE"""),"0c439a8b")</f>
        <v>0c439a8b</v>
      </c>
      <c r="B497" s="1" t="str">
        <f>IFERROR(__xludf.DUMMYFUNCTION("""COMPUTED_VALUE"""),"851a886d")</f>
        <v>851a886d</v>
      </c>
      <c r="C497" s="1" t="str">
        <f>IFERROR(__xludf.DUMMYFUNCTION("""COMPUTED_VALUE"""),"0024")</f>
        <v>0024</v>
      </c>
      <c r="D497" s="1">
        <f>IFERROR(__xludf.DUMMYFUNCTION("""COMPUTED_VALUE"""),20.0)</f>
        <v>20</v>
      </c>
      <c r="E497" s="1">
        <f>IFERROR(__xludf.DUMMYFUNCTION("""COMPUTED_VALUE"""),2.4)</f>
        <v>2.4</v>
      </c>
      <c r="F497" s="1"/>
      <c r="G497" s="1">
        <f>IFERROR(__xludf.DUMMYFUNCTION("""COMPUTED_VALUE"""),20.0)</f>
        <v>20</v>
      </c>
    </row>
    <row r="498">
      <c r="A498" s="1" t="str">
        <f>IFERROR(__xludf.DUMMYFUNCTION("""COMPUTED_VALUE"""),"ea18dacd")</f>
        <v>ea18dacd</v>
      </c>
      <c r="B498" s="1" t="str">
        <f>IFERROR(__xludf.DUMMYFUNCTION("""COMPUTED_VALUE"""),"851a886d")</f>
        <v>851a886d</v>
      </c>
      <c r="C498" s="1" t="str">
        <f>IFERROR(__xludf.DUMMYFUNCTION("""COMPUTED_VALUE"""),"0027")</f>
        <v>0027</v>
      </c>
      <c r="D498" s="1"/>
      <c r="E498" s="1">
        <f>IFERROR(__xludf.DUMMYFUNCTION("""COMPUTED_VALUE"""),3.28)</f>
        <v>3.28</v>
      </c>
      <c r="F498" s="1">
        <f>IFERROR(__xludf.DUMMYFUNCTION("""COMPUTED_VALUE"""),3.0)</f>
        <v>3</v>
      </c>
      <c r="G498" s="1">
        <f>IFERROR(__xludf.DUMMYFUNCTION("""COMPUTED_VALUE"""),75.0)</f>
        <v>75</v>
      </c>
    </row>
    <row r="499">
      <c r="A499" s="1" t="str">
        <f>IFERROR(__xludf.DUMMYFUNCTION("""COMPUTED_VALUE"""),"76f0322f")</f>
        <v>76f0322f</v>
      </c>
      <c r="B499" s="1" t="str">
        <f>IFERROR(__xludf.DUMMYFUNCTION("""COMPUTED_VALUE"""),"851a886d")</f>
        <v>851a886d</v>
      </c>
      <c r="C499" s="1" t="str">
        <f>IFERROR(__xludf.DUMMYFUNCTION("""COMPUTED_VALUE"""),"0033")</f>
        <v>0033</v>
      </c>
      <c r="D499" s="1"/>
      <c r="E499" s="1">
        <f>IFERROR(__xludf.DUMMYFUNCTION("""COMPUTED_VALUE"""),1.33)</f>
        <v>1.33</v>
      </c>
      <c r="F499" s="1">
        <f>IFERROR(__xludf.DUMMYFUNCTION("""COMPUTED_VALUE"""),1.0)</f>
        <v>1</v>
      </c>
      <c r="G499" s="1">
        <f>IFERROR(__xludf.DUMMYFUNCTION("""COMPUTED_VALUE"""),24.0)</f>
        <v>24</v>
      </c>
    </row>
    <row r="500">
      <c r="A500" s="1" t="str">
        <f>IFERROR(__xludf.DUMMYFUNCTION("""COMPUTED_VALUE"""),"0b7c7d75")</f>
        <v>0b7c7d75</v>
      </c>
      <c r="B500" s="1" t="str">
        <f>IFERROR(__xludf.DUMMYFUNCTION("""COMPUTED_VALUE"""),"851a886d")</f>
        <v>851a886d</v>
      </c>
      <c r="C500" s="1" t="str">
        <f>IFERROR(__xludf.DUMMYFUNCTION("""COMPUTED_VALUE"""),"0032")</f>
        <v>0032</v>
      </c>
      <c r="D500" s="1"/>
      <c r="E500" s="1">
        <f>IFERROR(__xludf.DUMMYFUNCTION("""COMPUTED_VALUE"""),2.0)</f>
        <v>2</v>
      </c>
      <c r="F500" s="1">
        <f>IFERROR(__xludf.DUMMYFUNCTION("""COMPUTED_VALUE"""),2.0)</f>
        <v>2</v>
      </c>
      <c r="G500" s="1">
        <f>IFERROR(__xludf.DUMMYFUNCTION("""COMPUTED_VALUE"""),54.0)</f>
        <v>54</v>
      </c>
    </row>
    <row r="501">
      <c r="A501" s="1" t="str">
        <f>IFERROR(__xludf.DUMMYFUNCTION("""COMPUTED_VALUE"""),"31d151be")</f>
        <v>31d151be</v>
      </c>
      <c r="B501" s="1" t="str">
        <f>IFERROR(__xludf.DUMMYFUNCTION("""COMPUTED_VALUE"""),"c3c8d6b8")</f>
        <v>c3c8d6b8</v>
      </c>
      <c r="C501" s="1" t="str">
        <f>IFERROR(__xludf.DUMMYFUNCTION("""COMPUTED_VALUE"""),"0029")</f>
        <v>0029</v>
      </c>
      <c r="D501" s="1"/>
      <c r="E501" s="1">
        <f>IFERROR(__xludf.DUMMYFUNCTION("""COMPUTED_VALUE"""),2.25)</f>
        <v>2.25</v>
      </c>
      <c r="F501" s="1">
        <f>IFERROR(__xludf.DUMMYFUNCTION("""COMPUTED_VALUE"""),5.0)</f>
        <v>5</v>
      </c>
      <c r="G501" s="1">
        <f>IFERROR(__xludf.DUMMYFUNCTION("""COMPUTED_VALUE"""),120.0)</f>
        <v>120</v>
      </c>
    </row>
    <row r="502">
      <c r="A502" s="1" t="str">
        <f>IFERROR(__xludf.DUMMYFUNCTION("""COMPUTED_VALUE"""),"ceec173e")</f>
        <v>ceec173e</v>
      </c>
      <c r="B502" s="1" t="str">
        <f>IFERROR(__xludf.DUMMYFUNCTION("""COMPUTED_VALUE"""),"c3c8d6b8")</f>
        <v>c3c8d6b8</v>
      </c>
      <c r="C502" s="1" t="str">
        <f>IFERROR(__xludf.DUMMYFUNCTION("""COMPUTED_VALUE"""),"0011")</f>
        <v>0011</v>
      </c>
      <c r="D502" s="1"/>
      <c r="E502" s="1">
        <f>IFERROR(__xludf.DUMMYFUNCTION("""COMPUTED_VALUE"""),3.5)</f>
        <v>3.5</v>
      </c>
      <c r="F502" s="1">
        <f>IFERROR(__xludf.DUMMYFUNCTION("""COMPUTED_VALUE"""),5.0)</f>
        <v>5</v>
      </c>
      <c r="G502" s="1">
        <f>IFERROR(__xludf.DUMMYFUNCTION("""COMPUTED_VALUE"""),120.0)</f>
        <v>120</v>
      </c>
    </row>
    <row r="503">
      <c r="A503" s="1" t="str">
        <f>IFERROR(__xludf.DUMMYFUNCTION("""COMPUTED_VALUE"""),"9346f244")</f>
        <v>9346f244</v>
      </c>
      <c r="B503" s="1" t="str">
        <f>IFERROR(__xludf.DUMMYFUNCTION("""COMPUTED_VALUE"""),"c3c8d6b8")</f>
        <v>c3c8d6b8</v>
      </c>
      <c r="C503" s="1" t="str">
        <f>IFERROR(__xludf.DUMMYFUNCTION("""COMPUTED_VALUE"""),"70bdbe11")</f>
        <v>70bdbe11</v>
      </c>
      <c r="D503" s="1"/>
      <c r="E503" s="1"/>
      <c r="F503" s="1">
        <f>IFERROR(__xludf.DUMMYFUNCTION("""COMPUTED_VALUE"""),5.0)</f>
        <v>5</v>
      </c>
      <c r="G503" s="1">
        <f>IFERROR(__xludf.DUMMYFUNCTION("""COMPUTED_VALUE"""),120.0)</f>
        <v>120</v>
      </c>
    </row>
    <row r="504">
      <c r="A504" s="1" t="str">
        <f>IFERROR(__xludf.DUMMYFUNCTION("""COMPUTED_VALUE"""),"614fa747")</f>
        <v>614fa747</v>
      </c>
      <c r="B504" s="1" t="str">
        <f>IFERROR(__xludf.DUMMYFUNCTION("""COMPUTED_VALUE"""),"c3c8d6b8")</f>
        <v>c3c8d6b8</v>
      </c>
      <c r="C504" s="1" t="str">
        <f>IFERROR(__xludf.DUMMYFUNCTION("""COMPUTED_VALUE"""),"0027")</f>
        <v>0027</v>
      </c>
      <c r="D504" s="1"/>
      <c r="E504" s="1">
        <f>IFERROR(__xludf.DUMMYFUNCTION("""COMPUTED_VALUE"""),3.28)</f>
        <v>3.28</v>
      </c>
      <c r="F504" s="1">
        <f>IFERROR(__xludf.DUMMYFUNCTION("""COMPUTED_VALUE"""),1.0)</f>
        <v>1</v>
      </c>
      <c r="G504" s="1">
        <f>IFERROR(__xludf.DUMMYFUNCTION("""COMPUTED_VALUE"""),25.0)</f>
        <v>25</v>
      </c>
    </row>
    <row r="505">
      <c r="A505" s="1" t="str">
        <f>IFERROR(__xludf.DUMMYFUNCTION("""COMPUTED_VALUE"""),"f4e6b46c")</f>
        <v>f4e6b46c</v>
      </c>
      <c r="B505" s="1" t="str">
        <f>IFERROR(__xludf.DUMMYFUNCTION("""COMPUTED_VALUE"""),"c3c8d6b8")</f>
        <v>c3c8d6b8</v>
      </c>
      <c r="C505" s="1" t="str">
        <f>IFERROR(__xludf.DUMMYFUNCTION("""COMPUTED_VALUE"""),"0f694cb5")</f>
        <v>0f694cb5</v>
      </c>
      <c r="D505" s="1">
        <f>IFERROR(__xludf.DUMMYFUNCTION("""COMPUTED_VALUE"""),12.0)</f>
        <v>12</v>
      </c>
      <c r="E505" s="1"/>
      <c r="F505" s="1"/>
      <c r="G505" s="1">
        <f>IFERROR(__xludf.DUMMYFUNCTION("""COMPUTED_VALUE"""),12.0)</f>
        <v>12</v>
      </c>
    </row>
    <row r="506">
      <c r="A506" s="1" t="str">
        <f>IFERROR(__xludf.DUMMYFUNCTION("""COMPUTED_VALUE"""),"20fe6d86")</f>
        <v>20fe6d86</v>
      </c>
      <c r="B506" s="1" t="str">
        <f>IFERROR(__xludf.DUMMYFUNCTION("""COMPUTED_VALUE"""),"c3c8d6b8")</f>
        <v>c3c8d6b8</v>
      </c>
      <c r="C506" s="1" t="str">
        <f>IFERROR(__xludf.DUMMYFUNCTION("""COMPUTED_VALUE"""),"83dd14b5")</f>
        <v>83dd14b5</v>
      </c>
      <c r="D506" s="1"/>
      <c r="E506" s="1">
        <f>IFERROR(__xludf.DUMMYFUNCTION("""COMPUTED_VALUE"""),0.45)</f>
        <v>0.45</v>
      </c>
      <c r="F506" s="1">
        <f>IFERROR(__xludf.DUMMYFUNCTION("""COMPUTED_VALUE"""),4.0)</f>
        <v>4</v>
      </c>
      <c r="G506" s="1">
        <f>IFERROR(__xludf.DUMMYFUNCTION("""COMPUTED_VALUE"""),96.0)</f>
        <v>96</v>
      </c>
    </row>
    <row r="507">
      <c r="A507" s="1" t="str">
        <f>IFERROR(__xludf.DUMMYFUNCTION("""COMPUTED_VALUE"""),"ebd099e3")</f>
        <v>ebd099e3</v>
      </c>
      <c r="B507" s="1" t="str">
        <f>IFERROR(__xludf.DUMMYFUNCTION("""COMPUTED_VALUE"""),"c3c8d6b8")</f>
        <v>c3c8d6b8</v>
      </c>
      <c r="C507" s="1" t="str">
        <f>IFERROR(__xludf.DUMMYFUNCTION("""COMPUTED_VALUE"""),"8ed00567")</f>
        <v>8ed00567</v>
      </c>
      <c r="D507" s="1"/>
      <c r="E507" s="1"/>
      <c r="F507" s="1">
        <f>IFERROR(__xludf.DUMMYFUNCTION("""COMPUTED_VALUE"""),12.0)</f>
        <v>12</v>
      </c>
      <c r="G507" s="1">
        <f>IFERROR(__xludf.DUMMYFUNCTION("""COMPUTED_VALUE"""),0.0)</f>
        <v>0</v>
      </c>
    </row>
    <row r="508">
      <c r="A508" s="1" t="str">
        <f>IFERROR(__xludf.DUMMYFUNCTION("""COMPUTED_VALUE"""),"a5e408c2")</f>
        <v>a5e408c2</v>
      </c>
      <c r="B508" s="1" t="str">
        <f>IFERROR(__xludf.DUMMYFUNCTION("""COMPUTED_VALUE"""),"13a4ee3b")</f>
        <v>13a4ee3b</v>
      </c>
      <c r="C508" s="1" t="str">
        <f>IFERROR(__xludf.DUMMYFUNCTION("""COMPUTED_VALUE"""),"8ed00567")</f>
        <v>8ed00567</v>
      </c>
      <c r="D508" s="1"/>
      <c r="E508" s="1"/>
      <c r="F508" s="1">
        <f>IFERROR(__xludf.DUMMYFUNCTION("""COMPUTED_VALUE"""),12.0)</f>
        <v>12</v>
      </c>
      <c r="G508" s="1">
        <f>IFERROR(__xludf.DUMMYFUNCTION("""COMPUTED_VALUE"""),144.0)</f>
        <v>144</v>
      </c>
    </row>
    <row r="509">
      <c r="A509" s="1" t="str">
        <f>IFERROR(__xludf.DUMMYFUNCTION("""COMPUTED_VALUE"""),"163ae2bc")</f>
        <v>163ae2bc</v>
      </c>
      <c r="B509" s="1" t="str">
        <f>IFERROR(__xludf.DUMMYFUNCTION("""COMPUTED_VALUE"""),"1e8be36f")</f>
        <v>1e8be36f</v>
      </c>
      <c r="C509" s="1" t="str">
        <f>IFERROR(__xludf.DUMMYFUNCTION("""COMPUTED_VALUE"""),"0014")</f>
        <v>0014</v>
      </c>
      <c r="D509" s="1">
        <f>IFERROR(__xludf.DUMMYFUNCTION("""COMPUTED_VALUE"""),60.0)</f>
        <v>60</v>
      </c>
      <c r="E509" s="1">
        <f>IFERROR(__xludf.DUMMYFUNCTION("""COMPUTED_VALUE"""),5.9)</f>
        <v>5.9</v>
      </c>
      <c r="F509" s="1"/>
      <c r="G509" s="1">
        <f>IFERROR(__xludf.DUMMYFUNCTION("""COMPUTED_VALUE"""),60.0)</f>
        <v>60</v>
      </c>
    </row>
    <row r="510">
      <c r="A510" s="1" t="str">
        <f>IFERROR(__xludf.DUMMYFUNCTION("""COMPUTED_VALUE"""),"59873b71")</f>
        <v>59873b71</v>
      </c>
      <c r="B510" s="1" t="str">
        <f>IFERROR(__xludf.DUMMYFUNCTION("""COMPUTED_VALUE"""),"1e8be36f")</f>
        <v>1e8be36f</v>
      </c>
      <c r="C510" s="1" t="str">
        <f>IFERROR(__xludf.DUMMYFUNCTION("""COMPUTED_VALUE"""),"0027")</f>
        <v>0027</v>
      </c>
      <c r="D510" s="1"/>
      <c r="E510" s="1">
        <f>IFERROR(__xludf.DUMMYFUNCTION("""COMPUTED_VALUE"""),3.28)</f>
        <v>3.28</v>
      </c>
      <c r="F510" s="1">
        <f>IFERROR(__xludf.DUMMYFUNCTION("""COMPUTED_VALUE"""),2.0)</f>
        <v>2</v>
      </c>
      <c r="G510" s="1">
        <f>IFERROR(__xludf.DUMMYFUNCTION("""COMPUTED_VALUE"""),50.0)</f>
        <v>50</v>
      </c>
    </row>
    <row r="511">
      <c r="A511" s="1" t="str">
        <f>IFERROR(__xludf.DUMMYFUNCTION("""COMPUTED_VALUE"""),"234219a6")</f>
        <v>234219a6</v>
      </c>
      <c r="B511" s="1" t="str">
        <f>IFERROR(__xludf.DUMMYFUNCTION("""COMPUTED_VALUE"""),"1e8be36f")</f>
        <v>1e8be36f</v>
      </c>
      <c r="C511" s="1" t="str">
        <f>IFERROR(__xludf.DUMMYFUNCTION("""COMPUTED_VALUE"""),"0024")</f>
        <v>0024</v>
      </c>
      <c r="D511" s="1">
        <f>IFERROR(__xludf.DUMMYFUNCTION("""COMPUTED_VALUE"""),20.0)</f>
        <v>20</v>
      </c>
      <c r="E511" s="1">
        <f>IFERROR(__xludf.DUMMYFUNCTION("""COMPUTED_VALUE"""),2.4)</f>
        <v>2.4</v>
      </c>
      <c r="F511" s="1"/>
      <c r="G511" s="1">
        <f>IFERROR(__xludf.DUMMYFUNCTION("""COMPUTED_VALUE"""),20.0)</f>
        <v>20</v>
      </c>
    </row>
    <row r="512">
      <c r="A512" s="1" t="str">
        <f>IFERROR(__xludf.DUMMYFUNCTION("""COMPUTED_VALUE"""),"3d162552")</f>
        <v>3d162552</v>
      </c>
      <c r="B512" s="1" t="str">
        <f>IFERROR(__xludf.DUMMYFUNCTION("""COMPUTED_VALUE"""),"1e8be36f")</f>
        <v>1e8be36f</v>
      </c>
      <c r="C512" s="1" t="str">
        <f>IFERROR(__xludf.DUMMYFUNCTION("""COMPUTED_VALUE"""),"0032")</f>
        <v>0032</v>
      </c>
      <c r="D512" s="1"/>
      <c r="E512" s="1">
        <f>IFERROR(__xludf.DUMMYFUNCTION("""COMPUTED_VALUE"""),2.0)</f>
        <v>2</v>
      </c>
      <c r="F512" s="1">
        <f>IFERROR(__xludf.DUMMYFUNCTION("""COMPUTED_VALUE"""),3.0)</f>
        <v>3</v>
      </c>
      <c r="G512" s="1">
        <f>IFERROR(__xludf.DUMMYFUNCTION("""COMPUTED_VALUE"""),81.0)</f>
        <v>81</v>
      </c>
    </row>
    <row r="513">
      <c r="A513" s="1" t="str">
        <f>IFERROR(__xludf.DUMMYFUNCTION("""COMPUTED_VALUE"""),"490eb6e0")</f>
        <v>490eb6e0</v>
      </c>
      <c r="B513" s="1" t="str">
        <f>IFERROR(__xludf.DUMMYFUNCTION("""COMPUTED_VALUE"""),"79a6a3cc")</f>
        <v>79a6a3cc</v>
      </c>
      <c r="C513" s="1" t="str">
        <f>IFERROR(__xludf.DUMMYFUNCTION("""COMPUTED_VALUE"""),"0086")</f>
        <v>0086</v>
      </c>
      <c r="D513" s="1">
        <f>IFERROR(__xludf.DUMMYFUNCTION("""COMPUTED_VALUE"""),20.0)</f>
        <v>20</v>
      </c>
      <c r="E513" s="1">
        <f>IFERROR(__xludf.DUMMYFUNCTION("""COMPUTED_VALUE"""),4.7)</f>
        <v>4.7</v>
      </c>
      <c r="F513" s="1"/>
      <c r="G513" s="1">
        <f>IFERROR(__xludf.DUMMYFUNCTION("""COMPUTED_VALUE"""),20.0)</f>
        <v>20</v>
      </c>
    </row>
    <row r="514">
      <c r="A514" s="1" t="str">
        <f>IFERROR(__xludf.DUMMYFUNCTION("""COMPUTED_VALUE"""),"0a1adf61")</f>
        <v>0a1adf61</v>
      </c>
      <c r="B514" s="1" t="str">
        <f>IFERROR(__xludf.DUMMYFUNCTION("""COMPUTED_VALUE"""),"93a3ee83")</f>
        <v>93a3ee83</v>
      </c>
      <c r="C514" s="1" t="str">
        <f>IFERROR(__xludf.DUMMYFUNCTION("""COMPUTED_VALUE"""),"f2959682")</f>
        <v>f2959682</v>
      </c>
      <c r="D514" s="1"/>
      <c r="E514" s="1">
        <f>IFERROR(__xludf.DUMMYFUNCTION("""COMPUTED_VALUE"""),1.0)</f>
        <v>1</v>
      </c>
      <c r="F514" s="1"/>
      <c r="G514" s="1">
        <f>IFERROR(__xludf.DUMMYFUNCTION("""COMPUTED_VALUE"""),0.0)</f>
        <v>0</v>
      </c>
    </row>
    <row r="515">
      <c r="A515" s="1" t="str">
        <f>IFERROR(__xludf.DUMMYFUNCTION("""COMPUTED_VALUE"""),"e3f33ac9")</f>
        <v>e3f33ac9</v>
      </c>
      <c r="B515" s="1" t="str">
        <f>IFERROR(__xludf.DUMMYFUNCTION("""COMPUTED_VALUE"""),"f4cc1692")</f>
        <v>f4cc1692</v>
      </c>
      <c r="C515" s="1" t="str">
        <f>IFERROR(__xludf.DUMMYFUNCTION("""COMPUTED_VALUE"""),"bb6c2490")</f>
        <v>bb6c2490</v>
      </c>
      <c r="D515" s="1"/>
      <c r="E515" s="1">
        <f>IFERROR(__xludf.DUMMYFUNCTION("""COMPUTED_VALUE"""),2.78)</f>
        <v>2.78</v>
      </c>
      <c r="F515" s="1">
        <f>IFERROR(__xludf.DUMMYFUNCTION("""COMPUTED_VALUE"""),4.0)</f>
        <v>4</v>
      </c>
      <c r="G515" s="1">
        <f>IFERROR(__xludf.DUMMYFUNCTION("""COMPUTED_VALUE"""),72.0)</f>
        <v>72</v>
      </c>
    </row>
    <row r="516">
      <c r="A516" s="1" t="str">
        <f>IFERROR(__xludf.DUMMYFUNCTION("""COMPUTED_VALUE"""),"62f4dd3b")</f>
        <v>62f4dd3b</v>
      </c>
      <c r="B516" s="1" t="str">
        <f>IFERROR(__xludf.DUMMYFUNCTION("""COMPUTED_VALUE"""),"f4cc1692")</f>
        <v>f4cc1692</v>
      </c>
      <c r="C516" s="1" t="str">
        <f>IFERROR(__xludf.DUMMYFUNCTION("""COMPUTED_VALUE"""),"0001")</f>
        <v>0001</v>
      </c>
      <c r="D516" s="1"/>
      <c r="E516" s="1">
        <f>IFERROR(__xludf.DUMMYFUNCTION("""COMPUTED_VALUE"""),2.8)</f>
        <v>2.8</v>
      </c>
      <c r="F516" s="1">
        <f>IFERROR(__xludf.DUMMYFUNCTION("""COMPUTED_VALUE"""),2.0)</f>
        <v>2</v>
      </c>
      <c r="G516" s="1">
        <f>IFERROR(__xludf.DUMMYFUNCTION("""COMPUTED_VALUE"""),30.0)</f>
        <v>30</v>
      </c>
    </row>
    <row r="517">
      <c r="A517" s="1" t="str">
        <f>IFERROR(__xludf.DUMMYFUNCTION("""COMPUTED_VALUE"""),"9712632e")</f>
        <v>9712632e</v>
      </c>
      <c r="B517" s="1" t="str">
        <f>IFERROR(__xludf.DUMMYFUNCTION("""COMPUTED_VALUE"""),"363e9bf3")</f>
        <v>363e9bf3</v>
      </c>
      <c r="C517" s="1" t="str">
        <f>IFERROR(__xludf.DUMMYFUNCTION("""COMPUTED_VALUE"""),"0033")</f>
        <v>0033</v>
      </c>
      <c r="D517" s="1"/>
      <c r="E517" s="1">
        <f>IFERROR(__xludf.DUMMYFUNCTION("""COMPUTED_VALUE"""),1.33)</f>
        <v>1.33</v>
      </c>
      <c r="F517" s="1">
        <f>IFERROR(__xludf.DUMMYFUNCTION("""COMPUTED_VALUE"""),1.0)</f>
        <v>1</v>
      </c>
      <c r="G517" s="1">
        <f>IFERROR(__xludf.DUMMYFUNCTION("""COMPUTED_VALUE"""),24.0)</f>
        <v>24</v>
      </c>
    </row>
    <row r="518">
      <c r="A518" s="1" t="str">
        <f>IFERROR(__xludf.DUMMYFUNCTION("""COMPUTED_VALUE"""),"f6ad34f7")</f>
        <v>f6ad34f7</v>
      </c>
      <c r="B518" s="1" t="str">
        <f>IFERROR(__xludf.DUMMYFUNCTION("""COMPUTED_VALUE"""),"363e9bf3")</f>
        <v>363e9bf3</v>
      </c>
      <c r="C518" s="1" t="str">
        <f>IFERROR(__xludf.DUMMYFUNCTION("""COMPUTED_VALUE"""),"0049")</f>
        <v>0049</v>
      </c>
      <c r="D518" s="1"/>
      <c r="E518" s="1">
        <f>IFERROR(__xludf.DUMMYFUNCTION("""COMPUTED_VALUE"""),1.93)</f>
        <v>1.93</v>
      </c>
      <c r="F518" s="1">
        <f>IFERROR(__xludf.DUMMYFUNCTION("""COMPUTED_VALUE"""),1.0)</f>
        <v>1</v>
      </c>
      <c r="G518" s="1">
        <f>IFERROR(__xludf.DUMMYFUNCTION("""COMPUTED_VALUE"""),24.0)</f>
        <v>24</v>
      </c>
    </row>
    <row r="519">
      <c r="A519" s="1" t="str">
        <f>IFERROR(__xludf.DUMMYFUNCTION("""COMPUTED_VALUE"""),"f104f7f3")</f>
        <v>f104f7f3</v>
      </c>
      <c r="B519" s="1" t="str">
        <f>IFERROR(__xludf.DUMMYFUNCTION("""COMPUTED_VALUE"""),"363e9bf3")</f>
        <v>363e9bf3</v>
      </c>
      <c r="C519" s="1" t="str">
        <f>IFERROR(__xludf.DUMMYFUNCTION("""COMPUTED_VALUE"""),"02d86a9b")</f>
        <v>02d86a9b</v>
      </c>
      <c r="D519" s="1"/>
      <c r="E519" s="1"/>
      <c r="F519" s="1">
        <f>IFERROR(__xludf.DUMMYFUNCTION("""COMPUTED_VALUE"""),4.0)</f>
        <v>4</v>
      </c>
      <c r="G519" s="1">
        <f>IFERROR(__xludf.DUMMYFUNCTION("""COMPUTED_VALUE"""),96.0)</f>
        <v>96</v>
      </c>
    </row>
    <row r="520">
      <c r="A520" s="1" t="str">
        <f>IFERROR(__xludf.DUMMYFUNCTION("""COMPUTED_VALUE"""),"420ad513")</f>
        <v>420ad513</v>
      </c>
      <c r="B520" s="1" t="str">
        <f>IFERROR(__xludf.DUMMYFUNCTION("""COMPUTED_VALUE"""),"363e9bf3")</f>
        <v>363e9bf3</v>
      </c>
      <c r="C520" s="1" t="str">
        <f>IFERROR(__xludf.DUMMYFUNCTION("""COMPUTED_VALUE"""),"bb4d1bd1")</f>
        <v>bb4d1bd1</v>
      </c>
      <c r="D520" s="1"/>
      <c r="E520" s="1"/>
      <c r="F520" s="1">
        <f>IFERROR(__xludf.DUMMYFUNCTION("""COMPUTED_VALUE"""),4.0)</f>
        <v>4</v>
      </c>
      <c r="G520" s="1">
        <f>IFERROR(__xludf.DUMMYFUNCTION("""COMPUTED_VALUE"""),96.0)</f>
        <v>96</v>
      </c>
    </row>
    <row r="521">
      <c r="A521" s="1" t="str">
        <f>IFERROR(__xludf.DUMMYFUNCTION("""COMPUTED_VALUE"""),"8f5a0682")</f>
        <v>8f5a0682</v>
      </c>
      <c r="B521" s="1" t="str">
        <f>IFERROR(__xludf.DUMMYFUNCTION("""COMPUTED_VALUE"""),"363e9bf3")</f>
        <v>363e9bf3</v>
      </c>
      <c r="C521" s="1" t="str">
        <f>IFERROR(__xludf.DUMMYFUNCTION("""COMPUTED_VALUE"""),"a19879cf")</f>
        <v>a19879cf</v>
      </c>
      <c r="D521" s="1"/>
      <c r="E521" s="1"/>
      <c r="F521" s="1">
        <f>IFERROR(__xludf.DUMMYFUNCTION("""COMPUTED_VALUE"""),1.0)</f>
        <v>1</v>
      </c>
      <c r="G521" s="1">
        <f>IFERROR(__xludf.DUMMYFUNCTION("""COMPUTED_VALUE"""),24.0)</f>
        <v>24</v>
      </c>
    </row>
    <row r="522">
      <c r="A522" s="1" t="str">
        <f>IFERROR(__xludf.DUMMYFUNCTION("""COMPUTED_VALUE"""),"61727d96")</f>
        <v>61727d96</v>
      </c>
      <c r="B522" s="1" t="str">
        <f>IFERROR(__xludf.DUMMYFUNCTION("""COMPUTED_VALUE"""),"f89f0ba4")</f>
        <v>f89f0ba4</v>
      </c>
      <c r="C522" s="1" t="str">
        <f>IFERROR(__xludf.DUMMYFUNCTION("""COMPUTED_VALUE"""),"0021")</f>
        <v>0021</v>
      </c>
      <c r="D522" s="1"/>
      <c r="E522" s="1">
        <f>IFERROR(__xludf.DUMMYFUNCTION("""COMPUTED_VALUE"""),2.25)</f>
        <v>2.25</v>
      </c>
      <c r="F522" s="1">
        <f>IFERROR(__xludf.DUMMYFUNCTION("""COMPUTED_VALUE"""),2.0)</f>
        <v>2</v>
      </c>
      <c r="G522" s="1">
        <f>IFERROR(__xludf.DUMMYFUNCTION("""COMPUTED_VALUE"""),48.0)</f>
        <v>48</v>
      </c>
    </row>
    <row r="523">
      <c r="A523" s="1" t="str">
        <f>IFERROR(__xludf.DUMMYFUNCTION("""COMPUTED_VALUE"""),"bd7ccba4")</f>
        <v>bd7ccba4</v>
      </c>
      <c r="B523" s="1" t="str">
        <f>IFERROR(__xludf.DUMMYFUNCTION("""COMPUTED_VALUE"""),"f89f0ba4")</f>
        <v>f89f0ba4</v>
      </c>
      <c r="C523" s="1" t="str">
        <f>IFERROR(__xludf.DUMMYFUNCTION("""COMPUTED_VALUE"""),"d5b5f9d1")</f>
        <v>d5b5f9d1</v>
      </c>
      <c r="D523" s="1"/>
      <c r="E523" s="1">
        <f>IFERROR(__xludf.DUMMYFUNCTION("""COMPUTED_VALUE"""),2.6)</f>
        <v>2.6</v>
      </c>
      <c r="F523" s="1">
        <f>IFERROR(__xludf.DUMMYFUNCTION("""COMPUTED_VALUE"""),1.0)</f>
        <v>1</v>
      </c>
      <c r="G523" s="1">
        <f>IFERROR(__xludf.DUMMYFUNCTION("""COMPUTED_VALUE"""),15.0)</f>
        <v>15</v>
      </c>
    </row>
    <row r="524">
      <c r="A524" s="1" t="str">
        <f>IFERROR(__xludf.DUMMYFUNCTION("""COMPUTED_VALUE"""),"f7432509")</f>
        <v>f7432509</v>
      </c>
      <c r="B524" s="1" t="str">
        <f>IFERROR(__xludf.DUMMYFUNCTION("""COMPUTED_VALUE"""),"0924fefb")</f>
        <v>0924fefb</v>
      </c>
      <c r="C524" s="1" t="str">
        <f>IFERROR(__xludf.DUMMYFUNCTION("""COMPUTED_VALUE"""),"0001")</f>
        <v>0001</v>
      </c>
      <c r="D524" s="1"/>
      <c r="E524" s="1">
        <f>IFERROR(__xludf.DUMMYFUNCTION("""COMPUTED_VALUE"""),2.8)</f>
        <v>2.8</v>
      </c>
      <c r="F524" s="1">
        <f>IFERROR(__xludf.DUMMYFUNCTION("""COMPUTED_VALUE"""),13.0)</f>
        <v>13</v>
      </c>
      <c r="G524" s="1">
        <f>IFERROR(__xludf.DUMMYFUNCTION("""COMPUTED_VALUE"""),195.0)</f>
        <v>195</v>
      </c>
    </row>
    <row r="525">
      <c r="A525" s="1" t="str">
        <f>IFERROR(__xludf.DUMMYFUNCTION("""COMPUTED_VALUE"""),"a9af125e")</f>
        <v>a9af125e</v>
      </c>
      <c r="B525" s="1" t="str">
        <f>IFERROR(__xludf.DUMMYFUNCTION("""COMPUTED_VALUE"""),"0924fefb")</f>
        <v>0924fefb</v>
      </c>
      <c r="C525" s="1" t="str">
        <f>IFERROR(__xludf.DUMMYFUNCTION("""COMPUTED_VALUE"""),"12b96290")</f>
        <v>12b96290</v>
      </c>
      <c r="D525" s="1"/>
      <c r="E525" s="1">
        <f>IFERROR(__xludf.DUMMYFUNCTION("""COMPUTED_VALUE"""),3.0)</f>
        <v>3</v>
      </c>
      <c r="F525" s="1">
        <f>IFERROR(__xludf.DUMMYFUNCTION("""COMPUTED_VALUE"""),9.0)</f>
        <v>9</v>
      </c>
      <c r="G525" s="1">
        <f>IFERROR(__xludf.DUMMYFUNCTION("""COMPUTED_VALUE"""),135.0)</f>
        <v>135</v>
      </c>
    </row>
    <row r="526">
      <c r="A526" s="1" t="str">
        <f>IFERROR(__xludf.DUMMYFUNCTION("""COMPUTED_VALUE"""),"2da391b2")</f>
        <v>2da391b2</v>
      </c>
      <c r="B526" s="1" t="str">
        <f>IFERROR(__xludf.DUMMYFUNCTION("""COMPUTED_VALUE"""),"0924fefb")</f>
        <v>0924fefb</v>
      </c>
      <c r="C526" s="1" t="str">
        <f>IFERROR(__xludf.DUMMYFUNCTION("""COMPUTED_VALUE"""),"d5b5f9d1")</f>
        <v>d5b5f9d1</v>
      </c>
      <c r="D526" s="1"/>
      <c r="E526" s="1">
        <f>IFERROR(__xludf.DUMMYFUNCTION("""COMPUTED_VALUE"""),2.6)</f>
        <v>2.6</v>
      </c>
      <c r="F526" s="1">
        <f>IFERROR(__xludf.DUMMYFUNCTION("""COMPUTED_VALUE"""),10.0)</f>
        <v>10</v>
      </c>
      <c r="G526" s="1">
        <f>IFERROR(__xludf.DUMMYFUNCTION("""COMPUTED_VALUE"""),150.0)</f>
        <v>150</v>
      </c>
    </row>
    <row r="527">
      <c r="A527" s="1" t="str">
        <f>IFERROR(__xludf.DUMMYFUNCTION("""COMPUTED_VALUE"""),"b4858ac4")</f>
        <v>b4858ac4</v>
      </c>
      <c r="B527" s="1" t="str">
        <f>IFERROR(__xludf.DUMMYFUNCTION("""COMPUTED_VALUE"""),"859a6d00")</f>
        <v>859a6d00</v>
      </c>
      <c r="C527" s="1" t="str">
        <f>IFERROR(__xludf.DUMMYFUNCTION("""COMPUTED_VALUE"""),"f2959682")</f>
        <v>f2959682</v>
      </c>
      <c r="D527" s="1">
        <f>IFERROR(__xludf.DUMMYFUNCTION("""COMPUTED_VALUE"""),0.0)</f>
        <v>0</v>
      </c>
      <c r="E527" s="1">
        <f>IFERROR(__xludf.DUMMYFUNCTION("""COMPUTED_VALUE"""),1.0)</f>
        <v>1</v>
      </c>
      <c r="F527" s="1"/>
      <c r="G527" s="1">
        <f>IFERROR(__xludf.DUMMYFUNCTION("""COMPUTED_VALUE"""),0.0)</f>
        <v>0</v>
      </c>
    </row>
    <row r="528">
      <c r="A528" s="1" t="str">
        <f>IFERROR(__xludf.DUMMYFUNCTION("""COMPUTED_VALUE"""),"f96b7bda")</f>
        <v>f96b7bda</v>
      </c>
      <c r="B528" s="1" t="str">
        <f>IFERROR(__xludf.DUMMYFUNCTION("""COMPUTED_VALUE"""),"e00ef670")</f>
        <v>e00ef670</v>
      </c>
      <c r="C528" s="1" t="str">
        <f>IFERROR(__xludf.DUMMYFUNCTION("""COMPUTED_VALUE"""),"bb6c2490")</f>
        <v>bb6c2490</v>
      </c>
      <c r="D528" s="1"/>
      <c r="E528" s="1">
        <f>IFERROR(__xludf.DUMMYFUNCTION("""COMPUTED_VALUE"""),2.78)</f>
        <v>2.78</v>
      </c>
      <c r="F528" s="1">
        <f>IFERROR(__xludf.DUMMYFUNCTION("""COMPUTED_VALUE"""),10.0)</f>
        <v>10</v>
      </c>
      <c r="G528" s="1">
        <f>IFERROR(__xludf.DUMMYFUNCTION("""COMPUTED_VALUE"""),180.0)</f>
        <v>180</v>
      </c>
    </row>
    <row r="529">
      <c r="A529" s="1" t="str">
        <f>IFERROR(__xludf.DUMMYFUNCTION("""COMPUTED_VALUE"""),"388f37e0")</f>
        <v>388f37e0</v>
      </c>
      <c r="B529" s="1" t="str">
        <f>IFERROR(__xludf.DUMMYFUNCTION("""COMPUTED_VALUE"""),"e00ef670")</f>
        <v>e00ef670</v>
      </c>
      <c r="C529" s="1" t="str">
        <f>IFERROR(__xludf.DUMMYFUNCTION("""COMPUTED_VALUE"""),"d5b5f9d1")</f>
        <v>d5b5f9d1</v>
      </c>
      <c r="D529" s="1"/>
      <c r="E529" s="1">
        <f>IFERROR(__xludf.DUMMYFUNCTION("""COMPUTED_VALUE"""),2.6)</f>
        <v>2.6</v>
      </c>
      <c r="F529" s="1">
        <f>IFERROR(__xludf.DUMMYFUNCTION("""COMPUTED_VALUE"""),1.0)</f>
        <v>1</v>
      </c>
      <c r="G529" s="1">
        <f>IFERROR(__xludf.DUMMYFUNCTION("""COMPUTED_VALUE"""),15.0)</f>
        <v>15</v>
      </c>
    </row>
    <row r="530">
      <c r="A530" s="1"/>
      <c r="B530" s="1"/>
      <c r="C530" s="1"/>
      <c r="D530" s="1"/>
      <c r="E530" s="1"/>
      <c r="F530" s="1"/>
      <c r="G530" s="1"/>
    </row>
    <row r="531">
      <c r="A531" s="1"/>
      <c r="B531" s="1"/>
      <c r="C531" s="1"/>
      <c r="D531" s="1"/>
      <c r="E531" s="1"/>
      <c r="F531" s="1"/>
      <c r="G531" s="1"/>
    </row>
    <row r="532">
      <c r="A532" s="1"/>
      <c r="B532" s="1"/>
      <c r="C532" s="1"/>
      <c r="D532" s="1"/>
      <c r="E532" s="1"/>
      <c r="F532" s="1"/>
      <c r="G532" s="1"/>
    </row>
    <row r="533">
      <c r="A533" s="1"/>
      <c r="B533" s="1"/>
      <c r="C533" s="1"/>
      <c r="D533" s="1"/>
      <c r="E533" s="1"/>
      <c r="F533" s="1"/>
      <c r="G533" s="1"/>
    </row>
    <row r="534">
      <c r="A534" s="1"/>
      <c r="B534" s="1"/>
      <c r="C534" s="1"/>
      <c r="D534" s="1"/>
      <c r="E534" s="1"/>
      <c r="F534" s="1"/>
      <c r="G534" s="1"/>
    </row>
    <row r="535">
      <c r="A535" s="1"/>
      <c r="B535" s="1"/>
      <c r="C535" s="1"/>
      <c r="D535" s="1"/>
      <c r="E535" s="1"/>
      <c r="F535" s="1"/>
      <c r="G535" s="1"/>
    </row>
    <row r="536">
      <c r="A536" s="1"/>
      <c r="B536" s="1"/>
      <c r="C536" s="1"/>
      <c r="D536" s="1"/>
      <c r="E536" s="1"/>
      <c r="F536" s="1"/>
      <c r="G536" s="1"/>
    </row>
    <row r="537">
      <c r="A537" s="1"/>
      <c r="B537" s="1"/>
      <c r="C537" s="1"/>
      <c r="D537" s="1"/>
      <c r="E537" s="1"/>
      <c r="F537" s="1"/>
      <c r="G537" s="1"/>
    </row>
    <row r="538">
      <c r="A538" s="1"/>
      <c r="B538" s="1"/>
      <c r="C538" s="1"/>
      <c r="D538" s="1"/>
      <c r="E538" s="1"/>
      <c r="F538" s="1"/>
      <c r="G538" s="1"/>
    </row>
    <row r="539">
      <c r="A539" s="1"/>
      <c r="B539" s="1"/>
      <c r="C539" s="1"/>
      <c r="D539" s="1"/>
      <c r="E539" s="1"/>
      <c r="F539" s="1"/>
      <c r="G539" s="1"/>
    </row>
    <row r="540">
      <c r="A540" s="1"/>
      <c r="B540" s="1"/>
      <c r="C540" s="1"/>
      <c r="D540" s="1"/>
      <c r="E540" s="1"/>
      <c r="F540" s="1"/>
      <c r="G540" s="1"/>
    </row>
    <row r="541">
      <c r="A541" s="1"/>
      <c r="B541" s="1"/>
      <c r="C541" s="1"/>
      <c r="D541" s="1"/>
      <c r="E541" s="1"/>
      <c r="F541" s="1"/>
      <c r="G541" s="1"/>
    </row>
    <row r="542">
      <c r="A542" s="1"/>
      <c r="B542" s="1"/>
      <c r="C542" s="1"/>
      <c r="D542" s="1"/>
      <c r="E542" s="1"/>
      <c r="F542" s="1"/>
      <c r="G542" s="1"/>
    </row>
    <row r="543">
      <c r="A543" s="1"/>
      <c r="B543" s="1"/>
      <c r="C543" s="1"/>
      <c r="D543" s="1"/>
      <c r="E543" s="1"/>
      <c r="F543" s="1"/>
      <c r="G543" s="1"/>
    </row>
    <row r="544">
      <c r="A544" s="1"/>
      <c r="B544" s="1"/>
      <c r="C544" s="1"/>
      <c r="D544" s="1"/>
      <c r="E544" s="1"/>
      <c r="F544" s="1"/>
      <c r="G544" s="1"/>
    </row>
    <row r="545">
      <c r="A545" s="1"/>
      <c r="B545" s="1"/>
      <c r="C545" s="1"/>
      <c r="D545" s="1"/>
      <c r="E545" s="1"/>
      <c r="F545" s="1"/>
      <c r="G545" s="1"/>
    </row>
    <row r="546">
      <c r="A546" s="1"/>
      <c r="B546" s="1"/>
      <c r="C546" s="1"/>
      <c r="D546" s="1"/>
      <c r="E546" s="1"/>
      <c r="F546" s="1"/>
      <c r="G546" s="1"/>
    </row>
    <row r="547">
      <c r="A547" s="1"/>
      <c r="B547" s="1"/>
      <c r="C547" s="1"/>
      <c r="D547" s="1"/>
      <c r="E547" s="1"/>
      <c r="F547" s="1"/>
      <c r="G547" s="1"/>
    </row>
    <row r="548">
      <c r="A548" s="1"/>
      <c r="B548" s="1"/>
      <c r="C548" s="1"/>
      <c r="D548" s="1"/>
      <c r="E548" s="1"/>
      <c r="F548" s="1"/>
      <c r="G548" s="1"/>
    </row>
    <row r="549">
      <c r="A549" s="1"/>
      <c r="B549" s="1"/>
      <c r="C549" s="1"/>
      <c r="D549" s="1"/>
      <c r="E549" s="1"/>
      <c r="F549" s="1"/>
      <c r="G549" s="1"/>
    </row>
    <row r="550">
      <c r="A550" s="1"/>
      <c r="B550" s="1"/>
      <c r="C550" s="1"/>
      <c r="D550" s="1"/>
      <c r="E550" s="1"/>
      <c r="F550" s="1"/>
      <c r="G550" s="1"/>
    </row>
    <row r="551">
      <c r="A551" s="1"/>
      <c r="B551" s="1"/>
      <c r="C551" s="1"/>
      <c r="D551" s="1"/>
      <c r="E551" s="1"/>
      <c r="F551" s="1"/>
      <c r="G551" s="1"/>
    </row>
    <row r="552">
      <c r="A552" s="1"/>
      <c r="B552" s="1"/>
      <c r="C552" s="1"/>
      <c r="D552" s="1"/>
      <c r="E552" s="1"/>
      <c r="F552" s="1"/>
      <c r="G552" s="1"/>
    </row>
    <row r="553">
      <c r="A553" s="1"/>
      <c r="B553" s="1"/>
      <c r="C553" s="1"/>
      <c r="D553" s="1"/>
      <c r="E553" s="1"/>
      <c r="F553" s="1"/>
      <c r="G553" s="1"/>
    </row>
    <row r="554">
      <c r="A554" s="1"/>
      <c r="B554" s="1"/>
      <c r="C554" s="1"/>
      <c r="D554" s="1"/>
      <c r="E554" s="1"/>
      <c r="F554" s="1"/>
      <c r="G554" s="1"/>
    </row>
    <row r="555">
      <c r="A555" s="1"/>
      <c r="B555" s="1"/>
      <c r="C555" s="1"/>
      <c r="D555" s="1"/>
      <c r="E555" s="1"/>
      <c r="F555" s="1"/>
      <c r="G555" s="1"/>
    </row>
    <row r="556">
      <c r="A556" s="1"/>
      <c r="B556" s="1"/>
      <c r="C556" s="1"/>
      <c r="D556" s="1"/>
      <c r="E556" s="1"/>
      <c r="F556" s="1"/>
      <c r="G556" s="1"/>
    </row>
    <row r="557">
      <c r="A557" s="1"/>
      <c r="B557" s="1"/>
      <c r="C557" s="1"/>
      <c r="D557" s="1"/>
      <c r="E557" s="1"/>
      <c r="F557" s="1"/>
      <c r="G557" s="1"/>
    </row>
    <row r="558">
      <c r="A558" s="1"/>
      <c r="B558" s="1"/>
      <c r="C558" s="1"/>
      <c r="D558" s="1"/>
      <c r="E558" s="1"/>
      <c r="F558" s="1"/>
      <c r="G558" s="1"/>
    </row>
    <row r="559">
      <c r="A559" s="1"/>
      <c r="B559" s="1"/>
      <c r="C559" s="1"/>
      <c r="D559" s="1"/>
      <c r="E559" s="1"/>
      <c r="F559" s="1"/>
      <c r="G559" s="1"/>
    </row>
    <row r="560">
      <c r="A560" s="1"/>
      <c r="B560" s="1"/>
      <c r="C560" s="1"/>
      <c r="D560" s="1"/>
      <c r="E560" s="1"/>
      <c r="F560" s="1"/>
      <c r="G560" s="1"/>
    </row>
    <row r="561">
      <c r="A561" s="1"/>
      <c r="B561" s="1"/>
      <c r="C561" s="1"/>
      <c r="D561" s="1"/>
      <c r="E561" s="1"/>
      <c r="F561" s="1"/>
      <c r="G561" s="1"/>
    </row>
    <row r="562">
      <c r="A562" s="1"/>
      <c r="B562" s="1"/>
      <c r="C562" s="1"/>
      <c r="D562" s="1"/>
      <c r="E562" s="1"/>
      <c r="F562" s="1"/>
      <c r="G562" s="1"/>
    </row>
    <row r="563">
      <c r="A563" s="1"/>
      <c r="B563" s="1"/>
      <c r="C563" s="1"/>
      <c r="D563" s="1"/>
      <c r="E563" s="1"/>
      <c r="F563" s="1"/>
      <c r="G563" s="1"/>
    </row>
    <row r="564">
      <c r="A564" s="1"/>
      <c r="B564" s="1"/>
      <c r="C564" s="1"/>
      <c r="D564" s="1"/>
      <c r="E564" s="1"/>
      <c r="F564" s="1"/>
      <c r="G564" s="1"/>
    </row>
    <row r="565">
      <c r="A565" s="1"/>
      <c r="B565" s="1"/>
      <c r="C565" s="1"/>
      <c r="D565" s="1"/>
      <c r="E565" s="1"/>
      <c r="F565" s="1"/>
      <c r="G565" s="1"/>
    </row>
    <row r="566">
      <c r="A566" s="1"/>
      <c r="B566" s="1"/>
      <c r="C566" s="1"/>
      <c r="D566" s="1"/>
      <c r="E566" s="1"/>
      <c r="F566" s="1"/>
      <c r="G566" s="1"/>
    </row>
    <row r="567">
      <c r="A567" s="1"/>
      <c r="B567" s="1"/>
      <c r="C567" s="1"/>
      <c r="D567" s="1"/>
      <c r="E567" s="1"/>
      <c r="F567" s="1"/>
      <c r="G567" s="1"/>
    </row>
    <row r="568">
      <c r="A568" s="1"/>
      <c r="B568" s="1"/>
      <c r="C568" s="1"/>
      <c r="D568" s="1"/>
      <c r="E568" s="1"/>
      <c r="F568" s="1"/>
      <c r="G568" s="1"/>
    </row>
    <row r="569">
      <c r="A569" s="1"/>
      <c r="B569" s="1"/>
      <c r="C569" s="1"/>
      <c r="D569" s="1"/>
      <c r="E569" s="1"/>
      <c r="F569" s="1"/>
      <c r="G569" s="1"/>
    </row>
    <row r="570">
      <c r="A570" s="1"/>
      <c r="B570" s="1"/>
      <c r="C570" s="1"/>
      <c r="D570" s="1"/>
      <c r="E570" s="1"/>
      <c r="F570" s="1"/>
      <c r="G570" s="1"/>
    </row>
    <row r="571">
      <c r="A571" s="1"/>
      <c r="B571" s="1"/>
      <c r="C571" s="1"/>
      <c r="D571" s="1"/>
      <c r="E571" s="1"/>
      <c r="F571" s="1"/>
      <c r="G571" s="1"/>
    </row>
    <row r="572">
      <c r="A572" s="1"/>
      <c r="B572" s="1"/>
      <c r="C572" s="1"/>
      <c r="D572" s="1"/>
      <c r="E572" s="1"/>
      <c r="F572" s="1"/>
      <c r="G572" s="1"/>
    </row>
    <row r="573">
      <c r="A573" s="1"/>
      <c r="B573" s="1"/>
      <c r="C573" s="1"/>
      <c r="D573" s="1"/>
      <c r="E573" s="1"/>
      <c r="F573" s="1"/>
      <c r="G573" s="1"/>
    </row>
    <row r="574">
      <c r="A574" s="1"/>
      <c r="B574" s="1"/>
      <c r="C574" s="1"/>
      <c r="D574" s="1"/>
      <c r="E574" s="1"/>
      <c r="F574" s="1"/>
      <c r="G574" s="1"/>
    </row>
    <row r="575">
      <c r="A575" s="1"/>
      <c r="B575" s="1"/>
      <c r="C575" s="1"/>
      <c r="D575" s="1"/>
      <c r="E575" s="1"/>
      <c r="F575" s="1"/>
      <c r="G575" s="1"/>
    </row>
    <row r="576">
      <c r="A576" s="1"/>
      <c r="B576" s="1"/>
      <c r="C576" s="1"/>
      <c r="D576" s="1"/>
      <c r="E576" s="1"/>
      <c r="F576" s="1"/>
      <c r="G576" s="1"/>
    </row>
    <row r="577">
      <c r="A577" s="1"/>
      <c r="B577" s="1"/>
      <c r="C577" s="1"/>
      <c r="D577" s="1"/>
      <c r="E577" s="1"/>
      <c r="F577" s="1"/>
      <c r="G577" s="1"/>
    </row>
    <row r="578">
      <c r="A578" s="1"/>
      <c r="B578" s="1"/>
      <c r="C578" s="1"/>
      <c r="D578" s="1"/>
      <c r="E578" s="1"/>
      <c r="F578" s="1"/>
      <c r="G578" s="1"/>
    </row>
    <row r="579">
      <c r="A579" s="1"/>
      <c r="B579" s="1"/>
      <c r="C579" s="1"/>
      <c r="D579" s="1"/>
      <c r="E579" s="1"/>
      <c r="F579" s="1"/>
      <c r="G579" s="1"/>
    </row>
    <row r="580">
      <c r="A580" s="1"/>
      <c r="B580" s="1"/>
      <c r="C580" s="1"/>
      <c r="D580" s="1"/>
      <c r="E580" s="1"/>
      <c r="F580" s="1"/>
      <c r="G580" s="1"/>
    </row>
    <row r="581">
      <c r="A581" s="1"/>
      <c r="B581" s="1"/>
      <c r="C581" s="1"/>
      <c r="D581" s="1"/>
      <c r="E581" s="1"/>
      <c r="F581" s="1"/>
      <c r="G581" s="1"/>
    </row>
    <row r="582">
      <c r="A582" s="1"/>
      <c r="B582" s="1"/>
      <c r="C582" s="1"/>
      <c r="D582" s="1"/>
      <c r="E582" s="1"/>
      <c r="F582" s="1"/>
      <c r="G582" s="1"/>
    </row>
    <row r="583">
      <c r="A583" s="1"/>
      <c r="B583" s="1"/>
      <c r="C583" s="1"/>
      <c r="D583" s="1"/>
      <c r="E583" s="1"/>
      <c r="F583" s="1"/>
      <c r="G583" s="1"/>
    </row>
    <row r="584">
      <c r="A584" s="1"/>
      <c r="B584" s="1"/>
      <c r="C584" s="1"/>
      <c r="D584" s="1"/>
      <c r="E584" s="1"/>
      <c r="F584" s="1"/>
      <c r="G584" s="1"/>
    </row>
    <row r="585">
      <c r="A585" s="1"/>
      <c r="B585" s="1"/>
      <c r="C585" s="1"/>
      <c r="D585" s="1"/>
      <c r="E585" s="1"/>
      <c r="F585" s="1"/>
      <c r="G585" s="1"/>
    </row>
    <row r="586">
      <c r="A586" s="1"/>
      <c r="B586" s="1"/>
      <c r="C586" s="1"/>
      <c r="D586" s="1"/>
      <c r="E586" s="1"/>
      <c r="F586" s="1"/>
      <c r="G586" s="1"/>
    </row>
    <row r="587">
      <c r="A587" s="1"/>
      <c r="B587" s="1"/>
      <c r="C587" s="1"/>
      <c r="D587" s="1"/>
      <c r="E587" s="1"/>
      <c r="F587" s="1"/>
      <c r="G587" s="1"/>
    </row>
    <row r="588">
      <c r="A588" s="1"/>
      <c r="B588" s="1"/>
      <c r="C588" s="1"/>
      <c r="D588" s="1"/>
      <c r="E588" s="1"/>
      <c r="F588" s="1"/>
      <c r="G588" s="1"/>
    </row>
    <row r="589">
      <c r="A589" s="1"/>
      <c r="B589" s="1"/>
      <c r="C589" s="1"/>
      <c r="D589" s="1"/>
      <c r="E589" s="1"/>
      <c r="F589" s="1"/>
      <c r="G589" s="1"/>
    </row>
    <row r="590">
      <c r="A590" s="1"/>
      <c r="B590" s="1"/>
      <c r="C590" s="1"/>
      <c r="D590" s="1"/>
      <c r="E590" s="1"/>
      <c r="F590" s="1"/>
      <c r="G590" s="1"/>
    </row>
    <row r="591">
      <c r="A591" s="1"/>
      <c r="B591" s="1"/>
      <c r="C591" s="1"/>
      <c r="D591" s="1"/>
      <c r="E591" s="1"/>
      <c r="F591" s="1"/>
      <c r="G591" s="1"/>
    </row>
    <row r="592">
      <c r="A592" s="1"/>
      <c r="B592" s="1"/>
      <c r="C592" s="1"/>
      <c r="D592" s="1"/>
      <c r="E592" s="1"/>
      <c r="F592" s="1"/>
      <c r="G592" s="1"/>
    </row>
    <row r="593">
      <c r="A593" s="1"/>
      <c r="B593" s="1"/>
      <c r="C593" s="1"/>
      <c r="D593" s="1"/>
      <c r="E593" s="1"/>
      <c r="F593" s="1"/>
      <c r="G593" s="1"/>
    </row>
    <row r="594">
      <c r="A594" s="1"/>
      <c r="B594" s="1"/>
      <c r="C594" s="1"/>
      <c r="D594" s="1"/>
      <c r="E594" s="1"/>
      <c r="F594" s="1"/>
      <c r="G594" s="1"/>
    </row>
    <row r="595">
      <c r="A595" s="1"/>
      <c r="B595" s="1"/>
      <c r="C595" s="1"/>
      <c r="D595" s="1"/>
      <c r="E595" s="1"/>
      <c r="F595" s="1"/>
      <c r="G595" s="1"/>
    </row>
    <row r="596">
      <c r="A596" s="1"/>
      <c r="B596" s="1"/>
      <c r="C596" s="1"/>
      <c r="D596" s="1"/>
      <c r="E596" s="1"/>
      <c r="F596" s="1"/>
      <c r="G596" s="1"/>
    </row>
    <row r="597">
      <c r="A597" s="1"/>
      <c r="B597" s="1"/>
      <c r="C597" s="1"/>
      <c r="D597" s="1"/>
      <c r="E597" s="1"/>
      <c r="F597" s="1"/>
      <c r="G597" s="1"/>
    </row>
    <row r="598">
      <c r="A598" s="1"/>
      <c r="B598" s="1"/>
      <c r="C598" s="1"/>
      <c r="D598" s="1"/>
      <c r="E598" s="1"/>
      <c r="F598" s="1"/>
      <c r="G598" s="1"/>
    </row>
    <row r="599">
      <c r="A599" s="1"/>
      <c r="B599" s="1"/>
      <c r="C599" s="1"/>
      <c r="D599" s="1"/>
      <c r="E599" s="1"/>
      <c r="F599" s="1"/>
      <c r="G599" s="1"/>
    </row>
    <row r="600">
      <c r="A600" s="1"/>
      <c r="B600" s="1"/>
      <c r="C600" s="1"/>
      <c r="D600" s="1"/>
      <c r="E600" s="1"/>
      <c r="F600" s="1"/>
      <c r="G600" s="1"/>
    </row>
    <row r="601">
      <c r="A601" s="1"/>
      <c r="B601" s="1"/>
      <c r="C601" s="1"/>
      <c r="D601" s="1"/>
      <c r="E601" s="1"/>
      <c r="F601" s="1"/>
      <c r="G601" s="1"/>
    </row>
    <row r="602">
      <c r="A602" s="1"/>
      <c r="B602" s="1"/>
      <c r="C602" s="1"/>
      <c r="D602" s="1"/>
      <c r="E602" s="1"/>
      <c r="F602" s="1"/>
      <c r="G602" s="1"/>
    </row>
    <row r="603">
      <c r="A603" s="1"/>
      <c r="B603" s="1"/>
      <c r="C603" s="1"/>
      <c r="D603" s="1"/>
      <c r="E603" s="1"/>
      <c r="F603" s="1"/>
      <c r="G603" s="1"/>
    </row>
    <row r="604">
      <c r="A604" s="1"/>
      <c r="B604" s="1"/>
      <c r="C604" s="1"/>
      <c r="D604" s="1"/>
      <c r="E604" s="1"/>
      <c r="F604" s="1"/>
      <c r="G604" s="1"/>
    </row>
    <row r="605">
      <c r="A605" s="1"/>
      <c r="B605" s="1"/>
      <c r="C605" s="1"/>
      <c r="D605" s="1"/>
      <c r="E605" s="1"/>
      <c r="F605" s="1"/>
      <c r="G605" s="1"/>
    </row>
    <row r="606">
      <c r="A606" s="1"/>
      <c r="B606" s="1"/>
      <c r="C606" s="1"/>
      <c r="D606" s="1"/>
      <c r="E606" s="1"/>
      <c r="F606" s="1"/>
      <c r="G606" s="1"/>
    </row>
    <row r="607">
      <c r="A607" s="1"/>
      <c r="B607" s="1"/>
      <c r="C607" s="1"/>
      <c r="D607" s="1"/>
      <c r="E607" s="1"/>
      <c r="F607" s="1"/>
      <c r="G607" s="1"/>
    </row>
    <row r="608">
      <c r="A608" s="1"/>
      <c r="B608" s="1"/>
      <c r="C608" s="1"/>
      <c r="D608" s="1"/>
      <c r="E608" s="1"/>
      <c r="F608" s="1"/>
      <c r="G608" s="1"/>
    </row>
    <row r="609">
      <c r="A609" s="1"/>
      <c r="B609" s="1"/>
      <c r="C609" s="1"/>
      <c r="D609" s="1"/>
      <c r="E609" s="1"/>
      <c r="F609" s="1"/>
      <c r="G609" s="1"/>
    </row>
    <row r="610">
      <c r="A610" s="1"/>
      <c r="B610" s="1"/>
      <c r="C610" s="1"/>
      <c r="D610" s="1"/>
      <c r="E610" s="1"/>
      <c r="F610" s="1"/>
      <c r="G610" s="1"/>
    </row>
    <row r="611">
      <c r="A611" s="1"/>
      <c r="B611" s="1"/>
      <c r="C611" s="1"/>
      <c r="D611" s="1"/>
      <c r="E611" s="1"/>
      <c r="F611" s="1"/>
      <c r="G611" s="1"/>
    </row>
    <row r="612">
      <c r="A612" s="1"/>
      <c r="B612" s="1"/>
      <c r="C612" s="1"/>
      <c r="D612" s="1"/>
      <c r="E612" s="1"/>
      <c r="F612" s="1"/>
      <c r="G612" s="1"/>
    </row>
    <row r="613">
      <c r="A613" s="1"/>
      <c r="B613" s="1"/>
      <c r="C613" s="1"/>
      <c r="D613" s="1"/>
      <c r="E613" s="1"/>
      <c r="F613" s="1"/>
      <c r="G613" s="1"/>
    </row>
    <row r="614">
      <c r="A614" s="1"/>
      <c r="B614" s="1"/>
      <c r="C614" s="1"/>
      <c r="D614" s="1"/>
      <c r="E614" s="1"/>
      <c r="F614" s="1"/>
      <c r="G614" s="1"/>
    </row>
    <row r="615">
      <c r="A615" s="1"/>
      <c r="B615" s="1"/>
      <c r="C615" s="1"/>
      <c r="D615" s="1"/>
      <c r="E615" s="1"/>
      <c r="F615" s="1"/>
      <c r="G615" s="1"/>
    </row>
    <row r="616">
      <c r="A616" s="1"/>
      <c r="B616" s="1"/>
      <c r="C616" s="1"/>
      <c r="D616" s="1"/>
      <c r="E616" s="1"/>
      <c r="F616" s="1"/>
      <c r="G616" s="1"/>
    </row>
    <row r="617">
      <c r="A617" s="1"/>
      <c r="B617" s="1"/>
      <c r="C617" s="1"/>
      <c r="D617" s="1"/>
      <c r="E617" s="1"/>
      <c r="F617" s="1"/>
      <c r="G617" s="1"/>
    </row>
    <row r="618">
      <c r="A618" s="1"/>
      <c r="B618" s="1"/>
      <c r="C618" s="1"/>
      <c r="D618" s="1"/>
      <c r="E618" s="1"/>
      <c r="F618" s="1"/>
      <c r="G618" s="1"/>
    </row>
    <row r="619">
      <c r="A619" s="1"/>
      <c r="B619" s="1"/>
      <c r="C619" s="1"/>
      <c r="D619" s="1"/>
      <c r="E619" s="1"/>
      <c r="F619" s="1"/>
      <c r="G619" s="1"/>
    </row>
    <row r="620">
      <c r="A620" s="1"/>
      <c r="B620" s="1"/>
      <c r="C620" s="1"/>
      <c r="D620" s="1"/>
      <c r="E620" s="1"/>
      <c r="F620" s="1"/>
      <c r="G620" s="1"/>
    </row>
    <row r="621">
      <c r="A621" s="1"/>
      <c r="B621" s="1"/>
      <c r="C621" s="1"/>
      <c r="D621" s="1"/>
      <c r="E621" s="1"/>
      <c r="F621" s="1"/>
      <c r="G621" s="1"/>
    </row>
    <row r="622">
      <c r="A622" s="1"/>
      <c r="B622" s="1"/>
      <c r="C622" s="1"/>
      <c r="D622" s="1"/>
      <c r="E622" s="1"/>
      <c r="F622" s="1"/>
      <c r="G622" s="1"/>
    </row>
    <row r="623">
      <c r="A623" s="1"/>
      <c r="B623" s="1"/>
      <c r="C623" s="1"/>
      <c r="D623" s="1"/>
      <c r="E623" s="1"/>
      <c r="F623" s="1"/>
      <c r="G623" s="1"/>
    </row>
    <row r="624">
      <c r="A624" s="1"/>
      <c r="B624" s="1"/>
      <c r="C624" s="1"/>
      <c r="D624" s="1"/>
      <c r="E624" s="1"/>
      <c r="F624" s="1"/>
      <c r="G624" s="1"/>
    </row>
    <row r="625">
      <c r="A625" s="1"/>
      <c r="B625" s="1"/>
      <c r="C625" s="1"/>
      <c r="D625" s="1"/>
      <c r="E625" s="1"/>
      <c r="F625" s="1"/>
      <c r="G625" s="1"/>
    </row>
    <row r="626">
      <c r="A626" s="1"/>
      <c r="B626" s="1"/>
      <c r="C626" s="1"/>
      <c r="D626" s="1"/>
      <c r="E626" s="1"/>
      <c r="F626" s="1"/>
      <c r="G626" s="1"/>
    </row>
    <row r="627">
      <c r="A627" s="1"/>
      <c r="B627" s="1"/>
      <c r="C627" s="1"/>
      <c r="D627" s="1"/>
      <c r="E627" s="1"/>
      <c r="F627" s="1"/>
      <c r="G627" s="1"/>
    </row>
    <row r="628">
      <c r="A628" s="1"/>
      <c r="B628" s="1"/>
      <c r="C628" s="1"/>
      <c r="D628" s="1"/>
      <c r="E628" s="1"/>
      <c r="F628" s="1"/>
      <c r="G628" s="1"/>
    </row>
    <row r="629">
      <c r="A629" s="1"/>
      <c r="B629" s="1"/>
      <c r="C629" s="1"/>
      <c r="D629" s="1"/>
      <c r="E629" s="1"/>
      <c r="F629" s="1"/>
      <c r="G629" s="1"/>
    </row>
    <row r="630">
      <c r="A630" s="1"/>
      <c r="B630" s="1"/>
      <c r="C630" s="1"/>
      <c r="D630" s="1"/>
      <c r="E630" s="1"/>
      <c r="F630" s="1"/>
      <c r="G630" s="1"/>
    </row>
    <row r="631">
      <c r="A631" s="1"/>
      <c r="B631" s="1"/>
      <c r="C631" s="1"/>
      <c r="D631" s="1"/>
      <c r="E631" s="1"/>
      <c r="F631" s="1"/>
      <c r="G631" s="1"/>
    </row>
    <row r="632">
      <c r="A632" s="1"/>
      <c r="B632" s="1"/>
      <c r="C632" s="1"/>
      <c r="D632" s="1"/>
      <c r="E632" s="1"/>
      <c r="F632" s="1"/>
      <c r="G632" s="1"/>
    </row>
    <row r="633">
      <c r="A633" s="1"/>
      <c r="B633" s="1"/>
      <c r="C633" s="1"/>
      <c r="D633" s="1"/>
      <c r="E633" s="1"/>
      <c r="F633" s="1"/>
      <c r="G633" s="1"/>
    </row>
    <row r="634">
      <c r="A634" s="1"/>
      <c r="B634" s="1"/>
      <c r="C634" s="1"/>
      <c r="D634" s="1"/>
      <c r="E634" s="1"/>
      <c r="F634" s="1"/>
      <c r="G634" s="1"/>
    </row>
    <row r="635">
      <c r="A635" s="1"/>
      <c r="B635" s="1"/>
      <c r="C635" s="1"/>
      <c r="D635" s="1"/>
      <c r="E635" s="1"/>
      <c r="F635" s="1"/>
      <c r="G635" s="1"/>
    </row>
    <row r="636">
      <c r="A636" s="1"/>
      <c r="B636" s="1"/>
      <c r="C636" s="1"/>
      <c r="D636" s="1"/>
      <c r="E636" s="1"/>
      <c r="F636" s="1"/>
      <c r="G636" s="1"/>
    </row>
    <row r="637">
      <c r="A637" s="1"/>
      <c r="B637" s="1"/>
      <c r="C637" s="1"/>
      <c r="D637" s="1"/>
      <c r="E637" s="1"/>
      <c r="F637" s="1"/>
      <c r="G637" s="1"/>
    </row>
    <row r="638">
      <c r="A638" s="1"/>
      <c r="B638" s="1"/>
      <c r="C638" s="1"/>
      <c r="D638" s="1"/>
      <c r="E638" s="1"/>
      <c r="F638" s="1"/>
      <c r="G638" s="1"/>
    </row>
    <row r="639">
      <c r="A639" s="1"/>
      <c r="B639" s="1"/>
      <c r="C639" s="1"/>
      <c r="D639" s="1"/>
      <c r="E639" s="1"/>
      <c r="F639" s="1"/>
      <c r="G639" s="1"/>
    </row>
    <row r="640">
      <c r="A640" s="1"/>
      <c r="B640" s="1"/>
      <c r="C640" s="1"/>
      <c r="D640" s="1"/>
      <c r="E640" s="1"/>
      <c r="F640" s="1"/>
      <c r="G640" s="1"/>
    </row>
    <row r="641">
      <c r="A641" s="1"/>
      <c r="B641" s="1"/>
      <c r="C641" s="1"/>
      <c r="D641" s="1"/>
      <c r="E641" s="1"/>
      <c r="F641" s="1"/>
      <c r="G641" s="1"/>
    </row>
    <row r="642">
      <c r="A642" s="1"/>
      <c r="B642" s="1"/>
      <c r="C642" s="1"/>
      <c r="D642" s="1"/>
      <c r="E642" s="1"/>
      <c r="F642" s="1"/>
      <c r="G642" s="1"/>
    </row>
    <row r="643">
      <c r="A643" s="1"/>
      <c r="B643" s="1"/>
      <c r="C643" s="1"/>
      <c r="D643" s="1"/>
      <c r="E643" s="1"/>
      <c r="F643" s="1"/>
      <c r="G643" s="1"/>
    </row>
    <row r="644">
      <c r="A644" s="1"/>
      <c r="B644" s="1"/>
      <c r="C644" s="1"/>
      <c r="D644" s="1"/>
      <c r="E644" s="1"/>
      <c r="F644" s="1"/>
      <c r="G644" s="1"/>
    </row>
    <row r="645">
      <c r="A645" s="1"/>
      <c r="B645" s="1"/>
      <c r="C645" s="1"/>
      <c r="D645" s="1"/>
      <c r="E645" s="1"/>
      <c r="F645" s="1"/>
      <c r="G645" s="1"/>
    </row>
    <row r="646">
      <c r="A646" s="1"/>
      <c r="B646" s="1"/>
      <c r="C646" s="1"/>
      <c r="D646" s="1"/>
      <c r="E646" s="1"/>
      <c r="F646" s="1"/>
      <c r="G646" s="1"/>
    </row>
    <row r="647">
      <c r="A647" s="1"/>
      <c r="B647" s="1"/>
      <c r="C647" s="1"/>
      <c r="D647" s="1"/>
      <c r="E647" s="1"/>
      <c r="F647" s="1"/>
      <c r="G647" s="1"/>
    </row>
    <row r="648">
      <c r="A648" s="1"/>
      <c r="B648" s="1"/>
      <c r="C648" s="1"/>
      <c r="D648" s="1"/>
      <c r="E648" s="1"/>
      <c r="F648" s="1"/>
      <c r="G648" s="1"/>
    </row>
    <row r="649">
      <c r="A649" s="1"/>
      <c r="B649" s="1"/>
      <c r="C649" s="1"/>
      <c r="D649" s="1"/>
      <c r="E649" s="1"/>
      <c r="F649" s="1"/>
      <c r="G649" s="1"/>
    </row>
    <row r="650">
      <c r="A650" s="1"/>
      <c r="B650" s="1"/>
      <c r="C650" s="1"/>
      <c r="D650" s="1"/>
      <c r="E650" s="1"/>
      <c r="F650" s="1"/>
      <c r="G650" s="1"/>
    </row>
    <row r="651">
      <c r="A651" s="1"/>
      <c r="B651" s="1"/>
      <c r="C651" s="1"/>
      <c r="D651" s="1"/>
      <c r="E651" s="1"/>
      <c r="F651" s="1"/>
      <c r="G651" s="1"/>
    </row>
    <row r="652">
      <c r="A652" s="1"/>
      <c r="B652" s="1"/>
      <c r="C652" s="1"/>
      <c r="D652" s="1"/>
      <c r="E652" s="1"/>
      <c r="F652" s="1"/>
      <c r="G652" s="1"/>
    </row>
    <row r="653">
      <c r="A653" s="1"/>
      <c r="B653" s="1"/>
      <c r="C653" s="1"/>
      <c r="D653" s="1"/>
      <c r="E653" s="1"/>
      <c r="F653" s="1"/>
      <c r="G653" s="1"/>
    </row>
    <row r="654">
      <c r="A654" s="1"/>
      <c r="B654" s="1"/>
      <c r="C654" s="1"/>
      <c r="D654" s="1"/>
      <c r="E654" s="1"/>
      <c r="F654" s="1"/>
      <c r="G654" s="1"/>
    </row>
    <row r="655">
      <c r="A655" s="1"/>
      <c r="B655" s="1"/>
      <c r="C655" s="1"/>
      <c r="D655" s="1"/>
      <c r="E655" s="1"/>
      <c r="F655" s="1"/>
      <c r="G655" s="1"/>
    </row>
    <row r="656">
      <c r="A656" s="1"/>
      <c r="B656" s="1"/>
      <c r="C656" s="1"/>
      <c r="D656" s="1"/>
      <c r="E656" s="1"/>
      <c r="F656" s="1"/>
      <c r="G656" s="1"/>
    </row>
    <row r="657">
      <c r="A657" s="1"/>
      <c r="B657" s="1"/>
      <c r="C657" s="1"/>
      <c r="D657" s="1"/>
      <c r="E657" s="1"/>
      <c r="F657" s="1"/>
      <c r="G657" s="1"/>
    </row>
    <row r="658">
      <c r="A658" s="1"/>
      <c r="B658" s="1"/>
      <c r="C658" s="1"/>
      <c r="D658" s="1"/>
      <c r="E658" s="1"/>
      <c r="F658" s="1"/>
      <c r="G658" s="1"/>
    </row>
    <row r="659">
      <c r="A659" s="1"/>
      <c r="B659" s="1"/>
      <c r="C659" s="1"/>
      <c r="D659" s="1"/>
      <c r="E659" s="1"/>
      <c r="F659" s="1"/>
      <c r="G659" s="1"/>
    </row>
    <row r="660">
      <c r="A660" s="1"/>
      <c r="B660" s="1"/>
      <c r="C660" s="1"/>
      <c r="D660" s="1"/>
      <c r="E660" s="1"/>
      <c r="F660" s="1"/>
      <c r="G660" s="1"/>
    </row>
    <row r="661">
      <c r="A661" s="1"/>
      <c r="B661" s="1"/>
      <c r="C661" s="1"/>
      <c r="D661" s="1"/>
      <c r="E661" s="1"/>
      <c r="F661" s="1"/>
      <c r="G661" s="1"/>
    </row>
    <row r="662">
      <c r="A662" s="1"/>
      <c r="B662" s="1"/>
      <c r="C662" s="1"/>
      <c r="D662" s="1"/>
      <c r="E662" s="1"/>
      <c r="F662" s="1"/>
      <c r="G662" s="1"/>
    </row>
    <row r="663">
      <c r="A663" s="1"/>
      <c r="B663" s="1"/>
      <c r="C663" s="1"/>
      <c r="D663" s="1"/>
      <c r="E663" s="1"/>
      <c r="F663" s="1"/>
      <c r="G663" s="1"/>
    </row>
    <row r="664">
      <c r="A664" s="1"/>
      <c r="B664" s="1"/>
      <c r="C664" s="1"/>
      <c r="D664" s="1"/>
      <c r="E664" s="1"/>
      <c r="F664" s="1"/>
      <c r="G664" s="1"/>
    </row>
    <row r="665">
      <c r="A665" s="1"/>
      <c r="B665" s="1"/>
      <c r="C665" s="1"/>
      <c r="D665" s="1"/>
      <c r="E665" s="1"/>
      <c r="F665" s="1"/>
      <c r="G665" s="1"/>
    </row>
    <row r="666">
      <c r="A666" s="1"/>
      <c r="B666" s="1"/>
      <c r="C666" s="1"/>
      <c r="D666" s="1"/>
      <c r="E666" s="1"/>
      <c r="F666" s="1"/>
      <c r="G666" s="1"/>
    </row>
    <row r="667">
      <c r="A667" s="1"/>
      <c r="B667" s="1"/>
      <c r="C667" s="1"/>
      <c r="D667" s="1"/>
      <c r="E667" s="1"/>
      <c r="F667" s="1"/>
      <c r="G667" s="1"/>
    </row>
    <row r="668">
      <c r="A668" s="1"/>
      <c r="B668" s="1"/>
      <c r="C668" s="1"/>
      <c r="D668" s="1"/>
      <c r="E668" s="1"/>
      <c r="F668" s="1"/>
      <c r="G668" s="1"/>
    </row>
    <row r="669">
      <c r="A669" s="1"/>
      <c r="B669" s="1"/>
      <c r="C669" s="1"/>
      <c r="D669" s="1"/>
      <c r="E669" s="1"/>
      <c r="F669" s="1"/>
      <c r="G669" s="1"/>
    </row>
    <row r="670">
      <c r="A670" s="1"/>
      <c r="B670" s="1"/>
      <c r="C670" s="1"/>
      <c r="D670" s="1"/>
      <c r="E670" s="1"/>
      <c r="F670" s="1"/>
      <c r="G670" s="1"/>
    </row>
    <row r="671">
      <c r="A671" s="1"/>
      <c r="B671" s="1"/>
      <c r="C671" s="1"/>
      <c r="D671" s="1"/>
      <c r="E671" s="1"/>
      <c r="F671" s="1"/>
      <c r="G671" s="1"/>
    </row>
    <row r="672">
      <c r="A672" s="1"/>
      <c r="B672" s="1"/>
      <c r="C672" s="1"/>
      <c r="D672" s="1"/>
      <c r="E672" s="1"/>
      <c r="F672" s="1"/>
      <c r="G672" s="1"/>
    </row>
    <row r="673">
      <c r="A673" s="1"/>
      <c r="B673" s="1"/>
      <c r="C673" s="1"/>
      <c r="D673" s="1"/>
      <c r="E673" s="1"/>
      <c r="F673" s="1"/>
      <c r="G673" s="1"/>
    </row>
    <row r="674">
      <c r="A674" s="1"/>
      <c r="B674" s="1"/>
      <c r="C674" s="1"/>
      <c r="D674" s="1"/>
      <c r="E674" s="1"/>
      <c r="F674" s="1"/>
      <c r="G674" s="1"/>
    </row>
    <row r="675">
      <c r="A675" s="1"/>
      <c r="B675" s="1"/>
      <c r="C675" s="1"/>
      <c r="D675" s="1"/>
      <c r="E675" s="1"/>
      <c r="F675" s="1"/>
      <c r="G675" s="1"/>
    </row>
    <row r="676">
      <c r="A676" s="1"/>
      <c r="B676" s="1"/>
      <c r="C676" s="1"/>
      <c r="D676" s="1"/>
      <c r="E676" s="1"/>
      <c r="F676" s="1"/>
      <c r="G676" s="1"/>
    </row>
    <row r="677">
      <c r="A677" s="1"/>
      <c r="B677" s="1"/>
      <c r="C677" s="1"/>
      <c r="D677" s="1"/>
      <c r="E677" s="1"/>
      <c r="F677" s="1"/>
      <c r="G677" s="1"/>
    </row>
    <row r="678">
      <c r="A678" s="1"/>
      <c r="B678" s="1"/>
      <c r="C678" s="1"/>
      <c r="D678" s="1"/>
      <c r="E678" s="1"/>
      <c r="F678" s="1"/>
      <c r="G678" s="1"/>
    </row>
    <row r="679">
      <c r="A679" s="1"/>
      <c r="B679" s="1"/>
      <c r="C679" s="1"/>
      <c r="D679" s="1"/>
      <c r="E679" s="1"/>
      <c r="F679" s="1"/>
      <c r="G679" s="1"/>
    </row>
    <row r="680">
      <c r="A680" s="1"/>
      <c r="B680" s="1"/>
      <c r="C680" s="1"/>
      <c r="D680" s="1"/>
      <c r="E680" s="1"/>
      <c r="F680" s="1"/>
      <c r="G680" s="1"/>
    </row>
    <row r="681">
      <c r="A681" s="1"/>
      <c r="B681" s="1"/>
      <c r="C681" s="1"/>
      <c r="D681" s="1"/>
      <c r="E681" s="1"/>
      <c r="F681" s="1"/>
      <c r="G681" s="1"/>
    </row>
    <row r="682">
      <c r="A682" s="1"/>
      <c r="B682" s="1"/>
      <c r="C682" s="1"/>
      <c r="D682" s="1"/>
      <c r="E682" s="1"/>
      <c r="F682" s="1"/>
      <c r="G682" s="1"/>
    </row>
    <row r="683">
      <c r="A683" s="1"/>
      <c r="B683" s="1"/>
      <c r="C683" s="1"/>
      <c r="D683" s="1"/>
      <c r="E683" s="1"/>
      <c r="F683" s="1"/>
      <c r="G683" s="1"/>
    </row>
    <row r="684">
      <c r="A684" s="1"/>
      <c r="B684" s="1"/>
      <c r="C684" s="1"/>
      <c r="D684" s="1"/>
      <c r="E684" s="1"/>
      <c r="F684" s="1"/>
      <c r="G684" s="1"/>
    </row>
    <row r="685">
      <c r="A685" s="1"/>
      <c r="B685" s="1"/>
      <c r="C685" s="1"/>
      <c r="D685" s="1"/>
      <c r="E685" s="1"/>
      <c r="F685" s="1"/>
      <c r="G685" s="1"/>
    </row>
    <row r="686">
      <c r="A686" s="1"/>
      <c r="B686" s="1"/>
      <c r="C686" s="1"/>
      <c r="D686" s="1"/>
      <c r="E686" s="1"/>
      <c r="F686" s="1"/>
      <c r="G686" s="1"/>
    </row>
    <row r="687">
      <c r="A687" s="1"/>
      <c r="B687" s="1"/>
      <c r="C687" s="1"/>
      <c r="D687" s="1"/>
      <c r="E687" s="1"/>
      <c r="F687" s="1"/>
      <c r="G687" s="1"/>
    </row>
    <row r="688">
      <c r="A688" s="1"/>
      <c r="B688" s="1"/>
      <c r="C688" s="1"/>
      <c r="D688" s="1"/>
      <c r="E688" s="1"/>
      <c r="F688" s="1"/>
      <c r="G688" s="1"/>
    </row>
    <row r="689">
      <c r="A689" s="1"/>
      <c r="B689" s="1"/>
      <c r="C689" s="1"/>
      <c r="D689" s="1"/>
      <c r="E689" s="1"/>
      <c r="F689" s="1"/>
      <c r="G689" s="1"/>
    </row>
    <row r="690">
      <c r="A690" s="1"/>
      <c r="B690" s="1"/>
      <c r="C690" s="1"/>
      <c r="D690" s="1"/>
      <c r="E690" s="1"/>
      <c r="F690" s="1"/>
      <c r="G690" s="1"/>
    </row>
    <row r="691">
      <c r="A691" s="1"/>
      <c r="B691" s="1"/>
      <c r="C691" s="1"/>
      <c r="D691" s="1"/>
      <c r="E691" s="1"/>
      <c r="F691" s="1"/>
      <c r="G691" s="1"/>
    </row>
    <row r="692">
      <c r="A692" s="1"/>
      <c r="B692" s="1"/>
      <c r="C692" s="1"/>
      <c r="D692" s="1"/>
      <c r="E692" s="1"/>
      <c r="F692" s="1"/>
      <c r="G692" s="1"/>
    </row>
    <row r="693">
      <c r="A693" s="1"/>
      <c r="B693" s="1"/>
      <c r="C693" s="1"/>
      <c r="D693" s="1"/>
      <c r="E693" s="1"/>
      <c r="F693" s="1"/>
      <c r="G693" s="1"/>
    </row>
    <row r="694">
      <c r="A694" s="1"/>
      <c r="B694" s="1"/>
      <c r="C694" s="1"/>
      <c r="D694" s="1"/>
      <c r="E694" s="1"/>
      <c r="F694" s="1"/>
      <c r="G694" s="1"/>
    </row>
    <row r="695">
      <c r="A695" s="1"/>
      <c r="B695" s="1"/>
      <c r="C695" s="1"/>
      <c r="D695" s="1"/>
      <c r="E695" s="1"/>
      <c r="F695" s="1"/>
      <c r="G695" s="1"/>
    </row>
    <row r="696">
      <c r="A696" s="1"/>
      <c r="B696" s="1"/>
      <c r="C696" s="1"/>
      <c r="D696" s="1"/>
      <c r="E696" s="1"/>
      <c r="F696" s="1"/>
      <c r="G696" s="1"/>
    </row>
    <row r="697">
      <c r="A697" s="1"/>
      <c r="B697" s="1"/>
      <c r="C697" s="1"/>
      <c r="D697" s="1"/>
      <c r="E697" s="1"/>
      <c r="F697" s="1"/>
      <c r="G697" s="1"/>
    </row>
    <row r="698">
      <c r="A698" s="1"/>
      <c r="B698" s="1"/>
      <c r="C698" s="1"/>
      <c r="D698" s="1"/>
      <c r="E698" s="1"/>
      <c r="F698" s="1"/>
      <c r="G698" s="1"/>
    </row>
    <row r="699">
      <c r="A699" s="1"/>
      <c r="B699" s="1"/>
      <c r="C699" s="1"/>
      <c r="D699" s="1"/>
      <c r="E699" s="1"/>
      <c r="F699" s="1"/>
      <c r="G699" s="1"/>
    </row>
    <row r="700">
      <c r="A700" s="1"/>
      <c r="B700" s="1"/>
      <c r="C700" s="1"/>
      <c r="D700" s="1"/>
      <c r="E700" s="1"/>
      <c r="F700" s="1"/>
      <c r="G700" s="1"/>
    </row>
    <row r="701">
      <c r="A701" s="1"/>
      <c r="B701" s="1"/>
      <c r="C701" s="1"/>
      <c r="D701" s="1"/>
      <c r="E701" s="1"/>
      <c r="F701" s="1"/>
      <c r="G701" s="1"/>
    </row>
    <row r="702">
      <c r="A702" s="1"/>
      <c r="B702" s="1"/>
      <c r="C702" s="1"/>
      <c r="D702" s="1"/>
      <c r="E702" s="1"/>
      <c r="F702" s="1"/>
      <c r="G702" s="1"/>
    </row>
    <row r="703">
      <c r="A703" s="1"/>
      <c r="B703" s="1"/>
      <c r="C703" s="1"/>
      <c r="D703" s="1"/>
      <c r="E703" s="1"/>
      <c r="F703" s="1"/>
      <c r="G703" s="1"/>
    </row>
    <row r="704">
      <c r="A704" s="1"/>
      <c r="B704" s="1"/>
      <c r="C704" s="1"/>
      <c r="D704" s="1"/>
      <c r="E704" s="1"/>
      <c r="F704" s="1"/>
      <c r="G704" s="1"/>
    </row>
    <row r="705">
      <c r="A705" s="1"/>
      <c r="B705" s="1"/>
      <c r="C705" s="1"/>
      <c r="D705" s="1"/>
      <c r="E705" s="1"/>
      <c r="F705" s="1"/>
      <c r="G705" s="1"/>
    </row>
    <row r="706">
      <c r="A706" s="1"/>
      <c r="B706" s="1"/>
      <c r="C706" s="1"/>
      <c r="D706" s="1"/>
      <c r="E706" s="1"/>
      <c r="F706" s="1"/>
      <c r="G706" s="1"/>
    </row>
    <row r="707">
      <c r="A707" s="1"/>
      <c r="B707" s="1"/>
      <c r="C707" s="1"/>
      <c r="D707" s="1"/>
      <c r="E707" s="1"/>
      <c r="F707" s="1"/>
      <c r="G707" s="1"/>
    </row>
    <row r="708">
      <c r="A708" s="1"/>
      <c r="B708" s="1"/>
      <c r="C708" s="1"/>
      <c r="D708" s="1"/>
      <c r="E708" s="1"/>
      <c r="F708" s="1"/>
      <c r="G708" s="1"/>
    </row>
    <row r="709">
      <c r="A709" s="1"/>
      <c r="B709" s="1"/>
      <c r="C709" s="1"/>
      <c r="D709" s="1"/>
      <c r="E709" s="1"/>
      <c r="F709" s="1"/>
      <c r="G709" s="1"/>
    </row>
    <row r="710">
      <c r="A710" s="1"/>
      <c r="B710" s="1"/>
      <c r="C710" s="1"/>
      <c r="D710" s="1"/>
      <c r="E710" s="1"/>
      <c r="F710" s="1"/>
      <c r="G710" s="1"/>
    </row>
    <row r="711">
      <c r="A711" s="1"/>
      <c r="B711" s="1"/>
      <c r="C711" s="1"/>
      <c r="D711" s="1"/>
      <c r="E711" s="1"/>
      <c r="F711" s="1"/>
      <c r="G711" s="1"/>
    </row>
    <row r="712">
      <c r="A712" s="1"/>
      <c r="B712" s="1"/>
      <c r="C712" s="1"/>
      <c r="D712" s="1"/>
      <c r="E712" s="1"/>
      <c r="F712" s="1"/>
      <c r="G712" s="1"/>
    </row>
    <row r="713">
      <c r="A713" s="1"/>
      <c r="B713" s="1"/>
      <c r="C713" s="1"/>
      <c r="D713" s="1"/>
      <c r="E713" s="1"/>
      <c r="F713" s="1"/>
      <c r="G713" s="1"/>
    </row>
    <row r="714">
      <c r="A714" s="1"/>
      <c r="B714" s="1"/>
      <c r="C714" s="1"/>
      <c r="D714" s="1"/>
      <c r="E714" s="1"/>
      <c r="F714" s="1"/>
      <c r="G714" s="1"/>
    </row>
    <row r="715">
      <c r="A715" s="1"/>
      <c r="B715" s="1"/>
      <c r="C715" s="1"/>
      <c r="D715" s="1"/>
      <c r="E715" s="1"/>
      <c r="F715" s="1"/>
      <c r="G715" s="1"/>
    </row>
    <row r="716">
      <c r="A716" s="1"/>
      <c r="B716" s="1"/>
      <c r="C716" s="1"/>
      <c r="D716" s="1"/>
      <c r="E716" s="1"/>
      <c r="F716" s="1"/>
      <c r="G716" s="1"/>
    </row>
    <row r="717">
      <c r="A717" s="1"/>
      <c r="B717" s="1"/>
      <c r="C717" s="1"/>
      <c r="D717" s="1"/>
      <c r="E717" s="1"/>
      <c r="F717" s="1"/>
      <c r="G717" s="1"/>
    </row>
    <row r="718">
      <c r="A718" s="1"/>
      <c r="B718" s="1"/>
      <c r="C718" s="1"/>
      <c r="D718" s="1"/>
      <c r="E718" s="1"/>
      <c r="F718" s="1"/>
      <c r="G718" s="1"/>
    </row>
    <row r="719">
      <c r="A719" s="1"/>
      <c r="B719" s="1"/>
      <c r="C719" s="1"/>
      <c r="D719" s="1"/>
      <c r="E719" s="1"/>
      <c r="F719" s="1"/>
      <c r="G719" s="1"/>
    </row>
    <row r="720">
      <c r="A720" s="1"/>
      <c r="B720" s="1"/>
      <c r="C720" s="1"/>
      <c r="D720" s="1"/>
      <c r="E720" s="1"/>
      <c r="F720" s="1"/>
      <c r="G720" s="1"/>
    </row>
    <row r="721">
      <c r="A721" s="1"/>
      <c r="B721" s="1"/>
      <c r="C721" s="1"/>
      <c r="D721" s="1"/>
      <c r="E721" s="1"/>
      <c r="F721" s="1"/>
      <c r="G721" s="1"/>
    </row>
    <row r="722">
      <c r="A722" s="1"/>
      <c r="B722" s="1"/>
      <c r="C722" s="1"/>
      <c r="D722" s="1"/>
      <c r="E722" s="1"/>
      <c r="F722" s="1"/>
      <c r="G722" s="1"/>
    </row>
    <row r="723">
      <c r="A723" s="1"/>
      <c r="B723" s="1"/>
      <c r="C723" s="1"/>
      <c r="D723" s="1"/>
      <c r="E723" s="1"/>
      <c r="F723" s="1"/>
      <c r="G723" s="1"/>
    </row>
    <row r="724">
      <c r="A724" s="1"/>
      <c r="B724" s="1"/>
      <c r="C724" s="1"/>
      <c r="D724" s="1"/>
      <c r="E724" s="1"/>
      <c r="F724" s="1"/>
      <c r="G724" s="1"/>
    </row>
    <row r="725">
      <c r="A725" s="1"/>
      <c r="B725" s="1"/>
      <c r="C725" s="1"/>
      <c r="D725" s="1"/>
      <c r="E725" s="1"/>
      <c r="F725" s="1"/>
      <c r="G725" s="1"/>
    </row>
    <row r="726">
      <c r="A726" s="1"/>
      <c r="B726" s="1"/>
      <c r="C726" s="1"/>
      <c r="D726" s="1"/>
      <c r="E726" s="1"/>
      <c r="F726" s="1"/>
      <c r="G726" s="1"/>
    </row>
    <row r="727">
      <c r="A727" s="1"/>
      <c r="B727" s="1"/>
      <c r="C727" s="1"/>
      <c r="D727" s="1"/>
      <c r="E727" s="1"/>
      <c r="F727" s="1"/>
      <c r="G727" s="1"/>
    </row>
    <row r="728">
      <c r="A728" s="1"/>
      <c r="B728" s="1"/>
      <c r="C728" s="1"/>
      <c r="D728" s="1"/>
      <c r="E728" s="1"/>
      <c r="F728" s="1"/>
      <c r="G728" s="1"/>
    </row>
    <row r="729">
      <c r="A729" s="1"/>
      <c r="B729" s="1"/>
      <c r="C729" s="1"/>
      <c r="D729" s="1"/>
      <c r="E729" s="1"/>
      <c r="F729" s="1"/>
      <c r="G729" s="1"/>
    </row>
    <row r="730">
      <c r="A730" s="1"/>
      <c r="B730" s="1"/>
      <c r="C730" s="1"/>
      <c r="D730" s="1"/>
      <c r="E730" s="1"/>
      <c r="F730" s="1"/>
      <c r="G730" s="1"/>
    </row>
    <row r="731">
      <c r="A731" s="1"/>
      <c r="B731" s="1"/>
      <c r="C731" s="1"/>
      <c r="D731" s="1"/>
      <c r="E731" s="1"/>
      <c r="F731" s="1"/>
      <c r="G731" s="1"/>
    </row>
    <row r="732">
      <c r="A732" s="1"/>
      <c r="B732" s="1"/>
      <c r="C732" s="1"/>
      <c r="D732" s="1"/>
      <c r="E732" s="1"/>
      <c r="F732" s="1"/>
      <c r="G732" s="1"/>
    </row>
    <row r="733">
      <c r="A733" s="1"/>
      <c r="B733" s="1"/>
      <c r="C733" s="1"/>
      <c r="D733" s="1"/>
      <c r="E733" s="1"/>
      <c r="F733" s="1"/>
      <c r="G733" s="1"/>
    </row>
    <row r="734">
      <c r="A734" s="1"/>
      <c r="B734" s="1"/>
      <c r="C734" s="1"/>
      <c r="D734" s="1"/>
      <c r="E734" s="1"/>
      <c r="F734" s="1"/>
      <c r="G734" s="1"/>
    </row>
    <row r="735">
      <c r="A735" s="1"/>
      <c r="B735" s="1"/>
      <c r="C735" s="1"/>
      <c r="D735" s="1"/>
      <c r="E735" s="1"/>
      <c r="F735" s="1"/>
      <c r="G735" s="1"/>
    </row>
    <row r="736">
      <c r="A736" s="1"/>
      <c r="B736" s="1"/>
      <c r="C736" s="1"/>
      <c r="D736" s="1"/>
      <c r="E736" s="1"/>
      <c r="F736" s="1"/>
      <c r="G736" s="1"/>
    </row>
    <row r="737">
      <c r="A737" s="1"/>
      <c r="B737" s="1"/>
      <c r="C737" s="1"/>
      <c r="D737" s="1"/>
      <c r="E737" s="1"/>
      <c r="F737" s="1"/>
      <c r="G737" s="1"/>
    </row>
    <row r="738">
      <c r="A738" s="1"/>
      <c r="B738" s="1"/>
      <c r="C738" s="1"/>
      <c r="D738" s="1"/>
      <c r="E738" s="1"/>
      <c r="F738" s="1"/>
      <c r="G738" s="1"/>
    </row>
    <row r="739">
      <c r="A739" s="1"/>
      <c r="B739" s="1"/>
      <c r="C739" s="1"/>
      <c r="D739" s="1"/>
      <c r="E739" s="1"/>
      <c r="F739" s="1"/>
      <c r="G739" s="1"/>
    </row>
    <row r="740">
      <c r="A740" s="1"/>
      <c r="B740" s="1"/>
      <c r="C740" s="1"/>
      <c r="D740" s="1"/>
      <c r="E740" s="1"/>
      <c r="F740" s="1"/>
      <c r="G740" s="1"/>
    </row>
    <row r="741">
      <c r="A741" s="1"/>
      <c r="B741" s="1"/>
      <c r="C741" s="1"/>
      <c r="D741" s="1"/>
      <c r="E741" s="1"/>
      <c r="F741" s="1"/>
      <c r="G741" s="1"/>
    </row>
    <row r="742">
      <c r="A742" s="1"/>
      <c r="B742" s="1"/>
      <c r="C742" s="1"/>
      <c r="D742" s="1"/>
      <c r="E742" s="1"/>
      <c r="F742" s="1"/>
      <c r="G742" s="1"/>
    </row>
    <row r="743">
      <c r="A743" s="1"/>
      <c r="B743" s="1"/>
      <c r="C743" s="1"/>
      <c r="D743" s="1"/>
      <c r="E743" s="1"/>
      <c r="F743" s="1"/>
      <c r="G743" s="1"/>
    </row>
    <row r="744">
      <c r="A744" s="1"/>
      <c r="B744" s="1"/>
      <c r="C744" s="1"/>
      <c r="D744" s="1"/>
      <c r="E744" s="1"/>
      <c r="F744" s="1"/>
      <c r="G744" s="1"/>
    </row>
    <row r="745">
      <c r="A745" s="1"/>
      <c r="B745" s="1"/>
      <c r="C745" s="1"/>
      <c r="D745" s="1"/>
      <c r="E745" s="1"/>
      <c r="F745" s="1"/>
      <c r="G745" s="1"/>
    </row>
    <row r="746">
      <c r="A746" s="1"/>
      <c r="B746" s="1"/>
      <c r="C746" s="1"/>
      <c r="D746" s="1"/>
      <c r="E746" s="1"/>
      <c r="F746" s="1"/>
      <c r="G746" s="1"/>
    </row>
    <row r="747">
      <c r="A747" s="1"/>
      <c r="B747" s="1"/>
      <c r="C747" s="1"/>
      <c r="D747" s="1"/>
      <c r="E747" s="1"/>
      <c r="F747" s="1"/>
      <c r="G747" s="1"/>
    </row>
    <row r="748">
      <c r="A748" s="1"/>
      <c r="B748" s="1"/>
      <c r="C748" s="1"/>
      <c r="D748" s="1"/>
      <c r="E748" s="1"/>
      <c r="F748" s="1"/>
      <c r="G748" s="1"/>
    </row>
    <row r="749">
      <c r="A749" s="1"/>
      <c r="B749" s="1"/>
      <c r="C749" s="1"/>
      <c r="D749" s="1"/>
      <c r="E749" s="1"/>
      <c r="F749" s="1"/>
      <c r="G749" s="1"/>
    </row>
    <row r="750">
      <c r="A750" s="1"/>
      <c r="B750" s="1"/>
      <c r="C750" s="1"/>
      <c r="D750" s="1"/>
      <c r="E750" s="1"/>
      <c r="F750" s="1"/>
      <c r="G750" s="1"/>
    </row>
    <row r="751">
      <c r="A751" s="1"/>
      <c r="B751" s="1"/>
      <c r="C751" s="1"/>
      <c r="D751" s="1"/>
      <c r="E751" s="1"/>
      <c r="F751" s="1"/>
      <c r="G751" s="1"/>
    </row>
    <row r="752">
      <c r="A752" s="1"/>
      <c r="B752" s="1"/>
      <c r="C752" s="1"/>
      <c r="D752" s="1"/>
      <c r="E752" s="1"/>
      <c r="F752" s="1"/>
      <c r="G752" s="1"/>
    </row>
    <row r="753">
      <c r="A753" s="1"/>
      <c r="B753" s="1"/>
      <c r="C753" s="1"/>
      <c r="D753" s="1"/>
      <c r="E753" s="1"/>
      <c r="F753" s="1"/>
      <c r="G753" s="1"/>
    </row>
    <row r="754">
      <c r="A754" s="1"/>
      <c r="B754" s="1"/>
      <c r="C754" s="1"/>
      <c r="D754" s="1"/>
      <c r="E754" s="1"/>
      <c r="F754" s="1"/>
      <c r="G754" s="1"/>
    </row>
    <row r="755">
      <c r="A755" s="1"/>
      <c r="B755" s="1"/>
      <c r="C755" s="1"/>
      <c r="D755" s="1"/>
      <c r="E755" s="1"/>
      <c r="F755" s="1"/>
      <c r="G755" s="1"/>
    </row>
    <row r="756">
      <c r="A756" s="1"/>
      <c r="B756" s="1"/>
      <c r="C756" s="1"/>
      <c r="D756" s="1"/>
      <c r="E756" s="1"/>
      <c r="F756" s="1"/>
      <c r="G756" s="1"/>
    </row>
    <row r="757">
      <c r="A757" s="1"/>
      <c r="B757" s="1"/>
      <c r="C757" s="1"/>
      <c r="D757" s="1"/>
      <c r="E757" s="1"/>
      <c r="F757" s="1"/>
      <c r="G757" s="1"/>
    </row>
    <row r="758">
      <c r="A758" s="1"/>
      <c r="B758" s="1"/>
      <c r="C758" s="1"/>
      <c r="D758" s="1"/>
      <c r="E758" s="1"/>
      <c r="F758" s="1"/>
      <c r="G758" s="1"/>
    </row>
    <row r="759">
      <c r="A759" s="1"/>
      <c r="B759" s="1"/>
      <c r="C759" s="1"/>
      <c r="D759" s="1"/>
      <c r="E759" s="1"/>
      <c r="F759" s="1"/>
      <c r="G759" s="1"/>
    </row>
    <row r="760">
      <c r="A760" s="1"/>
      <c r="B760" s="1"/>
      <c r="C760" s="1"/>
      <c r="D760" s="1"/>
      <c r="E760" s="1"/>
      <c r="F760" s="1"/>
      <c r="G760" s="1"/>
    </row>
    <row r="761">
      <c r="A761" s="1"/>
      <c r="B761" s="1"/>
      <c r="C761" s="1"/>
      <c r="D761" s="1"/>
      <c r="E761" s="1"/>
      <c r="F761" s="1"/>
      <c r="G761" s="1"/>
    </row>
    <row r="762">
      <c r="A762" s="1"/>
      <c r="B762" s="1"/>
      <c r="C762" s="1"/>
      <c r="D762" s="1"/>
      <c r="E762" s="1"/>
      <c r="F762" s="1"/>
      <c r="G762" s="1"/>
    </row>
    <row r="763">
      <c r="A763" s="1"/>
      <c r="B763" s="1"/>
      <c r="C763" s="1"/>
      <c r="D763" s="1"/>
      <c r="E763" s="1"/>
      <c r="F763" s="1"/>
      <c r="G763" s="1"/>
    </row>
    <row r="764">
      <c r="A764" s="1"/>
      <c r="B764" s="1"/>
      <c r="C764" s="1"/>
      <c r="D764" s="1"/>
      <c r="E764" s="1"/>
      <c r="F764" s="1"/>
      <c r="G764" s="1"/>
    </row>
    <row r="765">
      <c r="A765" s="1"/>
      <c r="B765" s="1"/>
      <c r="C765" s="1"/>
      <c r="D765" s="1"/>
      <c r="E765" s="1"/>
      <c r="F765" s="1"/>
      <c r="G765" s="1"/>
    </row>
    <row r="766">
      <c r="A766" s="1"/>
      <c r="B766" s="1"/>
      <c r="C766" s="1"/>
      <c r="D766" s="1"/>
      <c r="E766" s="1"/>
      <c r="F766" s="1"/>
      <c r="G766" s="1"/>
    </row>
    <row r="767">
      <c r="A767" s="1"/>
      <c r="B767" s="1"/>
      <c r="C767" s="1"/>
      <c r="D767" s="1"/>
      <c r="E767" s="1"/>
      <c r="F767" s="1"/>
      <c r="G767" s="1"/>
    </row>
    <row r="768">
      <c r="A768" s="1"/>
      <c r="B768" s="1"/>
      <c r="C768" s="1"/>
      <c r="D768" s="1"/>
      <c r="E768" s="1"/>
      <c r="F768" s="1"/>
      <c r="G768" s="1"/>
    </row>
    <row r="769">
      <c r="A769" s="1"/>
      <c r="B769" s="1"/>
      <c r="C769" s="1"/>
      <c r="D769" s="1"/>
      <c r="E769" s="1"/>
      <c r="F769" s="1"/>
      <c r="G769" s="1"/>
    </row>
    <row r="770">
      <c r="A770" s="1"/>
      <c r="B770" s="1"/>
      <c r="C770" s="1"/>
      <c r="D770" s="1"/>
      <c r="E770" s="1"/>
      <c r="F770" s="1"/>
      <c r="G770" s="1"/>
    </row>
    <row r="771">
      <c r="A771" s="1"/>
      <c r="B771" s="1"/>
      <c r="C771" s="1"/>
      <c r="D771" s="1"/>
      <c r="E771" s="1"/>
      <c r="F771" s="1"/>
      <c r="G771" s="1"/>
    </row>
    <row r="772">
      <c r="A772" s="1"/>
      <c r="B772" s="1"/>
      <c r="C772" s="1"/>
      <c r="D772" s="1"/>
      <c r="E772" s="1"/>
      <c r="F772" s="1"/>
      <c r="G772" s="1"/>
    </row>
    <row r="773">
      <c r="A773" s="1"/>
      <c r="B773" s="1"/>
      <c r="C773" s="1"/>
      <c r="D773" s="1"/>
      <c r="E773" s="1"/>
      <c r="F773" s="1"/>
      <c r="G773" s="1"/>
    </row>
    <row r="774">
      <c r="A774" s="1"/>
      <c r="B774" s="1"/>
      <c r="C774" s="1"/>
      <c r="D774" s="1"/>
      <c r="E774" s="1"/>
      <c r="F774" s="1"/>
      <c r="G774" s="1"/>
    </row>
    <row r="775">
      <c r="A775" s="1"/>
      <c r="B775" s="1"/>
      <c r="C775" s="1"/>
      <c r="D775" s="1"/>
      <c r="E775" s="1"/>
      <c r="F775" s="1"/>
      <c r="G775" s="1"/>
    </row>
    <row r="776">
      <c r="A776" s="1"/>
      <c r="B776" s="1"/>
      <c r="C776" s="1"/>
      <c r="D776" s="1"/>
      <c r="E776" s="1"/>
      <c r="F776" s="1"/>
      <c r="G776" s="1"/>
    </row>
    <row r="777">
      <c r="A777" s="1"/>
      <c r="B777" s="1"/>
      <c r="C777" s="1"/>
      <c r="D777" s="1"/>
      <c r="E777" s="1"/>
      <c r="F777" s="1"/>
      <c r="G777" s="1"/>
    </row>
    <row r="778">
      <c r="A778" s="1"/>
      <c r="B778" s="1"/>
      <c r="C778" s="1"/>
      <c r="D778" s="1"/>
      <c r="E778" s="1"/>
      <c r="F778" s="1"/>
      <c r="G778" s="1"/>
    </row>
    <row r="779">
      <c r="A779" s="1"/>
      <c r="B779" s="1"/>
      <c r="C779" s="1"/>
      <c r="D779" s="1"/>
      <c r="E779" s="1"/>
      <c r="F779" s="1"/>
      <c r="G779" s="1"/>
    </row>
    <row r="780">
      <c r="A780" s="1"/>
      <c r="B780" s="1"/>
      <c r="C780" s="1"/>
      <c r="D780" s="1"/>
      <c r="E780" s="1"/>
      <c r="F780" s="1"/>
      <c r="G780" s="1"/>
    </row>
    <row r="781">
      <c r="A781" s="1"/>
      <c r="B781" s="1"/>
      <c r="C781" s="1"/>
      <c r="D781" s="1"/>
      <c r="E781" s="1"/>
      <c r="F781" s="1"/>
      <c r="G781" s="1"/>
    </row>
    <row r="782">
      <c r="A782" s="1"/>
      <c r="B782" s="1"/>
      <c r="C782" s="1"/>
      <c r="D782" s="1"/>
      <c r="E782" s="1"/>
      <c r="F782" s="1"/>
      <c r="G782" s="1"/>
    </row>
    <row r="783">
      <c r="A783" s="1"/>
      <c r="B783" s="1"/>
      <c r="C783" s="1"/>
      <c r="D783" s="1"/>
      <c r="E783" s="1"/>
      <c r="F783" s="1"/>
      <c r="G783" s="1"/>
    </row>
    <row r="784">
      <c r="A784" s="1"/>
      <c r="B784" s="1"/>
      <c r="C784" s="1"/>
      <c r="D784" s="1"/>
      <c r="E784" s="1"/>
      <c r="F784" s="1"/>
      <c r="G784" s="1"/>
    </row>
    <row r="785">
      <c r="A785" s="1"/>
      <c r="B785" s="1"/>
      <c r="C785" s="1"/>
      <c r="D785" s="1"/>
      <c r="E785" s="1"/>
      <c r="F785" s="1"/>
      <c r="G785" s="1"/>
    </row>
    <row r="786">
      <c r="A786" s="1"/>
      <c r="B786" s="1"/>
      <c r="C786" s="1"/>
      <c r="D786" s="1"/>
      <c r="E786" s="1"/>
      <c r="F786" s="1"/>
      <c r="G786" s="1"/>
    </row>
    <row r="787">
      <c r="A787" s="1"/>
      <c r="B787" s="1"/>
      <c r="C787" s="1"/>
      <c r="D787" s="1"/>
      <c r="E787" s="1"/>
      <c r="F787" s="1"/>
      <c r="G787" s="1"/>
    </row>
    <row r="788">
      <c r="A788" s="1"/>
      <c r="B788" s="1"/>
      <c r="C788" s="1"/>
      <c r="D788" s="1"/>
      <c r="E788" s="1"/>
      <c r="F788" s="1"/>
      <c r="G788" s="1"/>
    </row>
    <row r="789">
      <c r="A789" s="1"/>
      <c r="B789" s="1"/>
      <c r="C789" s="1"/>
      <c r="D789" s="1"/>
      <c r="E789" s="1"/>
      <c r="F789" s="1"/>
      <c r="G789" s="1"/>
    </row>
    <row r="790">
      <c r="A790" s="1"/>
      <c r="B790" s="1"/>
      <c r="C790" s="1"/>
      <c r="D790" s="1"/>
      <c r="E790" s="1"/>
      <c r="F790" s="1"/>
      <c r="G790" s="1"/>
    </row>
    <row r="791">
      <c r="A791" s="1"/>
      <c r="B791" s="1"/>
      <c r="C791" s="1"/>
      <c r="D791" s="1"/>
      <c r="E791" s="1"/>
      <c r="F791" s="1"/>
      <c r="G791" s="1"/>
    </row>
    <row r="792">
      <c r="A792" s="1"/>
      <c r="B792" s="1"/>
      <c r="C792" s="1"/>
      <c r="D792" s="1"/>
      <c r="E792" s="1"/>
      <c r="F792" s="1"/>
      <c r="G792" s="1"/>
    </row>
    <row r="793">
      <c r="A793" s="1"/>
      <c r="B793" s="1"/>
      <c r="C793" s="1"/>
      <c r="D793" s="1"/>
      <c r="E793" s="1"/>
      <c r="F793" s="1"/>
      <c r="G793" s="1"/>
    </row>
    <row r="794">
      <c r="A794" s="1"/>
      <c r="B794" s="1"/>
      <c r="C794" s="1"/>
      <c r="D794" s="1"/>
      <c r="E794" s="1"/>
      <c r="F794" s="1"/>
      <c r="G794" s="1"/>
    </row>
    <row r="795">
      <c r="A795" s="1"/>
      <c r="B795" s="1"/>
      <c r="C795" s="1"/>
      <c r="D795" s="1"/>
      <c r="E795" s="1"/>
      <c r="F795" s="1"/>
      <c r="G795" s="1"/>
    </row>
    <row r="796">
      <c r="A796" s="1"/>
      <c r="B796" s="1"/>
      <c r="C796" s="1"/>
      <c r="D796" s="1"/>
      <c r="E796" s="1"/>
      <c r="F796" s="1"/>
      <c r="G796" s="1"/>
    </row>
    <row r="797">
      <c r="A797" s="1"/>
      <c r="B797" s="1"/>
      <c r="C797" s="1"/>
      <c r="D797" s="1"/>
      <c r="E797" s="1"/>
      <c r="F797" s="1"/>
      <c r="G797" s="1"/>
    </row>
    <row r="798">
      <c r="A798" s="1"/>
      <c r="B798" s="1"/>
      <c r="C798" s="1"/>
      <c r="D798" s="1"/>
      <c r="E798" s="1"/>
      <c r="F798" s="1"/>
      <c r="G798" s="1"/>
    </row>
    <row r="799">
      <c r="A799" s="1"/>
      <c r="B799" s="1"/>
      <c r="C799" s="1"/>
      <c r="D799" s="1"/>
      <c r="E799" s="1"/>
      <c r="F799" s="1"/>
      <c r="G799" s="1"/>
    </row>
    <row r="800">
      <c r="A800" s="1"/>
      <c r="B800" s="1"/>
      <c r="C800" s="1"/>
      <c r="D800" s="1"/>
      <c r="E800" s="1"/>
      <c r="F800" s="1"/>
      <c r="G800" s="1"/>
    </row>
    <row r="801">
      <c r="A801" s="1"/>
      <c r="B801" s="1"/>
      <c r="C801" s="1"/>
      <c r="D801" s="1"/>
      <c r="E801" s="1"/>
      <c r="F801" s="1"/>
      <c r="G801" s="1"/>
    </row>
    <row r="802">
      <c r="A802" s="1"/>
      <c r="B802" s="1"/>
      <c r="C802" s="1"/>
      <c r="D802" s="1"/>
      <c r="E802" s="1"/>
      <c r="F802" s="1"/>
      <c r="G802" s="1"/>
    </row>
    <row r="803">
      <c r="A803" s="1"/>
      <c r="B803" s="1"/>
      <c r="C803" s="1"/>
      <c r="D803" s="1"/>
      <c r="E803" s="1"/>
      <c r="F803" s="1"/>
      <c r="G803" s="1"/>
    </row>
    <row r="804">
      <c r="A804" s="1"/>
      <c r="B804" s="1"/>
      <c r="C804" s="1"/>
      <c r="D804" s="1"/>
      <c r="E804" s="1"/>
      <c r="F804" s="1"/>
      <c r="G804" s="1"/>
    </row>
    <row r="805">
      <c r="A805" s="1"/>
      <c r="B805" s="1"/>
      <c r="C805" s="1"/>
      <c r="D805" s="1"/>
      <c r="E805" s="1"/>
      <c r="F805" s="1"/>
      <c r="G805" s="1"/>
    </row>
    <row r="806">
      <c r="A806" s="1"/>
      <c r="B806" s="1"/>
      <c r="C806" s="1"/>
      <c r="D806" s="1"/>
      <c r="E806" s="1"/>
      <c r="F806" s="1"/>
      <c r="G806" s="1"/>
    </row>
    <row r="807">
      <c r="A807" s="1"/>
      <c r="B807" s="1"/>
      <c r="C807" s="1"/>
      <c r="D807" s="1"/>
      <c r="E807" s="1"/>
      <c r="F807" s="1"/>
      <c r="G807" s="1"/>
    </row>
    <row r="808">
      <c r="A808" s="1"/>
      <c r="B808" s="1"/>
      <c r="C808" s="1"/>
      <c r="D808" s="1"/>
      <c r="E808" s="1"/>
      <c r="F808" s="1"/>
      <c r="G808" s="1"/>
    </row>
    <row r="809">
      <c r="A809" s="1"/>
      <c r="B809" s="1"/>
      <c r="C809" s="1"/>
      <c r="D809" s="1"/>
      <c r="E809" s="1"/>
      <c r="F809" s="1"/>
      <c r="G809" s="1"/>
    </row>
    <row r="810">
      <c r="A810" s="1"/>
      <c r="B810" s="1"/>
      <c r="C810" s="1"/>
      <c r="D810" s="1"/>
      <c r="E810" s="1"/>
      <c r="F810" s="1"/>
      <c r="G810" s="1"/>
    </row>
    <row r="811">
      <c r="A811" s="1"/>
      <c r="B811" s="1"/>
      <c r="C811" s="1"/>
      <c r="D811" s="1"/>
      <c r="E811" s="1"/>
      <c r="F811" s="1"/>
      <c r="G811" s="1"/>
    </row>
    <row r="812">
      <c r="A812" s="1"/>
      <c r="B812" s="1"/>
      <c r="C812" s="1"/>
      <c r="D812" s="1"/>
      <c r="E812" s="1"/>
      <c r="F812" s="1"/>
      <c r="G812" s="1"/>
    </row>
    <row r="813">
      <c r="A813" s="1"/>
      <c r="B813" s="1"/>
      <c r="C813" s="1"/>
      <c r="D813" s="1"/>
      <c r="E813" s="1"/>
      <c r="F813" s="1"/>
      <c r="G813" s="1"/>
    </row>
    <row r="814">
      <c r="A814" s="1"/>
      <c r="B814" s="1"/>
      <c r="C814" s="1"/>
      <c r="D814" s="1"/>
      <c r="E814" s="1"/>
      <c r="F814" s="1"/>
      <c r="G814" s="1"/>
    </row>
    <row r="815">
      <c r="A815" s="1"/>
      <c r="B815" s="1"/>
      <c r="C815" s="1"/>
      <c r="D815" s="1"/>
      <c r="E815" s="1"/>
      <c r="F815" s="1"/>
      <c r="G815" s="1"/>
    </row>
    <row r="816">
      <c r="A816" s="1"/>
      <c r="B816" s="1"/>
      <c r="C816" s="1"/>
      <c r="D816" s="1"/>
      <c r="E816" s="1"/>
      <c r="F816" s="1"/>
      <c r="G816" s="1"/>
    </row>
    <row r="817">
      <c r="A817" s="1"/>
      <c r="B817" s="1"/>
      <c r="C817" s="1"/>
      <c r="D817" s="1"/>
      <c r="E817" s="1"/>
      <c r="F817" s="1"/>
      <c r="G817" s="1"/>
    </row>
    <row r="818">
      <c r="A818" s="1"/>
      <c r="B818" s="1"/>
      <c r="C818" s="1"/>
      <c r="D818" s="1"/>
      <c r="E818" s="1"/>
      <c r="F818" s="1"/>
      <c r="G818" s="1"/>
    </row>
    <row r="819">
      <c r="A819" s="1"/>
      <c r="B819" s="1"/>
      <c r="C819" s="1"/>
      <c r="D819" s="1"/>
      <c r="E819" s="1"/>
      <c r="F819" s="1"/>
      <c r="G819" s="1"/>
    </row>
    <row r="820">
      <c r="A820" s="1"/>
      <c r="B820" s="1"/>
      <c r="C820" s="1"/>
      <c r="D820" s="1"/>
      <c r="E820" s="1"/>
      <c r="F820" s="1"/>
      <c r="G820" s="1"/>
    </row>
    <row r="821">
      <c r="A821" s="1"/>
      <c r="B821" s="1"/>
      <c r="C821" s="1"/>
      <c r="D821" s="1"/>
      <c r="E821" s="1"/>
      <c r="F821" s="1"/>
      <c r="G821" s="1"/>
    </row>
    <row r="822">
      <c r="A822" s="1"/>
      <c r="B822" s="1"/>
      <c r="C822" s="1"/>
      <c r="D822" s="1"/>
      <c r="E822" s="1"/>
      <c r="F822" s="1"/>
      <c r="G822" s="1"/>
    </row>
    <row r="823">
      <c r="A823" s="1"/>
      <c r="B823" s="1"/>
      <c r="C823" s="1"/>
      <c r="D823" s="1"/>
      <c r="E823" s="1"/>
      <c r="F823" s="1"/>
      <c r="G823" s="1"/>
    </row>
    <row r="824">
      <c r="A824" s="1"/>
      <c r="B824" s="1"/>
      <c r="C824" s="1"/>
      <c r="D824" s="1"/>
      <c r="E824" s="1"/>
      <c r="F824" s="1"/>
      <c r="G824" s="1"/>
    </row>
    <row r="825">
      <c r="A825" s="1"/>
      <c r="B825" s="1"/>
      <c r="C825" s="1"/>
      <c r="D825" s="1"/>
      <c r="E825" s="1"/>
      <c r="F825" s="1"/>
      <c r="G825" s="1"/>
    </row>
    <row r="826">
      <c r="A826" s="1"/>
      <c r="B826" s="1"/>
      <c r="C826" s="1"/>
      <c r="D826" s="1"/>
      <c r="E826" s="1"/>
      <c r="F826" s="1"/>
      <c r="G826" s="1"/>
    </row>
    <row r="827">
      <c r="A827" s="1"/>
      <c r="B827" s="1"/>
      <c r="C827" s="1"/>
      <c r="D827" s="1"/>
      <c r="E827" s="1"/>
      <c r="F827" s="1"/>
      <c r="G827" s="1"/>
    </row>
    <row r="828">
      <c r="A828" s="1"/>
      <c r="B828" s="1"/>
      <c r="C828" s="1"/>
      <c r="D828" s="1"/>
      <c r="E828" s="1"/>
      <c r="F828" s="1"/>
      <c r="G828" s="1"/>
    </row>
    <row r="829">
      <c r="A829" s="1"/>
      <c r="B829" s="1"/>
      <c r="C829" s="1"/>
      <c r="D829" s="1"/>
      <c r="E829" s="1"/>
      <c r="F829" s="1"/>
      <c r="G829" s="1"/>
    </row>
    <row r="830">
      <c r="A830" s="1"/>
      <c r="B830" s="1"/>
      <c r="C830" s="1"/>
      <c r="D830" s="1"/>
      <c r="E830" s="1"/>
      <c r="F830" s="1"/>
      <c r="G830" s="1"/>
    </row>
    <row r="831">
      <c r="A831" s="1"/>
      <c r="B831" s="1"/>
      <c r="C831" s="1"/>
      <c r="D831" s="1"/>
      <c r="E831" s="1"/>
      <c r="F831" s="1"/>
      <c r="G831" s="1"/>
    </row>
    <row r="832">
      <c r="A832" s="1"/>
      <c r="B832" s="1"/>
      <c r="C832" s="1"/>
      <c r="D832" s="1"/>
      <c r="E832" s="1"/>
      <c r="F832" s="1"/>
      <c r="G832" s="1"/>
    </row>
    <row r="833">
      <c r="A833" s="1"/>
      <c r="B833" s="1"/>
      <c r="C833" s="1"/>
      <c r="D833" s="1"/>
      <c r="E833" s="1"/>
      <c r="F833" s="1"/>
      <c r="G833" s="1"/>
    </row>
    <row r="834">
      <c r="A834" s="1"/>
      <c r="B834" s="1"/>
      <c r="C834" s="1"/>
      <c r="D834" s="1"/>
      <c r="E834" s="1"/>
      <c r="F834" s="1"/>
      <c r="G834" s="1"/>
    </row>
    <row r="835">
      <c r="A835" s="1"/>
      <c r="B835" s="1"/>
      <c r="C835" s="1"/>
      <c r="D835" s="1"/>
      <c r="E835" s="1"/>
      <c r="F835" s="1"/>
      <c r="G835" s="1"/>
    </row>
    <row r="836">
      <c r="A836" s="1"/>
      <c r="B836" s="1"/>
      <c r="C836" s="1"/>
      <c r="D836" s="1"/>
      <c r="E836" s="1"/>
      <c r="F836" s="1"/>
      <c r="G836" s="1"/>
    </row>
    <row r="837">
      <c r="A837" s="1"/>
      <c r="B837" s="1"/>
      <c r="C837" s="1"/>
      <c r="D837" s="1"/>
      <c r="E837" s="1"/>
      <c r="F837" s="1"/>
      <c r="G837" s="1"/>
    </row>
    <row r="838">
      <c r="A838" s="1"/>
      <c r="B838" s="1"/>
      <c r="C838" s="1"/>
      <c r="D838" s="1"/>
      <c r="E838" s="1"/>
      <c r="F838" s="1"/>
      <c r="G838" s="1"/>
    </row>
    <row r="839">
      <c r="A839" s="1"/>
      <c r="B839" s="1"/>
      <c r="C839" s="1"/>
      <c r="D839" s="1"/>
      <c r="E839" s="1"/>
      <c r="F839" s="1"/>
      <c r="G839" s="1"/>
    </row>
    <row r="840">
      <c r="A840" s="1"/>
      <c r="B840" s="1"/>
      <c r="C840" s="1"/>
      <c r="D840" s="1"/>
      <c r="E840" s="1"/>
      <c r="F840" s="1"/>
      <c r="G840" s="1"/>
    </row>
    <row r="841">
      <c r="A841" s="1"/>
      <c r="B841" s="1"/>
      <c r="C841" s="1"/>
      <c r="D841" s="1"/>
      <c r="E841" s="1"/>
      <c r="F841" s="1"/>
      <c r="G841" s="1"/>
    </row>
    <row r="842">
      <c r="A842" s="1"/>
      <c r="B842" s="1"/>
      <c r="C842" s="1"/>
      <c r="D842" s="1"/>
      <c r="E842" s="1"/>
      <c r="F842" s="1"/>
      <c r="G842" s="1"/>
    </row>
    <row r="843">
      <c r="A843" s="1"/>
      <c r="B843" s="1"/>
      <c r="C843" s="1"/>
      <c r="D843" s="1"/>
      <c r="E843" s="1"/>
      <c r="F843" s="1"/>
      <c r="G843" s="1"/>
    </row>
    <row r="844">
      <c r="A844" s="1"/>
      <c r="B844" s="1"/>
      <c r="C844" s="1"/>
      <c r="D844" s="1"/>
      <c r="E844" s="1"/>
      <c r="F844" s="1"/>
      <c r="G844" s="1"/>
    </row>
    <row r="845">
      <c r="A845" s="1"/>
      <c r="B845" s="1"/>
      <c r="C845" s="1"/>
      <c r="D845" s="1"/>
      <c r="E845" s="1"/>
      <c r="F845" s="1"/>
      <c r="G845" s="1"/>
    </row>
    <row r="846">
      <c r="A846" s="1"/>
      <c r="B846" s="1"/>
      <c r="C846" s="1"/>
      <c r="D846" s="1"/>
      <c r="E846" s="1"/>
      <c r="F846" s="1"/>
      <c r="G846" s="1"/>
    </row>
    <row r="847">
      <c r="A847" s="1"/>
      <c r="B847" s="1"/>
      <c r="C847" s="1"/>
      <c r="D847" s="1"/>
      <c r="E847" s="1"/>
      <c r="F847" s="1"/>
      <c r="G847" s="1"/>
    </row>
    <row r="848">
      <c r="A848" s="1"/>
      <c r="B848" s="1"/>
      <c r="C848" s="1"/>
      <c r="D848" s="1"/>
      <c r="E848" s="1"/>
      <c r="F848" s="1"/>
      <c r="G848" s="1"/>
    </row>
    <row r="849">
      <c r="A849" s="1"/>
      <c r="B849" s="1"/>
      <c r="C849" s="1"/>
      <c r="D849" s="1"/>
      <c r="E849" s="1"/>
      <c r="F849" s="1"/>
      <c r="G849" s="1"/>
    </row>
    <row r="850">
      <c r="A850" s="1"/>
      <c r="B850" s="1"/>
      <c r="C850" s="1"/>
      <c r="D850" s="1"/>
      <c r="E850" s="1"/>
      <c r="F850" s="1"/>
      <c r="G850" s="1"/>
    </row>
    <row r="851">
      <c r="A851" s="1"/>
      <c r="B851" s="1"/>
      <c r="C851" s="1"/>
      <c r="D851" s="1"/>
      <c r="E851" s="1"/>
      <c r="F851" s="1"/>
      <c r="G851" s="1"/>
    </row>
    <row r="852">
      <c r="A852" s="1"/>
      <c r="B852" s="1"/>
      <c r="C852" s="1"/>
      <c r="D852" s="1"/>
      <c r="E852" s="1"/>
      <c r="F852" s="1"/>
      <c r="G852" s="1"/>
    </row>
    <row r="853">
      <c r="A853" s="1"/>
      <c r="B853" s="1"/>
      <c r="C853" s="1"/>
      <c r="D853" s="1"/>
      <c r="E853" s="1"/>
      <c r="F853" s="1"/>
      <c r="G853" s="1"/>
    </row>
    <row r="854">
      <c r="A854" s="1"/>
      <c r="B854" s="1"/>
      <c r="C854" s="1"/>
      <c r="D854" s="1"/>
      <c r="E854" s="1"/>
      <c r="F854" s="1"/>
      <c r="G854" s="1"/>
    </row>
    <row r="855">
      <c r="A855" s="1"/>
      <c r="B855" s="1"/>
      <c r="C855" s="1"/>
      <c r="D855" s="1"/>
      <c r="E855" s="1"/>
      <c r="F855" s="1"/>
      <c r="G855" s="1"/>
    </row>
    <row r="856">
      <c r="A856" s="1"/>
      <c r="B856" s="1"/>
      <c r="C856" s="1"/>
      <c r="D856" s="1"/>
      <c r="E856" s="1"/>
      <c r="F856" s="1"/>
      <c r="G856" s="1"/>
    </row>
    <row r="857">
      <c r="A857" s="1"/>
      <c r="B857" s="1"/>
      <c r="C857" s="1"/>
      <c r="D857" s="1"/>
      <c r="E857" s="1"/>
      <c r="F857" s="1"/>
      <c r="G857" s="1"/>
    </row>
    <row r="858">
      <c r="A858" s="1"/>
      <c r="B858" s="1"/>
      <c r="C858" s="1"/>
      <c r="D858" s="1"/>
      <c r="E858" s="1"/>
      <c r="F858" s="1"/>
      <c r="G858" s="1"/>
    </row>
    <row r="859">
      <c r="A859" s="1"/>
      <c r="B859" s="1"/>
      <c r="C859" s="1"/>
      <c r="D859" s="1"/>
      <c r="E859" s="1"/>
      <c r="F859" s="1"/>
      <c r="G859" s="1"/>
    </row>
    <row r="860">
      <c r="A860" s="1"/>
      <c r="B860" s="1"/>
      <c r="C860" s="1"/>
      <c r="D860" s="1"/>
      <c r="E860" s="1"/>
      <c r="F860" s="1"/>
      <c r="G860" s="1"/>
    </row>
    <row r="861">
      <c r="A861" s="1"/>
      <c r="B861" s="1"/>
      <c r="C861" s="1"/>
      <c r="D861" s="1"/>
      <c r="E861" s="1"/>
      <c r="F861" s="1"/>
      <c r="G861" s="1"/>
    </row>
    <row r="862">
      <c r="A862" s="1"/>
      <c r="B862" s="1"/>
      <c r="C862" s="1"/>
      <c r="D862" s="1"/>
      <c r="E862" s="1"/>
      <c r="F862" s="1"/>
      <c r="G862" s="1"/>
    </row>
    <row r="863">
      <c r="A863" s="1"/>
      <c r="B863" s="1"/>
      <c r="C863" s="1"/>
      <c r="D863" s="1"/>
      <c r="E863" s="1"/>
      <c r="F863" s="1"/>
      <c r="G863" s="1"/>
    </row>
    <row r="864">
      <c r="A864" s="1"/>
      <c r="B864" s="1"/>
      <c r="C864" s="1"/>
      <c r="D864" s="1"/>
      <c r="E864" s="1"/>
      <c r="F864" s="1"/>
      <c r="G864" s="1"/>
    </row>
    <row r="865">
      <c r="A865" s="1"/>
      <c r="B865" s="1"/>
      <c r="C865" s="1"/>
      <c r="D865" s="1"/>
      <c r="E865" s="1"/>
      <c r="F865" s="1"/>
      <c r="G865" s="1"/>
    </row>
    <row r="866">
      <c r="A866" s="1"/>
      <c r="B866" s="1"/>
      <c r="C866" s="1"/>
      <c r="D866" s="1"/>
      <c r="E866" s="1"/>
      <c r="F866" s="1"/>
      <c r="G866" s="1"/>
    </row>
    <row r="867">
      <c r="A867" s="1"/>
      <c r="B867" s="1"/>
      <c r="C867" s="1"/>
      <c r="D867" s="1"/>
      <c r="E867" s="1"/>
      <c r="F867" s="1"/>
      <c r="G867" s="1"/>
    </row>
    <row r="868">
      <c r="A868" s="1"/>
      <c r="B868" s="1"/>
      <c r="C868" s="1"/>
      <c r="D868" s="1"/>
      <c r="E868" s="1"/>
      <c r="F868" s="1"/>
      <c r="G868" s="1"/>
    </row>
    <row r="869">
      <c r="A869" s="1"/>
      <c r="B869" s="1"/>
      <c r="C869" s="1"/>
      <c r="D869" s="1"/>
      <c r="E869" s="1"/>
      <c r="F869" s="1"/>
      <c r="G869" s="1"/>
    </row>
    <row r="870">
      <c r="A870" s="1"/>
      <c r="B870" s="1"/>
      <c r="C870" s="1"/>
      <c r="D870" s="1"/>
      <c r="E870" s="1"/>
      <c r="F870" s="1"/>
      <c r="G870" s="1"/>
    </row>
    <row r="871">
      <c r="A871" s="1"/>
      <c r="B871" s="1"/>
      <c r="C871" s="1"/>
      <c r="D871" s="1"/>
      <c r="E871" s="1"/>
      <c r="F871" s="1"/>
      <c r="G871" s="1"/>
    </row>
    <row r="872">
      <c r="A872" s="1"/>
      <c r="B872" s="1"/>
      <c r="C872" s="1"/>
      <c r="D872" s="1"/>
      <c r="E872" s="1"/>
      <c r="F872" s="1"/>
      <c r="G872" s="1"/>
    </row>
    <row r="873">
      <c r="A873" s="1"/>
      <c r="B873" s="1"/>
      <c r="C873" s="1"/>
      <c r="D873" s="1"/>
      <c r="E873" s="1"/>
      <c r="F873" s="1"/>
      <c r="G873" s="1"/>
    </row>
    <row r="874">
      <c r="A874" s="1"/>
      <c r="B874" s="1"/>
      <c r="C874" s="1"/>
      <c r="D874" s="1"/>
      <c r="E874" s="1"/>
      <c r="F874" s="1"/>
      <c r="G874" s="1"/>
    </row>
    <row r="875">
      <c r="A875" s="1"/>
      <c r="B875" s="1"/>
      <c r="C875" s="1"/>
      <c r="D875" s="1"/>
      <c r="E875" s="1"/>
      <c r="F875" s="1"/>
      <c r="G875" s="1"/>
    </row>
    <row r="876">
      <c r="A876" s="1"/>
      <c r="B876" s="1"/>
      <c r="C876" s="1"/>
      <c r="D876" s="1"/>
      <c r="E876" s="1"/>
      <c r="F876" s="1"/>
      <c r="G876" s="1"/>
    </row>
    <row r="877">
      <c r="A877" s="1"/>
      <c r="B877" s="1"/>
      <c r="C877" s="1"/>
      <c r="D877" s="1"/>
      <c r="E877" s="1"/>
      <c r="F877" s="1"/>
      <c r="G877" s="1"/>
    </row>
    <row r="878">
      <c r="A878" s="1"/>
      <c r="B878" s="1"/>
      <c r="C878" s="1"/>
      <c r="D878" s="1"/>
      <c r="E878" s="1"/>
      <c r="F878" s="1"/>
      <c r="G878" s="1"/>
    </row>
    <row r="879">
      <c r="A879" s="1"/>
      <c r="B879" s="1"/>
      <c r="C879" s="1"/>
      <c r="D879" s="1"/>
      <c r="E879" s="1"/>
      <c r="F879" s="1"/>
      <c r="G879" s="1"/>
    </row>
    <row r="880">
      <c r="A880" s="1"/>
      <c r="B880" s="1"/>
      <c r="C880" s="1"/>
      <c r="D880" s="1"/>
      <c r="E880" s="1"/>
      <c r="F880" s="1"/>
      <c r="G880" s="1"/>
    </row>
    <row r="881">
      <c r="A881" s="1"/>
      <c r="B881" s="1"/>
      <c r="C881" s="1"/>
      <c r="D881" s="1"/>
      <c r="E881" s="1"/>
      <c r="F881" s="1"/>
      <c r="G881" s="1"/>
    </row>
    <row r="882">
      <c r="A882" s="1"/>
      <c r="B882" s="1"/>
      <c r="C882" s="1"/>
      <c r="D882" s="1"/>
      <c r="E882" s="1"/>
      <c r="F882" s="1"/>
      <c r="G882" s="1"/>
    </row>
    <row r="883">
      <c r="A883" s="1"/>
      <c r="B883" s="1"/>
      <c r="C883" s="1"/>
      <c r="D883" s="1"/>
      <c r="E883" s="1"/>
      <c r="F883" s="1"/>
      <c r="G883" s="1"/>
    </row>
    <row r="884">
      <c r="A884" s="1"/>
      <c r="B884" s="1"/>
      <c r="C884" s="1"/>
      <c r="D884" s="1"/>
      <c r="E884" s="1"/>
      <c r="F884" s="1"/>
      <c r="G884" s="1"/>
    </row>
    <row r="885">
      <c r="A885" s="1"/>
      <c r="B885" s="1"/>
      <c r="C885" s="1"/>
      <c r="D885" s="1"/>
      <c r="E885" s="1"/>
      <c r="F885" s="1"/>
      <c r="G885" s="1"/>
    </row>
    <row r="886">
      <c r="A886" s="1"/>
      <c r="B886" s="1"/>
      <c r="C886" s="1"/>
      <c r="D886" s="1"/>
      <c r="E886" s="1"/>
      <c r="F886" s="1"/>
      <c r="G886" s="1"/>
    </row>
    <row r="887">
      <c r="A887" s="1"/>
      <c r="B887" s="1"/>
      <c r="C887" s="1"/>
      <c r="D887" s="1"/>
      <c r="E887" s="1"/>
      <c r="F887" s="1"/>
      <c r="G887" s="1"/>
    </row>
    <row r="888">
      <c r="A888" s="1"/>
      <c r="B888" s="1"/>
      <c r="C888" s="1"/>
      <c r="D888" s="1"/>
      <c r="E888" s="1"/>
      <c r="F888" s="1"/>
      <c r="G888" s="1"/>
    </row>
    <row r="889">
      <c r="A889" s="1"/>
      <c r="B889" s="1"/>
      <c r="C889" s="1"/>
      <c r="D889" s="1"/>
      <c r="E889" s="1"/>
      <c r="F889" s="1"/>
      <c r="G889" s="1"/>
    </row>
    <row r="890">
      <c r="A890" s="1"/>
      <c r="B890" s="1"/>
      <c r="C890" s="1"/>
      <c r="D890" s="1"/>
      <c r="E890" s="1"/>
      <c r="F890" s="1"/>
      <c r="G890" s="1"/>
    </row>
    <row r="891">
      <c r="A891" s="1"/>
      <c r="B891" s="1"/>
      <c r="C891" s="1"/>
      <c r="D891" s="1"/>
      <c r="E891" s="1"/>
      <c r="F891" s="1"/>
      <c r="G891" s="1"/>
    </row>
    <row r="892">
      <c r="A892" s="1"/>
      <c r="B892" s="1"/>
      <c r="C892" s="1"/>
      <c r="D892" s="1"/>
      <c r="E892" s="1"/>
      <c r="F892" s="1"/>
      <c r="G892" s="1"/>
    </row>
    <row r="893">
      <c r="A893" s="1"/>
      <c r="B893" s="1"/>
      <c r="C893" s="1"/>
      <c r="D893" s="1"/>
      <c r="E893" s="1"/>
      <c r="F893" s="1"/>
      <c r="G893" s="1"/>
    </row>
    <row r="894">
      <c r="A894" s="1"/>
      <c r="B894" s="1"/>
      <c r="C894" s="1"/>
      <c r="D894" s="1"/>
      <c r="E894" s="1"/>
      <c r="F894" s="1"/>
      <c r="G894" s="1"/>
    </row>
    <row r="895">
      <c r="A895" s="1"/>
      <c r="B895" s="1"/>
      <c r="C895" s="1"/>
      <c r="D895" s="1"/>
      <c r="E895" s="1"/>
      <c r="F895" s="1"/>
      <c r="G895" s="1"/>
    </row>
    <row r="896">
      <c r="A896" s="1"/>
      <c r="B896" s="1"/>
      <c r="C896" s="1"/>
      <c r="D896" s="1"/>
      <c r="E896" s="1"/>
      <c r="F896" s="1"/>
      <c r="G896" s="1"/>
    </row>
    <row r="897">
      <c r="A897" s="1"/>
      <c r="B897" s="1"/>
      <c r="C897" s="1"/>
      <c r="D897" s="1"/>
      <c r="E897" s="1"/>
      <c r="F897" s="1"/>
      <c r="G897" s="1"/>
    </row>
    <row r="898">
      <c r="A898" s="1"/>
      <c r="B898" s="1"/>
      <c r="C898" s="1"/>
      <c r="D898" s="1"/>
      <c r="E898" s="1"/>
      <c r="F898" s="1"/>
      <c r="G898" s="1"/>
    </row>
    <row r="899">
      <c r="A899" s="1"/>
      <c r="B899" s="1"/>
      <c r="C899" s="1"/>
      <c r="D899" s="1"/>
      <c r="E899" s="1"/>
      <c r="F899" s="1"/>
      <c r="G899" s="1"/>
    </row>
    <row r="900">
      <c r="A900" s="1"/>
      <c r="B900" s="1"/>
      <c r="C900" s="1"/>
      <c r="D900" s="1"/>
      <c r="E900" s="1"/>
      <c r="F900" s="1"/>
      <c r="G900" s="1"/>
    </row>
    <row r="901">
      <c r="A901" s="1"/>
      <c r="B901" s="1"/>
      <c r="C901" s="1"/>
      <c r="D901" s="1"/>
      <c r="E901" s="1"/>
      <c r="F901" s="1"/>
      <c r="G901" s="1"/>
    </row>
    <row r="902">
      <c r="A902" s="1"/>
      <c r="B902" s="1"/>
      <c r="C902" s="1"/>
      <c r="D902" s="1"/>
      <c r="E902" s="1"/>
      <c r="F902" s="1"/>
      <c r="G902" s="1"/>
    </row>
    <row r="903">
      <c r="A903" s="1"/>
      <c r="B903" s="1"/>
      <c r="C903" s="1"/>
      <c r="D903" s="1"/>
      <c r="E903" s="1"/>
      <c r="F903" s="1"/>
      <c r="G903" s="1"/>
    </row>
    <row r="904">
      <c r="A904" s="1"/>
      <c r="B904" s="1"/>
      <c r="C904" s="1"/>
      <c r="D904" s="1"/>
      <c r="E904" s="1"/>
      <c r="F904" s="1"/>
      <c r="G904" s="1"/>
    </row>
    <row r="905">
      <c r="A905" s="1"/>
      <c r="B905" s="1"/>
      <c r="C905" s="1"/>
      <c r="D905" s="1"/>
      <c r="E905" s="1"/>
      <c r="F905" s="1"/>
      <c r="G905" s="1"/>
    </row>
    <row r="906">
      <c r="A906" s="1"/>
      <c r="B906" s="1"/>
      <c r="C906" s="1"/>
      <c r="D906" s="1"/>
      <c r="E906" s="1"/>
      <c r="F906" s="1"/>
      <c r="G906" s="1"/>
    </row>
    <row r="907">
      <c r="A907" s="1"/>
      <c r="B907" s="1"/>
      <c r="C907" s="1"/>
      <c r="D907" s="1"/>
      <c r="E907" s="1"/>
      <c r="F907" s="1"/>
      <c r="G907" s="1"/>
    </row>
    <row r="908">
      <c r="A908" s="1"/>
      <c r="B908" s="1"/>
      <c r="C908" s="1"/>
      <c r="D908" s="1"/>
      <c r="E908" s="1"/>
      <c r="F908" s="1"/>
      <c r="G908" s="1"/>
    </row>
    <row r="909">
      <c r="A909" s="1"/>
      <c r="B909" s="1"/>
      <c r="C909" s="1"/>
      <c r="D909" s="1"/>
      <c r="E909" s="1"/>
      <c r="F909" s="1"/>
      <c r="G909" s="1"/>
    </row>
    <row r="910">
      <c r="A910" s="1"/>
      <c r="B910" s="1"/>
      <c r="C910" s="1"/>
      <c r="D910" s="1"/>
      <c r="E910" s="1"/>
      <c r="F910" s="1"/>
      <c r="G910" s="1"/>
    </row>
    <row r="911">
      <c r="A911" s="1"/>
      <c r="B911" s="1"/>
      <c r="C911" s="1"/>
      <c r="D911" s="1"/>
      <c r="E911" s="1"/>
      <c r="F911" s="1"/>
      <c r="G911" s="1"/>
    </row>
    <row r="912">
      <c r="A912" s="1"/>
      <c r="B912" s="1"/>
      <c r="C912" s="1"/>
      <c r="D912" s="1"/>
      <c r="E912" s="1"/>
      <c r="F912" s="1"/>
      <c r="G912" s="1"/>
    </row>
    <row r="913">
      <c r="A913" s="1"/>
      <c r="B913" s="1"/>
      <c r="C913" s="1"/>
      <c r="D913" s="1"/>
      <c r="E913" s="1"/>
      <c r="F913" s="1"/>
      <c r="G913" s="1"/>
    </row>
    <row r="914">
      <c r="A914" s="1"/>
      <c r="B914" s="1"/>
      <c r="C914" s="1"/>
      <c r="D914" s="1"/>
      <c r="E914" s="1"/>
      <c r="F914" s="1"/>
      <c r="G914" s="1"/>
    </row>
    <row r="915">
      <c r="A915" s="1"/>
      <c r="B915" s="1"/>
      <c r="C915" s="1"/>
      <c r="D915" s="1"/>
      <c r="E915" s="1"/>
      <c r="F915" s="1"/>
      <c r="G915" s="1"/>
    </row>
    <row r="916">
      <c r="A916" s="1"/>
      <c r="B916" s="1"/>
      <c r="C916" s="1"/>
      <c r="D916" s="1"/>
      <c r="E916" s="1"/>
      <c r="F916" s="1"/>
      <c r="G916" s="1"/>
    </row>
    <row r="917">
      <c r="A917" s="1"/>
      <c r="B917" s="1"/>
      <c r="C917" s="1"/>
      <c r="D917" s="1"/>
      <c r="E917" s="1"/>
      <c r="F917" s="1"/>
      <c r="G917" s="1"/>
    </row>
    <row r="918">
      <c r="A918" s="1"/>
      <c r="B918" s="1"/>
      <c r="C918" s="1"/>
      <c r="D918" s="1"/>
      <c r="E918" s="1"/>
      <c r="F918" s="1"/>
      <c r="G918" s="1"/>
    </row>
    <row r="919">
      <c r="A919" s="1"/>
      <c r="B919" s="1"/>
      <c r="C919" s="1"/>
      <c r="D919" s="1"/>
      <c r="E919" s="1"/>
      <c r="F919" s="1"/>
      <c r="G919" s="1"/>
    </row>
    <row r="920">
      <c r="A920" s="1"/>
      <c r="B920" s="1"/>
      <c r="C920" s="1"/>
      <c r="D920" s="1"/>
      <c r="E920" s="1"/>
      <c r="F920" s="1"/>
      <c r="G920" s="1"/>
    </row>
    <row r="921">
      <c r="A921" s="1"/>
      <c r="B921" s="1"/>
      <c r="C921" s="1"/>
      <c r="D921" s="1"/>
      <c r="E921" s="1"/>
      <c r="F921" s="1"/>
      <c r="G921" s="1"/>
    </row>
    <row r="922">
      <c r="A922" s="1"/>
      <c r="B922" s="1"/>
      <c r="C922" s="1"/>
      <c r="D922" s="1"/>
      <c r="E922" s="1"/>
      <c r="F922" s="1"/>
      <c r="G922" s="1"/>
    </row>
    <row r="923">
      <c r="A923" s="1"/>
      <c r="B923" s="1"/>
      <c r="C923" s="1"/>
      <c r="D923" s="1"/>
      <c r="E923" s="1"/>
      <c r="F923" s="1"/>
      <c r="G923" s="1"/>
    </row>
    <row r="924">
      <c r="A924" s="1"/>
      <c r="B924" s="1"/>
      <c r="C924" s="1"/>
      <c r="D924" s="1"/>
      <c r="E924" s="1"/>
      <c r="F924" s="1"/>
      <c r="G924" s="1"/>
    </row>
    <row r="925">
      <c r="A925" s="1"/>
      <c r="B925" s="1"/>
      <c r="C925" s="1"/>
      <c r="D925" s="1"/>
      <c r="E925" s="1"/>
      <c r="F925" s="1"/>
      <c r="G925" s="1"/>
    </row>
    <row r="926">
      <c r="A926" s="1"/>
      <c r="B926" s="1"/>
      <c r="C926" s="1"/>
      <c r="D926" s="1"/>
      <c r="E926" s="1"/>
      <c r="F926" s="1"/>
      <c r="G926" s="1"/>
    </row>
    <row r="927">
      <c r="A927" s="1"/>
      <c r="B927" s="1"/>
      <c r="C927" s="1"/>
      <c r="D927" s="1"/>
      <c r="E927" s="1"/>
      <c r="F927" s="1"/>
      <c r="G927" s="1"/>
    </row>
    <row r="928">
      <c r="A928" s="1"/>
      <c r="B928" s="1"/>
      <c r="C928" s="1"/>
      <c r="D928" s="1"/>
      <c r="E928" s="1"/>
      <c r="F928" s="1"/>
      <c r="G928" s="1"/>
    </row>
    <row r="929">
      <c r="A929" s="1"/>
      <c r="B929" s="1"/>
      <c r="C929" s="1"/>
      <c r="D929" s="1"/>
      <c r="E929" s="1"/>
      <c r="F929" s="1"/>
      <c r="G929" s="1"/>
    </row>
    <row r="930">
      <c r="A930" s="1"/>
      <c r="B930" s="1"/>
      <c r="C930" s="1"/>
      <c r="D930" s="1"/>
      <c r="E930" s="1"/>
      <c r="F930" s="1"/>
      <c r="G930" s="1"/>
    </row>
    <row r="931">
      <c r="A931" s="1"/>
      <c r="B931" s="1"/>
      <c r="C931" s="1"/>
      <c r="D931" s="1"/>
      <c r="E931" s="1"/>
      <c r="F931" s="1"/>
      <c r="G931" s="1"/>
    </row>
    <row r="932">
      <c r="A932" s="1"/>
      <c r="B932" s="1"/>
      <c r="C932" s="1"/>
      <c r="D932" s="1"/>
      <c r="E932" s="1"/>
      <c r="F932" s="1"/>
      <c r="G932" s="1"/>
    </row>
    <row r="933">
      <c r="A933" s="1"/>
      <c r="B933" s="1"/>
      <c r="C933" s="1"/>
      <c r="D933" s="1"/>
      <c r="E933" s="1"/>
      <c r="F933" s="1"/>
      <c r="G933" s="1"/>
    </row>
    <row r="934">
      <c r="A934" s="1"/>
      <c r="B934" s="1"/>
      <c r="C934" s="1"/>
      <c r="D934" s="1"/>
      <c r="E934" s="1"/>
      <c r="F934" s="1"/>
      <c r="G934" s="1"/>
    </row>
    <row r="935">
      <c r="A935" s="1"/>
      <c r="B935" s="1"/>
      <c r="C935" s="1"/>
      <c r="D935" s="1"/>
      <c r="E935" s="1"/>
      <c r="F935" s="1"/>
      <c r="G935" s="1"/>
    </row>
    <row r="936">
      <c r="A936" s="1"/>
      <c r="B936" s="1"/>
      <c r="C936" s="1"/>
      <c r="D936" s="1"/>
      <c r="E936" s="1"/>
      <c r="F936" s="1"/>
      <c r="G936" s="1"/>
    </row>
    <row r="937">
      <c r="A937" s="1"/>
      <c r="B937" s="1"/>
      <c r="C937" s="1"/>
      <c r="D937" s="1"/>
      <c r="E937" s="1"/>
      <c r="F937" s="1"/>
      <c r="G937" s="1"/>
    </row>
    <row r="938">
      <c r="A938" s="1"/>
      <c r="B938" s="1"/>
      <c r="C938" s="1"/>
      <c r="D938" s="1"/>
      <c r="E938" s="1"/>
      <c r="F938" s="1"/>
      <c r="G938" s="1"/>
    </row>
    <row r="939">
      <c r="A939" s="1"/>
      <c r="B939" s="1"/>
      <c r="C939" s="1"/>
      <c r="D939" s="1"/>
      <c r="E939" s="1"/>
      <c r="F939" s="1"/>
      <c r="G939" s="1"/>
    </row>
    <row r="940">
      <c r="A940" s="1"/>
      <c r="B940" s="1"/>
      <c r="C940" s="1"/>
      <c r="D940" s="1"/>
      <c r="E940" s="1"/>
      <c r="F940" s="1"/>
      <c r="G940" s="1"/>
    </row>
    <row r="941">
      <c r="A941" s="1"/>
      <c r="B941" s="1"/>
      <c r="C941" s="1"/>
      <c r="D941" s="1"/>
      <c r="E941" s="1"/>
      <c r="F941" s="1"/>
      <c r="G941" s="1"/>
    </row>
    <row r="942">
      <c r="A942" s="1"/>
      <c r="B942" s="1"/>
      <c r="C942" s="1"/>
      <c r="D942" s="1"/>
      <c r="E942" s="1"/>
      <c r="F942" s="1"/>
      <c r="G942" s="1"/>
    </row>
    <row r="943">
      <c r="A943" s="1"/>
      <c r="B943" s="1"/>
      <c r="C943" s="1"/>
      <c r="D943" s="1"/>
      <c r="E943" s="1"/>
      <c r="F943" s="1"/>
      <c r="G943" s="1"/>
    </row>
    <row r="944">
      <c r="A944" s="1"/>
      <c r="B944" s="1"/>
      <c r="C944" s="1"/>
      <c r="D944" s="1"/>
      <c r="E944" s="1"/>
      <c r="F944" s="1"/>
      <c r="G944" s="1"/>
    </row>
    <row r="945">
      <c r="A945" s="1"/>
      <c r="B945" s="1"/>
      <c r="C945" s="1"/>
      <c r="D945" s="1"/>
      <c r="E945" s="1"/>
      <c r="F945" s="1"/>
      <c r="G945" s="1"/>
    </row>
    <row r="946">
      <c r="A946" s="1"/>
      <c r="B946" s="1"/>
      <c r="C946" s="1"/>
      <c r="D946" s="1"/>
      <c r="E946" s="1"/>
      <c r="F946" s="1"/>
      <c r="G946" s="1"/>
    </row>
    <row r="947">
      <c r="A947" s="1"/>
      <c r="B947" s="1"/>
      <c r="C947" s="1"/>
      <c r="D947" s="1"/>
      <c r="E947" s="1"/>
      <c r="F947" s="1"/>
      <c r="G947" s="1"/>
    </row>
    <row r="948">
      <c r="A948" s="1"/>
      <c r="B948" s="1"/>
      <c r="C948" s="1"/>
      <c r="D948" s="1"/>
      <c r="E948" s="1"/>
      <c r="F948" s="1"/>
      <c r="G948" s="1"/>
    </row>
    <row r="949">
      <c r="A949" s="1"/>
      <c r="B949" s="1"/>
      <c r="C949" s="1"/>
      <c r="D949" s="1"/>
      <c r="E949" s="1"/>
      <c r="F949" s="1"/>
      <c r="G949" s="1"/>
    </row>
    <row r="950">
      <c r="A950" s="1"/>
      <c r="B950" s="1"/>
      <c r="C950" s="1"/>
      <c r="D950" s="1"/>
      <c r="E950" s="1"/>
      <c r="F950" s="1"/>
      <c r="G950" s="1"/>
    </row>
    <row r="951">
      <c r="A951" s="1"/>
      <c r="B951" s="1"/>
      <c r="C951" s="1"/>
      <c r="D951" s="1"/>
      <c r="E951" s="1"/>
      <c r="F951" s="1"/>
      <c r="G951" s="1"/>
    </row>
    <row r="952">
      <c r="A952" s="1"/>
      <c r="B952" s="1"/>
      <c r="C952" s="1"/>
      <c r="D952" s="1"/>
      <c r="E952" s="1"/>
      <c r="F952" s="1"/>
      <c r="G952" s="1"/>
    </row>
    <row r="953">
      <c r="A953" s="1"/>
      <c r="B953" s="1"/>
      <c r="C953" s="1"/>
      <c r="D953" s="1"/>
      <c r="E953" s="1"/>
      <c r="F953" s="1"/>
      <c r="G953" s="1"/>
    </row>
    <row r="954">
      <c r="A954" s="1"/>
      <c r="B954" s="1"/>
      <c r="C954" s="1"/>
      <c r="D954" s="1"/>
      <c r="E954" s="1"/>
      <c r="F954" s="1"/>
      <c r="G954" s="1"/>
    </row>
    <row r="955">
      <c r="A955" s="1"/>
      <c r="B955" s="1"/>
      <c r="C955" s="1"/>
      <c r="D955" s="1"/>
      <c r="E955" s="1"/>
      <c r="F955" s="1"/>
      <c r="G955" s="1"/>
    </row>
    <row r="956">
      <c r="A956" s="1"/>
      <c r="B956" s="1"/>
      <c r="C956" s="1"/>
      <c r="D956" s="1"/>
      <c r="E956" s="1"/>
      <c r="F956" s="1"/>
      <c r="G956" s="1"/>
    </row>
    <row r="957">
      <c r="A957" s="1"/>
      <c r="B957" s="1"/>
      <c r="C957" s="1"/>
      <c r="D957" s="1"/>
      <c r="E957" s="1"/>
      <c r="F957" s="1"/>
      <c r="G957" s="1"/>
    </row>
    <row r="958">
      <c r="A958" s="1"/>
      <c r="B958" s="1"/>
      <c r="C958" s="1"/>
      <c r="D958" s="1"/>
      <c r="E958" s="1"/>
      <c r="F958" s="1"/>
      <c r="G958" s="1"/>
    </row>
    <row r="959">
      <c r="A959" s="1"/>
      <c r="B959" s="1"/>
      <c r="C959" s="1"/>
      <c r="D959" s="1"/>
      <c r="E959" s="1"/>
      <c r="F959" s="1"/>
      <c r="G959" s="1"/>
    </row>
    <row r="960">
      <c r="A960" s="1"/>
      <c r="B960" s="1"/>
      <c r="C960" s="1"/>
      <c r="D960" s="1"/>
      <c r="E960" s="1"/>
      <c r="F960" s="1"/>
      <c r="G960" s="1"/>
    </row>
    <row r="961">
      <c r="A961" s="1"/>
      <c r="B961" s="1"/>
      <c r="C961" s="1"/>
      <c r="D961" s="1"/>
      <c r="E961" s="1"/>
      <c r="F961" s="1"/>
      <c r="G961" s="1"/>
    </row>
    <row r="962">
      <c r="A962" s="1"/>
      <c r="B962" s="1"/>
      <c r="C962" s="1"/>
      <c r="D962" s="1"/>
      <c r="E962" s="1"/>
      <c r="F962" s="1"/>
      <c r="G962" s="1"/>
    </row>
    <row r="963">
      <c r="A963" s="1"/>
      <c r="B963" s="1"/>
      <c r="C963" s="1"/>
      <c r="D963" s="1"/>
      <c r="E963" s="1"/>
      <c r="F963" s="1"/>
      <c r="G963" s="1"/>
    </row>
    <row r="964">
      <c r="A964" s="1"/>
      <c r="B964" s="1"/>
      <c r="C964" s="1"/>
      <c r="D964" s="1"/>
      <c r="E964" s="1"/>
      <c r="F964" s="1"/>
      <c r="G964" s="1"/>
    </row>
    <row r="965">
      <c r="A965" s="1"/>
      <c r="B965" s="1"/>
      <c r="C965" s="1"/>
      <c r="D965" s="1"/>
      <c r="E965" s="1"/>
      <c r="F965" s="1"/>
      <c r="G965" s="1"/>
    </row>
    <row r="966">
      <c r="A966" s="1"/>
      <c r="B966" s="1"/>
      <c r="C966" s="1"/>
      <c r="D966" s="1"/>
      <c r="E966" s="1"/>
      <c r="F966" s="1"/>
      <c r="G966" s="1"/>
    </row>
    <row r="967">
      <c r="A967" s="1"/>
      <c r="B967" s="1"/>
      <c r="C967" s="1"/>
      <c r="D967" s="1"/>
      <c r="E967" s="1"/>
      <c r="F967" s="1"/>
      <c r="G967" s="1"/>
    </row>
    <row r="968">
      <c r="A968" s="1"/>
      <c r="B968" s="1"/>
      <c r="C968" s="1"/>
      <c r="D968" s="1"/>
      <c r="E968" s="1"/>
      <c r="F968" s="1"/>
      <c r="G968" s="1"/>
    </row>
    <row r="969">
      <c r="A969" s="1"/>
      <c r="B969" s="1"/>
      <c r="C969" s="1"/>
      <c r="D969" s="1"/>
      <c r="E969" s="1"/>
      <c r="F969" s="1"/>
      <c r="G969" s="1"/>
    </row>
    <row r="970">
      <c r="A970" s="1"/>
      <c r="B970" s="1"/>
      <c r="C970" s="1"/>
      <c r="D970" s="1"/>
      <c r="E970" s="1"/>
      <c r="F970" s="1"/>
      <c r="G970" s="1"/>
    </row>
    <row r="971">
      <c r="A971" s="1"/>
      <c r="B971" s="1"/>
      <c r="C971" s="1"/>
      <c r="D971" s="1"/>
      <c r="E971" s="1"/>
      <c r="F971" s="1"/>
      <c r="G971" s="1"/>
    </row>
    <row r="972">
      <c r="A972" s="1"/>
      <c r="B972" s="1"/>
      <c r="C972" s="1"/>
      <c r="D972" s="1"/>
      <c r="E972" s="1"/>
      <c r="F972" s="1"/>
      <c r="G972" s="1"/>
    </row>
    <row r="973">
      <c r="A973" s="1"/>
      <c r="B973" s="1"/>
      <c r="C973" s="1"/>
      <c r="D973" s="1"/>
      <c r="E973" s="1"/>
      <c r="F973" s="1"/>
      <c r="G973" s="1"/>
    </row>
    <row r="974">
      <c r="A974" s="1"/>
      <c r="B974" s="1"/>
      <c r="C974" s="1"/>
      <c r="D974" s="1"/>
      <c r="E974" s="1"/>
      <c r="F974" s="1"/>
      <c r="G974" s="1"/>
    </row>
    <row r="975">
      <c r="A975" s="1"/>
      <c r="B975" s="1"/>
      <c r="C975" s="1"/>
      <c r="D975" s="1"/>
      <c r="E975" s="1"/>
      <c r="F975" s="1"/>
      <c r="G975" s="1"/>
    </row>
    <row r="976">
      <c r="A976" s="1"/>
      <c r="B976" s="1"/>
      <c r="C976" s="1"/>
      <c r="D976" s="1"/>
      <c r="E976" s="1"/>
      <c r="F976" s="1"/>
      <c r="G976" s="1"/>
    </row>
    <row r="977">
      <c r="A977" s="1"/>
      <c r="B977" s="1"/>
      <c r="C977" s="1"/>
      <c r="D977" s="1"/>
      <c r="E977" s="1"/>
      <c r="F977" s="1"/>
      <c r="G977" s="1"/>
    </row>
    <row r="978">
      <c r="A978" s="1"/>
      <c r="B978" s="1"/>
      <c r="C978" s="1"/>
      <c r="D978" s="1"/>
      <c r="E978" s="1"/>
      <c r="F978" s="1"/>
      <c r="G978" s="1"/>
    </row>
    <row r="979">
      <c r="A979" s="1"/>
      <c r="B979" s="1"/>
      <c r="C979" s="1"/>
      <c r="D979" s="1"/>
      <c r="E979" s="1"/>
      <c r="F979" s="1"/>
      <c r="G979" s="1"/>
    </row>
    <row r="980">
      <c r="A980" s="1"/>
      <c r="B980" s="1"/>
      <c r="C980" s="1"/>
      <c r="D980" s="1"/>
      <c r="E980" s="1"/>
      <c r="F980" s="1"/>
      <c r="G980" s="1"/>
    </row>
    <row r="981">
      <c r="A981" s="1"/>
      <c r="B981" s="1"/>
      <c r="C981" s="1"/>
      <c r="D981" s="1"/>
      <c r="E981" s="1"/>
      <c r="F981" s="1"/>
      <c r="G981" s="1"/>
    </row>
    <row r="982">
      <c r="A982" s="1"/>
      <c r="B982" s="1"/>
      <c r="C982" s="1"/>
      <c r="D982" s="1"/>
      <c r="E982" s="1"/>
      <c r="F982" s="1"/>
      <c r="G982" s="1"/>
    </row>
    <row r="983">
      <c r="A983" s="1"/>
      <c r="B983" s="1"/>
      <c r="C983" s="1"/>
      <c r="D983" s="1"/>
      <c r="E983" s="1"/>
      <c r="F983" s="1"/>
      <c r="G983" s="1"/>
    </row>
    <row r="984">
      <c r="A984" s="1"/>
      <c r="B984" s="1"/>
      <c r="C984" s="1"/>
      <c r="D984" s="1"/>
      <c r="E984" s="1"/>
      <c r="F984" s="1"/>
      <c r="G984" s="1"/>
    </row>
    <row r="985">
      <c r="A985" s="1"/>
      <c r="B985" s="1"/>
      <c r="C985" s="1"/>
      <c r="D985" s="1"/>
      <c r="E985" s="1"/>
      <c r="F985" s="1"/>
      <c r="G985" s="1"/>
    </row>
    <row r="986">
      <c r="A986" s="1"/>
      <c r="B986" s="1"/>
      <c r="C986" s="1"/>
      <c r="D986" s="1"/>
      <c r="E986" s="1"/>
      <c r="F986" s="1"/>
      <c r="G986" s="1"/>
    </row>
    <row r="987">
      <c r="A987" s="1"/>
      <c r="B987" s="1"/>
      <c r="C987" s="1"/>
      <c r="D987" s="1"/>
      <c r="E987" s="1"/>
      <c r="F987" s="1"/>
      <c r="G987" s="1"/>
    </row>
    <row r="988">
      <c r="A988" s="1"/>
      <c r="B988" s="1"/>
      <c r="C988" s="1"/>
      <c r="D988" s="1"/>
      <c r="E988" s="1"/>
      <c r="F988" s="1"/>
      <c r="G988" s="1"/>
    </row>
    <row r="989">
      <c r="A989" s="1"/>
      <c r="B989" s="1"/>
      <c r="C989" s="1"/>
      <c r="D989" s="1"/>
      <c r="E989" s="1"/>
      <c r="F989" s="1"/>
      <c r="G989" s="1"/>
    </row>
    <row r="990">
      <c r="A990" s="1"/>
      <c r="B990" s="1"/>
      <c r="C990" s="1"/>
      <c r="D990" s="1"/>
      <c r="E990" s="1"/>
      <c r="F990" s="1"/>
      <c r="G990" s="1"/>
    </row>
    <row r="991">
      <c r="A991" s="1"/>
      <c r="B991" s="1"/>
      <c r="C991" s="1"/>
      <c r="D991" s="1"/>
      <c r="E991" s="1"/>
      <c r="F991" s="1"/>
      <c r="G991" s="1"/>
    </row>
    <row r="992">
      <c r="A992" s="1"/>
      <c r="B992" s="1"/>
      <c r="C992" s="1"/>
      <c r="D992" s="1"/>
      <c r="E992" s="1"/>
      <c r="F992" s="1"/>
      <c r="G992" s="1"/>
    </row>
    <row r="993">
      <c r="A993" s="1"/>
      <c r="B993" s="1"/>
      <c r="C993" s="1"/>
      <c r="D993" s="1"/>
      <c r="E993" s="1"/>
      <c r="F993" s="1"/>
      <c r="G993" s="1"/>
    </row>
    <row r="994">
      <c r="A994" s="1"/>
      <c r="B994" s="1"/>
      <c r="C994" s="1"/>
      <c r="D994" s="1"/>
      <c r="E994" s="1"/>
      <c r="F994" s="1"/>
      <c r="G994" s="1"/>
    </row>
    <row r="995">
      <c r="A995" s="1"/>
      <c r="B995" s="1"/>
      <c r="C995" s="1"/>
      <c r="D995" s="1"/>
      <c r="E995" s="1"/>
      <c r="F995" s="1"/>
      <c r="G995" s="1"/>
    </row>
    <row r="996">
      <c r="A996" s="1"/>
      <c r="B996" s="1"/>
      <c r="C996" s="1"/>
      <c r="D996" s="1"/>
      <c r="E996" s="1"/>
      <c r="F996" s="1"/>
      <c r="G996" s="1"/>
    </row>
    <row r="997">
      <c r="A997" s="1"/>
      <c r="B997" s="1"/>
      <c r="C997" s="1"/>
      <c r="D997" s="1"/>
      <c r="E997" s="1"/>
      <c r="F997" s="1"/>
      <c r="G997" s="1"/>
    </row>
    <row r="998">
      <c r="A998" s="1"/>
      <c r="B998" s="1"/>
      <c r="C998" s="1"/>
      <c r="D998" s="1"/>
      <c r="E998" s="1"/>
      <c r="F998" s="1"/>
      <c r="G998" s="1"/>
    </row>
    <row r="999">
      <c r="A999" s="1"/>
      <c r="B999" s="1"/>
      <c r="C999" s="1"/>
      <c r="D999" s="1"/>
      <c r="E999" s="1"/>
      <c r="F999" s="1"/>
      <c r="G999" s="1"/>
    </row>
    <row r="1000">
      <c r="A1000" s="1"/>
      <c r="B1000" s="1"/>
      <c r="C1000" s="1"/>
      <c r="D1000" s="1"/>
      <c r="E1000" s="1"/>
      <c r="F1000" s="1"/>
      <c r="G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IFERROR(__xludf.DUMMYFUNCTION("IMPORTRANGE(""https://docs.google.com/spreadsheets/d/1ztUylHNRZZ49JZNwSA5fStR0A_FGNfCYjIeCVRPtVnc/edit?gid=1747544260#gid=1747544260"",""Purchases!A:B"")"),"PurchaseID")</f>
        <v>PurchaseID</v>
      </c>
      <c r="B1" s="1" t="str">
        <f>IFERROR(__xludf.DUMMYFUNCTION("""COMPUTED_VALUE"""),"DateTime")</f>
        <v>DateTime</v>
      </c>
    </row>
    <row r="2">
      <c r="A2" s="1" t="str">
        <f>IFERROR(__xludf.DUMMYFUNCTION("""COMPUTED_VALUE"""),"7540564a")</f>
        <v>7540564a</v>
      </c>
      <c r="B2" s="30">
        <f>IFERROR(__xludf.DUMMYFUNCTION("""COMPUTED_VALUE"""),46022.0)</f>
        <v>46022</v>
      </c>
    </row>
    <row r="3">
      <c r="A3" s="1" t="str">
        <f>IFERROR(__xludf.DUMMYFUNCTION("""COMPUTED_VALUE"""),"e4f3d129")</f>
        <v>e4f3d129</v>
      </c>
      <c r="B3" s="30">
        <f>IFERROR(__xludf.DUMMYFUNCTION("""COMPUTED_VALUE"""),46021.0)</f>
        <v>46021</v>
      </c>
    </row>
    <row r="4">
      <c r="A4" s="1" t="str">
        <f>IFERROR(__xludf.DUMMYFUNCTION("""COMPUTED_VALUE"""),"d8c20488")</f>
        <v>d8c20488</v>
      </c>
      <c r="B4" s="30">
        <f>IFERROR(__xludf.DUMMYFUNCTION("""COMPUTED_VALUE"""),46021.0)</f>
        <v>46021</v>
      </c>
    </row>
    <row r="5">
      <c r="A5" s="1" t="str">
        <f>IFERROR(__xludf.DUMMYFUNCTION("""COMPUTED_VALUE"""),"79358019")</f>
        <v>79358019</v>
      </c>
      <c r="B5" s="30">
        <f>IFERROR(__xludf.DUMMYFUNCTION("""COMPUTED_VALUE"""),46021.0)</f>
        <v>46021</v>
      </c>
    </row>
    <row r="6">
      <c r="A6" s="1" t="str">
        <f>IFERROR(__xludf.DUMMYFUNCTION("""COMPUTED_VALUE"""),"502fe255")</f>
        <v>502fe255</v>
      </c>
      <c r="B6" s="30">
        <f>IFERROR(__xludf.DUMMYFUNCTION("""COMPUTED_VALUE"""),46023.0)</f>
        <v>46023</v>
      </c>
    </row>
    <row r="7">
      <c r="A7" s="1" t="str">
        <f>IFERROR(__xludf.DUMMYFUNCTION("""COMPUTED_VALUE"""),"f90805d4")</f>
        <v>f90805d4</v>
      </c>
      <c r="B7" s="30">
        <f>IFERROR(__xludf.DUMMYFUNCTION("""COMPUTED_VALUE"""),46022.0)</f>
        <v>46022</v>
      </c>
    </row>
    <row r="8">
      <c r="A8" s="1" t="str">
        <f>IFERROR(__xludf.DUMMYFUNCTION("""COMPUTED_VALUE"""),"cbe3bbe0")</f>
        <v>cbe3bbe0</v>
      </c>
      <c r="B8" s="30">
        <f>IFERROR(__xludf.DUMMYFUNCTION("""COMPUTED_VALUE"""),46023.0)</f>
        <v>46023</v>
      </c>
    </row>
    <row r="9">
      <c r="A9" s="1" t="str">
        <f>IFERROR(__xludf.DUMMYFUNCTION("""COMPUTED_VALUE"""),"2350a15d")</f>
        <v>2350a15d</v>
      </c>
      <c r="B9" s="30">
        <f>IFERROR(__xludf.DUMMYFUNCTION("""COMPUTED_VALUE"""),46024.0)</f>
        <v>46024</v>
      </c>
    </row>
    <row r="10">
      <c r="A10" s="1" t="str">
        <f>IFERROR(__xludf.DUMMYFUNCTION("""COMPUTED_VALUE"""),"8bb56d46")</f>
        <v>8bb56d46</v>
      </c>
      <c r="B10" s="30">
        <f>IFERROR(__xludf.DUMMYFUNCTION("""COMPUTED_VALUE"""),46024.0)</f>
        <v>46024</v>
      </c>
    </row>
    <row r="11">
      <c r="A11" s="1"/>
      <c r="B11" s="1"/>
    </row>
    <row r="12">
      <c r="A12" s="1" t="str">
        <f>IFERROR(__xludf.DUMMYFUNCTION("""COMPUTED_VALUE"""),"26e12fc1")</f>
        <v>26e12fc1</v>
      </c>
      <c r="B12" s="30">
        <f>IFERROR(__xludf.DUMMYFUNCTION("""COMPUTED_VALUE"""),46025.0)</f>
        <v>46025</v>
      </c>
    </row>
    <row r="13">
      <c r="A13" s="1" t="str">
        <f>IFERROR(__xludf.DUMMYFUNCTION("""COMPUTED_VALUE"""),"0dd58d41")</f>
        <v>0dd58d41</v>
      </c>
      <c r="B13" s="30">
        <f>IFERROR(__xludf.DUMMYFUNCTION("""COMPUTED_VALUE"""),46025.0)</f>
        <v>46025</v>
      </c>
    </row>
    <row r="14">
      <c r="A14" s="1" t="str">
        <f>IFERROR(__xludf.DUMMYFUNCTION("""COMPUTED_VALUE"""),"cf725f29")</f>
        <v>cf725f29</v>
      </c>
      <c r="B14" s="30">
        <f>IFERROR(__xludf.DUMMYFUNCTION("""COMPUTED_VALUE"""),46025.0)</f>
        <v>46025</v>
      </c>
    </row>
    <row r="15">
      <c r="A15" s="1" t="str">
        <f>IFERROR(__xludf.DUMMYFUNCTION("""COMPUTED_VALUE"""),"42529802")</f>
        <v>42529802</v>
      </c>
      <c r="B15" s="30">
        <f>IFERROR(__xludf.DUMMYFUNCTION("""COMPUTED_VALUE"""),46025.0)</f>
        <v>46025</v>
      </c>
    </row>
    <row r="16">
      <c r="A16" s="1" t="str">
        <f>IFERROR(__xludf.DUMMYFUNCTION("""COMPUTED_VALUE"""),"7004caab")</f>
        <v>7004caab</v>
      </c>
      <c r="B16" s="30">
        <f>IFERROR(__xludf.DUMMYFUNCTION("""COMPUTED_VALUE"""),46026.0)</f>
        <v>46026</v>
      </c>
    </row>
    <row r="17">
      <c r="A17" s="1" t="str">
        <f>IFERROR(__xludf.DUMMYFUNCTION("""COMPUTED_VALUE"""),"0794e57a")</f>
        <v>0794e57a</v>
      </c>
      <c r="B17" s="30">
        <f>IFERROR(__xludf.DUMMYFUNCTION("""COMPUTED_VALUE"""),46026.0)</f>
        <v>46026</v>
      </c>
    </row>
    <row r="18">
      <c r="A18" s="1" t="str">
        <f>IFERROR(__xludf.DUMMYFUNCTION("""COMPUTED_VALUE"""),"124eb9f1")</f>
        <v>124eb9f1</v>
      </c>
      <c r="B18" s="30">
        <f>IFERROR(__xludf.DUMMYFUNCTION("""COMPUTED_VALUE"""),46027.0)</f>
        <v>46027</v>
      </c>
    </row>
    <row r="19">
      <c r="A19" s="1" t="str">
        <f>IFERROR(__xludf.DUMMYFUNCTION("""COMPUTED_VALUE"""),"a0fd0688")</f>
        <v>a0fd0688</v>
      </c>
      <c r="B19" s="30">
        <f>IFERROR(__xludf.DUMMYFUNCTION("""COMPUTED_VALUE"""),46027.0)</f>
        <v>46027</v>
      </c>
    </row>
    <row r="20">
      <c r="A20" s="1" t="str">
        <f>IFERROR(__xludf.DUMMYFUNCTION("""COMPUTED_VALUE"""),"91e45f89")</f>
        <v>91e45f89</v>
      </c>
      <c r="B20" s="30">
        <f>IFERROR(__xludf.DUMMYFUNCTION("""COMPUTED_VALUE"""),46027.0)</f>
        <v>46027</v>
      </c>
    </row>
    <row r="21">
      <c r="A21" s="1" t="str">
        <f>IFERROR(__xludf.DUMMYFUNCTION("""COMPUTED_VALUE"""),"e92c9a87")</f>
        <v>e92c9a87</v>
      </c>
      <c r="B21" s="30">
        <f>IFERROR(__xludf.DUMMYFUNCTION("""COMPUTED_VALUE"""),46027.0)</f>
        <v>46027</v>
      </c>
    </row>
    <row r="22">
      <c r="A22" s="1" t="str">
        <f>IFERROR(__xludf.DUMMYFUNCTION("""COMPUTED_VALUE"""),"f083a594")</f>
        <v>f083a594</v>
      </c>
      <c r="B22" s="30">
        <f>IFERROR(__xludf.DUMMYFUNCTION("""COMPUTED_VALUE"""),46027.0)</f>
        <v>46027</v>
      </c>
    </row>
    <row r="23">
      <c r="A23" s="1" t="str">
        <f>IFERROR(__xludf.DUMMYFUNCTION("""COMPUTED_VALUE"""),"89b6dac5")</f>
        <v>89b6dac5</v>
      </c>
      <c r="B23" s="30">
        <f>IFERROR(__xludf.DUMMYFUNCTION("""COMPUTED_VALUE"""),46032.0)</f>
        <v>46032</v>
      </c>
    </row>
    <row r="24">
      <c r="A24" s="1" t="str">
        <f>IFERROR(__xludf.DUMMYFUNCTION("""COMPUTED_VALUE"""),"ac1c5cd1")</f>
        <v>ac1c5cd1</v>
      </c>
      <c r="B24" s="30">
        <f>IFERROR(__xludf.DUMMYFUNCTION("""COMPUTED_VALUE"""),46032.0)</f>
        <v>46032</v>
      </c>
    </row>
    <row r="25">
      <c r="A25" s="1" t="str">
        <f>IFERROR(__xludf.DUMMYFUNCTION("""COMPUTED_VALUE"""),"f7d5fa28")</f>
        <v>f7d5fa28</v>
      </c>
      <c r="B25" s="30">
        <f>IFERROR(__xludf.DUMMYFUNCTION("""COMPUTED_VALUE"""),46039.0)</f>
        <v>46039</v>
      </c>
    </row>
    <row r="26">
      <c r="A26" s="1" t="str">
        <f>IFERROR(__xludf.DUMMYFUNCTION("""COMPUTED_VALUE"""),"4d039dc9")</f>
        <v>4d039dc9</v>
      </c>
      <c r="B26" s="30">
        <f>IFERROR(__xludf.DUMMYFUNCTION("""COMPUTED_VALUE"""),46039.0)</f>
        <v>46039</v>
      </c>
    </row>
    <row r="27">
      <c r="A27" s="1" t="str">
        <f>IFERROR(__xludf.DUMMYFUNCTION("""COMPUTED_VALUE"""),"fdf7f301")</f>
        <v>fdf7f301</v>
      </c>
      <c r="B27" s="30">
        <f>IFERROR(__xludf.DUMMYFUNCTION("""COMPUTED_VALUE"""),46044.0)</f>
        <v>46044</v>
      </c>
    </row>
    <row r="28">
      <c r="A28" s="1" t="str">
        <f>IFERROR(__xludf.DUMMYFUNCTION("""COMPUTED_VALUE"""),"734ff3d1")</f>
        <v>734ff3d1</v>
      </c>
      <c r="B28" s="30">
        <f>IFERROR(__xludf.DUMMYFUNCTION("""COMPUTED_VALUE"""),46044.0)</f>
        <v>46044</v>
      </c>
    </row>
    <row r="29">
      <c r="A29" s="1" t="str">
        <f>IFERROR(__xludf.DUMMYFUNCTION("""COMPUTED_VALUE"""),"1ce7341e")</f>
        <v>1ce7341e</v>
      </c>
      <c r="B29" s="30">
        <f>IFERROR(__xludf.DUMMYFUNCTION("""COMPUTED_VALUE"""),46044.0)</f>
        <v>46044</v>
      </c>
    </row>
    <row r="30">
      <c r="A30" s="1" t="str">
        <f>IFERROR(__xludf.DUMMYFUNCTION("""COMPUTED_VALUE"""),"0bfbcdf8")</f>
        <v>0bfbcdf8</v>
      </c>
      <c r="B30" s="30">
        <f>IFERROR(__xludf.DUMMYFUNCTION("""COMPUTED_VALUE"""),46044.0)</f>
        <v>46044</v>
      </c>
    </row>
    <row r="31">
      <c r="A31" s="1" t="str">
        <f>IFERROR(__xludf.DUMMYFUNCTION("""COMPUTED_VALUE"""),"6a3aa8bd")</f>
        <v>6a3aa8bd</v>
      </c>
      <c r="B31" s="30">
        <f>IFERROR(__xludf.DUMMYFUNCTION("""COMPUTED_VALUE"""),46044.0)</f>
        <v>46044</v>
      </c>
    </row>
    <row r="32">
      <c r="A32" s="1" t="str">
        <f>IFERROR(__xludf.DUMMYFUNCTION("""COMPUTED_VALUE"""),"a20743b8")</f>
        <v>a20743b8</v>
      </c>
      <c r="B32" s="30">
        <f>IFERROR(__xludf.DUMMYFUNCTION("""COMPUTED_VALUE"""),46044.0)</f>
        <v>46044</v>
      </c>
    </row>
    <row r="33">
      <c r="A33" s="1" t="str">
        <f>IFERROR(__xludf.DUMMYFUNCTION("""COMPUTED_VALUE"""),"ed3a5920")</f>
        <v>ed3a5920</v>
      </c>
      <c r="B33" s="30">
        <f>IFERROR(__xludf.DUMMYFUNCTION("""COMPUTED_VALUE"""),46044.0)</f>
        <v>46044</v>
      </c>
    </row>
    <row r="34">
      <c r="A34" s="1" t="str">
        <f>IFERROR(__xludf.DUMMYFUNCTION("""COMPUTED_VALUE"""),"95c7360c")</f>
        <v>95c7360c</v>
      </c>
      <c r="B34" s="30">
        <f>IFERROR(__xludf.DUMMYFUNCTION("""COMPUTED_VALUE"""),46049.0)</f>
        <v>46049</v>
      </c>
    </row>
    <row r="35">
      <c r="A35" s="1" t="str">
        <f>IFERROR(__xludf.DUMMYFUNCTION("""COMPUTED_VALUE"""),"b3935ba3")</f>
        <v>b3935ba3</v>
      </c>
      <c r="B35" s="30">
        <f>IFERROR(__xludf.DUMMYFUNCTION("""COMPUTED_VALUE"""),46049.0)</f>
        <v>46049</v>
      </c>
    </row>
    <row r="36">
      <c r="A36" s="1" t="str">
        <f>IFERROR(__xludf.DUMMYFUNCTION("""COMPUTED_VALUE"""),"41556c2c")</f>
        <v>41556c2c</v>
      </c>
      <c r="B36" s="30">
        <f>IFERROR(__xludf.DUMMYFUNCTION("""COMPUTED_VALUE"""),46049.0)</f>
        <v>46049</v>
      </c>
    </row>
    <row r="37">
      <c r="A37" s="1" t="str">
        <f>IFERROR(__xludf.DUMMYFUNCTION("""COMPUTED_VALUE"""),"14f9bebd")</f>
        <v>14f9bebd</v>
      </c>
      <c r="B37" s="30">
        <f>IFERROR(__xludf.DUMMYFUNCTION("""COMPUTED_VALUE"""),46049.0)</f>
        <v>46049</v>
      </c>
    </row>
    <row r="38">
      <c r="A38" s="1" t="str">
        <f>IFERROR(__xludf.DUMMYFUNCTION("""COMPUTED_VALUE"""),"74a12150")</f>
        <v>74a12150</v>
      </c>
      <c r="B38" s="31">
        <f>IFERROR(__xludf.DUMMYFUNCTION("""COMPUTED_VALUE"""),46052.0)</f>
        <v>46052</v>
      </c>
    </row>
    <row r="39">
      <c r="A39" s="1" t="str">
        <f>IFERROR(__xludf.DUMMYFUNCTION("""COMPUTED_VALUE"""),"c0422ab4")</f>
        <v>c0422ab4</v>
      </c>
      <c r="B39" s="31">
        <f>IFERROR(__xludf.DUMMYFUNCTION("""COMPUTED_VALUE"""),46052.0)</f>
        <v>46052</v>
      </c>
    </row>
    <row r="40">
      <c r="A40" s="1" t="str">
        <f>IFERROR(__xludf.DUMMYFUNCTION("""COMPUTED_VALUE"""),"fc17b57a")</f>
        <v>fc17b57a</v>
      </c>
      <c r="B40" s="31">
        <f>IFERROR(__xludf.DUMMYFUNCTION("""COMPUTED_VALUE"""),46053.0)</f>
        <v>46053</v>
      </c>
    </row>
    <row r="41">
      <c r="A41" s="1" t="str">
        <f>IFERROR(__xludf.DUMMYFUNCTION("""COMPUTED_VALUE"""),"fe1e1aa7")</f>
        <v>fe1e1aa7</v>
      </c>
      <c r="B41" s="31">
        <f>IFERROR(__xludf.DUMMYFUNCTION("""COMPUTED_VALUE"""),46054.0)</f>
        <v>46054</v>
      </c>
    </row>
    <row r="42">
      <c r="A42" s="1" t="str">
        <f>IFERROR(__xludf.DUMMYFUNCTION("""COMPUTED_VALUE"""),"6fd29f74")</f>
        <v>6fd29f74</v>
      </c>
      <c r="B42" s="31">
        <f>IFERROR(__xludf.DUMMYFUNCTION("""COMPUTED_VALUE"""),46052.0)</f>
        <v>46052</v>
      </c>
    </row>
    <row r="43">
      <c r="A43" s="1" t="str">
        <f>IFERROR(__xludf.DUMMYFUNCTION("""COMPUTED_VALUE"""),"cfbae1fe")</f>
        <v>cfbae1fe</v>
      </c>
      <c r="B43" s="31">
        <f>IFERROR(__xludf.DUMMYFUNCTION("""COMPUTED_VALUE"""),46053.0)</f>
        <v>46053</v>
      </c>
    </row>
    <row r="44">
      <c r="A44" s="1" t="str">
        <f>IFERROR(__xludf.DUMMYFUNCTION("""COMPUTED_VALUE"""),"afbcc7d1")</f>
        <v>afbcc7d1</v>
      </c>
      <c r="B44" s="31">
        <f>IFERROR(__xludf.DUMMYFUNCTION("""COMPUTED_VALUE"""),46053.0)</f>
        <v>46053</v>
      </c>
    </row>
    <row r="45">
      <c r="A45" s="1" t="str">
        <f>IFERROR(__xludf.DUMMYFUNCTION("""COMPUTED_VALUE"""),"a325dbef")</f>
        <v>a325dbef</v>
      </c>
      <c r="B45" s="31">
        <f>IFERROR(__xludf.DUMMYFUNCTION("""COMPUTED_VALUE"""),46054.0)</f>
        <v>46054</v>
      </c>
    </row>
    <row r="46">
      <c r="A46" s="1" t="str">
        <f>IFERROR(__xludf.DUMMYFUNCTION("""COMPUTED_VALUE"""),"c6aff753")</f>
        <v>c6aff753</v>
      </c>
      <c r="B46" s="31">
        <f>IFERROR(__xludf.DUMMYFUNCTION("""COMPUTED_VALUE"""),46055.0)</f>
        <v>46055</v>
      </c>
    </row>
    <row r="47">
      <c r="A47" s="1" t="str">
        <f>IFERROR(__xludf.DUMMYFUNCTION("""COMPUTED_VALUE"""),"31ff09fe")</f>
        <v>31ff09fe</v>
      </c>
      <c r="B47" s="31">
        <f>IFERROR(__xludf.DUMMYFUNCTION("""COMPUTED_VALUE"""),46055.0)</f>
        <v>46055</v>
      </c>
    </row>
    <row r="48">
      <c r="A48" s="1" t="str">
        <f>IFERROR(__xludf.DUMMYFUNCTION("""COMPUTED_VALUE"""),"e7b42511")</f>
        <v>e7b42511</v>
      </c>
      <c r="B48" s="31">
        <f>IFERROR(__xludf.DUMMYFUNCTION("""COMPUTED_VALUE"""),46055.0)</f>
        <v>46055</v>
      </c>
    </row>
    <row r="49">
      <c r="A49" s="1" t="str">
        <f>IFERROR(__xludf.DUMMYFUNCTION("""COMPUTED_VALUE"""),"8a70271d")</f>
        <v>8a70271d</v>
      </c>
      <c r="B49" s="31">
        <f>IFERROR(__xludf.DUMMYFUNCTION("""COMPUTED_VALUE"""),46055.0)</f>
        <v>46055</v>
      </c>
    </row>
    <row r="50">
      <c r="A50" s="1" t="str">
        <f>IFERROR(__xludf.DUMMYFUNCTION("""COMPUTED_VALUE"""),"a5df8846")</f>
        <v>a5df8846</v>
      </c>
      <c r="B50" s="31">
        <f>IFERROR(__xludf.DUMMYFUNCTION("""COMPUTED_VALUE"""),46056.0)</f>
        <v>46056</v>
      </c>
    </row>
    <row r="51">
      <c r="A51" s="1" t="str">
        <f>IFERROR(__xludf.DUMMYFUNCTION("""COMPUTED_VALUE"""),"8c868700")</f>
        <v>8c868700</v>
      </c>
      <c r="B51" s="31">
        <f>IFERROR(__xludf.DUMMYFUNCTION("""COMPUTED_VALUE"""),46056.0)</f>
        <v>46056</v>
      </c>
    </row>
    <row r="52">
      <c r="A52" s="1" t="str">
        <f>IFERROR(__xludf.DUMMYFUNCTION("""COMPUTED_VALUE"""),"78bf660c")</f>
        <v>78bf660c</v>
      </c>
      <c r="B52" s="31">
        <f>IFERROR(__xludf.DUMMYFUNCTION("""COMPUTED_VALUE"""),46061.0)</f>
        <v>46061</v>
      </c>
    </row>
    <row r="53">
      <c r="A53" s="1" t="str">
        <f>IFERROR(__xludf.DUMMYFUNCTION("""COMPUTED_VALUE"""),"1e8e1725")</f>
        <v>1e8e1725</v>
      </c>
      <c r="B53" s="31">
        <f>IFERROR(__xludf.DUMMYFUNCTION("""COMPUTED_VALUE"""),46062.0)</f>
        <v>46062</v>
      </c>
    </row>
    <row r="54">
      <c r="A54" s="1" t="str">
        <f>IFERROR(__xludf.DUMMYFUNCTION("""COMPUTED_VALUE"""),"205b5873")</f>
        <v>205b5873</v>
      </c>
      <c r="B54" s="31">
        <f>IFERROR(__xludf.DUMMYFUNCTION("""COMPUTED_VALUE"""),46062.0)</f>
        <v>46062</v>
      </c>
    </row>
    <row r="55">
      <c r="A55" s="1" t="str">
        <f>IFERROR(__xludf.DUMMYFUNCTION("""COMPUTED_VALUE"""),"e6061ec0")</f>
        <v>e6061ec0</v>
      </c>
      <c r="B55" s="31">
        <f>IFERROR(__xludf.DUMMYFUNCTION("""COMPUTED_VALUE"""),46064.0)</f>
        <v>46064</v>
      </c>
    </row>
    <row r="56">
      <c r="A56" s="1" t="str">
        <f>IFERROR(__xludf.DUMMYFUNCTION("""COMPUTED_VALUE"""),"699bb18e")</f>
        <v>699bb18e</v>
      </c>
      <c r="B56" s="31">
        <f>IFERROR(__xludf.DUMMYFUNCTION("""COMPUTED_VALUE"""),46066.0)</f>
        <v>46066</v>
      </c>
    </row>
    <row r="57">
      <c r="A57" s="1" t="str">
        <f>IFERROR(__xludf.DUMMYFUNCTION("""COMPUTED_VALUE"""),"081080d2")</f>
        <v>081080d2</v>
      </c>
      <c r="B57" s="31">
        <f>IFERROR(__xludf.DUMMYFUNCTION("""COMPUTED_VALUE"""),46066.0)</f>
        <v>46066</v>
      </c>
    </row>
    <row r="58">
      <c r="A58" s="1" t="str">
        <f>IFERROR(__xludf.DUMMYFUNCTION("""COMPUTED_VALUE"""),"5edb299b")</f>
        <v>5edb299b</v>
      </c>
      <c r="B58" s="31">
        <f>IFERROR(__xludf.DUMMYFUNCTION("""COMPUTED_VALUE"""),46066.0)</f>
        <v>46066</v>
      </c>
    </row>
    <row r="59">
      <c r="A59" s="1" t="str">
        <f>IFERROR(__xludf.DUMMYFUNCTION("""COMPUTED_VALUE"""),"5911af10")</f>
        <v>5911af10</v>
      </c>
      <c r="B59" s="31">
        <f>IFERROR(__xludf.DUMMYFUNCTION("""COMPUTED_VALUE"""),46067.0)</f>
        <v>46067</v>
      </c>
    </row>
    <row r="60">
      <c r="A60" s="1" t="str">
        <f>IFERROR(__xludf.DUMMYFUNCTION("""COMPUTED_VALUE"""),"bef5de38")</f>
        <v>bef5de38</v>
      </c>
      <c r="B60" s="31">
        <f>IFERROR(__xludf.DUMMYFUNCTION("""COMPUTED_VALUE"""),46067.0)</f>
        <v>46067</v>
      </c>
    </row>
    <row r="61">
      <c r="A61" s="1" t="str">
        <f>IFERROR(__xludf.DUMMYFUNCTION("""COMPUTED_VALUE"""),"5a06a350")</f>
        <v>5a06a350</v>
      </c>
      <c r="B61" s="31">
        <f>IFERROR(__xludf.DUMMYFUNCTION("""COMPUTED_VALUE"""),46067.0)</f>
        <v>46067</v>
      </c>
    </row>
    <row r="62">
      <c r="A62" s="1" t="str">
        <f>IFERROR(__xludf.DUMMYFUNCTION("""COMPUTED_VALUE"""),"b19189c2")</f>
        <v>b19189c2</v>
      </c>
      <c r="B62" s="31">
        <f>IFERROR(__xludf.DUMMYFUNCTION("""COMPUTED_VALUE"""),46068.0)</f>
        <v>46068</v>
      </c>
    </row>
    <row r="63">
      <c r="A63" s="1" t="str">
        <f>IFERROR(__xludf.DUMMYFUNCTION("""COMPUTED_VALUE"""),"bcb95171")</f>
        <v>bcb95171</v>
      </c>
      <c r="B63" s="31">
        <f>IFERROR(__xludf.DUMMYFUNCTION("""COMPUTED_VALUE"""),46068.0)</f>
        <v>46068</v>
      </c>
    </row>
    <row r="64">
      <c r="A64" s="1" t="str">
        <f>IFERROR(__xludf.DUMMYFUNCTION("""COMPUTED_VALUE"""),"5f9fc030")</f>
        <v>5f9fc030</v>
      </c>
      <c r="B64" s="31">
        <f>IFERROR(__xludf.DUMMYFUNCTION("""COMPUTED_VALUE"""),46069.0)</f>
        <v>46069</v>
      </c>
    </row>
    <row r="65">
      <c r="A65" s="1" t="str">
        <f>IFERROR(__xludf.DUMMYFUNCTION("""COMPUTED_VALUE"""),"7c315092")</f>
        <v>7c315092</v>
      </c>
      <c r="B65" s="31">
        <f>IFERROR(__xludf.DUMMYFUNCTION("""COMPUTED_VALUE"""),46069.0)</f>
        <v>46069</v>
      </c>
    </row>
    <row r="66">
      <c r="A66" s="1" t="str">
        <f>IFERROR(__xludf.DUMMYFUNCTION("""COMPUTED_VALUE"""),"666228c0")</f>
        <v>666228c0</v>
      </c>
      <c r="B66" s="31">
        <f>IFERROR(__xludf.DUMMYFUNCTION("""COMPUTED_VALUE"""),46069.0)</f>
        <v>46069</v>
      </c>
    </row>
    <row r="67">
      <c r="A67" s="1" t="str">
        <f>IFERROR(__xludf.DUMMYFUNCTION("""COMPUTED_VALUE"""),"a02d1fa8")</f>
        <v>a02d1fa8</v>
      </c>
      <c r="B67" s="31">
        <f>IFERROR(__xludf.DUMMYFUNCTION("""COMPUTED_VALUE"""),46071.0)</f>
        <v>46071</v>
      </c>
    </row>
    <row r="68">
      <c r="A68" s="1" t="str">
        <f>IFERROR(__xludf.DUMMYFUNCTION("""COMPUTED_VALUE"""),"24f2992a")</f>
        <v>24f2992a</v>
      </c>
      <c r="B68" s="31">
        <f>IFERROR(__xludf.DUMMYFUNCTION("""COMPUTED_VALUE"""),46060.0)</f>
        <v>46060</v>
      </c>
    </row>
    <row r="69">
      <c r="A69" s="1" t="str">
        <f>IFERROR(__xludf.DUMMYFUNCTION("""COMPUTED_VALUE"""),"49781d38")</f>
        <v>49781d38</v>
      </c>
      <c r="B69" s="31">
        <f>IFERROR(__xludf.DUMMYFUNCTION("""COMPUTED_VALUE"""),46074.0)</f>
        <v>46074</v>
      </c>
    </row>
    <row r="70">
      <c r="A70" s="1" t="str">
        <f>IFERROR(__xludf.DUMMYFUNCTION("""COMPUTED_VALUE"""),"e44fac19")</f>
        <v>e44fac19</v>
      </c>
      <c r="B70" s="31">
        <f>IFERROR(__xludf.DUMMYFUNCTION("""COMPUTED_VALUE"""),46074.0)</f>
        <v>46074</v>
      </c>
    </row>
    <row r="71">
      <c r="A71" s="1" t="str">
        <f>IFERROR(__xludf.DUMMYFUNCTION("""COMPUTED_VALUE"""),"fa326fde")</f>
        <v>fa326fde</v>
      </c>
      <c r="B71" s="31">
        <f>IFERROR(__xludf.DUMMYFUNCTION("""COMPUTED_VALUE"""),46081.0)</f>
        <v>46081</v>
      </c>
    </row>
    <row r="72">
      <c r="A72" s="1" t="str">
        <f>IFERROR(__xludf.DUMMYFUNCTION("""COMPUTED_VALUE"""),"4d8053dc")</f>
        <v>4d8053dc</v>
      </c>
      <c r="B72" s="31">
        <f>IFERROR(__xludf.DUMMYFUNCTION("""COMPUTED_VALUE"""),46081.0)</f>
        <v>46081</v>
      </c>
    </row>
    <row r="73">
      <c r="A73" s="1" t="str">
        <f>IFERROR(__xludf.DUMMYFUNCTION("""COMPUTED_VALUE"""),"f1314e9b")</f>
        <v>f1314e9b</v>
      </c>
      <c r="B73" s="31">
        <f>IFERROR(__xludf.DUMMYFUNCTION("""COMPUTED_VALUE"""),46081.0)</f>
        <v>46081</v>
      </c>
    </row>
    <row r="74">
      <c r="A74" s="1" t="str">
        <f>IFERROR(__xludf.DUMMYFUNCTION("""COMPUTED_VALUE"""),"58f0f51e")</f>
        <v>58f0f51e</v>
      </c>
      <c r="B74" s="31">
        <f>IFERROR(__xludf.DUMMYFUNCTION("""COMPUTED_VALUE"""),46074.0)</f>
        <v>46074</v>
      </c>
    </row>
    <row r="75">
      <c r="A75" s="1" t="str">
        <f>IFERROR(__xludf.DUMMYFUNCTION("""COMPUTED_VALUE"""),"8fe7beb3")</f>
        <v>8fe7beb3</v>
      </c>
      <c r="B75" s="31">
        <f>IFERROR(__xludf.DUMMYFUNCTION("""COMPUTED_VALUE"""),46081.0)</f>
        <v>46081</v>
      </c>
    </row>
    <row r="76">
      <c r="A76" s="1" t="str">
        <f>IFERROR(__xludf.DUMMYFUNCTION("""COMPUTED_VALUE"""),"2200b6da")</f>
        <v>2200b6da</v>
      </c>
      <c r="B76" s="31">
        <f>IFERROR(__xludf.DUMMYFUNCTION("""COMPUTED_VALUE"""),46084.0)</f>
        <v>46084</v>
      </c>
    </row>
    <row r="77">
      <c r="A77" s="1" t="str">
        <f>IFERROR(__xludf.DUMMYFUNCTION("""COMPUTED_VALUE"""),"edecceb3")</f>
        <v>edecceb3</v>
      </c>
      <c r="B77" s="31">
        <f>IFERROR(__xludf.DUMMYFUNCTION("""COMPUTED_VALUE"""),46084.0)</f>
        <v>46084</v>
      </c>
    </row>
    <row r="78">
      <c r="A78" s="1" t="str">
        <f>IFERROR(__xludf.DUMMYFUNCTION("""COMPUTED_VALUE"""),"30ca239d")</f>
        <v>30ca239d</v>
      </c>
      <c r="B78" s="31">
        <f>IFERROR(__xludf.DUMMYFUNCTION("""COMPUTED_VALUE"""),46084.0)</f>
        <v>46084</v>
      </c>
    </row>
    <row r="79">
      <c r="A79" s="1" t="str">
        <f>IFERROR(__xludf.DUMMYFUNCTION("""COMPUTED_VALUE"""),"43f4b2f6")</f>
        <v>43f4b2f6</v>
      </c>
      <c r="B79" s="31">
        <f>IFERROR(__xludf.DUMMYFUNCTION("""COMPUTED_VALUE"""),46088.0)</f>
        <v>46088</v>
      </c>
    </row>
    <row r="80">
      <c r="A80" s="1" t="str">
        <f>IFERROR(__xludf.DUMMYFUNCTION("""COMPUTED_VALUE"""),"35cb0a30")</f>
        <v>35cb0a30</v>
      </c>
      <c r="B80" s="31">
        <f>IFERROR(__xludf.DUMMYFUNCTION("""COMPUTED_VALUE"""),46088.0)</f>
        <v>46088</v>
      </c>
    </row>
    <row r="81">
      <c r="A81" s="1" t="str">
        <f>IFERROR(__xludf.DUMMYFUNCTION("""COMPUTED_VALUE"""),"fd017c96")</f>
        <v>fd017c96</v>
      </c>
      <c r="B81" s="31">
        <f>IFERROR(__xludf.DUMMYFUNCTION("""COMPUTED_VALUE"""),46088.0)</f>
        <v>46088</v>
      </c>
    </row>
    <row r="82">
      <c r="A82" s="1" t="str">
        <f>IFERROR(__xludf.DUMMYFUNCTION("""COMPUTED_VALUE"""),"f00c0ff5")</f>
        <v>f00c0ff5</v>
      </c>
      <c r="B82" s="31">
        <f>IFERROR(__xludf.DUMMYFUNCTION("""COMPUTED_VALUE"""),46088.0)</f>
        <v>46088</v>
      </c>
    </row>
    <row r="83">
      <c r="A83" s="1" t="str">
        <f>IFERROR(__xludf.DUMMYFUNCTION("""COMPUTED_VALUE"""),"db31e3f8")</f>
        <v>db31e3f8</v>
      </c>
      <c r="B83" s="31">
        <f>IFERROR(__xludf.DUMMYFUNCTION("""COMPUTED_VALUE"""),46088.0)</f>
        <v>46088</v>
      </c>
    </row>
    <row r="84">
      <c r="A84" s="1" t="str">
        <f>IFERROR(__xludf.DUMMYFUNCTION("""COMPUTED_VALUE"""),"e5fb83ab")</f>
        <v>e5fb83ab</v>
      </c>
      <c r="B84" s="31">
        <f>IFERROR(__xludf.DUMMYFUNCTION("""COMPUTED_VALUE"""),46091.0)</f>
        <v>46091</v>
      </c>
    </row>
    <row r="85">
      <c r="A85" s="1" t="str">
        <f>IFERROR(__xludf.DUMMYFUNCTION("""COMPUTED_VALUE"""),"e420d6a9")</f>
        <v>e420d6a9</v>
      </c>
      <c r="B85" s="31">
        <f>IFERROR(__xludf.DUMMYFUNCTION("""COMPUTED_VALUE"""),46091.0)</f>
        <v>46091</v>
      </c>
    </row>
    <row r="86">
      <c r="A86" s="1" t="str">
        <f>IFERROR(__xludf.DUMMYFUNCTION("""COMPUTED_VALUE"""),"fbd124cf")</f>
        <v>fbd124cf</v>
      </c>
      <c r="B86" s="31">
        <f>IFERROR(__xludf.DUMMYFUNCTION("""COMPUTED_VALUE"""),46091.0)</f>
        <v>46091</v>
      </c>
    </row>
    <row r="87">
      <c r="A87" s="1" t="str">
        <f>IFERROR(__xludf.DUMMYFUNCTION("""COMPUTED_VALUE"""),"82c76ea5")</f>
        <v>82c76ea5</v>
      </c>
      <c r="B87" s="31">
        <f>IFERROR(__xludf.DUMMYFUNCTION("""COMPUTED_VALUE"""),46091.0)</f>
        <v>46091</v>
      </c>
    </row>
    <row r="88">
      <c r="A88" s="1" t="str">
        <f>IFERROR(__xludf.DUMMYFUNCTION("""COMPUTED_VALUE"""),"c71a5b2c")</f>
        <v>c71a5b2c</v>
      </c>
      <c r="B88" s="31">
        <f>IFERROR(__xludf.DUMMYFUNCTION("""COMPUTED_VALUE"""),46096.0)</f>
        <v>46096</v>
      </c>
    </row>
    <row r="89">
      <c r="A89" s="1" t="str">
        <f>IFERROR(__xludf.DUMMYFUNCTION("""COMPUTED_VALUE"""),"0aabb6d2")</f>
        <v>0aabb6d2</v>
      </c>
      <c r="B89" s="31">
        <f>IFERROR(__xludf.DUMMYFUNCTION("""COMPUTED_VALUE"""),46096.0)</f>
        <v>46096</v>
      </c>
    </row>
    <row r="90">
      <c r="A90" s="1" t="str">
        <f>IFERROR(__xludf.DUMMYFUNCTION("""COMPUTED_VALUE"""),"1144b357")</f>
        <v>1144b357</v>
      </c>
      <c r="B90" s="31">
        <f>IFERROR(__xludf.DUMMYFUNCTION("""COMPUTED_VALUE"""),46096.0)</f>
        <v>46096</v>
      </c>
    </row>
    <row r="91">
      <c r="A91" s="1" t="str">
        <f>IFERROR(__xludf.DUMMYFUNCTION("""COMPUTED_VALUE"""),"de4ec195")</f>
        <v>de4ec195</v>
      </c>
      <c r="B91" s="31">
        <f>IFERROR(__xludf.DUMMYFUNCTION("""COMPUTED_VALUE"""),46096.0)</f>
        <v>46096</v>
      </c>
    </row>
    <row r="92">
      <c r="A92" s="1" t="str">
        <f>IFERROR(__xludf.DUMMYFUNCTION("""COMPUTED_VALUE"""),"6502020e")</f>
        <v>6502020e</v>
      </c>
      <c r="B92" s="31">
        <f>IFERROR(__xludf.DUMMYFUNCTION("""COMPUTED_VALUE"""),46100.0)</f>
        <v>46100</v>
      </c>
    </row>
    <row r="93">
      <c r="A93" s="1" t="str">
        <f>IFERROR(__xludf.DUMMYFUNCTION("""COMPUTED_VALUE"""),"0717bd0b")</f>
        <v>0717bd0b</v>
      </c>
      <c r="B93" s="31">
        <f>IFERROR(__xludf.DUMMYFUNCTION("""COMPUTED_VALUE"""),46100.0)</f>
        <v>46100</v>
      </c>
    </row>
    <row r="94">
      <c r="A94" s="1" t="str">
        <f>IFERROR(__xludf.DUMMYFUNCTION("""COMPUTED_VALUE"""),"161a86ec")</f>
        <v>161a86ec</v>
      </c>
      <c r="B94" s="31">
        <f>IFERROR(__xludf.DUMMYFUNCTION("""COMPUTED_VALUE"""),46100.0)</f>
        <v>46100</v>
      </c>
    </row>
    <row r="95">
      <c r="A95" s="1" t="str">
        <f>IFERROR(__xludf.DUMMYFUNCTION("""COMPUTED_VALUE"""),"dd9b4145")</f>
        <v>dd9b4145</v>
      </c>
      <c r="B95" s="31">
        <f>IFERROR(__xludf.DUMMYFUNCTION("""COMPUTED_VALUE"""),46103.0)</f>
        <v>46103</v>
      </c>
    </row>
    <row r="96">
      <c r="A96" s="1" t="str">
        <f>IFERROR(__xludf.DUMMYFUNCTION("""COMPUTED_VALUE"""),"90f9d1f9")</f>
        <v>90f9d1f9</v>
      </c>
      <c r="B96" s="31">
        <f>IFERROR(__xludf.DUMMYFUNCTION("""COMPUTED_VALUE"""),46103.0)</f>
        <v>46103</v>
      </c>
    </row>
    <row r="97">
      <c r="A97" s="1" t="str">
        <f>IFERROR(__xludf.DUMMYFUNCTION("""COMPUTED_VALUE"""),"868835ce")</f>
        <v>868835ce</v>
      </c>
      <c r="B97" s="31">
        <f>IFERROR(__xludf.DUMMYFUNCTION("""COMPUTED_VALUE"""),46103.0)</f>
        <v>46103</v>
      </c>
    </row>
    <row r="98">
      <c r="A98" s="1" t="str">
        <f>IFERROR(__xludf.DUMMYFUNCTION("""COMPUTED_VALUE"""),"7a0e9897")</f>
        <v>7a0e9897</v>
      </c>
      <c r="B98" s="31">
        <f>IFERROR(__xludf.DUMMYFUNCTION("""COMPUTED_VALUE"""),46103.0)</f>
        <v>46103</v>
      </c>
    </row>
    <row r="99">
      <c r="A99" s="1" t="str">
        <f>IFERROR(__xludf.DUMMYFUNCTION("""COMPUTED_VALUE"""),"4087a248")</f>
        <v>4087a248</v>
      </c>
      <c r="B99" s="31">
        <f>IFERROR(__xludf.DUMMYFUNCTION("""COMPUTED_VALUE"""),46103.0)</f>
        <v>46103</v>
      </c>
    </row>
    <row r="100">
      <c r="A100" s="1" t="str">
        <f>IFERROR(__xludf.DUMMYFUNCTION("""COMPUTED_VALUE"""),"20efc97b")</f>
        <v>20efc97b</v>
      </c>
      <c r="B100" s="31">
        <f>IFERROR(__xludf.DUMMYFUNCTION("""COMPUTED_VALUE"""),46104.0)</f>
        <v>46104</v>
      </c>
    </row>
    <row r="101">
      <c r="A101" s="1" t="str">
        <f>IFERROR(__xludf.DUMMYFUNCTION("""COMPUTED_VALUE"""),"1a253598")</f>
        <v>1a253598</v>
      </c>
      <c r="B101" s="31">
        <f>IFERROR(__xludf.DUMMYFUNCTION("""COMPUTED_VALUE"""),46104.0)</f>
        <v>46104</v>
      </c>
    </row>
    <row r="102">
      <c r="A102" s="1" t="str">
        <f>IFERROR(__xludf.DUMMYFUNCTION("""COMPUTED_VALUE"""),"41b292a0")</f>
        <v>41b292a0</v>
      </c>
      <c r="B102" s="31">
        <f>IFERROR(__xludf.DUMMYFUNCTION("""COMPUTED_VALUE"""),46105.0)</f>
        <v>46105</v>
      </c>
    </row>
    <row r="103">
      <c r="A103" s="1" t="str">
        <f>IFERROR(__xludf.DUMMYFUNCTION("""COMPUTED_VALUE"""),"316f5491")</f>
        <v>316f5491</v>
      </c>
      <c r="B103" s="31">
        <f>IFERROR(__xludf.DUMMYFUNCTION("""COMPUTED_VALUE"""),46105.0)</f>
        <v>46105</v>
      </c>
    </row>
    <row r="104">
      <c r="A104" s="1" t="str">
        <f>IFERROR(__xludf.DUMMYFUNCTION("""COMPUTED_VALUE"""),"011b17d4")</f>
        <v>011b17d4</v>
      </c>
      <c r="B104" s="31">
        <f>IFERROR(__xludf.DUMMYFUNCTION("""COMPUTED_VALUE"""),46105.0)</f>
        <v>46105</v>
      </c>
    </row>
    <row r="105">
      <c r="A105" s="1" t="str">
        <f>IFERROR(__xludf.DUMMYFUNCTION("""COMPUTED_VALUE"""),"fa6cc36f")</f>
        <v>fa6cc36f</v>
      </c>
      <c r="B105" s="31">
        <f>IFERROR(__xludf.DUMMYFUNCTION("""COMPUTED_VALUE"""),46105.0)</f>
        <v>46105</v>
      </c>
    </row>
    <row r="106">
      <c r="A106" s="1" t="str">
        <f>IFERROR(__xludf.DUMMYFUNCTION("""COMPUTED_VALUE"""),"ad41d324")</f>
        <v>ad41d324</v>
      </c>
      <c r="B106" s="31">
        <f>IFERROR(__xludf.DUMMYFUNCTION("""COMPUTED_VALUE"""),46106.0)</f>
        <v>46106</v>
      </c>
    </row>
    <row r="107">
      <c r="A107" s="1" t="str">
        <f>IFERROR(__xludf.DUMMYFUNCTION("""COMPUTED_VALUE"""),"bd35a5cf")</f>
        <v>bd35a5cf</v>
      </c>
      <c r="B107" s="31">
        <f>IFERROR(__xludf.DUMMYFUNCTION("""COMPUTED_VALUE"""),46106.0)</f>
        <v>46106</v>
      </c>
    </row>
    <row r="108">
      <c r="A108" s="1" t="str">
        <f>IFERROR(__xludf.DUMMYFUNCTION("""COMPUTED_VALUE"""),"fb914ad9")</f>
        <v>fb914ad9</v>
      </c>
      <c r="B108" s="31">
        <f>IFERROR(__xludf.DUMMYFUNCTION("""COMPUTED_VALUE"""),46107.0)</f>
        <v>46107</v>
      </c>
    </row>
    <row r="109">
      <c r="A109" s="1" t="str">
        <f>IFERROR(__xludf.DUMMYFUNCTION("""COMPUTED_VALUE"""),"a48e4ced")</f>
        <v>a48e4ced</v>
      </c>
      <c r="B109" s="31">
        <f>IFERROR(__xludf.DUMMYFUNCTION("""COMPUTED_VALUE"""),46109.0)</f>
        <v>46109</v>
      </c>
    </row>
    <row r="110">
      <c r="A110" s="1" t="str">
        <f>IFERROR(__xludf.DUMMYFUNCTION("""COMPUTED_VALUE"""),"ffb86cee")</f>
        <v>ffb86cee</v>
      </c>
      <c r="B110" s="31">
        <f>IFERROR(__xludf.DUMMYFUNCTION("""COMPUTED_VALUE"""),46109.0)</f>
        <v>46109</v>
      </c>
    </row>
    <row r="111">
      <c r="A111" s="1" t="str">
        <f>IFERROR(__xludf.DUMMYFUNCTION("""COMPUTED_VALUE"""),"bb81e412")</f>
        <v>bb81e412</v>
      </c>
      <c r="B111" s="31">
        <f>IFERROR(__xludf.DUMMYFUNCTION("""COMPUTED_VALUE"""),46109.0)</f>
        <v>46109</v>
      </c>
    </row>
    <row r="112">
      <c r="A112" s="1" t="str">
        <f>IFERROR(__xludf.DUMMYFUNCTION("""COMPUTED_VALUE"""),"4f7d1480")</f>
        <v>4f7d1480</v>
      </c>
      <c r="B112" s="31">
        <f>IFERROR(__xludf.DUMMYFUNCTION("""COMPUTED_VALUE"""),46109.0)</f>
        <v>46109</v>
      </c>
    </row>
    <row r="113">
      <c r="A113" s="1" t="str">
        <f>IFERROR(__xludf.DUMMYFUNCTION("""COMPUTED_VALUE"""),"4dee2d99")</f>
        <v>4dee2d99</v>
      </c>
      <c r="B113" s="31">
        <f>IFERROR(__xludf.DUMMYFUNCTION("""COMPUTED_VALUE"""),46114.0)</f>
        <v>46114</v>
      </c>
    </row>
    <row r="114">
      <c r="A114" s="1" t="str">
        <f>IFERROR(__xludf.DUMMYFUNCTION("""COMPUTED_VALUE"""),"c8a65d6e")</f>
        <v>c8a65d6e</v>
      </c>
      <c r="B114" s="31">
        <f>IFERROR(__xludf.DUMMYFUNCTION("""COMPUTED_VALUE"""),46114.0)</f>
        <v>46114</v>
      </c>
    </row>
    <row r="115">
      <c r="A115" s="1" t="str">
        <f>IFERROR(__xludf.DUMMYFUNCTION("""COMPUTED_VALUE"""),"9fead2ae")</f>
        <v>9fead2ae</v>
      </c>
      <c r="B115" s="31">
        <f>IFERROR(__xludf.DUMMYFUNCTION("""COMPUTED_VALUE"""),46114.0)</f>
        <v>46114</v>
      </c>
    </row>
    <row r="116">
      <c r="A116" s="1" t="str">
        <f>IFERROR(__xludf.DUMMYFUNCTION("""COMPUTED_VALUE"""),"03ab8e87")</f>
        <v>03ab8e87</v>
      </c>
      <c r="B116" s="31">
        <f>IFERROR(__xludf.DUMMYFUNCTION("""COMPUTED_VALUE"""),46114.0)</f>
        <v>46114</v>
      </c>
    </row>
    <row r="117">
      <c r="A117" s="1" t="str">
        <f>IFERROR(__xludf.DUMMYFUNCTION("""COMPUTED_VALUE"""),"a1578cc1")</f>
        <v>a1578cc1</v>
      </c>
      <c r="B117" s="31">
        <f>IFERROR(__xludf.DUMMYFUNCTION("""COMPUTED_VALUE"""),46116.0)</f>
        <v>46116</v>
      </c>
    </row>
    <row r="118">
      <c r="A118" s="1" t="str">
        <f>IFERROR(__xludf.DUMMYFUNCTION("""COMPUTED_VALUE"""),"fc1fe687")</f>
        <v>fc1fe687</v>
      </c>
      <c r="B118" s="31">
        <f>IFERROR(__xludf.DUMMYFUNCTION("""COMPUTED_VALUE"""),46116.0)</f>
        <v>46116</v>
      </c>
    </row>
    <row r="119">
      <c r="A119" s="1" t="str">
        <f>IFERROR(__xludf.DUMMYFUNCTION("""COMPUTED_VALUE"""),"3c818630")</f>
        <v>3c818630</v>
      </c>
      <c r="B119" s="31">
        <f>IFERROR(__xludf.DUMMYFUNCTION("""COMPUTED_VALUE"""),46116.0)</f>
        <v>46116</v>
      </c>
    </row>
    <row r="120">
      <c r="A120" s="1" t="str">
        <f>IFERROR(__xludf.DUMMYFUNCTION("""COMPUTED_VALUE"""),"2f593f55")</f>
        <v>2f593f55</v>
      </c>
      <c r="B120" s="31">
        <f>IFERROR(__xludf.DUMMYFUNCTION("""COMPUTED_VALUE"""),46116.0)</f>
        <v>46116</v>
      </c>
    </row>
    <row r="121">
      <c r="A121" s="1" t="str">
        <f>IFERROR(__xludf.DUMMYFUNCTION("""COMPUTED_VALUE"""),"2529f781")</f>
        <v>2529f781</v>
      </c>
      <c r="B121" s="31">
        <f>IFERROR(__xludf.DUMMYFUNCTION("""COMPUTED_VALUE"""),46116.0)</f>
        <v>46116</v>
      </c>
    </row>
    <row r="122">
      <c r="A122" s="1" t="str">
        <f>IFERROR(__xludf.DUMMYFUNCTION("""COMPUTED_VALUE"""),"cabe7632")</f>
        <v>cabe7632</v>
      </c>
      <c r="B122" s="31">
        <f>IFERROR(__xludf.DUMMYFUNCTION("""COMPUTED_VALUE"""),46118.0)</f>
        <v>46118</v>
      </c>
    </row>
    <row r="123">
      <c r="A123" s="1"/>
      <c r="B123" s="1"/>
    </row>
    <row r="124">
      <c r="A124" s="1" t="str">
        <f>IFERROR(__xludf.DUMMYFUNCTION("""COMPUTED_VALUE"""),"9f636573")</f>
        <v>9f636573</v>
      </c>
      <c r="B124" s="31">
        <f>IFERROR(__xludf.DUMMYFUNCTION("""COMPUTED_VALUE"""),46119.0)</f>
        <v>46119</v>
      </c>
    </row>
    <row r="125">
      <c r="A125" s="1" t="str">
        <f>IFERROR(__xludf.DUMMYFUNCTION("""COMPUTED_VALUE"""),"683bf08a")</f>
        <v>683bf08a</v>
      </c>
      <c r="B125" s="31">
        <f>IFERROR(__xludf.DUMMYFUNCTION("""COMPUTED_VALUE"""),46120.0)</f>
        <v>46120</v>
      </c>
    </row>
    <row r="126">
      <c r="A126" s="1" t="str">
        <f>IFERROR(__xludf.DUMMYFUNCTION("""COMPUTED_VALUE"""),"c1e1d389")</f>
        <v>c1e1d389</v>
      </c>
      <c r="B126" s="31">
        <f>IFERROR(__xludf.DUMMYFUNCTION("""COMPUTED_VALUE"""),46120.0)</f>
        <v>46120</v>
      </c>
    </row>
    <row r="127">
      <c r="A127" s="1" t="str">
        <f>IFERROR(__xludf.DUMMYFUNCTION("""COMPUTED_VALUE"""),"557cdc68")</f>
        <v>557cdc68</v>
      </c>
      <c r="B127" s="31">
        <f>IFERROR(__xludf.DUMMYFUNCTION("""COMPUTED_VALUE"""),46121.0)</f>
        <v>46121</v>
      </c>
    </row>
    <row r="128">
      <c r="A128" s="1" t="str">
        <f>IFERROR(__xludf.DUMMYFUNCTION("""COMPUTED_VALUE"""),"d97919fb")</f>
        <v>d97919fb</v>
      </c>
      <c r="B128" s="31">
        <f>IFERROR(__xludf.DUMMYFUNCTION("""COMPUTED_VALUE"""),46121.0)</f>
        <v>46121</v>
      </c>
    </row>
    <row r="129">
      <c r="A129" s="1" t="str">
        <f>IFERROR(__xludf.DUMMYFUNCTION("""COMPUTED_VALUE"""),"e4b28613")</f>
        <v>e4b28613</v>
      </c>
      <c r="B129" s="31">
        <f>IFERROR(__xludf.DUMMYFUNCTION("""COMPUTED_VALUE"""),46121.0)</f>
        <v>46121</v>
      </c>
    </row>
    <row r="130">
      <c r="A130" s="1" t="str">
        <f>IFERROR(__xludf.DUMMYFUNCTION("""COMPUTED_VALUE"""),"49752fc8")</f>
        <v>49752fc8</v>
      </c>
      <c r="B130" s="31">
        <f>IFERROR(__xludf.DUMMYFUNCTION("""COMPUTED_VALUE"""),46123.0)</f>
        <v>46123</v>
      </c>
    </row>
    <row r="131">
      <c r="A131" s="1" t="str">
        <f>IFERROR(__xludf.DUMMYFUNCTION("""COMPUTED_VALUE"""),"80a016cc")</f>
        <v>80a016cc</v>
      </c>
      <c r="B131" s="31">
        <f>IFERROR(__xludf.DUMMYFUNCTION("""COMPUTED_VALUE"""),46123.0)</f>
        <v>46123</v>
      </c>
    </row>
    <row r="132">
      <c r="A132" s="1" t="str">
        <f>IFERROR(__xludf.DUMMYFUNCTION("""COMPUTED_VALUE"""),"fbd37e83")</f>
        <v>fbd37e83</v>
      </c>
      <c r="B132" s="31">
        <f>IFERROR(__xludf.DUMMYFUNCTION("""COMPUTED_VALUE"""),46123.0)</f>
        <v>46123</v>
      </c>
    </row>
    <row r="133">
      <c r="A133" s="1" t="str">
        <f>IFERROR(__xludf.DUMMYFUNCTION("""COMPUTED_VALUE"""),"56c2e6a0")</f>
        <v>56c2e6a0</v>
      </c>
      <c r="B133" s="31">
        <f>IFERROR(__xludf.DUMMYFUNCTION("""COMPUTED_VALUE"""),46123.0)</f>
        <v>46123</v>
      </c>
    </row>
    <row r="134">
      <c r="A134" s="1" t="str">
        <f>IFERROR(__xludf.DUMMYFUNCTION("""COMPUTED_VALUE"""),"8efceb90")</f>
        <v>8efceb90</v>
      </c>
      <c r="B134" s="31">
        <f>IFERROR(__xludf.DUMMYFUNCTION("""COMPUTED_VALUE"""),46124.0)</f>
        <v>46124</v>
      </c>
    </row>
    <row r="135">
      <c r="A135" s="1" t="str">
        <f>IFERROR(__xludf.DUMMYFUNCTION("""COMPUTED_VALUE"""),"042b4059")</f>
        <v>042b4059</v>
      </c>
      <c r="B135" s="31">
        <f>IFERROR(__xludf.DUMMYFUNCTION("""COMPUTED_VALUE"""),46126.0)</f>
        <v>46126</v>
      </c>
    </row>
    <row r="136">
      <c r="A136" s="1" t="str">
        <f>IFERROR(__xludf.DUMMYFUNCTION("""COMPUTED_VALUE"""),"60491f07")</f>
        <v>60491f07</v>
      </c>
      <c r="B136" s="31">
        <f>IFERROR(__xludf.DUMMYFUNCTION("""COMPUTED_VALUE"""),46126.0)</f>
        <v>46126</v>
      </c>
    </row>
    <row r="137">
      <c r="A137" s="1" t="str">
        <f>IFERROR(__xludf.DUMMYFUNCTION("""COMPUTED_VALUE"""),"05b7d2e6")</f>
        <v>05b7d2e6</v>
      </c>
      <c r="B137" s="31">
        <f>IFERROR(__xludf.DUMMYFUNCTION("""COMPUTED_VALUE"""),46126.0)</f>
        <v>46126</v>
      </c>
    </row>
    <row r="138">
      <c r="A138" s="1" t="str">
        <f>IFERROR(__xludf.DUMMYFUNCTION("""COMPUTED_VALUE"""),"7f904a80")</f>
        <v>7f904a80</v>
      </c>
      <c r="B138" s="31">
        <f>IFERROR(__xludf.DUMMYFUNCTION("""COMPUTED_VALUE"""),46127.0)</f>
        <v>46127</v>
      </c>
    </row>
    <row r="139">
      <c r="A139" s="1" t="str">
        <f>IFERROR(__xludf.DUMMYFUNCTION("""COMPUTED_VALUE"""),"b0a218ab")</f>
        <v>b0a218ab</v>
      </c>
      <c r="B139" s="31">
        <f>IFERROR(__xludf.DUMMYFUNCTION("""COMPUTED_VALUE"""),46127.0)</f>
        <v>46127</v>
      </c>
    </row>
    <row r="140">
      <c r="A140" s="1" t="str">
        <f>IFERROR(__xludf.DUMMYFUNCTION("""COMPUTED_VALUE"""),"3f2a94d8")</f>
        <v>3f2a94d8</v>
      </c>
      <c r="B140" s="31">
        <f>IFERROR(__xludf.DUMMYFUNCTION("""COMPUTED_VALUE"""),46129.0)</f>
        <v>46129</v>
      </c>
    </row>
    <row r="141">
      <c r="A141" s="1" t="str">
        <f>IFERROR(__xludf.DUMMYFUNCTION("""COMPUTED_VALUE"""),"e78fc3c9")</f>
        <v>e78fc3c9</v>
      </c>
      <c r="B141" s="31">
        <f>IFERROR(__xludf.DUMMYFUNCTION("""COMPUTED_VALUE"""),46130.0)</f>
        <v>46130</v>
      </c>
    </row>
    <row r="142">
      <c r="A142" s="1" t="str">
        <f>IFERROR(__xludf.DUMMYFUNCTION("""COMPUTED_VALUE"""),"ead44bd8")</f>
        <v>ead44bd8</v>
      </c>
      <c r="B142" s="31">
        <f>IFERROR(__xludf.DUMMYFUNCTION("""COMPUTED_VALUE"""),46130.0)</f>
        <v>46130</v>
      </c>
    </row>
    <row r="143">
      <c r="A143" s="1" t="str">
        <f>IFERROR(__xludf.DUMMYFUNCTION("""COMPUTED_VALUE"""),"691f5194")</f>
        <v>691f5194</v>
      </c>
      <c r="B143" s="31">
        <f>IFERROR(__xludf.DUMMYFUNCTION("""COMPUTED_VALUE"""),46130.0)</f>
        <v>46130</v>
      </c>
    </row>
    <row r="144">
      <c r="A144" s="1" t="str">
        <f>IFERROR(__xludf.DUMMYFUNCTION("""COMPUTED_VALUE"""),"37093ad1")</f>
        <v>37093ad1</v>
      </c>
      <c r="B144" s="31">
        <f>IFERROR(__xludf.DUMMYFUNCTION("""COMPUTED_VALUE"""),46131.0)</f>
        <v>46131</v>
      </c>
    </row>
    <row r="145">
      <c r="A145" s="1" t="str">
        <f>IFERROR(__xludf.DUMMYFUNCTION("""COMPUTED_VALUE"""),"94b7eba6")</f>
        <v>94b7eba6</v>
      </c>
      <c r="B145" s="31">
        <f>IFERROR(__xludf.DUMMYFUNCTION("""COMPUTED_VALUE"""),46131.0)</f>
        <v>46131</v>
      </c>
    </row>
    <row r="146">
      <c r="A146" s="1" t="str">
        <f>IFERROR(__xludf.DUMMYFUNCTION("""COMPUTED_VALUE"""),"f19003a8")</f>
        <v>f19003a8</v>
      </c>
      <c r="B146" s="31">
        <f>IFERROR(__xludf.DUMMYFUNCTION("""COMPUTED_VALUE"""),46131.0)</f>
        <v>46131</v>
      </c>
    </row>
    <row r="147">
      <c r="A147" s="1" t="str">
        <f>IFERROR(__xludf.DUMMYFUNCTION("""COMPUTED_VALUE"""),"fb40a272")</f>
        <v>fb40a272</v>
      </c>
      <c r="B147" s="31">
        <f>IFERROR(__xludf.DUMMYFUNCTION("""COMPUTED_VALUE"""),46132.0)</f>
        <v>46132</v>
      </c>
    </row>
    <row r="148">
      <c r="A148" s="1" t="str">
        <f>IFERROR(__xludf.DUMMYFUNCTION("""COMPUTED_VALUE"""),"4c061a87")</f>
        <v>4c061a87</v>
      </c>
      <c r="B148" s="31">
        <f>IFERROR(__xludf.DUMMYFUNCTION("""COMPUTED_VALUE"""),46132.0)</f>
        <v>46132</v>
      </c>
    </row>
    <row r="149">
      <c r="A149" s="1" t="str">
        <f>IFERROR(__xludf.DUMMYFUNCTION("""COMPUTED_VALUE"""),"b00e6b07")</f>
        <v>b00e6b07</v>
      </c>
      <c r="B149" s="31">
        <f>IFERROR(__xludf.DUMMYFUNCTION("""COMPUTED_VALUE"""),46132.0)</f>
        <v>46132</v>
      </c>
    </row>
    <row r="150">
      <c r="A150" s="1" t="str">
        <f>IFERROR(__xludf.DUMMYFUNCTION("""COMPUTED_VALUE"""),"32e56c2c")</f>
        <v>32e56c2c</v>
      </c>
      <c r="B150" s="31">
        <f>IFERROR(__xludf.DUMMYFUNCTION("""COMPUTED_VALUE"""),46134.0)</f>
        <v>46134</v>
      </c>
    </row>
    <row r="151">
      <c r="A151" s="1" t="str">
        <f>IFERROR(__xludf.DUMMYFUNCTION("""COMPUTED_VALUE"""),"626d0b59")</f>
        <v>626d0b59</v>
      </c>
      <c r="B151" s="31">
        <f>IFERROR(__xludf.DUMMYFUNCTION("""COMPUTED_VALUE"""),46134.0)</f>
        <v>46134</v>
      </c>
    </row>
    <row r="152">
      <c r="A152" s="1" t="str">
        <f>IFERROR(__xludf.DUMMYFUNCTION("""COMPUTED_VALUE"""),"0407b6ca")</f>
        <v>0407b6ca</v>
      </c>
      <c r="B152" s="31">
        <f>IFERROR(__xludf.DUMMYFUNCTION("""COMPUTED_VALUE"""),46134.0)</f>
        <v>46134</v>
      </c>
    </row>
    <row r="153">
      <c r="A153" s="1" t="str">
        <f>IFERROR(__xludf.DUMMYFUNCTION("""COMPUTED_VALUE"""),"9b692f1d")</f>
        <v>9b692f1d</v>
      </c>
      <c r="B153" s="31">
        <f>IFERROR(__xludf.DUMMYFUNCTION("""COMPUTED_VALUE"""),46137.0)</f>
        <v>46137</v>
      </c>
    </row>
    <row r="154">
      <c r="A154" s="1" t="str">
        <f>IFERROR(__xludf.DUMMYFUNCTION("""COMPUTED_VALUE"""),"15948e0d")</f>
        <v>15948e0d</v>
      </c>
      <c r="B154" s="31">
        <f>IFERROR(__xludf.DUMMYFUNCTION("""COMPUTED_VALUE"""),46137.0)</f>
        <v>46137</v>
      </c>
    </row>
    <row r="155">
      <c r="A155" s="1" t="str">
        <f>IFERROR(__xludf.DUMMYFUNCTION("""COMPUTED_VALUE"""),"8588cab5")</f>
        <v>8588cab5</v>
      </c>
      <c r="B155" s="31">
        <f>IFERROR(__xludf.DUMMYFUNCTION("""COMPUTED_VALUE"""),46137.0)</f>
        <v>46137</v>
      </c>
    </row>
    <row r="156">
      <c r="A156" s="1" t="str">
        <f>IFERROR(__xludf.DUMMYFUNCTION("""COMPUTED_VALUE"""),"ab54e6b0")</f>
        <v>ab54e6b0</v>
      </c>
      <c r="B156" s="31">
        <f>IFERROR(__xludf.DUMMYFUNCTION("""COMPUTED_VALUE"""),46137.0)</f>
        <v>46137</v>
      </c>
    </row>
    <row r="157">
      <c r="A157" s="1" t="str">
        <f>IFERROR(__xludf.DUMMYFUNCTION("""COMPUTED_VALUE"""),"4046a521")</f>
        <v>4046a521</v>
      </c>
      <c r="B157" s="31">
        <f>IFERROR(__xludf.DUMMYFUNCTION("""COMPUTED_VALUE"""),46138.0)</f>
        <v>46138</v>
      </c>
    </row>
    <row r="158">
      <c r="A158" s="1" t="str">
        <f>IFERROR(__xludf.DUMMYFUNCTION("""COMPUTED_VALUE"""),"138a44eb")</f>
        <v>138a44eb</v>
      </c>
      <c r="B158" s="31">
        <f>IFERROR(__xludf.DUMMYFUNCTION("""COMPUTED_VALUE"""),46138.0)</f>
        <v>46138</v>
      </c>
    </row>
    <row r="159">
      <c r="A159" s="1" t="str">
        <f>IFERROR(__xludf.DUMMYFUNCTION("""COMPUTED_VALUE"""),"467b9a30")</f>
        <v>467b9a30</v>
      </c>
      <c r="B159" s="31">
        <f>IFERROR(__xludf.DUMMYFUNCTION("""COMPUTED_VALUE"""),46138.0)</f>
        <v>46138</v>
      </c>
    </row>
    <row r="160">
      <c r="A160" s="1" t="str">
        <f>IFERROR(__xludf.DUMMYFUNCTION("""COMPUTED_VALUE"""),"8c24f1f2")</f>
        <v>8c24f1f2</v>
      </c>
      <c r="B160" s="31">
        <f>IFERROR(__xludf.DUMMYFUNCTION("""COMPUTED_VALUE"""),46140.0)</f>
        <v>46140</v>
      </c>
    </row>
    <row r="161">
      <c r="A161" s="1" t="str">
        <f>IFERROR(__xludf.DUMMYFUNCTION("""COMPUTED_VALUE"""),"851a886d")</f>
        <v>851a886d</v>
      </c>
      <c r="B161" s="31">
        <f>IFERROR(__xludf.DUMMYFUNCTION("""COMPUTED_VALUE"""),46141.0)</f>
        <v>46141</v>
      </c>
    </row>
    <row r="162">
      <c r="A162" s="1" t="str">
        <f>IFERROR(__xludf.DUMMYFUNCTION("""COMPUTED_VALUE"""),"c3c8d6b8")</f>
        <v>c3c8d6b8</v>
      </c>
      <c r="B162" s="31">
        <f>IFERROR(__xludf.DUMMYFUNCTION("""COMPUTED_VALUE"""),46143.0)</f>
        <v>46143</v>
      </c>
    </row>
    <row r="163">
      <c r="A163" s="1" t="str">
        <f>IFERROR(__xludf.DUMMYFUNCTION("""COMPUTED_VALUE"""),"13a4ee3b")</f>
        <v>13a4ee3b</v>
      </c>
      <c r="B163" s="31">
        <f>IFERROR(__xludf.DUMMYFUNCTION("""COMPUTED_VALUE"""),46143.0)</f>
        <v>46143</v>
      </c>
    </row>
    <row r="164">
      <c r="A164" s="1" t="str">
        <f>IFERROR(__xludf.DUMMYFUNCTION("""COMPUTED_VALUE"""),"1e8be36f")</f>
        <v>1e8be36f</v>
      </c>
      <c r="B164" s="31">
        <f>IFERROR(__xludf.DUMMYFUNCTION("""COMPUTED_VALUE"""),46144.0)</f>
        <v>46144</v>
      </c>
    </row>
    <row r="165">
      <c r="A165" s="1" t="str">
        <f>IFERROR(__xludf.DUMMYFUNCTION("""COMPUTED_VALUE"""),"79a6a3cc")</f>
        <v>79a6a3cc</v>
      </c>
      <c r="B165" s="31">
        <f>IFERROR(__xludf.DUMMYFUNCTION("""COMPUTED_VALUE"""),46144.0)</f>
        <v>46144</v>
      </c>
    </row>
    <row r="166">
      <c r="A166" s="1" t="str">
        <f>IFERROR(__xludf.DUMMYFUNCTION("""COMPUTED_VALUE"""),"93a3ee83")</f>
        <v>93a3ee83</v>
      </c>
      <c r="B166" s="31">
        <f>IFERROR(__xludf.DUMMYFUNCTION("""COMPUTED_VALUE"""),46144.0)</f>
        <v>46144</v>
      </c>
    </row>
    <row r="167">
      <c r="A167" s="1" t="str">
        <f>IFERROR(__xludf.DUMMYFUNCTION("""COMPUTED_VALUE"""),"f4cc1692")</f>
        <v>f4cc1692</v>
      </c>
      <c r="B167" s="31">
        <f>IFERROR(__xludf.DUMMYFUNCTION("""COMPUTED_VALUE"""),46145.0)</f>
        <v>46145</v>
      </c>
    </row>
    <row r="168">
      <c r="A168" s="1" t="str">
        <f>IFERROR(__xludf.DUMMYFUNCTION("""COMPUTED_VALUE"""),"363e9bf3")</f>
        <v>363e9bf3</v>
      </c>
      <c r="B168" s="31">
        <f>IFERROR(__xludf.DUMMYFUNCTION("""COMPUTED_VALUE"""),46145.0)</f>
        <v>46145</v>
      </c>
    </row>
    <row r="169">
      <c r="A169" s="1" t="str">
        <f>IFERROR(__xludf.DUMMYFUNCTION("""COMPUTED_VALUE"""),"f89f0ba4")</f>
        <v>f89f0ba4</v>
      </c>
      <c r="B169" s="31">
        <f>IFERROR(__xludf.DUMMYFUNCTION("""COMPUTED_VALUE"""),46146.0)</f>
        <v>46146</v>
      </c>
    </row>
    <row r="170">
      <c r="A170" s="1" t="str">
        <f>IFERROR(__xludf.DUMMYFUNCTION("""COMPUTED_VALUE"""),"0924fefb")</f>
        <v>0924fefb</v>
      </c>
      <c r="B170" s="31">
        <f>IFERROR(__xludf.DUMMYFUNCTION("""COMPUTED_VALUE"""),46148.0)</f>
        <v>46148</v>
      </c>
    </row>
    <row r="171">
      <c r="A171" s="1" t="str">
        <f>IFERROR(__xludf.DUMMYFUNCTION("""COMPUTED_VALUE"""),"859a6d00")</f>
        <v>859a6d00</v>
      </c>
      <c r="B171" s="31">
        <f>IFERROR(__xludf.DUMMYFUNCTION("""COMPUTED_VALUE"""),46147.0)</f>
        <v>46147</v>
      </c>
    </row>
    <row r="172">
      <c r="A172" s="1" t="str">
        <f>IFERROR(__xludf.DUMMYFUNCTION("""COMPUTED_VALUE"""),"e00ef670")</f>
        <v>e00ef670</v>
      </c>
      <c r="B172" s="31">
        <f>IFERROR(__xludf.DUMMYFUNCTION("""COMPUTED_VALUE"""),46147.0)</f>
        <v>46147</v>
      </c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IFERROR(__xludf.DUMMYFUNCTION("IMPORTRANGE(""https://docs.google.com/spreadsheets/d/1ztUylHNRZZ49JZNwSA5fStR0A_FGNfCYjIeCVRPtVnc/edit?gid=1747544260#gid=1747544260"",""Inventory!A:F"")"),"Inventory ID")</f>
        <v>Inventory ID</v>
      </c>
      <c r="B1" s="1" t="str">
        <f>IFERROR(__xludf.DUMMYFUNCTION("""COMPUTED_VALUE"""),"Item ID")</f>
        <v>Item ID</v>
      </c>
      <c r="C1" s="1" t="str">
        <f>IFERROR(__xludf.DUMMYFUNCTION("""COMPUTED_VALUE"""),"DateTime")</f>
        <v>DateTime</v>
      </c>
      <c r="D1" s="1" t="str">
        <f>IFERROR(__xludf.DUMMYFUNCTION("""COMPUTED_VALUE"""),"Amount")</f>
        <v>Amount</v>
      </c>
      <c r="E1" s="1" t="str">
        <f>IFERROR(__xludf.DUMMYFUNCTION("""COMPUTED_VALUE"""),"SourcePurchaseID")</f>
        <v>SourcePurchaseID</v>
      </c>
      <c r="F1" s="1" t="str">
        <f>IFERROR(__xludf.DUMMYFUNCTION("""COMPUTED_VALUE"""),"LocationID")</f>
        <v>LocationID</v>
      </c>
    </row>
    <row r="2">
      <c r="A2" s="1" t="str">
        <f>IFERROR(__xludf.DUMMYFUNCTION("""COMPUTED_VALUE"""),"a2de7383")</f>
        <v>a2de7383</v>
      </c>
      <c r="B2" s="1" t="str">
        <f>IFERROR(__xludf.DUMMYFUNCTION("""COMPUTED_VALUE"""),"0006")</f>
        <v>0006</v>
      </c>
      <c r="C2" s="32">
        <f>IFERROR(__xludf.DUMMYFUNCTION("""COMPUTED_VALUE"""),46051.61640046296)</f>
        <v>46051.6164</v>
      </c>
      <c r="D2" s="1">
        <f>IFERROR(__xludf.DUMMYFUNCTION("""COMPUTED_VALUE"""),10.0)</f>
        <v>10</v>
      </c>
      <c r="E2" s="1"/>
      <c r="F2" s="1" t="str">
        <f>IFERROR(__xludf.DUMMYFUNCTION("""COMPUTED_VALUE"""),"MAIN")</f>
        <v>MAIN</v>
      </c>
    </row>
    <row r="3">
      <c r="A3" s="1" t="str">
        <f>IFERROR(__xludf.DUMMYFUNCTION("""COMPUTED_VALUE"""),"b8816e1c")</f>
        <v>b8816e1c</v>
      </c>
      <c r="B3" s="1" t="str">
        <f>IFERROR(__xludf.DUMMYFUNCTION("""COMPUTED_VALUE"""),"0006")</f>
        <v>0006</v>
      </c>
      <c r="C3" s="32">
        <f>IFERROR(__xludf.DUMMYFUNCTION("""COMPUTED_VALUE"""),46051.616898148146)</f>
        <v>46051.6169</v>
      </c>
      <c r="D3" s="1">
        <f>IFERROR(__xludf.DUMMYFUNCTION("""COMPUTED_VALUE"""),5.0)</f>
        <v>5</v>
      </c>
      <c r="E3" s="1"/>
      <c r="F3" s="1"/>
    </row>
    <row r="4">
      <c r="A4" s="1" t="str">
        <f>IFERROR(__xludf.DUMMYFUNCTION("""COMPUTED_VALUE"""),"221920c0")</f>
        <v>221920c0</v>
      </c>
      <c r="B4" s="1" t="str">
        <f>IFERROR(__xludf.DUMMYFUNCTION("""COMPUTED_VALUE"""),"0006")</f>
        <v>0006</v>
      </c>
      <c r="C4" s="32">
        <f>IFERROR(__xludf.DUMMYFUNCTION("""COMPUTED_VALUE"""),46051.61819444445)</f>
        <v>46051.61819</v>
      </c>
      <c r="D4" s="1">
        <f>IFERROR(__xludf.DUMMYFUNCTION("""COMPUTED_VALUE"""),1.0)</f>
        <v>1</v>
      </c>
      <c r="E4" s="1"/>
      <c r="F4" s="1" t="str">
        <f>IFERROR(__xludf.DUMMYFUNCTION("""COMPUTED_VALUE"""),"MAIN")</f>
        <v>MAIN</v>
      </c>
    </row>
    <row r="5">
      <c r="A5" s="1" t="str">
        <f>IFERROR(__xludf.DUMMYFUNCTION("""COMPUTED_VALUE"""),"f8aa4cc4")</f>
        <v>f8aa4cc4</v>
      </c>
      <c r="B5" s="1" t="str">
        <f>IFERROR(__xludf.DUMMYFUNCTION("""COMPUTED_VALUE"""),"e7e30487")</f>
        <v>e7e30487</v>
      </c>
      <c r="C5" s="32">
        <f>IFERROR(__xludf.DUMMYFUNCTION("""COMPUTED_VALUE"""),46051.62831018519)</f>
        <v>46051.62831</v>
      </c>
      <c r="D5" s="1">
        <f>IFERROR(__xludf.DUMMYFUNCTION("""COMPUTED_VALUE"""),5.0)</f>
        <v>5</v>
      </c>
      <c r="E5" s="1"/>
      <c r="F5" s="1" t="str">
        <f>IFERROR(__xludf.DUMMYFUNCTION("""COMPUTED_VALUE"""),"MAIN")</f>
        <v>MAIN</v>
      </c>
    </row>
    <row r="6">
      <c r="A6" s="1" t="str">
        <f>IFERROR(__xludf.DUMMYFUNCTION("""COMPUTED_VALUE"""),"990d0e76")</f>
        <v>990d0e76</v>
      </c>
      <c r="B6" s="1" t="str">
        <f>IFERROR(__xludf.DUMMYFUNCTION("""COMPUTED_VALUE"""),"e7e30487")</f>
        <v>e7e30487</v>
      </c>
      <c r="C6" s="32">
        <f>IFERROR(__xludf.DUMMYFUNCTION("""COMPUTED_VALUE"""),46051.62862268519)</f>
        <v>46051.62862</v>
      </c>
      <c r="D6" s="1">
        <f>IFERROR(__xludf.DUMMYFUNCTION("""COMPUTED_VALUE"""),1.0)</f>
        <v>1</v>
      </c>
      <c r="E6" s="1"/>
      <c r="F6" s="1" t="str">
        <f>IFERROR(__xludf.DUMMYFUNCTION("""COMPUTED_VALUE"""),"MAIN")</f>
        <v>MAIN</v>
      </c>
    </row>
    <row r="7">
      <c r="A7" s="1" t="str">
        <f>IFERROR(__xludf.DUMMYFUNCTION("""COMPUTED_VALUE"""),"6696660f")</f>
        <v>6696660f</v>
      </c>
      <c r="B7" s="1" t="str">
        <f>IFERROR(__xludf.DUMMYFUNCTION("""COMPUTED_VALUE"""),"e7e30487")</f>
        <v>e7e30487</v>
      </c>
      <c r="C7" s="32">
        <f>IFERROR(__xludf.DUMMYFUNCTION("""COMPUTED_VALUE"""),46051.62925925926)</f>
        <v>46051.62926</v>
      </c>
      <c r="D7" s="1">
        <f>IFERROR(__xludf.DUMMYFUNCTION("""COMPUTED_VALUE"""),2.0)</f>
        <v>2</v>
      </c>
      <c r="E7" s="1"/>
      <c r="F7" s="1" t="str">
        <f>IFERROR(__xludf.DUMMYFUNCTION("""COMPUTED_VALUE"""),"MAIN")</f>
        <v>MAIN</v>
      </c>
    </row>
    <row r="8">
      <c r="A8" s="1" t="str">
        <f>IFERROR(__xludf.DUMMYFUNCTION("""COMPUTED_VALUE"""),"896c8803")</f>
        <v>896c8803</v>
      </c>
      <c r="B8" s="1" t="str">
        <f>IFERROR(__xludf.DUMMYFUNCTION("""COMPUTED_VALUE"""),"0006")</f>
        <v>0006</v>
      </c>
      <c r="C8" s="32">
        <f>IFERROR(__xludf.DUMMYFUNCTION("""COMPUTED_VALUE"""),46051.64810185185)</f>
        <v>46051.6481</v>
      </c>
      <c r="D8" s="1">
        <f>IFERROR(__xludf.DUMMYFUNCTION("""COMPUTED_VALUE"""),-1.0)</f>
        <v>-1</v>
      </c>
      <c r="E8" s="1"/>
      <c r="F8" s="1"/>
    </row>
    <row r="9">
      <c r="A9" s="1" t="str">
        <f>IFERROR(__xludf.DUMMYFUNCTION("""COMPUTED_VALUE"""),"dd5616d6")</f>
        <v>dd5616d6</v>
      </c>
      <c r="B9" s="1" t="str">
        <f>IFERROR(__xludf.DUMMYFUNCTION("""COMPUTED_VALUE"""),"0021")</f>
        <v>0021</v>
      </c>
      <c r="C9" s="32">
        <f>IFERROR(__xludf.DUMMYFUNCTION("""COMPUTED_VALUE"""),46054.814421296294)</f>
        <v>46054.81442</v>
      </c>
      <c r="D9" s="1">
        <f>IFERROR(__xludf.DUMMYFUNCTION("""COMPUTED_VALUE"""),24.0)</f>
        <v>24</v>
      </c>
      <c r="E9" s="1" t="str">
        <f>IFERROR(__xludf.DUMMYFUNCTION("""COMPUTED_VALUE"""),"74a12150")</f>
        <v>74a12150</v>
      </c>
      <c r="F9" s="1"/>
    </row>
    <row r="10">
      <c r="A10" s="1" t="str">
        <f>IFERROR(__xludf.DUMMYFUNCTION("""COMPUTED_VALUE"""),"ba5930ad")</f>
        <v>ba5930ad</v>
      </c>
      <c r="B10" s="1" t="str">
        <f>IFERROR(__xludf.DUMMYFUNCTION("""COMPUTED_VALUE"""),"bb6c2490")</f>
        <v>bb6c2490</v>
      </c>
      <c r="C10" s="32">
        <f>IFERROR(__xludf.DUMMYFUNCTION("""COMPUTED_VALUE"""),46054.81538194444)</f>
        <v>46054.81538</v>
      </c>
      <c r="D10" s="1">
        <f>IFERROR(__xludf.DUMMYFUNCTION("""COMPUTED_VALUE"""),36.0)</f>
        <v>36</v>
      </c>
      <c r="E10" s="1" t="str">
        <f>IFERROR(__xludf.DUMMYFUNCTION("""COMPUTED_VALUE"""),"c0422ab4")</f>
        <v>c0422ab4</v>
      </c>
      <c r="F10" s="1"/>
    </row>
    <row r="11">
      <c r="A11" s="1" t="str">
        <f>IFERROR(__xludf.DUMMYFUNCTION("""COMPUTED_VALUE"""),"0d7cc23e")</f>
        <v>0d7cc23e</v>
      </c>
      <c r="B11" s="1" t="str">
        <f>IFERROR(__xludf.DUMMYFUNCTION("""COMPUTED_VALUE"""),"0021")</f>
        <v>0021</v>
      </c>
      <c r="C11" s="32">
        <f>IFERROR(__xludf.DUMMYFUNCTION("""COMPUTED_VALUE"""),46054.81694444444)</f>
        <v>46054.81694</v>
      </c>
      <c r="D11" s="1">
        <f>IFERROR(__xludf.DUMMYFUNCTION("""COMPUTED_VALUE"""),72.0)</f>
        <v>72</v>
      </c>
      <c r="E11" s="1" t="str">
        <f>IFERROR(__xludf.DUMMYFUNCTION("""COMPUTED_VALUE"""),"fc17b57a")</f>
        <v>fc17b57a</v>
      </c>
      <c r="F11" s="1"/>
    </row>
    <row r="12">
      <c r="A12" s="1" t="str">
        <f>IFERROR(__xludf.DUMMYFUNCTION("""COMPUTED_VALUE"""),"0cd028fc")</f>
        <v>0cd028fc</v>
      </c>
      <c r="B12" s="1" t="str">
        <f>IFERROR(__xludf.DUMMYFUNCTION("""COMPUTED_VALUE"""),"f2959682")</f>
        <v>f2959682</v>
      </c>
      <c r="C12" s="32">
        <f>IFERROR(__xludf.DUMMYFUNCTION("""COMPUTED_VALUE"""),46054.81886574074)</f>
        <v>46054.81887</v>
      </c>
      <c r="D12" s="1">
        <f>IFERROR(__xludf.DUMMYFUNCTION("""COMPUTED_VALUE"""),150.0)</f>
        <v>150</v>
      </c>
      <c r="E12" s="1" t="str">
        <f>IFERROR(__xludf.DUMMYFUNCTION("""COMPUTED_VALUE"""),"cfbae1fe")</f>
        <v>cfbae1fe</v>
      </c>
      <c r="F12" s="1"/>
    </row>
    <row r="13">
      <c r="A13" s="1" t="str">
        <f>IFERROR(__xludf.DUMMYFUNCTION("""COMPUTED_VALUE"""),"6d65039b")</f>
        <v>6d65039b</v>
      </c>
      <c r="B13" s="1" t="str">
        <f>IFERROR(__xludf.DUMMYFUNCTION("""COMPUTED_VALUE"""),"f2959682")</f>
        <v>f2959682</v>
      </c>
      <c r="C13" s="32">
        <f>IFERROR(__xludf.DUMMYFUNCTION("""COMPUTED_VALUE"""),46055.464907407404)</f>
        <v>46055.46491</v>
      </c>
      <c r="D13" s="1">
        <f>IFERROR(__xludf.DUMMYFUNCTION("""COMPUTED_VALUE"""),1.0)</f>
        <v>1</v>
      </c>
      <c r="E13" s="1" t="str">
        <f>IFERROR(__xludf.DUMMYFUNCTION("""COMPUTED_VALUE"""),"c6aff753")</f>
        <v>c6aff753</v>
      </c>
      <c r="F13" s="1"/>
    </row>
    <row r="14">
      <c r="A14" s="1" t="str">
        <f>IFERROR(__xludf.DUMMYFUNCTION("""COMPUTED_VALUE"""),"0545c094")</f>
        <v>0545c094</v>
      </c>
      <c r="B14" s="1" t="str">
        <f>IFERROR(__xludf.DUMMYFUNCTION("""COMPUTED_VALUE"""),"0086")</f>
        <v>0086</v>
      </c>
      <c r="C14" s="32">
        <f>IFERROR(__xludf.DUMMYFUNCTION("""COMPUTED_VALUE"""),46055.476493055554)</f>
        <v>46055.47649</v>
      </c>
      <c r="D14" s="1">
        <f>IFERROR(__xludf.DUMMYFUNCTION("""COMPUTED_VALUE"""),100.0)</f>
        <v>100</v>
      </c>
      <c r="E14" s="1" t="str">
        <f>IFERROR(__xludf.DUMMYFUNCTION("""COMPUTED_VALUE"""),"31ff09fe")</f>
        <v>31ff09fe</v>
      </c>
      <c r="F14" s="1"/>
    </row>
    <row r="15">
      <c r="A15" s="1" t="str">
        <f>IFERROR(__xludf.DUMMYFUNCTION("""COMPUTED_VALUE"""),"db21cf1f")</f>
        <v>db21cf1f</v>
      </c>
      <c r="B15" s="1" t="str">
        <f>IFERROR(__xludf.DUMMYFUNCTION("""COMPUTED_VALUE"""),"f2959682")</f>
        <v>f2959682</v>
      </c>
      <c r="C15" s="32">
        <f>IFERROR(__xludf.DUMMYFUNCTION("""COMPUTED_VALUE"""),46055.47699074074)</f>
        <v>46055.47699</v>
      </c>
      <c r="D15" s="1">
        <f>IFERROR(__xludf.DUMMYFUNCTION("""COMPUTED_VALUE"""),1.0)</f>
        <v>1</v>
      </c>
      <c r="E15" s="1" t="str">
        <f>IFERROR(__xludf.DUMMYFUNCTION("""COMPUTED_VALUE"""),"e7b42511")</f>
        <v>e7b42511</v>
      </c>
      <c r="F15" s="1"/>
    </row>
    <row r="16">
      <c r="A16" s="1" t="str">
        <f>IFERROR(__xludf.DUMMYFUNCTION("""COMPUTED_VALUE"""),"42edc66b")</f>
        <v>42edc66b</v>
      </c>
      <c r="B16" s="1" t="str">
        <f>IFERROR(__xludf.DUMMYFUNCTION("""COMPUTED_VALUE"""),"0086")</f>
        <v>0086</v>
      </c>
      <c r="C16" s="32">
        <f>IFERROR(__xludf.DUMMYFUNCTION("""COMPUTED_VALUE"""),46055.481099537035)</f>
        <v>46055.4811</v>
      </c>
      <c r="D16" s="1">
        <f>IFERROR(__xludf.DUMMYFUNCTION("""COMPUTED_VALUE"""),70.0)</f>
        <v>70</v>
      </c>
      <c r="E16" s="1" t="str">
        <f>IFERROR(__xludf.DUMMYFUNCTION("""COMPUTED_VALUE"""),"8a70271d")</f>
        <v>8a70271d</v>
      </c>
      <c r="F16" s="1"/>
    </row>
    <row r="17">
      <c r="A17" s="1" t="str">
        <f>IFERROR(__xludf.DUMMYFUNCTION("""COMPUTED_VALUE"""),"765458b7")</f>
        <v>765458b7</v>
      </c>
      <c r="B17" s="1" t="str">
        <f>IFERROR(__xludf.DUMMYFUNCTION("""COMPUTED_VALUE"""),"f2959682")</f>
        <v>f2959682</v>
      </c>
      <c r="C17" s="32">
        <f>IFERROR(__xludf.DUMMYFUNCTION("""COMPUTED_VALUE"""),46056.7409837963)</f>
        <v>46056.74098</v>
      </c>
      <c r="D17" s="1">
        <f>IFERROR(__xludf.DUMMYFUNCTION("""COMPUTED_VALUE"""),1.0)</f>
        <v>1</v>
      </c>
      <c r="E17" s="1" t="str">
        <f>IFERROR(__xludf.DUMMYFUNCTION("""COMPUTED_VALUE"""),"a5df8846")</f>
        <v>a5df8846</v>
      </c>
      <c r="F17" s="1"/>
    </row>
    <row r="18">
      <c r="A18" s="1" t="str">
        <f>IFERROR(__xludf.DUMMYFUNCTION("""COMPUTED_VALUE"""),"05b29cf4")</f>
        <v>05b29cf4</v>
      </c>
      <c r="B18" s="1" t="str">
        <f>IFERROR(__xludf.DUMMYFUNCTION("""COMPUTED_VALUE"""),"f2959682")</f>
        <v>f2959682</v>
      </c>
      <c r="C18" s="32">
        <f>IFERROR(__xludf.DUMMYFUNCTION("""COMPUTED_VALUE"""),46056.75356481481)</f>
        <v>46056.75356</v>
      </c>
      <c r="D18" s="1">
        <f>IFERROR(__xludf.DUMMYFUNCTION("""COMPUTED_VALUE"""),0.0)</f>
        <v>0</v>
      </c>
      <c r="E18" s="1" t="str">
        <f>IFERROR(__xludf.DUMMYFUNCTION("""COMPUTED_VALUE"""),"8c868700")</f>
        <v>8c868700</v>
      </c>
      <c r="F18" s="1"/>
    </row>
    <row r="19">
      <c r="A19" s="1" t="str">
        <f>IFERROR(__xludf.DUMMYFUNCTION("""COMPUTED_VALUE"""),"b6055385")</f>
        <v>b6055385</v>
      </c>
      <c r="B19" s="1" t="str">
        <f>IFERROR(__xludf.DUMMYFUNCTION("""COMPUTED_VALUE"""),"0001")</f>
        <v>0001</v>
      </c>
      <c r="C19" s="32">
        <f>IFERROR(__xludf.DUMMYFUNCTION("""COMPUTED_VALUE"""),46061.63375)</f>
        <v>46061.63375</v>
      </c>
      <c r="D19" s="1">
        <f>IFERROR(__xludf.DUMMYFUNCTION("""COMPUTED_VALUE"""),45.0)</f>
        <v>45</v>
      </c>
      <c r="E19" s="1"/>
      <c r="F19" s="1"/>
    </row>
    <row r="20">
      <c r="A20" s="1" t="str">
        <f>IFERROR(__xludf.DUMMYFUNCTION("""COMPUTED_VALUE"""),"42fc3374")</f>
        <v>42fc3374</v>
      </c>
      <c r="B20" s="1" t="str">
        <f>IFERROR(__xludf.DUMMYFUNCTION("""COMPUTED_VALUE"""),"12b96290")</f>
        <v>12b96290</v>
      </c>
      <c r="C20" s="32">
        <f>IFERROR(__xludf.DUMMYFUNCTION("""COMPUTED_VALUE"""),46061.63386574074)</f>
        <v>46061.63387</v>
      </c>
      <c r="D20" s="1">
        <f>IFERROR(__xludf.DUMMYFUNCTION("""COMPUTED_VALUE"""),4.0)</f>
        <v>4</v>
      </c>
      <c r="E20" s="1"/>
      <c r="F20" s="1"/>
    </row>
    <row r="21">
      <c r="A21" s="1" t="str">
        <f>IFERROR(__xludf.DUMMYFUNCTION("""COMPUTED_VALUE"""),"6afc4cec")</f>
        <v>6afc4cec</v>
      </c>
      <c r="B21" s="1" t="str">
        <f>IFERROR(__xludf.DUMMYFUNCTION("""COMPUTED_VALUE"""),"0015")</f>
        <v>0015</v>
      </c>
      <c r="C21" s="32">
        <f>IFERROR(__xludf.DUMMYFUNCTION("""COMPUTED_VALUE"""),46061.63553240741)</f>
        <v>46061.63553</v>
      </c>
      <c r="D21" s="1">
        <f>IFERROR(__xludf.DUMMYFUNCTION("""COMPUTED_VALUE"""),53.0)</f>
        <v>53</v>
      </c>
      <c r="E21" s="1"/>
      <c r="F21" s="1"/>
    </row>
    <row r="22">
      <c r="A22" s="1" t="str">
        <f>IFERROR(__xludf.DUMMYFUNCTION("""COMPUTED_VALUE"""),"b18bb8b0")</f>
        <v>b18bb8b0</v>
      </c>
      <c r="B22" s="1" t="str">
        <f>IFERROR(__xludf.DUMMYFUNCTION("""COMPUTED_VALUE"""),"0029")</f>
        <v>0029</v>
      </c>
      <c r="C22" s="32">
        <f>IFERROR(__xludf.DUMMYFUNCTION("""COMPUTED_VALUE"""),46061.63590277778)</f>
        <v>46061.6359</v>
      </c>
      <c r="D22" s="1">
        <f>IFERROR(__xludf.DUMMYFUNCTION("""COMPUTED_VALUE"""),24.0)</f>
        <v>24</v>
      </c>
      <c r="E22" s="1"/>
      <c r="F22" s="1"/>
    </row>
    <row r="23">
      <c r="A23" s="1" t="str">
        <f>IFERROR(__xludf.DUMMYFUNCTION("""COMPUTED_VALUE"""),"bbd6236a")</f>
        <v>bbd6236a</v>
      </c>
      <c r="B23" s="1" t="str">
        <f>IFERROR(__xludf.DUMMYFUNCTION("""COMPUTED_VALUE"""),"0029")</f>
        <v>0029</v>
      </c>
      <c r="C23" s="32">
        <f>IFERROR(__xludf.DUMMYFUNCTION("""COMPUTED_VALUE"""),46061.63600694444)</f>
        <v>46061.63601</v>
      </c>
      <c r="D23" s="1">
        <f>IFERROR(__xludf.DUMMYFUNCTION("""COMPUTED_VALUE"""),24.0)</f>
        <v>24</v>
      </c>
      <c r="E23" s="1"/>
      <c r="F23" s="1"/>
    </row>
    <row r="24">
      <c r="A24" s="1" t="str">
        <f>IFERROR(__xludf.DUMMYFUNCTION("""COMPUTED_VALUE"""),"843fa583")</f>
        <v>843fa583</v>
      </c>
      <c r="B24" s="1" t="str">
        <f>IFERROR(__xludf.DUMMYFUNCTION("""COMPUTED_VALUE"""),"0029")</f>
        <v>0029</v>
      </c>
      <c r="C24" s="32">
        <f>IFERROR(__xludf.DUMMYFUNCTION("""COMPUTED_VALUE"""),46061.6362037037)</f>
        <v>46061.6362</v>
      </c>
      <c r="D24" s="1">
        <f>IFERROR(__xludf.DUMMYFUNCTION("""COMPUTED_VALUE"""),3.0)</f>
        <v>3</v>
      </c>
      <c r="E24" s="1"/>
      <c r="F24" s="1"/>
    </row>
    <row r="25">
      <c r="A25" s="1" t="str">
        <f>IFERROR(__xludf.DUMMYFUNCTION("""COMPUTED_VALUE"""),"85b1096b")</f>
        <v>85b1096b</v>
      </c>
      <c r="B25" s="1" t="str">
        <f>IFERROR(__xludf.DUMMYFUNCTION("""COMPUTED_VALUE"""),"0054")</f>
        <v>0054</v>
      </c>
      <c r="C25" s="32">
        <f>IFERROR(__xludf.DUMMYFUNCTION("""COMPUTED_VALUE"""),46061.636655092596)</f>
        <v>46061.63666</v>
      </c>
      <c r="D25" s="1">
        <f>IFERROR(__xludf.DUMMYFUNCTION("""COMPUTED_VALUE"""),17.0)</f>
        <v>17</v>
      </c>
      <c r="E25" s="1"/>
      <c r="F25" s="1"/>
    </row>
    <row r="26">
      <c r="A26" s="1" t="str">
        <f>IFERROR(__xludf.DUMMYFUNCTION("""COMPUTED_VALUE"""),"7a0084b3")</f>
        <v>7a0084b3</v>
      </c>
      <c r="B26" s="1" t="str">
        <f>IFERROR(__xludf.DUMMYFUNCTION("""COMPUTED_VALUE"""),"a3f74383")</f>
        <v>a3f74383</v>
      </c>
      <c r="C26" s="32">
        <f>IFERROR(__xludf.DUMMYFUNCTION("""COMPUTED_VALUE"""),46061.637453703705)</f>
        <v>46061.63745</v>
      </c>
      <c r="D26" s="1">
        <f>IFERROR(__xludf.DUMMYFUNCTION("""COMPUTED_VALUE"""),18.0)</f>
        <v>18</v>
      </c>
      <c r="E26" s="1"/>
      <c r="F26" s="1"/>
    </row>
    <row r="27">
      <c r="A27" s="1" t="str">
        <f>IFERROR(__xludf.DUMMYFUNCTION("""COMPUTED_VALUE"""),"dcf5f141")</f>
        <v>dcf5f141</v>
      </c>
      <c r="B27" s="1" t="str">
        <f>IFERROR(__xludf.DUMMYFUNCTION("""COMPUTED_VALUE"""),"a3f74383")</f>
        <v>a3f74383</v>
      </c>
      <c r="C27" s="32">
        <f>IFERROR(__xludf.DUMMYFUNCTION("""COMPUTED_VALUE"""),46061.63774305556)</f>
        <v>46061.63774</v>
      </c>
      <c r="D27" s="1">
        <f>IFERROR(__xludf.DUMMYFUNCTION("""COMPUTED_VALUE"""),24.0)</f>
        <v>24</v>
      </c>
      <c r="E27" s="1"/>
      <c r="F27" s="1"/>
    </row>
    <row r="28">
      <c r="A28" s="1" t="str">
        <f>IFERROR(__xludf.DUMMYFUNCTION("""COMPUTED_VALUE"""),"8174d233")</f>
        <v>8174d233</v>
      </c>
      <c r="B28" s="1" t="str">
        <f>IFERROR(__xludf.DUMMYFUNCTION("""COMPUTED_VALUE"""),"0044")</f>
        <v>0044</v>
      </c>
      <c r="C28" s="32">
        <f>IFERROR(__xludf.DUMMYFUNCTION("""COMPUTED_VALUE"""),46061.63805555556)</f>
        <v>46061.63806</v>
      </c>
      <c r="D28" s="1">
        <f>IFERROR(__xludf.DUMMYFUNCTION("""COMPUTED_VALUE"""),4.0)</f>
        <v>4</v>
      </c>
      <c r="E28" s="1"/>
      <c r="F28" s="1"/>
    </row>
    <row r="29">
      <c r="A29" s="1" t="str">
        <f>IFERROR(__xludf.DUMMYFUNCTION("""COMPUTED_VALUE"""),"4a7286f4")</f>
        <v>4a7286f4</v>
      </c>
      <c r="B29" s="1" t="str">
        <f>IFERROR(__xludf.DUMMYFUNCTION("""COMPUTED_VALUE"""),"78233e6f")</f>
        <v>78233e6f</v>
      </c>
      <c r="C29" s="32">
        <f>IFERROR(__xludf.DUMMYFUNCTION("""COMPUTED_VALUE"""),46061.63979166667)</f>
        <v>46061.63979</v>
      </c>
      <c r="D29" s="1">
        <f>IFERROR(__xludf.DUMMYFUNCTION("""COMPUTED_VALUE"""),30.0)</f>
        <v>30</v>
      </c>
      <c r="E29" s="1"/>
      <c r="F29" s="1"/>
    </row>
    <row r="30">
      <c r="A30" s="1" t="str">
        <f>IFERROR(__xludf.DUMMYFUNCTION("""COMPUTED_VALUE"""),"7db5cceb")</f>
        <v>7db5cceb</v>
      </c>
      <c r="B30" s="1" t="str">
        <f>IFERROR(__xludf.DUMMYFUNCTION("""COMPUTED_VALUE"""),"0023")</f>
        <v>0023</v>
      </c>
      <c r="C30" s="32">
        <f>IFERROR(__xludf.DUMMYFUNCTION("""COMPUTED_VALUE"""),46061.640439814815)</f>
        <v>46061.64044</v>
      </c>
      <c r="D30" s="1">
        <f>IFERROR(__xludf.DUMMYFUNCTION("""COMPUTED_VALUE"""),12.0)</f>
        <v>12</v>
      </c>
      <c r="E30" s="1"/>
      <c r="F30" s="1"/>
    </row>
    <row r="31">
      <c r="A31" s="1" t="str">
        <f>IFERROR(__xludf.DUMMYFUNCTION("""COMPUTED_VALUE"""),"d3bfee7f")</f>
        <v>d3bfee7f</v>
      </c>
      <c r="B31" s="1" t="str">
        <f>IFERROR(__xludf.DUMMYFUNCTION("""COMPUTED_VALUE"""),"0015")</f>
        <v>0015</v>
      </c>
      <c r="C31" s="32">
        <f>IFERROR(__xludf.DUMMYFUNCTION("""COMPUTED_VALUE"""),46061.64475694444)</f>
        <v>46061.64476</v>
      </c>
      <c r="D31" s="1">
        <f>IFERROR(__xludf.DUMMYFUNCTION("""COMPUTED_VALUE"""),5.0)</f>
        <v>5</v>
      </c>
      <c r="E31" s="1"/>
      <c r="F31" s="1"/>
    </row>
    <row r="32">
      <c r="A32" s="1" t="str">
        <f>IFERROR(__xludf.DUMMYFUNCTION("""COMPUTED_VALUE"""),"a6636d75")</f>
        <v>a6636d75</v>
      </c>
      <c r="B32" s="1" t="str">
        <f>IFERROR(__xludf.DUMMYFUNCTION("""COMPUTED_VALUE"""),"0011")</f>
        <v>0011</v>
      </c>
      <c r="C32" s="32">
        <f>IFERROR(__xludf.DUMMYFUNCTION("""COMPUTED_VALUE"""),46061.6459375)</f>
        <v>46061.64594</v>
      </c>
      <c r="D32" s="1">
        <f>IFERROR(__xludf.DUMMYFUNCTION("""COMPUTED_VALUE"""),141.0)</f>
        <v>141</v>
      </c>
      <c r="E32" s="1"/>
      <c r="F32" s="1"/>
    </row>
    <row r="33">
      <c r="A33" s="1" t="str">
        <f>IFERROR(__xludf.DUMMYFUNCTION("""COMPUTED_VALUE"""),"f2fc3485")</f>
        <v>f2fc3485</v>
      </c>
      <c r="B33" s="1" t="str">
        <f>IFERROR(__xludf.DUMMYFUNCTION("""COMPUTED_VALUE"""),"364fe321")</f>
        <v>364fe321</v>
      </c>
      <c r="C33" s="32">
        <f>IFERROR(__xludf.DUMMYFUNCTION("""COMPUTED_VALUE"""),46061.64619212963)</f>
        <v>46061.64619</v>
      </c>
      <c r="D33" s="1">
        <f>IFERROR(__xludf.DUMMYFUNCTION("""COMPUTED_VALUE"""),40.0)</f>
        <v>40</v>
      </c>
      <c r="E33" s="1"/>
      <c r="F33" s="1"/>
    </row>
    <row r="34">
      <c r="A34" s="1" t="str">
        <f>IFERROR(__xludf.DUMMYFUNCTION("""COMPUTED_VALUE"""),"24f3dc13")</f>
        <v>24f3dc13</v>
      </c>
      <c r="B34" s="1" t="str">
        <f>IFERROR(__xludf.DUMMYFUNCTION("""COMPUTED_VALUE"""),"ed187a9e")</f>
        <v>ed187a9e</v>
      </c>
      <c r="C34" s="32">
        <f>IFERROR(__xludf.DUMMYFUNCTION("""COMPUTED_VALUE"""),46061.6515162037)</f>
        <v>46061.65152</v>
      </c>
      <c r="D34" s="1">
        <f>IFERROR(__xludf.DUMMYFUNCTION("""COMPUTED_VALUE"""),14.0)</f>
        <v>14</v>
      </c>
      <c r="E34" s="1"/>
      <c r="F34" s="1"/>
    </row>
    <row r="35">
      <c r="A35" s="1" t="str">
        <f>IFERROR(__xludf.DUMMYFUNCTION("""COMPUTED_VALUE"""),"588e71d2")</f>
        <v>588e71d2</v>
      </c>
      <c r="B35" s="1" t="str">
        <f>IFERROR(__xludf.DUMMYFUNCTION("""COMPUTED_VALUE"""),"bfd1b639")</f>
        <v>bfd1b639</v>
      </c>
      <c r="C35" s="32">
        <f>IFERROR(__xludf.DUMMYFUNCTION("""COMPUTED_VALUE"""),46061.652025462965)</f>
        <v>46061.65203</v>
      </c>
      <c r="D35" s="1">
        <f>IFERROR(__xludf.DUMMYFUNCTION("""COMPUTED_VALUE"""),18.0)</f>
        <v>18</v>
      </c>
      <c r="E35" s="1"/>
      <c r="F35" s="1"/>
    </row>
    <row r="36">
      <c r="A36" s="1" t="str">
        <f>IFERROR(__xludf.DUMMYFUNCTION("""COMPUTED_VALUE"""),"1f961ff5")</f>
        <v>1f961ff5</v>
      </c>
      <c r="B36" s="1" t="str">
        <f>IFERROR(__xludf.DUMMYFUNCTION("""COMPUTED_VALUE"""),"0011")</f>
        <v>0011</v>
      </c>
      <c r="C36" s="32">
        <f>IFERROR(__xludf.DUMMYFUNCTION("""COMPUTED_VALUE"""),46061.652141203704)</f>
        <v>46061.65214</v>
      </c>
      <c r="D36" s="1">
        <f>IFERROR(__xludf.DUMMYFUNCTION("""COMPUTED_VALUE"""),109.0)</f>
        <v>109</v>
      </c>
      <c r="E36" s="1"/>
      <c r="F36" s="1"/>
    </row>
    <row r="37">
      <c r="A37" s="1" t="str">
        <f>IFERROR(__xludf.DUMMYFUNCTION("""COMPUTED_VALUE"""),"c4baf50e")</f>
        <v>c4baf50e</v>
      </c>
      <c r="B37" s="1" t="str">
        <f>IFERROR(__xludf.DUMMYFUNCTION("""COMPUTED_VALUE"""),"0011")</f>
        <v>0011</v>
      </c>
      <c r="C37" s="32">
        <f>IFERROR(__xludf.DUMMYFUNCTION("""COMPUTED_VALUE"""),46061.65262731481)</f>
        <v>46061.65263</v>
      </c>
      <c r="D37" s="1">
        <f>IFERROR(__xludf.DUMMYFUNCTION("""COMPUTED_VALUE"""),-141.0)</f>
        <v>-141</v>
      </c>
      <c r="E37" s="1"/>
      <c r="F37" s="1"/>
    </row>
    <row r="38">
      <c r="A38" s="1" t="str">
        <f>IFERROR(__xludf.DUMMYFUNCTION("""COMPUTED_VALUE"""),"bb09feb3")</f>
        <v>bb09feb3</v>
      </c>
      <c r="B38" s="1" t="str">
        <f>IFERROR(__xludf.DUMMYFUNCTION("""COMPUTED_VALUE"""),"364fe321")</f>
        <v>364fe321</v>
      </c>
      <c r="C38" s="32">
        <f>IFERROR(__xludf.DUMMYFUNCTION("""COMPUTED_VALUE"""),46061.65310185185)</f>
        <v>46061.6531</v>
      </c>
      <c r="D38" s="1">
        <f>IFERROR(__xludf.DUMMYFUNCTION("""COMPUTED_VALUE"""),-40.0)</f>
        <v>-40</v>
      </c>
      <c r="E38" s="1"/>
      <c r="F38" s="1"/>
    </row>
    <row r="39">
      <c r="A39" s="1" t="str">
        <f>IFERROR(__xludf.DUMMYFUNCTION("""COMPUTED_VALUE"""),"1e6cac36")</f>
        <v>1e6cac36</v>
      </c>
      <c r="B39" s="1" t="str">
        <f>IFERROR(__xludf.DUMMYFUNCTION("""COMPUTED_VALUE"""),"364fe321")</f>
        <v>364fe321</v>
      </c>
      <c r="C39" s="32">
        <f>IFERROR(__xludf.DUMMYFUNCTION("""COMPUTED_VALUE"""),46061.653275462966)</f>
        <v>46061.65328</v>
      </c>
      <c r="D39" s="1">
        <f>IFERROR(__xludf.DUMMYFUNCTION("""COMPUTED_VALUE"""),24.0)</f>
        <v>24</v>
      </c>
      <c r="E39" s="1"/>
      <c r="F39" s="1"/>
    </row>
    <row r="40">
      <c r="A40" s="1" t="str">
        <f>IFERROR(__xludf.DUMMYFUNCTION("""COMPUTED_VALUE"""),"4bad21a8")</f>
        <v>4bad21a8</v>
      </c>
      <c r="B40" s="1" t="str">
        <f>IFERROR(__xludf.DUMMYFUNCTION("""COMPUTED_VALUE"""),"b112660a")</f>
        <v>b112660a</v>
      </c>
      <c r="C40" s="32">
        <f>IFERROR(__xludf.DUMMYFUNCTION("""COMPUTED_VALUE"""),46061.65412037037)</f>
        <v>46061.65412</v>
      </c>
      <c r="D40" s="1">
        <f>IFERROR(__xludf.DUMMYFUNCTION("""COMPUTED_VALUE"""),16.0)</f>
        <v>16</v>
      </c>
      <c r="E40" s="1"/>
      <c r="F40" s="1"/>
    </row>
    <row r="41">
      <c r="A41" s="1" t="str">
        <f>IFERROR(__xludf.DUMMYFUNCTION("""COMPUTED_VALUE"""),"771db0b1")</f>
        <v>771db0b1</v>
      </c>
      <c r="B41" s="1" t="str">
        <f>IFERROR(__xludf.DUMMYFUNCTION("""COMPUTED_VALUE"""),"0005")</f>
        <v>0005</v>
      </c>
      <c r="C41" s="32">
        <f>IFERROR(__xludf.DUMMYFUNCTION("""COMPUTED_VALUE"""),46061.65521990741)</f>
        <v>46061.65522</v>
      </c>
      <c r="D41" s="1">
        <f>IFERROR(__xludf.DUMMYFUNCTION("""COMPUTED_VALUE"""),35.0)</f>
        <v>35</v>
      </c>
      <c r="E41" s="1"/>
      <c r="F41" s="1"/>
    </row>
    <row r="42">
      <c r="A42" s="1" t="str">
        <f>IFERROR(__xludf.DUMMYFUNCTION("""COMPUTED_VALUE"""),"bc4fa413")</f>
        <v>bc4fa413</v>
      </c>
      <c r="B42" s="1" t="str">
        <f>IFERROR(__xludf.DUMMYFUNCTION("""COMPUTED_VALUE"""),"649eaeb5")</f>
        <v>649eaeb5</v>
      </c>
      <c r="C42" s="32">
        <f>IFERROR(__xludf.DUMMYFUNCTION("""COMPUTED_VALUE"""),46061.656122685185)</f>
        <v>46061.65612</v>
      </c>
      <c r="D42" s="1">
        <f>IFERROR(__xludf.DUMMYFUNCTION("""COMPUTED_VALUE"""),34.0)</f>
        <v>34</v>
      </c>
      <c r="E42" s="1"/>
      <c r="F42" s="1"/>
    </row>
    <row r="43">
      <c r="A43" s="1" t="str">
        <f>IFERROR(__xludf.DUMMYFUNCTION("""COMPUTED_VALUE"""),"5c0b42b1")</f>
        <v>5c0b42b1</v>
      </c>
      <c r="B43" s="1" t="str">
        <f>IFERROR(__xludf.DUMMYFUNCTION("""COMPUTED_VALUE"""),"f38e69c5")</f>
        <v>f38e69c5</v>
      </c>
      <c r="C43" s="32">
        <f>IFERROR(__xludf.DUMMYFUNCTION("""COMPUTED_VALUE"""),46061.656539351854)</f>
        <v>46061.65654</v>
      </c>
      <c r="D43" s="1">
        <f>IFERROR(__xludf.DUMMYFUNCTION("""COMPUTED_VALUE"""),12.0)</f>
        <v>12</v>
      </c>
      <c r="E43" s="1"/>
      <c r="F43" s="1"/>
    </row>
    <row r="44">
      <c r="A44" s="1" t="str">
        <f>IFERROR(__xludf.DUMMYFUNCTION("""COMPUTED_VALUE"""),"604d9434")</f>
        <v>604d9434</v>
      </c>
      <c r="B44" s="1" t="str">
        <f>IFERROR(__xludf.DUMMYFUNCTION("""COMPUTED_VALUE"""),"0049")</f>
        <v>0049</v>
      </c>
      <c r="C44" s="32">
        <f>IFERROR(__xludf.DUMMYFUNCTION("""COMPUTED_VALUE"""),46061.65725694445)</f>
        <v>46061.65726</v>
      </c>
      <c r="D44" s="1">
        <f>IFERROR(__xludf.DUMMYFUNCTION("""COMPUTED_VALUE"""),89.0)</f>
        <v>89</v>
      </c>
      <c r="E44" s="1"/>
      <c r="F44" s="1"/>
    </row>
    <row r="45">
      <c r="A45" s="1" t="str">
        <f>IFERROR(__xludf.DUMMYFUNCTION("""COMPUTED_VALUE"""),"515eb569")</f>
        <v>515eb569</v>
      </c>
      <c r="B45" s="1" t="str">
        <f>IFERROR(__xludf.DUMMYFUNCTION("""COMPUTED_VALUE"""),"69692785")</f>
        <v>69692785</v>
      </c>
      <c r="C45" s="32">
        <f>IFERROR(__xludf.DUMMYFUNCTION("""COMPUTED_VALUE"""),46061.65841435185)</f>
        <v>46061.65841</v>
      </c>
      <c r="D45" s="1">
        <f>IFERROR(__xludf.DUMMYFUNCTION("""COMPUTED_VALUE"""),2.0)</f>
        <v>2</v>
      </c>
      <c r="E45" s="1"/>
      <c r="F45" s="1"/>
    </row>
    <row r="46">
      <c r="A46" s="1" t="str">
        <f>IFERROR(__xludf.DUMMYFUNCTION("""COMPUTED_VALUE"""),"bd540a24")</f>
        <v>bd540a24</v>
      </c>
      <c r="B46" s="1" t="str">
        <f>IFERROR(__xludf.DUMMYFUNCTION("""COMPUTED_VALUE"""),"f3465619")</f>
        <v>f3465619</v>
      </c>
      <c r="C46" s="32">
        <f>IFERROR(__xludf.DUMMYFUNCTION("""COMPUTED_VALUE"""),46061.658530092594)</f>
        <v>46061.65853</v>
      </c>
      <c r="D46" s="1">
        <f>IFERROR(__xludf.DUMMYFUNCTION("""COMPUTED_VALUE"""),1.0)</f>
        <v>1</v>
      </c>
      <c r="E46" s="1"/>
      <c r="F46" s="1"/>
    </row>
    <row r="47">
      <c r="A47" s="1" t="str">
        <f>IFERROR(__xludf.DUMMYFUNCTION("""COMPUTED_VALUE"""),"a6121aab")</f>
        <v>a6121aab</v>
      </c>
      <c r="B47" s="1" t="str">
        <f>IFERROR(__xludf.DUMMYFUNCTION("""COMPUTED_VALUE"""),"2a5b5163")</f>
        <v>2a5b5163</v>
      </c>
      <c r="C47" s="32">
        <f>IFERROR(__xludf.DUMMYFUNCTION("""COMPUTED_VALUE"""),46061.658680555556)</f>
        <v>46061.65868</v>
      </c>
      <c r="D47" s="1">
        <f>IFERROR(__xludf.DUMMYFUNCTION("""COMPUTED_VALUE"""),24.0)</f>
        <v>24</v>
      </c>
      <c r="E47" s="1"/>
      <c r="F47" s="1"/>
    </row>
    <row r="48">
      <c r="A48" s="1" t="str">
        <f>IFERROR(__xludf.DUMMYFUNCTION("""COMPUTED_VALUE"""),"24a2cd9e")</f>
        <v>24a2cd9e</v>
      </c>
      <c r="B48" s="1" t="str">
        <f>IFERROR(__xludf.DUMMYFUNCTION("""COMPUTED_VALUE"""),"0015")</f>
        <v>0015</v>
      </c>
      <c r="C48" s="32">
        <f>IFERROR(__xludf.DUMMYFUNCTION("""COMPUTED_VALUE"""),46061.65907407407)</f>
        <v>46061.65907</v>
      </c>
      <c r="D48" s="1">
        <f>IFERROR(__xludf.DUMMYFUNCTION("""COMPUTED_VALUE"""),-5.0)</f>
        <v>-5</v>
      </c>
      <c r="E48" s="1"/>
      <c r="F48" s="1"/>
    </row>
    <row r="49">
      <c r="A49" s="1" t="str">
        <f>IFERROR(__xludf.DUMMYFUNCTION("""COMPUTED_VALUE"""),"4b3dc21d")</f>
        <v>4b3dc21d</v>
      </c>
      <c r="B49" s="1" t="str">
        <f>IFERROR(__xludf.DUMMYFUNCTION("""COMPUTED_VALUE"""),"3e9fa8d9")</f>
        <v>3e9fa8d9</v>
      </c>
      <c r="C49" s="32">
        <f>IFERROR(__xludf.DUMMYFUNCTION("""COMPUTED_VALUE"""),46061.661203703705)</f>
        <v>46061.6612</v>
      </c>
      <c r="D49" s="1">
        <f>IFERROR(__xludf.DUMMYFUNCTION("""COMPUTED_VALUE"""),7.0)</f>
        <v>7</v>
      </c>
      <c r="E49" s="1"/>
      <c r="F49" s="1"/>
    </row>
    <row r="50">
      <c r="A50" s="1" t="str">
        <f>IFERROR(__xludf.DUMMYFUNCTION("""COMPUTED_VALUE"""),"7d3d7dbf")</f>
        <v>7d3d7dbf</v>
      </c>
      <c r="B50" s="1" t="str">
        <f>IFERROR(__xludf.DUMMYFUNCTION("""COMPUTED_VALUE"""),"0064")</f>
        <v>0064</v>
      </c>
      <c r="C50" s="32">
        <f>IFERROR(__xludf.DUMMYFUNCTION("""COMPUTED_VALUE"""),46061.661469907405)</f>
        <v>46061.66147</v>
      </c>
      <c r="D50" s="1">
        <f>IFERROR(__xludf.DUMMYFUNCTION("""COMPUTED_VALUE"""),1.0)</f>
        <v>1</v>
      </c>
      <c r="E50" s="1"/>
      <c r="F50" s="1"/>
    </row>
    <row r="51">
      <c r="A51" s="1" t="str">
        <f>IFERROR(__xludf.DUMMYFUNCTION("""COMPUTED_VALUE"""),"d1f23d0b")</f>
        <v>d1f23d0b</v>
      </c>
      <c r="B51" s="1" t="str">
        <f>IFERROR(__xludf.DUMMYFUNCTION("""COMPUTED_VALUE"""),"0064")</f>
        <v>0064</v>
      </c>
      <c r="C51" s="32">
        <f>IFERROR(__xludf.DUMMYFUNCTION("""COMPUTED_VALUE"""),46061.661724537036)</f>
        <v>46061.66172</v>
      </c>
      <c r="D51" s="1">
        <f>IFERROR(__xludf.DUMMYFUNCTION("""COMPUTED_VALUE"""),-1.0)</f>
        <v>-1</v>
      </c>
      <c r="E51" s="1"/>
      <c r="F51" s="1"/>
    </row>
    <row r="52">
      <c r="A52" s="1" t="str">
        <f>IFERROR(__xludf.DUMMYFUNCTION("""COMPUTED_VALUE"""),"f18d1be6")</f>
        <v>f18d1be6</v>
      </c>
      <c r="B52" s="1" t="str">
        <f>IFERROR(__xludf.DUMMYFUNCTION("""COMPUTED_VALUE"""),"0033")</f>
        <v>0033</v>
      </c>
      <c r="C52" s="32">
        <f>IFERROR(__xludf.DUMMYFUNCTION("""COMPUTED_VALUE"""),46061.666446759256)</f>
        <v>46061.66645</v>
      </c>
      <c r="D52" s="1">
        <f>IFERROR(__xludf.DUMMYFUNCTION("""COMPUTED_VALUE"""),70.0)</f>
        <v>70</v>
      </c>
      <c r="E52" s="1"/>
      <c r="F52" s="1"/>
    </row>
    <row r="53">
      <c r="A53" s="1" t="str">
        <f>IFERROR(__xludf.DUMMYFUNCTION("""COMPUTED_VALUE"""),"97cda473")</f>
        <v>97cda473</v>
      </c>
      <c r="B53" s="1" t="str">
        <f>IFERROR(__xludf.DUMMYFUNCTION("""COMPUTED_VALUE"""),"27febea6")</f>
        <v>27febea6</v>
      </c>
      <c r="C53" s="32">
        <f>IFERROR(__xludf.DUMMYFUNCTION("""COMPUTED_VALUE"""),46061.66847222222)</f>
        <v>46061.66847</v>
      </c>
      <c r="D53" s="1">
        <f>IFERROR(__xludf.DUMMYFUNCTION("""COMPUTED_VALUE"""),12.0)</f>
        <v>12</v>
      </c>
      <c r="E53" s="1"/>
      <c r="F53" s="1"/>
    </row>
    <row r="54">
      <c r="A54" s="1" t="str">
        <f>IFERROR(__xludf.DUMMYFUNCTION("""COMPUTED_VALUE"""),"312b006e")</f>
        <v>312b006e</v>
      </c>
      <c r="B54" s="1" t="str">
        <f>IFERROR(__xludf.DUMMYFUNCTION("""COMPUTED_VALUE"""),"0070")</f>
        <v>0070</v>
      </c>
      <c r="C54" s="32">
        <f>IFERROR(__xludf.DUMMYFUNCTION("""COMPUTED_VALUE"""),46061.668969907405)</f>
        <v>46061.66897</v>
      </c>
      <c r="D54" s="1">
        <f>IFERROR(__xludf.DUMMYFUNCTION("""COMPUTED_VALUE"""),12.0)</f>
        <v>12</v>
      </c>
      <c r="E54" s="1"/>
      <c r="F54" s="1"/>
    </row>
    <row r="55">
      <c r="A55" s="1" t="str">
        <f>IFERROR(__xludf.DUMMYFUNCTION("""COMPUTED_VALUE"""),"45f6bffb")</f>
        <v>45f6bffb</v>
      </c>
      <c r="B55" s="1" t="str">
        <f>IFERROR(__xludf.DUMMYFUNCTION("""COMPUTED_VALUE"""),"3945efc9")</f>
        <v>3945efc9</v>
      </c>
      <c r="C55" s="32">
        <f>IFERROR(__xludf.DUMMYFUNCTION("""COMPUTED_VALUE"""),46061.67052083334)</f>
        <v>46061.67052</v>
      </c>
      <c r="D55" s="1">
        <f>IFERROR(__xludf.DUMMYFUNCTION("""COMPUTED_VALUE"""),4.0)</f>
        <v>4</v>
      </c>
      <c r="E55" s="1"/>
      <c r="F55" s="1"/>
    </row>
    <row r="56">
      <c r="A56" s="1" t="str">
        <f>IFERROR(__xludf.DUMMYFUNCTION("""COMPUTED_VALUE"""),"f62073df")</f>
        <v>f62073df</v>
      </c>
      <c r="B56" s="1" t="str">
        <f>IFERROR(__xludf.DUMMYFUNCTION("""COMPUTED_VALUE"""),"9f3ec79c")</f>
        <v>9f3ec79c</v>
      </c>
      <c r="C56" s="32">
        <f>IFERROR(__xludf.DUMMYFUNCTION("""COMPUTED_VALUE"""),46061.67099537037)</f>
        <v>46061.671</v>
      </c>
      <c r="D56" s="1">
        <f>IFERROR(__xludf.DUMMYFUNCTION("""COMPUTED_VALUE"""),5.0)</f>
        <v>5</v>
      </c>
      <c r="E56" s="1"/>
      <c r="F56" s="1"/>
    </row>
    <row r="57">
      <c r="A57" s="1" t="str">
        <f>IFERROR(__xludf.DUMMYFUNCTION("""COMPUTED_VALUE"""),"254d5b01")</f>
        <v>254d5b01</v>
      </c>
      <c r="B57" s="1" t="str">
        <f>IFERROR(__xludf.DUMMYFUNCTION("""COMPUTED_VALUE"""),"492147d3")</f>
        <v>492147d3</v>
      </c>
      <c r="C57" s="32">
        <f>IFERROR(__xludf.DUMMYFUNCTION("""COMPUTED_VALUE"""),46061.67114583333)</f>
        <v>46061.67115</v>
      </c>
      <c r="D57" s="1">
        <f>IFERROR(__xludf.DUMMYFUNCTION("""COMPUTED_VALUE"""),12.0)</f>
        <v>12</v>
      </c>
      <c r="E57" s="1"/>
      <c r="F57" s="1"/>
    </row>
    <row r="58">
      <c r="A58" s="1" t="str">
        <f>IFERROR(__xludf.DUMMYFUNCTION("""COMPUTED_VALUE"""),"f68d947c")</f>
        <v>f68d947c</v>
      </c>
      <c r="B58" s="1" t="str">
        <f>IFERROR(__xludf.DUMMYFUNCTION("""COMPUTED_VALUE"""),"0006")</f>
        <v>0006</v>
      </c>
      <c r="C58" s="32">
        <f>IFERROR(__xludf.DUMMYFUNCTION("""COMPUTED_VALUE"""),46061.67123842592)</f>
        <v>46061.67124</v>
      </c>
      <c r="D58" s="1">
        <f>IFERROR(__xludf.DUMMYFUNCTION("""COMPUTED_VALUE"""),12.0)</f>
        <v>12</v>
      </c>
      <c r="E58" s="1"/>
      <c r="F58" s="1"/>
    </row>
    <row r="59">
      <c r="A59" s="1" t="str">
        <f>IFERROR(__xludf.DUMMYFUNCTION("""COMPUTED_VALUE"""),"38b4361d")</f>
        <v>38b4361d</v>
      </c>
      <c r="B59" s="1" t="str">
        <f>IFERROR(__xludf.DUMMYFUNCTION("""COMPUTED_VALUE"""),"c099f042")</f>
        <v>c099f042</v>
      </c>
      <c r="C59" s="32">
        <f>IFERROR(__xludf.DUMMYFUNCTION("""COMPUTED_VALUE"""),46061.673101851855)</f>
        <v>46061.6731</v>
      </c>
      <c r="D59" s="1">
        <f>IFERROR(__xludf.DUMMYFUNCTION("""COMPUTED_VALUE"""),1.0)</f>
        <v>1</v>
      </c>
      <c r="E59" s="1"/>
      <c r="F59" s="1"/>
    </row>
    <row r="60">
      <c r="A60" s="1" t="str">
        <f>IFERROR(__xludf.DUMMYFUNCTION("""COMPUTED_VALUE"""),"09f174ab")</f>
        <v>09f174ab</v>
      </c>
      <c r="B60" s="1" t="str">
        <f>IFERROR(__xludf.DUMMYFUNCTION("""COMPUTED_VALUE"""),"cd21eb57")</f>
        <v>cd21eb57</v>
      </c>
      <c r="C60" s="32">
        <f>IFERROR(__xludf.DUMMYFUNCTION("""COMPUTED_VALUE"""),46061.67380787037)</f>
        <v>46061.67381</v>
      </c>
      <c r="D60" s="1">
        <f>IFERROR(__xludf.DUMMYFUNCTION("""COMPUTED_VALUE"""),1.0)</f>
        <v>1</v>
      </c>
      <c r="E60" s="1"/>
      <c r="F60" s="1"/>
    </row>
    <row r="61">
      <c r="A61" s="1" t="str">
        <f>IFERROR(__xludf.DUMMYFUNCTION("""COMPUTED_VALUE"""),"c9864ed0")</f>
        <v>c9864ed0</v>
      </c>
      <c r="B61" s="1" t="str">
        <f>IFERROR(__xludf.DUMMYFUNCTION("""COMPUTED_VALUE"""),"e7e30487")</f>
        <v>e7e30487</v>
      </c>
      <c r="C61" s="32">
        <f>IFERROR(__xludf.DUMMYFUNCTION("""COMPUTED_VALUE"""),46061.67390046296)</f>
        <v>46061.6739</v>
      </c>
      <c r="D61" s="1">
        <f>IFERROR(__xludf.DUMMYFUNCTION("""COMPUTED_VALUE"""),-8.0)</f>
        <v>-8</v>
      </c>
      <c r="E61" s="1"/>
      <c r="F61" s="1"/>
    </row>
    <row r="62">
      <c r="A62" s="1" t="str">
        <f>IFERROR(__xludf.DUMMYFUNCTION("""COMPUTED_VALUE"""),"d5ef1776")</f>
        <v>d5ef1776</v>
      </c>
      <c r="B62" s="1" t="str">
        <f>IFERROR(__xludf.DUMMYFUNCTION("""COMPUTED_VALUE"""),"0006")</f>
        <v>0006</v>
      </c>
      <c r="C62" s="32">
        <f>IFERROR(__xludf.DUMMYFUNCTION("""COMPUTED_VALUE"""),46061.67403935185)</f>
        <v>46061.67404</v>
      </c>
      <c r="D62" s="1">
        <f>IFERROR(__xludf.DUMMYFUNCTION("""COMPUTED_VALUE"""),-15.0)</f>
        <v>-15</v>
      </c>
      <c r="E62" s="1"/>
      <c r="F62" s="1"/>
    </row>
    <row r="63">
      <c r="A63" s="1" t="str">
        <f>IFERROR(__xludf.DUMMYFUNCTION("""COMPUTED_VALUE"""),"90380702")</f>
        <v>90380702</v>
      </c>
      <c r="B63" s="1" t="str">
        <f>IFERROR(__xludf.DUMMYFUNCTION("""COMPUTED_VALUE"""),"b3204174")</f>
        <v>b3204174</v>
      </c>
      <c r="C63" s="32">
        <f>IFERROR(__xludf.DUMMYFUNCTION("""COMPUTED_VALUE"""),46061.67702546297)</f>
        <v>46061.67703</v>
      </c>
      <c r="D63" s="1">
        <f>IFERROR(__xludf.DUMMYFUNCTION("""COMPUTED_VALUE"""),41.0)</f>
        <v>41</v>
      </c>
      <c r="E63" s="1"/>
      <c r="F63" s="1"/>
    </row>
    <row r="64">
      <c r="A64" s="1" t="str">
        <f>IFERROR(__xludf.DUMMYFUNCTION("""COMPUTED_VALUE"""),"4c0b0ec0")</f>
        <v>4c0b0ec0</v>
      </c>
      <c r="B64" s="1" t="str">
        <f>IFERROR(__xludf.DUMMYFUNCTION("""COMPUTED_VALUE"""),"e28d366b")</f>
        <v>e28d366b</v>
      </c>
      <c r="C64" s="32">
        <f>IFERROR(__xludf.DUMMYFUNCTION("""COMPUTED_VALUE"""),46061.67841435185)</f>
        <v>46061.67841</v>
      </c>
      <c r="D64" s="1">
        <f>IFERROR(__xludf.DUMMYFUNCTION("""COMPUTED_VALUE"""),73.0)</f>
        <v>73</v>
      </c>
      <c r="E64" s="1"/>
      <c r="F64" s="1"/>
    </row>
    <row r="65">
      <c r="A65" s="1" t="str">
        <f>IFERROR(__xludf.DUMMYFUNCTION("""COMPUTED_VALUE"""),"e93a3996")</f>
        <v>e93a3996</v>
      </c>
      <c r="B65" s="1" t="str">
        <f>IFERROR(__xludf.DUMMYFUNCTION("""COMPUTED_VALUE"""),"bb6c2490")</f>
        <v>bb6c2490</v>
      </c>
      <c r="C65" s="32">
        <f>IFERROR(__xludf.DUMMYFUNCTION("""COMPUTED_VALUE"""),46061.68009259259)</f>
        <v>46061.68009</v>
      </c>
      <c r="D65" s="1">
        <f>IFERROR(__xludf.DUMMYFUNCTION("""COMPUTED_VALUE"""),72.0)</f>
        <v>72</v>
      </c>
      <c r="E65" s="1"/>
      <c r="F65" s="1"/>
    </row>
    <row r="66">
      <c r="A66" s="1" t="str">
        <f>IFERROR(__xludf.DUMMYFUNCTION("""COMPUTED_VALUE"""),"f23dea83")</f>
        <v>f23dea83</v>
      </c>
      <c r="B66" s="1" t="str">
        <f>IFERROR(__xludf.DUMMYFUNCTION("""COMPUTED_VALUE"""),"0038")</f>
        <v>0038</v>
      </c>
      <c r="C66" s="32">
        <f>IFERROR(__xludf.DUMMYFUNCTION("""COMPUTED_VALUE"""),46061.68125)</f>
        <v>46061.68125</v>
      </c>
      <c r="D66" s="1">
        <f>IFERROR(__xludf.DUMMYFUNCTION("""COMPUTED_VALUE"""),16.0)</f>
        <v>16</v>
      </c>
      <c r="E66" s="1"/>
      <c r="F66" s="1"/>
    </row>
    <row r="67">
      <c r="A67" s="1" t="str">
        <f>IFERROR(__xludf.DUMMYFUNCTION("""COMPUTED_VALUE"""),"71c5537e")</f>
        <v>71c5537e</v>
      </c>
      <c r="B67" s="1" t="str">
        <f>IFERROR(__xludf.DUMMYFUNCTION("""COMPUTED_VALUE"""),"360bd4d4")</f>
        <v>360bd4d4</v>
      </c>
      <c r="C67" s="32">
        <f>IFERROR(__xludf.DUMMYFUNCTION("""COMPUTED_VALUE"""),46061.68424768518)</f>
        <v>46061.68425</v>
      </c>
      <c r="D67" s="1">
        <f>IFERROR(__xludf.DUMMYFUNCTION("""COMPUTED_VALUE"""),13.0)</f>
        <v>13</v>
      </c>
      <c r="E67" s="1"/>
      <c r="F67" s="1"/>
    </row>
    <row r="68">
      <c r="A68" s="1" t="str">
        <f>IFERROR(__xludf.DUMMYFUNCTION("""COMPUTED_VALUE"""),"25b80b03")</f>
        <v>25b80b03</v>
      </c>
      <c r="B68" s="1" t="str">
        <f>IFERROR(__xludf.DUMMYFUNCTION("""COMPUTED_VALUE"""),"cf6c9481")</f>
        <v>cf6c9481</v>
      </c>
      <c r="C68" s="32">
        <f>IFERROR(__xludf.DUMMYFUNCTION("""COMPUTED_VALUE"""),46061.68451388889)</f>
        <v>46061.68451</v>
      </c>
      <c r="D68" s="1">
        <f>IFERROR(__xludf.DUMMYFUNCTION("""COMPUTED_VALUE"""),48.0)</f>
        <v>48</v>
      </c>
      <c r="E68" s="1"/>
      <c r="F68" s="1"/>
    </row>
    <row r="69">
      <c r="A69" s="1" t="str">
        <f>IFERROR(__xludf.DUMMYFUNCTION("""COMPUTED_VALUE"""),"59fbbb4c")</f>
        <v>59fbbb4c</v>
      </c>
      <c r="B69" s="1" t="str">
        <f>IFERROR(__xludf.DUMMYFUNCTION("""COMPUTED_VALUE"""),"0021")</f>
        <v>0021</v>
      </c>
      <c r="C69" s="32">
        <f>IFERROR(__xludf.DUMMYFUNCTION("""COMPUTED_VALUE"""),46061.68497685185)</f>
        <v>46061.68498</v>
      </c>
      <c r="D69" s="1">
        <f>IFERROR(__xludf.DUMMYFUNCTION("""COMPUTED_VALUE"""),-96.0)</f>
        <v>-96</v>
      </c>
      <c r="E69" s="1"/>
      <c r="F69" s="1"/>
    </row>
    <row r="70">
      <c r="A70" s="1" t="str">
        <f>IFERROR(__xludf.DUMMYFUNCTION("""COMPUTED_VALUE"""),"4fd283c3")</f>
        <v>4fd283c3</v>
      </c>
      <c r="B70" s="1" t="str">
        <f>IFERROR(__xludf.DUMMYFUNCTION("""COMPUTED_VALUE"""),"0021")</f>
        <v>0021</v>
      </c>
      <c r="C70" s="32">
        <f>IFERROR(__xludf.DUMMYFUNCTION("""COMPUTED_VALUE"""),46061.68510416667)</f>
        <v>46061.6851</v>
      </c>
      <c r="D70" s="1">
        <f>IFERROR(__xludf.DUMMYFUNCTION("""COMPUTED_VALUE"""),72.0)</f>
        <v>72</v>
      </c>
      <c r="E70" s="1"/>
      <c r="F70" s="1"/>
    </row>
    <row r="71">
      <c r="A71" s="1" t="str">
        <f>IFERROR(__xludf.DUMMYFUNCTION("""COMPUTED_VALUE"""),"982580c9")</f>
        <v>982580c9</v>
      </c>
      <c r="B71" s="1" t="str">
        <f>IFERROR(__xludf.DUMMYFUNCTION("""COMPUTED_VALUE"""),"f30d8158")</f>
        <v>f30d8158</v>
      </c>
      <c r="C71" s="32">
        <f>IFERROR(__xludf.DUMMYFUNCTION("""COMPUTED_VALUE"""),46061.68540509259)</f>
        <v>46061.68541</v>
      </c>
      <c r="D71" s="1">
        <f>IFERROR(__xludf.DUMMYFUNCTION("""COMPUTED_VALUE"""),4.0)</f>
        <v>4</v>
      </c>
      <c r="E71" s="1"/>
      <c r="F71" s="1"/>
    </row>
    <row r="72">
      <c r="A72" s="1" t="str">
        <f>IFERROR(__xludf.DUMMYFUNCTION("""COMPUTED_VALUE"""),"8cebf362")</f>
        <v>8cebf362</v>
      </c>
      <c r="B72" s="1" t="str">
        <f>IFERROR(__xludf.DUMMYFUNCTION("""COMPUTED_VALUE"""),"0086")</f>
        <v>0086</v>
      </c>
      <c r="C72" s="32">
        <f>IFERROR(__xludf.DUMMYFUNCTION("""COMPUTED_VALUE"""),46061.685844907406)</f>
        <v>46061.68584</v>
      </c>
      <c r="D72" s="1">
        <f>IFERROR(__xludf.DUMMYFUNCTION("""COMPUTED_VALUE"""),-99.0)</f>
        <v>-99</v>
      </c>
      <c r="E72" s="1"/>
      <c r="F72" s="1"/>
    </row>
    <row r="73">
      <c r="A73" s="1" t="str">
        <f>IFERROR(__xludf.DUMMYFUNCTION("""COMPUTED_VALUE"""),"ab74bc99")</f>
        <v>ab74bc99</v>
      </c>
      <c r="B73" s="1" t="str">
        <f>IFERROR(__xludf.DUMMYFUNCTION("""COMPUTED_VALUE"""),"567c0b27")</f>
        <v>567c0b27</v>
      </c>
      <c r="C73" s="32">
        <f>IFERROR(__xludf.DUMMYFUNCTION("""COMPUTED_VALUE"""),46061.686203703706)</f>
        <v>46061.6862</v>
      </c>
      <c r="D73" s="1">
        <f>IFERROR(__xludf.DUMMYFUNCTION("""COMPUTED_VALUE"""),10.0)</f>
        <v>10</v>
      </c>
      <c r="E73" s="1"/>
      <c r="F73" s="1"/>
    </row>
    <row r="74">
      <c r="A74" s="1" t="str">
        <f>IFERROR(__xludf.DUMMYFUNCTION("""COMPUTED_VALUE"""),"b034b138")</f>
        <v>b034b138</v>
      </c>
      <c r="B74" s="1" t="str">
        <f>IFERROR(__xludf.DUMMYFUNCTION("""COMPUTED_VALUE"""),"0020")</f>
        <v>0020</v>
      </c>
      <c r="C74" s="32">
        <f>IFERROR(__xludf.DUMMYFUNCTION("""COMPUTED_VALUE"""),46061.686631944445)</f>
        <v>46061.68663</v>
      </c>
      <c r="D74" s="1">
        <f>IFERROR(__xludf.DUMMYFUNCTION("""COMPUTED_VALUE"""),12.0)</f>
        <v>12</v>
      </c>
      <c r="E74" s="1"/>
      <c r="F74" s="1"/>
    </row>
    <row r="75">
      <c r="A75" s="1" t="str">
        <f>IFERROR(__xludf.DUMMYFUNCTION("""COMPUTED_VALUE"""),"fa7935df")</f>
        <v>fa7935df</v>
      </c>
      <c r="B75" s="1" t="str">
        <f>IFERROR(__xludf.DUMMYFUNCTION("""COMPUTED_VALUE"""),"0025")</f>
        <v>0025</v>
      </c>
      <c r="C75" s="32">
        <f>IFERROR(__xludf.DUMMYFUNCTION("""COMPUTED_VALUE"""),46061.68707175926)</f>
        <v>46061.68707</v>
      </c>
      <c r="D75" s="1">
        <f>IFERROR(__xludf.DUMMYFUNCTION("""COMPUTED_VALUE"""),2.0)</f>
        <v>2</v>
      </c>
      <c r="E75" s="1"/>
      <c r="F75" s="1"/>
    </row>
    <row r="76">
      <c r="A76" s="1" t="str">
        <f>IFERROR(__xludf.DUMMYFUNCTION("""COMPUTED_VALUE"""),"04f20028")</f>
        <v>04f20028</v>
      </c>
      <c r="B76" s="1" t="str">
        <f>IFERROR(__xludf.DUMMYFUNCTION("""COMPUTED_VALUE"""),"ee3cf870")</f>
        <v>ee3cf870</v>
      </c>
      <c r="C76" s="32">
        <f>IFERROR(__xludf.DUMMYFUNCTION("""COMPUTED_VALUE"""),46061.68802083333)</f>
        <v>46061.68802</v>
      </c>
      <c r="D76" s="1">
        <f>IFERROR(__xludf.DUMMYFUNCTION("""COMPUTED_VALUE"""),3.0)</f>
        <v>3</v>
      </c>
      <c r="E76" s="1"/>
      <c r="F76" s="1"/>
    </row>
    <row r="77">
      <c r="A77" s="1" t="str">
        <f>IFERROR(__xludf.DUMMYFUNCTION("""COMPUTED_VALUE"""),"6012ae73")</f>
        <v>6012ae73</v>
      </c>
      <c r="B77" s="1" t="str">
        <f>IFERROR(__xludf.DUMMYFUNCTION("""COMPUTED_VALUE"""),"0010")</f>
        <v>0010</v>
      </c>
      <c r="C77" s="32">
        <f>IFERROR(__xludf.DUMMYFUNCTION("""COMPUTED_VALUE"""),46061.68814814815)</f>
        <v>46061.68815</v>
      </c>
      <c r="D77" s="1">
        <f>IFERROR(__xludf.DUMMYFUNCTION("""COMPUTED_VALUE"""),1.0)</f>
        <v>1</v>
      </c>
      <c r="E77" s="1"/>
      <c r="F77" s="1"/>
    </row>
    <row r="78">
      <c r="A78" s="1" t="str">
        <f>IFERROR(__xludf.DUMMYFUNCTION("""COMPUTED_VALUE"""),"58748be6")</f>
        <v>58748be6</v>
      </c>
      <c r="B78" s="1" t="str">
        <f>IFERROR(__xludf.DUMMYFUNCTION("""COMPUTED_VALUE"""),"0019")</f>
        <v>0019</v>
      </c>
      <c r="C78" s="32">
        <f>IFERROR(__xludf.DUMMYFUNCTION("""COMPUTED_VALUE"""),46061.68939814815)</f>
        <v>46061.6894</v>
      </c>
      <c r="D78" s="1">
        <f>IFERROR(__xludf.DUMMYFUNCTION("""COMPUTED_VALUE"""),84.0)</f>
        <v>84</v>
      </c>
      <c r="E78" s="1"/>
      <c r="F78" s="1"/>
    </row>
    <row r="79">
      <c r="A79" s="1" t="str">
        <f>IFERROR(__xludf.DUMMYFUNCTION("""COMPUTED_VALUE"""),"dbe7e884")</f>
        <v>dbe7e884</v>
      </c>
      <c r="B79" s="1" t="str">
        <f>IFERROR(__xludf.DUMMYFUNCTION("""COMPUTED_VALUE"""),"0014")</f>
        <v>0014</v>
      </c>
      <c r="C79" s="32">
        <f>IFERROR(__xludf.DUMMYFUNCTION("""COMPUTED_VALUE"""),46061.689675925925)</f>
        <v>46061.68968</v>
      </c>
      <c r="D79" s="1">
        <f>IFERROR(__xludf.DUMMYFUNCTION("""COMPUTED_VALUE"""),15.0)</f>
        <v>15</v>
      </c>
      <c r="E79" s="1"/>
      <c r="F79" s="1"/>
    </row>
    <row r="80">
      <c r="A80" s="1" t="str">
        <f>IFERROR(__xludf.DUMMYFUNCTION("""COMPUTED_VALUE"""),"82aa0598")</f>
        <v>82aa0598</v>
      </c>
      <c r="B80" s="1" t="str">
        <f>IFERROR(__xludf.DUMMYFUNCTION("""COMPUTED_VALUE"""),"0030")</f>
        <v>0030</v>
      </c>
      <c r="C80" s="32">
        <f>IFERROR(__xludf.DUMMYFUNCTION("""COMPUTED_VALUE"""),46061.68982638889)</f>
        <v>46061.68983</v>
      </c>
      <c r="D80" s="1">
        <f>IFERROR(__xludf.DUMMYFUNCTION("""COMPUTED_VALUE"""),7.0)</f>
        <v>7</v>
      </c>
      <c r="E80" s="1"/>
      <c r="F80" s="1"/>
    </row>
    <row r="81">
      <c r="A81" s="1" t="str">
        <f>IFERROR(__xludf.DUMMYFUNCTION("""COMPUTED_VALUE"""),"37b29fa8")</f>
        <v>37b29fa8</v>
      </c>
      <c r="B81" s="1" t="str">
        <f>IFERROR(__xludf.DUMMYFUNCTION("""COMPUTED_VALUE"""),"3a1acd45")</f>
        <v>3a1acd45</v>
      </c>
      <c r="C81" s="32">
        <f>IFERROR(__xludf.DUMMYFUNCTION("""COMPUTED_VALUE"""),46061.69019675926)</f>
        <v>46061.6902</v>
      </c>
      <c r="D81" s="1">
        <f>IFERROR(__xludf.DUMMYFUNCTION("""COMPUTED_VALUE"""),4.0)</f>
        <v>4</v>
      </c>
      <c r="E81" s="1"/>
      <c r="F81" s="1"/>
    </row>
    <row r="82">
      <c r="A82" s="1" t="str">
        <f>IFERROR(__xludf.DUMMYFUNCTION("""COMPUTED_VALUE"""),"1a6d9b04")</f>
        <v>1a6d9b04</v>
      </c>
      <c r="B82" s="1" t="str">
        <f>IFERROR(__xludf.DUMMYFUNCTION("""COMPUTED_VALUE"""),"0003")</f>
        <v>0003</v>
      </c>
      <c r="C82" s="32">
        <f>IFERROR(__xludf.DUMMYFUNCTION("""COMPUTED_VALUE"""),46061.69037037037)</f>
        <v>46061.69037</v>
      </c>
      <c r="D82" s="1">
        <f>IFERROR(__xludf.DUMMYFUNCTION("""COMPUTED_VALUE"""),2.0)</f>
        <v>2</v>
      </c>
      <c r="E82" s="1"/>
      <c r="F82" s="1"/>
    </row>
    <row r="83">
      <c r="A83" s="1" t="str">
        <f>IFERROR(__xludf.DUMMYFUNCTION("""COMPUTED_VALUE"""),"44db3bcc")</f>
        <v>44db3bcc</v>
      </c>
      <c r="B83" s="1" t="str">
        <f>IFERROR(__xludf.DUMMYFUNCTION("""COMPUTED_VALUE"""),"0028")</f>
        <v>0028</v>
      </c>
      <c r="C83" s="32">
        <f>IFERROR(__xludf.DUMMYFUNCTION("""COMPUTED_VALUE"""),46061.69094907407)</f>
        <v>46061.69095</v>
      </c>
      <c r="D83" s="1">
        <f>IFERROR(__xludf.DUMMYFUNCTION("""COMPUTED_VALUE"""),14.0)</f>
        <v>14</v>
      </c>
      <c r="E83" s="1"/>
      <c r="F83" s="1"/>
    </row>
    <row r="84">
      <c r="A84" s="1" t="str">
        <f>IFERROR(__xludf.DUMMYFUNCTION("""COMPUTED_VALUE"""),"08603a38")</f>
        <v>08603a38</v>
      </c>
      <c r="B84" s="1" t="str">
        <f>IFERROR(__xludf.DUMMYFUNCTION("""COMPUTED_VALUE"""),"7cd3aac7")</f>
        <v>7cd3aac7</v>
      </c>
      <c r="C84" s="32">
        <f>IFERROR(__xludf.DUMMYFUNCTION("""COMPUTED_VALUE"""),46061.692291666666)</f>
        <v>46061.69229</v>
      </c>
      <c r="D84" s="1">
        <f>IFERROR(__xludf.DUMMYFUNCTION("""COMPUTED_VALUE"""),10.0)</f>
        <v>10</v>
      </c>
      <c r="E84" s="1"/>
      <c r="F84" s="1"/>
    </row>
    <row r="85">
      <c r="A85" s="1" t="str">
        <f>IFERROR(__xludf.DUMMYFUNCTION("""COMPUTED_VALUE"""),"5bbefc58")</f>
        <v>5bbefc58</v>
      </c>
      <c r="B85" s="1" t="str">
        <f>IFERROR(__xludf.DUMMYFUNCTION("""COMPUTED_VALUE"""),"9d0be7b3")</f>
        <v>9d0be7b3</v>
      </c>
      <c r="C85" s="32">
        <f>IFERROR(__xludf.DUMMYFUNCTION("""COMPUTED_VALUE"""),46061.69332175926)</f>
        <v>46061.69332</v>
      </c>
      <c r="D85" s="1">
        <f>IFERROR(__xludf.DUMMYFUNCTION("""COMPUTED_VALUE"""),16.0)</f>
        <v>16</v>
      </c>
      <c r="E85" s="1"/>
      <c r="F85" s="1"/>
    </row>
    <row r="86">
      <c r="A86" s="1" t="str">
        <f>IFERROR(__xludf.DUMMYFUNCTION("""COMPUTED_VALUE"""),"e1feffb1")</f>
        <v>e1feffb1</v>
      </c>
      <c r="B86" s="1" t="str">
        <f>IFERROR(__xludf.DUMMYFUNCTION("""COMPUTED_VALUE"""),"0032")</f>
        <v>0032</v>
      </c>
      <c r="C86" s="32">
        <f>IFERROR(__xludf.DUMMYFUNCTION("""COMPUTED_VALUE"""),46061.69435185185)</f>
        <v>46061.69435</v>
      </c>
      <c r="D86" s="1">
        <f>IFERROR(__xludf.DUMMYFUNCTION("""COMPUTED_VALUE"""),54.0)</f>
        <v>54</v>
      </c>
      <c r="E86" s="1"/>
      <c r="F86" s="1"/>
    </row>
    <row r="87">
      <c r="A87" s="1" t="str">
        <f>IFERROR(__xludf.DUMMYFUNCTION("""COMPUTED_VALUE"""),"9bfba582")</f>
        <v>9bfba582</v>
      </c>
      <c r="B87" s="1" t="str">
        <f>IFERROR(__xludf.DUMMYFUNCTION("""COMPUTED_VALUE"""),"0032")</f>
        <v>0032</v>
      </c>
      <c r="C87" s="32">
        <f>IFERROR(__xludf.DUMMYFUNCTION("""COMPUTED_VALUE"""),46061.69461805555)</f>
        <v>46061.69462</v>
      </c>
      <c r="D87" s="1">
        <f>IFERROR(__xludf.DUMMYFUNCTION("""COMPUTED_VALUE"""),3.0)</f>
        <v>3</v>
      </c>
      <c r="E87" s="1"/>
      <c r="F87" s="1"/>
    </row>
    <row r="88">
      <c r="A88" s="1" t="str">
        <f>IFERROR(__xludf.DUMMYFUNCTION("""COMPUTED_VALUE"""),"1b2c29a6")</f>
        <v>1b2c29a6</v>
      </c>
      <c r="B88" s="1" t="str">
        <f>IFERROR(__xludf.DUMMYFUNCTION("""COMPUTED_VALUE"""),"0064")</f>
        <v>0064</v>
      </c>
      <c r="C88" s="32">
        <f>IFERROR(__xludf.DUMMYFUNCTION("""COMPUTED_VALUE"""),46061.694918981484)</f>
        <v>46061.69492</v>
      </c>
      <c r="D88" s="1">
        <f>IFERROR(__xludf.DUMMYFUNCTION("""COMPUTED_VALUE"""),80.0)</f>
        <v>80</v>
      </c>
      <c r="E88" s="1"/>
      <c r="F88" s="1"/>
    </row>
    <row r="89">
      <c r="A89" s="1" t="str">
        <f>IFERROR(__xludf.DUMMYFUNCTION("""COMPUTED_VALUE"""),"1e9f50c0")</f>
        <v>1e9f50c0</v>
      </c>
      <c r="B89" s="1" t="str">
        <f>IFERROR(__xludf.DUMMYFUNCTION("""COMPUTED_VALUE"""),"0f694cb5")</f>
        <v>0f694cb5</v>
      </c>
      <c r="C89" s="32">
        <f>IFERROR(__xludf.DUMMYFUNCTION("""COMPUTED_VALUE"""),46061.69631944445)</f>
        <v>46061.69632</v>
      </c>
      <c r="D89" s="1">
        <f>IFERROR(__xludf.DUMMYFUNCTION("""COMPUTED_VALUE"""),13.0)</f>
        <v>13</v>
      </c>
      <c r="E89" s="1"/>
      <c r="F89" s="1"/>
    </row>
    <row r="90">
      <c r="A90" s="1" t="str">
        <f>IFERROR(__xludf.DUMMYFUNCTION("""COMPUTED_VALUE"""),"1172aa26")</f>
        <v>1172aa26</v>
      </c>
      <c r="B90" s="1" t="str">
        <f>IFERROR(__xludf.DUMMYFUNCTION("""COMPUTED_VALUE"""),"0082")</f>
        <v>0082</v>
      </c>
      <c r="C90" s="32">
        <f>IFERROR(__xludf.DUMMYFUNCTION("""COMPUTED_VALUE"""),46061.69646990741)</f>
        <v>46061.69647</v>
      </c>
      <c r="D90" s="1">
        <f>IFERROR(__xludf.DUMMYFUNCTION("""COMPUTED_VALUE"""),21.0)</f>
        <v>21</v>
      </c>
      <c r="E90" s="1"/>
      <c r="F90" s="1"/>
    </row>
    <row r="91">
      <c r="A91" s="1" t="str">
        <f>IFERROR(__xludf.DUMMYFUNCTION("""COMPUTED_VALUE"""),"4ba079fb")</f>
        <v>4ba079fb</v>
      </c>
      <c r="B91" s="1" t="str">
        <f>IFERROR(__xludf.DUMMYFUNCTION("""COMPUTED_VALUE"""),"0012")</f>
        <v>0012</v>
      </c>
      <c r="C91" s="32">
        <f>IFERROR(__xludf.DUMMYFUNCTION("""COMPUTED_VALUE"""),46061.69666666666)</f>
        <v>46061.69667</v>
      </c>
      <c r="D91" s="1">
        <f>IFERROR(__xludf.DUMMYFUNCTION("""COMPUTED_VALUE"""),21.0)</f>
        <v>21</v>
      </c>
      <c r="E91" s="1"/>
      <c r="F91" s="1"/>
    </row>
    <row r="92">
      <c r="A92" s="1" t="str">
        <f>IFERROR(__xludf.DUMMYFUNCTION("""COMPUTED_VALUE"""),"032d03f5")</f>
        <v>032d03f5</v>
      </c>
      <c r="B92" s="1" t="str">
        <f>IFERROR(__xludf.DUMMYFUNCTION("""COMPUTED_VALUE"""),"d8e8d66a")</f>
        <v>d8e8d66a</v>
      </c>
      <c r="C92" s="32">
        <f>IFERROR(__xludf.DUMMYFUNCTION("""COMPUTED_VALUE"""),46061.714837962965)</f>
        <v>46061.71484</v>
      </c>
      <c r="D92" s="1">
        <f>IFERROR(__xludf.DUMMYFUNCTION("""COMPUTED_VALUE"""),33.0)</f>
        <v>33</v>
      </c>
      <c r="E92" s="1"/>
      <c r="F92" s="1"/>
    </row>
    <row r="93">
      <c r="A93" s="1" t="str">
        <f>IFERROR(__xludf.DUMMYFUNCTION("""COMPUTED_VALUE"""),"ffe8d1fc")</f>
        <v>ffe8d1fc</v>
      </c>
      <c r="B93" s="1" t="str">
        <f>IFERROR(__xludf.DUMMYFUNCTION("""COMPUTED_VALUE"""),"0002")</f>
        <v>0002</v>
      </c>
      <c r="C93" s="32">
        <f>IFERROR(__xludf.DUMMYFUNCTION("""COMPUTED_VALUE"""),46061.715578703705)</f>
        <v>46061.71558</v>
      </c>
      <c r="D93" s="1">
        <f>IFERROR(__xludf.DUMMYFUNCTION("""COMPUTED_VALUE"""),600.0)</f>
        <v>600</v>
      </c>
      <c r="E93" s="1" t="str">
        <f>IFERROR(__xludf.DUMMYFUNCTION("""COMPUTED_VALUE"""),"78bf660c")</f>
        <v>78bf660c</v>
      </c>
      <c r="F93" s="1"/>
    </row>
    <row r="94">
      <c r="A94" s="1" t="str">
        <f>IFERROR(__xludf.DUMMYFUNCTION("""COMPUTED_VALUE"""),"2000653e")</f>
        <v>2000653e</v>
      </c>
      <c r="B94" s="1" t="str">
        <f>IFERROR(__xludf.DUMMYFUNCTION("""COMPUTED_VALUE"""),"0065")</f>
        <v>0065</v>
      </c>
      <c r="C94" s="32">
        <f>IFERROR(__xludf.DUMMYFUNCTION("""COMPUTED_VALUE"""),46061.71523148148)</f>
        <v>46061.71523</v>
      </c>
      <c r="D94" s="1">
        <f>IFERROR(__xludf.DUMMYFUNCTION("""COMPUTED_VALUE"""),95.0)</f>
        <v>95</v>
      </c>
      <c r="E94" s="1"/>
      <c r="F94" s="1"/>
    </row>
    <row r="95">
      <c r="A95" s="1" t="str">
        <f>IFERROR(__xludf.DUMMYFUNCTION("""COMPUTED_VALUE"""),"33d6aa86")</f>
        <v>33d6aa86</v>
      </c>
      <c r="B95" s="1" t="str">
        <f>IFERROR(__xludf.DUMMYFUNCTION("""COMPUTED_VALUE"""),"83dd14b5")</f>
        <v>83dd14b5</v>
      </c>
      <c r="C95" s="32">
        <f>IFERROR(__xludf.DUMMYFUNCTION("""COMPUTED_VALUE"""),46061.716365740744)</f>
        <v>46061.71637</v>
      </c>
      <c r="D95" s="1">
        <f>IFERROR(__xludf.DUMMYFUNCTION("""COMPUTED_VALUE"""),144.0)</f>
        <v>144</v>
      </c>
      <c r="E95" s="1"/>
      <c r="F95" s="1"/>
    </row>
    <row r="96">
      <c r="A96" s="1" t="str">
        <f>IFERROR(__xludf.DUMMYFUNCTION("""COMPUTED_VALUE"""),"a5671efb")</f>
        <v>a5671efb</v>
      </c>
      <c r="B96" s="1" t="str">
        <f>IFERROR(__xludf.DUMMYFUNCTION("""COMPUTED_VALUE"""),"1b6b5ed6")</f>
        <v>1b6b5ed6</v>
      </c>
      <c r="C96" s="32">
        <f>IFERROR(__xludf.DUMMYFUNCTION("""COMPUTED_VALUE"""),46061.71840277778)</f>
        <v>46061.7184</v>
      </c>
      <c r="D96" s="1">
        <f>IFERROR(__xludf.DUMMYFUNCTION("""COMPUTED_VALUE"""),183.0)</f>
        <v>183</v>
      </c>
      <c r="E96" s="1"/>
      <c r="F96" s="1"/>
    </row>
    <row r="97">
      <c r="A97" s="1" t="str">
        <f>IFERROR(__xludf.DUMMYFUNCTION("""COMPUTED_VALUE"""),"9ca7073d")</f>
        <v>9ca7073d</v>
      </c>
      <c r="B97" s="1" t="str">
        <f>IFERROR(__xludf.DUMMYFUNCTION("""COMPUTED_VALUE"""),"83dd14b5")</f>
        <v>83dd14b5</v>
      </c>
      <c r="C97" s="32">
        <f>IFERROR(__xludf.DUMMYFUNCTION("""COMPUTED_VALUE"""),46061.71858796296)</f>
        <v>46061.71859</v>
      </c>
      <c r="D97" s="1">
        <f>IFERROR(__xludf.DUMMYFUNCTION("""COMPUTED_VALUE"""),1.0)</f>
        <v>1</v>
      </c>
      <c r="E97" s="1"/>
      <c r="F97" s="1"/>
    </row>
    <row r="98">
      <c r="A98" s="1" t="str">
        <f>IFERROR(__xludf.DUMMYFUNCTION("""COMPUTED_VALUE"""),"ee72e553")</f>
        <v>ee72e553</v>
      </c>
      <c r="B98" s="1" t="str">
        <f>IFERROR(__xludf.DUMMYFUNCTION("""COMPUTED_VALUE"""),"6670c5c1")</f>
        <v>6670c5c1</v>
      </c>
      <c r="C98" s="32">
        <f>IFERROR(__xludf.DUMMYFUNCTION("""COMPUTED_VALUE"""),46061.718831018516)</f>
        <v>46061.71883</v>
      </c>
      <c r="D98" s="1">
        <f>IFERROR(__xludf.DUMMYFUNCTION("""COMPUTED_VALUE"""),24.0)</f>
        <v>24</v>
      </c>
      <c r="E98" s="1"/>
      <c r="F98" s="1"/>
    </row>
    <row r="99">
      <c r="A99" s="1" t="str">
        <f>IFERROR(__xludf.DUMMYFUNCTION("""COMPUTED_VALUE"""),"44faee1c")</f>
        <v>44faee1c</v>
      </c>
      <c r="B99" s="1" t="str">
        <f>IFERROR(__xludf.DUMMYFUNCTION("""COMPUTED_VALUE"""),"0f694cb5")</f>
        <v>0f694cb5</v>
      </c>
      <c r="C99" s="32">
        <f>IFERROR(__xludf.DUMMYFUNCTION("""COMPUTED_VALUE"""),46061.72048611111)</f>
        <v>46061.72049</v>
      </c>
      <c r="D99" s="1">
        <f>IFERROR(__xludf.DUMMYFUNCTION("""COMPUTED_VALUE"""),4.0)</f>
        <v>4</v>
      </c>
      <c r="E99" s="1"/>
      <c r="F99" s="1"/>
    </row>
    <row r="100">
      <c r="A100" s="1" t="str">
        <f>IFERROR(__xludf.DUMMYFUNCTION("""COMPUTED_VALUE"""),"0709224d")</f>
        <v>0709224d</v>
      </c>
      <c r="B100" s="1" t="str">
        <f>IFERROR(__xludf.DUMMYFUNCTION("""COMPUTED_VALUE"""),"d8e8d66a")</f>
        <v>d8e8d66a</v>
      </c>
      <c r="C100" s="32">
        <f>IFERROR(__xludf.DUMMYFUNCTION("""COMPUTED_VALUE"""),46061.72127314815)</f>
        <v>46061.72127</v>
      </c>
      <c r="D100" s="1">
        <f>IFERROR(__xludf.DUMMYFUNCTION("""COMPUTED_VALUE"""),5.0)</f>
        <v>5</v>
      </c>
      <c r="E100" s="1"/>
      <c r="F100" s="1"/>
    </row>
    <row r="101">
      <c r="A101" s="1" t="str">
        <f>IFERROR(__xludf.DUMMYFUNCTION("""COMPUTED_VALUE"""),"e92040c3")</f>
        <v>e92040c3</v>
      </c>
      <c r="B101" s="1" t="str">
        <f>IFERROR(__xludf.DUMMYFUNCTION("""COMPUTED_VALUE"""),"a3f74383")</f>
        <v>a3f74383</v>
      </c>
      <c r="C101" s="32">
        <f>IFERROR(__xludf.DUMMYFUNCTION("""COMPUTED_VALUE"""),46061.72136574074)</f>
        <v>46061.72137</v>
      </c>
      <c r="D101" s="1">
        <f>IFERROR(__xludf.DUMMYFUNCTION("""COMPUTED_VALUE"""),5.0)</f>
        <v>5</v>
      </c>
      <c r="E101" s="1"/>
      <c r="F101" s="1"/>
    </row>
    <row r="102">
      <c r="A102" s="1" t="str">
        <f>IFERROR(__xludf.DUMMYFUNCTION("""COMPUTED_VALUE"""),"a94ab7af")</f>
        <v>a94ab7af</v>
      </c>
      <c r="B102" s="1" t="str">
        <f>IFERROR(__xludf.DUMMYFUNCTION("""COMPUTED_VALUE"""),"0053")</f>
        <v>0053</v>
      </c>
      <c r="C102" s="32">
        <f>IFERROR(__xludf.DUMMYFUNCTION("""COMPUTED_VALUE"""),46061.721979166665)</f>
        <v>46061.72198</v>
      </c>
      <c r="D102" s="1">
        <f>IFERROR(__xludf.DUMMYFUNCTION("""COMPUTED_VALUE"""),15.0)</f>
        <v>15</v>
      </c>
      <c r="E102" s="1"/>
      <c r="F102" s="1"/>
    </row>
    <row r="103">
      <c r="A103" s="1" t="str">
        <f>IFERROR(__xludf.DUMMYFUNCTION("""COMPUTED_VALUE"""),"f5ce98dd")</f>
        <v>f5ce98dd</v>
      </c>
      <c r="B103" s="1" t="str">
        <f>IFERROR(__xludf.DUMMYFUNCTION("""COMPUTED_VALUE"""),"cc35c9db")</f>
        <v>cc35c9db</v>
      </c>
      <c r="C103" s="32">
        <f>IFERROR(__xludf.DUMMYFUNCTION("""COMPUTED_VALUE"""),46061.72217592593)</f>
        <v>46061.72218</v>
      </c>
      <c r="D103" s="1">
        <f>IFERROR(__xludf.DUMMYFUNCTION("""COMPUTED_VALUE"""),1.0)</f>
        <v>1</v>
      </c>
      <c r="E103" s="1"/>
      <c r="F103" s="1"/>
    </row>
    <row r="104">
      <c r="A104" s="1" t="str">
        <f>IFERROR(__xludf.DUMMYFUNCTION("""COMPUTED_VALUE"""),"325591f7")</f>
        <v>325591f7</v>
      </c>
      <c r="B104" s="1" t="str">
        <f>IFERROR(__xludf.DUMMYFUNCTION("""COMPUTED_VALUE"""),"3e9fa8d9")</f>
        <v>3e9fa8d9</v>
      </c>
      <c r="C104" s="32">
        <f>IFERROR(__xludf.DUMMYFUNCTION("""COMPUTED_VALUE"""),46061.72251157407)</f>
        <v>46061.72251</v>
      </c>
      <c r="D104" s="1">
        <f>IFERROR(__xludf.DUMMYFUNCTION("""COMPUTED_VALUE"""),2.0)</f>
        <v>2</v>
      </c>
      <c r="E104" s="1"/>
      <c r="F104" s="1"/>
    </row>
    <row r="105">
      <c r="A105" s="1" t="str">
        <f>IFERROR(__xludf.DUMMYFUNCTION("""COMPUTED_VALUE"""),"c757789d")</f>
        <v>c757789d</v>
      </c>
      <c r="B105" s="1" t="str">
        <f>IFERROR(__xludf.DUMMYFUNCTION("""COMPUTED_VALUE"""),"0032")</f>
        <v>0032</v>
      </c>
      <c r="C105" s="32">
        <f>IFERROR(__xludf.DUMMYFUNCTION("""COMPUTED_VALUE"""),46061.723229166666)</f>
        <v>46061.72323</v>
      </c>
      <c r="D105" s="1">
        <f>IFERROR(__xludf.DUMMYFUNCTION("""COMPUTED_VALUE"""),-7.0)</f>
        <v>-7</v>
      </c>
      <c r="E105" s="1"/>
      <c r="F105" s="1"/>
    </row>
    <row r="106">
      <c r="A106" s="1" t="str">
        <f>IFERROR(__xludf.DUMMYFUNCTION("""COMPUTED_VALUE"""),"2770416e")</f>
        <v>2770416e</v>
      </c>
      <c r="B106" s="1" t="str">
        <f>IFERROR(__xludf.DUMMYFUNCTION("""COMPUTED_VALUE"""),"0064")</f>
        <v>0064</v>
      </c>
      <c r="C106" s="32">
        <f>IFERROR(__xludf.DUMMYFUNCTION("""COMPUTED_VALUE"""),46061.72336805556)</f>
        <v>46061.72337</v>
      </c>
      <c r="D106" s="1">
        <f>IFERROR(__xludf.DUMMYFUNCTION("""COMPUTED_VALUE"""),-6.0)</f>
        <v>-6</v>
      </c>
      <c r="E106" s="1"/>
      <c r="F106" s="1"/>
    </row>
    <row r="107">
      <c r="A107" s="1" t="str">
        <f>IFERROR(__xludf.DUMMYFUNCTION("""COMPUTED_VALUE"""),"ce10e9e5")</f>
        <v>ce10e9e5</v>
      </c>
      <c r="B107" s="1" t="str">
        <f>IFERROR(__xludf.DUMMYFUNCTION("""COMPUTED_VALUE"""),"0049")</f>
        <v>0049</v>
      </c>
      <c r="C107" s="32">
        <f>IFERROR(__xludf.DUMMYFUNCTION("""COMPUTED_VALUE"""),46061.723495370374)</f>
        <v>46061.7235</v>
      </c>
      <c r="D107" s="1">
        <f>IFERROR(__xludf.DUMMYFUNCTION("""COMPUTED_VALUE"""),-4.0)</f>
        <v>-4</v>
      </c>
      <c r="E107" s="1"/>
      <c r="F107" s="1"/>
    </row>
    <row r="108">
      <c r="A108" s="1" t="str">
        <f>IFERROR(__xludf.DUMMYFUNCTION("""COMPUTED_VALUE"""),"ccc20938")</f>
        <v>ccc20938</v>
      </c>
      <c r="B108" s="1" t="str">
        <f>IFERROR(__xludf.DUMMYFUNCTION("""COMPUTED_VALUE"""),"0011")</f>
        <v>0011</v>
      </c>
      <c r="C108" s="32">
        <f>IFERROR(__xludf.DUMMYFUNCTION("""COMPUTED_VALUE"""),46061.72363425926)</f>
        <v>46061.72363</v>
      </c>
      <c r="D108" s="1">
        <f>IFERROR(__xludf.DUMMYFUNCTION("""COMPUTED_VALUE"""),-5.0)</f>
        <v>-5</v>
      </c>
      <c r="E108" s="1"/>
      <c r="F108" s="1"/>
    </row>
    <row r="109">
      <c r="A109" s="1" t="str">
        <f>IFERROR(__xludf.DUMMYFUNCTION("""COMPUTED_VALUE"""),"42a68c91")</f>
        <v>42a68c91</v>
      </c>
      <c r="B109" s="1" t="str">
        <f>IFERROR(__xludf.DUMMYFUNCTION("""COMPUTED_VALUE"""),"d0f577e2")</f>
        <v>d0f577e2</v>
      </c>
      <c r="C109" s="32">
        <f>IFERROR(__xludf.DUMMYFUNCTION("""COMPUTED_VALUE"""),46061.72369212963)</f>
        <v>46061.72369</v>
      </c>
      <c r="D109" s="1">
        <f>IFERROR(__xludf.DUMMYFUNCTION("""COMPUTED_VALUE"""),72.0)</f>
        <v>72</v>
      </c>
      <c r="E109" s="1"/>
      <c r="F109" s="1"/>
    </row>
    <row r="110">
      <c r="A110" s="1" t="str">
        <f>IFERROR(__xludf.DUMMYFUNCTION("""COMPUTED_VALUE"""),"a518e6ea")</f>
        <v>a518e6ea</v>
      </c>
      <c r="B110" s="1" t="str">
        <f>IFERROR(__xludf.DUMMYFUNCTION("""COMPUTED_VALUE"""),"ed187a9e")</f>
        <v>ed187a9e</v>
      </c>
      <c r="C110" s="32">
        <f>IFERROR(__xludf.DUMMYFUNCTION("""COMPUTED_VALUE"""),46061.723761574074)</f>
        <v>46061.72376</v>
      </c>
      <c r="D110" s="1">
        <f>IFERROR(__xludf.DUMMYFUNCTION("""COMPUTED_VALUE"""),-3.0)</f>
        <v>-3</v>
      </c>
      <c r="E110" s="1"/>
      <c r="F110" s="1"/>
    </row>
    <row r="111">
      <c r="A111" s="1" t="str">
        <f>IFERROR(__xludf.DUMMYFUNCTION("""COMPUTED_VALUE"""),"a2e90dfb")</f>
        <v>a2e90dfb</v>
      </c>
      <c r="B111" s="1" t="str">
        <f>IFERROR(__xludf.DUMMYFUNCTION("""COMPUTED_VALUE"""),"cf6c9481")</f>
        <v>cf6c9481</v>
      </c>
      <c r="C111" s="32">
        <f>IFERROR(__xludf.DUMMYFUNCTION("""COMPUTED_VALUE"""),46061.724386574075)</f>
        <v>46061.72439</v>
      </c>
      <c r="D111" s="1">
        <f>IFERROR(__xludf.DUMMYFUNCTION("""COMPUTED_VALUE"""),-3.0)</f>
        <v>-3</v>
      </c>
      <c r="E111" s="1"/>
      <c r="F111" s="1"/>
    </row>
    <row r="112">
      <c r="A112" s="1" t="str">
        <f>IFERROR(__xludf.DUMMYFUNCTION("""COMPUTED_VALUE"""),"ad157a36")</f>
        <v>ad157a36</v>
      </c>
      <c r="B112" s="1" t="str">
        <f>IFERROR(__xludf.DUMMYFUNCTION("""COMPUTED_VALUE"""),"bb6c2490")</f>
        <v>bb6c2490</v>
      </c>
      <c r="C112" s="32">
        <f>IFERROR(__xludf.DUMMYFUNCTION("""COMPUTED_VALUE"""),46061.7246875)</f>
        <v>46061.72469</v>
      </c>
      <c r="D112" s="1">
        <f>IFERROR(__xludf.DUMMYFUNCTION("""COMPUTED_VALUE"""),-4.0)</f>
        <v>-4</v>
      </c>
      <c r="E112" s="1"/>
      <c r="F112" s="1"/>
    </row>
    <row r="113">
      <c r="A113" s="1" t="str">
        <f>IFERROR(__xludf.DUMMYFUNCTION("""COMPUTED_VALUE"""),"ae6083ea")</f>
        <v>ae6083ea</v>
      </c>
      <c r="B113" s="1" t="str">
        <f>IFERROR(__xludf.DUMMYFUNCTION("""COMPUTED_VALUE"""),"27febea6")</f>
        <v>27febea6</v>
      </c>
      <c r="C113" s="32">
        <f>IFERROR(__xludf.DUMMYFUNCTION("""COMPUTED_VALUE"""),46061.72518518518)</f>
        <v>46061.72519</v>
      </c>
      <c r="D113" s="1">
        <f>IFERROR(__xludf.DUMMYFUNCTION("""COMPUTED_VALUE"""),-6.0)</f>
        <v>-6</v>
      </c>
      <c r="E113" s="1"/>
      <c r="F113" s="1"/>
    </row>
    <row r="114">
      <c r="A114" s="1" t="str">
        <f>IFERROR(__xludf.DUMMYFUNCTION("""COMPUTED_VALUE"""),"90ff3450")</f>
        <v>90ff3450</v>
      </c>
      <c r="B114" s="1" t="str">
        <f>IFERROR(__xludf.DUMMYFUNCTION("""COMPUTED_VALUE"""),"649eaeb5")</f>
        <v>649eaeb5</v>
      </c>
      <c r="C114" s="32">
        <f>IFERROR(__xludf.DUMMYFUNCTION("""COMPUTED_VALUE"""),46061.72568287037)</f>
        <v>46061.72568</v>
      </c>
      <c r="D114" s="1">
        <f>IFERROR(__xludf.DUMMYFUNCTION("""COMPUTED_VALUE"""),-2.0)</f>
        <v>-2</v>
      </c>
      <c r="E114" s="1"/>
      <c r="F114" s="1"/>
    </row>
    <row r="115">
      <c r="A115" s="1" t="str">
        <f>IFERROR(__xludf.DUMMYFUNCTION("""COMPUTED_VALUE"""),"3f58795d")</f>
        <v>3f58795d</v>
      </c>
      <c r="B115" s="1" t="str">
        <f>IFERROR(__xludf.DUMMYFUNCTION("""COMPUTED_VALUE"""),"b3204174")</f>
        <v>b3204174</v>
      </c>
      <c r="C115" s="32">
        <f>IFERROR(__xludf.DUMMYFUNCTION("""COMPUTED_VALUE"""),46061.72605324074)</f>
        <v>46061.72605</v>
      </c>
      <c r="D115" s="1">
        <f>IFERROR(__xludf.DUMMYFUNCTION("""COMPUTED_VALUE"""),-2.0)</f>
        <v>-2</v>
      </c>
      <c r="E115" s="1"/>
      <c r="F115" s="1"/>
    </row>
    <row r="116">
      <c r="A116" s="1" t="str">
        <f>IFERROR(__xludf.DUMMYFUNCTION("""COMPUTED_VALUE"""),"c71a7404")</f>
        <v>c71a7404</v>
      </c>
      <c r="B116" s="1" t="str">
        <f>IFERROR(__xludf.DUMMYFUNCTION("""COMPUTED_VALUE"""),"0002")</f>
        <v>0002</v>
      </c>
      <c r="C116" s="32">
        <f>IFERROR(__xludf.DUMMYFUNCTION("""COMPUTED_VALUE"""),46061.72684027778)</f>
        <v>46061.72684</v>
      </c>
      <c r="D116" s="1">
        <f>IFERROR(__xludf.DUMMYFUNCTION("""COMPUTED_VALUE"""),-84.0)</f>
        <v>-84</v>
      </c>
      <c r="E116" s="1"/>
      <c r="F116" s="1"/>
    </row>
    <row r="117">
      <c r="A117" s="1" t="str">
        <f>IFERROR(__xludf.DUMMYFUNCTION("""COMPUTED_VALUE"""),"56d24e71")</f>
        <v>56d24e71</v>
      </c>
      <c r="B117" s="1" t="str">
        <f>IFERROR(__xludf.DUMMYFUNCTION("""COMPUTED_VALUE"""),"12b96290")</f>
        <v>12b96290</v>
      </c>
      <c r="C117" s="32">
        <f>IFERROR(__xludf.DUMMYFUNCTION("""COMPUTED_VALUE"""),46061.93728009259)</f>
        <v>46061.93728</v>
      </c>
      <c r="D117" s="1">
        <f>IFERROR(__xludf.DUMMYFUNCTION("""COMPUTED_VALUE"""),-4.0)</f>
        <v>-4</v>
      </c>
      <c r="E117" s="1"/>
      <c r="F117" s="1"/>
    </row>
    <row r="118">
      <c r="A118" s="1" t="str">
        <f>IFERROR(__xludf.DUMMYFUNCTION("""COMPUTED_VALUE"""),"ef07a395")</f>
        <v>ef07a395</v>
      </c>
      <c r="B118" s="1" t="str">
        <f>IFERROR(__xludf.DUMMYFUNCTION("""COMPUTED_VALUE"""),"0001")</f>
        <v>0001</v>
      </c>
      <c r="C118" s="32">
        <f>IFERROR(__xludf.DUMMYFUNCTION("""COMPUTED_VALUE"""),46061.93744212963)</f>
        <v>46061.93744</v>
      </c>
      <c r="D118" s="1">
        <f>IFERROR(__xludf.DUMMYFUNCTION("""COMPUTED_VALUE"""),-45.0)</f>
        <v>-45</v>
      </c>
      <c r="E118" s="1"/>
      <c r="F118" s="1"/>
    </row>
    <row r="119">
      <c r="A119" s="1" t="str">
        <f>IFERROR(__xludf.DUMMYFUNCTION("""COMPUTED_VALUE"""),"d1750f5c")</f>
        <v>d1750f5c</v>
      </c>
      <c r="B119" s="1" t="str">
        <f>IFERROR(__xludf.DUMMYFUNCTION("""COMPUTED_VALUE"""),"0019")</f>
        <v>0019</v>
      </c>
      <c r="C119" s="32">
        <f>IFERROR(__xludf.DUMMYFUNCTION("""COMPUTED_VALUE"""),46061.938425925924)</f>
        <v>46061.93843</v>
      </c>
      <c r="D119" s="1">
        <f>IFERROR(__xludf.DUMMYFUNCTION("""COMPUTED_VALUE"""),-12.0)</f>
        <v>-12</v>
      </c>
      <c r="E119" s="1"/>
      <c r="F119" s="1"/>
    </row>
    <row r="120">
      <c r="A120" s="1" t="str">
        <f>IFERROR(__xludf.DUMMYFUNCTION("""COMPUTED_VALUE"""),"6077a763")</f>
        <v>6077a763</v>
      </c>
      <c r="B120" s="1" t="str">
        <f>IFERROR(__xludf.DUMMYFUNCTION("""COMPUTED_VALUE"""),"0021")</f>
        <v>0021</v>
      </c>
      <c r="C120" s="32">
        <f>IFERROR(__xludf.DUMMYFUNCTION("""COMPUTED_VALUE"""),46061.939108796294)</f>
        <v>46061.93911</v>
      </c>
      <c r="D120" s="1">
        <f>IFERROR(__xludf.DUMMYFUNCTION("""COMPUTED_VALUE"""),-7.0)</f>
        <v>-7</v>
      </c>
      <c r="E120" s="1"/>
      <c r="F120" s="1"/>
    </row>
    <row r="121">
      <c r="A121" s="1" t="str">
        <f>IFERROR(__xludf.DUMMYFUNCTION("""COMPUTED_VALUE"""),"162b8673")</f>
        <v>162b8673</v>
      </c>
      <c r="B121" s="1" t="str">
        <f>IFERROR(__xludf.DUMMYFUNCTION("""COMPUTED_VALUE"""),"1b6b5ed6")</f>
        <v>1b6b5ed6</v>
      </c>
      <c r="C121" s="32">
        <f>IFERROR(__xludf.DUMMYFUNCTION("""COMPUTED_VALUE"""),46061.93966435185)</f>
        <v>46061.93966</v>
      </c>
      <c r="D121" s="1">
        <f>IFERROR(__xludf.DUMMYFUNCTION("""COMPUTED_VALUE"""),-8.0)</f>
        <v>-8</v>
      </c>
      <c r="E121" s="1"/>
      <c r="F121" s="1"/>
    </row>
    <row r="122">
      <c r="A122" s="1" t="str">
        <f>IFERROR(__xludf.DUMMYFUNCTION("""COMPUTED_VALUE"""),"03428c4c")</f>
        <v>03428c4c</v>
      </c>
      <c r="B122" s="1" t="str">
        <f>IFERROR(__xludf.DUMMYFUNCTION("""COMPUTED_VALUE"""),"d8e8d66a")</f>
        <v>d8e8d66a</v>
      </c>
      <c r="C122" s="32">
        <f>IFERROR(__xludf.DUMMYFUNCTION("""COMPUTED_VALUE"""),46061.94006944444)</f>
        <v>46061.94007</v>
      </c>
      <c r="D122" s="1">
        <f>IFERROR(__xludf.DUMMYFUNCTION("""COMPUTED_VALUE"""),-5.0)</f>
        <v>-5</v>
      </c>
      <c r="E122" s="1"/>
      <c r="F122" s="1"/>
    </row>
    <row r="123">
      <c r="A123" s="1" t="str">
        <f>IFERROR(__xludf.DUMMYFUNCTION("""COMPUTED_VALUE"""),"ede98773")</f>
        <v>ede98773</v>
      </c>
      <c r="B123" s="1" t="str">
        <f>IFERROR(__xludf.DUMMYFUNCTION("""COMPUTED_VALUE"""),"0002")</f>
        <v>0002</v>
      </c>
      <c r="C123" s="32">
        <f>IFERROR(__xludf.DUMMYFUNCTION("""COMPUTED_VALUE"""),46061.940520833334)</f>
        <v>46061.94052</v>
      </c>
      <c r="D123" s="1">
        <f>IFERROR(__xludf.DUMMYFUNCTION("""COMPUTED_VALUE"""),-36.0)</f>
        <v>-36</v>
      </c>
      <c r="E123" s="1"/>
      <c r="F123" s="1"/>
    </row>
    <row r="124">
      <c r="A124" s="1" t="str">
        <f>IFERROR(__xludf.DUMMYFUNCTION("""COMPUTED_VALUE"""),"1af2d686")</f>
        <v>1af2d686</v>
      </c>
      <c r="B124" s="1" t="str">
        <f>IFERROR(__xludf.DUMMYFUNCTION("""COMPUTED_VALUE"""),"0065")</f>
        <v>0065</v>
      </c>
      <c r="C124" s="32">
        <f>IFERROR(__xludf.DUMMYFUNCTION("""COMPUTED_VALUE"""),46061.94112268519)</f>
        <v>46061.94112</v>
      </c>
      <c r="D124" s="1">
        <f>IFERROR(__xludf.DUMMYFUNCTION("""COMPUTED_VALUE"""),-9.0)</f>
        <v>-9</v>
      </c>
      <c r="E124" s="1"/>
      <c r="F124" s="1"/>
    </row>
    <row r="125">
      <c r="A125" s="1" t="str">
        <f>IFERROR(__xludf.DUMMYFUNCTION("""COMPUTED_VALUE"""),"23576cd2")</f>
        <v>23576cd2</v>
      </c>
      <c r="B125" s="1" t="str">
        <f>IFERROR(__xludf.DUMMYFUNCTION("""COMPUTED_VALUE"""),"6670c5c1")</f>
        <v>6670c5c1</v>
      </c>
      <c r="C125" s="32">
        <f>IFERROR(__xludf.DUMMYFUNCTION("""COMPUTED_VALUE"""),46061.941724537035)</f>
        <v>46061.94172</v>
      </c>
      <c r="D125" s="1">
        <f>IFERROR(__xludf.DUMMYFUNCTION("""COMPUTED_VALUE"""),-8.0)</f>
        <v>-8</v>
      </c>
      <c r="E125" s="1"/>
      <c r="F125" s="1"/>
    </row>
    <row r="126">
      <c r="A126" s="1" t="str">
        <f>IFERROR(__xludf.DUMMYFUNCTION("""COMPUTED_VALUE"""),"26015e2d")</f>
        <v>26015e2d</v>
      </c>
      <c r="B126" s="1" t="str">
        <f>IFERROR(__xludf.DUMMYFUNCTION("""COMPUTED_VALUE"""),"0f694cb5")</f>
        <v>0f694cb5</v>
      </c>
      <c r="C126" s="32">
        <f>IFERROR(__xludf.DUMMYFUNCTION("""COMPUTED_VALUE"""),46061.942245370374)</f>
        <v>46061.94225</v>
      </c>
      <c r="D126" s="1">
        <f>IFERROR(__xludf.DUMMYFUNCTION("""COMPUTED_VALUE"""),-5.0)</f>
        <v>-5</v>
      </c>
      <c r="E126" s="1"/>
      <c r="F126" s="1"/>
    </row>
    <row r="127">
      <c r="A127" s="1" t="str">
        <f>IFERROR(__xludf.DUMMYFUNCTION("""COMPUTED_VALUE"""),"5303657e")</f>
        <v>5303657e</v>
      </c>
      <c r="B127" s="1" t="str">
        <f>IFERROR(__xludf.DUMMYFUNCTION("""COMPUTED_VALUE"""),"567c0b27")</f>
        <v>567c0b27</v>
      </c>
      <c r="C127" s="32">
        <f>IFERROR(__xludf.DUMMYFUNCTION("""COMPUTED_VALUE"""),46061.94269675926)</f>
        <v>46061.9427</v>
      </c>
      <c r="D127" s="1">
        <f>IFERROR(__xludf.DUMMYFUNCTION("""COMPUTED_VALUE"""),-6.0)</f>
        <v>-6</v>
      </c>
      <c r="E127" s="1"/>
      <c r="F127" s="1"/>
    </row>
    <row r="128">
      <c r="A128" s="1" t="str">
        <f>IFERROR(__xludf.DUMMYFUNCTION("""COMPUTED_VALUE"""),"4d870448")</f>
        <v>4d870448</v>
      </c>
      <c r="B128" s="1" t="str">
        <f>IFERROR(__xludf.DUMMYFUNCTION("""COMPUTED_VALUE"""),"bb6c2490")</f>
        <v>bb6c2490</v>
      </c>
      <c r="C128" s="32">
        <f>IFERROR(__xludf.DUMMYFUNCTION("""COMPUTED_VALUE"""),46061.94361111111)</f>
        <v>46061.94361</v>
      </c>
      <c r="D128" s="1">
        <f>IFERROR(__xludf.DUMMYFUNCTION("""COMPUTED_VALUE"""),-14.0)</f>
        <v>-14</v>
      </c>
      <c r="E128" s="1"/>
      <c r="F128" s="1"/>
    </row>
    <row r="129">
      <c r="A129" s="1" t="str">
        <f>IFERROR(__xludf.DUMMYFUNCTION("""COMPUTED_VALUE"""),"6d73e588")</f>
        <v>6d73e588</v>
      </c>
      <c r="B129" s="1" t="str">
        <f>IFERROR(__xludf.DUMMYFUNCTION("""COMPUTED_VALUE"""),"cd21eb57")</f>
        <v>cd21eb57</v>
      </c>
      <c r="C129" s="32">
        <f>IFERROR(__xludf.DUMMYFUNCTION("""COMPUTED_VALUE"""),46061.976273148146)</f>
        <v>46061.97627</v>
      </c>
      <c r="D129" s="1">
        <f>IFERROR(__xludf.DUMMYFUNCTION("""COMPUTED_VALUE"""),1.0)</f>
        <v>1</v>
      </c>
      <c r="E129" s="1"/>
      <c r="F129" s="1"/>
    </row>
    <row r="130">
      <c r="A130" s="1" t="str">
        <f>IFERROR(__xludf.DUMMYFUNCTION("""COMPUTED_VALUE"""),"69213db0")</f>
        <v>69213db0</v>
      </c>
      <c r="B130" s="1" t="str">
        <f>IFERROR(__xludf.DUMMYFUNCTION("""COMPUTED_VALUE"""),"0019")</f>
        <v>0019</v>
      </c>
      <c r="C130" s="32">
        <f>IFERROR(__xludf.DUMMYFUNCTION("""COMPUTED_VALUE"""),46061.976493055554)</f>
        <v>46061.97649</v>
      </c>
      <c r="D130" s="1">
        <f>IFERROR(__xludf.DUMMYFUNCTION("""COMPUTED_VALUE"""),3.0)</f>
        <v>3</v>
      </c>
      <c r="E130" s="1"/>
      <c r="F130" s="1"/>
    </row>
    <row r="131">
      <c r="A131" s="1" t="str">
        <f>IFERROR(__xludf.DUMMYFUNCTION("""COMPUTED_VALUE"""),"a7664fb8")</f>
        <v>a7664fb8</v>
      </c>
      <c r="B131" s="1" t="str">
        <f>IFERROR(__xludf.DUMMYFUNCTION("""COMPUTED_VALUE"""),"0038")</f>
        <v>0038</v>
      </c>
      <c r="C131" s="32">
        <f>IFERROR(__xludf.DUMMYFUNCTION("""COMPUTED_VALUE"""),46061.97667824074)</f>
        <v>46061.97668</v>
      </c>
      <c r="D131" s="1">
        <f>IFERROR(__xludf.DUMMYFUNCTION("""COMPUTED_VALUE"""),6.0)</f>
        <v>6</v>
      </c>
      <c r="E131" s="1"/>
      <c r="F131" s="1"/>
    </row>
    <row r="132">
      <c r="A132" s="1" t="str">
        <f>IFERROR(__xludf.DUMMYFUNCTION("""COMPUTED_VALUE"""),"2f6379c0")</f>
        <v>2f6379c0</v>
      </c>
      <c r="B132" s="1" t="str">
        <f>IFERROR(__xludf.DUMMYFUNCTION("""COMPUTED_VALUE"""),"360bd4d4")</f>
        <v>360bd4d4</v>
      </c>
      <c r="C132" s="32">
        <f>IFERROR(__xludf.DUMMYFUNCTION("""COMPUTED_VALUE"""),46061.97684027778)</f>
        <v>46061.97684</v>
      </c>
      <c r="D132" s="1">
        <f>IFERROR(__xludf.DUMMYFUNCTION("""COMPUTED_VALUE"""),5.0)</f>
        <v>5</v>
      </c>
      <c r="E132" s="1"/>
      <c r="F132" s="1"/>
    </row>
    <row r="133">
      <c r="A133" s="1" t="str">
        <f>IFERROR(__xludf.DUMMYFUNCTION("""COMPUTED_VALUE"""),"35668862")</f>
        <v>35668862</v>
      </c>
      <c r="B133" s="1" t="str">
        <f>IFERROR(__xludf.DUMMYFUNCTION("""COMPUTED_VALUE"""),"0033")</f>
        <v>0033</v>
      </c>
      <c r="C133" s="32">
        <f>IFERROR(__xludf.DUMMYFUNCTION("""COMPUTED_VALUE"""),46061.97702546296)</f>
        <v>46061.97703</v>
      </c>
      <c r="D133" s="1">
        <f>IFERROR(__xludf.DUMMYFUNCTION("""COMPUTED_VALUE"""),5.0)</f>
        <v>5</v>
      </c>
      <c r="E133" s="1"/>
      <c r="F133" s="1"/>
    </row>
    <row r="134">
      <c r="A134" s="1" t="str">
        <f>IFERROR(__xludf.DUMMYFUNCTION("""COMPUTED_VALUE"""),"65ae54e9")</f>
        <v>65ae54e9</v>
      </c>
      <c r="B134" s="1" t="str">
        <f>IFERROR(__xludf.DUMMYFUNCTION("""COMPUTED_VALUE"""),"c099f042")</f>
        <v>c099f042</v>
      </c>
      <c r="C134" s="32">
        <f>IFERROR(__xludf.DUMMYFUNCTION("""COMPUTED_VALUE"""),46062.67380787037)</f>
        <v>46062.67381</v>
      </c>
      <c r="D134" s="1">
        <f>IFERROR(__xludf.DUMMYFUNCTION("""COMPUTED_VALUE"""),80.0)</f>
        <v>80</v>
      </c>
      <c r="E134" s="1" t="str">
        <f>IFERROR(__xludf.DUMMYFUNCTION("""COMPUTED_VALUE"""),"1e8e1725")</f>
        <v>1e8e1725</v>
      </c>
      <c r="F134" s="1"/>
    </row>
    <row r="135">
      <c r="A135" s="1" t="str">
        <f>IFERROR(__xludf.DUMMYFUNCTION("""COMPUTED_VALUE"""),"c59e3ce7")</f>
        <v>c59e3ce7</v>
      </c>
      <c r="B135" s="1" t="str">
        <f>IFERROR(__xludf.DUMMYFUNCTION("""COMPUTED_VALUE"""),"c80ae9f2")</f>
        <v>c80ae9f2</v>
      </c>
      <c r="C135" s="32">
        <f>IFERROR(__xludf.DUMMYFUNCTION("""COMPUTED_VALUE"""),46062.690729166665)</f>
        <v>46062.69073</v>
      </c>
      <c r="D135" s="1">
        <f>IFERROR(__xludf.DUMMYFUNCTION("""COMPUTED_VALUE"""),12.0)</f>
        <v>12</v>
      </c>
      <c r="E135" s="1" t="str">
        <f>IFERROR(__xludf.DUMMYFUNCTION("""COMPUTED_VALUE"""),"205b5873")</f>
        <v>205b5873</v>
      </c>
      <c r="F135" s="1"/>
    </row>
    <row r="136">
      <c r="A136" s="1" t="str">
        <f>IFERROR(__xludf.DUMMYFUNCTION("""COMPUTED_VALUE"""),"b72e6521")</f>
        <v>b72e6521</v>
      </c>
      <c r="B136" s="1" t="str">
        <f>IFERROR(__xludf.DUMMYFUNCTION("""COMPUTED_VALUE"""),"cf6c9481")</f>
        <v>cf6c9481</v>
      </c>
      <c r="C136" s="32">
        <f>IFERROR(__xludf.DUMMYFUNCTION("""COMPUTED_VALUE"""),46062.69084490741)</f>
        <v>46062.69084</v>
      </c>
      <c r="D136" s="1">
        <f>IFERROR(__xludf.DUMMYFUNCTION("""COMPUTED_VALUE"""),16.0)</f>
        <v>16</v>
      </c>
      <c r="E136" s="1" t="str">
        <f>IFERROR(__xludf.DUMMYFUNCTION("""COMPUTED_VALUE"""),"205b5873")</f>
        <v>205b5873</v>
      </c>
      <c r="F136" s="1"/>
    </row>
    <row r="137">
      <c r="A137" s="1" t="str">
        <f>IFERROR(__xludf.DUMMYFUNCTION("""COMPUTED_VALUE"""),"ca0251f2")</f>
        <v>ca0251f2</v>
      </c>
      <c r="B137" s="1" t="str">
        <f>IFERROR(__xludf.DUMMYFUNCTION("""COMPUTED_VALUE"""),"1039e79c")</f>
        <v>1039e79c</v>
      </c>
      <c r="C137" s="32">
        <f>IFERROR(__xludf.DUMMYFUNCTION("""COMPUTED_VALUE"""),46062.691666666666)</f>
        <v>46062.69167</v>
      </c>
      <c r="D137" s="1">
        <f>IFERROR(__xludf.DUMMYFUNCTION("""COMPUTED_VALUE"""),12.0)</f>
        <v>12</v>
      </c>
      <c r="E137" s="1" t="str">
        <f>IFERROR(__xludf.DUMMYFUNCTION("""COMPUTED_VALUE"""),"205b5873")</f>
        <v>205b5873</v>
      </c>
      <c r="F137" s="1"/>
    </row>
    <row r="138">
      <c r="A138" s="1" t="str">
        <f>IFERROR(__xludf.DUMMYFUNCTION("""COMPUTED_VALUE"""),"cc6aacfd")</f>
        <v>cc6aacfd</v>
      </c>
      <c r="B138" s="1" t="str">
        <f>IFERROR(__xludf.DUMMYFUNCTION("""COMPUTED_VALUE"""),"c099f042")</f>
        <v>c099f042</v>
      </c>
      <c r="C138" s="32">
        <f>IFERROR(__xludf.DUMMYFUNCTION("""COMPUTED_VALUE"""),46062.945752314816)</f>
        <v>46062.94575</v>
      </c>
      <c r="D138" s="1">
        <f>IFERROR(__xludf.DUMMYFUNCTION("""COMPUTED_VALUE"""),-7.0)</f>
        <v>-7</v>
      </c>
      <c r="E138" s="1"/>
      <c r="F138" s="1"/>
    </row>
    <row r="139">
      <c r="A139" s="1" t="str">
        <f>IFERROR(__xludf.DUMMYFUNCTION("""COMPUTED_VALUE"""),"2b1eb431")</f>
        <v>2b1eb431</v>
      </c>
      <c r="B139" s="1" t="str">
        <f>IFERROR(__xludf.DUMMYFUNCTION("""COMPUTED_VALUE"""),"bb6c2490")</f>
        <v>bb6c2490</v>
      </c>
      <c r="C139" s="32">
        <f>IFERROR(__xludf.DUMMYFUNCTION("""COMPUTED_VALUE"""),46062.94584490741)</f>
        <v>46062.94584</v>
      </c>
      <c r="D139" s="1">
        <f>IFERROR(__xludf.DUMMYFUNCTION("""COMPUTED_VALUE"""),-14.0)</f>
        <v>-14</v>
      </c>
      <c r="E139" s="1"/>
      <c r="F139" s="1"/>
    </row>
    <row r="140">
      <c r="A140" s="1" t="str">
        <f>IFERROR(__xludf.DUMMYFUNCTION("""COMPUTED_VALUE"""),"f9886766")</f>
        <v>f9886766</v>
      </c>
      <c r="B140" s="1" t="str">
        <f>IFERROR(__xludf.DUMMYFUNCTION("""COMPUTED_VALUE"""),"360bd4d4")</f>
        <v>360bd4d4</v>
      </c>
      <c r="C140" s="32">
        <f>IFERROR(__xludf.DUMMYFUNCTION("""COMPUTED_VALUE"""),46062.946076388886)</f>
        <v>46062.94608</v>
      </c>
      <c r="D140" s="1">
        <f>IFERROR(__xludf.DUMMYFUNCTION("""COMPUTED_VALUE"""),-7.0)</f>
        <v>-7</v>
      </c>
      <c r="E140" s="1"/>
      <c r="F140" s="1"/>
    </row>
    <row r="141">
      <c r="A141" s="1" t="str">
        <f>IFERROR(__xludf.DUMMYFUNCTION("""COMPUTED_VALUE"""),"feff7c62")</f>
        <v>feff7c62</v>
      </c>
      <c r="B141" s="1" t="str">
        <f>IFERROR(__xludf.DUMMYFUNCTION("""COMPUTED_VALUE"""),"f30d8158")</f>
        <v>f30d8158</v>
      </c>
      <c r="C141" s="32">
        <f>IFERROR(__xludf.DUMMYFUNCTION("""COMPUTED_VALUE"""),46062.9465625)</f>
        <v>46062.94656</v>
      </c>
      <c r="D141" s="1">
        <f>IFERROR(__xludf.DUMMYFUNCTION("""COMPUTED_VALUE"""),-4.0)</f>
        <v>-4</v>
      </c>
      <c r="E141" s="1"/>
      <c r="F141" s="1"/>
    </row>
    <row r="142">
      <c r="A142" s="1" t="str">
        <f>IFERROR(__xludf.DUMMYFUNCTION("""COMPUTED_VALUE"""),"d20a2791")</f>
        <v>d20a2791</v>
      </c>
      <c r="B142" s="1" t="str">
        <f>IFERROR(__xludf.DUMMYFUNCTION("""COMPUTED_VALUE"""),"0038")</f>
        <v>0038</v>
      </c>
      <c r="C142" s="32">
        <f>IFERROR(__xludf.DUMMYFUNCTION("""COMPUTED_VALUE"""),46062.94704861111)</f>
        <v>46062.94705</v>
      </c>
      <c r="D142" s="1">
        <f>IFERROR(__xludf.DUMMYFUNCTION("""COMPUTED_VALUE"""),-3.0)</f>
        <v>-3</v>
      </c>
      <c r="E142" s="1"/>
      <c r="F142" s="1"/>
    </row>
    <row r="143">
      <c r="A143" s="1" t="str">
        <f>IFERROR(__xludf.DUMMYFUNCTION("""COMPUTED_VALUE"""),"44ccb44b")</f>
        <v>44ccb44b</v>
      </c>
      <c r="B143" s="1" t="str">
        <f>IFERROR(__xludf.DUMMYFUNCTION("""COMPUTED_VALUE"""),"0033")</f>
        <v>0033</v>
      </c>
      <c r="C143" s="32">
        <f>IFERROR(__xludf.DUMMYFUNCTION("""COMPUTED_VALUE"""),46062.94736111111)</f>
        <v>46062.94736</v>
      </c>
      <c r="D143" s="1">
        <f>IFERROR(__xludf.DUMMYFUNCTION("""COMPUTED_VALUE"""),-5.0)</f>
        <v>-5</v>
      </c>
      <c r="E143" s="1"/>
      <c r="F143" s="1"/>
    </row>
    <row r="144">
      <c r="A144" s="1" t="str">
        <f>IFERROR(__xludf.DUMMYFUNCTION("""COMPUTED_VALUE"""),"6b97f17b")</f>
        <v>6b97f17b</v>
      </c>
      <c r="B144" s="1" t="str">
        <f>IFERROR(__xludf.DUMMYFUNCTION("""COMPUTED_VALUE"""),"3a1acd45")</f>
        <v>3a1acd45</v>
      </c>
      <c r="C144" s="32">
        <f>IFERROR(__xludf.DUMMYFUNCTION("""COMPUTED_VALUE"""),46062.94777777778)</f>
        <v>46062.94778</v>
      </c>
      <c r="D144" s="1">
        <f>IFERROR(__xludf.DUMMYFUNCTION("""COMPUTED_VALUE"""),-4.0)</f>
        <v>-4</v>
      </c>
      <c r="E144" s="1"/>
      <c r="F144" s="1"/>
    </row>
    <row r="145">
      <c r="A145" s="1" t="str">
        <f>IFERROR(__xludf.DUMMYFUNCTION("""COMPUTED_VALUE"""),"9622f3da")</f>
        <v>9622f3da</v>
      </c>
      <c r="B145" s="1" t="str">
        <f>IFERROR(__xludf.DUMMYFUNCTION("""COMPUTED_VALUE"""),"0003")</f>
        <v>0003</v>
      </c>
      <c r="C145" s="32">
        <f>IFERROR(__xludf.DUMMYFUNCTION("""COMPUTED_VALUE"""),46062.94799768519)</f>
        <v>46062.948</v>
      </c>
      <c r="D145" s="1">
        <f>IFERROR(__xludf.DUMMYFUNCTION("""COMPUTED_VALUE"""),-2.0)</f>
        <v>-2</v>
      </c>
      <c r="E145" s="1"/>
      <c r="F145" s="1"/>
    </row>
    <row r="146">
      <c r="A146" s="1" t="str">
        <f>IFERROR(__xludf.DUMMYFUNCTION("""COMPUTED_VALUE"""),"1d5a665e")</f>
        <v>1d5a665e</v>
      </c>
      <c r="B146" s="1" t="str">
        <f>IFERROR(__xludf.DUMMYFUNCTION("""COMPUTED_VALUE"""),"0014")</f>
        <v>0014</v>
      </c>
      <c r="C146" s="32">
        <f>IFERROR(__xludf.DUMMYFUNCTION("""COMPUTED_VALUE"""),46062.94831018519)</f>
        <v>46062.94831</v>
      </c>
      <c r="D146" s="1">
        <f>IFERROR(__xludf.DUMMYFUNCTION("""COMPUTED_VALUE"""),-13.0)</f>
        <v>-13</v>
      </c>
      <c r="E146" s="1"/>
      <c r="F146" s="1"/>
    </row>
    <row r="147">
      <c r="A147" s="1" t="str">
        <f>IFERROR(__xludf.DUMMYFUNCTION("""COMPUTED_VALUE"""),"9b25735d")</f>
        <v>9b25735d</v>
      </c>
      <c r="B147" s="1" t="str">
        <f>IFERROR(__xludf.DUMMYFUNCTION("""COMPUTED_VALUE"""),"0021")</f>
        <v>0021</v>
      </c>
      <c r="C147" s="32">
        <f>IFERROR(__xludf.DUMMYFUNCTION("""COMPUTED_VALUE"""),46062.949016203704)</f>
        <v>46062.94902</v>
      </c>
      <c r="D147" s="1">
        <f>IFERROR(__xludf.DUMMYFUNCTION("""COMPUTED_VALUE"""),-10.0)</f>
        <v>-10</v>
      </c>
      <c r="E147" s="1"/>
      <c r="F147" s="1"/>
    </row>
    <row r="148">
      <c r="A148" s="1" t="str">
        <f>IFERROR(__xludf.DUMMYFUNCTION("""COMPUTED_VALUE"""),"659a566e")</f>
        <v>659a566e</v>
      </c>
      <c r="B148" s="1" t="str">
        <f>IFERROR(__xludf.DUMMYFUNCTION("""COMPUTED_VALUE"""),"0019")</f>
        <v>0019</v>
      </c>
      <c r="C148" s="32">
        <f>IFERROR(__xludf.DUMMYFUNCTION("""COMPUTED_VALUE"""),46062.9497337963)</f>
        <v>46062.94973</v>
      </c>
      <c r="D148" s="1">
        <f>IFERROR(__xludf.DUMMYFUNCTION("""COMPUTED_VALUE"""),-12.0)</f>
        <v>-12</v>
      </c>
      <c r="E148" s="1"/>
      <c r="F148" s="1"/>
    </row>
    <row r="149">
      <c r="A149" s="1" t="str">
        <f>IFERROR(__xludf.DUMMYFUNCTION("""COMPUTED_VALUE"""),"0f38d54e")</f>
        <v>0f38d54e</v>
      </c>
      <c r="B149" s="1" t="str">
        <f>IFERROR(__xludf.DUMMYFUNCTION("""COMPUTED_VALUE"""),"1b6b5ed6")</f>
        <v>1b6b5ed6</v>
      </c>
      <c r="C149" s="32">
        <f>IFERROR(__xludf.DUMMYFUNCTION("""COMPUTED_VALUE"""),46062.950625)</f>
        <v>46062.95063</v>
      </c>
      <c r="D149" s="1">
        <f>IFERROR(__xludf.DUMMYFUNCTION("""COMPUTED_VALUE"""),-12.0)</f>
        <v>-12</v>
      </c>
      <c r="E149" s="1"/>
      <c r="F149" s="1"/>
    </row>
    <row r="150">
      <c r="A150" s="1" t="str">
        <f>IFERROR(__xludf.DUMMYFUNCTION("""COMPUTED_VALUE"""),"9efe4e85")</f>
        <v>9efe4e85</v>
      </c>
      <c r="B150" s="1" t="str">
        <f>IFERROR(__xludf.DUMMYFUNCTION("""COMPUTED_VALUE"""),"0f694cb5")</f>
        <v>0f694cb5</v>
      </c>
      <c r="C150" s="32">
        <f>IFERROR(__xludf.DUMMYFUNCTION("""COMPUTED_VALUE"""),46062.951319444444)</f>
        <v>46062.95132</v>
      </c>
      <c r="D150" s="1">
        <f>IFERROR(__xludf.DUMMYFUNCTION("""COMPUTED_VALUE"""),-7.0)</f>
        <v>-7</v>
      </c>
      <c r="E150" s="1"/>
      <c r="F150" s="1"/>
    </row>
    <row r="151">
      <c r="A151" s="1" t="str">
        <f>IFERROR(__xludf.DUMMYFUNCTION("""COMPUTED_VALUE"""),"751eeef6")</f>
        <v>751eeef6</v>
      </c>
      <c r="B151" s="1" t="str">
        <f>IFERROR(__xludf.DUMMYFUNCTION("""COMPUTED_VALUE"""),"0029")</f>
        <v>0029</v>
      </c>
      <c r="C151" s="32">
        <f>IFERROR(__xludf.DUMMYFUNCTION("""COMPUTED_VALUE"""),46062.99605324074)</f>
        <v>46062.99605</v>
      </c>
      <c r="D151" s="1">
        <f>IFERROR(__xludf.DUMMYFUNCTION("""COMPUTED_VALUE"""),-11.0)</f>
        <v>-11</v>
      </c>
      <c r="E151" s="1"/>
      <c r="F151" s="1"/>
    </row>
    <row r="152">
      <c r="A152" s="1" t="str">
        <f>IFERROR(__xludf.DUMMYFUNCTION("""COMPUTED_VALUE"""),"a16451b0")</f>
        <v>a16451b0</v>
      </c>
      <c r="B152" s="1" t="str">
        <f>IFERROR(__xludf.DUMMYFUNCTION("""COMPUTED_VALUE"""),"0054")</f>
        <v>0054</v>
      </c>
      <c r="C152" s="32">
        <f>IFERROR(__xludf.DUMMYFUNCTION("""COMPUTED_VALUE"""),46062.99623842593)</f>
        <v>46062.99624</v>
      </c>
      <c r="D152" s="1">
        <f>IFERROR(__xludf.DUMMYFUNCTION("""COMPUTED_VALUE"""),-4.0)</f>
        <v>-4</v>
      </c>
      <c r="E152" s="1"/>
      <c r="F152" s="1"/>
    </row>
    <row r="153">
      <c r="A153" s="1" t="str">
        <f>IFERROR(__xludf.DUMMYFUNCTION("""COMPUTED_VALUE"""),"c3671a86")</f>
        <v>c3671a86</v>
      </c>
      <c r="B153" s="1" t="str">
        <f>IFERROR(__xludf.DUMMYFUNCTION("""COMPUTED_VALUE"""),"a3f74383")</f>
        <v>a3f74383</v>
      </c>
      <c r="C153" s="32">
        <f>IFERROR(__xludf.DUMMYFUNCTION("""COMPUTED_VALUE"""),46062.99637731481)</f>
        <v>46062.99638</v>
      </c>
      <c r="D153" s="1">
        <f>IFERROR(__xludf.DUMMYFUNCTION("""COMPUTED_VALUE"""),-2.0)</f>
        <v>-2</v>
      </c>
      <c r="E153" s="1"/>
      <c r="F153" s="1"/>
    </row>
    <row r="154">
      <c r="A154" s="1" t="str">
        <f>IFERROR(__xludf.DUMMYFUNCTION("""COMPUTED_VALUE"""),"2a775865")</f>
        <v>2a775865</v>
      </c>
      <c r="B154" s="1" t="str">
        <f>IFERROR(__xludf.DUMMYFUNCTION("""COMPUTED_VALUE"""),"0011")</f>
        <v>0011</v>
      </c>
      <c r="C154" s="32">
        <f>IFERROR(__xludf.DUMMYFUNCTION("""COMPUTED_VALUE"""),46062.99648148148)</f>
        <v>46062.99648</v>
      </c>
      <c r="D154" s="1">
        <f>IFERROR(__xludf.DUMMYFUNCTION("""COMPUTED_VALUE"""),-16.0)</f>
        <v>-16</v>
      </c>
      <c r="E154" s="1"/>
      <c r="F154" s="1"/>
    </row>
    <row r="155">
      <c r="A155" s="1" t="str">
        <f>IFERROR(__xludf.DUMMYFUNCTION("""COMPUTED_VALUE"""),"9f6206c5")</f>
        <v>9f6206c5</v>
      </c>
      <c r="B155" s="1" t="str">
        <f>IFERROR(__xludf.DUMMYFUNCTION("""COMPUTED_VALUE"""),"bb6c2490")</f>
        <v>bb6c2490</v>
      </c>
      <c r="C155" s="32">
        <f>IFERROR(__xludf.DUMMYFUNCTION("""COMPUTED_VALUE"""),46062.998773148145)</f>
        <v>46062.99877</v>
      </c>
      <c r="D155" s="1">
        <f>IFERROR(__xludf.DUMMYFUNCTION("""COMPUTED_VALUE"""),-28.0)</f>
        <v>-28</v>
      </c>
      <c r="E155" s="1"/>
      <c r="F155" s="1"/>
    </row>
    <row r="156">
      <c r="A156" s="1" t="str">
        <f>IFERROR(__xludf.DUMMYFUNCTION("""COMPUTED_VALUE"""),"d7af1ab2")</f>
        <v>d7af1ab2</v>
      </c>
      <c r="B156" s="1" t="str">
        <f>IFERROR(__xludf.DUMMYFUNCTION("""COMPUTED_VALUE"""),"bb6c2490")</f>
        <v>bb6c2490</v>
      </c>
      <c r="C156" s="32">
        <f>IFERROR(__xludf.DUMMYFUNCTION("""COMPUTED_VALUE"""),46062.99903935185)</f>
        <v>46062.99904</v>
      </c>
      <c r="D156" s="1">
        <f>IFERROR(__xludf.DUMMYFUNCTION("""COMPUTED_VALUE"""),7.0)</f>
        <v>7</v>
      </c>
      <c r="E156" s="1"/>
      <c r="F156" s="1"/>
    </row>
    <row r="157">
      <c r="A157" s="1" t="str">
        <f>IFERROR(__xludf.DUMMYFUNCTION("""COMPUTED_VALUE"""),"ff43d5b4")</f>
        <v>ff43d5b4</v>
      </c>
      <c r="B157" s="1" t="str">
        <f>IFERROR(__xludf.DUMMYFUNCTION("""COMPUTED_VALUE"""),"c099f042")</f>
        <v>c099f042</v>
      </c>
      <c r="C157" s="32">
        <f>IFERROR(__xludf.DUMMYFUNCTION("""COMPUTED_VALUE"""),46062.99964120371)</f>
        <v>46062.99964</v>
      </c>
      <c r="D157" s="1">
        <f>IFERROR(__xludf.DUMMYFUNCTION("""COMPUTED_VALUE"""),-7.0)</f>
        <v>-7</v>
      </c>
      <c r="E157" s="1"/>
      <c r="F157" s="1"/>
    </row>
    <row r="158">
      <c r="A158" s="1" t="str">
        <f>IFERROR(__xludf.DUMMYFUNCTION("""COMPUTED_VALUE"""),"2c4eca00")</f>
        <v>2c4eca00</v>
      </c>
      <c r="B158" s="1" t="str">
        <f>IFERROR(__xludf.DUMMYFUNCTION("""COMPUTED_VALUE"""),"1b6b5ed6")</f>
        <v>1b6b5ed6</v>
      </c>
      <c r="C158" s="32">
        <f>IFERROR(__xludf.DUMMYFUNCTION("""COMPUTED_VALUE"""),46063.000439814816)</f>
        <v>46063.00044</v>
      </c>
      <c r="D158" s="1">
        <f>IFERROR(__xludf.DUMMYFUNCTION("""COMPUTED_VALUE"""),-12.0)</f>
        <v>-12</v>
      </c>
      <c r="E158" s="1"/>
      <c r="F158" s="1"/>
    </row>
    <row r="159">
      <c r="A159" s="1" t="str">
        <f>IFERROR(__xludf.DUMMYFUNCTION("""COMPUTED_VALUE"""),"35863b23")</f>
        <v>35863b23</v>
      </c>
      <c r="B159" s="1" t="str">
        <f>IFERROR(__xludf.DUMMYFUNCTION("""COMPUTED_VALUE"""),"0002")</f>
        <v>0002</v>
      </c>
      <c r="C159" s="32">
        <f>IFERROR(__xludf.DUMMYFUNCTION("""COMPUTED_VALUE"""),46063.000706018516)</f>
        <v>46063.00071</v>
      </c>
      <c r="D159" s="1">
        <f>IFERROR(__xludf.DUMMYFUNCTION("""COMPUTED_VALUE"""),-12.0)</f>
        <v>-12</v>
      </c>
      <c r="E159" s="1"/>
      <c r="F159" s="1"/>
    </row>
    <row r="160">
      <c r="A160" s="1" t="str">
        <f>IFERROR(__xludf.DUMMYFUNCTION("""COMPUTED_VALUE"""),"2766680f")</f>
        <v>2766680f</v>
      </c>
      <c r="B160" s="1" t="str">
        <f>IFERROR(__xludf.DUMMYFUNCTION("""COMPUTED_VALUE"""),"6670c5c1")</f>
        <v>6670c5c1</v>
      </c>
      <c r="C160" s="32">
        <f>IFERROR(__xludf.DUMMYFUNCTION("""COMPUTED_VALUE"""),46063.00109953704)</f>
        <v>46063.0011</v>
      </c>
      <c r="D160" s="1">
        <f>IFERROR(__xludf.DUMMYFUNCTION("""COMPUTED_VALUE"""),-8.0)</f>
        <v>-8</v>
      </c>
      <c r="E160" s="1"/>
      <c r="F160" s="1"/>
    </row>
    <row r="161">
      <c r="A161" s="1" t="str">
        <f>IFERROR(__xludf.DUMMYFUNCTION("""COMPUTED_VALUE"""),"1852b4df")</f>
        <v>1852b4df</v>
      </c>
      <c r="B161" s="1" t="str">
        <f>IFERROR(__xludf.DUMMYFUNCTION("""COMPUTED_VALUE"""),"0064")</f>
        <v>0064</v>
      </c>
      <c r="C161" s="32">
        <f>IFERROR(__xludf.DUMMYFUNCTION("""COMPUTED_VALUE"""),46063.003969907404)</f>
        <v>46063.00397</v>
      </c>
      <c r="D161" s="1">
        <f>IFERROR(__xludf.DUMMYFUNCTION("""COMPUTED_VALUE"""),-3.0)</f>
        <v>-3</v>
      </c>
      <c r="E161" s="1"/>
      <c r="F161" s="1"/>
    </row>
    <row r="162">
      <c r="A162" s="1" t="str">
        <f>IFERROR(__xludf.DUMMYFUNCTION("""COMPUTED_VALUE"""),"2ea543e6")</f>
        <v>2ea543e6</v>
      </c>
      <c r="B162" s="1" t="str">
        <f>IFERROR(__xludf.DUMMYFUNCTION("""COMPUTED_VALUE"""),"0032")</f>
        <v>0032</v>
      </c>
      <c r="C162" s="32">
        <f>IFERROR(__xludf.DUMMYFUNCTION("""COMPUTED_VALUE"""),46063.00407407407)</f>
        <v>46063.00407</v>
      </c>
      <c r="D162" s="1">
        <f>IFERROR(__xludf.DUMMYFUNCTION("""COMPUTED_VALUE"""),-5.0)</f>
        <v>-5</v>
      </c>
      <c r="E162" s="1"/>
      <c r="F162" s="1"/>
    </row>
    <row r="163">
      <c r="A163" s="1" t="str">
        <f>IFERROR(__xludf.DUMMYFUNCTION("""COMPUTED_VALUE"""),"7eab0772")</f>
        <v>7eab0772</v>
      </c>
      <c r="B163" s="1" t="str">
        <f>IFERROR(__xludf.DUMMYFUNCTION("""COMPUTED_VALUE"""),"1b6b5ed6")</f>
        <v>1b6b5ed6</v>
      </c>
      <c r="C163" s="32">
        <f>IFERROR(__xludf.DUMMYFUNCTION("""COMPUTED_VALUE"""),46063.004212962966)</f>
        <v>46063.00421</v>
      </c>
      <c r="D163" s="1">
        <f>IFERROR(__xludf.DUMMYFUNCTION("""COMPUTED_VALUE"""),-18.0)</f>
        <v>-18</v>
      </c>
      <c r="E163" s="1"/>
      <c r="F163" s="1"/>
    </row>
    <row r="164">
      <c r="A164" s="1" t="str">
        <f>IFERROR(__xludf.DUMMYFUNCTION("""COMPUTED_VALUE"""),"774c1392")</f>
        <v>774c1392</v>
      </c>
      <c r="B164" s="1" t="str">
        <f>IFERROR(__xludf.DUMMYFUNCTION("""COMPUTED_VALUE"""),"0029")</f>
        <v>0029</v>
      </c>
      <c r="C164" s="32">
        <f>IFERROR(__xludf.DUMMYFUNCTION("""COMPUTED_VALUE"""),46063.00434027778)</f>
        <v>46063.00434</v>
      </c>
      <c r="D164" s="1">
        <f>IFERROR(__xludf.DUMMYFUNCTION("""COMPUTED_VALUE"""),-14.0)</f>
        <v>-14</v>
      </c>
      <c r="E164" s="1"/>
      <c r="F164" s="1"/>
    </row>
    <row r="165">
      <c r="A165" s="1" t="str">
        <f>IFERROR(__xludf.DUMMYFUNCTION("""COMPUTED_VALUE"""),"b4246b21")</f>
        <v>b4246b21</v>
      </c>
      <c r="B165" s="1" t="str">
        <f>IFERROR(__xludf.DUMMYFUNCTION("""COMPUTED_VALUE"""),"a3f74383")</f>
        <v>a3f74383</v>
      </c>
      <c r="C165" s="32">
        <f>IFERROR(__xludf.DUMMYFUNCTION("""COMPUTED_VALUE"""),46063.00444444444)</f>
        <v>46063.00444</v>
      </c>
      <c r="D165" s="1">
        <f>IFERROR(__xludf.DUMMYFUNCTION("""COMPUTED_VALUE"""),-5.0)</f>
        <v>-5</v>
      </c>
      <c r="E165" s="1"/>
      <c r="F165" s="1"/>
    </row>
    <row r="166">
      <c r="A166" s="1" t="str">
        <f>IFERROR(__xludf.DUMMYFUNCTION("""COMPUTED_VALUE"""),"a0051cb6")</f>
        <v>a0051cb6</v>
      </c>
      <c r="B166" s="1" t="str">
        <f>IFERROR(__xludf.DUMMYFUNCTION("""COMPUTED_VALUE"""),"0008")</f>
        <v>0008</v>
      </c>
      <c r="C166" s="32">
        <f>IFERROR(__xludf.DUMMYFUNCTION("""COMPUTED_VALUE"""),46063.04075231482)</f>
        <v>46063.04075</v>
      </c>
      <c r="D166" s="1">
        <f>IFERROR(__xludf.DUMMYFUNCTION("""COMPUTED_VALUE"""),3.0)</f>
        <v>3</v>
      </c>
      <c r="E166" s="1"/>
      <c r="F166" s="1"/>
    </row>
    <row r="167">
      <c r="A167" s="1" t="str">
        <f>IFERROR(__xludf.DUMMYFUNCTION("""COMPUTED_VALUE"""),"9374a76d")</f>
        <v>9374a76d</v>
      </c>
      <c r="B167" s="1" t="str">
        <f>IFERROR(__xludf.DUMMYFUNCTION("""COMPUTED_VALUE"""),"0011")</f>
        <v>0011</v>
      </c>
      <c r="C167" s="32">
        <f>IFERROR(__xludf.DUMMYFUNCTION("""COMPUTED_VALUE"""),46063.040868055556)</f>
        <v>46063.04087</v>
      </c>
      <c r="D167" s="1">
        <f>IFERROR(__xludf.DUMMYFUNCTION("""COMPUTED_VALUE"""),2.0)</f>
        <v>2</v>
      </c>
      <c r="E167" s="1"/>
      <c r="F167" s="1"/>
    </row>
    <row r="168">
      <c r="A168" s="1" t="str">
        <f>IFERROR(__xludf.DUMMYFUNCTION("""COMPUTED_VALUE"""),"3909be96")</f>
        <v>3909be96</v>
      </c>
      <c r="B168" s="1" t="str">
        <f>IFERROR(__xludf.DUMMYFUNCTION("""COMPUTED_VALUE"""),"bb6c2490")</f>
        <v>bb6c2490</v>
      </c>
      <c r="C168" s="32">
        <f>IFERROR(__xludf.DUMMYFUNCTION("""COMPUTED_VALUE"""),46063.07686342593)</f>
        <v>46063.07686</v>
      </c>
      <c r="D168" s="1">
        <f>IFERROR(__xludf.DUMMYFUNCTION("""COMPUTED_VALUE"""),1.0)</f>
        <v>1</v>
      </c>
      <c r="E168" s="1"/>
      <c r="F168" s="1"/>
    </row>
    <row r="169">
      <c r="A169" s="1" t="str">
        <f>IFERROR(__xludf.DUMMYFUNCTION("""COMPUTED_VALUE"""),"c6b85e48")</f>
        <v>c6b85e48</v>
      </c>
      <c r="B169" s="1" t="str">
        <f>IFERROR(__xludf.DUMMYFUNCTION("""COMPUTED_VALUE"""),"1b6b5ed6")</f>
        <v>1b6b5ed6</v>
      </c>
      <c r="C169" s="32">
        <f>IFERROR(__xludf.DUMMYFUNCTION("""COMPUTED_VALUE"""),46063.4540625)</f>
        <v>46063.45406</v>
      </c>
      <c r="D169" s="1">
        <f>IFERROR(__xludf.DUMMYFUNCTION("""COMPUTED_VALUE"""),6.0)</f>
        <v>6</v>
      </c>
      <c r="E169" s="1"/>
      <c r="F169" s="1"/>
    </row>
    <row r="170">
      <c r="A170" s="1" t="str">
        <f>IFERROR(__xludf.DUMMYFUNCTION("""COMPUTED_VALUE"""),"732b60e5")</f>
        <v>732b60e5</v>
      </c>
      <c r="B170" s="1" t="str">
        <f>IFERROR(__xludf.DUMMYFUNCTION("""COMPUTED_VALUE"""),"649eaeb5")</f>
        <v>649eaeb5</v>
      </c>
      <c r="C170" s="32">
        <f>IFERROR(__xludf.DUMMYFUNCTION("""COMPUTED_VALUE"""),46063.45421296296)</f>
        <v>46063.45421</v>
      </c>
      <c r="D170" s="1">
        <f>IFERROR(__xludf.DUMMYFUNCTION("""COMPUTED_VALUE"""),1.0)</f>
        <v>1</v>
      </c>
      <c r="E170" s="1"/>
      <c r="F170" s="1"/>
    </row>
    <row r="171">
      <c r="A171" s="1" t="str">
        <f>IFERROR(__xludf.DUMMYFUNCTION("""COMPUTED_VALUE"""),"acea088b")</f>
        <v>acea088b</v>
      </c>
      <c r="B171" s="1" t="str">
        <f>IFERROR(__xludf.DUMMYFUNCTION("""COMPUTED_VALUE"""),"0064")</f>
        <v>0064</v>
      </c>
      <c r="C171" s="32">
        <f>IFERROR(__xludf.DUMMYFUNCTION("""COMPUTED_VALUE"""),46063.45434027778)</f>
        <v>46063.45434</v>
      </c>
      <c r="D171" s="1">
        <f>IFERROR(__xludf.DUMMYFUNCTION("""COMPUTED_VALUE"""),3.0)</f>
        <v>3</v>
      </c>
      <c r="E171" s="1"/>
      <c r="F171" s="1"/>
    </row>
    <row r="172">
      <c r="A172" s="1" t="str">
        <f>IFERROR(__xludf.DUMMYFUNCTION("""COMPUTED_VALUE"""),"88364d64")</f>
        <v>88364d64</v>
      </c>
      <c r="B172" s="1" t="str">
        <f>IFERROR(__xludf.DUMMYFUNCTION("""COMPUTED_VALUE"""),"0012")</f>
        <v>0012</v>
      </c>
      <c r="C172" s="32">
        <f>IFERROR(__xludf.DUMMYFUNCTION("""COMPUTED_VALUE"""),46063.45450231482)</f>
        <v>46063.4545</v>
      </c>
      <c r="D172" s="1">
        <f>IFERROR(__xludf.DUMMYFUNCTION("""COMPUTED_VALUE"""),1.0)</f>
        <v>1</v>
      </c>
      <c r="E172" s="1"/>
      <c r="F172" s="1"/>
    </row>
    <row r="173">
      <c r="A173" s="1" t="str">
        <f>IFERROR(__xludf.DUMMYFUNCTION("""COMPUTED_VALUE"""),"6266946e")</f>
        <v>6266946e</v>
      </c>
      <c r="B173" s="1" t="str">
        <f>IFERROR(__xludf.DUMMYFUNCTION("""COMPUTED_VALUE"""),"0032")</f>
        <v>0032</v>
      </c>
      <c r="C173" s="32">
        <f>IFERROR(__xludf.DUMMYFUNCTION("""COMPUTED_VALUE"""),46063.55636574074)</f>
        <v>46063.55637</v>
      </c>
      <c r="D173" s="1">
        <f>IFERROR(__xludf.DUMMYFUNCTION("""COMPUTED_VALUE"""),-6.0)</f>
        <v>-6</v>
      </c>
      <c r="E173" s="1"/>
      <c r="F173" s="1"/>
    </row>
    <row r="174">
      <c r="A174" s="1" t="str">
        <f>IFERROR(__xludf.DUMMYFUNCTION("""COMPUTED_VALUE"""),"f3b05dc0")</f>
        <v>f3b05dc0</v>
      </c>
      <c r="B174" s="1" t="str">
        <f>IFERROR(__xludf.DUMMYFUNCTION("""COMPUTED_VALUE"""),"0064")</f>
        <v>0064</v>
      </c>
      <c r="C174" s="32">
        <f>IFERROR(__xludf.DUMMYFUNCTION("""COMPUTED_VALUE"""),46063.55681712963)</f>
        <v>46063.55682</v>
      </c>
      <c r="D174" s="1">
        <f>IFERROR(__xludf.DUMMYFUNCTION("""COMPUTED_VALUE"""),-5.0)</f>
        <v>-5</v>
      </c>
      <c r="E174" s="1"/>
      <c r="F174" s="1"/>
    </row>
    <row r="175">
      <c r="A175" s="1" t="str">
        <f>IFERROR(__xludf.DUMMYFUNCTION("""COMPUTED_VALUE"""),"3962879d")</f>
        <v>3962879d</v>
      </c>
      <c r="B175" s="1" t="str">
        <f>IFERROR(__xludf.DUMMYFUNCTION("""COMPUTED_VALUE"""),"1039e79c")</f>
        <v>1039e79c</v>
      </c>
      <c r="C175" s="32">
        <f>IFERROR(__xludf.DUMMYFUNCTION("""COMPUTED_VALUE"""),46063.55693287037)</f>
        <v>46063.55693</v>
      </c>
      <c r="D175" s="1">
        <f>IFERROR(__xludf.DUMMYFUNCTION("""COMPUTED_VALUE"""),-6.0)</f>
        <v>-6</v>
      </c>
      <c r="E175" s="1"/>
      <c r="F175" s="1"/>
    </row>
    <row r="176">
      <c r="A176" s="1" t="str">
        <f>IFERROR(__xludf.DUMMYFUNCTION("""COMPUTED_VALUE"""),"4316d6a0")</f>
        <v>4316d6a0</v>
      </c>
      <c r="B176" s="1" t="str">
        <f>IFERROR(__xludf.DUMMYFUNCTION("""COMPUTED_VALUE"""),"c80ae9f2")</f>
        <v>c80ae9f2</v>
      </c>
      <c r="C176" s="32">
        <f>IFERROR(__xludf.DUMMYFUNCTION("""COMPUTED_VALUE"""),46063.55704861111)</f>
        <v>46063.55705</v>
      </c>
      <c r="D176" s="1">
        <f>IFERROR(__xludf.DUMMYFUNCTION("""COMPUTED_VALUE"""),-6.0)</f>
        <v>-6</v>
      </c>
      <c r="E176" s="1"/>
      <c r="F176" s="1"/>
    </row>
    <row r="177">
      <c r="A177" s="1" t="str">
        <f>IFERROR(__xludf.DUMMYFUNCTION("""COMPUTED_VALUE"""),"430bc77a")</f>
        <v>430bc77a</v>
      </c>
      <c r="B177" s="1" t="str">
        <f>IFERROR(__xludf.DUMMYFUNCTION("""COMPUTED_VALUE"""),"bb6c2490")</f>
        <v>bb6c2490</v>
      </c>
      <c r="C177" s="32">
        <f>IFERROR(__xludf.DUMMYFUNCTION("""COMPUTED_VALUE"""),46063.55721064815)</f>
        <v>46063.55721</v>
      </c>
      <c r="D177" s="1">
        <f>IFERROR(__xludf.DUMMYFUNCTION("""COMPUTED_VALUE"""),-16.0)</f>
        <v>-16</v>
      </c>
      <c r="E177" s="1"/>
      <c r="F177" s="1"/>
    </row>
    <row r="178">
      <c r="A178" s="1" t="str">
        <f>IFERROR(__xludf.DUMMYFUNCTION("""COMPUTED_VALUE"""),"9673a519")</f>
        <v>9673a519</v>
      </c>
      <c r="B178" s="1" t="str">
        <f>IFERROR(__xludf.DUMMYFUNCTION("""COMPUTED_VALUE"""),"bb6c2490")</f>
        <v>bb6c2490</v>
      </c>
      <c r="C178" s="32">
        <f>IFERROR(__xludf.DUMMYFUNCTION("""COMPUTED_VALUE"""),46063.557974537034)</f>
        <v>46063.55797</v>
      </c>
      <c r="D178" s="1">
        <f>IFERROR(__xludf.DUMMYFUNCTION("""COMPUTED_VALUE"""),-11.0)</f>
        <v>-11</v>
      </c>
      <c r="E178" s="1"/>
      <c r="F178" s="1"/>
    </row>
    <row r="179">
      <c r="A179" s="1" t="str">
        <f>IFERROR(__xludf.DUMMYFUNCTION("""COMPUTED_VALUE"""),"ed703c0e")</f>
        <v>ed703c0e</v>
      </c>
      <c r="B179" s="1" t="str">
        <f>IFERROR(__xludf.DUMMYFUNCTION("""COMPUTED_VALUE"""),"c099f042")</f>
        <v>c099f042</v>
      </c>
      <c r="C179" s="32">
        <f>IFERROR(__xludf.DUMMYFUNCTION("""COMPUTED_VALUE"""),46063.55836805556)</f>
        <v>46063.55837</v>
      </c>
      <c r="D179" s="1">
        <f>IFERROR(__xludf.DUMMYFUNCTION("""COMPUTED_VALUE"""),-14.0)</f>
        <v>-14</v>
      </c>
      <c r="E179" s="1"/>
      <c r="F179" s="1"/>
    </row>
    <row r="180">
      <c r="A180" s="1" t="str">
        <f>IFERROR(__xludf.DUMMYFUNCTION("""COMPUTED_VALUE"""),"716fa340")</f>
        <v>716fa340</v>
      </c>
      <c r="B180" s="1" t="str">
        <f>IFERROR(__xludf.DUMMYFUNCTION("""COMPUTED_VALUE"""),"492147d3")</f>
        <v>492147d3</v>
      </c>
      <c r="C180" s="32">
        <f>IFERROR(__xludf.DUMMYFUNCTION("""COMPUTED_VALUE"""),46063.55850694444)</f>
        <v>46063.55851</v>
      </c>
      <c r="D180" s="1">
        <f>IFERROR(__xludf.DUMMYFUNCTION("""COMPUTED_VALUE"""),-7.0)</f>
        <v>-7</v>
      </c>
      <c r="E180" s="1"/>
      <c r="F180" s="1"/>
    </row>
    <row r="181">
      <c r="A181" s="1" t="str">
        <f>IFERROR(__xludf.DUMMYFUNCTION("""COMPUTED_VALUE"""),"e29165d6")</f>
        <v>e29165d6</v>
      </c>
      <c r="B181" s="1" t="str">
        <f>IFERROR(__xludf.DUMMYFUNCTION("""COMPUTED_VALUE"""),"b3204174")</f>
        <v>b3204174</v>
      </c>
      <c r="C181" s="32">
        <f>IFERROR(__xludf.DUMMYFUNCTION("""COMPUTED_VALUE"""),46063.55868055556)</f>
        <v>46063.55868</v>
      </c>
      <c r="D181" s="1">
        <f>IFERROR(__xludf.DUMMYFUNCTION("""COMPUTED_VALUE"""),-7.0)</f>
        <v>-7</v>
      </c>
      <c r="E181" s="1"/>
      <c r="F181" s="1"/>
    </row>
    <row r="182">
      <c r="A182" s="1" t="str">
        <f>IFERROR(__xludf.DUMMYFUNCTION("""COMPUTED_VALUE"""),"165a4e26")</f>
        <v>165a4e26</v>
      </c>
      <c r="B182" s="1" t="str">
        <f>IFERROR(__xludf.DUMMYFUNCTION("""COMPUTED_VALUE"""),"cf6c9481")</f>
        <v>cf6c9481</v>
      </c>
      <c r="C182" s="32">
        <f>IFERROR(__xludf.DUMMYFUNCTION("""COMPUTED_VALUE"""),46063.55881944444)</f>
        <v>46063.55882</v>
      </c>
      <c r="D182" s="1">
        <f>IFERROR(__xludf.DUMMYFUNCTION("""COMPUTED_VALUE"""),-24.0)</f>
        <v>-24</v>
      </c>
      <c r="E182" s="1"/>
      <c r="F182" s="1"/>
    </row>
    <row r="183">
      <c r="A183" s="1" t="str">
        <f>IFERROR(__xludf.DUMMYFUNCTION("""COMPUTED_VALUE"""),"c0400872")</f>
        <v>c0400872</v>
      </c>
      <c r="B183" s="1" t="str">
        <f>IFERROR(__xludf.DUMMYFUNCTION("""COMPUTED_VALUE"""),"0049")</f>
        <v>0049</v>
      </c>
      <c r="C183" s="32">
        <f>IFERROR(__xludf.DUMMYFUNCTION("""COMPUTED_VALUE"""),46063.55898148148)</f>
        <v>46063.55898</v>
      </c>
      <c r="D183" s="1">
        <f>IFERROR(__xludf.DUMMYFUNCTION("""COMPUTED_VALUE"""),-15.0)</f>
        <v>-15</v>
      </c>
      <c r="E183" s="1"/>
      <c r="F183" s="1"/>
    </row>
    <row r="184">
      <c r="A184" s="1" t="str">
        <f>IFERROR(__xludf.DUMMYFUNCTION("""COMPUTED_VALUE"""),"9b9c9f9e")</f>
        <v>9b9c9f9e</v>
      </c>
      <c r="B184" s="1" t="str">
        <f>IFERROR(__xludf.DUMMYFUNCTION("""COMPUTED_VALUE"""),"0086")</f>
        <v>0086</v>
      </c>
      <c r="C184" s="32">
        <f>IFERROR(__xludf.DUMMYFUNCTION("""COMPUTED_VALUE"""),46063.55923611111)</f>
        <v>46063.55924</v>
      </c>
      <c r="D184" s="1">
        <f>IFERROR(__xludf.DUMMYFUNCTION("""COMPUTED_VALUE"""),-24.0)</f>
        <v>-24</v>
      </c>
      <c r="E184" s="1"/>
      <c r="F184" s="1"/>
    </row>
    <row r="185">
      <c r="A185" s="1" t="str">
        <f>IFERROR(__xludf.DUMMYFUNCTION("""COMPUTED_VALUE"""),"2a8facba")</f>
        <v>2a8facba</v>
      </c>
      <c r="B185" s="1" t="str">
        <f>IFERROR(__xludf.DUMMYFUNCTION("""COMPUTED_VALUE"""),"0011")</f>
        <v>0011</v>
      </c>
      <c r="C185" s="32">
        <f>IFERROR(__xludf.DUMMYFUNCTION("""COMPUTED_VALUE"""),46063.559375)</f>
        <v>46063.55938</v>
      </c>
      <c r="D185" s="1">
        <f>IFERROR(__xludf.DUMMYFUNCTION("""COMPUTED_VALUE"""),-7.0)</f>
        <v>-7</v>
      </c>
      <c r="E185" s="1"/>
      <c r="F185" s="1"/>
    </row>
    <row r="186">
      <c r="A186" s="1" t="str">
        <f>IFERROR(__xludf.DUMMYFUNCTION("""COMPUTED_VALUE"""),"84452d00")</f>
        <v>84452d00</v>
      </c>
      <c r="B186" s="1" t="str">
        <f>IFERROR(__xludf.DUMMYFUNCTION("""COMPUTED_VALUE"""),"bfd1b639")</f>
        <v>bfd1b639</v>
      </c>
      <c r="C186" s="32">
        <f>IFERROR(__xludf.DUMMYFUNCTION("""COMPUTED_VALUE"""),46063.55954861111)</f>
        <v>46063.55955</v>
      </c>
      <c r="D186" s="1">
        <f>IFERROR(__xludf.DUMMYFUNCTION("""COMPUTED_VALUE"""),-6.0)</f>
        <v>-6</v>
      </c>
      <c r="E186" s="1"/>
      <c r="F186" s="1"/>
    </row>
    <row r="187">
      <c r="A187" s="1" t="str">
        <f>IFERROR(__xludf.DUMMYFUNCTION("""COMPUTED_VALUE"""),"a68b5fd8")</f>
        <v>a68b5fd8</v>
      </c>
      <c r="B187" s="1" t="str">
        <f>IFERROR(__xludf.DUMMYFUNCTION("""COMPUTED_VALUE"""),"0032")</f>
        <v>0032</v>
      </c>
      <c r="C187" s="32">
        <f>IFERROR(__xludf.DUMMYFUNCTION("""COMPUTED_VALUE"""),46063.559699074074)</f>
        <v>46063.5597</v>
      </c>
      <c r="D187" s="1">
        <f>IFERROR(__xludf.DUMMYFUNCTION("""COMPUTED_VALUE"""),-11.0)</f>
        <v>-11</v>
      </c>
      <c r="E187" s="1"/>
      <c r="F187" s="1"/>
    </row>
    <row r="188">
      <c r="A188" s="1" t="str">
        <f>IFERROR(__xludf.DUMMYFUNCTION("""COMPUTED_VALUE"""),"b640e061")</f>
        <v>b640e061</v>
      </c>
      <c r="B188" s="1" t="str">
        <f>IFERROR(__xludf.DUMMYFUNCTION("""COMPUTED_VALUE"""),"0064")</f>
        <v>0064</v>
      </c>
      <c r="C188" s="32">
        <f>IFERROR(__xludf.DUMMYFUNCTION("""COMPUTED_VALUE"""),46063.55982638889)</f>
        <v>46063.55983</v>
      </c>
      <c r="D188" s="1">
        <f>IFERROR(__xludf.DUMMYFUNCTION("""COMPUTED_VALUE"""),-4.0)</f>
        <v>-4</v>
      </c>
      <c r="E188" s="1"/>
      <c r="F188" s="1"/>
    </row>
    <row r="189">
      <c r="A189" s="1" t="str">
        <f>IFERROR(__xludf.DUMMYFUNCTION("""COMPUTED_VALUE"""),"969c4fff")</f>
        <v>969c4fff</v>
      </c>
      <c r="B189" s="1" t="str">
        <f>IFERROR(__xludf.DUMMYFUNCTION("""COMPUTED_VALUE"""),"0021")</f>
        <v>0021</v>
      </c>
      <c r="C189" s="32">
        <f>IFERROR(__xludf.DUMMYFUNCTION("""COMPUTED_VALUE"""),46063.559965277775)</f>
        <v>46063.55997</v>
      </c>
      <c r="D189" s="1">
        <f>IFERROR(__xludf.DUMMYFUNCTION("""COMPUTED_VALUE"""),-8.0)</f>
        <v>-8</v>
      </c>
      <c r="E189" s="1"/>
      <c r="F189" s="1"/>
    </row>
    <row r="190">
      <c r="A190" s="1" t="str">
        <f>IFERROR(__xludf.DUMMYFUNCTION("""COMPUTED_VALUE"""),"26c1a81a")</f>
        <v>26c1a81a</v>
      </c>
      <c r="B190" s="1" t="str">
        <f>IFERROR(__xludf.DUMMYFUNCTION("""COMPUTED_VALUE"""),"0015")</f>
        <v>0015</v>
      </c>
      <c r="C190" s="32">
        <f>IFERROR(__xludf.DUMMYFUNCTION("""COMPUTED_VALUE"""),46063.56018518518)</f>
        <v>46063.56019</v>
      </c>
      <c r="D190" s="1">
        <f>IFERROR(__xludf.DUMMYFUNCTION("""COMPUTED_VALUE"""),-14.0)</f>
        <v>-14</v>
      </c>
      <c r="E190" s="1"/>
      <c r="F190" s="1"/>
    </row>
    <row r="191">
      <c r="A191" s="1" t="str">
        <f>IFERROR(__xludf.DUMMYFUNCTION("""COMPUTED_VALUE"""),"30ea4035")</f>
        <v>30ea4035</v>
      </c>
      <c r="B191" s="1" t="str">
        <f>IFERROR(__xludf.DUMMYFUNCTION("""COMPUTED_VALUE"""),"0029")</f>
        <v>0029</v>
      </c>
      <c r="C191" s="32">
        <f>IFERROR(__xludf.DUMMYFUNCTION("""COMPUTED_VALUE"""),46063.56033564815)</f>
        <v>46063.56034</v>
      </c>
      <c r="D191" s="1">
        <f>IFERROR(__xludf.DUMMYFUNCTION("""COMPUTED_VALUE"""),-12.0)</f>
        <v>-12</v>
      </c>
      <c r="E191" s="1"/>
      <c r="F191" s="1"/>
    </row>
    <row r="192">
      <c r="A192" s="1" t="str">
        <f>IFERROR(__xludf.DUMMYFUNCTION("""COMPUTED_VALUE"""),"b62a3bf7")</f>
        <v>b62a3bf7</v>
      </c>
      <c r="B192" s="1" t="str">
        <f>IFERROR(__xludf.DUMMYFUNCTION("""COMPUTED_VALUE"""),"0054")</f>
        <v>0054</v>
      </c>
      <c r="C192" s="32">
        <f>IFERROR(__xludf.DUMMYFUNCTION("""COMPUTED_VALUE"""),46063.560520833336)</f>
        <v>46063.56052</v>
      </c>
      <c r="D192" s="1">
        <f>IFERROR(__xludf.DUMMYFUNCTION("""COMPUTED_VALUE"""),-2.0)</f>
        <v>-2</v>
      </c>
      <c r="E192" s="1"/>
      <c r="F192" s="1"/>
    </row>
    <row r="193">
      <c r="A193" s="1" t="str">
        <f>IFERROR(__xludf.DUMMYFUNCTION("""COMPUTED_VALUE"""),"157e4b91")</f>
        <v>157e4b91</v>
      </c>
      <c r="B193" s="1" t="str">
        <f>IFERROR(__xludf.DUMMYFUNCTION("""COMPUTED_VALUE"""),"a3f74383")</f>
        <v>a3f74383</v>
      </c>
      <c r="C193" s="32">
        <f>IFERROR(__xludf.DUMMYFUNCTION("""COMPUTED_VALUE"""),46063.5606712963)</f>
        <v>46063.56067</v>
      </c>
      <c r="D193" s="1">
        <f>IFERROR(__xludf.DUMMYFUNCTION("""COMPUTED_VALUE"""),-4.0)</f>
        <v>-4</v>
      </c>
      <c r="E193" s="1"/>
      <c r="F193" s="1"/>
    </row>
    <row r="194">
      <c r="A194" s="1" t="str">
        <f>IFERROR(__xludf.DUMMYFUNCTION("""COMPUTED_VALUE"""),"f9beda82")</f>
        <v>f9beda82</v>
      </c>
      <c r="B194" s="1" t="str">
        <f>IFERROR(__xludf.DUMMYFUNCTION("""COMPUTED_VALUE"""),"0002")</f>
        <v>0002</v>
      </c>
      <c r="C194" s="32">
        <f>IFERROR(__xludf.DUMMYFUNCTION("""COMPUTED_VALUE"""),46063.56466435185)</f>
        <v>46063.56466</v>
      </c>
      <c r="D194" s="1">
        <f>IFERROR(__xludf.DUMMYFUNCTION("""COMPUTED_VALUE"""),-36.0)</f>
        <v>-36</v>
      </c>
      <c r="E194" s="1"/>
      <c r="F194" s="1"/>
    </row>
    <row r="195">
      <c r="A195" s="1" t="str">
        <f>IFERROR(__xludf.DUMMYFUNCTION("""COMPUTED_VALUE"""),"fea98f62")</f>
        <v>fea98f62</v>
      </c>
      <c r="B195" s="1" t="str">
        <f>IFERROR(__xludf.DUMMYFUNCTION("""COMPUTED_VALUE"""),"83dd14b5")</f>
        <v>83dd14b5</v>
      </c>
      <c r="C195" s="32">
        <f>IFERROR(__xludf.DUMMYFUNCTION("""COMPUTED_VALUE"""),46063.56765046297)</f>
        <v>46063.56765</v>
      </c>
      <c r="D195" s="1">
        <f>IFERROR(__xludf.DUMMYFUNCTION("""COMPUTED_VALUE"""),-16.0)</f>
        <v>-16</v>
      </c>
      <c r="E195" s="1"/>
      <c r="F195" s="1"/>
    </row>
    <row r="196">
      <c r="A196" s="1" t="str">
        <f>IFERROR(__xludf.DUMMYFUNCTION("""COMPUTED_VALUE"""),"ec56984b")</f>
        <v>ec56984b</v>
      </c>
      <c r="B196" s="1" t="str">
        <f>IFERROR(__xludf.DUMMYFUNCTION("""COMPUTED_VALUE"""),"0019")</f>
        <v>0019</v>
      </c>
      <c r="C196" s="32">
        <f>IFERROR(__xludf.DUMMYFUNCTION("""COMPUTED_VALUE"""),46063.56893518518)</f>
        <v>46063.56894</v>
      </c>
      <c r="D196" s="1">
        <f>IFERROR(__xludf.DUMMYFUNCTION("""COMPUTED_VALUE"""),-29.0)</f>
        <v>-29</v>
      </c>
      <c r="E196" s="1"/>
      <c r="F196" s="1"/>
    </row>
    <row r="197">
      <c r="A197" s="1" t="str">
        <f>IFERROR(__xludf.DUMMYFUNCTION("""COMPUTED_VALUE"""),"c88c01cc")</f>
        <v>c88c01cc</v>
      </c>
      <c r="B197" s="1" t="str">
        <f>IFERROR(__xludf.DUMMYFUNCTION("""COMPUTED_VALUE"""),"cf6c9481")</f>
        <v>cf6c9481</v>
      </c>
      <c r="C197" s="32">
        <f>IFERROR(__xludf.DUMMYFUNCTION("""COMPUTED_VALUE"""),46063.6271875)</f>
        <v>46063.62719</v>
      </c>
      <c r="D197" s="1">
        <f>IFERROR(__xludf.DUMMYFUNCTION("""COMPUTED_VALUE"""),2.0)</f>
        <v>2</v>
      </c>
      <c r="E197" s="1"/>
      <c r="F197" s="1"/>
    </row>
    <row r="198">
      <c r="A198" s="1" t="str">
        <f>IFERROR(__xludf.DUMMYFUNCTION("""COMPUTED_VALUE"""),"ed0842c0")</f>
        <v>ed0842c0</v>
      </c>
      <c r="B198" s="1" t="str">
        <f>IFERROR(__xludf.DUMMYFUNCTION("""COMPUTED_VALUE"""),"308fcfb2")</f>
        <v>308fcfb2</v>
      </c>
      <c r="C198" s="32">
        <f>IFERROR(__xludf.DUMMYFUNCTION("""COMPUTED_VALUE"""),46063.64766203704)</f>
        <v>46063.64766</v>
      </c>
      <c r="D198" s="1">
        <f>IFERROR(__xludf.DUMMYFUNCTION("""COMPUTED_VALUE"""),2.0)</f>
        <v>2</v>
      </c>
      <c r="E198" s="1"/>
      <c r="F198" s="1"/>
    </row>
    <row r="199">
      <c r="A199" s="1" t="str">
        <f>IFERROR(__xludf.DUMMYFUNCTION("""COMPUTED_VALUE"""),"847df8eb")</f>
        <v>847df8eb</v>
      </c>
      <c r="B199" s="1" t="str">
        <f>IFERROR(__xludf.DUMMYFUNCTION("""COMPUTED_VALUE"""),"b3204174")</f>
        <v>b3204174</v>
      </c>
      <c r="C199" s="32">
        <f>IFERROR(__xludf.DUMMYFUNCTION("""COMPUTED_VALUE"""),46063.64784722222)</f>
        <v>46063.64785</v>
      </c>
      <c r="D199" s="1">
        <f>IFERROR(__xludf.DUMMYFUNCTION("""COMPUTED_VALUE"""),7.0)</f>
        <v>7</v>
      </c>
      <c r="E199" s="1"/>
      <c r="F199" s="1"/>
    </row>
    <row r="200">
      <c r="A200" s="1" t="str">
        <f>IFERROR(__xludf.DUMMYFUNCTION("""COMPUTED_VALUE"""),"f72b6d6b")</f>
        <v>f72b6d6b</v>
      </c>
      <c r="B200" s="1" t="str">
        <f>IFERROR(__xludf.DUMMYFUNCTION("""COMPUTED_VALUE"""),"0008")</f>
        <v>0008</v>
      </c>
      <c r="C200" s="32">
        <f>IFERROR(__xludf.DUMMYFUNCTION("""COMPUTED_VALUE"""),46063.77501157407)</f>
        <v>46063.77501</v>
      </c>
      <c r="D200" s="1">
        <f>IFERROR(__xludf.DUMMYFUNCTION("""COMPUTED_VALUE"""),-3.0)</f>
        <v>-3</v>
      </c>
      <c r="E200" s="1"/>
      <c r="F200" s="1"/>
    </row>
    <row r="201">
      <c r="A201" s="1" t="str">
        <f>IFERROR(__xludf.DUMMYFUNCTION("""COMPUTED_VALUE"""),"c5bd588a")</f>
        <v>c5bd588a</v>
      </c>
      <c r="B201" s="1" t="str">
        <f>IFERROR(__xludf.DUMMYFUNCTION("""COMPUTED_VALUE"""),"bfd1b639")</f>
        <v>bfd1b639</v>
      </c>
      <c r="C201" s="32">
        <f>IFERROR(__xludf.DUMMYFUNCTION("""COMPUTED_VALUE"""),46063.77527777778)</f>
        <v>46063.77528</v>
      </c>
      <c r="D201" s="1">
        <f>IFERROR(__xludf.DUMMYFUNCTION("""COMPUTED_VALUE"""),-4.0)</f>
        <v>-4</v>
      </c>
      <c r="E201" s="1"/>
      <c r="F201" s="1"/>
    </row>
    <row r="202">
      <c r="A202" s="1" t="str">
        <f>IFERROR(__xludf.DUMMYFUNCTION("""COMPUTED_VALUE"""),"706c41b9")</f>
        <v>706c41b9</v>
      </c>
      <c r="B202" s="1" t="str">
        <f>IFERROR(__xludf.DUMMYFUNCTION("""COMPUTED_VALUE"""),"c099f042")</f>
        <v>c099f042</v>
      </c>
      <c r="C202" s="32">
        <f>IFERROR(__xludf.DUMMYFUNCTION("""COMPUTED_VALUE"""),46063.90204861111)</f>
        <v>46063.90205</v>
      </c>
      <c r="D202" s="1">
        <f>IFERROR(__xludf.DUMMYFUNCTION("""COMPUTED_VALUE"""),-14.0)</f>
        <v>-14</v>
      </c>
      <c r="E202" s="1"/>
      <c r="F202" s="1"/>
    </row>
    <row r="203">
      <c r="A203" s="1" t="str">
        <f>IFERROR(__xludf.DUMMYFUNCTION("""COMPUTED_VALUE"""),"f0aafe20")</f>
        <v>f0aafe20</v>
      </c>
      <c r="B203" s="1" t="str">
        <f>IFERROR(__xludf.DUMMYFUNCTION("""COMPUTED_VALUE"""),"9f3ec79c")</f>
        <v>9f3ec79c</v>
      </c>
      <c r="C203" s="32">
        <f>IFERROR(__xludf.DUMMYFUNCTION("""COMPUTED_VALUE"""),46063.90212962963)</f>
        <v>46063.90213</v>
      </c>
      <c r="D203" s="1">
        <f>IFERROR(__xludf.DUMMYFUNCTION("""COMPUTED_VALUE"""),-5.0)</f>
        <v>-5</v>
      </c>
      <c r="E203" s="1"/>
      <c r="F203" s="1"/>
    </row>
    <row r="204">
      <c r="A204" s="1" t="str">
        <f>IFERROR(__xludf.DUMMYFUNCTION("""COMPUTED_VALUE"""),"94707de0")</f>
        <v>94707de0</v>
      </c>
      <c r="B204" s="1" t="str">
        <f>IFERROR(__xludf.DUMMYFUNCTION("""COMPUTED_VALUE"""),"492147d3")</f>
        <v>492147d3</v>
      </c>
      <c r="C204" s="32">
        <f>IFERROR(__xludf.DUMMYFUNCTION("""COMPUTED_VALUE"""),46063.90217592593)</f>
        <v>46063.90218</v>
      </c>
      <c r="D204" s="1">
        <f>IFERROR(__xludf.DUMMYFUNCTION("""COMPUTED_VALUE"""),-5.0)</f>
        <v>-5</v>
      </c>
      <c r="E204" s="1"/>
      <c r="F204" s="1"/>
    </row>
    <row r="205">
      <c r="A205" s="1" t="str">
        <f>IFERROR(__xludf.DUMMYFUNCTION("""COMPUTED_VALUE"""),"d2ba047b")</f>
        <v>d2ba047b</v>
      </c>
      <c r="B205" s="1" t="str">
        <f>IFERROR(__xludf.DUMMYFUNCTION("""COMPUTED_VALUE"""),"0006")</f>
        <v>0006</v>
      </c>
      <c r="C205" s="32">
        <f>IFERROR(__xludf.DUMMYFUNCTION("""COMPUTED_VALUE"""),46063.90225694444)</f>
        <v>46063.90226</v>
      </c>
      <c r="D205" s="1">
        <f>IFERROR(__xludf.DUMMYFUNCTION("""COMPUTED_VALUE"""),-7.0)</f>
        <v>-7</v>
      </c>
      <c r="E205" s="1"/>
      <c r="F205" s="1"/>
    </row>
    <row r="206">
      <c r="A206" s="1" t="str">
        <f>IFERROR(__xludf.DUMMYFUNCTION("""COMPUTED_VALUE"""),"4aefdbfc")</f>
        <v>4aefdbfc</v>
      </c>
      <c r="B206" s="1" t="str">
        <f>IFERROR(__xludf.DUMMYFUNCTION("""COMPUTED_VALUE"""),"0086")</f>
        <v>0086</v>
      </c>
      <c r="C206" s="32">
        <f>IFERROR(__xludf.DUMMYFUNCTION("""COMPUTED_VALUE"""),46063.902453703704)</f>
        <v>46063.90245</v>
      </c>
      <c r="D206" s="1">
        <f>IFERROR(__xludf.DUMMYFUNCTION("""COMPUTED_VALUE"""),-20.0)</f>
        <v>-20</v>
      </c>
      <c r="E206" s="1"/>
      <c r="F206" s="1"/>
    </row>
    <row r="207">
      <c r="A207" s="1" t="str">
        <f>IFERROR(__xludf.DUMMYFUNCTION("""COMPUTED_VALUE"""),"cbc2ca64")</f>
        <v>cbc2ca64</v>
      </c>
      <c r="B207" s="1" t="str">
        <f>IFERROR(__xludf.DUMMYFUNCTION("""COMPUTED_VALUE"""),"0019")</f>
        <v>0019</v>
      </c>
      <c r="C207" s="32">
        <f>IFERROR(__xludf.DUMMYFUNCTION("""COMPUTED_VALUE"""),46063.902719907404)</f>
        <v>46063.90272</v>
      </c>
      <c r="D207" s="1">
        <f>IFERROR(__xludf.DUMMYFUNCTION("""COMPUTED_VALUE"""),-24.0)</f>
        <v>-24</v>
      </c>
      <c r="E207" s="1"/>
      <c r="F207" s="1"/>
    </row>
    <row r="208">
      <c r="A208" s="1" t="str">
        <f>IFERROR(__xludf.DUMMYFUNCTION("""COMPUTED_VALUE"""),"6af673be")</f>
        <v>6af673be</v>
      </c>
      <c r="B208" s="1" t="str">
        <f>IFERROR(__xludf.DUMMYFUNCTION("""COMPUTED_VALUE"""),"0028")</f>
        <v>0028</v>
      </c>
      <c r="C208" s="32">
        <f>IFERROR(__xludf.DUMMYFUNCTION("""COMPUTED_VALUE"""),46063.90282407407)</f>
        <v>46063.90282</v>
      </c>
      <c r="D208" s="1">
        <f>IFERROR(__xludf.DUMMYFUNCTION("""COMPUTED_VALUE"""),-8.0)</f>
        <v>-8</v>
      </c>
      <c r="E208" s="1"/>
      <c r="F208" s="1"/>
    </row>
    <row r="209">
      <c r="A209" s="1" t="str">
        <f>IFERROR(__xludf.DUMMYFUNCTION("""COMPUTED_VALUE"""),"784d9d44")</f>
        <v>784d9d44</v>
      </c>
      <c r="B209" s="1" t="str">
        <f>IFERROR(__xludf.DUMMYFUNCTION("""COMPUTED_VALUE"""),"0021")</f>
        <v>0021</v>
      </c>
      <c r="C209" s="32">
        <f>IFERROR(__xludf.DUMMYFUNCTION("""COMPUTED_VALUE"""),46063.90309027778)</f>
        <v>46063.90309</v>
      </c>
      <c r="D209" s="1">
        <f>IFERROR(__xludf.DUMMYFUNCTION("""COMPUTED_VALUE"""),-12.0)</f>
        <v>-12</v>
      </c>
      <c r="E209" s="1"/>
      <c r="F209" s="1"/>
    </row>
    <row r="210">
      <c r="A210" s="1" t="str">
        <f>IFERROR(__xludf.DUMMYFUNCTION("""COMPUTED_VALUE"""),"17986214")</f>
        <v>17986214</v>
      </c>
      <c r="B210" s="1" t="str">
        <f>IFERROR(__xludf.DUMMYFUNCTION("""COMPUTED_VALUE"""),"0030")</f>
        <v>0030</v>
      </c>
      <c r="C210" s="32">
        <f>IFERROR(__xludf.DUMMYFUNCTION("""COMPUTED_VALUE"""),46063.903287037036)</f>
        <v>46063.90329</v>
      </c>
      <c r="D210" s="1">
        <f>IFERROR(__xludf.DUMMYFUNCTION("""COMPUTED_VALUE"""),-7.0)</f>
        <v>-7</v>
      </c>
      <c r="E210" s="1"/>
      <c r="F210" s="1"/>
    </row>
    <row r="211">
      <c r="A211" s="1" t="str">
        <f>IFERROR(__xludf.DUMMYFUNCTION("""COMPUTED_VALUE"""),"4856e0a1")</f>
        <v>4856e0a1</v>
      </c>
      <c r="B211" s="1" t="str">
        <f>IFERROR(__xludf.DUMMYFUNCTION("""COMPUTED_VALUE"""),"bb6c2490")</f>
        <v>bb6c2490</v>
      </c>
      <c r="C211" s="32">
        <f>IFERROR(__xludf.DUMMYFUNCTION("""COMPUTED_VALUE"""),46063.9034375)</f>
        <v>46063.90344</v>
      </c>
      <c r="D211" s="1">
        <f>IFERROR(__xludf.DUMMYFUNCTION("""COMPUTED_VALUE"""),-29.0)</f>
        <v>-29</v>
      </c>
      <c r="E211" s="1"/>
      <c r="F211" s="1"/>
    </row>
    <row r="212">
      <c r="A212" s="1" t="str">
        <f>IFERROR(__xludf.DUMMYFUNCTION("""COMPUTED_VALUE"""),"e6d7d2de")</f>
        <v>e6d7d2de</v>
      </c>
      <c r="B212" s="1" t="str">
        <f>IFERROR(__xludf.DUMMYFUNCTION("""COMPUTED_VALUE"""),"e28d366b")</f>
        <v>e28d366b</v>
      </c>
      <c r="C212" s="32">
        <f>IFERROR(__xludf.DUMMYFUNCTION("""COMPUTED_VALUE"""),46063.903645833336)</f>
        <v>46063.90365</v>
      </c>
      <c r="D212" s="1">
        <f>IFERROR(__xludf.DUMMYFUNCTION("""COMPUTED_VALUE"""),-18.0)</f>
        <v>-18</v>
      </c>
      <c r="E212" s="1"/>
      <c r="F212" s="1"/>
    </row>
    <row r="213">
      <c r="A213" s="1" t="str">
        <f>IFERROR(__xludf.DUMMYFUNCTION("""COMPUTED_VALUE"""),"309dd432")</f>
        <v>309dd432</v>
      </c>
      <c r="B213" s="1" t="str">
        <f>IFERROR(__xludf.DUMMYFUNCTION("""COMPUTED_VALUE"""),"cf6c9481")</f>
        <v>cf6c9481</v>
      </c>
      <c r="C213" s="32">
        <f>IFERROR(__xludf.DUMMYFUNCTION("""COMPUTED_VALUE"""),46063.903819444444)</f>
        <v>46063.90382</v>
      </c>
      <c r="D213" s="1">
        <f>IFERROR(__xludf.DUMMYFUNCTION("""COMPUTED_VALUE"""),-20.0)</f>
        <v>-20</v>
      </c>
      <c r="E213" s="1"/>
      <c r="F213" s="1"/>
    </row>
    <row r="214">
      <c r="A214" s="1" t="str">
        <f>IFERROR(__xludf.DUMMYFUNCTION("""COMPUTED_VALUE"""),"9bbc11e2")</f>
        <v>9bbc11e2</v>
      </c>
      <c r="B214" s="1" t="str">
        <f>IFERROR(__xludf.DUMMYFUNCTION("""COMPUTED_VALUE"""),"0049")</f>
        <v>0049</v>
      </c>
      <c r="C214" s="32">
        <f>IFERROR(__xludf.DUMMYFUNCTION("""COMPUTED_VALUE"""),46063.9047337963)</f>
        <v>46063.90473</v>
      </c>
      <c r="D214" s="1">
        <f>IFERROR(__xludf.DUMMYFUNCTION("""COMPUTED_VALUE"""),-14.0)</f>
        <v>-14</v>
      </c>
      <c r="E214" s="1"/>
      <c r="F214" s="1"/>
    </row>
    <row r="215">
      <c r="A215" s="1" t="str">
        <f>IFERROR(__xludf.DUMMYFUNCTION("""COMPUTED_VALUE"""),"fdb78374")</f>
        <v>fdb78374</v>
      </c>
      <c r="B215" s="1" t="str">
        <f>IFERROR(__xludf.DUMMYFUNCTION("""COMPUTED_VALUE"""),"7cd3aac7")</f>
        <v>7cd3aac7</v>
      </c>
      <c r="C215" s="32">
        <f>IFERROR(__xludf.DUMMYFUNCTION("""COMPUTED_VALUE"""),46063.90509259259)</f>
        <v>46063.90509</v>
      </c>
      <c r="D215" s="1">
        <f>IFERROR(__xludf.DUMMYFUNCTION("""COMPUTED_VALUE"""),-10.0)</f>
        <v>-10</v>
      </c>
      <c r="E215" s="1"/>
      <c r="F215" s="1"/>
    </row>
    <row r="216">
      <c r="A216" s="1" t="str">
        <f>IFERROR(__xludf.DUMMYFUNCTION("""COMPUTED_VALUE"""),"49f5478c")</f>
        <v>49f5478c</v>
      </c>
      <c r="B216" s="1" t="str">
        <f>IFERROR(__xludf.DUMMYFUNCTION("""COMPUTED_VALUE"""),"0032")</f>
        <v>0032</v>
      </c>
      <c r="C216" s="32">
        <f>IFERROR(__xludf.DUMMYFUNCTION("""COMPUTED_VALUE"""),46063.90592592592)</f>
        <v>46063.90593</v>
      </c>
      <c r="D216" s="1">
        <f>IFERROR(__xludf.DUMMYFUNCTION("""COMPUTED_VALUE"""),-14.0)</f>
        <v>-14</v>
      </c>
      <c r="E216" s="1"/>
      <c r="F216" s="1"/>
    </row>
    <row r="217">
      <c r="A217" s="1" t="str">
        <f>IFERROR(__xludf.DUMMYFUNCTION("""COMPUTED_VALUE"""),"5a5a650a")</f>
        <v>5a5a650a</v>
      </c>
      <c r="B217" s="1" t="str">
        <f>IFERROR(__xludf.DUMMYFUNCTION("""COMPUTED_VALUE"""),"0032")</f>
        <v>0032</v>
      </c>
      <c r="C217" s="32">
        <f>IFERROR(__xludf.DUMMYFUNCTION("""COMPUTED_VALUE"""),46063.906319444446)</f>
        <v>46063.90632</v>
      </c>
      <c r="D217" s="1">
        <f>IFERROR(__xludf.DUMMYFUNCTION("""COMPUTED_VALUE"""),-6.0)</f>
        <v>-6</v>
      </c>
      <c r="E217" s="1"/>
      <c r="F217" s="1"/>
    </row>
    <row r="218">
      <c r="A218" s="1" t="str">
        <f>IFERROR(__xludf.DUMMYFUNCTION("""COMPUTED_VALUE"""),"63cbcd68")</f>
        <v>63cbcd68</v>
      </c>
      <c r="B218" s="1" t="str">
        <f>IFERROR(__xludf.DUMMYFUNCTION("""COMPUTED_VALUE"""),"0064")</f>
        <v>0064</v>
      </c>
      <c r="C218" s="32">
        <f>IFERROR(__xludf.DUMMYFUNCTION("""COMPUTED_VALUE"""),46063.9065625)</f>
        <v>46063.90656</v>
      </c>
      <c r="D218" s="1">
        <f>IFERROR(__xludf.DUMMYFUNCTION("""COMPUTED_VALUE"""),-7.0)</f>
        <v>-7</v>
      </c>
      <c r="E218" s="1"/>
      <c r="F218" s="1"/>
    </row>
    <row r="219">
      <c r="A219" s="1" t="str">
        <f>IFERROR(__xludf.DUMMYFUNCTION("""COMPUTED_VALUE"""),"e2d52b6e")</f>
        <v>e2d52b6e</v>
      </c>
      <c r="B219" s="1" t="str">
        <f>IFERROR(__xludf.DUMMYFUNCTION("""COMPUTED_VALUE"""),"d8e8d66a")</f>
        <v>d8e8d66a</v>
      </c>
      <c r="C219" s="32">
        <f>IFERROR(__xludf.DUMMYFUNCTION("""COMPUTED_VALUE"""),46063.90726851852)</f>
        <v>46063.90727</v>
      </c>
      <c r="D219" s="1">
        <f>IFERROR(__xludf.DUMMYFUNCTION("""COMPUTED_VALUE"""),-6.0)</f>
        <v>-6</v>
      </c>
      <c r="E219" s="1"/>
      <c r="F219" s="1"/>
    </row>
    <row r="220">
      <c r="A220" s="1" t="str">
        <f>IFERROR(__xludf.DUMMYFUNCTION("""COMPUTED_VALUE"""),"47a7a96b")</f>
        <v>47a7a96b</v>
      </c>
      <c r="B220" s="1" t="str">
        <f>IFERROR(__xludf.DUMMYFUNCTION("""COMPUTED_VALUE"""),"0065")</f>
        <v>0065</v>
      </c>
      <c r="C220" s="32">
        <f>IFERROR(__xludf.DUMMYFUNCTION("""COMPUTED_VALUE"""),46063.907638888886)</f>
        <v>46063.90764</v>
      </c>
      <c r="D220" s="1">
        <f>IFERROR(__xludf.DUMMYFUNCTION("""COMPUTED_VALUE"""),-14.0)</f>
        <v>-14</v>
      </c>
      <c r="E220" s="1"/>
      <c r="F220" s="1"/>
    </row>
    <row r="221">
      <c r="A221" s="1" t="str">
        <f>IFERROR(__xludf.DUMMYFUNCTION("""COMPUTED_VALUE"""),"05d52f6a")</f>
        <v>05d52f6a</v>
      </c>
      <c r="B221" s="1" t="str">
        <f>IFERROR(__xludf.DUMMYFUNCTION("""COMPUTED_VALUE"""),"1b6b5ed6")</f>
        <v>1b6b5ed6</v>
      </c>
      <c r="C221" s="32">
        <f>IFERROR(__xludf.DUMMYFUNCTION("""COMPUTED_VALUE"""),46063.90837962963)</f>
        <v>46063.90838</v>
      </c>
      <c r="D221" s="1">
        <f>IFERROR(__xludf.DUMMYFUNCTION("""COMPUTED_VALUE"""),-24.0)</f>
        <v>-24</v>
      </c>
      <c r="E221" s="1"/>
      <c r="F221" s="1"/>
    </row>
    <row r="222">
      <c r="A222" s="1" t="str">
        <f>IFERROR(__xludf.DUMMYFUNCTION("""COMPUTED_VALUE"""),"8801757a")</f>
        <v>8801757a</v>
      </c>
      <c r="B222" s="1" t="str">
        <f>IFERROR(__xludf.DUMMYFUNCTION("""COMPUTED_VALUE"""),"6670c5c1")</f>
        <v>6670c5c1</v>
      </c>
      <c r="C222" s="32">
        <f>IFERROR(__xludf.DUMMYFUNCTION("""COMPUTED_VALUE"""),46063.90866898148)</f>
        <v>46063.90867</v>
      </c>
      <c r="D222" s="1">
        <f>IFERROR(__xludf.DUMMYFUNCTION("""COMPUTED_VALUE"""),-8.0)</f>
        <v>-8</v>
      </c>
      <c r="E222" s="1"/>
      <c r="F222" s="1"/>
    </row>
    <row r="223">
      <c r="A223" s="1" t="str">
        <f>IFERROR(__xludf.DUMMYFUNCTION("""COMPUTED_VALUE"""),"2634344e")</f>
        <v>2634344e</v>
      </c>
      <c r="B223" s="1" t="str">
        <f>IFERROR(__xludf.DUMMYFUNCTION("""COMPUTED_VALUE"""),"567c0b27")</f>
        <v>567c0b27</v>
      </c>
      <c r="C223" s="32">
        <f>IFERROR(__xludf.DUMMYFUNCTION("""COMPUTED_VALUE"""),46063.90895833333)</f>
        <v>46063.90896</v>
      </c>
      <c r="D223" s="1">
        <f>IFERROR(__xludf.DUMMYFUNCTION("""COMPUTED_VALUE"""),-4.0)</f>
        <v>-4</v>
      </c>
      <c r="E223" s="1"/>
      <c r="F223" s="1"/>
    </row>
    <row r="224">
      <c r="A224" s="1" t="str">
        <f>IFERROR(__xludf.DUMMYFUNCTION("""COMPUTED_VALUE"""),"b466716b")</f>
        <v>b466716b</v>
      </c>
      <c r="B224" s="1" t="str">
        <f>IFERROR(__xludf.DUMMYFUNCTION("""COMPUTED_VALUE"""),"0020")</f>
        <v>0020</v>
      </c>
      <c r="C224" s="32">
        <f>IFERROR(__xludf.DUMMYFUNCTION("""COMPUTED_VALUE"""),46063.90912037037)</f>
        <v>46063.90912</v>
      </c>
      <c r="D224" s="1">
        <f>IFERROR(__xludf.DUMMYFUNCTION("""COMPUTED_VALUE"""),-12.0)</f>
        <v>-12</v>
      </c>
      <c r="E224" s="1"/>
      <c r="F224" s="1"/>
    </row>
    <row r="225">
      <c r="A225" s="1" t="str">
        <f>IFERROR(__xludf.DUMMYFUNCTION("""COMPUTED_VALUE"""),"d5e7cde7")</f>
        <v>d5e7cde7</v>
      </c>
      <c r="B225" s="1" t="str">
        <f>IFERROR(__xludf.DUMMYFUNCTION("""COMPUTED_VALUE"""),"0021")</f>
        <v>0021</v>
      </c>
      <c r="C225" s="32">
        <f>IFERROR(__xludf.DUMMYFUNCTION("""COMPUTED_VALUE"""),46063.9096412037)</f>
        <v>46063.90964</v>
      </c>
      <c r="D225" s="1">
        <f>IFERROR(__xludf.DUMMYFUNCTION("""COMPUTED_VALUE"""),-11.0)</f>
        <v>-11</v>
      </c>
      <c r="E225" s="1"/>
      <c r="F225" s="1"/>
    </row>
    <row r="226">
      <c r="A226" s="1" t="str">
        <f>IFERROR(__xludf.DUMMYFUNCTION("""COMPUTED_VALUE"""),"bcb645b2")</f>
        <v>bcb645b2</v>
      </c>
      <c r="B226" s="1" t="str">
        <f>IFERROR(__xludf.DUMMYFUNCTION("""COMPUTED_VALUE"""),"0038")</f>
        <v>0038</v>
      </c>
      <c r="C226" s="32">
        <f>IFERROR(__xludf.DUMMYFUNCTION("""COMPUTED_VALUE"""),46063.91003472222)</f>
        <v>46063.91003</v>
      </c>
      <c r="D226" s="1">
        <f>IFERROR(__xludf.DUMMYFUNCTION("""COMPUTED_VALUE"""),-6.0)</f>
        <v>-6</v>
      </c>
      <c r="E226" s="1"/>
      <c r="F226" s="1"/>
    </row>
    <row r="227">
      <c r="A227" s="1" t="str">
        <f>IFERROR(__xludf.DUMMYFUNCTION("""COMPUTED_VALUE"""),"4dd5019e")</f>
        <v>4dd5019e</v>
      </c>
      <c r="B227" s="1" t="str">
        <f>IFERROR(__xludf.DUMMYFUNCTION("""COMPUTED_VALUE"""),"364fe321")</f>
        <v>364fe321</v>
      </c>
      <c r="C227" s="32">
        <f>IFERROR(__xludf.DUMMYFUNCTION("""COMPUTED_VALUE"""),46063.91111111111)</f>
        <v>46063.91111</v>
      </c>
      <c r="D227" s="1">
        <f>IFERROR(__xludf.DUMMYFUNCTION("""COMPUTED_VALUE"""),-6.0)</f>
        <v>-6</v>
      </c>
      <c r="E227" s="1"/>
      <c r="F227" s="1"/>
    </row>
    <row r="228">
      <c r="A228" s="1" t="str">
        <f>IFERROR(__xludf.DUMMYFUNCTION("""COMPUTED_VALUE"""),"d070aca7")</f>
        <v>d070aca7</v>
      </c>
      <c r="B228" s="1" t="str">
        <f>IFERROR(__xludf.DUMMYFUNCTION("""COMPUTED_VALUE"""),"b112660a")</f>
        <v>b112660a</v>
      </c>
      <c r="C228" s="32">
        <f>IFERROR(__xludf.DUMMYFUNCTION("""COMPUTED_VALUE"""),46063.91118055556)</f>
        <v>46063.91118</v>
      </c>
      <c r="D228" s="1">
        <f>IFERROR(__xludf.DUMMYFUNCTION("""COMPUTED_VALUE"""),-6.0)</f>
        <v>-6</v>
      </c>
      <c r="E228" s="1"/>
      <c r="F228" s="1"/>
    </row>
    <row r="229">
      <c r="A229" s="1" t="str">
        <f>IFERROR(__xludf.DUMMYFUNCTION("""COMPUTED_VALUE"""),"269b006b")</f>
        <v>269b006b</v>
      </c>
      <c r="B229" s="1" t="str">
        <f>IFERROR(__xludf.DUMMYFUNCTION("""COMPUTED_VALUE"""),"0005")</f>
        <v>0005</v>
      </c>
      <c r="C229" s="32">
        <f>IFERROR(__xludf.DUMMYFUNCTION("""COMPUTED_VALUE"""),46063.911307870374)</f>
        <v>46063.91131</v>
      </c>
      <c r="D229" s="1">
        <f>IFERROR(__xludf.DUMMYFUNCTION("""COMPUTED_VALUE"""),-6.0)</f>
        <v>-6</v>
      </c>
      <c r="E229" s="1"/>
      <c r="F229" s="1"/>
    </row>
    <row r="230">
      <c r="A230" s="1" t="str">
        <f>IFERROR(__xludf.DUMMYFUNCTION("""COMPUTED_VALUE"""),"55c166f9")</f>
        <v>55c166f9</v>
      </c>
      <c r="B230" s="1" t="str">
        <f>IFERROR(__xludf.DUMMYFUNCTION("""COMPUTED_VALUE"""),"649eaeb5")</f>
        <v>649eaeb5</v>
      </c>
      <c r="C230" s="32">
        <f>IFERROR(__xludf.DUMMYFUNCTION("""COMPUTED_VALUE"""),46063.911412037036)</f>
        <v>46063.91141</v>
      </c>
      <c r="D230" s="1">
        <f>IFERROR(__xludf.DUMMYFUNCTION("""COMPUTED_VALUE"""),-6.0)</f>
        <v>-6</v>
      </c>
      <c r="E230" s="1"/>
      <c r="F230" s="1"/>
    </row>
    <row r="231">
      <c r="A231" s="1" t="str">
        <f>IFERROR(__xludf.DUMMYFUNCTION("""COMPUTED_VALUE"""),"f4c3c81f")</f>
        <v>f4c3c81f</v>
      </c>
      <c r="B231" s="1" t="str">
        <f>IFERROR(__xludf.DUMMYFUNCTION("""COMPUTED_VALUE"""),"0019")</f>
        <v>0019</v>
      </c>
      <c r="C231" s="32">
        <f>IFERROR(__xludf.DUMMYFUNCTION("""COMPUTED_VALUE"""),46063.91300925926)</f>
        <v>46063.91301</v>
      </c>
      <c r="D231" s="1">
        <f>IFERROR(__xludf.DUMMYFUNCTION("""COMPUTED_VALUE"""),29.0)</f>
        <v>29</v>
      </c>
      <c r="E231" s="1"/>
      <c r="F231" s="1"/>
    </row>
    <row r="232">
      <c r="A232" s="1" t="str">
        <f>IFERROR(__xludf.DUMMYFUNCTION("""COMPUTED_VALUE"""),"763fa4e6")</f>
        <v>763fa4e6</v>
      </c>
      <c r="B232" s="1" t="str">
        <f>IFERROR(__xludf.DUMMYFUNCTION("""COMPUTED_VALUE"""),"bb6c2490")</f>
        <v>bb6c2490</v>
      </c>
      <c r="C232" s="32">
        <f>IFERROR(__xludf.DUMMYFUNCTION("""COMPUTED_VALUE"""),46063.918287037035)</f>
        <v>46063.91829</v>
      </c>
      <c r="D232" s="1">
        <f>IFERROR(__xludf.DUMMYFUNCTION("""COMPUTED_VALUE"""),19.0)</f>
        <v>19</v>
      </c>
      <c r="E232" s="1"/>
      <c r="F232" s="1"/>
    </row>
    <row r="233">
      <c r="A233" s="1" t="str">
        <f>IFERROR(__xludf.DUMMYFUNCTION("""COMPUTED_VALUE"""),"3e3116af")</f>
        <v>3e3116af</v>
      </c>
      <c r="B233" s="1" t="str">
        <f>IFERROR(__xludf.DUMMYFUNCTION("""COMPUTED_VALUE"""),"c099f042")</f>
        <v>c099f042</v>
      </c>
      <c r="C233" s="32">
        <f>IFERROR(__xludf.DUMMYFUNCTION("""COMPUTED_VALUE"""),46063.91842592593)</f>
        <v>46063.91843</v>
      </c>
      <c r="D233" s="1">
        <f>IFERROR(__xludf.DUMMYFUNCTION("""COMPUTED_VALUE"""),-11.0)</f>
        <v>-11</v>
      </c>
      <c r="E233" s="1"/>
      <c r="F233" s="1"/>
    </row>
    <row r="234">
      <c r="A234" s="1" t="str">
        <f>IFERROR(__xludf.DUMMYFUNCTION("""COMPUTED_VALUE"""),"3d402672")</f>
        <v>3d402672</v>
      </c>
      <c r="B234" s="1" t="str">
        <f>IFERROR(__xludf.DUMMYFUNCTION("""COMPUTED_VALUE"""),"e28d366b")</f>
        <v>e28d366b</v>
      </c>
      <c r="C234" s="32">
        <f>IFERROR(__xludf.DUMMYFUNCTION("""COMPUTED_VALUE"""),46063.91875)</f>
        <v>46063.91875</v>
      </c>
      <c r="D234" s="1">
        <f>IFERROR(__xludf.DUMMYFUNCTION("""COMPUTED_VALUE"""),-14.0)</f>
        <v>-14</v>
      </c>
      <c r="E234" s="1"/>
      <c r="F234" s="1"/>
    </row>
    <row r="235">
      <c r="A235" s="1" t="str">
        <f>IFERROR(__xludf.DUMMYFUNCTION("""COMPUTED_VALUE"""),"15ac6d84")</f>
        <v>15ac6d84</v>
      </c>
      <c r="B235" s="1" t="str">
        <f>IFERROR(__xludf.DUMMYFUNCTION("""COMPUTED_VALUE"""),"e28d366b")</f>
        <v>e28d366b</v>
      </c>
      <c r="C235" s="32">
        <f>IFERROR(__xludf.DUMMYFUNCTION("""COMPUTED_VALUE"""),46063.91966435185)</f>
        <v>46063.91966</v>
      </c>
      <c r="D235" s="1">
        <f>IFERROR(__xludf.DUMMYFUNCTION("""COMPUTED_VALUE"""),14.0)</f>
        <v>14</v>
      </c>
      <c r="E235" s="1"/>
      <c r="F235" s="1"/>
    </row>
    <row r="236">
      <c r="A236" s="1" t="str">
        <f>IFERROR(__xludf.DUMMYFUNCTION("""COMPUTED_VALUE"""),"d2e3acd8")</f>
        <v>d2e3acd8</v>
      </c>
      <c r="B236" s="1" t="str">
        <f>IFERROR(__xludf.DUMMYFUNCTION("""COMPUTED_VALUE"""),"e28d366b")</f>
        <v>e28d366b</v>
      </c>
      <c r="C236" s="32">
        <f>IFERROR(__xludf.DUMMYFUNCTION("""COMPUTED_VALUE"""),46063.919907407406)</f>
        <v>46063.91991</v>
      </c>
      <c r="D236" s="1">
        <f>IFERROR(__xludf.DUMMYFUNCTION("""COMPUTED_VALUE"""),-7.0)</f>
        <v>-7</v>
      </c>
      <c r="E236" s="1"/>
      <c r="F236" s="1"/>
    </row>
    <row r="237">
      <c r="A237" s="1" t="str">
        <f>IFERROR(__xludf.DUMMYFUNCTION("""COMPUTED_VALUE"""),"e9a935a1")</f>
        <v>e9a935a1</v>
      </c>
      <c r="B237" s="1" t="str">
        <f>IFERROR(__xludf.DUMMYFUNCTION("""COMPUTED_VALUE"""),"12b96290")</f>
        <v>12b96290</v>
      </c>
      <c r="C237" s="32">
        <f>IFERROR(__xludf.DUMMYFUNCTION("""COMPUTED_VALUE"""),46064.87358796296)</f>
        <v>46064.87359</v>
      </c>
      <c r="D237" s="1">
        <f>IFERROR(__xludf.DUMMYFUNCTION("""COMPUTED_VALUE"""),-15.0)</f>
        <v>-15</v>
      </c>
      <c r="E237" s="1"/>
      <c r="F237" s="1"/>
    </row>
    <row r="238">
      <c r="A238" s="1" t="str">
        <f>IFERROR(__xludf.DUMMYFUNCTION("""COMPUTED_VALUE"""),"a10ab086")</f>
        <v>a10ab086</v>
      </c>
      <c r="B238" s="1" t="str">
        <f>IFERROR(__xludf.DUMMYFUNCTION("""COMPUTED_VALUE"""),"0001")</f>
        <v>0001</v>
      </c>
      <c r="C238" s="32">
        <f>IFERROR(__xludf.DUMMYFUNCTION("""COMPUTED_VALUE"""),46064.873715277776)</f>
        <v>46064.87372</v>
      </c>
      <c r="D238" s="1">
        <f>IFERROR(__xludf.DUMMYFUNCTION("""COMPUTED_VALUE"""),-15.0)</f>
        <v>-15</v>
      </c>
      <c r="E238" s="1"/>
      <c r="F238" s="1"/>
    </row>
    <row r="239">
      <c r="A239" s="1" t="str">
        <f>IFERROR(__xludf.DUMMYFUNCTION("""COMPUTED_VALUE"""),"108e4ad7")</f>
        <v>108e4ad7</v>
      </c>
      <c r="B239" s="1" t="str">
        <f>IFERROR(__xludf.DUMMYFUNCTION("""COMPUTED_VALUE"""),"0af806f8")</f>
        <v>0af806f8</v>
      </c>
      <c r="C239" s="32">
        <f>IFERROR(__xludf.DUMMYFUNCTION("""COMPUTED_VALUE"""),46064.87386574074)</f>
        <v>46064.87387</v>
      </c>
      <c r="D239" s="1">
        <f>IFERROR(__xludf.DUMMYFUNCTION("""COMPUTED_VALUE"""),-15.0)</f>
        <v>-15</v>
      </c>
      <c r="E239" s="1"/>
      <c r="F239" s="1"/>
    </row>
    <row r="240">
      <c r="A240" s="1" t="str">
        <f>IFERROR(__xludf.DUMMYFUNCTION("""COMPUTED_VALUE"""),"ba451ae8")</f>
        <v>ba451ae8</v>
      </c>
      <c r="B240" s="1" t="str">
        <f>IFERROR(__xludf.DUMMYFUNCTION("""COMPUTED_VALUE"""),"bb6c2490")</f>
        <v>bb6c2490</v>
      </c>
      <c r="C240" s="32">
        <f>IFERROR(__xludf.DUMMYFUNCTION("""COMPUTED_VALUE"""),46064.87400462963)</f>
        <v>46064.874</v>
      </c>
      <c r="D240" s="1">
        <f>IFERROR(__xludf.DUMMYFUNCTION("""COMPUTED_VALUE"""),-7.0)</f>
        <v>-7</v>
      </c>
      <c r="E240" s="1"/>
      <c r="F240" s="1"/>
    </row>
    <row r="241">
      <c r="A241" s="1" t="str">
        <f>IFERROR(__xludf.DUMMYFUNCTION("""COMPUTED_VALUE"""),"5fe7ded3")</f>
        <v>5fe7ded3</v>
      </c>
      <c r="B241" s="1" t="str">
        <f>IFERROR(__xludf.DUMMYFUNCTION("""COMPUTED_VALUE"""),"0af806f8")</f>
        <v>0af806f8</v>
      </c>
      <c r="C241" s="32">
        <f>IFERROR(__xludf.DUMMYFUNCTION("""COMPUTED_VALUE"""),46064.874247685184)</f>
        <v>46064.87425</v>
      </c>
      <c r="D241" s="1">
        <f>IFERROR(__xludf.DUMMYFUNCTION("""COMPUTED_VALUE"""),-15.0)</f>
        <v>-15</v>
      </c>
      <c r="E241" s="1"/>
      <c r="F241" s="1"/>
    </row>
    <row r="242">
      <c r="A242" s="1" t="str">
        <f>IFERROR(__xludf.DUMMYFUNCTION("""COMPUTED_VALUE"""),"28fa1c30")</f>
        <v>28fa1c30</v>
      </c>
      <c r="B242" s="1" t="str">
        <f>IFERROR(__xludf.DUMMYFUNCTION("""COMPUTED_VALUE"""),"0001")</f>
        <v>0001</v>
      </c>
      <c r="C242" s="32">
        <f>IFERROR(__xludf.DUMMYFUNCTION("""COMPUTED_VALUE"""),46064.874340277776)</f>
        <v>46064.87434</v>
      </c>
      <c r="D242" s="1">
        <f>IFERROR(__xludf.DUMMYFUNCTION("""COMPUTED_VALUE"""),-15.0)</f>
        <v>-15</v>
      </c>
      <c r="E242" s="1"/>
      <c r="F242" s="1"/>
    </row>
    <row r="243">
      <c r="A243" s="1" t="str">
        <f>IFERROR(__xludf.DUMMYFUNCTION("""COMPUTED_VALUE"""),"542352b3")</f>
        <v>542352b3</v>
      </c>
      <c r="B243" s="1" t="str">
        <f>IFERROR(__xludf.DUMMYFUNCTION("""COMPUTED_VALUE"""),"12b96290")</f>
        <v>12b96290</v>
      </c>
      <c r="C243" s="32">
        <f>IFERROR(__xludf.DUMMYFUNCTION("""COMPUTED_VALUE"""),46064.87451388889)</f>
        <v>46064.87451</v>
      </c>
      <c r="D243" s="1">
        <f>IFERROR(__xludf.DUMMYFUNCTION("""COMPUTED_VALUE"""),-7.0)</f>
        <v>-7</v>
      </c>
      <c r="E243" s="1"/>
      <c r="F243" s="1"/>
    </row>
    <row r="244">
      <c r="A244" s="1" t="str">
        <f>IFERROR(__xludf.DUMMYFUNCTION("""COMPUTED_VALUE"""),"6696ecef")</f>
        <v>6696ecef</v>
      </c>
      <c r="B244" s="1" t="str">
        <f>IFERROR(__xludf.DUMMYFUNCTION("""COMPUTED_VALUE"""),"e28d366b")</f>
        <v>e28d366b</v>
      </c>
      <c r="C244" s="32">
        <f>IFERROR(__xludf.DUMMYFUNCTION("""COMPUTED_VALUE"""),46064.87467592592)</f>
        <v>46064.87468</v>
      </c>
      <c r="D244" s="1">
        <f>IFERROR(__xludf.DUMMYFUNCTION("""COMPUTED_VALUE"""),-7.0)</f>
        <v>-7</v>
      </c>
      <c r="E244" s="1"/>
      <c r="F244" s="1"/>
    </row>
    <row r="245">
      <c r="A245" s="1" t="str">
        <f>IFERROR(__xludf.DUMMYFUNCTION("""COMPUTED_VALUE"""),"43cfc43f")</f>
        <v>43cfc43f</v>
      </c>
      <c r="B245" s="1" t="str">
        <f>IFERROR(__xludf.DUMMYFUNCTION("""COMPUTED_VALUE"""),"308fcfb2")</f>
        <v>308fcfb2</v>
      </c>
      <c r="C245" s="32">
        <f>IFERROR(__xludf.DUMMYFUNCTION("""COMPUTED_VALUE"""),46064.874872685185)</f>
        <v>46064.87487</v>
      </c>
      <c r="D245" s="1">
        <f>IFERROR(__xludf.DUMMYFUNCTION("""COMPUTED_VALUE"""),-2.0)</f>
        <v>-2</v>
      </c>
      <c r="E245" s="1"/>
      <c r="F245" s="1"/>
    </row>
    <row r="246">
      <c r="A246" s="1" t="str">
        <f>IFERROR(__xludf.DUMMYFUNCTION("""COMPUTED_VALUE"""),"8d9cc659")</f>
        <v>8d9cc659</v>
      </c>
      <c r="B246" s="1" t="str">
        <f>IFERROR(__xludf.DUMMYFUNCTION("""COMPUTED_VALUE"""),"0049")</f>
        <v>0049</v>
      </c>
      <c r="C246" s="32">
        <f>IFERROR(__xludf.DUMMYFUNCTION("""COMPUTED_VALUE"""),46064.875)</f>
        <v>46064.875</v>
      </c>
      <c r="D246" s="1">
        <f>IFERROR(__xludf.DUMMYFUNCTION("""COMPUTED_VALUE"""),-16.0)</f>
        <v>-16</v>
      </c>
      <c r="E246" s="1"/>
      <c r="F246" s="1"/>
    </row>
    <row r="247">
      <c r="A247" s="1" t="str">
        <f>IFERROR(__xludf.DUMMYFUNCTION("""COMPUTED_VALUE"""),"9409367f")</f>
        <v>9409367f</v>
      </c>
      <c r="B247" s="1" t="str">
        <f>IFERROR(__xludf.DUMMYFUNCTION("""COMPUTED_VALUE"""),"bb6c2490")</f>
        <v>bb6c2490</v>
      </c>
      <c r="C247" s="32">
        <f>IFERROR(__xludf.DUMMYFUNCTION("""COMPUTED_VALUE"""),46064.87511574074)</f>
        <v>46064.87512</v>
      </c>
      <c r="D247" s="1">
        <f>IFERROR(__xludf.DUMMYFUNCTION("""COMPUTED_VALUE"""),-14.0)</f>
        <v>-14</v>
      </c>
      <c r="E247" s="1"/>
      <c r="F247" s="1"/>
    </row>
    <row r="248">
      <c r="A248" s="1" t="str">
        <f>IFERROR(__xludf.DUMMYFUNCTION("""COMPUTED_VALUE"""),"a59a1825")</f>
        <v>a59a1825</v>
      </c>
      <c r="B248" s="1" t="str">
        <f>IFERROR(__xludf.DUMMYFUNCTION("""COMPUTED_VALUE"""),"27febea6")</f>
        <v>27febea6</v>
      </c>
      <c r="C248" s="32">
        <f>IFERROR(__xludf.DUMMYFUNCTION("""COMPUTED_VALUE"""),46064.875289351854)</f>
        <v>46064.87529</v>
      </c>
      <c r="D248" s="1">
        <f>IFERROR(__xludf.DUMMYFUNCTION("""COMPUTED_VALUE"""),-6.0)</f>
        <v>-6</v>
      </c>
      <c r="E248" s="1"/>
      <c r="F248" s="1"/>
    </row>
    <row r="249">
      <c r="A249" s="1" t="str">
        <f>IFERROR(__xludf.DUMMYFUNCTION("""COMPUTED_VALUE"""),"12ce2cf4")</f>
        <v>12ce2cf4</v>
      </c>
      <c r="B249" s="1" t="str">
        <f>IFERROR(__xludf.DUMMYFUNCTION("""COMPUTED_VALUE"""),"0028")</f>
        <v>0028</v>
      </c>
      <c r="C249" s="32">
        <f>IFERROR(__xludf.DUMMYFUNCTION("""COMPUTED_VALUE"""),46064.87615740741)</f>
        <v>46064.87616</v>
      </c>
      <c r="D249" s="1">
        <f>IFERROR(__xludf.DUMMYFUNCTION("""COMPUTED_VALUE"""),-6.0)</f>
        <v>-6</v>
      </c>
      <c r="E249" s="1"/>
      <c r="F249" s="1"/>
    </row>
    <row r="250">
      <c r="A250" s="1" t="str">
        <f>IFERROR(__xludf.DUMMYFUNCTION("""COMPUTED_VALUE"""),"c798069a")</f>
        <v>c798069a</v>
      </c>
      <c r="B250" s="1" t="str">
        <f>IFERROR(__xludf.DUMMYFUNCTION("""COMPUTED_VALUE"""),"0025")</f>
        <v>0025</v>
      </c>
      <c r="C250" s="32">
        <f>IFERROR(__xludf.DUMMYFUNCTION("""COMPUTED_VALUE"""),46064.87625)</f>
        <v>46064.87625</v>
      </c>
      <c r="D250" s="1">
        <f>IFERROR(__xludf.DUMMYFUNCTION("""COMPUTED_VALUE"""),-2.0)</f>
        <v>-2</v>
      </c>
      <c r="E250" s="1"/>
      <c r="F250" s="1"/>
    </row>
    <row r="251">
      <c r="A251" s="1" t="str">
        <f>IFERROR(__xludf.DUMMYFUNCTION("""COMPUTED_VALUE"""),"4d3f0f6d")</f>
        <v>4d3f0f6d</v>
      </c>
      <c r="B251" s="1" t="str">
        <f>IFERROR(__xludf.DUMMYFUNCTION("""COMPUTED_VALUE"""),"cf6c9481")</f>
        <v>cf6c9481</v>
      </c>
      <c r="C251" s="32">
        <f>IFERROR(__xludf.DUMMYFUNCTION("""COMPUTED_VALUE"""),46064.87746527778)</f>
        <v>46064.87747</v>
      </c>
      <c r="D251" s="1">
        <f>IFERROR(__xludf.DUMMYFUNCTION("""COMPUTED_VALUE"""),-5.0)</f>
        <v>-5</v>
      </c>
      <c r="E251" s="1"/>
      <c r="F251" s="1"/>
    </row>
    <row r="252">
      <c r="A252" s="1" t="str">
        <f>IFERROR(__xludf.DUMMYFUNCTION("""COMPUTED_VALUE"""),"1fa2c700")</f>
        <v>1fa2c700</v>
      </c>
      <c r="B252" s="1" t="str">
        <f>IFERROR(__xludf.DUMMYFUNCTION("""COMPUTED_VALUE"""),"0019")</f>
        <v>0019</v>
      </c>
      <c r="C252" s="32">
        <f>IFERROR(__xludf.DUMMYFUNCTION("""COMPUTED_VALUE"""),46064.87814814815)</f>
        <v>46064.87815</v>
      </c>
      <c r="D252" s="1">
        <f>IFERROR(__xludf.DUMMYFUNCTION("""COMPUTED_VALUE"""),-24.0)</f>
        <v>-24</v>
      </c>
      <c r="E252" s="1"/>
      <c r="F252" s="1"/>
    </row>
    <row r="253">
      <c r="A253" s="1" t="str">
        <f>IFERROR(__xludf.DUMMYFUNCTION("""COMPUTED_VALUE"""),"23ee11d3")</f>
        <v>23ee11d3</v>
      </c>
      <c r="B253" s="1" t="str">
        <f>IFERROR(__xludf.DUMMYFUNCTION("""COMPUTED_VALUE"""),"364fe321")</f>
        <v>364fe321</v>
      </c>
      <c r="C253" s="32">
        <f>IFERROR(__xludf.DUMMYFUNCTION("""COMPUTED_VALUE"""),46064.8790625)</f>
        <v>46064.87906</v>
      </c>
      <c r="D253" s="1">
        <f>IFERROR(__xludf.DUMMYFUNCTION("""COMPUTED_VALUE"""),-6.0)</f>
        <v>-6</v>
      </c>
      <c r="E253" s="1"/>
      <c r="F253" s="1"/>
    </row>
    <row r="254">
      <c r="A254" s="1" t="str">
        <f>IFERROR(__xludf.DUMMYFUNCTION("""COMPUTED_VALUE"""),"f88b06a0")</f>
        <v>f88b06a0</v>
      </c>
      <c r="B254" s="1" t="str">
        <f>IFERROR(__xludf.DUMMYFUNCTION("""COMPUTED_VALUE"""),"b112660a")</f>
        <v>b112660a</v>
      </c>
      <c r="C254" s="32">
        <f>IFERROR(__xludf.DUMMYFUNCTION("""COMPUTED_VALUE"""),46064.87967592593)</f>
        <v>46064.87968</v>
      </c>
      <c r="D254" s="1">
        <f>IFERROR(__xludf.DUMMYFUNCTION("""COMPUTED_VALUE"""),-6.0)</f>
        <v>-6</v>
      </c>
      <c r="E254" s="1"/>
      <c r="F254" s="1"/>
    </row>
    <row r="255">
      <c r="A255" s="1" t="str">
        <f>IFERROR(__xludf.DUMMYFUNCTION("""COMPUTED_VALUE"""),"010c39f1")</f>
        <v>010c39f1</v>
      </c>
      <c r="B255" s="1" t="str">
        <f>IFERROR(__xludf.DUMMYFUNCTION("""COMPUTED_VALUE"""),"0064")</f>
        <v>0064</v>
      </c>
      <c r="C255" s="32">
        <f>IFERROR(__xludf.DUMMYFUNCTION("""COMPUTED_VALUE"""),46064.88041666667)</f>
        <v>46064.88042</v>
      </c>
      <c r="D255" s="1">
        <f>IFERROR(__xludf.DUMMYFUNCTION("""COMPUTED_VALUE"""),-18.0)</f>
        <v>-18</v>
      </c>
      <c r="E255" s="1"/>
      <c r="F255" s="1"/>
    </row>
    <row r="256">
      <c r="A256" s="1" t="str">
        <f>IFERROR(__xludf.DUMMYFUNCTION("""COMPUTED_VALUE"""),"c8218b90")</f>
        <v>c8218b90</v>
      </c>
      <c r="B256" s="1" t="str">
        <f>IFERROR(__xludf.DUMMYFUNCTION("""COMPUTED_VALUE"""),"0032")</f>
        <v>0032</v>
      </c>
      <c r="C256" s="32">
        <f>IFERROR(__xludf.DUMMYFUNCTION("""COMPUTED_VALUE"""),46064.88054398148)</f>
        <v>46064.88054</v>
      </c>
      <c r="D256" s="1">
        <f>IFERROR(__xludf.DUMMYFUNCTION("""COMPUTED_VALUE"""),-3.0)</f>
        <v>-3</v>
      </c>
      <c r="E256" s="1"/>
      <c r="F256" s="1"/>
    </row>
    <row r="257">
      <c r="A257" s="1" t="str">
        <f>IFERROR(__xludf.DUMMYFUNCTION("""COMPUTED_VALUE"""),"9e2f1deb")</f>
        <v>9e2f1deb</v>
      </c>
      <c r="B257" s="1" t="str">
        <f>IFERROR(__xludf.DUMMYFUNCTION("""COMPUTED_VALUE"""),"0f694cb5")</f>
        <v>0f694cb5</v>
      </c>
      <c r="C257" s="32">
        <f>IFERROR(__xludf.DUMMYFUNCTION("""COMPUTED_VALUE"""),46064.88078703704)</f>
        <v>46064.88079</v>
      </c>
      <c r="D257" s="1">
        <f>IFERROR(__xludf.DUMMYFUNCTION("""COMPUTED_VALUE"""),-5.0)</f>
        <v>-5</v>
      </c>
      <c r="E257" s="1"/>
      <c r="F257" s="1"/>
    </row>
    <row r="258">
      <c r="A258" s="1" t="str">
        <f>IFERROR(__xludf.DUMMYFUNCTION("""COMPUTED_VALUE"""),"bec7020c")</f>
        <v>bec7020c</v>
      </c>
      <c r="B258" s="1" t="str">
        <f>IFERROR(__xludf.DUMMYFUNCTION("""COMPUTED_VALUE"""),"d8e8d66a")</f>
        <v>d8e8d66a</v>
      </c>
      <c r="C258" s="32">
        <f>IFERROR(__xludf.DUMMYFUNCTION("""COMPUTED_VALUE"""),46064.881886574076)</f>
        <v>46064.88189</v>
      </c>
      <c r="D258" s="1">
        <f>IFERROR(__xludf.DUMMYFUNCTION("""COMPUTED_VALUE"""),-7.0)</f>
        <v>-7</v>
      </c>
      <c r="E258" s="1"/>
      <c r="F258" s="1"/>
    </row>
    <row r="259">
      <c r="A259" s="1" t="str">
        <f>IFERROR(__xludf.DUMMYFUNCTION("""COMPUTED_VALUE"""),"9e4de790")</f>
        <v>9e4de790</v>
      </c>
      <c r="B259" s="1" t="str">
        <f>IFERROR(__xludf.DUMMYFUNCTION("""COMPUTED_VALUE"""),"83dd14b5")</f>
        <v>83dd14b5</v>
      </c>
      <c r="C259" s="32">
        <f>IFERROR(__xludf.DUMMYFUNCTION("""COMPUTED_VALUE"""),46064.88203703704)</f>
        <v>46064.88204</v>
      </c>
      <c r="D259" s="1">
        <f>IFERROR(__xludf.DUMMYFUNCTION("""COMPUTED_VALUE"""),-24.0)</f>
        <v>-24</v>
      </c>
      <c r="E259" s="1"/>
      <c r="F259" s="1"/>
    </row>
    <row r="260">
      <c r="A260" s="1" t="str">
        <f>IFERROR(__xludf.DUMMYFUNCTION("""COMPUTED_VALUE"""),"34699dfd")</f>
        <v>34699dfd</v>
      </c>
      <c r="B260" s="1" t="str">
        <f>IFERROR(__xludf.DUMMYFUNCTION("""COMPUTED_VALUE"""),"0065")</f>
        <v>0065</v>
      </c>
      <c r="C260" s="32">
        <f>IFERROR(__xludf.DUMMYFUNCTION("""COMPUTED_VALUE"""),46064.882256944446)</f>
        <v>46064.88226</v>
      </c>
      <c r="D260" s="1">
        <f>IFERROR(__xludf.DUMMYFUNCTION("""COMPUTED_VALUE"""),-12.0)</f>
        <v>-12</v>
      </c>
      <c r="E260" s="1"/>
      <c r="F260" s="1"/>
    </row>
    <row r="261">
      <c r="A261" s="1" t="str">
        <f>IFERROR(__xludf.DUMMYFUNCTION("""COMPUTED_VALUE"""),"a532c944")</f>
        <v>a532c944</v>
      </c>
      <c r="B261" s="1" t="str">
        <f>IFERROR(__xludf.DUMMYFUNCTION("""COMPUTED_VALUE"""),"0086")</f>
        <v>0086</v>
      </c>
      <c r="C261" s="32">
        <f>IFERROR(__xludf.DUMMYFUNCTION("""COMPUTED_VALUE"""),46064.882418981484)</f>
        <v>46064.88242</v>
      </c>
      <c r="D261" s="1">
        <f>IFERROR(__xludf.DUMMYFUNCTION("""COMPUTED_VALUE"""),-27.0)</f>
        <v>-27</v>
      </c>
      <c r="E261" s="1"/>
      <c r="F261" s="1"/>
    </row>
    <row r="262">
      <c r="A262" s="1" t="str">
        <f>IFERROR(__xludf.DUMMYFUNCTION("""COMPUTED_VALUE"""),"d81174a5")</f>
        <v>d81174a5</v>
      </c>
      <c r="B262" s="1" t="str">
        <f>IFERROR(__xludf.DUMMYFUNCTION("""COMPUTED_VALUE"""),"0005")</f>
        <v>0005</v>
      </c>
      <c r="C262" s="32">
        <f>IFERROR(__xludf.DUMMYFUNCTION("""COMPUTED_VALUE"""),46064.88365740741)</f>
        <v>46064.88366</v>
      </c>
      <c r="D262" s="1">
        <f>IFERROR(__xludf.DUMMYFUNCTION("""COMPUTED_VALUE"""),-7.0)</f>
        <v>-7</v>
      </c>
      <c r="E262" s="1"/>
      <c r="F262" s="1"/>
    </row>
    <row r="263">
      <c r="A263" s="1" t="str">
        <f>IFERROR(__xludf.DUMMYFUNCTION("""COMPUTED_VALUE"""),"bd11c1a0")</f>
        <v>bd11c1a0</v>
      </c>
      <c r="B263" s="1" t="str">
        <f>IFERROR(__xludf.DUMMYFUNCTION("""COMPUTED_VALUE"""),"0015")</f>
        <v>0015</v>
      </c>
      <c r="C263" s="32">
        <f>IFERROR(__xludf.DUMMYFUNCTION("""COMPUTED_VALUE"""),46064.884884259256)</f>
        <v>46064.88488</v>
      </c>
      <c r="D263" s="1">
        <f>IFERROR(__xludf.DUMMYFUNCTION("""COMPUTED_VALUE"""),-7.0)</f>
        <v>-7</v>
      </c>
      <c r="E263" s="1"/>
      <c r="F263" s="1"/>
    </row>
    <row r="264">
      <c r="A264" s="1" t="str">
        <f>IFERROR(__xludf.DUMMYFUNCTION("""COMPUTED_VALUE"""),"760fd9cb")</f>
        <v>760fd9cb</v>
      </c>
      <c r="B264" s="1" t="str">
        <f>IFERROR(__xludf.DUMMYFUNCTION("""COMPUTED_VALUE"""),"3e9fa8d9")</f>
        <v>3e9fa8d9</v>
      </c>
      <c r="C264" s="32">
        <f>IFERROR(__xludf.DUMMYFUNCTION("""COMPUTED_VALUE"""),46064.88508101852)</f>
        <v>46064.88508</v>
      </c>
      <c r="D264" s="1">
        <f>IFERROR(__xludf.DUMMYFUNCTION("""COMPUTED_VALUE"""),-2.0)</f>
        <v>-2</v>
      </c>
      <c r="E264" s="1"/>
      <c r="F264" s="1"/>
    </row>
    <row r="265">
      <c r="A265" s="1" t="str">
        <f>IFERROR(__xludf.DUMMYFUNCTION("""COMPUTED_VALUE"""),"66aba7ea")</f>
        <v>66aba7ea</v>
      </c>
      <c r="B265" s="1" t="str">
        <f>IFERROR(__xludf.DUMMYFUNCTION("""COMPUTED_VALUE"""),"3e9fa8d9")</f>
        <v>3e9fa8d9</v>
      </c>
      <c r="C265" s="32">
        <f>IFERROR(__xludf.DUMMYFUNCTION("""COMPUTED_VALUE"""),46064.885196759256)</f>
        <v>46064.8852</v>
      </c>
      <c r="D265" s="1">
        <f>IFERROR(__xludf.DUMMYFUNCTION("""COMPUTED_VALUE"""),-2.0)</f>
        <v>-2</v>
      </c>
      <c r="E265" s="1"/>
      <c r="F265" s="1"/>
    </row>
    <row r="266">
      <c r="A266" s="1" t="str">
        <f>IFERROR(__xludf.DUMMYFUNCTION("""COMPUTED_VALUE"""),"8d5a6383")</f>
        <v>8d5a6383</v>
      </c>
      <c r="B266" s="1" t="str">
        <f>IFERROR(__xludf.DUMMYFUNCTION("""COMPUTED_VALUE"""),"0038")</f>
        <v>0038</v>
      </c>
      <c r="C266" s="32">
        <f>IFERROR(__xludf.DUMMYFUNCTION("""COMPUTED_VALUE"""),46064.885347222225)</f>
        <v>46064.88535</v>
      </c>
      <c r="D266" s="1">
        <f>IFERROR(__xludf.DUMMYFUNCTION("""COMPUTED_VALUE"""),-6.0)</f>
        <v>-6</v>
      </c>
      <c r="E266" s="1"/>
      <c r="F266" s="1"/>
    </row>
    <row r="267">
      <c r="A267" s="1" t="str">
        <f>IFERROR(__xludf.DUMMYFUNCTION("""COMPUTED_VALUE"""),"c1a92c15")</f>
        <v>c1a92c15</v>
      </c>
      <c r="B267" s="1" t="str">
        <f>IFERROR(__xludf.DUMMYFUNCTION("""COMPUTED_VALUE"""),"0002")</f>
        <v>0002</v>
      </c>
      <c r="C267" s="32">
        <f>IFERROR(__xludf.DUMMYFUNCTION("""COMPUTED_VALUE"""),46064.88586805556)</f>
        <v>46064.88587</v>
      </c>
      <c r="D267" s="1">
        <f>IFERROR(__xludf.DUMMYFUNCTION("""COMPUTED_VALUE"""),-60.0)</f>
        <v>-60</v>
      </c>
      <c r="E267" s="1"/>
      <c r="F267" s="1"/>
    </row>
    <row r="268">
      <c r="A268" s="1" t="str">
        <f>IFERROR(__xludf.DUMMYFUNCTION("""COMPUTED_VALUE"""),"073e34ca")</f>
        <v>073e34ca</v>
      </c>
      <c r="B268" s="1" t="str">
        <f>IFERROR(__xludf.DUMMYFUNCTION("""COMPUTED_VALUE"""),"0002")</f>
        <v>0002</v>
      </c>
      <c r="C268" s="32">
        <f>IFERROR(__xludf.DUMMYFUNCTION("""COMPUTED_VALUE"""),46064.88597222222)</f>
        <v>46064.88597</v>
      </c>
      <c r="D268" s="1">
        <f>IFERROR(__xludf.DUMMYFUNCTION("""COMPUTED_VALUE"""),-60.0)</f>
        <v>-60</v>
      </c>
      <c r="E268" s="1"/>
      <c r="F268" s="1"/>
    </row>
    <row r="269">
      <c r="A269" s="1" t="str">
        <f>IFERROR(__xludf.DUMMYFUNCTION("""COMPUTED_VALUE"""),"bf4a2aac")</f>
        <v>bf4a2aac</v>
      </c>
      <c r="B269" s="1" t="str">
        <f>IFERROR(__xludf.DUMMYFUNCTION("""COMPUTED_VALUE"""),"12b96290")</f>
        <v>12b96290</v>
      </c>
      <c r="C269" s="32">
        <f>IFERROR(__xludf.DUMMYFUNCTION("""COMPUTED_VALUE"""),46065.02621527778)</f>
        <v>46065.02622</v>
      </c>
      <c r="D269" s="1">
        <f>IFERROR(__xludf.DUMMYFUNCTION("""COMPUTED_VALUE"""),1.0)</f>
        <v>1</v>
      </c>
      <c r="E269" s="1"/>
      <c r="F269" s="1"/>
    </row>
    <row r="270">
      <c r="A270" s="1" t="str">
        <f>IFERROR(__xludf.DUMMYFUNCTION("""COMPUTED_VALUE"""),"fb4859cc")</f>
        <v>fb4859cc</v>
      </c>
      <c r="B270" s="1" t="str">
        <f>IFERROR(__xludf.DUMMYFUNCTION("""COMPUTED_VALUE"""),"0af806f8")</f>
        <v>0af806f8</v>
      </c>
      <c r="C270" s="32">
        <f>IFERROR(__xludf.DUMMYFUNCTION("""COMPUTED_VALUE"""),46065.02627314815)</f>
        <v>46065.02627</v>
      </c>
      <c r="D270" s="1">
        <f>IFERROR(__xludf.DUMMYFUNCTION("""COMPUTED_VALUE"""),2.0)</f>
        <v>2</v>
      </c>
      <c r="E270" s="1"/>
      <c r="F270" s="1"/>
    </row>
    <row r="271">
      <c r="A271" s="1" t="str">
        <f>IFERROR(__xludf.DUMMYFUNCTION("""COMPUTED_VALUE"""),"2184d805")</f>
        <v>2184d805</v>
      </c>
      <c r="B271" s="1" t="str">
        <f>IFERROR(__xludf.DUMMYFUNCTION("""COMPUTED_VALUE"""),"0001")</f>
        <v>0001</v>
      </c>
      <c r="C271" s="32">
        <f>IFERROR(__xludf.DUMMYFUNCTION("""COMPUTED_VALUE"""),46065.02633101852)</f>
        <v>46065.02633</v>
      </c>
      <c r="D271" s="1">
        <f>IFERROR(__xludf.DUMMYFUNCTION("""COMPUTED_VALUE"""),2.0)</f>
        <v>2</v>
      </c>
      <c r="E271" s="1"/>
      <c r="F271" s="1"/>
    </row>
    <row r="272">
      <c r="A272" s="1" t="str">
        <f>IFERROR(__xludf.DUMMYFUNCTION("""COMPUTED_VALUE"""),"5ceaad74")</f>
        <v>5ceaad74</v>
      </c>
      <c r="B272" s="1" t="str">
        <f>IFERROR(__xludf.DUMMYFUNCTION("""COMPUTED_VALUE"""),"e28d366b")</f>
        <v>e28d366b</v>
      </c>
      <c r="C272" s="32">
        <f>IFERROR(__xludf.DUMMYFUNCTION("""COMPUTED_VALUE"""),46065.02695601852)</f>
        <v>46065.02696</v>
      </c>
      <c r="D272" s="1">
        <f>IFERROR(__xludf.DUMMYFUNCTION("""COMPUTED_VALUE"""),4.0)</f>
        <v>4</v>
      </c>
      <c r="E272" s="1"/>
      <c r="F272" s="1"/>
    </row>
    <row r="273">
      <c r="A273" s="1" t="str">
        <f>IFERROR(__xludf.DUMMYFUNCTION("""COMPUTED_VALUE"""),"3ac56233")</f>
        <v>3ac56233</v>
      </c>
      <c r="B273" s="1" t="str">
        <f>IFERROR(__xludf.DUMMYFUNCTION("""COMPUTED_VALUE"""),"c099f042")</f>
        <v>c099f042</v>
      </c>
      <c r="C273" s="32">
        <f>IFERROR(__xludf.DUMMYFUNCTION("""COMPUTED_VALUE"""),46065.027037037034)</f>
        <v>46065.02704</v>
      </c>
      <c r="D273" s="1">
        <f>IFERROR(__xludf.DUMMYFUNCTION("""COMPUTED_VALUE"""),2.0)</f>
        <v>2</v>
      </c>
      <c r="E273" s="1"/>
      <c r="F273" s="1"/>
    </row>
    <row r="274">
      <c r="A274" s="1" t="str">
        <f>IFERROR(__xludf.DUMMYFUNCTION("""COMPUTED_VALUE"""),"6ce65d56")</f>
        <v>6ce65d56</v>
      </c>
      <c r="B274" s="1" t="str">
        <f>IFERROR(__xludf.DUMMYFUNCTION("""COMPUTED_VALUE"""),"308fcfb2")</f>
        <v>308fcfb2</v>
      </c>
      <c r="C274" s="32">
        <f>IFERROR(__xludf.DUMMYFUNCTION("""COMPUTED_VALUE"""),46065.02826388889)</f>
        <v>46065.02826</v>
      </c>
      <c r="D274" s="1">
        <f>IFERROR(__xludf.DUMMYFUNCTION("""COMPUTED_VALUE"""),1.0)</f>
        <v>1</v>
      </c>
      <c r="E274" s="1"/>
      <c r="F274" s="1"/>
    </row>
    <row r="275">
      <c r="A275" s="1" t="str">
        <f>IFERROR(__xludf.DUMMYFUNCTION("""COMPUTED_VALUE"""),"918193d2")</f>
        <v>918193d2</v>
      </c>
      <c r="B275" s="1" t="str">
        <f>IFERROR(__xludf.DUMMYFUNCTION("""COMPUTED_VALUE"""),"12b96290")</f>
        <v>12b96290</v>
      </c>
      <c r="C275" s="32">
        <f>IFERROR(__xludf.DUMMYFUNCTION("""COMPUTED_VALUE"""),46065.040127314816)</f>
        <v>46065.04013</v>
      </c>
      <c r="D275" s="1">
        <f>IFERROR(__xludf.DUMMYFUNCTION("""COMPUTED_VALUE"""),30.0)</f>
        <v>30</v>
      </c>
      <c r="E275" s="1" t="str">
        <f>IFERROR(__xludf.DUMMYFUNCTION("""COMPUTED_VALUE"""),"e6061ec0")</f>
        <v>e6061ec0</v>
      </c>
      <c r="F275" s="1"/>
    </row>
    <row r="276">
      <c r="A276" s="1" t="str">
        <f>IFERROR(__xludf.DUMMYFUNCTION("""COMPUTED_VALUE"""),"a2c0a68e")</f>
        <v>a2c0a68e</v>
      </c>
      <c r="B276" s="1" t="str">
        <f>IFERROR(__xludf.DUMMYFUNCTION("""COMPUTED_VALUE"""),"0001")</f>
        <v>0001</v>
      </c>
      <c r="C276" s="32">
        <f>IFERROR(__xludf.DUMMYFUNCTION("""COMPUTED_VALUE"""),46065.04017361111)</f>
        <v>46065.04017</v>
      </c>
      <c r="D276" s="1">
        <f>IFERROR(__xludf.DUMMYFUNCTION("""COMPUTED_VALUE"""),75.0)</f>
        <v>75</v>
      </c>
      <c r="E276" s="1" t="str">
        <f>IFERROR(__xludf.DUMMYFUNCTION("""COMPUTED_VALUE"""),"e6061ec0")</f>
        <v>e6061ec0</v>
      </c>
      <c r="F276" s="1"/>
    </row>
    <row r="277">
      <c r="A277" s="1" t="str">
        <f>IFERROR(__xludf.DUMMYFUNCTION("""COMPUTED_VALUE"""),"c0b5434b")</f>
        <v>c0b5434b</v>
      </c>
      <c r="B277" s="1" t="str">
        <f>IFERROR(__xludf.DUMMYFUNCTION("""COMPUTED_VALUE"""),"0af806f8")</f>
        <v>0af806f8</v>
      </c>
      <c r="C277" s="32">
        <f>IFERROR(__xludf.DUMMYFUNCTION("""COMPUTED_VALUE"""),46065.04025462963)</f>
        <v>46065.04025</v>
      </c>
      <c r="D277" s="1">
        <f>IFERROR(__xludf.DUMMYFUNCTION("""COMPUTED_VALUE"""),195.0)</f>
        <v>195</v>
      </c>
      <c r="E277" s="1" t="str">
        <f>IFERROR(__xludf.DUMMYFUNCTION("""COMPUTED_VALUE"""),"e6061ec0")</f>
        <v>e6061ec0</v>
      </c>
      <c r="F277" s="1"/>
    </row>
    <row r="278">
      <c r="A278" s="1" t="str">
        <f>IFERROR(__xludf.DUMMYFUNCTION("""COMPUTED_VALUE"""),"447841a1")</f>
        <v>447841a1</v>
      </c>
      <c r="B278" s="1" t="str">
        <f>IFERROR(__xludf.DUMMYFUNCTION("""COMPUTED_VALUE"""),"bb6c2490")</f>
        <v>bb6c2490</v>
      </c>
      <c r="C278" s="32">
        <f>IFERROR(__xludf.DUMMYFUNCTION("""COMPUTED_VALUE"""),46065.49480324074)</f>
        <v>46065.4948</v>
      </c>
      <c r="D278" s="1">
        <f>IFERROR(__xludf.DUMMYFUNCTION("""COMPUTED_VALUE"""),-11.0)</f>
        <v>-11</v>
      </c>
      <c r="E278" s="1"/>
      <c r="F278" s="1"/>
    </row>
    <row r="279">
      <c r="A279" s="1" t="str">
        <f>IFERROR(__xludf.DUMMYFUNCTION("""COMPUTED_VALUE"""),"9c17ac39")</f>
        <v>9c17ac39</v>
      </c>
      <c r="B279" s="1" t="str">
        <f>IFERROR(__xludf.DUMMYFUNCTION("""COMPUTED_VALUE"""),"0049")</f>
        <v>0049</v>
      </c>
      <c r="C279" s="32">
        <f>IFERROR(__xludf.DUMMYFUNCTION("""COMPUTED_VALUE"""),46065.49493055556)</f>
        <v>46065.49493</v>
      </c>
      <c r="D279" s="1">
        <f>IFERROR(__xludf.DUMMYFUNCTION("""COMPUTED_VALUE"""),-7.0)</f>
        <v>-7</v>
      </c>
      <c r="E279" s="1"/>
      <c r="F279" s="1"/>
    </row>
    <row r="280">
      <c r="A280" s="1" t="str">
        <f>IFERROR(__xludf.DUMMYFUNCTION("""COMPUTED_VALUE"""),"524cbc07")</f>
        <v>524cbc07</v>
      </c>
      <c r="B280" s="1" t="str">
        <f>IFERROR(__xludf.DUMMYFUNCTION("""COMPUTED_VALUE"""),"0011")</f>
        <v>0011</v>
      </c>
      <c r="C280" s="32">
        <f>IFERROR(__xludf.DUMMYFUNCTION("""COMPUTED_VALUE"""),46065.49512731482)</f>
        <v>46065.49513</v>
      </c>
      <c r="D280" s="1">
        <f>IFERROR(__xludf.DUMMYFUNCTION("""COMPUTED_VALUE"""),-24.0)</f>
        <v>-24</v>
      </c>
      <c r="E280" s="1"/>
      <c r="F280" s="1"/>
    </row>
    <row r="281">
      <c r="A281" s="1" t="str">
        <f>IFERROR(__xludf.DUMMYFUNCTION("""COMPUTED_VALUE"""),"d552ac47")</f>
        <v>d552ac47</v>
      </c>
      <c r="B281" s="1" t="str">
        <f>IFERROR(__xludf.DUMMYFUNCTION("""COMPUTED_VALUE"""),"0af806f8")</f>
        <v>0af806f8</v>
      </c>
      <c r="C281" s="32">
        <f>IFERROR(__xludf.DUMMYFUNCTION("""COMPUTED_VALUE"""),46065.495254629626)</f>
        <v>46065.49525</v>
      </c>
      <c r="D281" s="1">
        <f>IFERROR(__xludf.DUMMYFUNCTION("""COMPUTED_VALUE"""),-30.0)</f>
        <v>-30</v>
      </c>
      <c r="E281" s="1"/>
      <c r="F281" s="1"/>
    </row>
    <row r="282">
      <c r="A282" s="1" t="str">
        <f>IFERROR(__xludf.DUMMYFUNCTION("""COMPUTED_VALUE"""),"1db48049")</f>
        <v>1db48049</v>
      </c>
      <c r="B282" s="1" t="str">
        <f>IFERROR(__xludf.DUMMYFUNCTION("""COMPUTED_VALUE"""),"0001")</f>
        <v>0001</v>
      </c>
      <c r="C282" s="32">
        <f>IFERROR(__xludf.DUMMYFUNCTION("""COMPUTED_VALUE"""),46065.49538194444)</f>
        <v>46065.49538</v>
      </c>
      <c r="D282" s="1">
        <f>IFERROR(__xludf.DUMMYFUNCTION("""COMPUTED_VALUE"""),-15.0)</f>
        <v>-15</v>
      </c>
      <c r="E282" s="1"/>
      <c r="F282" s="1"/>
    </row>
    <row r="283">
      <c r="A283" s="1" t="str">
        <f>IFERROR(__xludf.DUMMYFUNCTION("""COMPUTED_VALUE"""),"c6fe5b54")</f>
        <v>c6fe5b54</v>
      </c>
      <c r="B283" s="1" t="str">
        <f>IFERROR(__xludf.DUMMYFUNCTION("""COMPUTED_VALUE"""),"cf6c9481")</f>
        <v>cf6c9481</v>
      </c>
      <c r="C283" s="32">
        <f>IFERROR(__xludf.DUMMYFUNCTION("""COMPUTED_VALUE"""),46065.49569444444)</f>
        <v>46065.49569</v>
      </c>
      <c r="D283" s="1">
        <f>IFERROR(__xludf.DUMMYFUNCTION("""COMPUTED_VALUE"""),-14.0)</f>
        <v>-14</v>
      </c>
      <c r="E283" s="1"/>
      <c r="F283" s="1"/>
    </row>
    <row r="284">
      <c r="A284" s="1" t="str">
        <f>IFERROR(__xludf.DUMMYFUNCTION("""COMPUTED_VALUE"""),"6bb7f49a")</f>
        <v>6bb7f49a</v>
      </c>
      <c r="B284" s="1" t="str">
        <f>IFERROR(__xludf.DUMMYFUNCTION("""COMPUTED_VALUE"""),"bb6c2490")</f>
        <v>bb6c2490</v>
      </c>
      <c r="C284" s="32">
        <f>IFERROR(__xludf.DUMMYFUNCTION("""COMPUTED_VALUE"""),46065.49586805556)</f>
        <v>46065.49587</v>
      </c>
      <c r="D284" s="1">
        <f>IFERROR(__xludf.DUMMYFUNCTION("""COMPUTED_VALUE"""),-2.0)</f>
        <v>-2</v>
      </c>
      <c r="E284" s="1"/>
      <c r="F284" s="1"/>
    </row>
    <row r="285">
      <c r="A285" s="1" t="str">
        <f>IFERROR(__xludf.DUMMYFUNCTION("""COMPUTED_VALUE"""),"15bc051a")</f>
        <v>15bc051a</v>
      </c>
      <c r="B285" s="1" t="str">
        <f>IFERROR(__xludf.DUMMYFUNCTION("""COMPUTED_VALUE"""),"83dd14b5")</f>
        <v>83dd14b5</v>
      </c>
      <c r="C285" s="32">
        <f>IFERROR(__xludf.DUMMYFUNCTION("""COMPUTED_VALUE"""),46065.49627314815)</f>
        <v>46065.49627</v>
      </c>
      <c r="D285" s="1">
        <f>IFERROR(__xludf.DUMMYFUNCTION("""COMPUTED_VALUE"""),-24.0)</f>
        <v>-24</v>
      </c>
      <c r="E285" s="1"/>
      <c r="F285" s="1"/>
    </row>
    <row r="286">
      <c r="A286" s="1" t="str">
        <f>IFERROR(__xludf.DUMMYFUNCTION("""COMPUTED_VALUE"""),"acdac358")</f>
        <v>acdac358</v>
      </c>
      <c r="B286" s="1" t="str">
        <f>IFERROR(__xludf.DUMMYFUNCTION("""COMPUTED_VALUE"""),"0002")</f>
        <v>0002</v>
      </c>
      <c r="C286" s="32">
        <f>IFERROR(__xludf.DUMMYFUNCTION("""COMPUTED_VALUE"""),46065.49659722222)</f>
        <v>46065.4966</v>
      </c>
      <c r="D286" s="1">
        <f>IFERROR(__xludf.DUMMYFUNCTION("""COMPUTED_VALUE"""),-60.0)</f>
        <v>-60</v>
      </c>
      <c r="E286" s="1"/>
      <c r="F286" s="1"/>
    </row>
    <row r="287">
      <c r="A287" s="1" t="str">
        <f>IFERROR(__xludf.DUMMYFUNCTION("""COMPUTED_VALUE"""),"90cdcc40")</f>
        <v>90cdcc40</v>
      </c>
      <c r="B287" s="1" t="str">
        <f>IFERROR(__xludf.DUMMYFUNCTION("""COMPUTED_VALUE"""),"0019")</f>
        <v>0019</v>
      </c>
      <c r="C287" s="32">
        <f>IFERROR(__xludf.DUMMYFUNCTION("""COMPUTED_VALUE"""),46065.66913194444)</f>
        <v>46065.66913</v>
      </c>
      <c r="D287" s="1">
        <f>IFERROR(__xludf.DUMMYFUNCTION("""COMPUTED_VALUE"""),-15.0)</f>
        <v>-15</v>
      </c>
      <c r="E287" s="1"/>
      <c r="F287" s="1"/>
    </row>
    <row r="288">
      <c r="A288" s="1" t="str">
        <f>IFERROR(__xludf.DUMMYFUNCTION("""COMPUTED_VALUE"""),"a55102e2")</f>
        <v>a55102e2</v>
      </c>
      <c r="B288" s="1" t="str">
        <f>IFERROR(__xludf.DUMMYFUNCTION("""COMPUTED_VALUE"""),"0025")</f>
        <v>0025</v>
      </c>
      <c r="C288" s="32">
        <f>IFERROR(__xludf.DUMMYFUNCTION("""COMPUTED_VALUE"""),46066.06625)</f>
        <v>46066.06625</v>
      </c>
      <c r="D288" s="1">
        <f>IFERROR(__xludf.DUMMYFUNCTION("""COMPUTED_VALUE"""),10.0)</f>
        <v>10</v>
      </c>
      <c r="E288" s="1" t="str">
        <f>IFERROR(__xludf.DUMMYFUNCTION("""COMPUTED_VALUE"""),"699bb18e")</f>
        <v>699bb18e</v>
      </c>
      <c r="F288" s="1"/>
    </row>
    <row r="289">
      <c r="A289" s="1" t="str">
        <f>IFERROR(__xludf.DUMMYFUNCTION("""COMPUTED_VALUE"""),"dd6dcbf9")</f>
        <v>dd6dcbf9</v>
      </c>
      <c r="B289" s="1" t="str">
        <f>IFERROR(__xludf.DUMMYFUNCTION("""COMPUTED_VALUE"""),"0014")</f>
        <v>0014</v>
      </c>
      <c r="C289" s="32">
        <f>IFERROR(__xludf.DUMMYFUNCTION("""COMPUTED_VALUE"""),46066.066342592596)</f>
        <v>46066.06634</v>
      </c>
      <c r="D289" s="1">
        <f>IFERROR(__xludf.DUMMYFUNCTION("""COMPUTED_VALUE"""),20.0)</f>
        <v>20</v>
      </c>
      <c r="E289" s="1" t="str">
        <f>IFERROR(__xludf.DUMMYFUNCTION("""COMPUTED_VALUE"""),"699bb18e")</f>
        <v>699bb18e</v>
      </c>
      <c r="F289" s="1"/>
    </row>
    <row r="290">
      <c r="A290" s="1" t="str">
        <f>IFERROR(__xludf.DUMMYFUNCTION("""COMPUTED_VALUE"""),"e7e44c95")</f>
        <v>e7e44c95</v>
      </c>
      <c r="B290" s="1" t="str">
        <f>IFERROR(__xludf.DUMMYFUNCTION("""COMPUTED_VALUE"""),"cf6c9481")</f>
        <v>cf6c9481</v>
      </c>
      <c r="C290" s="32">
        <f>IFERROR(__xludf.DUMMYFUNCTION("""COMPUTED_VALUE"""),46066.06637731481)</f>
        <v>46066.06638</v>
      </c>
      <c r="D290" s="1">
        <f>IFERROR(__xludf.DUMMYFUNCTION("""COMPUTED_VALUE"""),80.0)</f>
        <v>80</v>
      </c>
      <c r="E290" s="1" t="str">
        <f>IFERROR(__xludf.DUMMYFUNCTION("""COMPUTED_VALUE"""),"699bb18e")</f>
        <v>699bb18e</v>
      </c>
      <c r="F290" s="1"/>
    </row>
    <row r="291">
      <c r="A291" s="1" t="str">
        <f>IFERROR(__xludf.DUMMYFUNCTION("""COMPUTED_VALUE"""),"ebedd0b7")</f>
        <v>ebedd0b7</v>
      </c>
      <c r="B291" s="1" t="str">
        <f>IFERROR(__xludf.DUMMYFUNCTION("""COMPUTED_VALUE"""),"12b96290")</f>
        <v>12b96290</v>
      </c>
      <c r="C291" s="32">
        <f>IFERROR(__xludf.DUMMYFUNCTION("""COMPUTED_VALUE"""),46066.068877314814)</f>
        <v>46066.06888</v>
      </c>
      <c r="D291" s="1">
        <f>IFERROR(__xludf.DUMMYFUNCTION("""COMPUTED_VALUE"""),15.0)</f>
        <v>15</v>
      </c>
      <c r="E291" s="1" t="str">
        <f>IFERROR(__xludf.DUMMYFUNCTION("""COMPUTED_VALUE"""),"081080d2")</f>
        <v>081080d2</v>
      </c>
      <c r="F291" s="1"/>
    </row>
    <row r="292">
      <c r="A292" s="1" t="str">
        <f>IFERROR(__xludf.DUMMYFUNCTION("""COMPUTED_VALUE"""),"0fdd0211")</f>
        <v>0fdd0211</v>
      </c>
      <c r="B292" s="1" t="str">
        <f>IFERROR(__xludf.DUMMYFUNCTION("""COMPUTED_VALUE"""),"0001")</f>
        <v>0001</v>
      </c>
      <c r="C292" s="32">
        <f>IFERROR(__xludf.DUMMYFUNCTION("""COMPUTED_VALUE"""),46066.068923611114)</f>
        <v>46066.06892</v>
      </c>
      <c r="D292" s="1">
        <f>IFERROR(__xludf.DUMMYFUNCTION("""COMPUTED_VALUE"""),165.0)</f>
        <v>165</v>
      </c>
      <c r="E292" s="1" t="str">
        <f>IFERROR(__xludf.DUMMYFUNCTION("""COMPUTED_VALUE"""),"081080d2")</f>
        <v>081080d2</v>
      </c>
      <c r="F292" s="1"/>
    </row>
    <row r="293">
      <c r="A293" s="1" t="str">
        <f>IFERROR(__xludf.DUMMYFUNCTION("""COMPUTED_VALUE"""),"f88ad674")</f>
        <v>f88ad674</v>
      </c>
      <c r="B293" s="1" t="str">
        <f>IFERROR(__xludf.DUMMYFUNCTION("""COMPUTED_VALUE"""),"0af806f8")</f>
        <v>0af806f8</v>
      </c>
      <c r="C293" s="32">
        <f>IFERROR(__xludf.DUMMYFUNCTION("""COMPUTED_VALUE"""),46066.06896990741)</f>
        <v>46066.06897</v>
      </c>
      <c r="D293" s="1">
        <f>IFERROR(__xludf.DUMMYFUNCTION("""COMPUTED_VALUE"""),120.0)</f>
        <v>120</v>
      </c>
      <c r="E293" s="1" t="str">
        <f>IFERROR(__xludf.DUMMYFUNCTION("""COMPUTED_VALUE"""),"081080d2")</f>
        <v>081080d2</v>
      </c>
      <c r="F293" s="1"/>
    </row>
    <row r="294">
      <c r="A294" s="1" t="str">
        <f>IFERROR(__xludf.DUMMYFUNCTION("""COMPUTED_VALUE"""),"0f46325d")</f>
        <v>0f46325d</v>
      </c>
      <c r="B294" s="1" t="str">
        <f>IFERROR(__xludf.DUMMYFUNCTION("""COMPUTED_VALUE"""),"0032")</f>
        <v>0032</v>
      </c>
      <c r="C294" s="32">
        <f>IFERROR(__xludf.DUMMYFUNCTION("""COMPUTED_VALUE"""),46067.97618055555)</f>
        <v>46067.97618</v>
      </c>
      <c r="D294" s="1">
        <f>IFERROR(__xludf.DUMMYFUNCTION("""COMPUTED_VALUE"""),81.0)</f>
        <v>81</v>
      </c>
      <c r="E294" s="1" t="str">
        <f>IFERROR(__xludf.DUMMYFUNCTION("""COMPUTED_VALUE"""),"5edb299b")</f>
        <v>5edb299b</v>
      </c>
      <c r="F294" s="1"/>
    </row>
    <row r="295">
      <c r="A295" s="1" t="str">
        <f>IFERROR(__xludf.DUMMYFUNCTION("""COMPUTED_VALUE"""),"275b5608")</f>
        <v>275b5608</v>
      </c>
      <c r="B295" s="1" t="str">
        <f>IFERROR(__xludf.DUMMYFUNCTION("""COMPUTED_VALUE"""),"0038")</f>
        <v>0038</v>
      </c>
      <c r="C295" s="32">
        <f>IFERROR(__xludf.DUMMYFUNCTION("""COMPUTED_VALUE"""),46067.97622685185)</f>
        <v>46067.97623</v>
      </c>
      <c r="D295" s="1">
        <f>IFERROR(__xludf.DUMMYFUNCTION("""COMPUTED_VALUE"""),18.0)</f>
        <v>18</v>
      </c>
      <c r="E295" s="1" t="str">
        <f>IFERROR(__xludf.DUMMYFUNCTION("""COMPUTED_VALUE"""),"5edb299b")</f>
        <v>5edb299b</v>
      </c>
      <c r="F295" s="1"/>
    </row>
    <row r="296">
      <c r="A296" s="1" t="str">
        <f>IFERROR(__xludf.DUMMYFUNCTION("""COMPUTED_VALUE"""),"49752419")</f>
        <v>49752419</v>
      </c>
      <c r="B296" s="1" t="str">
        <f>IFERROR(__xludf.DUMMYFUNCTION("""COMPUTED_VALUE"""),"0029")</f>
        <v>0029</v>
      </c>
      <c r="C296" s="32">
        <f>IFERROR(__xludf.DUMMYFUNCTION("""COMPUTED_VALUE"""),46067.97628472222)</f>
        <v>46067.97628</v>
      </c>
      <c r="D296" s="1">
        <f>IFERROR(__xludf.DUMMYFUNCTION("""COMPUTED_VALUE"""),72.0)</f>
        <v>72</v>
      </c>
      <c r="E296" s="1" t="str">
        <f>IFERROR(__xludf.DUMMYFUNCTION("""COMPUTED_VALUE"""),"5edb299b")</f>
        <v>5edb299b</v>
      </c>
      <c r="F296" s="1"/>
    </row>
    <row r="297">
      <c r="A297" s="1" t="str">
        <f>IFERROR(__xludf.DUMMYFUNCTION("""COMPUTED_VALUE"""),"1b868571")</f>
        <v>1b868571</v>
      </c>
      <c r="B297" s="1" t="str">
        <f>IFERROR(__xludf.DUMMYFUNCTION("""COMPUTED_VALUE"""),"0049")</f>
        <v>0049</v>
      </c>
      <c r="C297" s="32">
        <f>IFERROR(__xludf.DUMMYFUNCTION("""COMPUTED_VALUE"""),46069.85089120371)</f>
        <v>46069.85089</v>
      </c>
      <c r="D297" s="1">
        <f>IFERROR(__xludf.DUMMYFUNCTION("""COMPUTED_VALUE"""),48.0)</f>
        <v>48</v>
      </c>
      <c r="E297" s="1" t="str">
        <f>IFERROR(__xludf.DUMMYFUNCTION("""COMPUTED_VALUE"""),"5911af10")</f>
        <v>5911af10</v>
      </c>
      <c r="F297" s="1"/>
    </row>
    <row r="298">
      <c r="A298" s="1" t="str">
        <f>IFERROR(__xludf.DUMMYFUNCTION("""COMPUTED_VALUE"""),"0a5a2480")</f>
        <v>0a5a2480</v>
      </c>
      <c r="B298" s="1" t="str">
        <f>IFERROR(__xludf.DUMMYFUNCTION("""COMPUTED_VALUE"""),"0025")</f>
        <v>0025</v>
      </c>
      <c r="C298" s="32">
        <f>IFERROR(__xludf.DUMMYFUNCTION("""COMPUTED_VALUE"""),46069.8509375)</f>
        <v>46069.85094</v>
      </c>
      <c r="D298" s="1">
        <f>IFERROR(__xludf.DUMMYFUNCTION("""COMPUTED_VALUE"""),10.0)</f>
        <v>10</v>
      </c>
      <c r="E298" s="1" t="str">
        <f>IFERROR(__xludf.DUMMYFUNCTION("""COMPUTED_VALUE"""),"5911af10")</f>
        <v>5911af10</v>
      </c>
      <c r="F298" s="1"/>
    </row>
    <row r="299">
      <c r="A299" s="1" t="str">
        <f>IFERROR(__xludf.DUMMYFUNCTION("""COMPUTED_VALUE"""),"49fb4745")</f>
        <v>49fb4745</v>
      </c>
      <c r="B299" s="1" t="str">
        <f>IFERROR(__xludf.DUMMYFUNCTION("""COMPUTED_VALUE"""),"0014")</f>
        <v>0014</v>
      </c>
      <c r="C299" s="32">
        <f>IFERROR(__xludf.DUMMYFUNCTION("""COMPUTED_VALUE"""),46069.8509837963)</f>
        <v>46069.85098</v>
      </c>
      <c r="D299" s="1">
        <f>IFERROR(__xludf.DUMMYFUNCTION("""COMPUTED_VALUE"""),10.0)</f>
        <v>10</v>
      </c>
      <c r="E299" s="1" t="str">
        <f>IFERROR(__xludf.DUMMYFUNCTION("""COMPUTED_VALUE"""),"5911af10")</f>
        <v>5911af10</v>
      </c>
      <c r="F299" s="1"/>
    </row>
    <row r="300">
      <c r="A300" s="1" t="str">
        <f>IFERROR(__xludf.DUMMYFUNCTION("""COMPUTED_VALUE"""),"ff60464a")</f>
        <v>ff60464a</v>
      </c>
      <c r="B300" s="1" t="str">
        <f>IFERROR(__xludf.DUMMYFUNCTION("""COMPUTED_VALUE"""),"0011")</f>
        <v>0011</v>
      </c>
      <c r="C300" s="32">
        <f>IFERROR(__xludf.DUMMYFUNCTION("""COMPUTED_VALUE"""),46069.85167824074)</f>
        <v>46069.85168</v>
      </c>
      <c r="D300" s="1">
        <f>IFERROR(__xludf.DUMMYFUNCTION("""COMPUTED_VALUE"""),96.0)</f>
        <v>96</v>
      </c>
      <c r="E300" s="1" t="str">
        <f>IFERROR(__xludf.DUMMYFUNCTION("""COMPUTED_VALUE"""),"bef5de38")</f>
        <v>bef5de38</v>
      </c>
      <c r="F300" s="1"/>
    </row>
    <row r="301">
      <c r="A301" s="1" t="str">
        <f>IFERROR(__xludf.DUMMYFUNCTION("""COMPUTED_VALUE"""),"a44c8ca9")</f>
        <v>a44c8ca9</v>
      </c>
      <c r="B301" s="1" t="str">
        <f>IFERROR(__xludf.DUMMYFUNCTION("""COMPUTED_VALUE"""),"83dd14b5")</f>
        <v>83dd14b5</v>
      </c>
      <c r="C301" s="32">
        <f>IFERROR(__xludf.DUMMYFUNCTION("""COMPUTED_VALUE"""),46069.85172453704)</f>
        <v>46069.85172</v>
      </c>
      <c r="D301" s="1">
        <f>IFERROR(__xludf.DUMMYFUNCTION("""COMPUTED_VALUE"""),96.0)</f>
        <v>96</v>
      </c>
      <c r="E301" s="1" t="str">
        <f>IFERROR(__xludf.DUMMYFUNCTION("""COMPUTED_VALUE"""),"bef5de38")</f>
        <v>bef5de38</v>
      </c>
      <c r="F301" s="1"/>
    </row>
    <row r="302">
      <c r="A302" s="1" t="str">
        <f>IFERROR(__xludf.DUMMYFUNCTION("""COMPUTED_VALUE"""),"2a41aeae")</f>
        <v>2a41aeae</v>
      </c>
      <c r="B302" s="1" t="str">
        <f>IFERROR(__xludf.DUMMYFUNCTION("""COMPUTED_VALUE"""),"0003")</f>
        <v>0003</v>
      </c>
      <c r="C302" s="32">
        <f>IFERROR(__xludf.DUMMYFUNCTION("""COMPUTED_VALUE"""),46069.85239583333)</f>
        <v>46069.8524</v>
      </c>
      <c r="D302" s="1">
        <f>IFERROR(__xludf.DUMMYFUNCTION("""COMPUTED_VALUE"""),24.0)</f>
        <v>24</v>
      </c>
      <c r="E302" s="1" t="str">
        <f>IFERROR(__xludf.DUMMYFUNCTION("""COMPUTED_VALUE"""),"5a06a350")</f>
        <v>5a06a350</v>
      </c>
      <c r="F302" s="1"/>
    </row>
    <row r="303">
      <c r="A303" s="1" t="str">
        <f>IFERROR(__xludf.DUMMYFUNCTION("""COMPUTED_VALUE"""),"55f964cd")</f>
        <v>55f964cd</v>
      </c>
      <c r="B303" s="1" t="str">
        <f>IFERROR(__xludf.DUMMYFUNCTION("""COMPUTED_VALUE"""),"0019")</f>
        <v>0019</v>
      </c>
      <c r="C303" s="32">
        <f>IFERROR(__xludf.DUMMYFUNCTION("""COMPUTED_VALUE"""),46069.85364583333)</f>
        <v>46069.85365</v>
      </c>
      <c r="D303" s="1">
        <f>IFERROR(__xludf.DUMMYFUNCTION("""COMPUTED_VALUE"""),120.0)</f>
        <v>120</v>
      </c>
      <c r="E303" s="1" t="str">
        <f>IFERROR(__xludf.DUMMYFUNCTION("""COMPUTED_VALUE"""),"5a06a350")</f>
        <v>5a06a350</v>
      </c>
      <c r="F303" s="1"/>
    </row>
    <row r="304">
      <c r="A304" s="1" t="str">
        <f>IFERROR(__xludf.DUMMYFUNCTION("""COMPUTED_VALUE"""),"4fc1b920")</f>
        <v>4fc1b920</v>
      </c>
      <c r="B304" s="1" t="str">
        <f>IFERROR(__xludf.DUMMYFUNCTION("""COMPUTED_VALUE"""),"0054")</f>
        <v>0054</v>
      </c>
      <c r="C304" s="32">
        <f>IFERROR(__xludf.DUMMYFUNCTION("""COMPUTED_VALUE"""),46069.85391203704)</f>
        <v>46069.85391</v>
      </c>
      <c r="D304" s="1">
        <f>IFERROR(__xludf.DUMMYFUNCTION("""COMPUTED_VALUE"""),48.0)</f>
        <v>48</v>
      </c>
      <c r="E304" s="1" t="str">
        <f>IFERROR(__xludf.DUMMYFUNCTION("""COMPUTED_VALUE"""),"5a06a350")</f>
        <v>5a06a350</v>
      </c>
      <c r="F304" s="1"/>
    </row>
    <row r="305">
      <c r="A305" s="1" t="str">
        <f>IFERROR(__xludf.DUMMYFUNCTION("""COMPUTED_VALUE"""),"5d03ca54")</f>
        <v>5d03ca54</v>
      </c>
      <c r="B305" s="1" t="str">
        <f>IFERROR(__xludf.DUMMYFUNCTION("""COMPUTED_VALUE"""),"83dd14b5")</f>
        <v>83dd14b5</v>
      </c>
      <c r="C305" s="32">
        <f>IFERROR(__xludf.DUMMYFUNCTION("""COMPUTED_VALUE"""),46069.85422453703)</f>
        <v>46069.85422</v>
      </c>
      <c r="D305" s="1">
        <f>IFERROR(__xludf.DUMMYFUNCTION("""COMPUTED_VALUE"""),72.0)</f>
        <v>72</v>
      </c>
      <c r="E305" s="1" t="str">
        <f>IFERROR(__xludf.DUMMYFUNCTION("""COMPUTED_VALUE"""),"5a06a350")</f>
        <v>5a06a350</v>
      </c>
      <c r="F305" s="1"/>
    </row>
    <row r="306">
      <c r="A306" s="1" t="str">
        <f>IFERROR(__xludf.DUMMYFUNCTION("""COMPUTED_VALUE"""),"14ff236f")</f>
        <v>14ff236f</v>
      </c>
      <c r="B306" s="1" t="str">
        <f>IFERROR(__xludf.DUMMYFUNCTION("""COMPUTED_VALUE"""),"c80ae9f2")</f>
        <v>c80ae9f2</v>
      </c>
      <c r="C306" s="32">
        <f>IFERROR(__xludf.DUMMYFUNCTION("""COMPUTED_VALUE"""),46069.856157407405)</f>
        <v>46069.85616</v>
      </c>
      <c r="D306" s="1">
        <f>IFERROR(__xludf.DUMMYFUNCTION("""COMPUTED_VALUE"""),12.0)</f>
        <v>12</v>
      </c>
      <c r="E306" s="1" t="str">
        <f>IFERROR(__xludf.DUMMYFUNCTION("""COMPUTED_VALUE"""),"b19189c2")</f>
        <v>b19189c2</v>
      </c>
      <c r="F306" s="1"/>
    </row>
    <row r="307">
      <c r="A307" s="1" t="str">
        <f>IFERROR(__xludf.DUMMYFUNCTION("""COMPUTED_VALUE"""),"973d8164")</f>
        <v>973d8164</v>
      </c>
      <c r="B307" s="1" t="str">
        <f>IFERROR(__xludf.DUMMYFUNCTION("""COMPUTED_VALUE"""),"0014")</f>
        <v>0014</v>
      </c>
      <c r="C307" s="32">
        <f>IFERROR(__xludf.DUMMYFUNCTION("""COMPUTED_VALUE"""),46069.856203703705)</f>
        <v>46069.8562</v>
      </c>
      <c r="D307" s="1">
        <f>IFERROR(__xludf.DUMMYFUNCTION("""COMPUTED_VALUE"""),10.0)</f>
        <v>10</v>
      </c>
      <c r="E307" s="1" t="str">
        <f>IFERROR(__xludf.DUMMYFUNCTION("""COMPUTED_VALUE"""),"b19189c2")</f>
        <v>b19189c2</v>
      </c>
      <c r="F307" s="1"/>
    </row>
    <row r="308">
      <c r="A308" s="1" t="str">
        <f>IFERROR(__xludf.DUMMYFUNCTION("""COMPUTED_VALUE"""),"a4d1aff8")</f>
        <v>a4d1aff8</v>
      </c>
      <c r="B308" s="1" t="str">
        <f>IFERROR(__xludf.DUMMYFUNCTION("""COMPUTED_VALUE"""),"0027")</f>
        <v>0027</v>
      </c>
      <c r="C308" s="32">
        <f>IFERROR(__xludf.DUMMYFUNCTION("""COMPUTED_VALUE"""),46069.85623842593)</f>
        <v>46069.85624</v>
      </c>
      <c r="D308" s="1">
        <f>IFERROR(__xludf.DUMMYFUNCTION("""COMPUTED_VALUE"""),50.0)</f>
        <v>50</v>
      </c>
      <c r="E308" s="1" t="str">
        <f>IFERROR(__xludf.DUMMYFUNCTION("""COMPUTED_VALUE"""),"b19189c2")</f>
        <v>b19189c2</v>
      </c>
      <c r="F308" s="1"/>
    </row>
    <row r="309">
      <c r="A309" s="1" t="str">
        <f>IFERROR(__xludf.DUMMYFUNCTION("""COMPUTED_VALUE"""),"e9688893")</f>
        <v>e9688893</v>
      </c>
      <c r="B309" s="1" t="str">
        <f>IFERROR(__xludf.DUMMYFUNCTION("""COMPUTED_VALUE"""),"0025")</f>
        <v>0025</v>
      </c>
      <c r="C309" s="32">
        <f>IFERROR(__xludf.DUMMYFUNCTION("""COMPUTED_VALUE"""),46069.85628472222)</f>
        <v>46069.85628</v>
      </c>
      <c r="D309" s="1">
        <f>IFERROR(__xludf.DUMMYFUNCTION("""COMPUTED_VALUE"""),20.0)</f>
        <v>20</v>
      </c>
      <c r="E309" s="1" t="str">
        <f>IFERROR(__xludf.DUMMYFUNCTION("""COMPUTED_VALUE"""),"b19189c2")</f>
        <v>b19189c2</v>
      </c>
      <c r="F309" s="1"/>
    </row>
    <row r="310">
      <c r="A310" s="1" t="str">
        <f>IFERROR(__xludf.DUMMYFUNCTION("""COMPUTED_VALUE"""),"e7e7565f")</f>
        <v>e7e7565f</v>
      </c>
      <c r="B310" s="1" t="str">
        <f>IFERROR(__xludf.DUMMYFUNCTION("""COMPUTED_VALUE"""),"0049")</f>
        <v>0049</v>
      </c>
      <c r="C310" s="32">
        <f>IFERROR(__xludf.DUMMYFUNCTION("""COMPUTED_VALUE"""),46069.85633101852)</f>
        <v>46069.85633</v>
      </c>
      <c r="D310" s="1">
        <f>IFERROR(__xludf.DUMMYFUNCTION("""COMPUTED_VALUE"""),24.0)</f>
        <v>24</v>
      </c>
      <c r="E310" s="1" t="str">
        <f>IFERROR(__xludf.DUMMYFUNCTION("""COMPUTED_VALUE"""),"b19189c2")</f>
        <v>b19189c2</v>
      </c>
      <c r="F310" s="1"/>
    </row>
    <row r="311">
      <c r="A311" s="1" t="str">
        <f>IFERROR(__xludf.DUMMYFUNCTION("""COMPUTED_VALUE"""),"330d56f3")</f>
        <v>330d56f3</v>
      </c>
      <c r="B311" s="1" t="str">
        <f>IFERROR(__xludf.DUMMYFUNCTION("""COMPUTED_VALUE"""),"0030")</f>
        <v>0030</v>
      </c>
      <c r="C311" s="32">
        <f>IFERROR(__xludf.DUMMYFUNCTION("""COMPUTED_VALUE"""),46069.85637731481)</f>
        <v>46069.85638</v>
      </c>
      <c r="D311" s="1">
        <f>IFERROR(__xludf.DUMMYFUNCTION("""COMPUTED_VALUE"""),10.0)</f>
        <v>10</v>
      </c>
      <c r="E311" s="1" t="str">
        <f>IFERROR(__xludf.DUMMYFUNCTION("""COMPUTED_VALUE"""),"b19189c2")</f>
        <v>b19189c2</v>
      </c>
      <c r="F311" s="1"/>
    </row>
    <row r="312">
      <c r="A312" s="1" t="str">
        <f>IFERROR(__xludf.DUMMYFUNCTION("""COMPUTED_VALUE"""),"a40ccabc")</f>
        <v>a40ccabc</v>
      </c>
      <c r="B312" s="1" t="str">
        <f>IFERROR(__xludf.DUMMYFUNCTION("""COMPUTED_VALUE"""),"0086")</f>
        <v>0086</v>
      </c>
      <c r="C312" s="32">
        <f>IFERROR(__xludf.DUMMYFUNCTION("""COMPUTED_VALUE"""),46069.85642361111)</f>
        <v>46069.85642</v>
      </c>
      <c r="D312" s="1">
        <f>IFERROR(__xludf.DUMMYFUNCTION("""COMPUTED_VALUE"""),10.0)</f>
        <v>10</v>
      </c>
      <c r="E312" s="1" t="str">
        <f>IFERROR(__xludf.DUMMYFUNCTION("""COMPUTED_VALUE"""),"b19189c2")</f>
        <v>b19189c2</v>
      </c>
      <c r="F312" s="1"/>
    </row>
    <row r="313">
      <c r="A313" s="1" t="str">
        <f>IFERROR(__xludf.DUMMYFUNCTION("""COMPUTED_VALUE"""),"91c2338a")</f>
        <v>91c2338a</v>
      </c>
      <c r="B313" s="1" t="str">
        <f>IFERROR(__xludf.DUMMYFUNCTION("""COMPUTED_VALUE"""),"0001")</f>
        <v>0001</v>
      </c>
      <c r="C313" s="32">
        <f>IFERROR(__xludf.DUMMYFUNCTION("""COMPUTED_VALUE"""),46069.85665509259)</f>
        <v>46069.85666</v>
      </c>
      <c r="D313" s="1">
        <f>IFERROR(__xludf.DUMMYFUNCTION("""COMPUTED_VALUE"""),105.0)</f>
        <v>105</v>
      </c>
      <c r="E313" s="1" t="str">
        <f>IFERROR(__xludf.DUMMYFUNCTION("""COMPUTED_VALUE"""),"bcb95171")</f>
        <v>bcb95171</v>
      </c>
      <c r="F313" s="1"/>
    </row>
    <row r="314">
      <c r="A314" s="1" t="str">
        <f>IFERROR(__xludf.DUMMYFUNCTION("""COMPUTED_VALUE"""),"d0f50a49")</f>
        <v>d0f50a49</v>
      </c>
      <c r="B314" s="1" t="str">
        <f>IFERROR(__xludf.DUMMYFUNCTION("""COMPUTED_VALUE"""),"0af806f8")</f>
        <v>0af806f8</v>
      </c>
      <c r="C314" s="32">
        <f>IFERROR(__xludf.DUMMYFUNCTION("""COMPUTED_VALUE"""),46069.85670138889)</f>
        <v>46069.8567</v>
      </c>
      <c r="D314" s="1">
        <f>IFERROR(__xludf.DUMMYFUNCTION("""COMPUTED_VALUE"""),105.0)</f>
        <v>105</v>
      </c>
      <c r="E314" s="1" t="str">
        <f>IFERROR(__xludf.DUMMYFUNCTION("""COMPUTED_VALUE"""),"bcb95171")</f>
        <v>bcb95171</v>
      </c>
      <c r="F314" s="1"/>
    </row>
    <row r="315">
      <c r="A315" s="1" t="str">
        <f>IFERROR(__xludf.DUMMYFUNCTION("""COMPUTED_VALUE"""),"be2fe505")</f>
        <v>be2fe505</v>
      </c>
      <c r="B315" s="1" t="str">
        <f>IFERROR(__xludf.DUMMYFUNCTION("""COMPUTED_VALUE"""),"c099f042")</f>
        <v>c099f042</v>
      </c>
      <c r="C315" s="32">
        <f>IFERROR(__xludf.DUMMYFUNCTION("""COMPUTED_VALUE"""),46069.857037037036)</f>
        <v>46069.85704</v>
      </c>
      <c r="D315" s="1">
        <f>IFERROR(__xludf.DUMMYFUNCTION("""COMPUTED_VALUE"""),40.0)</f>
        <v>40</v>
      </c>
      <c r="E315" s="1" t="str">
        <f>IFERROR(__xludf.DUMMYFUNCTION("""COMPUTED_VALUE"""),"bcb95171")</f>
        <v>bcb95171</v>
      </c>
      <c r="F315" s="1"/>
    </row>
    <row r="316">
      <c r="A316" s="1" t="str">
        <f>IFERROR(__xludf.DUMMYFUNCTION("""COMPUTED_VALUE"""),"2fc96265")</f>
        <v>2fc96265</v>
      </c>
      <c r="B316" s="1" t="str">
        <f>IFERROR(__xludf.DUMMYFUNCTION("""COMPUTED_VALUE"""),"0027")</f>
        <v>0027</v>
      </c>
      <c r="C316" s="32">
        <f>IFERROR(__xludf.DUMMYFUNCTION("""COMPUTED_VALUE"""),46069.857986111114)</f>
        <v>46069.85799</v>
      </c>
      <c r="D316" s="1">
        <f>IFERROR(__xludf.DUMMYFUNCTION("""COMPUTED_VALUE"""),25.0)</f>
        <v>25</v>
      </c>
      <c r="E316" s="1" t="str">
        <f>IFERROR(__xludf.DUMMYFUNCTION("""COMPUTED_VALUE"""),"5f9fc030")</f>
        <v>5f9fc030</v>
      </c>
      <c r="F316" s="1"/>
    </row>
    <row r="317">
      <c r="A317" s="1" t="str">
        <f>IFERROR(__xludf.DUMMYFUNCTION("""COMPUTED_VALUE"""),"b1f85d30")</f>
        <v>b1f85d30</v>
      </c>
      <c r="B317" s="1" t="str">
        <f>IFERROR(__xludf.DUMMYFUNCTION("""COMPUTED_VALUE"""),"0014")</f>
        <v>0014</v>
      </c>
      <c r="C317" s="32">
        <f>IFERROR(__xludf.DUMMYFUNCTION("""COMPUTED_VALUE"""),46069.85803240741)</f>
        <v>46069.85803</v>
      </c>
      <c r="D317" s="1">
        <f>IFERROR(__xludf.DUMMYFUNCTION("""COMPUTED_VALUE"""),10.0)</f>
        <v>10</v>
      </c>
      <c r="E317" s="1" t="str">
        <f>IFERROR(__xludf.DUMMYFUNCTION("""COMPUTED_VALUE"""),"5f9fc030")</f>
        <v>5f9fc030</v>
      </c>
      <c r="F317" s="1"/>
    </row>
    <row r="318">
      <c r="A318" s="1" t="str">
        <f>IFERROR(__xludf.DUMMYFUNCTION("""COMPUTED_VALUE"""),"50929837")</f>
        <v>50929837</v>
      </c>
      <c r="B318" s="1" t="str">
        <f>IFERROR(__xludf.DUMMYFUNCTION("""COMPUTED_VALUE"""),"cd21eb57")</f>
        <v>cd21eb57</v>
      </c>
      <c r="C318" s="32">
        <f>IFERROR(__xludf.DUMMYFUNCTION("""COMPUTED_VALUE"""),46069.858078703706)</f>
        <v>46069.85808</v>
      </c>
      <c r="D318" s="1">
        <f>IFERROR(__xludf.DUMMYFUNCTION("""COMPUTED_VALUE"""),48.0)</f>
        <v>48</v>
      </c>
      <c r="E318" s="1" t="str">
        <f>IFERROR(__xludf.DUMMYFUNCTION("""COMPUTED_VALUE"""),"5f9fc030")</f>
        <v>5f9fc030</v>
      </c>
      <c r="F318" s="1"/>
    </row>
    <row r="319">
      <c r="A319" s="1" t="str">
        <f>IFERROR(__xludf.DUMMYFUNCTION("""COMPUTED_VALUE"""),"e12952ad")</f>
        <v>e12952ad</v>
      </c>
      <c r="B319" s="1" t="str">
        <f>IFERROR(__xludf.DUMMYFUNCTION("""COMPUTED_VALUE"""),"bb6c2490")</f>
        <v>bb6c2490</v>
      </c>
      <c r="C319" s="32">
        <f>IFERROR(__xludf.DUMMYFUNCTION("""COMPUTED_VALUE"""),46069.85946759259)</f>
        <v>46069.85947</v>
      </c>
      <c r="D319" s="1">
        <f>IFERROR(__xludf.DUMMYFUNCTION("""COMPUTED_VALUE"""),126.0)</f>
        <v>126</v>
      </c>
      <c r="E319" s="1" t="str">
        <f>IFERROR(__xludf.DUMMYFUNCTION("""COMPUTED_VALUE"""),"7c315092")</f>
        <v>7c315092</v>
      </c>
      <c r="F319" s="1"/>
    </row>
    <row r="320">
      <c r="A320" s="1" t="str">
        <f>IFERROR(__xludf.DUMMYFUNCTION("""COMPUTED_VALUE"""),"beccdecb")</f>
        <v>beccdecb</v>
      </c>
      <c r="B320" s="1" t="str">
        <f>IFERROR(__xludf.DUMMYFUNCTION("""COMPUTED_VALUE"""),"0021")</f>
        <v>0021</v>
      </c>
      <c r="C320" s="32">
        <f>IFERROR(__xludf.DUMMYFUNCTION("""COMPUTED_VALUE"""),46069.859502314815)</f>
        <v>46069.8595</v>
      </c>
      <c r="D320" s="1">
        <f>IFERROR(__xludf.DUMMYFUNCTION("""COMPUTED_VALUE"""),72.0)</f>
        <v>72</v>
      </c>
      <c r="E320" s="1" t="str">
        <f>IFERROR(__xludf.DUMMYFUNCTION("""COMPUTED_VALUE"""),"7c315092")</f>
        <v>7c315092</v>
      </c>
      <c r="F320" s="1"/>
    </row>
    <row r="321">
      <c r="A321" s="1" t="str">
        <f>IFERROR(__xludf.DUMMYFUNCTION("""COMPUTED_VALUE"""),"9dc168f3")</f>
        <v>9dc168f3</v>
      </c>
      <c r="B321" s="1" t="str">
        <f>IFERROR(__xludf.DUMMYFUNCTION("""COMPUTED_VALUE"""),"0064")</f>
        <v>0064</v>
      </c>
      <c r="C321" s="32">
        <f>IFERROR(__xludf.DUMMYFUNCTION("""COMPUTED_VALUE"""),46069.85959490741)</f>
        <v>46069.85959</v>
      </c>
      <c r="D321" s="1">
        <f>IFERROR(__xludf.DUMMYFUNCTION("""COMPUTED_VALUE"""),27.0)</f>
        <v>27</v>
      </c>
      <c r="E321" s="1" t="str">
        <f>IFERROR(__xludf.DUMMYFUNCTION("""COMPUTED_VALUE"""),"7c315092")</f>
        <v>7c315092</v>
      </c>
      <c r="F321" s="1"/>
    </row>
    <row r="322">
      <c r="A322" s="1" t="str">
        <f>IFERROR(__xludf.DUMMYFUNCTION("""COMPUTED_VALUE"""),"98686e6d")</f>
        <v>98686e6d</v>
      </c>
      <c r="B322" s="1" t="str">
        <f>IFERROR(__xludf.DUMMYFUNCTION("""COMPUTED_VALUE"""),"0019")</f>
        <v>0019</v>
      </c>
      <c r="C322" s="32">
        <f>IFERROR(__xludf.DUMMYFUNCTION("""COMPUTED_VALUE"""),46069.8596412037)</f>
        <v>46069.85964</v>
      </c>
      <c r="D322" s="1">
        <f>IFERROR(__xludf.DUMMYFUNCTION("""COMPUTED_VALUE"""),96.0)</f>
        <v>96</v>
      </c>
      <c r="E322" s="1" t="str">
        <f>IFERROR(__xludf.DUMMYFUNCTION("""COMPUTED_VALUE"""),"7c315092")</f>
        <v>7c315092</v>
      </c>
      <c r="F322" s="1"/>
    </row>
    <row r="323">
      <c r="A323" s="1" t="str">
        <f>IFERROR(__xludf.DUMMYFUNCTION("""COMPUTED_VALUE"""),"5fe44a22")</f>
        <v>5fe44a22</v>
      </c>
      <c r="B323" s="1" t="str">
        <f>IFERROR(__xludf.DUMMYFUNCTION("""COMPUTED_VALUE"""),"0002")</f>
        <v>0002</v>
      </c>
      <c r="C323" s="32">
        <f>IFERROR(__xludf.DUMMYFUNCTION("""COMPUTED_VALUE"""),46073.919594907406)</f>
        <v>46073.91959</v>
      </c>
      <c r="D323" s="1">
        <f>IFERROR(__xludf.DUMMYFUNCTION("""COMPUTED_VALUE"""),600.0)</f>
        <v>600</v>
      </c>
      <c r="E323" s="1" t="str">
        <f>IFERROR(__xludf.DUMMYFUNCTION("""COMPUTED_VALUE"""),"666228c0")</f>
        <v>666228c0</v>
      </c>
      <c r="F323" s="1"/>
    </row>
    <row r="324">
      <c r="A324" s="1" t="str">
        <f>IFERROR(__xludf.DUMMYFUNCTION("""COMPUTED_VALUE"""),"3d4744d1")</f>
        <v>3d4744d1</v>
      </c>
      <c r="B324" s="1" t="str">
        <f>IFERROR(__xludf.DUMMYFUNCTION("""COMPUTED_VALUE"""),"0001")</f>
        <v>0001</v>
      </c>
      <c r="C324" s="32">
        <f>IFERROR(__xludf.DUMMYFUNCTION("""COMPUTED_VALUE"""),46073.92429398148)</f>
        <v>46073.92429</v>
      </c>
      <c r="D324" s="1">
        <f>IFERROR(__xludf.DUMMYFUNCTION("""COMPUTED_VALUE"""),21.0)</f>
        <v>21</v>
      </c>
      <c r="E324" s="1" t="str">
        <f>IFERROR(__xludf.DUMMYFUNCTION("""COMPUTED_VALUE"""),"a02d1fa8")</f>
        <v>a02d1fa8</v>
      </c>
      <c r="F324" s="1"/>
    </row>
    <row r="325">
      <c r="A325" s="1" t="str">
        <f>IFERROR(__xludf.DUMMYFUNCTION("""COMPUTED_VALUE"""),"45f8bb52")</f>
        <v>45f8bb52</v>
      </c>
      <c r="B325" s="1" t="str">
        <f>IFERROR(__xludf.DUMMYFUNCTION("""COMPUTED_VALUE"""),"0011")</f>
        <v>0011</v>
      </c>
      <c r="C325" s="32">
        <f>IFERROR(__xludf.DUMMYFUNCTION("""COMPUTED_VALUE"""),46073.9459375)</f>
        <v>46073.94594</v>
      </c>
      <c r="D325" s="1">
        <f>IFERROR(__xludf.DUMMYFUNCTION("""COMPUTED_VALUE"""),120.0)</f>
        <v>120</v>
      </c>
      <c r="E325" s="1" t="str">
        <f>IFERROR(__xludf.DUMMYFUNCTION("""COMPUTED_VALUE"""),"24f2992a")</f>
        <v>24f2992a</v>
      </c>
      <c r="F325" s="1"/>
    </row>
    <row r="326">
      <c r="A326" s="1" t="str">
        <f>IFERROR(__xludf.DUMMYFUNCTION("""COMPUTED_VALUE"""),"e2ba8b04")</f>
        <v>e2ba8b04</v>
      </c>
      <c r="B326" s="1" t="str">
        <f>IFERROR(__xludf.DUMMYFUNCTION("""COMPUTED_VALUE"""),"0029")</f>
        <v>0029</v>
      </c>
      <c r="C326" s="32">
        <f>IFERROR(__xludf.DUMMYFUNCTION("""COMPUTED_VALUE"""),46082.61892361111)</f>
        <v>46082.61892</v>
      </c>
      <c r="D326" s="1">
        <f>IFERROR(__xludf.DUMMYFUNCTION("""COMPUTED_VALUE"""),72.0)</f>
        <v>72</v>
      </c>
      <c r="E326" s="1" t="str">
        <f>IFERROR(__xludf.DUMMYFUNCTION("""COMPUTED_VALUE"""),"49781d38")</f>
        <v>49781d38</v>
      </c>
      <c r="F326" s="1"/>
    </row>
    <row r="327">
      <c r="A327" s="1" t="str">
        <f>IFERROR(__xludf.DUMMYFUNCTION("""COMPUTED_VALUE"""),"7ca7412d")</f>
        <v>7ca7412d</v>
      </c>
      <c r="B327" s="1" t="str">
        <f>IFERROR(__xludf.DUMMYFUNCTION("""COMPUTED_VALUE"""),"83dd14b5")</f>
        <v>83dd14b5</v>
      </c>
      <c r="C327" s="32">
        <f>IFERROR(__xludf.DUMMYFUNCTION("""COMPUTED_VALUE"""),46082.61935185185)</f>
        <v>46082.61935</v>
      </c>
      <c r="D327" s="1">
        <f>IFERROR(__xludf.DUMMYFUNCTION("""COMPUTED_VALUE"""),120.0)</f>
        <v>120</v>
      </c>
      <c r="E327" s="1" t="str">
        <f>IFERROR(__xludf.DUMMYFUNCTION("""COMPUTED_VALUE"""),"49781d38")</f>
        <v>49781d38</v>
      </c>
      <c r="F327" s="1"/>
    </row>
    <row r="328">
      <c r="A328" s="1" t="str">
        <f>IFERROR(__xludf.DUMMYFUNCTION("""COMPUTED_VALUE"""),"25aef0dc")</f>
        <v>25aef0dc</v>
      </c>
      <c r="B328" s="1" t="str">
        <f>IFERROR(__xludf.DUMMYFUNCTION("""COMPUTED_VALUE"""),"1b6b5ed6")</f>
        <v>1b6b5ed6</v>
      </c>
      <c r="C328" s="32">
        <f>IFERROR(__xludf.DUMMYFUNCTION("""COMPUTED_VALUE"""),46082.61945601852)</f>
        <v>46082.61946</v>
      </c>
      <c r="D328" s="1">
        <f>IFERROR(__xludf.DUMMYFUNCTION("""COMPUTED_VALUE"""),120.0)</f>
        <v>120</v>
      </c>
      <c r="E328" s="1" t="str">
        <f>IFERROR(__xludf.DUMMYFUNCTION("""COMPUTED_VALUE"""),"49781d38")</f>
        <v>49781d38</v>
      </c>
      <c r="F328" s="1"/>
    </row>
    <row r="329">
      <c r="A329" s="1" t="str">
        <f>IFERROR(__xludf.DUMMYFUNCTION("""COMPUTED_VALUE"""),"2492fe4c")</f>
        <v>2492fe4c</v>
      </c>
      <c r="B329" s="1" t="str">
        <f>IFERROR(__xludf.DUMMYFUNCTION("""COMPUTED_VALUE"""),"0030")</f>
        <v>0030</v>
      </c>
      <c r="C329" s="32">
        <f>IFERROR(__xludf.DUMMYFUNCTION("""COMPUTED_VALUE"""),46082.61990740741)</f>
        <v>46082.61991</v>
      </c>
      <c r="D329" s="1">
        <f>IFERROR(__xludf.DUMMYFUNCTION("""COMPUTED_VALUE"""),10.0)</f>
        <v>10</v>
      </c>
      <c r="E329" s="1" t="str">
        <f>IFERROR(__xludf.DUMMYFUNCTION("""COMPUTED_VALUE"""),"e44fac19")</f>
        <v>e44fac19</v>
      </c>
      <c r="F329" s="1"/>
    </row>
    <row r="330">
      <c r="A330" s="1" t="str">
        <f>IFERROR(__xludf.DUMMYFUNCTION("""COMPUTED_VALUE"""),"3baaa0fc")</f>
        <v>3baaa0fc</v>
      </c>
      <c r="B330" s="1" t="str">
        <f>IFERROR(__xludf.DUMMYFUNCTION("""COMPUTED_VALUE"""),"0001")</f>
        <v>0001</v>
      </c>
      <c r="C330" s="32">
        <f>IFERROR(__xludf.DUMMYFUNCTION("""COMPUTED_VALUE"""),46082.622453703705)</f>
        <v>46082.62245</v>
      </c>
      <c r="D330" s="1">
        <f>IFERROR(__xludf.DUMMYFUNCTION("""COMPUTED_VALUE"""),705.0)</f>
        <v>705</v>
      </c>
      <c r="E330" s="1" t="str">
        <f>IFERROR(__xludf.DUMMYFUNCTION("""COMPUTED_VALUE"""),"fa326fde")</f>
        <v>fa326fde</v>
      </c>
      <c r="F330" s="1"/>
    </row>
    <row r="331">
      <c r="A331" s="1" t="str">
        <f>IFERROR(__xludf.DUMMYFUNCTION("""COMPUTED_VALUE"""),"a919ab71")</f>
        <v>a919ab71</v>
      </c>
      <c r="B331" s="1" t="str">
        <f>IFERROR(__xludf.DUMMYFUNCTION("""COMPUTED_VALUE"""),"bb6c2490")</f>
        <v>bb6c2490</v>
      </c>
      <c r="C331" s="32">
        <f>IFERROR(__xludf.DUMMYFUNCTION("""COMPUTED_VALUE"""),46082.62253472222)</f>
        <v>46082.62253</v>
      </c>
      <c r="D331" s="1">
        <f>IFERROR(__xludf.DUMMYFUNCTION("""COMPUTED_VALUE"""),90.0)</f>
        <v>90</v>
      </c>
      <c r="E331" s="1" t="str">
        <f>IFERROR(__xludf.DUMMYFUNCTION("""COMPUTED_VALUE"""),"fa326fde")</f>
        <v>fa326fde</v>
      </c>
      <c r="F331" s="1"/>
    </row>
    <row r="332">
      <c r="A332" s="1" t="str">
        <f>IFERROR(__xludf.DUMMYFUNCTION("""COMPUTED_VALUE"""),"a060cc72")</f>
        <v>a060cc72</v>
      </c>
      <c r="B332" s="1" t="str">
        <f>IFERROR(__xludf.DUMMYFUNCTION("""COMPUTED_VALUE"""),"0011")</f>
        <v>0011</v>
      </c>
      <c r="C332" s="32">
        <f>IFERROR(__xludf.DUMMYFUNCTION("""COMPUTED_VALUE"""),46082.62259259259)</f>
        <v>46082.62259</v>
      </c>
      <c r="D332" s="1">
        <f>IFERROR(__xludf.DUMMYFUNCTION("""COMPUTED_VALUE"""),120.0)</f>
        <v>120</v>
      </c>
      <c r="E332" s="1" t="str">
        <f>IFERROR(__xludf.DUMMYFUNCTION("""COMPUTED_VALUE"""),"fa326fde")</f>
        <v>fa326fde</v>
      </c>
      <c r="F332" s="1"/>
    </row>
    <row r="333">
      <c r="A333" s="1" t="str">
        <f>IFERROR(__xludf.DUMMYFUNCTION("""COMPUTED_VALUE"""),"a08008d9")</f>
        <v>a08008d9</v>
      </c>
      <c r="B333" s="1" t="str">
        <f>IFERROR(__xludf.DUMMYFUNCTION("""COMPUTED_VALUE"""),"0032")</f>
        <v>0032</v>
      </c>
      <c r="C333" s="32">
        <f>IFERROR(__xludf.DUMMYFUNCTION("""COMPUTED_VALUE"""),46082.62278935185)</f>
        <v>46082.62279</v>
      </c>
      <c r="D333" s="1">
        <f>IFERROR(__xludf.DUMMYFUNCTION("""COMPUTED_VALUE"""),108.0)</f>
        <v>108</v>
      </c>
      <c r="E333" s="1" t="str">
        <f>IFERROR(__xludf.DUMMYFUNCTION("""COMPUTED_VALUE"""),"4d8053dc")</f>
        <v>4d8053dc</v>
      </c>
      <c r="F333" s="1"/>
    </row>
    <row r="334">
      <c r="A334" s="1" t="str">
        <f>IFERROR(__xludf.DUMMYFUNCTION("""COMPUTED_VALUE"""),"9deae075")</f>
        <v>9deae075</v>
      </c>
      <c r="B334" s="1" t="str">
        <f>IFERROR(__xludf.DUMMYFUNCTION("""COMPUTED_VALUE"""),"0021")</f>
        <v>0021</v>
      </c>
      <c r="C334" s="32">
        <f>IFERROR(__xludf.DUMMYFUNCTION("""COMPUTED_VALUE"""),46082.624756944446)</f>
        <v>46082.62476</v>
      </c>
      <c r="D334" s="1">
        <f>IFERROR(__xludf.DUMMYFUNCTION("""COMPUTED_VALUE"""),72.0)</f>
        <v>72</v>
      </c>
      <c r="E334" s="1" t="str">
        <f>IFERROR(__xludf.DUMMYFUNCTION("""COMPUTED_VALUE"""),"f1314e9b")</f>
        <v>f1314e9b</v>
      </c>
      <c r="F334" s="1"/>
    </row>
    <row r="335">
      <c r="A335" s="1" t="str">
        <f>IFERROR(__xludf.DUMMYFUNCTION("""COMPUTED_VALUE"""),"a708a46e")</f>
        <v>a708a46e</v>
      </c>
      <c r="B335" s="1" t="str">
        <f>IFERROR(__xludf.DUMMYFUNCTION("""COMPUTED_VALUE"""),"0029")</f>
        <v>0029</v>
      </c>
      <c r="C335" s="32">
        <f>IFERROR(__xludf.DUMMYFUNCTION("""COMPUTED_VALUE"""),46082.62482638889)</f>
        <v>46082.62483</v>
      </c>
      <c r="D335" s="1">
        <f>IFERROR(__xludf.DUMMYFUNCTION("""COMPUTED_VALUE"""),168.0)</f>
        <v>168</v>
      </c>
      <c r="E335" s="1" t="str">
        <f>IFERROR(__xludf.DUMMYFUNCTION("""COMPUTED_VALUE"""),"f1314e9b")</f>
        <v>f1314e9b</v>
      </c>
      <c r="F335" s="1"/>
    </row>
    <row r="336">
      <c r="A336" s="1" t="str">
        <f>IFERROR(__xludf.DUMMYFUNCTION("""COMPUTED_VALUE"""),"e4512f62")</f>
        <v>e4512f62</v>
      </c>
      <c r="B336" s="1" t="str">
        <f>IFERROR(__xludf.DUMMYFUNCTION("""COMPUTED_VALUE"""),"83dd14b5")</f>
        <v>83dd14b5</v>
      </c>
      <c r="C336" s="32">
        <f>IFERROR(__xludf.DUMMYFUNCTION("""COMPUTED_VALUE"""),46082.62489583333)</f>
        <v>46082.6249</v>
      </c>
      <c r="D336" s="1">
        <f>IFERROR(__xludf.DUMMYFUNCTION("""COMPUTED_VALUE"""),144.0)</f>
        <v>144</v>
      </c>
      <c r="E336" s="1" t="str">
        <f>IFERROR(__xludf.DUMMYFUNCTION("""COMPUTED_VALUE"""),"f1314e9b")</f>
        <v>f1314e9b</v>
      </c>
      <c r="F336" s="1"/>
    </row>
    <row r="337">
      <c r="A337" s="1" t="str">
        <f>IFERROR(__xludf.DUMMYFUNCTION("""COMPUTED_VALUE"""),"58babd32")</f>
        <v>58babd32</v>
      </c>
      <c r="B337" s="1" t="str">
        <f>IFERROR(__xludf.DUMMYFUNCTION("""COMPUTED_VALUE"""),"0011")</f>
        <v>0011</v>
      </c>
      <c r="C337" s="32">
        <f>IFERROR(__xludf.DUMMYFUNCTION("""COMPUTED_VALUE"""),46084.292708333334)</f>
        <v>46084.29271</v>
      </c>
      <c r="D337" s="1">
        <f>IFERROR(__xludf.DUMMYFUNCTION("""COMPUTED_VALUE"""),120.0)</f>
        <v>120</v>
      </c>
      <c r="E337" s="1" t="str">
        <f>IFERROR(__xludf.DUMMYFUNCTION("""COMPUTED_VALUE"""),"58f0f51e")</f>
        <v>58f0f51e</v>
      </c>
      <c r="F337" s="1"/>
    </row>
    <row r="338">
      <c r="A338" s="1" t="str">
        <f>IFERROR(__xludf.DUMMYFUNCTION("""COMPUTED_VALUE"""),"d1e87efb")</f>
        <v>d1e87efb</v>
      </c>
      <c r="B338" s="1" t="str">
        <f>IFERROR(__xludf.DUMMYFUNCTION("""COMPUTED_VALUE"""),"0032")</f>
        <v>0032</v>
      </c>
      <c r="C338" s="32">
        <f>IFERROR(__xludf.DUMMYFUNCTION("""COMPUTED_VALUE"""),46084.29275462963)</f>
        <v>46084.29275</v>
      </c>
      <c r="D338" s="1">
        <f>IFERROR(__xludf.DUMMYFUNCTION("""COMPUTED_VALUE"""),162.0)</f>
        <v>162</v>
      </c>
      <c r="E338" s="1" t="str">
        <f>IFERROR(__xludf.DUMMYFUNCTION("""COMPUTED_VALUE"""),"58f0f51e")</f>
        <v>58f0f51e</v>
      </c>
      <c r="F338" s="1"/>
    </row>
    <row r="339">
      <c r="A339" s="1" t="str">
        <f>IFERROR(__xludf.DUMMYFUNCTION("""COMPUTED_VALUE"""),"b9137303")</f>
        <v>b9137303</v>
      </c>
      <c r="B339" s="1" t="str">
        <f>IFERROR(__xludf.DUMMYFUNCTION("""COMPUTED_VALUE"""),"0002")</f>
        <v>0002</v>
      </c>
      <c r="C339" s="32">
        <f>IFERROR(__xludf.DUMMYFUNCTION("""COMPUTED_VALUE"""),46084.29474537037)</f>
        <v>46084.29475</v>
      </c>
      <c r="D339" s="1">
        <f>IFERROR(__xludf.DUMMYFUNCTION("""COMPUTED_VALUE"""),480.0)</f>
        <v>480</v>
      </c>
      <c r="E339" s="1" t="str">
        <f>IFERROR(__xludf.DUMMYFUNCTION("""COMPUTED_VALUE"""),"8fe7beb3")</f>
        <v>8fe7beb3</v>
      </c>
      <c r="F339" s="1"/>
    </row>
    <row r="340">
      <c r="A340" s="1" t="str">
        <f>IFERROR(__xludf.DUMMYFUNCTION("""COMPUTED_VALUE"""),"7f946ecb")</f>
        <v>7f946ecb</v>
      </c>
      <c r="B340" s="1" t="str">
        <f>IFERROR(__xludf.DUMMYFUNCTION("""COMPUTED_VALUE"""),"0021")</f>
        <v>0021</v>
      </c>
      <c r="C340" s="32">
        <f>IFERROR(__xludf.DUMMYFUNCTION("""COMPUTED_VALUE"""),46084.85298611111)</f>
        <v>46084.85299</v>
      </c>
      <c r="D340" s="1">
        <f>IFERROR(__xludf.DUMMYFUNCTION("""COMPUTED_VALUE"""),96.0)</f>
        <v>96</v>
      </c>
      <c r="E340" s="1" t="str">
        <f>IFERROR(__xludf.DUMMYFUNCTION("""COMPUTED_VALUE"""),"2200b6da")</f>
        <v>2200b6da</v>
      </c>
      <c r="F340" s="1"/>
    </row>
    <row r="341">
      <c r="A341" s="1" t="str">
        <f>IFERROR(__xludf.DUMMYFUNCTION("""COMPUTED_VALUE"""),"349617f1")</f>
        <v>349617f1</v>
      </c>
      <c r="B341" s="1" t="str">
        <f>IFERROR(__xludf.DUMMYFUNCTION("""COMPUTED_VALUE"""),"0016")</f>
        <v>0016</v>
      </c>
      <c r="C341" s="32">
        <f>IFERROR(__xludf.DUMMYFUNCTION("""COMPUTED_VALUE"""),46084.85303240741)</f>
        <v>46084.85303</v>
      </c>
      <c r="D341" s="1">
        <f>IFERROR(__xludf.DUMMYFUNCTION("""COMPUTED_VALUE"""),24.0)</f>
        <v>24</v>
      </c>
      <c r="E341" s="1" t="str">
        <f>IFERROR(__xludf.DUMMYFUNCTION("""COMPUTED_VALUE"""),"2200b6da")</f>
        <v>2200b6da</v>
      </c>
      <c r="F341" s="1"/>
    </row>
    <row r="342">
      <c r="A342" s="1" t="str">
        <f>IFERROR(__xludf.DUMMYFUNCTION("""COMPUTED_VALUE"""),"a6d9735f")</f>
        <v>a6d9735f</v>
      </c>
      <c r="B342" s="1" t="str">
        <f>IFERROR(__xludf.DUMMYFUNCTION("""COMPUTED_VALUE"""),"0049")</f>
        <v>0049</v>
      </c>
      <c r="C342" s="32">
        <f>IFERROR(__xludf.DUMMYFUNCTION("""COMPUTED_VALUE"""),46084.85356481482)</f>
        <v>46084.85356</v>
      </c>
      <c r="D342" s="1">
        <f>IFERROR(__xludf.DUMMYFUNCTION("""COMPUTED_VALUE"""),60.0)</f>
        <v>60</v>
      </c>
      <c r="E342" s="1" t="str">
        <f>IFERROR(__xludf.DUMMYFUNCTION("""COMPUTED_VALUE"""),"edecceb3")</f>
        <v>edecceb3</v>
      </c>
      <c r="F342" s="1"/>
    </row>
    <row r="343">
      <c r="A343" s="1" t="str">
        <f>IFERROR(__xludf.DUMMYFUNCTION("""COMPUTED_VALUE"""),"09172c41")</f>
        <v>09172c41</v>
      </c>
      <c r="B343" s="1" t="str">
        <f>IFERROR(__xludf.DUMMYFUNCTION("""COMPUTED_VALUE"""),"12b96290")</f>
        <v>12b96290</v>
      </c>
      <c r="C343" s="32">
        <f>IFERROR(__xludf.DUMMYFUNCTION("""COMPUTED_VALUE"""),46084.85430555556)</f>
        <v>46084.85431</v>
      </c>
      <c r="D343" s="1">
        <f>IFERROR(__xludf.DUMMYFUNCTION("""COMPUTED_VALUE"""),105.0)</f>
        <v>105</v>
      </c>
      <c r="E343" s="1" t="str">
        <f>IFERROR(__xludf.DUMMYFUNCTION("""COMPUTED_VALUE"""),"30ca239d")</f>
        <v>30ca239d</v>
      </c>
      <c r="F343" s="1"/>
    </row>
    <row r="344">
      <c r="A344" s="1" t="str">
        <f>IFERROR(__xludf.DUMMYFUNCTION("""COMPUTED_VALUE"""),"0f912aab")</f>
        <v>0f912aab</v>
      </c>
      <c r="B344" s="1" t="str">
        <f>IFERROR(__xludf.DUMMYFUNCTION("""COMPUTED_VALUE"""),"b3204174")</f>
        <v>b3204174</v>
      </c>
      <c r="C344" s="32">
        <f>IFERROR(__xludf.DUMMYFUNCTION("""COMPUTED_VALUE"""),46084.85435185185)</f>
        <v>46084.85435</v>
      </c>
      <c r="D344" s="1">
        <f>IFERROR(__xludf.DUMMYFUNCTION("""COMPUTED_VALUE"""),100.0)</f>
        <v>100</v>
      </c>
      <c r="E344" s="1" t="str">
        <f>IFERROR(__xludf.DUMMYFUNCTION("""COMPUTED_VALUE"""),"30ca239d")</f>
        <v>30ca239d</v>
      </c>
      <c r="F344" s="1"/>
    </row>
    <row r="345">
      <c r="A345" s="1" t="str">
        <f>IFERROR(__xludf.DUMMYFUNCTION("""COMPUTED_VALUE"""),"eb2747f5")</f>
        <v>eb2747f5</v>
      </c>
      <c r="B345" s="1" t="str">
        <f>IFERROR(__xludf.DUMMYFUNCTION("""COMPUTED_VALUE"""),"0049")</f>
        <v>0049</v>
      </c>
      <c r="C345" s="32">
        <f>IFERROR(__xludf.DUMMYFUNCTION("""COMPUTED_VALUE"""),46091.77622685185)</f>
        <v>46091.77623</v>
      </c>
      <c r="D345" s="1">
        <f>IFERROR(__xludf.DUMMYFUNCTION("""COMPUTED_VALUE"""),42.0)</f>
        <v>42</v>
      </c>
      <c r="E345" s="1" t="str">
        <f>IFERROR(__xludf.DUMMYFUNCTION("""COMPUTED_VALUE"""),"43f4b2f6")</f>
        <v>43f4b2f6</v>
      </c>
      <c r="F345" s="1"/>
    </row>
    <row r="346">
      <c r="A346" s="1" t="str">
        <f>IFERROR(__xludf.DUMMYFUNCTION("""COMPUTED_VALUE"""),"3957543f")</f>
        <v>3957543f</v>
      </c>
      <c r="B346" s="1" t="str">
        <f>IFERROR(__xludf.DUMMYFUNCTION("""COMPUTED_VALUE"""),"cf6c9481")</f>
        <v>cf6c9481</v>
      </c>
      <c r="C346" s="32">
        <f>IFERROR(__xludf.DUMMYFUNCTION("""COMPUTED_VALUE"""),46091.77627314815)</f>
        <v>46091.77627</v>
      </c>
      <c r="D346" s="1">
        <f>IFERROR(__xludf.DUMMYFUNCTION("""COMPUTED_VALUE"""),48.0)</f>
        <v>48</v>
      </c>
      <c r="E346" s="1" t="str">
        <f>IFERROR(__xludf.DUMMYFUNCTION("""COMPUTED_VALUE"""),"43f4b2f6")</f>
        <v>43f4b2f6</v>
      </c>
      <c r="F346" s="1"/>
    </row>
    <row r="347">
      <c r="A347" s="1" t="str">
        <f>IFERROR(__xludf.DUMMYFUNCTION("""COMPUTED_VALUE"""),"aa8dd9f0")</f>
        <v>aa8dd9f0</v>
      </c>
      <c r="B347" s="1" t="str">
        <f>IFERROR(__xludf.DUMMYFUNCTION("""COMPUTED_VALUE"""),"0086")</f>
        <v>0086</v>
      </c>
      <c r="C347" s="32">
        <f>IFERROR(__xludf.DUMMYFUNCTION("""COMPUTED_VALUE"""),46091.77631944444)</f>
        <v>46091.77632</v>
      </c>
      <c r="D347" s="1">
        <f>IFERROR(__xludf.DUMMYFUNCTION("""COMPUTED_VALUE"""),50.0)</f>
        <v>50</v>
      </c>
      <c r="E347" s="1" t="str">
        <f>IFERROR(__xludf.DUMMYFUNCTION("""COMPUTED_VALUE"""),"43f4b2f6")</f>
        <v>43f4b2f6</v>
      </c>
      <c r="F347" s="1"/>
    </row>
    <row r="348">
      <c r="A348" s="1" t="str">
        <f>IFERROR(__xludf.DUMMYFUNCTION("""COMPUTED_VALUE"""),"dd27904f")</f>
        <v>dd27904f</v>
      </c>
      <c r="B348" s="1" t="str">
        <f>IFERROR(__xludf.DUMMYFUNCTION("""COMPUTED_VALUE"""),"a19879cf")</f>
        <v>a19879cf</v>
      </c>
      <c r="C348" s="32">
        <f>IFERROR(__xludf.DUMMYFUNCTION("""COMPUTED_VALUE"""),46091.77726851852)</f>
        <v>46091.77727</v>
      </c>
      <c r="D348" s="1">
        <f>IFERROR(__xludf.DUMMYFUNCTION("""COMPUTED_VALUE"""),24.0)</f>
        <v>24</v>
      </c>
      <c r="E348" s="1" t="str">
        <f>IFERROR(__xludf.DUMMYFUNCTION("""COMPUTED_VALUE"""),"35cb0a30")</f>
        <v>35cb0a30</v>
      </c>
      <c r="F348" s="1"/>
    </row>
    <row r="349">
      <c r="A349" s="1" t="str">
        <f>IFERROR(__xludf.DUMMYFUNCTION("""COMPUTED_VALUE"""),"cfa5e5cc")</f>
        <v>cfa5e5cc</v>
      </c>
      <c r="B349" s="1" t="str">
        <f>IFERROR(__xludf.DUMMYFUNCTION("""COMPUTED_VALUE"""),"27c8f623")</f>
        <v>27c8f623</v>
      </c>
      <c r="C349" s="32">
        <f>IFERROR(__xludf.DUMMYFUNCTION("""COMPUTED_VALUE"""),46091.777719907404)</f>
        <v>46091.77772</v>
      </c>
      <c r="D349" s="1">
        <f>IFERROR(__xludf.DUMMYFUNCTION("""COMPUTED_VALUE"""),24.0)</f>
        <v>24</v>
      </c>
      <c r="E349" s="1" t="str">
        <f>IFERROR(__xludf.DUMMYFUNCTION("""COMPUTED_VALUE"""),"35cb0a30")</f>
        <v>35cb0a30</v>
      </c>
      <c r="F349" s="1"/>
    </row>
    <row r="350">
      <c r="A350" s="1" t="str">
        <f>IFERROR(__xludf.DUMMYFUNCTION("""COMPUTED_VALUE"""),"923c30f4")</f>
        <v>923c30f4</v>
      </c>
      <c r="B350" s="1" t="str">
        <f>IFERROR(__xludf.DUMMYFUNCTION("""COMPUTED_VALUE"""),"02d86a9b")</f>
        <v>02d86a9b</v>
      </c>
      <c r="C350" s="32">
        <f>IFERROR(__xludf.DUMMYFUNCTION("""COMPUTED_VALUE"""),46091.77790509259)</f>
        <v>46091.77791</v>
      </c>
      <c r="D350" s="1">
        <f>IFERROR(__xludf.DUMMYFUNCTION("""COMPUTED_VALUE"""),24.0)</f>
        <v>24</v>
      </c>
      <c r="E350" s="1" t="str">
        <f>IFERROR(__xludf.DUMMYFUNCTION("""COMPUTED_VALUE"""),"35cb0a30")</f>
        <v>35cb0a30</v>
      </c>
      <c r="F350" s="1"/>
    </row>
    <row r="351">
      <c r="A351" s="1" t="str">
        <f>IFERROR(__xludf.DUMMYFUNCTION("""COMPUTED_VALUE"""),"0daf6c1c")</f>
        <v>0daf6c1c</v>
      </c>
      <c r="B351" s="1" t="str">
        <f>IFERROR(__xludf.DUMMYFUNCTION("""COMPUTED_VALUE"""),"0001")</f>
        <v>0001</v>
      </c>
      <c r="C351" s="32">
        <f>IFERROR(__xludf.DUMMYFUNCTION("""COMPUTED_VALUE"""),46091.779027777775)</f>
        <v>46091.77903</v>
      </c>
      <c r="D351" s="1">
        <f>IFERROR(__xludf.DUMMYFUNCTION("""COMPUTED_VALUE"""),60.0)</f>
        <v>60</v>
      </c>
      <c r="E351" s="1" t="str">
        <f>IFERROR(__xludf.DUMMYFUNCTION("""COMPUTED_VALUE"""),"fd017c96")</f>
        <v>fd017c96</v>
      </c>
      <c r="F351" s="1"/>
    </row>
    <row r="352">
      <c r="A352" s="1" t="str">
        <f>IFERROR(__xludf.DUMMYFUNCTION("""COMPUTED_VALUE"""),"8cd0286a")</f>
        <v>8cd0286a</v>
      </c>
      <c r="B352" s="1" t="str">
        <f>IFERROR(__xludf.DUMMYFUNCTION("""COMPUTED_VALUE"""),"bb6c2490")</f>
        <v>bb6c2490</v>
      </c>
      <c r="C352" s="32">
        <f>IFERROR(__xludf.DUMMYFUNCTION("""COMPUTED_VALUE"""),46091.7791087963)</f>
        <v>46091.77911</v>
      </c>
      <c r="D352" s="1">
        <f>IFERROR(__xludf.DUMMYFUNCTION("""COMPUTED_VALUE"""),72.0)</f>
        <v>72</v>
      </c>
      <c r="E352" s="1" t="str">
        <f>IFERROR(__xludf.DUMMYFUNCTION("""COMPUTED_VALUE"""),"fd017c96")</f>
        <v>fd017c96</v>
      </c>
      <c r="F352" s="1"/>
    </row>
    <row r="353">
      <c r="A353" s="1" t="str">
        <f>IFERROR(__xludf.DUMMYFUNCTION("""COMPUTED_VALUE"""),"7b843ac3")</f>
        <v>7b843ac3</v>
      </c>
      <c r="B353" s="1" t="str">
        <f>IFERROR(__xludf.DUMMYFUNCTION("""COMPUTED_VALUE"""),"c099f042")</f>
        <v>c099f042</v>
      </c>
      <c r="C353" s="32">
        <f>IFERROR(__xludf.DUMMYFUNCTION("""COMPUTED_VALUE"""),46091.77915509259)</f>
        <v>46091.77916</v>
      </c>
      <c r="D353" s="1">
        <f>IFERROR(__xludf.DUMMYFUNCTION("""COMPUTED_VALUE"""),40.0)</f>
        <v>40</v>
      </c>
      <c r="E353" s="1" t="str">
        <f>IFERROR(__xludf.DUMMYFUNCTION("""COMPUTED_VALUE"""),"fd017c96")</f>
        <v>fd017c96</v>
      </c>
      <c r="F353" s="1"/>
    </row>
    <row r="354">
      <c r="A354" s="1" t="str">
        <f>IFERROR(__xludf.DUMMYFUNCTION("""COMPUTED_VALUE"""),"63bda8f0")</f>
        <v>63bda8f0</v>
      </c>
      <c r="B354" s="1" t="str">
        <f>IFERROR(__xludf.DUMMYFUNCTION("""COMPUTED_VALUE"""),"83dd14b5")</f>
        <v>83dd14b5</v>
      </c>
      <c r="C354" s="32">
        <f>IFERROR(__xludf.DUMMYFUNCTION("""COMPUTED_VALUE"""),46091.77925925926)</f>
        <v>46091.77926</v>
      </c>
      <c r="D354" s="1">
        <f>IFERROR(__xludf.DUMMYFUNCTION("""COMPUTED_VALUE"""),240.0)</f>
        <v>240</v>
      </c>
      <c r="E354" s="1" t="str">
        <f>IFERROR(__xludf.DUMMYFUNCTION("""COMPUTED_VALUE"""),"fd017c96")</f>
        <v>fd017c96</v>
      </c>
      <c r="F354" s="1"/>
    </row>
    <row r="355">
      <c r="A355" s="1" t="str">
        <f>IFERROR(__xludf.DUMMYFUNCTION("""COMPUTED_VALUE"""),"b2a49ccc")</f>
        <v>b2a49ccc</v>
      </c>
      <c r="B355" s="1" t="str">
        <f>IFERROR(__xludf.DUMMYFUNCTION("""COMPUTED_VALUE"""),"0029")</f>
        <v>0029</v>
      </c>
      <c r="C355" s="32">
        <f>IFERROR(__xludf.DUMMYFUNCTION("""COMPUTED_VALUE"""),46091.780798611115)</f>
        <v>46091.7808</v>
      </c>
      <c r="D355" s="1">
        <f>IFERROR(__xludf.DUMMYFUNCTION("""COMPUTED_VALUE"""),96.0)</f>
        <v>96</v>
      </c>
      <c r="E355" s="1" t="str">
        <f>IFERROR(__xludf.DUMMYFUNCTION("""COMPUTED_VALUE"""),"f00c0ff5")</f>
        <v>f00c0ff5</v>
      </c>
      <c r="F355" s="1"/>
    </row>
    <row r="356">
      <c r="A356" s="1" t="str">
        <f>IFERROR(__xludf.DUMMYFUNCTION("""COMPUTED_VALUE"""),"03e2b8ce")</f>
        <v>03e2b8ce</v>
      </c>
      <c r="B356" s="1" t="str">
        <f>IFERROR(__xludf.DUMMYFUNCTION("""COMPUTED_VALUE"""),"0054")</f>
        <v>0054</v>
      </c>
      <c r="C356" s="32">
        <f>IFERROR(__xludf.DUMMYFUNCTION("""COMPUTED_VALUE"""),46091.78084490741)</f>
        <v>46091.78084</v>
      </c>
      <c r="D356" s="1">
        <f>IFERROR(__xludf.DUMMYFUNCTION("""COMPUTED_VALUE"""),42.0)</f>
        <v>42</v>
      </c>
      <c r="E356" s="1" t="str">
        <f>IFERROR(__xludf.DUMMYFUNCTION("""COMPUTED_VALUE"""),"f00c0ff5")</f>
        <v>f00c0ff5</v>
      </c>
      <c r="F356" s="1"/>
    </row>
    <row r="357">
      <c r="A357" s="1" t="str">
        <f>IFERROR(__xludf.DUMMYFUNCTION("""COMPUTED_VALUE"""),"a9f64be7")</f>
        <v>a9f64be7</v>
      </c>
      <c r="B357" s="1" t="str">
        <f>IFERROR(__xludf.DUMMYFUNCTION("""COMPUTED_VALUE"""),"a3f74383")</f>
        <v>a3f74383</v>
      </c>
      <c r="C357" s="32">
        <f>IFERROR(__xludf.DUMMYFUNCTION("""COMPUTED_VALUE"""),46091.78089120371)</f>
        <v>46091.78089</v>
      </c>
      <c r="D357" s="1">
        <f>IFERROR(__xludf.DUMMYFUNCTION("""COMPUTED_VALUE"""),24.0)</f>
        <v>24</v>
      </c>
      <c r="E357" s="1" t="str">
        <f>IFERROR(__xludf.DUMMYFUNCTION("""COMPUTED_VALUE"""),"f00c0ff5")</f>
        <v>f00c0ff5</v>
      </c>
      <c r="F357" s="1"/>
    </row>
    <row r="358">
      <c r="A358" s="1" t="str">
        <f>IFERROR(__xludf.DUMMYFUNCTION("""COMPUTED_VALUE"""),"1b3107e7")</f>
        <v>1b3107e7</v>
      </c>
      <c r="B358" s="1" t="str">
        <f>IFERROR(__xludf.DUMMYFUNCTION("""COMPUTED_VALUE"""),"699ad05d")</f>
        <v>699ad05d</v>
      </c>
      <c r="C358" s="32">
        <f>IFERROR(__xludf.DUMMYFUNCTION("""COMPUTED_VALUE"""),46091.7809375)</f>
        <v>46091.78094</v>
      </c>
      <c r="D358" s="1">
        <f>IFERROR(__xludf.DUMMYFUNCTION("""COMPUTED_VALUE"""),24.0)</f>
        <v>24</v>
      </c>
      <c r="E358" s="1" t="str">
        <f>IFERROR(__xludf.DUMMYFUNCTION("""COMPUTED_VALUE"""),"f00c0ff5")</f>
        <v>f00c0ff5</v>
      </c>
      <c r="F358" s="1"/>
    </row>
    <row r="359">
      <c r="A359" s="1" t="str">
        <f>IFERROR(__xludf.DUMMYFUNCTION("""COMPUTED_VALUE"""),"79b5623b")</f>
        <v>79b5623b</v>
      </c>
      <c r="B359" s="1" t="str">
        <f>IFERROR(__xludf.DUMMYFUNCTION("""COMPUTED_VALUE"""),"d5b5f9d1")</f>
        <v>d5b5f9d1</v>
      </c>
      <c r="C359" s="32">
        <f>IFERROR(__xludf.DUMMYFUNCTION("""COMPUTED_VALUE"""),46091.78119212963)</f>
        <v>46091.78119</v>
      </c>
      <c r="D359" s="1">
        <f>IFERROR(__xludf.DUMMYFUNCTION("""COMPUTED_VALUE"""),30.0)</f>
        <v>30</v>
      </c>
      <c r="E359" s="1" t="str">
        <f>IFERROR(__xludf.DUMMYFUNCTION("""COMPUTED_VALUE"""),"db31e3f8")</f>
        <v>db31e3f8</v>
      </c>
      <c r="F359" s="1"/>
    </row>
    <row r="360">
      <c r="A360" s="1" t="str">
        <f>IFERROR(__xludf.DUMMYFUNCTION("""COMPUTED_VALUE"""),"a93d91bf")</f>
        <v>a93d91bf</v>
      </c>
      <c r="B360" s="1" t="str">
        <f>IFERROR(__xludf.DUMMYFUNCTION("""COMPUTED_VALUE"""),"cb9e809e")</f>
        <v>cb9e809e</v>
      </c>
      <c r="C360" s="32">
        <f>IFERROR(__xludf.DUMMYFUNCTION("""COMPUTED_VALUE"""),46091.78711805555)</f>
        <v>46091.78712</v>
      </c>
      <c r="D360" s="1">
        <f>IFERROR(__xludf.DUMMYFUNCTION("""COMPUTED_VALUE"""),60.0)</f>
        <v>60</v>
      </c>
      <c r="E360" s="1" t="str">
        <f>IFERROR(__xludf.DUMMYFUNCTION("""COMPUTED_VALUE"""),"e5fb83ab")</f>
        <v>e5fb83ab</v>
      </c>
      <c r="F360" s="1"/>
    </row>
    <row r="361">
      <c r="A361" s="1" t="str">
        <f>IFERROR(__xludf.DUMMYFUNCTION("""COMPUTED_VALUE"""),"abb85757")</f>
        <v>abb85757</v>
      </c>
      <c r="B361" s="1" t="str">
        <f>IFERROR(__xludf.DUMMYFUNCTION("""COMPUTED_VALUE"""),"a19879cf")</f>
        <v>a19879cf</v>
      </c>
      <c r="C361" s="32">
        <f>IFERROR(__xludf.DUMMYFUNCTION("""COMPUTED_VALUE"""),46091.78717592593)</f>
        <v>46091.78718</v>
      </c>
      <c r="D361" s="1">
        <f>IFERROR(__xludf.DUMMYFUNCTION("""COMPUTED_VALUE"""),42.0)</f>
        <v>42</v>
      </c>
      <c r="E361" s="1" t="str">
        <f>IFERROR(__xludf.DUMMYFUNCTION("""COMPUTED_VALUE"""),"e5fb83ab")</f>
        <v>e5fb83ab</v>
      </c>
      <c r="F361" s="1"/>
    </row>
    <row r="362">
      <c r="A362" s="1" t="str">
        <f>IFERROR(__xludf.DUMMYFUNCTION("""COMPUTED_VALUE"""),"03e41aae")</f>
        <v>03e41aae</v>
      </c>
      <c r="B362" s="1" t="str">
        <f>IFERROR(__xludf.DUMMYFUNCTION("""COMPUTED_VALUE"""),"02d86a9b")</f>
        <v>02d86a9b</v>
      </c>
      <c r="C362" s="32">
        <f>IFERROR(__xludf.DUMMYFUNCTION("""COMPUTED_VALUE"""),46091.78726851852)</f>
        <v>46091.78727</v>
      </c>
      <c r="D362" s="1">
        <f>IFERROR(__xludf.DUMMYFUNCTION("""COMPUTED_VALUE"""),24.0)</f>
        <v>24</v>
      </c>
      <c r="E362" s="1" t="str">
        <f>IFERROR(__xludf.DUMMYFUNCTION("""COMPUTED_VALUE"""),"e5fb83ab")</f>
        <v>e5fb83ab</v>
      </c>
      <c r="F362" s="1"/>
    </row>
    <row r="363">
      <c r="A363" s="1" t="str">
        <f>IFERROR(__xludf.DUMMYFUNCTION("""COMPUTED_VALUE"""),"085a434a")</f>
        <v>085a434a</v>
      </c>
      <c r="B363" s="1" t="str">
        <f>IFERROR(__xludf.DUMMYFUNCTION("""COMPUTED_VALUE"""),"27c8f623")</f>
        <v>27c8f623</v>
      </c>
      <c r="C363" s="32">
        <f>IFERROR(__xludf.DUMMYFUNCTION("""COMPUTED_VALUE"""),46091.787314814814)</f>
        <v>46091.78731</v>
      </c>
      <c r="D363" s="1">
        <f>IFERROR(__xludf.DUMMYFUNCTION("""COMPUTED_VALUE"""),24.0)</f>
        <v>24</v>
      </c>
      <c r="E363" s="1" t="str">
        <f>IFERROR(__xludf.DUMMYFUNCTION("""COMPUTED_VALUE"""),"e5fb83ab")</f>
        <v>e5fb83ab</v>
      </c>
      <c r="F363" s="1"/>
    </row>
    <row r="364">
      <c r="A364" s="1" t="str">
        <f>IFERROR(__xludf.DUMMYFUNCTION("""COMPUTED_VALUE"""),"63588ef5")</f>
        <v>63588ef5</v>
      </c>
      <c r="B364" s="1" t="str">
        <f>IFERROR(__xludf.DUMMYFUNCTION("""COMPUTED_VALUE"""),"bb4d1bd1")</f>
        <v>bb4d1bd1</v>
      </c>
      <c r="C364" s="32">
        <f>IFERROR(__xludf.DUMMYFUNCTION("""COMPUTED_VALUE"""),46091.78736111111)</f>
        <v>46091.78736</v>
      </c>
      <c r="D364" s="1">
        <f>IFERROR(__xludf.DUMMYFUNCTION("""COMPUTED_VALUE"""),24.0)</f>
        <v>24</v>
      </c>
      <c r="E364" s="1" t="str">
        <f>IFERROR(__xludf.DUMMYFUNCTION("""COMPUTED_VALUE"""),"e5fb83ab")</f>
        <v>e5fb83ab</v>
      </c>
      <c r="F364" s="1"/>
    </row>
    <row r="365">
      <c r="A365" s="1" t="str">
        <f>IFERROR(__xludf.DUMMYFUNCTION("""COMPUTED_VALUE"""),"8282fd04")</f>
        <v>8282fd04</v>
      </c>
      <c r="B365" s="1" t="str">
        <f>IFERROR(__xludf.DUMMYFUNCTION("""COMPUTED_VALUE"""),"0021")</f>
        <v>0021</v>
      </c>
      <c r="C365" s="32">
        <f>IFERROR(__xludf.DUMMYFUNCTION("""COMPUTED_VALUE"""),46091.787407407406)</f>
        <v>46091.78741</v>
      </c>
      <c r="D365" s="1">
        <f>IFERROR(__xludf.DUMMYFUNCTION("""COMPUTED_VALUE"""),42.0)</f>
        <v>42</v>
      </c>
      <c r="E365" s="1" t="str">
        <f>IFERROR(__xludf.DUMMYFUNCTION("""COMPUTED_VALUE"""),"e5fb83ab")</f>
        <v>e5fb83ab</v>
      </c>
      <c r="F365" s="1"/>
    </row>
    <row r="366">
      <c r="A366" s="1" t="str">
        <f>IFERROR(__xludf.DUMMYFUNCTION("""COMPUTED_VALUE"""),"3068b698")</f>
        <v>3068b698</v>
      </c>
      <c r="B366" s="1" t="str">
        <f>IFERROR(__xludf.DUMMYFUNCTION("""COMPUTED_VALUE"""),"57a5617b")</f>
        <v>57a5617b</v>
      </c>
      <c r="C366" s="32">
        <f>IFERROR(__xludf.DUMMYFUNCTION("""COMPUTED_VALUE"""),46091.787453703706)</f>
        <v>46091.78745</v>
      </c>
      <c r="D366" s="1">
        <f>IFERROR(__xludf.DUMMYFUNCTION("""COMPUTED_VALUE"""),42.0)</f>
        <v>42</v>
      </c>
      <c r="E366" s="1" t="str">
        <f>IFERROR(__xludf.DUMMYFUNCTION("""COMPUTED_VALUE"""),"e5fb83ab")</f>
        <v>e5fb83ab</v>
      </c>
      <c r="F366" s="1"/>
    </row>
    <row r="367">
      <c r="A367" s="1" t="str">
        <f>IFERROR(__xludf.DUMMYFUNCTION("""COMPUTED_VALUE"""),"971a454d")</f>
        <v>971a454d</v>
      </c>
      <c r="B367" s="1" t="str">
        <f>IFERROR(__xludf.DUMMYFUNCTION("""COMPUTED_VALUE"""),"0001")</f>
        <v>0001</v>
      </c>
      <c r="C367" s="32">
        <f>IFERROR(__xludf.DUMMYFUNCTION("""COMPUTED_VALUE"""),46091.788449074076)</f>
        <v>46091.78845</v>
      </c>
      <c r="D367" s="1">
        <f>IFERROR(__xludf.DUMMYFUNCTION("""COMPUTED_VALUE"""),135.0)</f>
        <v>135</v>
      </c>
      <c r="E367" s="1" t="str">
        <f>IFERROR(__xludf.DUMMYFUNCTION("""COMPUTED_VALUE"""),"e5fb83ab")</f>
        <v>e5fb83ab</v>
      </c>
      <c r="F367" s="1"/>
    </row>
    <row r="368">
      <c r="A368" s="1" t="str">
        <f>IFERROR(__xludf.DUMMYFUNCTION("""COMPUTED_VALUE"""),"f4c15288")</f>
        <v>f4c15288</v>
      </c>
      <c r="B368" s="1" t="str">
        <f>IFERROR(__xludf.DUMMYFUNCTION("""COMPUTED_VALUE"""),"0af806f8")</f>
        <v>0af806f8</v>
      </c>
      <c r="C368" s="32">
        <f>IFERROR(__xludf.DUMMYFUNCTION("""COMPUTED_VALUE"""),46091.78849537037)</f>
        <v>46091.7885</v>
      </c>
      <c r="D368" s="1">
        <f>IFERROR(__xludf.DUMMYFUNCTION("""COMPUTED_VALUE"""),45.0)</f>
        <v>45</v>
      </c>
      <c r="E368" s="1" t="str">
        <f>IFERROR(__xludf.DUMMYFUNCTION("""COMPUTED_VALUE"""),"e5fb83ab")</f>
        <v>e5fb83ab</v>
      </c>
      <c r="F368" s="1"/>
    </row>
    <row r="369">
      <c r="A369" s="1" t="str">
        <f>IFERROR(__xludf.DUMMYFUNCTION("""COMPUTED_VALUE"""),"159d567d")</f>
        <v>159d567d</v>
      </c>
      <c r="B369" s="1" t="str">
        <f>IFERROR(__xludf.DUMMYFUNCTION("""COMPUTED_VALUE"""),"12b96290")</f>
        <v>12b96290</v>
      </c>
      <c r="C369" s="32">
        <f>IFERROR(__xludf.DUMMYFUNCTION("""COMPUTED_VALUE"""),46091.78894675926)</f>
        <v>46091.78895</v>
      </c>
      <c r="D369" s="1">
        <f>IFERROR(__xludf.DUMMYFUNCTION("""COMPUTED_VALUE"""),30.0)</f>
        <v>30</v>
      </c>
      <c r="E369" s="1" t="str">
        <f>IFERROR(__xludf.DUMMYFUNCTION("""COMPUTED_VALUE"""),"e5fb83ab")</f>
        <v>e5fb83ab</v>
      </c>
      <c r="F369" s="1"/>
    </row>
    <row r="370">
      <c r="A370" s="1" t="str">
        <f>IFERROR(__xludf.DUMMYFUNCTION("""COMPUTED_VALUE"""),"d6f30136")</f>
        <v>d6f30136</v>
      </c>
      <c r="B370" s="1" t="str">
        <f>IFERROR(__xludf.DUMMYFUNCTION("""COMPUTED_VALUE"""),"d5b5f9d1")</f>
        <v>d5b5f9d1</v>
      </c>
      <c r="C370" s="32">
        <f>IFERROR(__xludf.DUMMYFUNCTION("""COMPUTED_VALUE"""),46091.788993055554)</f>
        <v>46091.78899</v>
      </c>
      <c r="D370" s="1">
        <f>IFERROR(__xludf.DUMMYFUNCTION("""COMPUTED_VALUE"""),90.0)</f>
        <v>90</v>
      </c>
      <c r="E370" s="1" t="str">
        <f>IFERROR(__xludf.DUMMYFUNCTION("""COMPUTED_VALUE"""),"e5fb83ab")</f>
        <v>e5fb83ab</v>
      </c>
      <c r="F370" s="1"/>
    </row>
    <row r="371">
      <c r="A371" s="1" t="str">
        <f>IFERROR(__xludf.DUMMYFUNCTION("""COMPUTED_VALUE"""),"057f747e")</f>
        <v>057f747e</v>
      </c>
      <c r="B371" s="1" t="str">
        <f>IFERROR(__xludf.DUMMYFUNCTION("""COMPUTED_VALUE"""),"cf6c9481")</f>
        <v>cf6c9481</v>
      </c>
      <c r="C371" s="32">
        <f>IFERROR(__xludf.DUMMYFUNCTION("""COMPUTED_VALUE"""),46091.78928240741)</f>
        <v>46091.78928</v>
      </c>
      <c r="D371" s="1">
        <f>IFERROR(__xludf.DUMMYFUNCTION("""COMPUTED_VALUE"""),96.0)</f>
        <v>96</v>
      </c>
      <c r="E371" s="1" t="str">
        <f>IFERROR(__xludf.DUMMYFUNCTION("""COMPUTED_VALUE"""),"e420d6a9")</f>
        <v>e420d6a9</v>
      </c>
      <c r="F371" s="1"/>
    </row>
    <row r="372">
      <c r="A372" s="1" t="str">
        <f>IFERROR(__xludf.DUMMYFUNCTION("""COMPUTED_VALUE"""),"a2f2a104")</f>
        <v>a2f2a104</v>
      </c>
      <c r="B372" s="1" t="str">
        <f>IFERROR(__xludf.DUMMYFUNCTION("""COMPUTED_VALUE"""),"bb6c2490")</f>
        <v>bb6c2490</v>
      </c>
      <c r="C372" s="32">
        <f>IFERROR(__xludf.DUMMYFUNCTION("""COMPUTED_VALUE"""),46091.78978009259)</f>
        <v>46091.78978</v>
      </c>
      <c r="D372" s="1">
        <f>IFERROR(__xludf.DUMMYFUNCTION("""COMPUTED_VALUE"""),126.0)</f>
        <v>126</v>
      </c>
      <c r="E372" s="1" t="str">
        <f>IFERROR(__xludf.DUMMYFUNCTION("""COMPUTED_VALUE"""),"fbd124cf")</f>
        <v>fbd124cf</v>
      </c>
      <c r="F372" s="1"/>
    </row>
    <row r="373">
      <c r="A373" s="1" t="str">
        <f>IFERROR(__xludf.DUMMYFUNCTION("""COMPUTED_VALUE"""),"7b3d0de8")</f>
        <v>7b3d0de8</v>
      </c>
      <c r="B373" s="1" t="str">
        <f>IFERROR(__xludf.DUMMYFUNCTION("""COMPUTED_VALUE"""),"c099f042")</f>
        <v>c099f042</v>
      </c>
      <c r="C373" s="32">
        <f>IFERROR(__xludf.DUMMYFUNCTION("""COMPUTED_VALUE"""),46091.789826388886)</f>
        <v>46091.78983</v>
      </c>
      <c r="D373" s="1">
        <f>IFERROR(__xludf.DUMMYFUNCTION("""COMPUTED_VALUE"""),60.0)</f>
        <v>60</v>
      </c>
      <c r="E373" s="1" t="str">
        <f>IFERROR(__xludf.DUMMYFUNCTION("""COMPUTED_VALUE"""),"fbd124cf")</f>
        <v>fbd124cf</v>
      </c>
      <c r="F373" s="1"/>
    </row>
    <row r="374">
      <c r="A374" s="1" t="str">
        <f>IFERROR(__xludf.DUMMYFUNCTION("""COMPUTED_VALUE"""),"73be1089")</f>
        <v>73be1089</v>
      </c>
      <c r="B374" s="1" t="str">
        <f>IFERROR(__xludf.DUMMYFUNCTION("""COMPUTED_VALUE"""),"0011")</f>
        <v>0011</v>
      </c>
      <c r="C374" s="32">
        <f>IFERROR(__xludf.DUMMYFUNCTION("""COMPUTED_VALUE"""),46091.790127314816)</f>
        <v>46091.79013</v>
      </c>
      <c r="D374" s="1">
        <f>IFERROR(__xludf.DUMMYFUNCTION("""COMPUTED_VALUE"""),120.0)</f>
        <v>120</v>
      </c>
      <c r="E374" s="1" t="str">
        <f>IFERROR(__xludf.DUMMYFUNCTION("""COMPUTED_VALUE"""),"82c76ea5")</f>
        <v>82c76ea5</v>
      </c>
      <c r="F374" s="1"/>
    </row>
    <row r="375">
      <c r="A375" s="1" t="str">
        <f>IFERROR(__xludf.DUMMYFUNCTION("""COMPUTED_VALUE"""),"ae276613")</f>
        <v>ae276613</v>
      </c>
      <c r="B375" s="1" t="str">
        <f>IFERROR(__xludf.DUMMYFUNCTION("""COMPUTED_VALUE"""),"bb6c2490")</f>
        <v>bb6c2490</v>
      </c>
      <c r="C375" s="32">
        <f>IFERROR(__xludf.DUMMYFUNCTION("""COMPUTED_VALUE"""),46091.79125)</f>
        <v>46091.79125</v>
      </c>
      <c r="D375" s="1">
        <f>IFERROR(__xludf.DUMMYFUNCTION("""COMPUTED_VALUE"""),-273.0)</f>
        <v>-273</v>
      </c>
      <c r="E375" s="1"/>
      <c r="F375" s="1"/>
    </row>
    <row r="376">
      <c r="A376" s="1" t="str">
        <f>IFERROR(__xludf.DUMMYFUNCTION("""COMPUTED_VALUE"""),"6f5eb0c4")</f>
        <v>6f5eb0c4</v>
      </c>
      <c r="B376" s="1" t="str">
        <f>IFERROR(__xludf.DUMMYFUNCTION("""COMPUTED_VALUE"""),"c099f042")</f>
        <v>c099f042</v>
      </c>
      <c r="C376" s="32">
        <f>IFERROR(__xludf.DUMMYFUNCTION("""COMPUTED_VALUE"""),46091.79152777778)</f>
        <v>46091.79153</v>
      </c>
      <c r="D376" s="1">
        <f>IFERROR(__xludf.DUMMYFUNCTION("""COMPUTED_VALUE"""),-107.0)</f>
        <v>-107</v>
      </c>
      <c r="E376" s="1"/>
      <c r="F376" s="1"/>
    </row>
    <row r="377">
      <c r="A377" s="1" t="str">
        <f>IFERROR(__xludf.DUMMYFUNCTION("""COMPUTED_VALUE"""),"dfd51b17")</f>
        <v>dfd51b17</v>
      </c>
      <c r="B377" s="1" t="str">
        <f>IFERROR(__xludf.DUMMYFUNCTION("""COMPUTED_VALUE"""),"b3204174")</f>
        <v>b3204174</v>
      </c>
      <c r="C377" s="32">
        <f>IFERROR(__xludf.DUMMYFUNCTION("""COMPUTED_VALUE"""),46091.792604166665)</f>
        <v>46091.7926</v>
      </c>
      <c r="D377" s="1">
        <f>IFERROR(__xludf.DUMMYFUNCTION("""COMPUTED_VALUE"""),-51.0)</f>
        <v>-51</v>
      </c>
      <c r="E377" s="1"/>
      <c r="F377" s="1"/>
    </row>
    <row r="378">
      <c r="A378" s="1" t="str">
        <f>IFERROR(__xludf.DUMMYFUNCTION("""COMPUTED_VALUE"""),"333a09fb")</f>
        <v>333a09fb</v>
      </c>
      <c r="B378" s="1" t="str">
        <f>IFERROR(__xludf.DUMMYFUNCTION("""COMPUTED_VALUE"""),"cd21eb57")</f>
        <v>cd21eb57</v>
      </c>
      <c r="C378" s="32">
        <f>IFERROR(__xludf.DUMMYFUNCTION("""COMPUTED_VALUE"""),46091.79293981481)</f>
        <v>46091.79294</v>
      </c>
      <c r="D378" s="1">
        <f>IFERROR(__xludf.DUMMYFUNCTION("""COMPUTED_VALUE"""),-33.0)</f>
        <v>-33</v>
      </c>
      <c r="E378" s="1"/>
      <c r="F378" s="1"/>
    </row>
    <row r="379">
      <c r="A379" s="1" t="str">
        <f>IFERROR(__xludf.DUMMYFUNCTION("""COMPUTED_VALUE"""),"fb5846a5")</f>
        <v>fb5846a5</v>
      </c>
      <c r="B379" s="1" t="str">
        <f>IFERROR(__xludf.DUMMYFUNCTION("""COMPUTED_VALUE"""),"cd21eb57")</f>
        <v>cd21eb57</v>
      </c>
      <c r="C379" s="32">
        <f>IFERROR(__xludf.DUMMYFUNCTION("""COMPUTED_VALUE"""),46091.793171296296)</f>
        <v>46091.79317</v>
      </c>
      <c r="D379" s="1">
        <f>IFERROR(__xludf.DUMMYFUNCTION("""COMPUTED_VALUE"""),2.0)</f>
        <v>2</v>
      </c>
      <c r="E379" s="1"/>
      <c r="F379" s="1"/>
    </row>
    <row r="380">
      <c r="A380" s="1" t="str">
        <f>IFERROR(__xludf.DUMMYFUNCTION("""COMPUTED_VALUE"""),"5a12b8f0")</f>
        <v>5a12b8f0</v>
      </c>
      <c r="B380" s="1" t="str">
        <f>IFERROR(__xludf.DUMMYFUNCTION("""COMPUTED_VALUE"""),"0006")</f>
        <v>0006</v>
      </c>
      <c r="C380" s="32">
        <f>IFERROR(__xludf.DUMMYFUNCTION("""COMPUTED_VALUE"""),46091.79351851852)</f>
        <v>46091.79352</v>
      </c>
      <c r="D380" s="1">
        <f>IFERROR(__xludf.DUMMYFUNCTION("""COMPUTED_VALUE"""),-5.0)</f>
        <v>-5</v>
      </c>
      <c r="E380" s="1"/>
      <c r="F380" s="1"/>
    </row>
    <row r="381">
      <c r="A381" s="1" t="str">
        <f>IFERROR(__xludf.DUMMYFUNCTION("""COMPUTED_VALUE"""),"96191318")</f>
        <v>96191318</v>
      </c>
      <c r="B381" s="1" t="str">
        <f>IFERROR(__xludf.DUMMYFUNCTION("""COMPUTED_VALUE"""),"e28d366b")</f>
        <v>e28d366b</v>
      </c>
      <c r="C381" s="32">
        <f>IFERROR(__xludf.DUMMYFUNCTION("""COMPUTED_VALUE"""),46091.79456018518)</f>
        <v>46091.79456</v>
      </c>
      <c r="D381" s="1">
        <f>IFERROR(__xludf.DUMMYFUNCTION("""COMPUTED_VALUE"""),-22.0)</f>
        <v>-22</v>
      </c>
      <c r="E381" s="1"/>
      <c r="F381" s="1"/>
    </row>
    <row r="382">
      <c r="A382" s="1" t="str">
        <f>IFERROR(__xludf.DUMMYFUNCTION("""COMPUTED_VALUE"""),"05222d0f")</f>
        <v>05222d0f</v>
      </c>
      <c r="B382" s="1" t="str">
        <f>IFERROR(__xludf.DUMMYFUNCTION("""COMPUTED_VALUE"""),"0001")</f>
        <v>0001</v>
      </c>
      <c r="C382" s="32">
        <f>IFERROR(__xludf.DUMMYFUNCTION("""COMPUTED_VALUE"""),46091.79493055555)</f>
        <v>46091.79493</v>
      </c>
      <c r="D382" s="1">
        <f>IFERROR(__xludf.DUMMYFUNCTION("""COMPUTED_VALUE"""),-1088.0)</f>
        <v>-1088</v>
      </c>
      <c r="E382" s="1"/>
      <c r="F382" s="1"/>
    </row>
    <row r="383">
      <c r="A383" s="1" t="str">
        <f>IFERROR(__xludf.DUMMYFUNCTION("""COMPUTED_VALUE"""),"2b3c5003")</f>
        <v>2b3c5003</v>
      </c>
      <c r="B383" s="1" t="str">
        <f>IFERROR(__xludf.DUMMYFUNCTION("""COMPUTED_VALUE"""),"0af806f8")</f>
        <v>0af806f8</v>
      </c>
      <c r="C383" s="32">
        <f>IFERROR(__xludf.DUMMYFUNCTION("""COMPUTED_VALUE"""),46091.79517361111)</f>
        <v>46091.79517</v>
      </c>
      <c r="D383" s="1">
        <f>IFERROR(__xludf.DUMMYFUNCTION("""COMPUTED_VALUE"""),-362.0)</f>
        <v>-362</v>
      </c>
      <c r="E383" s="1"/>
      <c r="F383" s="1"/>
    </row>
    <row r="384">
      <c r="A384" s="1" t="str">
        <f>IFERROR(__xludf.DUMMYFUNCTION("""COMPUTED_VALUE"""),"11d9e895")</f>
        <v>11d9e895</v>
      </c>
      <c r="B384" s="1" t="str">
        <f>IFERROR(__xludf.DUMMYFUNCTION("""COMPUTED_VALUE"""),"d5b5f9d1")</f>
        <v>d5b5f9d1</v>
      </c>
      <c r="C384" s="32">
        <f>IFERROR(__xludf.DUMMYFUNCTION("""COMPUTED_VALUE"""),46091.79541666667)</f>
        <v>46091.79542</v>
      </c>
      <c r="D384" s="1">
        <f>IFERROR(__xludf.DUMMYFUNCTION("""COMPUTED_VALUE"""),-30.0)</f>
        <v>-30</v>
      </c>
      <c r="E384" s="1"/>
      <c r="F384" s="1"/>
    </row>
    <row r="385">
      <c r="A385" s="1" t="str">
        <f>IFERROR(__xludf.DUMMYFUNCTION("""COMPUTED_VALUE"""),"c477e20c")</f>
        <v>c477e20c</v>
      </c>
      <c r="B385" s="1" t="str">
        <f>IFERROR(__xludf.DUMMYFUNCTION("""COMPUTED_VALUE"""),"12b96290")</f>
        <v>12b96290</v>
      </c>
      <c r="C385" s="32">
        <f>IFERROR(__xludf.DUMMYFUNCTION("""COMPUTED_VALUE"""),46091.79550925926)</f>
        <v>46091.79551</v>
      </c>
      <c r="D385" s="1">
        <f>IFERROR(__xludf.DUMMYFUNCTION("""COMPUTED_VALUE"""),-129.0)</f>
        <v>-129</v>
      </c>
      <c r="E385" s="1"/>
      <c r="F385" s="1"/>
    </row>
    <row r="386">
      <c r="A386" s="1" t="str">
        <f>IFERROR(__xludf.DUMMYFUNCTION("""COMPUTED_VALUE"""),"4ab0f9da")</f>
        <v>4ab0f9da</v>
      </c>
      <c r="B386" s="1" t="str">
        <f>IFERROR(__xludf.DUMMYFUNCTION("""COMPUTED_VALUE"""),"0019")</f>
        <v>0019</v>
      </c>
      <c r="C386" s="32">
        <f>IFERROR(__xludf.DUMMYFUNCTION("""COMPUTED_VALUE"""),46091.79622685185)</f>
        <v>46091.79623</v>
      </c>
      <c r="D386" s="1">
        <f>IFERROR(__xludf.DUMMYFUNCTION("""COMPUTED_VALUE"""),-200.0)</f>
        <v>-200</v>
      </c>
      <c r="E386" s="1"/>
      <c r="F386" s="1"/>
    </row>
    <row r="387">
      <c r="A387" s="1" t="str">
        <f>IFERROR(__xludf.DUMMYFUNCTION("""COMPUTED_VALUE"""),"d457c0db")</f>
        <v>d457c0db</v>
      </c>
      <c r="B387" s="1" t="str">
        <f>IFERROR(__xludf.DUMMYFUNCTION("""COMPUTED_VALUE"""),"0019")</f>
        <v>0019</v>
      </c>
      <c r="C387" s="32">
        <f>IFERROR(__xludf.DUMMYFUNCTION("""COMPUTED_VALUE"""),46091.79671296296)</f>
        <v>46091.79671</v>
      </c>
      <c r="D387" s="1">
        <f>IFERROR(__xludf.DUMMYFUNCTION("""COMPUTED_VALUE"""),23.0)</f>
        <v>23</v>
      </c>
      <c r="E387" s="1"/>
      <c r="F387" s="1"/>
    </row>
    <row r="388">
      <c r="A388" s="1" t="str">
        <f>IFERROR(__xludf.DUMMYFUNCTION("""COMPUTED_VALUE"""),"ec91bffb")</f>
        <v>ec91bffb</v>
      </c>
      <c r="B388" s="1" t="str">
        <f>IFERROR(__xludf.DUMMYFUNCTION("""COMPUTED_VALUE"""),"0025")</f>
        <v>0025</v>
      </c>
      <c r="C388" s="32">
        <f>IFERROR(__xludf.DUMMYFUNCTION("""COMPUTED_VALUE"""),46091.79684027778)</f>
        <v>46091.79684</v>
      </c>
      <c r="D388" s="1">
        <f>IFERROR(__xludf.DUMMYFUNCTION("""COMPUTED_VALUE"""),-36.0)</f>
        <v>-36</v>
      </c>
      <c r="E388" s="1"/>
      <c r="F388" s="1"/>
    </row>
    <row r="389">
      <c r="A389" s="1" t="str">
        <f>IFERROR(__xludf.DUMMYFUNCTION("""COMPUTED_VALUE"""),"3d3ad911")</f>
        <v>3d3ad911</v>
      </c>
      <c r="B389" s="1" t="str">
        <f>IFERROR(__xludf.DUMMYFUNCTION("""COMPUTED_VALUE"""),"0003")</f>
        <v>0003</v>
      </c>
      <c r="C389" s="32">
        <f>IFERROR(__xludf.DUMMYFUNCTION("""COMPUTED_VALUE"""),46091.797118055554)</f>
        <v>46091.79712</v>
      </c>
      <c r="D389" s="1">
        <f>IFERROR(__xludf.DUMMYFUNCTION("""COMPUTED_VALUE"""),-24.0)</f>
        <v>-24</v>
      </c>
      <c r="E389" s="1"/>
      <c r="F389" s="1"/>
    </row>
    <row r="390">
      <c r="A390" s="1" t="str">
        <f>IFERROR(__xludf.DUMMYFUNCTION("""COMPUTED_VALUE"""),"d5e25325")</f>
        <v>d5e25325</v>
      </c>
      <c r="B390" s="1" t="str">
        <f>IFERROR(__xludf.DUMMYFUNCTION("""COMPUTED_VALUE"""),"83dd14b5")</f>
        <v>83dd14b5</v>
      </c>
      <c r="C390" s="32">
        <f>IFERROR(__xludf.DUMMYFUNCTION("""COMPUTED_VALUE"""),46091.79761574074)</f>
        <v>46091.79762</v>
      </c>
      <c r="D390" s="1">
        <f>IFERROR(__xludf.DUMMYFUNCTION("""COMPUTED_VALUE"""),-513.0)</f>
        <v>-513</v>
      </c>
      <c r="E390" s="1"/>
      <c r="F390" s="1"/>
    </row>
    <row r="391">
      <c r="A391" s="1" t="str">
        <f>IFERROR(__xludf.DUMMYFUNCTION("""COMPUTED_VALUE"""),"652c6932")</f>
        <v>652c6932</v>
      </c>
      <c r="B391" s="1" t="str">
        <f>IFERROR(__xludf.DUMMYFUNCTION("""COMPUTED_VALUE"""),"0002")</f>
        <v>0002</v>
      </c>
      <c r="C391" s="32">
        <f>IFERROR(__xludf.DUMMYFUNCTION("""COMPUTED_VALUE"""),46091.798472222225)</f>
        <v>46091.79847</v>
      </c>
      <c r="D391" s="1">
        <f>IFERROR(__xludf.DUMMYFUNCTION("""COMPUTED_VALUE"""),948.0)</f>
        <v>948</v>
      </c>
      <c r="E391" s="1"/>
      <c r="F391" s="1"/>
    </row>
    <row r="392">
      <c r="A392" s="1" t="str">
        <f>IFERROR(__xludf.DUMMYFUNCTION("""COMPUTED_VALUE"""),"991565f4")</f>
        <v>991565f4</v>
      </c>
      <c r="B392" s="1" t="str">
        <f>IFERROR(__xludf.DUMMYFUNCTION("""COMPUTED_VALUE"""),"0029")</f>
        <v>0029</v>
      </c>
      <c r="C392" s="32">
        <f>IFERROR(__xludf.DUMMYFUNCTION("""COMPUTED_VALUE"""),46091.79893518519)</f>
        <v>46091.79894</v>
      </c>
      <c r="D392" s="1">
        <f>IFERROR(__xludf.DUMMYFUNCTION("""COMPUTED_VALUE"""),-333.0)</f>
        <v>-333</v>
      </c>
      <c r="E392" s="1"/>
      <c r="F392" s="1"/>
    </row>
    <row r="393">
      <c r="A393" s="1" t="str">
        <f>IFERROR(__xludf.DUMMYFUNCTION("""COMPUTED_VALUE"""),"95ffb638")</f>
        <v>95ffb638</v>
      </c>
      <c r="B393" s="1" t="str">
        <f>IFERROR(__xludf.DUMMYFUNCTION("""COMPUTED_VALUE"""),"406a1fee")</f>
        <v>406a1fee</v>
      </c>
      <c r="C393" s="32">
        <f>IFERROR(__xludf.DUMMYFUNCTION("""COMPUTED_VALUE"""),46091.80061342593)</f>
        <v>46091.80061</v>
      </c>
      <c r="D393" s="1">
        <f>IFERROR(__xludf.DUMMYFUNCTION("""COMPUTED_VALUE"""),31.0)</f>
        <v>31</v>
      </c>
      <c r="E393" s="1"/>
      <c r="F393" s="1"/>
    </row>
    <row r="394">
      <c r="A394" s="1" t="str">
        <f>IFERROR(__xludf.DUMMYFUNCTION("""COMPUTED_VALUE"""),"9bf2e775")</f>
        <v>9bf2e775</v>
      </c>
      <c r="B394" s="1" t="str">
        <f>IFERROR(__xludf.DUMMYFUNCTION("""COMPUTED_VALUE"""),"57a5617b")</f>
        <v>57a5617b</v>
      </c>
      <c r="C394" s="32">
        <f>IFERROR(__xludf.DUMMYFUNCTION("""COMPUTED_VALUE"""),46091.80086805556)</f>
        <v>46091.80087</v>
      </c>
      <c r="D394" s="1">
        <f>IFERROR(__xludf.DUMMYFUNCTION("""COMPUTED_VALUE"""),6.0)</f>
        <v>6</v>
      </c>
      <c r="E394" s="1"/>
      <c r="F394" s="1"/>
    </row>
    <row r="395">
      <c r="A395" s="1" t="str">
        <f>IFERROR(__xludf.DUMMYFUNCTION("""COMPUTED_VALUE"""),"e7607f0c")</f>
        <v>e7607f0c</v>
      </c>
      <c r="B395" s="1" t="str">
        <f>IFERROR(__xludf.DUMMYFUNCTION("""COMPUTED_VALUE"""),"0054")</f>
        <v>0054</v>
      </c>
      <c r="C395" s="32">
        <f>IFERROR(__xludf.DUMMYFUNCTION("""COMPUTED_VALUE"""),46091.80116898148)</f>
        <v>46091.80117</v>
      </c>
      <c r="D395" s="1">
        <f>IFERROR(__xludf.DUMMYFUNCTION("""COMPUTED_VALUE"""),-88.0)</f>
        <v>-88</v>
      </c>
      <c r="E395" s="1"/>
      <c r="F395" s="1"/>
    </row>
    <row r="396">
      <c r="A396" s="1" t="str">
        <f>IFERROR(__xludf.DUMMYFUNCTION("""COMPUTED_VALUE"""),"326d90ff")</f>
        <v>326d90ff</v>
      </c>
      <c r="B396" s="1" t="str">
        <f>IFERROR(__xludf.DUMMYFUNCTION("""COMPUTED_VALUE"""),"a3f74383")</f>
        <v>a3f74383</v>
      </c>
      <c r="C396" s="32">
        <f>IFERROR(__xludf.DUMMYFUNCTION("""COMPUTED_VALUE"""),46091.801712962966)</f>
        <v>46091.80171</v>
      </c>
      <c r="D396" s="1">
        <f>IFERROR(__xludf.DUMMYFUNCTION("""COMPUTED_VALUE"""),-17.0)</f>
        <v>-17</v>
      </c>
      <c r="E396" s="1"/>
      <c r="F396" s="1"/>
    </row>
    <row r="397">
      <c r="A397" s="1" t="str">
        <f>IFERROR(__xludf.DUMMYFUNCTION("""COMPUTED_VALUE"""),"38fedbc2")</f>
        <v>38fedbc2</v>
      </c>
      <c r="B397" s="1" t="str">
        <f>IFERROR(__xludf.DUMMYFUNCTION("""COMPUTED_VALUE"""),"0011")</f>
        <v>0011</v>
      </c>
      <c r="C397" s="32">
        <f>IFERROR(__xludf.DUMMYFUNCTION("""COMPUTED_VALUE"""),46091.80196759259)</f>
        <v>46091.80197</v>
      </c>
      <c r="D397" s="1">
        <f>IFERROR(__xludf.DUMMYFUNCTION("""COMPUTED_VALUE"""),-515.0)</f>
        <v>-515</v>
      </c>
      <c r="E397" s="1"/>
      <c r="F397" s="1"/>
    </row>
    <row r="398">
      <c r="A398" s="1" t="str">
        <f>IFERROR(__xludf.DUMMYFUNCTION("""COMPUTED_VALUE"""),"a16b27e4")</f>
        <v>a16b27e4</v>
      </c>
      <c r="B398" s="1" t="str">
        <f>IFERROR(__xludf.DUMMYFUNCTION("""COMPUTED_VALUE"""),"0005")</f>
        <v>0005</v>
      </c>
      <c r="C398" s="32">
        <f>IFERROR(__xludf.DUMMYFUNCTION("""COMPUTED_VALUE"""),46091.80248842593)</f>
        <v>46091.80249</v>
      </c>
      <c r="D398" s="1">
        <f>IFERROR(__xludf.DUMMYFUNCTION("""COMPUTED_VALUE"""),10.0)</f>
        <v>10</v>
      </c>
      <c r="E398" s="1"/>
      <c r="F398" s="1"/>
    </row>
    <row r="399">
      <c r="A399" s="1" t="str">
        <f>IFERROR(__xludf.DUMMYFUNCTION("""COMPUTED_VALUE"""),"9af13720")</f>
        <v>9af13720</v>
      </c>
      <c r="B399" s="1" t="str">
        <f>IFERROR(__xludf.DUMMYFUNCTION("""COMPUTED_VALUE"""),"649eaeb5")</f>
        <v>649eaeb5</v>
      </c>
      <c r="C399" s="32">
        <f>IFERROR(__xludf.DUMMYFUNCTION("""COMPUTED_VALUE"""),46091.802615740744)</f>
        <v>46091.80262</v>
      </c>
      <c r="D399" s="1">
        <f>IFERROR(__xludf.DUMMYFUNCTION("""COMPUTED_VALUE"""),-20.0)</f>
        <v>-20</v>
      </c>
      <c r="E399" s="1"/>
      <c r="F399" s="1"/>
    </row>
    <row r="400">
      <c r="A400" s="1" t="str">
        <f>IFERROR(__xludf.DUMMYFUNCTION("""COMPUTED_VALUE"""),"fd0fec37")</f>
        <v>fd0fec37</v>
      </c>
      <c r="B400" s="1" t="str">
        <f>IFERROR(__xludf.DUMMYFUNCTION("""COMPUTED_VALUE"""),"f38e69c5")</f>
        <v>f38e69c5</v>
      </c>
      <c r="C400" s="32">
        <f>IFERROR(__xludf.DUMMYFUNCTION("""COMPUTED_VALUE"""),46091.80290509259)</f>
        <v>46091.80291</v>
      </c>
      <c r="D400" s="1">
        <f>IFERROR(__xludf.DUMMYFUNCTION("""COMPUTED_VALUE"""),-12.0)</f>
        <v>-12</v>
      </c>
      <c r="E400" s="1"/>
      <c r="F400" s="1"/>
    </row>
    <row r="401">
      <c r="A401" s="1" t="str">
        <f>IFERROR(__xludf.DUMMYFUNCTION("""COMPUTED_VALUE"""),"ffd4b39a")</f>
        <v>ffd4b39a</v>
      </c>
      <c r="B401" s="1" t="str">
        <f>IFERROR(__xludf.DUMMYFUNCTION("""COMPUTED_VALUE"""),"649eaeb5")</f>
        <v>649eaeb5</v>
      </c>
      <c r="C401" s="32">
        <f>IFERROR(__xludf.DUMMYFUNCTION("""COMPUTED_VALUE"""),46091.80302083334)</f>
        <v>46091.80302</v>
      </c>
      <c r="D401" s="1">
        <f>IFERROR(__xludf.DUMMYFUNCTION("""COMPUTED_VALUE"""),1.0)</f>
        <v>1</v>
      </c>
      <c r="E401" s="1"/>
      <c r="F401" s="1"/>
    </row>
    <row r="402">
      <c r="A402" s="1" t="str">
        <f>IFERROR(__xludf.DUMMYFUNCTION("""COMPUTED_VALUE"""),"fc2be9b9")</f>
        <v>fc2be9b9</v>
      </c>
      <c r="B402" s="1" t="str">
        <f>IFERROR(__xludf.DUMMYFUNCTION("""COMPUTED_VALUE"""),"0070")</f>
        <v>0070</v>
      </c>
      <c r="C402" s="32">
        <f>IFERROR(__xludf.DUMMYFUNCTION("""COMPUTED_VALUE"""),46091.80332175926)</f>
        <v>46091.80332</v>
      </c>
      <c r="D402" s="1">
        <f>IFERROR(__xludf.DUMMYFUNCTION("""COMPUTED_VALUE"""),3.0)</f>
        <v>3</v>
      </c>
      <c r="E402" s="1"/>
      <c r="F402" s="1"/>
    </row>
    <row r="403">
      <c r="A403" s="1" t="str">
        <f>IFERROR(__xludf.DUMMYFUNCTION("""COMPUTED_VALUE"""),"54e9c269")</f>
        <v>54e9c269</v>
      </c>
      <c r="B403" s="1" t="str">
        <f>IFERROR(__xludf.DUMMYFUNCTION("""COMPUTED_VALUE"""),"0033")</f>
        <v>0033</v>
      </c>
      <c r="C403" s="32">
        <f>IFERROR(__xludf.DUMMYFUNCTION("""COMPUTED_VALUE"""),46091.80386574074)</f>
        <v>46091.80387</v>
      </c>
      <c r="D403" s="1">
        <f>IFERROR(__xludf.DUMMYFUNCTION("""COMPUTED_VALUE"""),-44.0)</f>
        <v>-44</v>
      </c>
      <c r="E403" s="1"/>
      <c r="F403" s="1"/>
    </row>
    <row r="404">
      <c r="A404" s="1" t="str">
        <f>IFERROR(__xludf.DUMMYFUNCTION("""COMPUTED_VALUE"""),"433dd279")</f>
        <v>433dd279</v>
      </c>
      <c r="B404" s="1" t="str">
        <f>IFERROR(__xludf.DUMMYFUNCTION("""COMPUTED_VALUE"""),"1039e79c")</f>
        <v>1039e79c</v>
      </c>
      <c r="C404" s="32">
        <f>IFERROR(__xludf.DUMMYFUNCTION("""COMPUTED_VALUE"""),46091.8040625)</f>
        <v>46091.80406</v>
      </c>
      <c r="D404" s="1">
        <f>IFERROR(__xludf.DUMMYFUNCTION("""COMPUTED_VALUE"""),-4.0)</f>
        <v>-4</v>
      </c>
      <c r="E404" s="1"/>
      <c r="F404" s="1"/>
    </row>
    <row r="405">
      <c r="A405" s="1" t="str">
        <f>IFERROR(__xludf.DUMMYFUNCTION("""COMPUTED_VALUE"""),"81d367bc")</f>
        <v>81d367bc</v>
      </c>
      <c r="B405" s="1" t="str">
        <f>IFERROR(__xludf.DUMMYFUNCTION("""COMPUTED_VALUE"""),"cc35c9db")</f>
        <v>cc35c9db</v>
      </c>
      <c r="C405" s="32">
        <f>IFERROR(__xludf.DUMMYFUNCTION("""COMPUTED_VALUE"""),46091.80421296296)</f>
        <v>46091.80421</v>
      </c>
      <c r="D405" s="1">
        <f>IFERROR(__xludf.DUMMYFUNCTION("""COMPUTED_VALUE"""),1.0)</f>
        <v>1</v>
      </c>
      <c r="E405" s="1"/>
      <c r="F405" s="1"/>
    </row>
    <row r="406">
      <c r="A406" s="1" t="str">
        <f>IFERROR(__xludf.DUMMYFUNCTION("""COMPUTED_VALUE"""),"01d91884")</f>
        <v>01d91884</v>
      </c>
      <c r="B406" s="1" t="str">
        <f>IFERROR(__xludf.DUMMYFUNCTION("""COMPUTED_VALUE"""),"0014")</f>
        <v>0014</v>
      </c>
      <c r="C406" s="32">
        <f>IFERROR(__xludf.DUMMYFUNCTION("""COMPUTED_VALUE"""),46091.80484953704)</f>
        <v>46091.80485</v>
      </c>
      <c r="D406" s="1">
        <f>IFERROR(__xludf.DUMMYFUNCTION("""COMPUTED_VALUE"""),-42.0)</f>
        <v>-42</v>
      </c>
      <c r="E406" s="1"/>
      <c r="F406" s="1"/>
    </row>
    <row r="407">
      <c r="A407" s="1" t="str">
        <f>IFERROR(__xludf.DUMMYFUNCTION("""COMPUTED_VALUE"""),"3aa56196")</f>
        <v>3aa56196</v>
      </c>
      <c r="B407" s="1" t="str">
        <f>IFERROR(__xludf.DUMMYFUNCTION("""COMPUTED_VALUE"""),"0021")</f>
        <v>0021</v>
      </c>
      <c r="C407" s="32">
        <f>IFERROR(__xludf.DUMMYFUNCTION("""COMPUTED_VALUE"""),46091.805601851855)</f>
        <v>46091.8056</v>
      </c>
      <c r="D407" s="1">
        <f>IFERROR(__xludf.DUMMYFUNCTION("""COMPUTED_VALUE"""),-234.0)</f>
        <v>-234</v>
      </c>
      <c r="E407" s="1"/>
      <c r="F407" s="1"/>
    </row>
    <row r="408">
      <c r="A408" s="1" t="str">
        <f>IFERROR(__xludf.DUMMYFUNCTION("""COMPUTED_VALUE"""),"1157128a")</f>
        <v>1157128a</v>
      </c>
      <c r="B408" s="1" t="str">
        <f>IFERROR(__xludf.DUMMYFUNCTION("""COMPUTED_VALUE"""),"cf6c9481")</f>
        <v>cf6c9481</v>
      </c>
      <c r="C408" s="32">
        <f>IFERROR(__xludf.DUMMYFUNCTION("""COMPUTED_VALUE"""),46091.80600694445)</f>
        <v>46091.80601</v>
      </c>
      <c r="D408" s="1">
        <f>IFERROR(__xludf.DUMMYFUNCTION("""COMPUTED_VALUE"""),-128.0)</f>
        <v>-128</v>
      </c>
      <c r="E408" s="1"/>
      <c r="F408" s="1"/>
    </row>
    <row r="409">
      <c r="A409" s="1" t="str">
        <f>IFERROR(__xludf.DUMMYFUNCTION("""COMPUTED_VALUE"""),"857d2cb5")</f>
        <v>857d2cb5</v>
      </c>
      <c r="B409" s="1" t="str">
        <f>IFERROR(__xludf.DUMMYFUNCTION("""COMPUTED_VALUE"""),"0049")</f>
        <v>0049</v>
      </c>
      <c r="C409" s="32">
        <f>IFERROR(__xludf.DUMMYFUNCTION("""COMPUTED_VALUE"""),46091.806967592594)</f>
        <v>46091.80697</v>
      </c>
      <c r="D409" s="1">
        <f>IFERROR(__xludf.DUMMYFUNCTION("""COMPUTED_VALUE"""),-170.0)</f>
        <v>-170</v>
      </c>
      <c r="E409" s="1"/>
      <c r="F409" s="1"/>
    </row>
    <row r="410">
      <c r="A410" s="1" t="str">
        <f>IFERROR(__xludf.DUMMYFUNCTION("""COMPUTED_VALUE"""),"2db08346")</f>
        <v>2db08346</v>
      </c>
      <c r="B410" s="1" t="str">
        <f>IFERROR(__xludf.DUMMYFUNCTION("""COMPUTED_VALUE"""),"69692785")</f>
        <v>69692785</v>
      </c>
      <c r="C410" s="32">
        <f>IFERROR(__xludf.DUMMYFUNCTION("""COMPUTED_VALUE"""),46091.80731481482)</f>
        <v>46091.80731</v>
      </c>
      <c r="D410" s="1">
        <f>IFERROR(__xludf.DUMMYFUNCTION("""COMPUTED_VALUE"""),-1.0)</f>
        <v>-1</v>
      </c>
      <c r="E410" s="1"/>
      <c r="F410" s="1"/>
    </row>
    <row r="411">
      <c r="A411" s="1" t="str">
        <f>IFERROR(__xludf.DUMMYFUNCTION("""COMPUTED_VALUE"""),"40a69234")</f>
        <v>40a69234</v>
      </c>
      <c r="B411" s="1" t="str">
        <f>IFERROR(__xludf.DUMMYFUNCTION("""COMPUTED_VALUE"""),"0016")</f>
        <v>0016</v>
      </c>
      <c r="C411" s="32">
        <f>IFERROR(__xludf.DUMMYFUNCTION("""COMPUTED_VALUE"""),46091.8075)</f>
        <v>46091.8075</v>
      </c>
      <c r="D411" s="1">
        <f>IFERROR(__xludf.DUMMYFUNCTION("""COMPUTED_VALUE"""),5.0)</f>
        <v>5</v>
      </c>
      <c r="E411" s="1"/>
      <c r="F411" s="1"/>
    </row>
    <row r="412">
      <c r="A412" s="1" t="str">
        <f>IFERROR(__xludf.DUMMYFUNCTION("""COMPUTED_VALUE"""),"783da5b7")</f>
        <v>783da5b7</v>
      </c>
      <c r="B412" s="1" t="str">
        <f>IFERROR(__xludf.DUMMYFUNCTION("""COMPUTED_VALUE"""),"0086")</f>
        <v>0086</v>
      </c>
      <c r="C412" s="32">
        <f>IFERROR(__xludf.DUMMYFUNCTION("""COMPUTED_VALUE"""),46091.816655092596)</f>
        <v>46091.81666</v>
      </c>
      <c r="D412" s="1">
        <f>IFERROR(__xludf.DUMMYFUNCTION("""COMPUTED_VALUE"""),-40.0)</f>
        <v>-40</v>
      </c>
      <c r="E412" s="1"/>
      <c r="F412" s="1"/>
    </row>
    <row r="413">
      <c r="A413" s="1" t="str">
        <f>IFERROR(__xludf.DUMMYFUNCTION("""COMPUTED_VALUE"""),"3161beb2")</f>
        <v>3161beb2</v>
      </c>
      <c r="B413" s="1" t="str">
        <f>IFERROR(__xludf.DUMMYFUNCTION("""COMPUTED_VALUE"""),"c80ae9f2")</f>
        <v>c80ae9f2</v>
      </c>
      <c r="C413" s="32">
        <f>IFERROR(__xludf.DUMMYFUNCTION("""COMPUTED_VALUE"""),46091.81774305556)</f>
        <v>46091.81774</v>
      </c>
      <c r="D413" s="1">
        <f>IFERROR(__xludf.DUMMYFUNCTION("""COMPUTED_VALUE"""),-18.0)</f>
        <v>-18</v>
      </c>
      <c r="E413" s="1"/>
      <c r="F413" s="1"/>
    </row>
    <row r="414">
      <c r="A414" s="1" t="str">
        <f>IFERROR(__xludf.DUMMYFUNCTION("""COMPUTED_VALUE"""),"5454bd03")</f>
        <v>5454bd03</v>
      </c>
      <c r="B414" s="1" t="str">
        <f>IFERROR(__xludf.DUMMYFUNCTION("""COMPUTED_VALUE"""),"561399a6")</f>
        <v>561399a6</v>
      </c>
      <c r="C414" s="32">
        <f>IFERROR(__xludf.DUMMYFUNCTION("""COMPUTED_VALUE"""),46091.8178587963)</f>
        <v>46091.81786</v>
      </c>
      <c r="D414" s="1">
        <f>IFERROR(__xludf.DUMMYFUNCTION("""COMPUTED_VALUE"""),48.0)</f>
        <v>48</v>
      </c>
      <c r="E414" s="1"/>
      <c r="F414" s="1"/>
    </row>
    <row r="415">
      <c r="A415" s="1" t="str">
        <f>IFERROR(__xludf.DUMMYFUNCTION("""COMPUTED_VALUE"""),"79bf18cb")</f>
        <v>79bf18cb</v>
      </c>
      <c r="B415" s="1" t="str">
        <f>IFERROR(__xludf.DUMMYFUNCTION("""COMPUTED_VALUE"""),"0027")</f>
        <v>0027</v>
      </c>
      <c r="C415" s="32">
        <f>IFERROR(__xludf.DUMMYFUNCTION("""COMPUTED_VALUE"""),46091.81903935185)</f>
        <v>46091.81904</v>
      </c>
      <c r="D415" s="1">
        <f>IFERROR(__xludf.DUMMYFUNCTION("""COMPUTED_VALUE"""),-75.0)</f>
        <v>-75</v>
      </c>
      <c r="E415" s="1"/>
      <c r="F415" s="1"/>
    </row>
    <row r="416">
      <c r="A416" s="1" t="str">
        <f>IFERROR(__xludf.DUMMYFUNCTION("""COMPUTED_VALUE"""),"81cc095e")</f>
        <v>81cc095e</v>
      </c>
      <c r="B416" s="1" t="str">
        <f>IFERROR(__xludf.DUMMYFUNCTION("""COMPUTED_VALUE"""),"0032")</f>
        <v>0032</v>
      </c>
      <c r="C416" s="32">
        <f>IFERROR(__xludf.DUMMYFUNCTION("""COMPUTED_VALUE"""),46091.819606481484)</f>
        <v>46091.81961</v>
      </c>
      <c r="D416" s="1">
        <f>IFERROR(__xludf.DUMMYFUNCTION("""COMPUTED_VALUE"""),-344.0)</f>
        <v>-344</v>
      </c>
      <c r="E416" s="1"/>
      <c r="F416" s="1"/>
    </row>
    <row r="417">
      <c r="A417" s="1" t="str">
        <f>IFERROR(__xludf.DUMMYFUNCTION("""COMPUTED_VALUE"""),"452b5783")</f>
        <v>452b5783</v>
      </c>
      <c r="B417" s="1" t="str">
        <f>IFERROR(__xludf.DUMMYFUNCTION("""COMPUTED_VALUE"""),"0064")</f>
        <v>0064</v>
      </c>
      <c r="C417" s="32">
        <f>IFERROR(__xludf.DUMMYFUNCTION("""COMPUTED_VALUE"""),46091.81984953704)</f>
        <v>46091.81985</v>
      </c>
      <c r="D417" s="1">
        <f>IFERROR(__xludf.DUMMYFUNCTION("""COMPUTED_VALUE"""),-27.0)</f>
        <v>-27</v>
      </c>
      <c r="E417" s="1"/>
      <c r="F417" s="1"/>
    </row>
    <row r="418">
      <c r="A418" s="1" t="str">
        <f>IFERROR(__xludf.DUMMYFUNCTION("""COMPUTED_VALUE"""),"4622f4f7")</f>
        <v>4622f4f7</v>
      </c>
      <c r="B418" s="1" t="str">
        <f>IFERROR(__xludf.DUMMYFUNCTION("""COMPUTED_VALUE"""),"1b6b5ed6")</f>
        <v>1b6b5ed6</v>
      </c>
      <c r="C418" s="32">
        <f>IFERROR(__xludf.DUMMYFUNCTION("""COMPUTED_VALUE"""),46091.821076388886)</f>
        <v>46091.82108</v>
      </c>
      <c r="D418" s="1">
        <f>IFERROR(__xludf.DUMMYFUNCTION("""COMPUTED_VALUE"""),-97.0)</f>
        <v>-97</v>
      </c>
      <c r="E418" s="1"/>
      <c r="F418" s="1"/>
    </row>
    <row r="419">
      <c r="A419" s="1" t="str">
        <f>IFERROR(__xludf.DUMMYFUNCTION("""COMPUTED_VALUE"""),"3dfe7f8b")</f>
        <v>3dfe7f8b</v>
      </c>
      <c r="B419" s="1" t="str">
        <f>IFERROR(__xludf.DUMMYFUNCTION("""COMPUTED_VALUE"""),"0065")</f>
        <v>0065</v>
      </c>
      <c r="C419" s="32">
        <f>IFERROR(__xludf.DUMMYFUNCTION("""COMPUTED_VALUE"""),46091.821388888886)</f>
        <v>46091.82139</v>
      </c>
      <c r="D419" s="1">
        <f>IFERROR(__xludf.DUMMYFUNCTION("""COMPUTED_VALUE"""),-22.0)</f>
        <v>-22</v>
      </c>
      <c r="E419" s="1"/>
      <c r="F419" s="1"/>
    </row>
    <row r="420">
      <c r="A420" s="1" t="str">
        <f>IFERROR(__xludf.DUMMYFUNCTION("""COMPUTED_VALUE"""),"6f273cc4")</f>
        <v>6f273cc4</v>
      </c>
      <c r="B420" s="1" t="str">
        <f>IFERROR(__xludf.DUMMYFUNCTION("""COMPUTED_VALUE"""),"d8e8d66a")</f>
        <v>d8e8d66a</v>
      </c>
      <c r="C420" s="32">
        <f>IFERROR(__xludf.DUMMYFUNCTION("""COMPUTED_VALUE"""),46091.8218287037)</f>
        <v>46091.82183</v>
      </c>
      <c r="D420" s="1">
        <f>IFERROR(__xludf.DUMMYFUNCTION("""COMPUTED_VALUE"""),-20.0)</f>
        <v>-20</v>
      </c>
      <c r="E420" s="1"/>
      <c r="F420" s="1"/>
    </row>
    <row r="421">
      <c r="A421" s="1" t="str">
        <f>IFERROR(__xludf.DUMMYFUNCTION("""COMPUTED_VALUE"""),"744b7567")</f>
        <v>744b7567</v>
      </c>
      <c r="B421" s="1" t="str">
        <f>IFERROR(__xludf.DUMMYFUNCTION("""COMPUTED_VALUE"""),"0015")</f>
        <v>0015</v>
      </c>
      <c r="C421" s="32">
        <f>IFERROR(__xludf.DUMMYFUNCTION("""COMPUTED_VALUE"""),46091.822546296295)</f>
        <v>46091.82255</v>
      </c>
      <c r="D421" s="1">
        <f>IFERROR(__xludf.DUMMYFUNCTION("""COMPUTED_VALUE"""),-32.0)</f>
        <v>-32</v>
      </c>
      <c r="E421" s="1"/>
      <c r="F421" s="1"/>
    </row>
    <row r="422">
      <c r="A422" s="1" t="str">
        <f>IFERROR(__xludf.DUMMYFUNCTION("""COMPUTED_VALUE"""),"7a63c589")</f>
        <v>7a63c589</v>
      </c>
      <c r="B422" s="1" t="str">
        <f>IFERROR(__xludf.DUMMYFUNCTION("""COMPUTED_VALUE"""),"360bd4d4")</f>
        <v>360bd4d4</v>
      </c>
      <c r="C422" s="32">
        <f>IFERROR(__xludf.DUMMYFUNCTION("""COMPUTED_VALUE"""),46091.82271990741)</f>
        <v>46091.82272</v>
      </c>
      <c r="D422" s="1">
        <f>IFERROR(__xludf.DUMMYFUNCTION("""COMPUTED_VALUE"""),-11.0)</f>
        <v>-11</v>
      </c>
      <c r="E422" s="1"/>
      <c r="F422" s="1"/>
    </row>
    <row r="423">
      <c r="A423" s="1" t="str">
        <f>IFERROR(__xludf.DUMMYFUNCTION("""COMPUTED_VALUE"""),"57097fac")</f>
        <v>57097fac</v>
      </c>
      <c r="B423" s="1" t="str">
        <f>IFERROR(__xludf.DUMMYFUNCTION("""COMPUTED_VALUE"""),"0038")</f>
        <v>0038</v>
      </c>
      <c r="C423" s="32">
        <f>IFERROR(__xludf.DUMMYFUNCTION("""COMPUTED_VALUE"""),46091.82289351852)</f>
        <v>46091.82289</v>
      </c>
      <c r="D423" s="1">
        <f>IFERROR(__xludf.DUMMYFUNCTION("""COMPUTED_VALUE"""),-25.0)</f>
        <v>-25</v>
      </c>
      <c r="E423" s="1"/>
      <c r="F423" s="1"/>
    </row>
    <row r="424">
      <c r="A424" s="1" t="str">
        <f>IFERROR(__xludf.DUMMYFUNCTION("""COMPUTED_VALUE"""),"cdf95d0a")</f>
        <v>cdf95d0a</v>
      </c>
      <c r="B424" s="1" t="str">
        <f>IFERROR(__xludf.DUMMYFUNCTION("""COMPUTED_VALUE"""),"0030")</f>
        <v>0030</v>
      </c>
      <c r="C424" s="32">
        <f>IFERROR(__xludf.DUMMYFUNCTION("""COMPUTED_VALUE"""),46091.82305555556)</f>
        <v>46091.82306</v>
      </c>
      <c r="D424" s="1">
        <f>IFERROR(__xludf.DUMMYFUNCTION("""COMPUTED_VALUE"""),-20.0)</f>
        <v>-20</v>
      </c>
      <c r="E424" s="1"/>
      <c r="F424" s="1"/>
    </row>
    <row r="425">
      <c r="A425" s="1" t="str">
        <f>IFERROR(__xludf.DUMMYFUNCTION("""COMPUTED_VALUE"""),"d3b6a8e3")</f>
        <v>d3b6a8e3</v>
      </c>
      <c r="B425" s="1" t="str">
        <f>IFERROR(__xludf.DUMMYFUNCTION("""COMPUTED_VALUE"""),"ed187a9e")</f>
        <v>ed187a9e</v>
      </c>
      <c r="C425" s="32">
        <f>IFERROR(__xludf.DUMMYFUNCTION("""COMPUTED_VALUE"""),46091.823159722226)</f>
        <v>46091.82316</v>
      </c>
      <c r="D425" s="1">
        <f>IFERROR(__xludf.DUMMYFUNCTION("""COMPUTED_VALUE"""),-11.0)</f>
        <v>-11</v>
      </c>
      <c r="E425" s="1"/>
      <c r="F425" s="1"/>
    </row>
    <row r="426">
      <c r="A426" s="1" t="str">
        <f>IFERROR(__xludf.DUMMYFUNCTION("""COMPUTED_VALUE"""),"9404025f")</f>
        <v>9404025f</v>
      </c>
      <c r="B426" s="1" t="str">
        <f>IFERROR(__xludf.DUMMYFUNCTION("""COMPUTED_VALUE"""),"364fe321")</f>
        <v>364fe321</v>
      </c>
      <c r="C426" s="32">
        <f>IFERROR(__xludf.DUMMYFUNCTION("""COMPUTED_VALUE"""),46091.82326388889)</f>
        <v>46091.82326</v>
      </c>
      <c r="D426" s="1">
        <f>IFERROR(__xludf.DUMMYFUNCTION("""COMPUTED_VALUE"""),-12.0)</f>
        <v>-12</v>
      </c>
      <c r="E426" s="1"/>
      <c r="F426" s="1"/>
    </row>
    <row r="427">
      <c r="A427" s="1" t="str">
        <f>IFERROR(__xludf.DUMMYFUNCTION("""COMPUTED_VALUE"""),"8d6ab26e")</f>
        <v>8d6ab26e</v>
      </c>
      <c r="B427" s="1" t="str">
        <f>IFERROR(__xludf.DUMMYFUNCTION("""COMPUTED_VALUE"""),"b112660a")</f>
        <v>b112660a</v>
      </c>
      <c r="C427" s="32">
        <f>IFERROR(__xludf.DUMMYFUNCTION("""COMPUTED_VALUE"""),46091.823483796295)</f>
        <v>46091.82348</v>
      </c>
      <c r="D427" s="1">
        <f>IFERROR(__xludf.DUMMYFUNCTION("""COMPUTED_VALUE"""),-4.0)</f>
        <v>-4</v>
      </c>
      <c r="E427" s="1"/>
      <c r="F427" s="1"/>
    </row>
    <row r="428">
      <c r="A428" s="1" t="str">
        <f>IFERROR(__xludf.DUMMYFUNCTION("""COMPUTED_VALUE"""),"d9bbc6e4")</f>
        <v>d9bbc6e4</v>
      </c>
      <c r="B428" s="1" t="str">
        <f>IFERROR(__xludf.DUMMYFUNCTION("""COMPUTED_VALUE"""),"78233e6f")</f>
        <v>78233e6f</v>
      </c>
      <c r="C428" s="32">
        <f>IFERROR(__xludf.DUMMYFUNCTION("""COMPUTED_VALUE"""),46091.823912037034)</f>
        <v>46091.82391</v>
      </c>
      <c r="D428" s="1">
        <f>IFERROR(__xludf.DUMMYFUNCTION("""COMPUTED_VALUE"""),-23.0)</f>
        <v>-23</v>
      </c>
      <c r="E428" s="1"/>
      <c r="F428" s="1"/>
    </row>
    <row r="429">
      <c r="A429" s="1" t="str">
        <f>IFERROR(__xludf.DUMMYFUNCTION("""COMPUTED_VALUE"""),"c9a7d7ca")</f>
        <v>c9a7d7ca</v>
      </c>
      <c r="B429" s="1" t="str">
        <f>IFERROR(__xludf.DUMMYFUNCTION("""COMPUTED_VALUE"""),"78233e6f")</f>
        <v>78233e6f</v>
      </c>
      <c r="C429" s="32">
        <f>IFERROR(__xludf.DUMMYFUNCTION("""COMPUTED_VALUE"""),46091.82403935185)</f>
        <v>46091.82404</v>
      </c>
      <c r="D429" s="1">
        <f>IFERROR(__xludf.DUMMYFUNCTION("""COMPUTED_VALUE"""),10.0)</f>
        <v>10</v>
      </c>
      <c r="E429" s="1"/>
      <c r="F429" s="1"/>
    </row>
    <row r="430">
      <c r="A430" s="1" t="str">
        <f>IFERROR(__xludf.DUMMYFUNCTION("""COMPUTED_VALUE"""),"0d8c2d42")</f>
        <v>0d8c2d42</v>
      </c>
      <c r="B430" s="1" t="str">
        <f>IFERROR(__xludf.DUMMYFUNCTION("""COMPUTED_VALUE"""),"0064")</f>
        <v>0064</v>
      </c>
      <c r="C430" s="32">
        <f>IFERROR(__xludf.DUMMYFUNCTION("""COMPUTED_VALUE"""),46091.82431712963)</f>
        <v>46091.82432</v>
      </c>
      <c r="D430" s="1">
        <f>IFERROR(__xludf.DUMMYFUNCTION("""COMPUTED_VALUE"""),1.0)</f>
        <v>1</v>
      </c>
      <c r="E430" s="1"/>
      <c r="F430" s="1"/>
    </row>
    <row r="431">
      <c r="A431" s="1" t="str">
        <f>IFERROR(__xludf.DUMMYFUNCTION("""COMPUTED_VALUE"""),"1bbb9f81")</f>
        <v>1bbb9f81</v>
      </c>
      <c r="B431" s="1" t="str">
        <f>IFERROR(__xludf.DUMMYFUNCTION("""COMPUTED_VALUE"""),"cd21eb57")</f>
        <v>cd21eb57</v>
      </c>
      <c r="C431" s="32">
        <f>IFERROR(__xludf.DUMMYFUNCTION("""COMPUTED_VALUE"""),46091.824467592596)</f>
        <v>46091.82447</v>
      </c>
      <c r="D431" s="1">
        <f>IFERROR(__xludf.DUMMYFUNCTION("""COMPUTED_VALUE"""),7.0)</f>
        <v>7</v>
      </c>
      <c r="E431" s="1"/>
      <c r="F431" s="1"/>
    </row>
    <row r="432">
      <c r="A432" s="1" t="str">
        <f>IFERROR(__xludf.DUMMYFUNCTION("""COMPUTED_VALUE"""),"2497f919")</f>
        <v>2497f919</v>
      </c>
      <c r="B432" s="1" t="str">
        <f>IFERROR(__xludf.DUMMYFUNCTION("""COMPUTED_VALUE"""),"0053")</f>
        <v>0053</v>
      </c>
      <c r="C432" s="32">
        <f>IFERROR(__xludf.DUMMYFUNCTION("""COMPUTED_VALUE"""),46091.82482638889)</f>
        <v>46091.82483</v>
      </c>
      <c r="D432" s="1">
        <f>IFERROR(__xludf.DUMMYFUNCTION("""COMPUTED_VALUE"""),-15.0)</f>
        <v>-15</v>
      </c>
      <c r="E432" s="1"/>
      <c r="F432" s="1"/>
    </row>
    <row r="433">
      <c r="A433" s="1" t="str">
        <f>IFERROR(__xludf.DUMMYFUNCTION("""COMPUTED_VALUE"""),"7416ec27")</f>
        <v>7416ec27</v>
      </c>
      <c r="B433" s="1" t="str">
        <f>IFERROR(__xludf.DUMMYFUNCTION("""COMPUTED_VALUE"""),"3e9fa8d9")</f>
        <v>3e9fa8d9</v>
      </c>
      <c r="C433" s="32">
        <f>IFERROR(__xludf.DUMMYFUNCTION("""COMPUTED_VALUE"""),46091.8250462963)</f>
        <v>46091.82505</v>
      </c>
      <c r="D433" s="1">
        <f>IFERROR(__xludf.DUMMYFUNCTION("""COMPUTED_VALUE"""),-5.0)</f>
        <v>-5</v>
      </c>
      <c r="E433" s="1"/>
      <c r="F433" s="1"/>
    </row>
    <row r="434">
      <c r="A434" s="1" t="str">
        <f>IFERROR(__xludf.DUMMYFUNCTION("""COMPUTED_VALUE"""),"b2dd8b2b")</f>
        <v>b2dd8b2b</v>
      </c>
      <c r="B434" s="1" t="str">
        <f>IFERROR(__xludf.DUMMYFUNCTION("""COMPUTED_VALUE"""),"bfd1b639")</f>
        <v>bfd1b639</v>
      </c>
      <c r="C434" s="32">
        <f>IFERROR(__xludf.DUMMYFUNCTION("""COMPUTED_VALUE"""),46091.82517361111)</f>
        <v>46091.82517</v>
      </c>
      <c r="D434" s="1">
        <f>IFERROR(__xludf.DUMMYFUNCTION("""COMPUTED_VALUE"""),-8.0)</f>
        <v>-8</v>
      </c>
      <c r="E434" s="1"/>
      <c r="F434" s="1"/>
    </row>
    <row r="435">
      <c r="A435" s="1" t="str">
        <f>IFERROR(__xludf.DUMMYFUNCTION("""COMPUTED_VALUE"""),"41d67828")</f>
        <v>41d67828</v>
      </c>
      <c r="B435" s="1" t="str">
        <f>IFERROR(__xludf.DUMMYFUNCTION("""COMPUTED_VALUE"""),"0023")</f>
        <v>0023</v>
      </c>
      <c r="C435" s="32">
        <f>IFERROR(__xludf.DUMMYFUNCTION("""COMPUTED_VALUE"""),46091.8253125)</f>
        <v>46091.82531</v>
      </c>
      <c r="D435" s="1">
        <f>IFERROR(__xludf.DUMMYFUNCTION("""COMPUTED_VALUE"""),-12.0)</f>
        <v>-12</v>
      </c>
      <c r="E435" s="1"/>
      <c r="F435" s="1"/>
    </row>
    <row r="436">
      <c r="A436" s="1" t="str">
        <f>IFERROR(__xludf.DUMMYFUNCTION("""COMPUTED_VALUE"""),"3ee8bab8")</f>
        <v>3ee8bab8</v>
      </c>
      <c r="B436" s="1" t="str">
        <f>IFERROR(__xludf.DUMMYFUNCTION("""COMPUTED_VALUE"""),"bb6c2490")</f>
        <v>bb6c2490</v>
      </c>
      <c r="C436" s="32">
        <f>IFERROR(__xludf.DUMMYFUNCTION("""COMPUTED_VALUE"""),46093.10628472222)</f>
        <v>46093.10628</v>
      </c>
      <c r="D436" s="1">
        <f>IFERROR(__xludf.DUMMYFUNCTION("""COMPUTED_VALUE"""),-14.0)</f>
        <v>-14</v>
      </c>
      <c r="E436" s="1"/>
      <c r="F436" s="1"/>
    </row>
    <row r="437">
      <c r="A437" s="1" t="str">
        <f>IFERROR(__xludf.DUMMYFUNCTION("""COMPUTED_VALUE"""),"69ee82d6")</f>
        <v>69ee82d6</v>
      </c>
      <c r="B437" s="1" t="str">
        <f>IFERROR(__xludf.DUMMYFUNCTION("""COMPUTED_VALUE"""),"c099f042")</f>
        <v>c099f042</v>
      </c>
      <c r="C437" s="32">
        <f>IFERROR(__xludf.DUMMYFUNCTION("""COMPUTED_VALUE"""),46093.10637731481)</f>
        <v>46093.10638</v>
      </c>
      <c r="D437" s="1">
        <f>IFERROR(__xludf.DUMMYFUNCTION("""COMPUTED_VALUE"""),-7.0)</f>
        <v>-7</v>
      </c>
      <c r="E437" s="1"/>
      <c r="F437" s="1"/>
    </row>
    <row r="438">
      <c r="A438" s="1" t="str">
        <f>IFERROR(__xludf.DUMMYFUNCTION("""COMPUTED_VALUE"""),"7ed54d3c")</f>
        <v>7ed54d3c</v>
      </c>
      <c r="B438" s="1" t="str">
        <f>IFERROR(__xludf.DUMMYFUNCTION("""COMPUTED_VALUE"""),"0001")</f>
        <v>0001</v>
      </c>
      <c r="C438" s="32">
        <f>IFERROR(__xludf.DUMMYFUNCTION("""COMPUTED_VALUE"""),46093.10648148148)</f>
        <v>46093.10648</v>
      </c>
      <c r="D438" s="1">
        <f>IFERROR(__xludf.DUMMYFUNCTION("""COMPUTED_VALUE"""),-7.0)</f>
        <v>-7</v>
      </c>
      <c r="E438" s="1"/>
      <c r="F438" s="1"/>
    </row>
    <row r="439">
      <c r="A439" s="1" t="str">
        <f>IFERROR(__xludf.DUMMYFUNCTION("""COMPUTED_VALUE"""),"7265bcb7")</f>
        <v>7265bcb7</v>
      </c>
      <c r="B439" s="1" t="str">
        <f>IFERROR(__xludf.DUMMYFUNCTION("""COMPUTED_VALUE"""),"d5b5f9d1")</f>
        <v>d5b5f9d1</v>
      </c>
      <c r="C439" s="32">
        <f>IFERROR(__xludf.DUMMYFUNCTION("""COMPUTED_VALUE"""),46093.10659722222)</f>
        <v>46093.1066</v>
      </c>
      <c r="D439" s="1">
        <f>IFERROR(__xludf.DUMMYFUNCTION("""COMPUTED_VALUE"""),-7.0)</f>
        <v>-7</v>
      </c>
      <c r="E439" s="1"/>
      <c r="F439" s="1"/>
    </row>
    <row r="440">
      <c r="A440" s="1" t="str">
        <f>IFERROR(__xludf.DUMMYFUNCTION("""COMPUTED_VALUE"""),"fbf8c7f4")</f>
        <v>fbf8c7f4</v>
      </c>
      <c r="B440" s="1" t="str">
        <f>IFERROR(__xludf.DUMMYFUNCTION("""COMPUTED_VALUE"""),"0af806f8")</f>
        <v>0af806f8</v>
      </c>
      <c r="C440" s="32">
        <f>IFERROR(__xludf.DUMMYFUNCTION("""COMPUTED_VALUE"""),46093.10667824074)</f>
        <v>46093.10668</v>
      </c>
      <c r="D440" s="1">
        <f>IFERROR(__xludf.DUMMYFUNCTION("""COMPUTED_VALUE"""),-7.0)</f>
        <v>-7</v>
      </c>
      <c r="E440" s="1"/>
      <c r="F440" s="1"/>
    </row>
    <row r="441">
      <c r="A441" s="1" t="str">
        <f>IFERROR(__xludf.DUMMYFUNCTION("""COMPUTED_VALUE"""),"b3936765")</f>
        <v>b3936765</v>
      </c>
      <c r="B441" s="1" t="str">
        <f>IFERROR(__xludf.DUMMYFUNCTION("""COMPUTED_VALUE"""),"12b96290")</f>
        <v>12b96290</v>
      </c>
      <c r="C441" s="32">
        <f>IFERROR(__xludf.DUMMYFUNCTION("""COMPUTED_VALUE"""),46093.106770833336)</f>
        <v>46093.10677</v>
      </c>
      <c r="D441" s="1">
        <f>IFERROR(__xludf.DUMMYFUNCTION("""COMPUTED_VALUE"""),-7.0)</f>
        <v>-7</v>
      </c>
      <c r="E441" s="1"/>
      <c r="F441" s="1"/>
    </row>
    <row r="442">
      <c r="A442" s="1" t="str">
        <f>IFERROR(__xludf.DUMMYFUNCTION("""COMPUTED_VALUE"""),"45fbd641")</f>
        <v>45fbd641</v>
      </c>
      <c r="B442" s="1" t="str">
        <f>IFERROR(__xludf.DUMMYFUNCTION("""COMPUTED_VALUE"""),"0019")</f>
        <v>0019</v>
      </c>
      <c r="C442" s="32">
        <f>IFERROR(__xludf.DUMMYFUNCTION("""COMPUTED_VALUE"""),46093.10707175926)</f>
        <v>46093.10707</v>
      </c>
      <c r="D442" s="1">
        <f>IFERROR(__xludf.DUMMYFUNCTION("""COMPUTED_VALUE"""),-11.0)</f>
        <v>-11</v>
      </c>
      <c r="E442" s="1"/>
      <c r="F442" s="1"/>
    </row>
    <row r="443">
      <c r="A443" s="1" t="str">
        <f>IFERROR(__xludf.DUMMYFUNCTION("""COMPUTED_VALUE"""),"9a29fdd8")</f>
        <v>9a29fdd8</v>
      </c>
      <c r="B443" s="1" t="str">
        <f>IFERROR(__xludf.DUMMYFUNCTION("""COMPUTED_VALUE"""),"0014")</f>
        <v>0014</v>
      </c>
      <c r="C443" s="32">
        <f>IFERROR(__xludf.DUMMYFUNCTION("""COMPUTED_VALUE"""),46093.10732638889)</f>
        <v>46093.10733</v>
      </c>
      <c r="D443" s="1">
        <f>IFERROR(__xludf.DUMMYFUNCTION("""COMPUTED_VALUE"""),-10.0)</f>
        <v>-10</v>
      </c>
      <c r="E443" s="1"/>
      <c r="F443" s="1"/>
    </row>
    <row r="444">
      <c r="A444" s="1" t="str">
        <f>IFERROR(__xludf.DUMMYFUNCTION("""COMPUTED_VALUE"""),"dafbba06")</f>
        <v>dafbba06</v>
      </c>
      <c r="B444" s="1" t="str">
        <f>IFERROR(__xludf.DUMMYFUNCTION("""COMPUTED_VALUE"""),"a19879cf")</f>
        <v>a19879cf</v>
      </c>
      <c r="C444" s="32">
        <f>IFERROR(__xludf.DUMMYFUNCTION("""COMPUTED_VALUE"""),46093.10774305555)</f>
        <v>46093.10774</v>
      </c>
      <c r="D444" s="1">
        <f>IFERROR(__xludf.DUMMYFUNCTION("""COMPUTED_VALUE"""),-12.0)</f>
        <v>-12</v>
      </c>
      <c r="E444" s="1"/>
      <c r="F444" s="1"/>
    </row>
    <row r="445">
      <c r="A445" s="1" t="str">
        <f>IFERROR(__xludf.DUMMYFUNCTION("""COMPUTED_VALUE"""),"1ea7445e")</f>
        <v>1ea7445e</v>
      </c>
      <c r="B445" s="1" t="str">
        <f>IFERROR(__xludf.DUMMYFUNCTION("""COMPUTED_VALUE"""),"02d86a9b")</f>
        <v>02d86a9b</v>
      </c>
      <c r="C445" s="32">
        <f>IFERROR(__xludf.DUMMYFUNCTION("""COMPUTED_VALUE"""),46093.10818287037)</f>
        <v>46093.10818</v>
      </c>
      <c r="D445" s="1">
        <f>IFERROR(__xludf.DUMMYFUNCTION("""COMPUTED_VALUE"""),-12.0)</f>
        <v>-12</v>
      </c>
      <c r="E445" s="1"/>
      <c r="F445" s="1"/>
    </row>
    <row r="446">
      <c r="A446" s="1" t="str">
        <f>IFERROR(__xludf.DUMMYFUNCTION("""COMPUTED_VALUE"""),"acc8ddb2")</f>
        <v>acc8ddb2</v>
      </c>
      <c r="B446" s="1" t="str">
        <f>IFERROR(__xludf.DUMMYFUNCTION("""COMPUTED_VALUE"""),"bb4d1bd1")</f>
        <v>bb4d1bd1</v>
      </c>
      <c r="C446" s="32">
        <f>IFERROR(__xludf.DUMMYFUNCTION("""COMPUTED_VALUE"""),46093.108402777776)</f>
        <v>46093.1084</v>
      </c>
      <c r="D446" s="1">
        <f>IFERROR(__xludf.DUMMYFUNCTION("""COMPUTED_VALUE"""),-12.0)</f>
        <v>-12</v>
      </c>
      <c r="E446" s="1"/>
      <c r="F446" s="1"/>
    </row>
    <row r="447">
      <c r="A447" s="1" t="str">
        <f>IFERROR(__xludf.DUMMYFUNCTION("""COMPUTED_VALUE"""),"50be5525")</f>
        <v>50be5525</v>
      </c>
      <c r="B447" s="1" t="str">
        <f>IFERROR(__xludf.DUMMYFUNCTION("""COMPUTED_VALUE"""),"1b6b5ed6")</f>
        <v>1b6b5ed6</v>
      </c>
      <c r="C447" s="32">
        <f>IFERROR(__xludf.DUMMYFUNCTION("""COMPUTED_VALUE"""),46093.10903935185)</f>
        <v>46093.10904</v>
      </c>
      <c r="D447" s="1">
        <f>IFERROR(__xludf.DUMMYFUNCTION("""COMPUTED_VALUE"""),-13.0)</f>
        <v>-13</v>
      </c>
      <c r="E447" s="1"/>
      <c r="F447" s="1"/>
    </row>
    <row r="448">
      <c r="A448" s="1" t="str">
        <f>IFERROR(__xludf.DUMMYFUNCTION("""COMPUTED_VALUE"""),"7a3cdca3")</f>
        <v>7a3cdca3</v>
      </c>
      <c r="B448" s="1" t="str">
        <f>IFERROR(__xludf.DUMMYFUNCTION("""COMPUTED_VALUE"""),"0064")</f>
        <v>0064</v>
      </c>
      <c r="C448" s="32">
        <f>IFERROR(__xludf.DUMMYFUNCTION("""COMPUTED_VALUE"""),46093.10952546296)</f>
        <v>46093.10953</v>
      </c>
      <c r="D448" s="1">
        <f>IFERROR(__xludf.DUMMYFUNCTION("""COMPUTED_VALUE"""),-5.0)</f>
        <v>-5</v>
      </c>
      <c r="E448" s="1"/>
      <c r="F448" s="1"/>
    </row>
    <row r="449">
      <c r="A449" s="1" t="str">
        <f>IFERROR(__xludf.DUMMYFUNCTION("""COMPUTED_VALUE"""),"ee0b0e19")</f>
        <v>ee0b0e19</v>
      </c>
      <c r="B449" s="1" t="str">
        <f>IFERROR(__xludf.DUMMYFUNCTION("""COMPUTED_VALUE"""),"0011")</f>
        <v>0011</v>
      </c>
      <c r="C449" s="32">
        <f>IFERROR(__xludf.DUMMYFUNCTION("""COMPUTED_VALUE"""),46093.11035879629)</f>
        <v>46093.11036</v>
      </c>
      <c r="D449" s="1">
        <f>IFERROR(__xludf.DUMMYFUNCTION("""COMPUTED_VALUE"""),-21.0)</f>
        <v>-21</v>
      </c>
      <c r="E449" s="1"/>
      <c r="F449" s="1"/>
    </row>
    <row r="450">
      <c r="A450" s="1" t="str">
        <f>IFERROR(__xludf.DUMMYFUNCTION("""COMPUTED_VALUE"""),"6f1569a3")</f>
        <v>6f1569a3</v>
      </c>
      <c r="B450" s="1" t="str">
        <f>IFERROR(__xludf.DUMMYFUNCTION("""COMPUTED_VALUE"""),"649eaeb5")</f>
        <v>649eaeb5</v>
      </c>
      <c r="C450" s="32">
        <f>IFERROR(__xludf.DUMMYFUNCTION("""COMPUTED_VALUE"""),46093.11059027778)</f>
        <v>46093.11059</v>
      </c>
      <c r="D450" s="1">
        <f>IFERROR(__xludf.DUMMYFUNCTION("""COMPUTED_VALUE"""),-6.0)</f>
        <v>-6</v>
      </c>
      <c r="E450" s="1"/>
      <c r="F450" s="1"/>
    </row>
    <row r="451">
      <c r="A451" s="1" t="str">
        <f>IFERROR(__xludf.DUMMYFUNCTION("""COMPUTED_VALUE"""),"d80f820a")</f>
        <v>d80f820a</v>
      </c>
      <c r="B451" s="1" t="str">
        <f>IFERROR(__xludf.DUMMYFUNCTION("""COMPUTED_VALUE"""),"0002")</f>
        <v>0002</v>
      </c>
      <c r="C451" s="32">
        <f>IFERROR(__xludf.DUMMYFUNCTION("""COMPUTED_VALUE"""),46093.111296296294)</f>
        <v>46093.1113</v>
      </c>
      <c r="D451" s="1">
        <f>IFERROR(__xludf.DUMMYFUNCTION("""COMPUTED_VALUE"""),-36.0)</f>
        <v>-36</v>
      </c>
      <c r="E451" s="1"/>
      <c r="F451" s="1"/>
    </row>
    <row r="452">
      <c r="A452" s="1" t="str">
        <f>IFERROR(__xludf.DUMMYFUNCTION("""COMPUTED_VALUE"""),"86110833")</f>
        <v>86110833</v>
      </c>
      <c r="B452" s="1" t="str">
        <f>IFERROR(__xludf.DUMMYFUNCTION("""COMPUTED_VALUE"""),"0029")</f>
        <v>0029</v>
      </c>
      <c r="C452" s="32">
        <f>IFERROR(__xludf.DUMMYFUNCTION("""COMPUTED_VALUE"""),46093.11311342593)</f>
        <v>46093.11311</v>
      </c>
      <c r="D452" s="1">
        <f>IFERROR(__xludf.DUMMYFUNCTION("""COMPUTED_VALUE"""),-14.0)</f>
        <v>-14</v>
      </c>
      <c r="E452" s="1"/>
      <c r="F452" s="1"/>
    </row>
    <row r="453">
      <c r="A453" s="1" t="str">
        <f>IFERROR(__xludf.DUMMYFUNCTION("""COMPUTED_VALUE"""),"be4e01f6")</f>
        <v>be4e01f6</v>
      </c>
      <c r="B453" s="1" t="str">
        <f>IFERROR(__xludf.DUMMYFUNCTION("""COMPUTED_VALUE"""),"0054")</f>
        <v>0054</v>
      </c>
      <c r="C453" s="32">
        <f>IFERROR(__xludf.DUMMYFUNCTION("""COMPUTED_VALUE"""),46093.113217592596)</f>
        <v>46093.11322</v>
      </c>
      <c r="D453" s="1">
        <f>IFERROR(__xludf.DUMMYFUNCTION("""COMPUTED_VALUE"""),-7.0)</f>
        <v>-7</v>
      </c>
      <c r="E453" s="1"/>
      <c r="F453" s="1"/>
    </row>
    <row r="454">
      <c r="A454" s="1" t="str">
        <f>IFERROR(__xludf.DUMMYFUNCTION("""COMPUTED_VALUE"""),"6ad8ab76")</f>
        <v>6ad8ab76</v>
      </c>
      <c r="B454" s="1" t="str">
        <f>IFERROR(__xludf.DUMMYFUNCTION("""COMPUTED_VALUE"""),"57a5617b")</f>
        <v>57a5617b</v>
      </c>
      <c r="C454" s="32">
        <f>IFERROR(__xludf.DUMMYFUNCTION("""COMPUTED_VALUE"""),46093.11342592593)</f>
        <v>46093.11343</v>
      </c>
      <c r="D454" s="1">
        <f>IFERROR(__xludf.DUMMYFUNCTION("""COMPUTED_VALUE"""),-5.0)</f>
        <v>-5</v>
      </c>
      <c r="E454" s="1"/>
      <c r="F454" s="1"/>
    </row>
    <row r="455">
      <c r="A455" s="1" t="str">
        <f>IFERROR(__xludf.DUMMYFUNCTION("""COMPUTED_VALUE"""),"7ec42d40")</f>
        <v>7ec42d40</v>
      </c>
      <c r="B455" s="1" t="str">
        <f>IFERROR(__xludf.DUMMYFUNCTION("""COMPUTED_VALUE"""),"0af806f8")</f>
        <v>0af806f8</v>
      </c>
      <c r="C455" s="32">
        <f>IFERROR(__xludf.DUMMYFUNCTION("""COMPUTED_VALUE"""),46093.50119212963)</f>
        <v>46093.50119</v>
      </c>
      <c r="D455" s="1">
        <f>IFERROR(__xludf.DUMMYFUNCTION("""COMPUTED_VALUE"""),-7.0)</f>
        <v>-7</v>
      </c>
      <c r="E455" s="1"/>
      <c r="F455" s="1"/>
    </row>
    <row r="456">
      <c r="A456" s="1" t="str">
        <f>IFERROR(__xludf.DUMMYFUNCTION("""COMPUTED_VALUE"""),"6df4fb71")</f>
        <v>6df4fb71</v>
      </c>
      <c r="B456" s="1" t="str">
        <f>IFERROR(__xludf.DUMMYFUNCTION("""COMPUTED_VALUE"""),"12b96290")</f>
        <v>12b96290</v>
      </c>
      <c r="C456" s="32">
        <f>IFERROR(__xludf.DUMMYFUNCTION("""COMPUTED_VALUE"""),46093.501550925925)</f>
        <v>46093.50155</v>
      </c>
      <c r="D456" s="1">
        <f>IFERROR(__xludf.DUMMYFUNCTION("""COMPUTED_VALUE"""),-7.0)</f>
        <v>-7</v>
      </c>
      <c r="E456" s="1"/>
      <c r="F456" s="1"/>
    </row>
    <row r="457">
      <c r="A457" s="1" t="str">
        <f>IFERROR(__xludf.DUMMYFUNCTION("""COMPUTED_VALUE"""),"9a045650")</f>
        <v>9a045650</v>
      </c>
      <c r="B457" s="1" t="str">
        <f>IFERROR(__xludf.DUMMYFUNCTION("""COMPUTED_VALUE"""),"d5b5f9d1")</f>
        <v>d5b5f9d1</v>
      </c>
      <c r="C457" s="32">
        <f>IFERROR(__xludf.DUMMYFUNCTION("""COMPUTED_VALUE"""),46093.50173611111)</f>
        <v>46093.50174</v>
      </c>
      <c r="D457" s="1">
        <f>IFERROR(__xludf.DUMMYFUNCTION("""COMPUTED_VALUE"""),-7.0)</f>
        <v>-7</v>
      </c>
      <c r="E457" s="1"/>
      <c r="F457" s="1"/>
    </row>
    <row r="458">
      <c r="A458" s="1" t="str">
        <f>IFERROR(__xludf.DUMMYFUNCTION("""COMPUTED_VALUE"""),"cfde6ba4")</f>
        <v>cfde6ba4</v>
      </c>
      <c r="B458" s="1" t="str">
        <f>IFERROR(__xludf.DUMMYFUNCTION("""COMPUTED_VALUE"""),"0001")</f>
        <v>0001</v>
      </c>
      <c r="C458" s="32">
        <f>IFERROR(__xludf.DUMMYFUNCTION("""COMPUTED_VALUE"""),46093.50377314815)</f>
        <v>46093.50377</v>
      </c>
      <c r="D458" s="1">
        <f>IFERROR(__xludf.DUMMYFUNCTION("""COMPUTED_VALUE"""),5.0)</f>
        <v>5</v>
      </c>
      <c r="E458" s="1"/>
      <c r="F458" s="1"/>
    </row>
    <row r="459">
      <c r="A459" s="1" t="str">
        <f>IFERROR(__xludf.DUMMYFUNCTION("""COMPUTED_VALUE"""),"c6faff30")</f>
        <v>c6faff30</v>
      </c>
      <c r="B459" s="1" t="str">
        <f>IFERROR(__xludf.DUMMYFUNCTION("""COMPUTED_VALUE"""),"cd21eb57")</f>
        <v>cd21eb57</v>
      </c>
      <c r="C459" s="32">
        <f>IFERROR(__xludf.DUMMYFUNCTION("""COMPUTED_VALUE"""),46093.50403935185)</f>
        <v>46093.50404</v>
      </c>
      <c r="D459" s="1">
        <f>IFERROR(__xludf.DUMMYFUNCTION("""COMPUTED_VALUE"""),7.0)</f>
        <v>7</v>
      </c>
      <c r="E459" s="1"/>
      <c r="F459" s="1"/>
    </row>
    <row r="460">
      <c r="A460" s="1" t="str">
        <f>IFERROR(__xludf.DUMMYFUNCTION("""COMPUTED_VALUE"""),"4fa6ebff")</f>
        <v>4fa6ebff</v>
      </c>
      <c r="B460" s="1" t="str">
        <f>IFERROR(__xludf.DUMMYFUNCTION("""COMPUTED_VALUE"""),"bb6c2490")</f>
        <v>bb6c2490</v>
      </c>
      <c r="C460" s="32">
        <f>IFERROR(__xludf.DUMMYFUNCTION("""COMPUTED_VALUE"""),46093.506203703706)</f>
        <v>46093.5062</v>
      </c>
      <c r="D460" s="1">
        <f>IFERROR(__xludf.DUMMYFUNCTION("""COMPUTED_VALUE"""),-14.0)</f>
        <v>-14</v>
      </c>
      <c r="E460" s="1"/>
      <c r="F460" s="1"/>
    </row>
    <row r="461">
      <c r="A461" s="1" t="str">
        <f>IFERROR(__xludf.DUMMYFUNCTION("""COMPUTED_VALUE"""),"ee77fa0e")</f>
        <v>ee77fa0e</v>
      </c>
      <c r="B461" s="1" t="str">
        <f>IFERROR(__xludf.DUMMYFUNCTION("""COMPUTED_VALUE"""),"c099f042")</f>
        <v>c099f042</v>
      </c>
      <c r="C461" s="32">
        <f>IFERROR(__xludf.DUMMYFUNCTION("""COMPUTED_VALUE"""),46093.506273148145)</f>
        <v>46093.50627</v>
      </c>
      <c r="D461" s="1">
        <f>IFERROR(__xludf.DUMMYFUNCTION("""COMPUTED_VALUE"""),-7.0)</f>
        <v>-7</v>
      </c>
      <c r="E461" s="1"/>
      <c r="F461" s="1"/>
    </row>
    <row r="462">
      <c r="A462" s="1" t="str">
        <f>IFERROR(__xludf.DUMMYFUNCTION("""COMPUTED_VALUE"""),"403219bf")</f>
        <v>403219bf</v>
      </c>
      <c r="B462" s="1" t="str">
        <f>IFERROR(__xludf.DUMMYFUNCTION("""COMPUTED_VALUE"""),"c099f042")</f>
        <v>c099f042</v>
      </c>
      <c r="C462" s="32">
        <f>IFERROR(__xludf.DUMMYFUNCTION("""COMPUTED_VALUE"""),46093.50638888889)</f>
        <v>46093.50639</v>
      </c>
      <c r="D462" s="1">
        <f>IFERROR(__xludf.DUMMYFUNCTION("""COMPUTED_VALUE"""),-3.0)</f>
        <v>-3</v>
      </c>
      <c r="E462" s="1"/>
      <c r="F462" s="1"/>
    </row>
    <row r="463">
      <c r="A463" s="1" t="str">
        <f>IFERROR(__xludf.DUMMYFUNCTION("""COMPUTED_VALUE"""),"e0d99876")</f>
        <v>e0d99876</v>
      </c>
      <c r="B463" s="1" t="str">
        <f>IFERROR(__xludf.DUMMYFUNCTION("""COMPUTED_VALUE"""),"b3204174")</f>
        <v>b3204174</v>
      </c>
      <c r="C463" s="32">
        <f>IFERROR(__xludf.DUMMYFUNCTION("""COMPUTED_VALUE"""),46093.5069212963)</f>
        <v>46093.50692</v>
      </c>
      <c r="D463" s="1">
        <f>IFERROR(__xludf.DUMMYFUNCTION("""COMPUTED_VALUE"""),-12.0)</f>
        <v>-12</v>
      </c>
      <c r="E463" s="1"/>
      <c r="F463" s="1"/>
    </row>
    <row r="464">
      <c r="A464" s="1" t="str">
        <f>IFERROR(__xludf.DUMMYFUNCTION("""COMPUTED_VALUE"""),"3ffa282d")</f>
        <v>3ffa282d</v>
      </c>
      <c r="B464" s="1" t="str">
        <f>IFERROR(__xludf.DUMMYFUNCTION("""COMPUTED_VALUE"""),"a19879cf")</f>
        <v>a19879cf</v>
      </c>
      <c r="C464" s="32">
        <f>IFERROR(__xludf.DUMMYFUNCTION("""COMPUTED_VALUE"""),46093.50894675926)</f>
        <v>46093.50895</v>
      </c>
      <c r="D464" s="1">
        <f>IFERROR(__xludf.DUMMYFUNCTION("""COMPUTED_VALUE"""),-12.0)</f>
        <v>-12</v>
      </c>
      <c r="E464" s="1"/>
      <c r="F464" s="1"/>
    </row>
    <row r="465">
      <c r="A465" s="1" t="str">
        <f>IFERROR(__xludf.DUMMYFUNCTION("""COMPUTED_VALUE"""),"df682cb5")</f>
        <v>df682cb5</v>
      </c>
      <c r="B465" s="1" t="str">
        <f>IFERROR(__xludf.DUMMYFUNCTION("""COMPUTED_VALUE"""),"27c8f623")</f>
        <v>27c8f623</v>
      </c>
      <c r="C465" s="32">
        <f>IFERROR(__xludf.DUMMYFUNCTION("""COMPUTED_VALUE"""),46093.50915509259)</f>
        <v>46093.50916</v>
      </c>
      <c r="D465" s="1">
        <f>IFERROR(__xludf.DUMMYFUNCTION("""COMPUTED_VALUE"""),-12.0)</f>
        <v>-12</v>
      </c>
      <c r="E465" s="1"/>
      <c r="F465" s="1"/>
    </row>
    <row r="466">
      <c r="A466" s="1" t="str">
        <f>IFERROR(__xludf.DUMMYFUNCTION("""COMPUTED_VALUE"""),"98fb2f0d")</f>
        <v>98fb2f0d</v>
      </c>
      <c r="B466" s="1" t="str">
        <f>IFERROR(__xludf.DUMMYFUNCTION("""COMPUTED_VALUE"""),"02d86a9b")</f>
        <v>02d86a9b</v>
      </c>
      <c r="C466" s="32">
        <f>IFERROR(__xludf.DUMMYFUNCTION("""COMPUTED_VALUE"""),46093.509305555555)</f>
        <v>46093.50931</v>
      </c>
      <c r="D466" s="1">
        <f>IFERROR(__xludf.DUMMYFUNCTION("""COMPUTED_VALUE"""),-12.0)</f>
        <v>-12</v>
      </c>
      <c r="E466" s="1"/>
      <c r="F466" s="1"/>
    </row>
    <row r="467">
      <c r="A467" s="1" t="str">
        <f>IFERROR(__xludf.DUMMYFUNCTION("""COMPUTED_VALUE"""),"797329be")</f>
        <v>797329be</v>
      </c>
      <c r="B467" s="1" t="str">
        <f>IFERROR(__xludf.DUMMYFUNCTION("""COMPUTED_VALUE"""),"bb4d1bd1")</f>
        <v>bb4d1bd1</v>
      </c>
      <c r="C467" s="32">
        <f>IFERROR(__xludf.DUMMYFUNCTION("""COMPUTED_VALUE"""),46093.509409722225)</f>
        <v>46093.50941</v>
      </c>
      <c r="D467" s="1">
        <f>IFERROR(__xludf.DUMMYFUNCTION("""COMPUTED_VALUE"""),-12.0)</f>
        <v>-12</v>
      </c>
      <c r="E467" s="1"/>
      <c r="F467" s="1"/>
    </row>
    <row r="468">
      <c r="A468" s="1" t="str">
        <f>IFERROR(__xludf.DUMMYFUNCTION("""COMPUTED_VALUE"""),"aa3d0322")</f>
        <v>aa3d0322</v>
      </c>
      <c r="B468" s="1" t="str">
        <f>IFERROR(__xludf.DUMMYFUNCTION("""COMPUTED_VALUE"""),"0021")</f>
        <v>0021</v>
      </c>
      <c r="C468" s="32">
        <f>IFERROR(__xludf.DUMMYFUNCTION("""COMPUTED_VALUE"""),46093.511655092596)</f>
        <v>46093.51166</v>
      </c>
      <c r="D468" s="1">
        <f>IFERROR(__xludf.DUMMYFUNCTION("""COMPUTED_VALUE"""),-8.0)</f>
        <v>-8</v>
      </c>
      <c r="E468" s="1"/>
      <c r="F468" s="1"/>
    </row>
    <row r="469">
      <c r="A469" s="1" t="str">
        <f>IFERROR(__xludf.DUMMYFUNCTION("""COMPUTED_VALUE"""),"70d33f63")</f>
        <v>70d33f63</v>
      </c>
      <c r="B469" s="1" t="str">
        <f>IFERROR(__xludf.DUMMYFUNCTION("""COMPUTED_VALUE"""),"cb9e809e")</f>
        <v>cb9e809e</v>
      </c>
      <c r="C469" s="32">
        <f>IFERROR(__xludf.DUMMYFUNCTION("""COMPUTED_VALUE"""),46093.512719907405)</f>
        <v>46093.51272</v>
      </c>
      <c r="D469" s="1">
        <f>IFERROR(__xludf.DUMMYFUNCTION("""COMPUTED_VALUE"""),-2.0)</f>
        <v>-2</v>
      </c>
      <c r="E469" s="1"/>
      <c r="F469" s="1"/>
    </row>
    <row r="470">
      <c r="A470" s="1" t="str">
        <f>IFERROR(__xludf.DUMMYFUNCTION("""COMPUTED_VALUE"""),"5b4d9c35")</f>
        <v>5b4d9c35</v>
      </c>
      <c r="B470" s="1" t="str">
        <f>IFERROR(__xludf.DUMMYFUNCTION("""COMPUTED_VALUE"""),"cb9e809e")</f>
        <v>cb9e809e</v>
      </c>
      <c r="C470" s="32">
        <f>IFERROR(__xludf.DUMMYFUNCTION("""COMPUTED_VALUE"""),46093.513344907406)</f>
        <v>46093.51334</v>
      </c>
      <c r="D470" s="1">
        <f>IFERROR(__xludf.DUMMYFUNCTION("""COMPUTED_VALUE"""),-5.0)</f>
        <v>-5</v>
      </c>
      <c r="E470" s="1"/>
      <c r="F470" s="1"/>
    </row>
    <row r="471">
      <c r="A471" s="1" t="str">
        <f>IFERROR(__xludf.DUMMYFUNCTION("""COMPUTED_VALUE"""),"84ab48f5")</f>
        <v>84ab48f5</v>
      </c>
      <c r="B471" s="1" t="str">
        <f>IFERROR(__xludf.DUMMYFUNCTION("""COMPUTED_VALUE"""),"cb9e809e")</f>
        <v>cb9e809e</v>
      </c>
      <c r="C471" s="32">
        <f>IFERROR(__xludf.DUMMYFUNCTION("""COMPUTED_VALUE"""),46093.51369212963)</f>
        <v>46093.51369</v>
      </c>
      <c r="D471" s="1">
        <f>IFERROR(__xludf.DUMMYFUNCTION("""COMPUTED_VALUE"""),-2.0)</f>
        <v>-2</v>
      </c>
      <c r="E471" s="1"/>
      <c r="F471" s="1"/>
    </row>
    <row r="472">
      <c r="A472" s="1" t="str">
        <f>IFERROR(__xludf.DUMMYFUNCTION("""COMPUTED_VALUE"""),"21834735")</f>
        <v>21834735</v>
      </c>
      <c r="B472" s="1" t="str">
        <f>IFERROR(__xludf.DUMMYFUNCTION("""COMPUTED_VALUE"""),"cf6c9481")</f>
        <v>cf6c9481</v>
      </c>
      <c r="C472" s="32">
        <f>IFERROR(__xludf.DUMMYFUNCTION("""COMPUTED_VALUE"""),46093.51403935185)</f>
        <v>46093.51404</v>
      </c>
      <c r="D472" s="1">
        <f>IFERROR(__xludf.DUMMYFUNCTION("""COMPUTED_VALUE"""),-12.0)</f>
        <v>-12</v>
      </c>
      <c r="E472" s="1"/>
      <c r="F472" s="1"/>
    </row>
    <row r="473">
      <c r="A473" s="1" t="str">
        <f>IFERROR(__xludf.DUMMYFUNCTION("""COMPUTED_VALUE"""),"d5852622")</f>
        <v>d5852622</v>
      </c>
      <c r="B473" s="1" t="str">
        <f>IFERROR(__xludf.DUMMYFUNCTION("""COMPUTED_VALUE"""),"a3f74383")</f>
        <v>a3f74383</v>
      </c>
      <c r="C473" s="32">
        <f>IFERROR(__xludf.DUMMYFUNCTION("""COMPUTED_VALUE"""),46093.51489583333)</f>
        <v>46093.5149</v>
      </c>
      <c r="D473" s="1">
        <f>IFERROR(__xludf.DUMMYFUNCTION("""COMPUTED_VALUE"""),-3.0)</f>
        <v>-3</v>
      </c>
      <c r="E473" s="1"/>
      <c r="F473" s="1"/>
    </row>
    <row r="474">
      <c r="A474" s="1" t="str">
        <f>IFERROR(__xludf.DUMMYFUNCTION("""COMPUTED_VALUE"""),"c6df0609")</f>
        <v>c6df0609</v>
      </c>
      <c r="B474" s="1" t="str">
        <f>IFERROR(__xludf.DUMMYFUNCTION("""COMPUTED_VALUE"""),"0054")</f>
        <v>0054</v>
      </c>
      <c r="C474" s="32">
        <f>IFERROR(__xludf.DUMMYFUNCTION("""COMPUTED_VALUE"""),46093.51498842592)</f>
        <v>46093.51499</v>
      </c>
      <c r="D474" s="1">
        <f>IFERROR(__xludf.DUMMYFUNCTION("""COMPUTED_VALUE"""),-5.0)</f>
        <v>-5</v>
      </c>
      <c r="E474" s="1"/>
      <c r="F474" s="1"/>
    </row>
    <row r="475">
      <c r="A475" s="1" t="str">
        <f>IFERROR(__xludf.DUMMYFUNCTION("""COMPUTED_VALUE"""),"0320c79d")</f>
        <v>0320c79d</v>
      </c>
      <c r="B475" s="1" t="str">
        <f>IFERROR(__xludf.DUMMYFUNCTION("""COMPUTED_VALUE"""),"0005")</f>
        <v>0005</v>
      </c>
      <c r="C475" s="32">
        <f>IFERROR(__xludf.DUMMYFUNCTION("""COMPUTED_VALUE"""),46093.515752314815)</f>
        <v>46093.51575</v>
      </c>
      <c r="D475" s="1">
        <f>IFERROR(__xludf.DUMMYFUNCTION("""COMPUTED_VALUE"""),-6.0)</f>
        <v>-6</v>
      </c>
      <c r="E475" s="1"/>
      <c r="F475" s="1"/>
    </row>
    <row r="476">
      <c r="A476" s="1" t="str">
        <f>IFERROR(__xludf.DUMMYFUNCTION("""COMPUTED_VALUE"""),"6d7de0c6")</f>
        <v>6d7de0c6</v>
      </c>
      <c r="B476" s="1" t="str">
        <f>IFERROR(__xludf.DUMMYFUNCTION("""COMPUTED_VALUE"""),"0011")</f>
        <v>0011</v>
      </c>
      <c r="C476" s="32">
        <f>IFERROR(__xludf.DUMMYFUNCTION("""COMPUTED_VALUE"""),46093.516435185185)</f>
        <v>46093.51644</v>
      </c>
      <c r="D476" s="1">
        <f>IFERROR(__xludf.DUMMYFUNCTION("""COMPUTED_VALUE"""),-18.0)</f>
        <v>-18</v>
      </c>
      <c r="E476" s="1"/>
      <c r="F476" s="1"/>
    </row>
    <row r="477">
      <c r="A477" s="1" t="str">
        <f>IFERROR(__xludf.DUMMYFUNCTION("""COMPUTED_VALUE"""),"32cc0937")</f>
        <v>32cc0937</v>
      </c>
      <c r="B477" s="1" t="str">
        <f>IFERROR(__xludf.DUMMYFUNCTION("""COMPUTED_VALUE"""),"0002")</f>
        <v>0002</v>
      </c>
      <c r="C477" s="32">
        <f>IFERROR(__xludf.DUMMYFUNCTION("""COMPUTED_VALUE"""),46093.51662037037)</f>
        <v>46093.51662</v>
      </c>
      <c r="D477" s="1">
        <f>IFERROR(__xludf.DUMMYFUNCTION("""COMPUTED_VALUE"""),-60.0)</f>
        <v>-60</v>
      </c>
      <c r="E477" s="1"/>
      <c r="F477" s="1"/>
    </row>
    <row r="478">
      <c r="A478" s="1" t="str">
        <f>IFERROR(__xludf.DUMMYFUNCTION("""COMPUTED_VALUE"""),"44572cc8")</f>
        <v>44572cc8</v>
      </c>
      <c r="B478" s="1" t="str">
        <f>IFERROR(__xludf.DUMMYFUNCTION("""COMPUTED_VALUE"""),"0049")</f>
        <v>0049</v>
      </c>
      <c r="C478" s="32">
        <f>IFERROR(__xludf.DUMMYFUNCTION("""COMPUTED_VALUE"""),46093.51673611111)</f>
        <v>46093.51674</v>
      </c>
      <c r="D478" s="1">
        <f>IFERROR(__xludf.DUMMYFUNCTION("""COMPUTED_VALUE"""),7.0)</f>
        <v>7</v>
      </c>
      <c r="E478" s="1"/>
      <c r="F478" s="1"/>
    </row>
    <row r="479">
      <c r="A479" s="1" t="str">
        <f>IFERROR(__xludf.DUMMYFUNCTION("""COMPUTED_VALUE"""),"d4a1c9ba")</f>
        <v>d4a1c9ba</v>
      </c>
      <c r="B479" s="1" t="str">
        <f>IFERROR(__xludf.DUMMYFUNCTION("""COMPUTED_VALUE"""),"0001")</f>
        <v>0001</v>
      </c>
      <c r="C479" s="32">
        <f>IFERROR(__xludf.DUMMYFUNCTION("""COMPUTED_VALUE"""),46093.519791666666)</f>
        <v>46093.51979</v>
      </c>
      <c r="D479" s="1">
        <f>IFERROR(__xludf.DUMMYFUNCTION("""COMPUTED_VALUE"""),-7.0)</f>
        <v>-7</v>
      </c>
      <c r="E479" s="1"/>
      <c r="F479" s="1"/>
    </row>
    <row r="480">
      <c r="A480" s="1" t="str">
        <f>IFERROR(__xludf.DUMMYFUNCTION("""COMPUTED_VALUE"""),"fb1549ca")</f>
        <v>fb1549ca</v>
      </c>
      <c r="B480" s="1" t="str">
        <f>IFERROR(__xludf.DUMMYFUNCTION("""COMPUTED_VALUE"""),"d5b5f9d1")</f>
        <v>d5b5f9d1</v>
      </c>
      <c r="C480" s="32">
        <f>IFERROR(__xludf.DUMMYFUNCTION("""COMPUTED_VALUE"""),46093.519837962966)</f>
        <v>46093.51984</v>
      </c>
      <c r="D480" s="1">
        <f>IFERROR(__xludf.DUMMYFUNCTION("""COMPUTED_VALUE"""),-7.0)</f>
        <v>-7</v>
      </c>
      <c r="E480" s="1"/>
      <c r="F480" s="1"/>
    </row>
    <row r="481">
      <c r="A481" s="1" t="str">
        <f>IFERROR(__xludf.DUMMYFUNCTION("""COMPUTED_VALUE"""),"7eeb7f20")</f>
        <v>7eeb7f20</v>
      </c>
      <c r="B481" s="1" t="str">
        <f>IFERROR(__xludf.DUMMYFUNCTION("""COMPUTED_VALUE"""),"0af806f8")</f>
        <v>0af806f8</v>
      </c>
      <c r="C481" s="32">
        <f>IFERROR(__xludf.DUMMYFUNCTION("""COMPUTED_VALUE"""),46093.519895833335)</f>
        <v>46093.5199</v>
      </c>
      <c r="D481" s="1">
        <f>IFERROR(__xludf.DUMMYFUNCTION("""COMPUTED_VALUE"""),-7.0)</f>
        <v>-7</v>
      </c>
      <c r="E481" s="1"/>
      <c r="F481" s="1"/>
    </row>
    <row r="482">
      <c r="A482" s="1" t="str">
        <f>IFERROR(__xludf.DUMMYFUNCTION("""COMPUTED_VALUE"""),"8beccc50")</f>
        <v>8beccc50</v>
      </c>
      <c r="B482" s="1" t="str">
        <f>IFERROR(__xludf.DUMMYFUNCTION("""COMPUTED_VALUE"""),"12b96290")</f>
        <v>12b96290</v>
      </c>
      <c r="C482" s="32">
        <f>IFERROR(__xludf.DUMMYFUNCTION("""COMPUTED_VALUE"""),46093.519953703704)</f>
        <v>46093.51995</v>
      </c>
      <c r="D482" s="1">
        <f>IFERROR(__xludf.DUMMYFUNCTION("""COMPUTED_VALUE"""),-7.0)</f>
        <v>-7</v>
      </c>
      <c r="E482" s="1"/>
      <c r="F482" s="1"/>
    </row>
    <row r="483">
      <c r="A483" s="1" t="str">
        <f>IFERROR(__xludf.DUMMYFUNCTION("""COMPUTED_VALUE"""),"90c6d0ad")</f>
        <v>90c6d0ad</v>
      </c>
      <c r="B483" s="1" t="str">
        <f>IFERROR(__xludf.DUMMYFUNCTION("""COMPUTED_VALUE"""),"a19879cf")</f>
        <v>a19879cf</v>
      </c>
      <c r="C483" s="32">
        <f>IFERROR(__xludf.DUMMYFUNCTION("""COMPUTED_VALUE"""),46093.52113425926)</f>
        <v>46093.52113</v>
      </c>
      <c r="D483" s="1">
        <f>IFERROR(__xludf.DUMMYFUNCTION("""COMPUTED_VALUE"""),8.0)</f>
        <v>8</v>
      </c>
      <c r="E483" s="1"/>
      <c r="F483" s="1"/>
    </row>
    <row r="484">
      <c r="A484" s="1" t="str">
        <f>IFERROR(__xludf.DUMMYFUNCTION("""COMPUTED_VALUE"""),"c335eabe")</f>
        <v>c335eabe</v>
      </c>
      <c r="B484" s="1" t="str">
        <f>IFERROR(__xludf.DUMMYFUNCTION("""COMPUTED_VALUE"""),"27c8f623")</f>
        <v>27c8f623</v>
      </c>
      <c r="C484" s="32">
        <f>IFERROR(__xludf.DUMMYFUNCTION("""COMPUTED_VALUE"""),46093.52140046296)</f>
        <v>46093.5214</v>
      </c>
      <c r="D484" s="1">
        <f>IFERROR(__xludf.DUMMYFUNCTION("""COMPUTED_VALUE"""),-12.0)</f>
        <v>-12</v>
      </c>
      <c r="E484" s="1"/>
      <c r="F484" s="1"/>
    </row>
    <row r="485">
      <c r="A485" s="1" t="str">
        <f>IFERROR(__xludf.DUMMYFUNCTION("""COMPUTED_VALUE"""),"67068202")</f>
        <v>67068202</v>
      </c>
      <c r="B485" s="1" t="str">
        <f>IFERROR(__xludf.DUMMYFUNCTION("""COMPUTED_VALUE"""),"1b6b5ed6")</f>
        <v>1b6b5ed6</v>
      </c>
      <c r="C485" s="32">
        <f>IFERROR(__xludf.DUMMYFUNCTION("""COMPUTED_VALUE"""),46093.52390046296)</f>
        <v>46093.5239</v>
      </c>
      <c r="D485" s="1">
        <f>IFERROR(__xludf.DUMMYFUNCTION("""COMPUTED_VALUE"""),-17.0)</f>
        <v>-17</v>
      </c>
      <c r="E485" s="1"/>
      <c r="F485" s="1"/>
    </row>
    <row r="486">
      <c r="A486" s="1" t="str">
        <f>IFERROR(__xludf.DUMMYFUNCTION("""COMPUTED_VALUE"""),"899c79c2")</f>
        <v>899c79c2</v>
      </c>
      <c r="B486" s="1" t="str">
        <f>IFERROR(__xludf.DUMMYFUNCTION("""COMPUTED_VALUE"""),"0032")</f>
        <v>0032</v>
      </c>
      <c r="C486" s="32">
        <f>IFERROR(__xludf.DUMMYFUNCTION("""COMPUTED_VALUE"""),46093.524097222224)</f>
        <v>46093.5241</v>
      </c>
      <c r="D486" s="1">
        <f>IFERROR(__xludf.DUMMYFUNCTION("""COMPUTED_VALUE"""),-3.0)</f>
        <v>-3</v>
      </c>
      <c r="E486" s="1"/>
      <c r="F486" s="1"/>
    </row>
    <row r="487">
      <c r="A487" s="1" t="str">
        <f>IFERROR(__xludf.DUMMYFUNCTION("""COMPUTED_VALUE"""),"1fca86d4")</f>
        <v>1fca86d4</v>
      </c>
      <c r="B487" s="1" t="str">
        <f>IFERROR(__xludf.DUMMYFUNCTION("""COMPUTED_VALUE"""),"78233e6f")</f>
        <v>78233e6f</v>
      </c>
      <c r="C487" s="32">
        <f>IFERROR(__xludf.DUMMYFUNCTION("""COMPUTED_VALUE"""),46093.52427083333)</f>
        <v>46093.52427</v>
      </c>
      <c r="D487" s="1">
        <f>IFERROR(__xludf.DUMMYFUNCTION("""COMPUTED_VALUE"""),-4.0)</f>
        <v>-4</v>
      </c>
      <c r="E487" s="1"/>
      <c r="F487" s="1"/>
    </row>
    <row r="488">
      <c r="A488" s="1" t="str">
        <f>IFERROR(__xludf.DUMMYFUNCTION("""COMPUTED_VALUE"""),"68734d17")</f>
        <v>68734d17</v>
      </c>
      <c r="B488" s="1" t="str">
        <f>IFERROR(__xludf.DUMMYFUNCTION("""COMPUTED_VALUE"""),"0005")</f>
        <v>0005</v>
      </c>
      <c r="C488" s="32">
        <f>IFERROR(__xludf.DUMMYFUNCTION("""COMPUTED_VALUE"""),46093.524409722224)</f>
        <v>46093.52441</v>
      </c>
      <c r="D488" s="1">
        <f>IFERROR(__xludf.DUMMYFUNCTION("""COMPUTED_VALUE"""),-9.0)</f>
        <v>-9</v>
      </c>
      <c r="E488" s="1"/>
      <c r="F488" s="1"/>
    </row>
    <row r="489">
      <c r="A489" s="1" t="str">
        <f>IFERROR(__xludf.DUMMYFUNCTION("""COMPUTED_VALUE"""),"1efe232a")</f>
        <v>1efe232a</v>
      </c>
      <c r="B489" s="1" t="str">
        <f>IFERROR(__xludf.DUMMYFUNCTION("""COMPUTED_VALUE"""),"0029")</f>
        <v>0029</v>
      </c>
      <c r="C489" s="32">
        <f>IFERROR(__xludf.DUMMYFUNCTION("""COMPUTED_VALUE"""),46093.52469907407)</f>
        <v>46093.5247</v>
      </c>
      <c r="D489" s="1">
        <f>IFERROR(__xludf.DUMMYFUNCTION("""COMPUTED_VALUE"""),-6.0)</f>
        <v>-6</v>
      </c>
      <c r="E489" s="1"/>
      <c r="F489" s="1"/>
    </row>
    <row r="490">
      <c r="A490" s="1" t="str">
        <f>IFERROR(__xludf.DUMMYFUNCTION("""COMPUTED_VALUE"""),"207f7615")</f>
        <v>207f7615</v>
      </c>
      <c r="B490" s="1" t="str">
        <f>IFERROR(__xludf.DUMMYFUNCTION("""COMPUTED_VALUE"""),"a3f74383")</f>
        <v>a3f74383</v>
      </c>
      <c r="C490" s="32">
        <f>IFERROR(__xludf.DUMMYFUNCTION("""COMPUTED_VALUE"""),46093.52481481482)</f>
        <v>46093.52481</v>
      </c>
      <c r="D490" s="1">
        <f>IFERROR(__xludf.DUMMYFUNCTION("""COMPUTED_VALUE"""),-3.0)</f>
        <v>-3</v>
      </c>
      <c r="E490" s="1"/>
      <c r="F490" s="1"/>
    </row>
    <row r="491">
      <c r="A491" s="1" t="str">
        <f>IFERROR(__xludf.DUMMYFUNCTION("""COMPUTED_VALUE"""),"22d1a727")</f>
        <v>22d1a727</v>
      </c>
      <c r="B491" s="1" t="str">
        <f>IFERROR(__xludf.DUMMYFUNCTION("""COMPUTED_VALUE"""),"699ad05d")</f>
        <v>699ad05d</v>
      </c>
      <c r="C491" s="32">
        <f>IFERROR(__xludf.DUMMYFUNCTION("""COMPUTED_VALUE"""),46093.52521990741)</f>
        <v>46093.52522</v>
      </c>
      <c r="D491" s="1">
        <f>IFERROR(__xludf.DUMMYFUNCTION("""COMPUTED_VALUE"""),-5.0)</f>
        <v>-5</v>
      </c>
      <c r="E491" s="1"/>
      <c r="F491" s="1"/>
    </row>
    <row r="492">
      <c r="A492" s="1" t="str">
        <f>IFERROR(__xludf.DUMMYFUNCTION("""COMPUTED_VALUE"""),"741dd58a")</f>
        <v>741dd58a</v>
      </c>
      <c r="B492" s="1" t="str">
        <f>IFERROR(__xludf.DUMMYFUNCTION("""COMPUTED_VALUE"""),"0011")</f>
        <v>0011</v>
      </c>
      <c r="C492" s="32">
        <f>IFERROR(__xludf.DUMMYFUNCTION("""COMPUTED_VALUE"""),46093.525416666664)</f>
        <v>46093.52542</v>
      </c>
      <c r="D492" s="1">
        <f>IFERROR(__xludf.DUMMYFUNCTION("""COMPUTED_VALUE"""),-12.0)</f>
        <v>-12</v>
      </c>
      <c r="E492" s="1"/>
      <c r="F492" s="1"/>
    </row>
    <row r="493">
      <c r="A493" s="1" t="str">
        <f>IFERROR(__xludf.DUMMYFUNCTION("""COMPUTED_VALUE"""),"ec36187c")</f>
        <v>ec36187c</v>
      </c>
      <c r="B493" s="1" t="str">
        <f>IFERROR(__xludf.DUMMYFUNCTION("""COMPUTED_VALUE"""),"0002")</f>
        <v>0002</v>
      </c>
      <c r="C493" s="32">
        <f>IFERROR(__xludf.DUMMYFUNCTION("""COMPUTED_VALUE"""),46093.52585648148)</f>
        <v>46093.52586</v>
      </c>
      <c r="D493" s="1">
        <f>IFERROR(__xludf.DUMMYFUNCTION("""COMPUTED_VALUE"""),-12.0)</f>
        <v>-12</v>
      </c>
      <c r="E493" s="1"/>
      <c r="F493" s="1"/>
    </row>
    <row r="494">
      <c r="A494" s="1" t="str">
        <f>IFERROR(__xludf.DUMMYFUNCTION("""COMPUTED_VALUE"""),"e6146150")</f>
        <v>e6146150</v>
      </c>
      <c r="B494" s="1" t="str">
        <f>IFERROR(__xludf.DUMMYFUNCTION("""COMPUTED_VALUE"""),"a19879cf")</f>
        <v>a19879cf</v>
      </c>
      <c r="C494" s="32">
        <f>IFERROR(__xludf.DUMMYFUNCTION("""COMPUTED_VALUE"""),46093.52914351852)</f>
        <v>46093.52914</v>
      </c>
      <c r="D494" s="1">
        <f>IFERROR(__xludf.DUMMYFUNCTION("""COMPUTED_VALUE"""),-26.0)</f>
        <v>-26</v>
      </c>
      <c r="E494" s="1"/>
      <c r="F494" s="1"/>
    </row>
    <row r="495">
      <c r="A495" s="1" t="str">
        <f>IFERROR(__xludf.DUMMYFUNCTION("""COMPUTED_VALUE"""),"363765dc")</f>
        <v>363765dc</v>
      </c>
      <c r="B495" s="1" t="str">
        <f>IFERROR(__xludf.DUMMYFUNCTION("""COMPUTED_VALUE"""),"27c8f623")</f>
        <v>27c8f623</v>
      </c>
      <c r="C495" s="32">
        <f>IFERROR(__xludf.DUMMYFUNCTION("""COMPUTED_VALUE"""),46093.529444444444)</f>
        <v>46093.52944</v>
      </c>
      <c r="D495" s="1">
        <f>IFERROR(__xludf.DUMMYFUNCTION("""COMPUTED_VALUE"""),-24.0)</f>
        <v>-24</v>
      </c>
      <c r="E495" s="1"/>
      <c r="F495" s="1"/>
    </row>
    <row r="496">
      <c r="A496" s="1" t="str">
        <f>IFERROR(__xludf.DUMMYFUNCTION("""COMPUTED_VALUE"""),"bee4a101")</f>
        <v>bee4a101</v>
      </c>
      <c r="B496" s="1" t="str">
        <f>IFERROR(__xludf.DUMMYFUNCTION("""COMPUTED_VALUE"""),"02d86a9b")</f>
        <v>02d86a9b</v>
      </c>
      <c r="C496" s="32">
        <f>IFERROR(__xludf.DUMMYFUNCTION("""COMPUTED_VALUE"""),46093.529594907406)</f>
        <v>46093.52959</v>
      </c>
      <c r="D496" s="1">
        <f>IFERROR(__xludf.DUMMYFUNCTION("""COMPUTED_VALUE"""),-24.0)</f>
        <v>-24</v>
      </c>
      <c r="E496" s="1"/>
      <c r="F496" s="1"/>
    </row>
    <row r="497">
      <c r="A497" s="1" t="str">
        <f>IFERROR(__xludf.DUMMYFUNCTION("""COMPUTED_VALUE"""),"197a11a4")</f>
        <v>197a11a4</v>
      </c>
      <c r="B497" s="1" t="str">
        <f>IFERROR(__xludf.DUMMYFUNCTION("""COMPUTED_VALUE"""),"0af806f8")</f>
        <v>0af806f8</v>
      </c>
      <c r="C497" s="32">
        <f>IFERROR(__xludf.DUMMYFUNCTION("""COMPUTED_VALUE"""),46093.69467592592)</f>
        <v>46093.69468</v>
      </c>
      <c r="D497" s="1">
        <f>IFERROR(__xludf.DUMMYFUNCTION("""COMPUTED_VALUE"""),-15.0)</f>
        <v>-15</v>
      </c>
      <c r="E497" s="1"/>
      <c r="F497" s="1"/>
    </row>
    <row r="498">
      <c r="A498" s="1" t="str">
        <f>IFERROR(__xludf.DUMMYFUNCTION("""COMPUTED_VALUE"""),"21b46ffd")</f>
        <v>21b46ffd</v>
      </c>
      <c r="B498" s="1" t="str">
        <f>IFERROR(__xludf.DUMMYFUNCTION("""COMPUTED_VALUE"""),"d5b5f9d1")</f>
        <v>d5b5f9d1</v>
      </c>
      <c r="C498" s="32">
        <f>IFERROR(__xludf.DUMMYFUNCTION("""COMPUTED_VALUE"""),46093.694814814815)</f>
        <v>46093.69481</v>
      </c>
      <c r="D498" s="1">
        <f>IFERROR(__xludf.DUMMYFUNCTION("""COMPUTED_VALUE"""),-7.0)</f>
        <v>-7</v>
      </c>
      <c r="E498" s="1"/>
      <c r="F498" s="1"/>
    </row>
    <row r="499">
      <c r="A499" s="1" t="str">
        <f>IFERROR(__xludf.DUMMYFUNCTION("""COMPUTED_VALUE"""),"a80b20bf")</f>
        <v>a80b20bf</v>
      </c>
      <c r="B499" s="1" t="str">
        <f>IFERROR(__xludf.DUMMYFUNCTION("""COMPUTED_VALUE"""),"bb6c2490")</f>
        <v>bb6c2490</v>
      </c>
      <c r="C499" s="32">
        <f>IFERROR(__xludf.DUMMYFUNCTION("""COMPUTED_VALUE"""),46093.694861111115)</f>
        <v>46093.69486</v>
      </c>
      <c r="D499" s="1">
        <f>IFERROR(__xludf.DUMMYFUNCTION("""COMPUTED_VALUE"""),-7.0)</f>
        <v>-7</v>
      </c>
      <c r="E499" s="1"/>
      <c r="F499" s="1"/>
    </row>
    <row r="500">
      <c r="A500" s="1" t="str">
        <f>IFERROR(__xludf.DUMMYFUNCTION("""COMPUTED_VALUE"""),"87b18d2c")</f>
        <v>87b18d2c</v>
      </c>
      <c r="B500" s="1" t="str">
        <f>IFERROR(__xludf.DUMMYFUNCTION("""COMPUTED_VALUE"""),"0011")</f>
        <v>0011</v>
      </c>
      <c r="C500" s="32">
        <f>IFERROR(__xludf.DUMMYFUNCTION("""COMPUTED_VALUE"""),46093.69510416667)</f>
        <v>46093.6951</v>
      </c>
      <c r="D500" s="1">
        <f>IFERROR(__xludf.DUMMYFUNCTION("""COMPUTED_VALUE"""),-21.0)</f>
        <v>-21</v>
      </c>
      <c r="E500" s="1"/>
      <c r="F500" s="1"/>
    </row>
    <row r="501">
      <c r="A501" s="1" t="str">
        <f>IFERROR(__xludf.DUMMYFUNCTION("""COMPUTED_VALUE"""),"f2c30442")</f>
        <v>f2c30442</v>
      </c>
      <c r="B501" s="1" t="str">
        <f>IFERROR(__xludf.DUMMYFUNCTION("""COMPUTED_VALUE"""),"0021")</f>
        <v>0021</v>
      </c>
      <c r="C501" s="32">
        <f>IFERROR(__xludf.DUMMYFUNCTION("""COMPUTED_VALUE"""),46093.695543981485)</f>
        <v>46093.69554</v>
      </c>
      <c r="D501" s="1">
        <f>IFERROR(__xludf.DUMMYFUNCTION("""COMPUTED_VALUE"""),-8.0)</f>
        <v>-8</v>
      </c>
      <c r="E501" s="1"/>
      <c r="F501" s="1"/>
    </row>
    <row r="502">
      <c r="A502" s="1" t="str">
        <f>IFERROR(__xludf.DUMMYFUNCTION("""COMPUTED_VALUE"""),"b7ad02f0")</f>
        <v>b7ad02f0</v>
      </c>
      <c r="B502" s="1" t="str">
        <f>IFERROR(__xludf.DUMMYFUNCTION("""COMPUTED_VALUE"""),"a19879cf")</f>
        <v>a19879cf</v>
      </c>
      <c r="C502" s="32">
        <f>IFERROR(__xludf.DUMMYFUNCTION("""COMPUTED_VALUE"""),46093.69563657408)</f>
        <v>46093.69564</v>
      </c>
      <c r="D502" s="1">
        <f>IFERROR(__xludf.DUMMYFUNCTION("""COMPUTED_VALUE"""),-5.0)</f>
        <v>-5</v>
      </c>
      <c r="E502" s="1"/>
      <c r="F502" s="1"/>
    </row>
    <row r="503">
      <c r="A503" s="1" t="str">
        <f>IFERROR(__xludf.DUMMYFUNCTION("""COMPUTED_VALUE"""),"cb0cf2d6")</f>
        <v>cb0cf2d6</v>
      </c>
      <c r="B503" s="1" t="str">
        <f>IFERROR(__xludf.DUMMYFUNCTION("""COMPUTED_VALUE"""),"cb9e809e")</f>
        <v>cb9e809e</v>
      </c>
      <c r="C503" s="32">
        <f>IFERROR(__xludf.DUMMYFUNCTION("""COMPUTED_VALUE"""),46093.695763888885)</f>
        <v>46093.69576</v>
      </c>
      <c r="D503" s="1">
        <f>IFERROR(__xludf.DUMMYFUNCTION("""COMPUTED_VALUE"""),-3.0)</f>
        <v>-3</v>
      </c>
      <c r="E503" s="1"/>
      <c r="F503" s="1"/>
    </row>
    <row r="504">
      <c r="A504" s="1" t="str">
        <f>IFERROR(__xludf.DUMMYFUNCTION("""COMPUTED_VALUE"""),"b91cb8a6")</f>
        <v>b91cb8a6</v>
      </c>
      <c r="B504" s="1" t="str">
        <f>IFERROR(__xludf.DUMMYFUNCTION("""COMPUTED_VALUE"""),"0086")</f>
        <v>0086</v>
      </c>
      <c r="C504" s="32">
        <f>IFERROR(__xludf.DUMMYFUNCTION("""COMPUTED_VALUE"""),46093.695868055554)</f>
        <v>46093.69587</v>
      </c>
      <c r="D504" s="1">
        <f>IFERROR(__xludf.DUMMYFUNCTION("""COMPUTED_VALUE"""),-10.0)</f>
        <v>-10</v>
      </c>
      <c r="E504" s="1"/>
      <c r="F504" s="1"/>
    </row>
    <row r="505">
      <c r="A505" s="1" t="str">
        <f>IFERROR(__xludf.DUMMYFUNCTION("""COMPUTED_VALUE"""),"8d4f516e")</f>
        <v>8d4f516e</v>
      </c>
      <c r="B505" s="1" t="str">
        <f>IFERROR(__xludf.DUMMYFUNCTION("""COMPUTED_VALUE"""),"0029")</f>
        <v>0029</v>
      </c>
      <c r="C505" s="32">
        <f>IFERROR(__xludf.DUMMYFUNCTION("""COMPUTED_VALUE"""),46093.696018518516)</f>
        <v>46093.69602</v>
      </c>
      <c r="D505" s="1">
        <f>IFERROR(__xludf.DUMMYFUNCTION("""COMPUTED_VALUE"""),-7.0)</f>
        <v>-7</v>
      </c>
      <c r="E505" s="1"/>
      <c r="F505" s="1"/>
    </row>
    <row r="506">
      <c r="A506" s="1" t="str">
        <f>IFERROR(__xludf.DUMMYFUNCTION("""COMPUTED_VALUE"""),"bd2699d6")</f>
        <v>bd2699d6</v>
      </c>
      <c r="B506" s="1" t="str">
        <f>IFERROR(__xludf.DUMMYFUNCTION("""COMPUTED_VALUE"""),"406a1fee")</f>
        <v>406a1fee</v>
      </c>
      <c r="C506" s="32">
        <f>IFERROR(__xludf.DUMMYFUNCTION("""COMPUTED_VALUE"""),46093.69619212963)</f>
        <v>46093.69619</v>
      </c>
      <c r="D506" s="1">
        <f>IFERROR(__xludf.DUMMYFUNCTION("""COMPUTED_VALUE"""),-7.0)</f>
        <v>-7</v>
      </c>
      <c r="E506" s="1"/>
      <c r="F506" s="1"/>
    </row>
    <row r="507">
      <c r="A507" s="1" t="str">
        <f>IFERROR(__xludf.DUMMYFUNCTION("""COMPUTED_VALUE"""),"55f52ff6")</f>
        <v>55f52ff6</v>
      </c>
      <c r="B507" s="1" t="str">
        <f>IFERROR(__xludf.DUMMYFUNCTION("""COMPUTED_VALUE"""),"0002")</f>
        <v>0002</v>
      </c>
      <c r="C507" s="32">
        <f>IFERROR(__xludf.DUMMYFUNCTION("""COMPUTED_VALUE"""),46093.69642361111)</f>
        <v>46093.69642</v>
      </c>
      <c r="D507" s="1">
        <f>IFERROR(__xludf.DUMMYFUNCTION("""COMPUTED_VALUE"""),-24.0)</f>
        <v>-24</v>
      </c>
      <c r="E507" s="1"/>
      <c r="F507" s="1"/>
    </row>
    <row r="508">
      <c r="A508" s="1" t="str">
        <f>IFERROR(__xludf.DUMMYFUNCTION("""COMPUTED_VALUE"""),"4eb8c0b6")</f>
        <v>4eb8c0b6</v>
      </c>
      <c r="B508" s="1" t="str">
        <f>IFERROR(__xludf.DUMMYFUNCTION("""COMPUTED_VALUE"""),"cf6c9481")</f>
        <v>cf6c9481</v>
      </c>
      <c r="C508" s="32">
        <f>IFERROR(__xludf.DUMMYFUNCTION("""COMPUTED_VALUE"""),46093.699583333335)</f>
        <v>46093.69958</v>
      </c>
      <c r="D508" s="1">
        <f>IFERROR(__xludf.DUMMYFUNCTION("""COMPUTED_VALUE"""),-3.0)</f>
        <v>-3</v>
      </c>
      <c r="E508" s="1"/>
      <c r="F508" s="1"/>
    </row>
    <row r="509">
      <c r="A509" s="1" t="str">
        <f>IFERROR(__xludf.DUMMYFUNCTION("""COMPUTED_VALUE"""),"7efdc0f5")</f>
        <v>7efdc0f5</v>
      </c>
      <c r="B509" s="1" t="str">
        <f>IFERROR(__xludf.DUMMYFUNCTION("""COMPUTED_VALUE"""),"0049")</f>
        <v>0049</v>
      </c>
      <c r="C509" s="32">
        <f>IFERROR(__xludf.DUMMYFUNCTION("""COMPUTED_VALUE"""),46093.69994212963)</f>
        <v>46093.69994</v>
      </c>
      <c r="D509" s="1">
        <f>IFERROR(__xludf.DUMMYFUNCTION("""COMPUTED_VALUE"""),-2.0)</f>
        <v>-2</v>
      </c>
      <c r="E509" s="1"/>
      <c r="F509" s="1"/>
    </row>
    <row r="510">
      <c r="A510" s="1" t="str">
        <f>IFERROR(__xludf.DUMMYFUNCTION("""COMPUTED_VALUE"""),"14cba4f4")</f>
        <v>14cba4f4</v>
      </c>
      <c r="B510" s="1" t="str">
        <f>IFERROR(__xludf.DUMMYFUNCTION("""COMPUTED_VALUE"""),"0086")</f>
        <v>0086</v>
      </c>
      <c r="C510" s="32">
        <f>IFERROR(__xludf.DUMMYFUNCTION("""COMPUTED_VALUE"""),46093.741481481484)</f>
        <v>46093.74148</v>
      </c>
      <c r="D510" s="1">
        <f>IFERROR(__xludf.DUMMYFUNCTION("""COMPUTED_VALUE"""),3.0)</f>
        <v>3</v>
      </c>
      <c r="E510" s="1"/>
      <c r="F510" s="1"/>
    </row>
    <row r="511">
      <c r="A511" s="1" t="str">
        <f>IFERROR(__xludf.DUMMYFUNCTION("""COMPUTED_VALUE"""),"a5fabaca")</f>
        <v>a5fabaca</v>
      </c>
      <c r="B511" s="1" t="str">
        <f>IFERROR(__xludf.DUMMYFUNCTION("""COMPUTED_VALUE"""),"0021")</f>
        <v>0021</v>
      </c>
      <c r="C511" s="32">
        <f>IFERROR(__xludf.DUMMYFUNCTION("""COMPUTED_VALUE"""),46093.741736111115)</f>
        <v>46093.74174</v>
      </c>
      <c r="D511" s="1">
        <f>IFERROR(__xludf.DUMMYFUNCTION("""COMPUTED_VALUE"""),6.0)</f>
        <v>6</v>
      </c>
      <c r="E511" s="1"/>
      <c r="F511" s="1"/>
    </row>
    <row r="512">
      <c r="A512" s="1" t="str">
        <f>IFERROR(__xludf.DUMMYFUNCTION("""COMPUTED_VALUE"""),"505844a6")</f>
        <v>505844a6</v>
      </c>
      <c r="B512" s="1" t="str">
        <f>IFERROR(__xludf.DUMMYFUNCTION("""COMPUTED_VALUE"""),"a19879cf")</f>
        <v>a19879cf</v>
      </c>
      <c r="C512" s="32">
        <f>IFERROR(__xludf.DUMMYFUNCTION("""COMPUTED_VALUE"""),46093.741875)</f>
        <v>46093.74188</v>
      </c>
      <c r="D512" s="1">
        <f>IFERROR(__xludf.DUMMYFUNCTION("""COMPUTED_VALUE"""),4.0)</f>
        <v>4</v>
      </c>
      <c r="E512" s="1"/>
      <c r="F512" s="1"/>
    </row>
    <row r="513">
      <c r="A513" s="1" t="str">
        <f>IFERROR(__xludf.DUMMYFUNCTION("""COMPUTED_VALUE"""),"d2253a2e")</f>
        <v>d2253a2e</v>
      </c>
      <c r="B513" s="1" t="str">
        <f>IFERROR(__xludf.DUMMYFUNCTION("""COMPUTED_VALUE"""),"bb6c2490")</f>
        <v>bb6c2490</v>
      </c>
      <c r="C513" s="32">
        <f>IFERROR(__xludf.DUMMYFUNCTION("""COMPUTED_VALUE"""),46094.62862268519)</f>
        <v>46094.62862</v>
      </c>
      <c r="D513" s="1">
        <f>IFERROR(__xludf.DUMMYFUNCTION("""COMPUTED_VALUE"""),18.0)</f>
        <v>18</v>
      </c>
      <c r="E513" s="1"/>
      <c r="F513" s="1"/>
    </row>
    <row r="514">
      <c r="A514" s="1" t="str">
        <f>IFERROR(__xludf.DUMMYFUNCTION("""COMPUTED_VALUE"""),"d729c3ae")</f>
        <v>d729c3ae</v>
      </c>
      <c r="B514" s="1" t="str">
        <f>IFERROR(__xludf.DUMMYFUNCTION("""COMPUTED_VALUE"""),"bb6c2490")</f>
        <v>bb6c2490</v>
      </c>
      <c r="C514" s="32">
        <f>IFERROR(__xludf.DUMMYFUNCTION("""COMPUTED_VALUE"""),46094.62871527778)</f>
        <v>46094.62872</v>
      </c>
      <c r="D514" s="1">
        <f>IFERROR(__xludf.DUMMYFUNCTION("""COMPUTED_VALUE"""),-18.0)</f>
        <v>-18</v>
      </c>
      <c r="E514" s="1"/>
      <c r="F514" s="1"/>
    </row>
    <row r="515">
      <c r="A515" s="1" t="str">
        <f>IFERROR(__xludf.DUMMYFUNCTION("""COMPUTED_VALUE"""),"970a5173")</f>
        <v>970a5173</v>
      </c>
      <c r="B515" s="1" t="str">
        <f>IFERROR(__xludf.DUMMYFUNCTION("""COMPUTED_VALUE"""),"bb6c2490")</f>
        <v>bb6c2490</v>
      </c>
      <c r="C515" s="32">
        <f>IFERROR(__xludf.DUMMYFUNCTION("""COMPUTED_VALUE"""),46094.62877314815)</f>
        <v>46094.62877</v>
      </c>
      <c r="D515" s="1">
        <f>IFERROR(__xludf.DUMMYFUNCTION("""COMPUTED_VALUE"""),-18.0)</f>
        <v>-18</v>
      </c>
      <c r="E515" s="1"/>
      <c r="F515" s="1"/>
    </row>
    <row r="516">
      <c r="A516" s="1" t="str">
        <f>IFERROR(__xludf.DUMMYFUNCTION("""COMPUTED_VALUE"""),"2eba88f9")</f>
        <v>2eba88f9</v>
      </c>
      <c r="B516" s="1" t="str">
        <f>IFERROR(__xludf.DUMMYFUNCTION("""COMPUTED_VALUE"""),"0001")</f>
        <v>0001</v>
      </c>
      <c r="C516" s="32">
        <f>IFERROR(__xludf.DUMMYFUNCTION("""COMPUTED_VALUE"""),46094.628842592596)</f>
        <v>46094.62884</v>
      </c>
      <c r="D516" s="1">
        <f>IFERROR(__xludf.DUMMYFUNCTION("""COMPUTED_VALUE"""),-30.0)</f>
        <v>-30</v>
      </c>
      <c r="E516" s="1"/>
      <c r="F516" s="1"/>
    </row>
    <row r="517">
      <c r="A517" s="1" t="str">
        <f>IFERROR(__xludf.DUMMYFUNCTION("""COMPUTED_VALUE"""),"05a18d8a")</f>
        <v>05a18d8a</v>
      </c>
      <c r="B517" s="1" t="str">
        <f>IFERROR(__xludf.DUMMYFUNCTION("""COMPUTED_VALUE"""),"d5b5f9d1")</f>
        <v>d5b5f9d1</v>
      </c>
      <c r="C517" s="32">
        <f>IFERROR(__xludf.DUMMYFUNCTION("""COMPUTED_VALUE"""),46094.62893518519)</f>
        <v>46094.62894</v>
      </c>
      <c r="D517" s="1">
        <f>IFERROR(__xludf.DUMMYFUNCTION("""COMPUTED_VALUE"""),-15.0)</f>
        <v>-15</v>
      </c>
      <c r="E517" s="1"/>
      <c r="F517" s="1"/>
    </row>
    <row r="518">
      <c r="A518" s="1" t="str">
        <f>IFERROR(__xludf.DUMMYFUNCTION("""COMPUTED_VALUE"""),"68edeafb")</f>
        <v>68edeafb</v>
      </c>
      <c r="B518" s="1" t="str">
        <f>IFERROR(__xludf.DUMMYFUNCTION("""COMPUTED_VALUE"""),"0029")</f>
        <v>0029</v>
      </c>
      <c r="C518" s="32">
        <f>IFERROR(__xludf.DUMMYFUNCTION("""COMPUTED_VALUE"""),46094.62903935185)</f>
        <v>46094.62904</v>
      </c>
      <c r="D518" s="1">
        <f>IFERROR(__xludf.DUMMYFUNCTION("""COMPUTED_VALUE"""),-6.0)</f>
        <v>-6</v>
      </c>
      <c r="E518" s="1"/>
      <c r="F518" s="1"/>
    </row>
    <row r="519">
      <c r="A519" s="1" t="str">
        <f>IFERROR(__xludf.DUMMYFUNCTION("""COMPUTED_VALUE"""),"cd4c3a64")</f>
        <v>cd4c3a64</v>
      </c>
      <c r="B519" s="1" t="str">
        <f>IFERROR(__xludf.DUMMYFUNCTION("""COMPUTED_VALUE"""),"a3f74383")</f>
        <v>a3f74383</v>
      </c>
      <c r="C519" s="32">
        <f>IFERROR(__xludf.DUMMYFUNCTION("""COMPUTED_VALUE"""),46094.629155092596)</f>
        <v>46094.62916</v>
      </c>
      <c r="D519" s="1">
        <f>IFERROR(__xludf.DUMMYFUNCTION("""COMPUTED_VALUE"""),-3.0)</f>
        <v>-3</v>
      </c>
      <c r="E519" s="1"/>
      <c r="F519" s="1"/>
    </row>
    <row r="520">
      <c r="A520" s="1" t="str">
        <f>IFERROR(__xludf.DUMMYFUNCTION("""COMPUTED_VALUE"""),"62b22154")</f>
        <v>62b22154</v>
      </c>
      <c r="B520" s="1" t="str">
        <f>IFERROR(__xludf.DUMMYFUNCTION("""COMPUTED_VALUE"""),"0054")</f>
        <v>0054</v>
      </c>
      <c r="C520" s="32">
        <f>IFERROR(__xludf.DUMMYFUNCTION("""COMPUTED_VALUE"""),46094.62931712963)</f>
        <v>46094.62932</v>
      </c>
      <c r="D520" s="1">
        <f>IFERROR(__xludf.DUMMYFUNCTION("""COMPUTED_VALUE"""),-1.0)</f>
        <v>-1</v>
      </c>
      <c r="E520" s="1"/>
      <c r="F520" s="1"/>
    </row>
    <row r="521">
      <c r="A521" s="1" t="str">
        <f>IFERROR(__xludf.DUMMYFUNCTION("""COMPUTED_VALUE"""),"e8d1f9a6")</f>
        <v>e8d1f9a6</v>
      </c>
      <c r="B521" s="1" t="str">
        <f>IFERROR(__xludf.DUMMYFUNCTION("""COMPUTED_VALUE"""),"83dd14b5")</f>
        <v>83dd14b5</v>
      </c>
      <c r="C521" s="32">
        <f>IFERROR(__xludf.DUMMYFUNCTION("""COMPUTED_VALUE"""),46094.6294212963)</f>
        <v>46094.62942</v>
      </c>
      <c r="D521" s="1">
        <f>IFERROR(__xludf.DUMMYFUNCTION("""COMPUTED_VALUE"""),-6.0)</f>
        <v>-6</v>
      </c>
      <c r="E521" s="1"/>
      <c r="F521" s="1"/>
    </row>
    <row r="522">
      <c r="A522" s="1" t="str">
        <f>IFERROR(__xludf.DUMMYFUNCTION("""COMPUTED_VALUE"""),"885bd11c")</f>
        <v>885bd11c</v>
      </c>
      <c r="B522" s="1" t="str">
        <f>IFERROR(__xludf.DUMMYFUNCTION("""COMPUTED_VALUE"""),"0064")</f>
        <v>0064</v>
      </c>
      <c r="C522" s="32">
        <f>IFERROR(__xludf.DUMMYFUNCTION("""COMPUTED_VALUE"""),46094.62954861111)</f>
        <v>46094.62955</v>
      </c>
      <c r="D522" s="1">
        <f>IFERROR(__xludf.DUMMYFUNCTION("""COMPUTED_VALUE"""),-4.0)</f>
        <v>-4</v>
      </c>
      <c r="E522" s="1"/>
      <c r="F522" s="1"/>
    </row>
    <row r="523">
      <c r="A523" s="1" t="str">
        <f>IFERROR(__xludf.DUMMYFUNCTION("""COMPUTED_VALUE"""),"a23602d7")</f>
        <v>a23602d7</v>
      </c>
      <c r="B523" s="1" t="str">
        <f>IFERROR(__xludf.DUMMYFUNCTION("""COMPUTED_VALUE"""),"0032")</f>
        <v>0032</v>
      </c>
      <c r="C523" s="32">
        <f>IFERROR(__xludf.DUMMYFUNCTION("""COMPUTED_VALUE"""),46094.62961805556)</f>
        <v>46094.62962</v>
      </c>
      <c r="D523" s="1">
        <f>IFERROR(__xludf.DUMMYFUNCTION("""COMPUTED_VALUE"""),-6.0)</f>
        <v>-6</v>
      </c>
      <c r="E523" s="1"/>
      <c r="F523" s="1"/>
    </row>
    <row r="524">
      <c r="A524" s="1" t="str">
        <f>IFERROR(__xludf.DUMMYFUNCTION("""COMPUTED_VALUE"""),"d0e045ee")</f>
        <v>d0e045ee</v>
      </c>
      <c r="B524" s="1" t="str">
        <f>IFERROR(__xludf.DUMMYFUNCTION("""COMPUTED_VALUE"""),"0032")</f>
        <v>0032</v>
      </c>
      <c r="C524" s="32">
        <f>IFERROR(__xludf.DUMMYFUNCTION("""COMPUTED_VALUE"""),46094.62982638889)</f>
        <v>46094.62983</v>
      </c>
      <c r="D524" s="1">
        <f>IFERROR(__xludf.DUMMYFUNCTION("""COMPUTED_VALUE"""),6.0)</f>
        <v>6</v>
      </c>
      <c r="E524" s="1"/>
      <c r="F524" s="1"/>
    </row>
    <row r="525">
      <c r="A525" s="1" t="str">
        <f>IFERROR(__xludf.DUMMYFUNCTION("""COMPUTED_VALUE"""),"521ae3b6")</f>
        <v>521ae3b6</v>
      </c>
      <c r="B525" s="1" t="str">
        <f>IFERROR(__xludf.DUMMYFUNCTION("""COMPUTED_VALUE"""),"0011")</f>
        <v>0011</v>
      </c>
      <c r="C525" s="32">
        <f>IFERROR(__xludf.DUMMYFUNCTION("""COMPUTED_VALUE"""),46094.62997685185)</f>
        <v>46094.62998</v>
      </c>
      <c r="D525" s="1">
        <f>IFERROR(__xludf.DUMMYFUNCTION("""COMPUTED_VALUE"""),-10.0)</f>
        <v>-10</v>
      </c>
      <c r="E525" s="1"/>
      <c r="F525" s="1"/>
    </row>
    <row r="526">
      <c r="A526" s="1" t="str">
        <f>IFERROR(__xludf.DUMMYFUNCTION("""COMPUTED_VALUE"""),"f8bf32ab")</f>
        <v>f8bf32ab</v>
      </c>
      <c r="B526" s="1" t="str">
        <f>IFERROR(__xludf.DUMMYFUNCTION("""COMPUTED_VALUE"""),"0002")</f>
        <v>0002</v>
      </c>
      <c r="C526" s="32">
        <f>IFERROR(__xludf.DUMMYFUNCTION("""COMPUTED_VALUE"""),46094.63010416667)</f>
        <v>46094.6301</v>
      </c>
      <c r="D526" s="1">
        <f>IFERROR(__xludf.DUMMYFUNCTION("""COMPUTED_VALUE"""),-24.0)</f>
        <v>-24</v>
      </c>
      <c r="E526" s="1"/>
      <c r="F526" s="1"/>
    </row>
    <row r="527">
      <c r="A527" s="1" t="str">
        <f>IFERROR(__xludf.DUMMYFUNCTION("""COMPUTED_VALUE"""),"409e4b8e")</f>
        <v>409e4b8e</v>
      </c>
      <c r="B527" s="1" t="str">
        <f>IFERROR(__xludf.DUMMYFUNCTION("""COMPUTED_VALUE"""),"0002")</f>
        <v>0002</v>
      </c>
      <c r="C527" s="32">
        <f>IFERROR(__xludf.DUMMYFUNCTION("""COMPUTED_VALUE"""),46094.63071759259)</f>
        <v>46094.63072</v>
      </c>
      <c r="D527" s="1">
        <f>IFERROR(__xludf.DUMMYFUNCTION("""COMPUTED_VALUE"""),-2124.0)</f>
        <v>-2124</v>
      </c>
      <c r="E527" s="1"/>
      <c r="F527" s="1"/>
    </row>
    <row r="528">
      <c r="A528" s="1" t="str">
        <f>IFERROR(__xludf.DUMMYFUNCTION("""COMPUTED_VALUE"""),"aad1ce7b")</f>
        <v>aad1ce7b</v>
      </c>
      <c r="B528" s="1" t="str">
        <f>IFERROR(__xludf.DUMMYFUNCTION("""COMPUTED_VALUE"""),"0002")</f>
        <v>0002</v>
      </c>
      <c r="C528" s="32">
        <f>IFERROR(__xludf.DUMMYFUNCTION("""COMPUTED_VALUE"""),46094.63087962963)</f>
        <v>46094.63088</v>
      </c>
      <c r="D528" s="1">
        <f>IFERROR(__xludf.DUMMYFUNCTION("""COMPUTED_VALUE"""),228.0)</f>
        <v>228</v>
      </c>
      <c r="E528" s="1"/>
      <c r="F528" s="1"/>
    </row>
    <row r="529">
      <c r="A529" s="1" t="str">
        <f>IFERROR(__xludf.DUMMYFUNCTION("""COMPUTED_VALUE"""),"dfb87ba9")</f>
        <v>dfb87ba9</v>
      </c>
      <c r="B529" s="1" t="str">
        <f>IFERROR(__xludf.DUMMYFUNCTION("""COMPUTED_VALUE"""),"b3204174")</f>
        <v>b3204174</v>
      </c>
      <c r="C529" s="32">
        <f>IFERROR(__xludf.DUMMYFUNCTION("""COMPUTED_VALUE"""),46094.63579861111)</f>
        <v>46094.6358</v>
      </c>
      <c r="D529" s="1">
        <f>IFERROR(__xludf.DUMMYFUNCTION("""COMPUTED_VALUE"""),-12.0)</f>
        <v>-12</v>
      </c>
      <c r="E529" s="1"/>
      <c r="F529" s="1"/>
    </row>
    <row r="530">
      <c r="A530" s="1" t="str">
        <f>IFERROR(__xludf.DUMMYFUNCTION("""COMPUTED_VALUE"""),"13848927")</f>
        <v>13848927</v>
      </c>
      <c r="B530" s="1" t="str">
        <f>IFERROR(__xludf.DUMMYFUNCTION("""COMPUTED_VALUE"""),"bb6c2490")</f>
        <v>bb6c2490</v>
      </c>
      <c r="C530" s="32">
        <f>IFERROR(__xludf.DUMMYFUNCTION("""COMPUTED_VALUE"""),46094.63584490741)</f>
        <v>46094.63584</v>
      </c>
      <c r="D530" s="1">
        <f>IFERROR(__xludf.DUMMYFUNCTION("""COMPUTED_VALUE"""),-8.0)</f>
        <v>-8</v>
      </c>
      <c r="E530" s="1"/>
      <c r="F530" s="1"/>
    </row>
    <row r="531">
      <c r="A531" s="1" t="str">
        <f>IFERROR(__xludf.DUMMYFUNCTION("""COMPUTED_VALUE"""),"01e3ad90")</f>
        <v>01e3ad90</v>
      </c>
      <c r="B531" s="1" t="str">
        <f>IFERROR(__xludf.DUMMYFUNCTION("""COMPUTED_VALUE"""),"c099f042")</f>
        <v>c099f042</v>
      </c>
      <c r="C531" s="32">
        <f>IFERROR(__xludf.DUMMYFUNCTION("""COMPUTED_VALUE"""),46094.63590277778)</f>
        <v>46094.6359</v>
      </c>
      <c r="D531" s="1">
        <f>IFERROR(__xludf.DUMMYFUNCTION("""COMPUTED_VALUE"""),-2.0)</f>
        <v>-2</v>
      </c>
      <c r="E531" s="1"/>
      <c r="F531" s="1"/>
    </row>
    <row r="532">
      <c r="A532" s="1" t="str">
        <f>IFERROR(__xludf.DUMMYFUNCTION("""COMPUTED_VALUE"""),"74c607d2")</f>
        <v>74c607d2</v>
      </c>
      <c r="B532" s="1" t="str">
        <f>IFERROR(__xludf.DUMMYFUNCTION("""COMPUTED_VALUE"""),"0001")</f>
        <v>0001</v>
      </c>
      <c r="C532" s="32">
        <f>IFERROR(__xludf.DUMMYFUNCTION("""COMPUTED_VALUE"""),46094.63597222222)</f>
        <v>46094.63597</v>
      </c>
      <c r="D532" s="1">
        <f>IFERROR(__xludf.DUMMYFUNCTION("""COMPUTED_VALUE"""),-7.0)</f>
        <v>-7</v>
      </c>
      <c r="E532" s="1"/>
      <c r="F532" s="1"/>
    </row>
    <row r="533">
      <c r="A533" s="1" t="str">
        <f>IFERROR(__xludf.DUMMYFUNCTION("""COMPUTED_VALUE"""),"c6465972")</f>
        <v>c6465972</v>
      </c>
      <c r="B533" s="1" t="str">
        <f>IFERROR(__xludf.DUMMYFUNCTION("""COMPUTED_VALUE"""),"d5b5f9d1")</f>
        <v>d5b5f9d1</v>
      </c>
      <c r="C533" s="32">
        <f>IFERROR(__xludf.DUMMYFUNCTION("""COMPUTED_VALUE"""),46094.63601851852)</f>
        <v>46094.63602</v>
      </c>
      <c r="D533" s="1">
        <f>IFERROR(__xludf.DUMMYFUNCTION("""COMPUTED_VALUE"""),-7.0)</f>
        <v>-7</v>
      </c>
      <c r="E533" s="1"/>
      <c r="F533" s="1"/>
    </row>
    <row r="534">
      <c r="A534" s="1" t="str">
        <f>IFERROR(__xludf.DUMMYFUNCTION("""COMPUTED_VALUE"""),"46183ce5")</f>
        <v>46183ce5</v>
      </c>
      <c r="B534" s="1" t="str">
        <f>IFERROR(__xludf.DUMMYFUNCTION("""COMPUTED_VALUE"""),"12b96290")</f>
        <v>12b96290</v>
      </c>
      <c r="C534" s="32">
        <f>IFERROR(__xludf.DUMMYFUNCTION("""COMPUTED_VALUE"""),46094.636099537034)</f>
        <v>46094.6361</v>
      </c>
      <c r="D534" s="1">
        <f>IFERROR(__xludf.DUMMYFUNCTION("""COMPUTED_VALUE"""),-2.0)</f>
        <v>-2</v>
      </c>
      <c r="E534" s="1"/>
      <c r="F534" s="1"/>
    </row>
    <row r="535">
      <c r="A535" s="1" t="str">
        <f>IFERROR(__xludf.DUMMYFUNCTION("""COMPUTED_VALUE"""),"c604a713")</f>
        <v>c604a713</v>
      </c>
      <c r="B535" s="1" t="str">
        <f>IFERROR(__xludf.DUMMYFUNCTION("""COMPUTED_VALUE"""),"0af806f8")</f>
        <v>0af806f8</v>
      </c>
      <c r="C535" s="32">
        <f>IFERROR(__xludf.DUMMYFUNCTION("""COMPUTED_VALUE"""),46094.63616898148)</f>
        <v>46094.63617</v>
      </c>
      <c r="D535" s="1">
        <f>IFERROR(__xludf.DUMMYFUNCTION("""COMPUTED_VALUE"""),-7.0)</f>
        <v>-7</v>
      </c>
      <c r="E535" s="1"/>
      <c r="F535" s="1"/>
    </row>
    <row r="536">
      <c r="A536" s="1" t="str">
        <f>IFERROR(__xludf.DUMMYFUNCTION("""COMPUTED_VALUE"""),"ca8ea1b0")</f>
        <v>ca8ea1b0</v>
      </c>
      <c r="B536" s="1" t="str">
        <f>IFERROR(__xludf.DUMMYFUNCTION("""COMPUTED_VALUE"""),"0086")</f>
        <v>0086</v>
      </c>
      <c r="C536" s="32">
        <f>IFERROR(__xludf.DUMMYFUNCTION("""COMPUTED_VALUE"""),46094.63655092593)</f>
        <v>46094.63655</v>
      </c>
      <c r="D536" s="1">
        <f>IFERROR(__xludf.DUMMYFUNCTION("""COMPUTED_VALUE"""),-10.0)</f>
        <v>-10</v>
      </c>
      <c r="E536" s="1"/>
      <c r="F536" s="1"/>
    </row>
    <row r="537">
      <c r="A537" s="1" t="str">
        <f>IFERROR(__xludf.DUMMYFUNCTION("""COMPUTED_VALUE"""),"c905b79c")</f>
        <v>c905b79c</v>
      </c>
      <c r="B537" s="1" t="str">
        <f>IFERROR(__xludf.DUMMYFUNCTION("""COMPUTED_VALUE"""),"83dd14b5")</f>
        <v>83dd14b5</v>
      </c>
      <c r="C537" s="32">
        <f>IFERROR(__xludf.DUMMYFUNCTION("""COMPUTED_VALUE"""),46094.636712962965)</f>
        <v>46094.63671</v>
      </c>
      <c r="D537" s="1">
        <f>IFERROR(__xludf.DUMMYFUNCTION("""COMPUTED_VALUE"""),-6.0)</f>
        <v>-6</v>
      </c>
      <c r="E537" s="1"/>
      <c r="F537" s="1"/>
    </row>
    <row r="538">
      <c r="A538" s="1" t="str">
        <f>IFERROR(__xludf.DUMMYFUNCTION("""COMPUTED_VALUE"""),"5a7283dd")</f>
        <v>5a7283dd</v>
      </c>
      <c r="B538" s="1" t="str">
        <f>IFERROR(__xludf.DUMMYFUNCTION("""COMPUTED_VALUE"""),"cb9e809e")</f>
        <v>cb9e809e</v>
      </c>
      <c r="C538" s="32">
        <f>IFERROR(__xludf.DUMMYFUNCTION("""COMPUTED_VALUE"""),46094.637025462966)</f>
        <v>46094.63703</v>
      </c>
      <c r="D538" s="1">
        <f>IFERROR(__xludf.DUMMYFUNCTION("""COMPUTED_VALUE"""),-4.0)</f>
        <v>-4</v>
      </c>
      <c r="E538" s="1"/>
      <c r="F538" s="1"/>
    </row>
    <row r="539">
      <c r="A539" s="1" t="str">
        <f>IFERROR(__xludf.DUMMYFUNCTION("""COMPUTED_VALUE"""),"eca1566f")</f>
        <v>eca1566f</v>
      </c>
      <c r="B539" s="1" t="str">
        <f>IFERROR(__xludf.DUMMYFUNCTION("""COMPUTED_VALUE"""),"0032")</f>
        <v>0032</v>
      </c>
      <c r="C539" s="32">
        <f>IFERROR(__xludf.DUMMYFUNCTION("""COMPUTED_VALUE"""),46094.6375462963)</f>
        <v>46094.63755</v>
      </c>
      <c r="D539" s="1">
        <f>IFERROR(__xludf.DUMMYFUNCTION("""COMPUTED_VALUE"""),-9.0)</f>
        <v>-9</v>
      </c>
      <c r="E539" s="1"/>
      <c r="F539" s="1"/>
    </row>
    <row r="540">
      <c r="A540" s="1" t="str">
        <f>IFERROR(__xludf.DUMMYFUNCTION("""COMPUTED_VALUE"""),"6a0ea653")</f>
        <v>6a0ea653</v>
      </c>
      <c r="B540" s="1" t="str">
        <f>IFERROR(__xludf.DUMMYFUNCTION("""COMPUTED_VALUE"""),"0029")</f>
        <v>0029</v>
      </c>
      <c r="C540" s="32">
        <f>IFERROR(__xludf.DUMMYFUNCTION("""COMPUTED_VALUE"""),46094.64013888889)</f>
        <v>46094.64014</v>
      </c>
      <c r="D540" s="1">
        <f>IFERROR(__xludf.DUMMYFUNCTION("""COMPUTED_VALUE"""),-11.0)</f>
        <v>-11</v>
      </c>
      <c r="E540" s="1"/>
      <c r="F540" s="1"/>
    </row>
    <row r="541">
      <c r="A541" s="1" t="str">
        <f>IFERROR(__xludf.DUMMYFUNCTION("""COMPUTED_VALUE"""),"c0cefd25")</f>
        <v>c0cefd25</v>
      </c>
      <c r="B541" s="1" t="str">
        <f>IFERROR(__xludf.DUMMYFUNCTION("""COMPUTED_VALUE"""),"a3f74383")</f>
        <v>a3f74383</v>
      </c>
      <c r="C541" s="32">
        <f>IFERROR(__xludf.DUMMYFUNCTION("""COMPUTED_VALUE"""),46094.64027777778)</f>
        <v>46094.64028</v>
      </c>
      <c r="D541" s="1">
        <f>IFERROR(__xludf.DUMMYFUNCTION("""COMPUTED_VALUE"""),-3.0)</f>
        <v>-3</v>
      </c>
      <c r="E541" s="1"/>
      <c r="F541" s="1"/>
    </row>
    <row r="542">
      <c r="A542" s="1" t="str">
        <f>IFERROR(__xludf.DUMMYFUNCTION("""COMPUTED_VALUE"""),"ee2e9ffd")</f>
        <v>ee2e9ffd</v>
      </c>
      <c r="B542" s="1" t="str">
        <f>IFERROR(__xludf.DUMMYFUNCTION("""COMPUTED_VALUE"""),"406a1fee")</f>
        <v>406a1fee</v>
      </c>
      <c r="C542" s="32">
        <f>IFERROR(__xludf.DUMMYFUNCTION("""COMPUTED_VALUE"""),46094.640439814815)</f>
        <v>46094.64044</v>
      </c>
      <c r="D542" s="1">
        <f>IFERROR(__xludf.DUMMYFUNCTION("""COMPUTED_VALUE"""),-2.0)</f>
        <v>-2</v>
      </c>
      <c r="E542" s="1"/>
      <c r="F542" s="1"/>
    </row>
    <row r="543">
      <c r="A543" s="1" t="str">
        <f>IFERROR(__xludf.DUMMYFUNCTION("""COMPUTED_VALUE"""),"55abba83")</f>
        <v>55abba83</v>
      </c>
      <c r="B543" s="1" t="str">
        <f>IFERROR(__xludf.DUMMYFUNCTION("""COMPUTED_VALUE"""),"0011")</f>
        <v>0011</v>
      </c>
      <c r="C543" s="32">
        <f>IFERROR(__xludf.DUMMYFUNCTION("""COMPUTED_VALUE"""),46094.640555555554)</f>
        <v>46094.64056</v>
      </c>
      <c r="D543" s="1">
        <f>IFERROR(__xludf.DUMMYFUNCTION("""COMPUTED_VALUE"""),-4.0)</f>
        <v>-4</v>
      </c>
      <c r="E543" s="1"/>
      <c r="F543" s="1"/>
    </row>
    <row r="544">
      <c r="A544" s="1" t="str">
        <f>IFERROR(__xludf.DUMMYFUNCTION("""COMPUTED_VALUE"""),"5648cf08")</f>
        <v>5648cf08</v>
      </c>
      <c r="B544" s="1" t="str">
        <f>IFERROR(__xludf.DUMMYFUNCTION("""COMPUTED_VALUE"""),"0002")</f>
        <v>0002</v>
      </c>
      <c r="C544" s="32">
        <f>IFERROR(__xludf.DUMMYFUNCTION("""COMPUTED_VALUE"""),46094.64077546296)</f>
        <v>46094.64078</v>
      </c>
      <c r="D544" s="1">
        <f>IFERROR(__xludf.DUMMYFUNCTION("""COMPUTED_VALUE"""),-36.0)</f>
        <v>-36</v>
      </c>
      <c r="E544" s="1"/>
      <c r="F544" s="1"/>
    </row>
    <row r="545">
      <c r="A545" s="1" t="str">
        <f>IFERROR(__xludf.DUMMYFUNCTION("""COMPUTED_VALUE"""),"5fcbb3ad")</f>
        <v>5fcbb3ad</v>
      </c>
      <c r="B545" s="1" t="str">
        <f>IFERROR(__xludf.DUMMYFUNCTION("""COMPUTED_VALUE"""),"0001")</f>
        <v>0001</v>
      </c>
      <c r="C545" s="32">
        <f>IFERROR(__xludf.DUMMYFUNCTION("""COMPUTED_VALUE"""),46094.733831018515)</f>
        <v>46094.73383</v>
      </c>
      <c r="D545" s="1">
        <f>IFERROR(__xludf.DUMMYFUNCTION("""COMPUTED_VALUE"""),5.0)</f>
        <v>5</v>
      </c>
      <c r="E545" s="1"/>
      <c r="F545" s="1"/>
    </row>
    <row r="546">
      <c r="A546" s="1" t="str">
        <f>IFERROR(__xludf.DUMMYFUNCTION("""COMPUTED_VALUE"""),"13bbe1c8")</f>
        <v>13bbe1c8</v>
      </c>
      <c r="B546" s="1" t="str">
        <f>IFERROR(__xludf.DUMMYFUNCTION("""COMPUTED_VALUE"""),"bb6c2490")</f>
        <v>bb6c2490</v>
      </c>
      <c r="C546" s="32">
        <f>IFERROR(__xludf.DUMMYFUNCTION("""COMPUTED_VALUE"""),46095.593506944446)</f>
        <v>46095.59351</v>
      </c>
      <c r="D546" s="1">
        <f>IFERROR(__xludf.DUMMYFUNCTION("""COMPUTED_VALUE"""),-11.0)</f>
        <v>-11</v>
      </c>
      <c r="E546" s="1"/>
      <c r="F546" s="1"/>
    </row>
    <row r="547">
      <c r="A547" s="1" t="str">
        <f>IFERROR(__xludf.DUMMYFUNCTION("""COMPUTED_VALUE"""),"a8ecb7dc")</f>
        <v>a8ecb7dc</v>
      </c>
      <c r="B547" s="1" t="str">
        <f>IFERROR(__xludf.DUMMYFUNCTION("""COMPUTED_VALUE"""),"c099f042")</f>
        <v>c099f042</v>
      </c>
      <c r="C547" s="32">
        <f>IFERROR(__xludf.DUMMYFUNCTION("""COMPUTED_VALUE"""),46095.593680555554)</f>
        <v>46095.59368</v>
      </c>
      <c r="D547" s="1">
        <f>IFERROR(__xludf.DUMMYFUNCTION("""COMPUTED_VALUE"""),-2.0)</f>
        <v>-2</v>
      </c>
      <c r="E547" s="1"/>
      <c r="F547" s="1"/>
    </row>
    <row r="548">
      <c r="A548" s="1" t="str">
        <f>IFERROR(__xludf.DUMMYFUNCTION("""COMPUTED_VALUE"""),"f89f4b99")</f>
        <v>f89f4b99</v>
      </c>
      <c r="B548" s="1" t="str">
        <f>IFERROR(__xludf.DUMMYFUNCTION("""COMPUTED_VALUE"""),"0001")</f>
        <v>0001</v>
      </c>
      <c r="C548" s="32">
        <f>IFERROR(__xludf.DUMMYFUNCTION("""COMPUTED_VALUE"""),46095.59378472222)</f>
        <v>46095.59378</v>
      </c>
      <c r="D548" s="1">
        <f>IFERROR(__xludf.DUMMYFUNCTION("""COMPUTED_VALUE"""),-15.0)</f>
        <v>-15</v>
      </c>
      <c r="E548" s="1"/>
      <c r="F548" s="1"/>
    </row>
    <row r="549">
      <c r="A549" s="1" t="str">
        <f>IFERROR(__xludf.DUMMYFUNCTION("""COMPUTED_VALUE"""),"cb08c626")</f>
        <v>cb08c626</v>
      </c>
      <c r="B549" s="1" t="str">
        <f>IFERROR(__xludf.DUMMYFUNCTION("""COMPUTED_VALUE"""),"d5b5f9d1")</f>
        <v>d5b5f9d1</v>
      </c>
      <c r="C549" s="32">
        <f>IFERROR(__xludf.DUMMYFUNCTION("""COMPUTED_VALUE"""),46095.59388888889)</f>
        <v>46095.59389</v>
      </c>
      <c r="D549" s="1">
        <f>IFERROR(__xludf.DUMMYFUNCTION("""COMPUTED_VALUE"""),-15.0)</f>
        <v>-15</v>
      </c>
      <c r="E549" s="1"/>
      <c r="F549" s="1"/>
    </row>
    <row r="550">
      <c r="A550" s="1" t="str">
        <f>IFERROR(__xludf.DUMMYFUNCTION("""COMPUTED_VALUE"""),"38e06f87")</f>
        <v>38e06f87</v>
      </c>
      <c r="B550" s="1" t="str">
        <f>IFERROR(__xludf.DUMMYFUNCTION("""COMPUTED_VALUE"""),"0049")</f>
        <v>0049</v>
      </c>
      <c r="C550" s="32">
        <f>IFERROR(__xludf.DUMMYFUNCTION("""COMPUTED_VALUE"""),46095.594039351854)</f>
        <v>46095.59404</v>
      </c>
      <c r="D550" s="1">
        <f>IFERROR(__xludf.DUMMYFUNCTION("""COMPUTED_VALUE"""),-8.0)</f>
        <v>-8</v>
      </c>
      <c r="E550" s="1"/>
      <c r="F550" s="1"/>
    </row>
    <row r="551">
      <c r="A551" s="1" t="str">
        <f>IFERROR(__xludf.DUMMYFUNCTION("""COMPUTED_VALUE"""),"ed4580ad")</f>
        <v>ed4580ad</v>
      </c>
      <c r="B551" s="1" t="str">
        <f>IFERROR(__xludf.DUMMYFUNCTION("""COMPUTED_VALUE"""),"1b6b5ed6")</f>
        <v>1b6b5ed6</v>
      </c>
      <c r="C551" s="32">
        <f>IFERROR(__xludf.DUMMYFUNCTION("""COMPUTED_VALUE"""),46095.59413194445)</f>
        <v>46095.59413</v>
      </c>
      <c r="D551" s="1">
        <f>IFERROR(__xludf.DUMMYFUNCTION("""COMPUTED_VALUE"""),-8.0)</f>
        <v>-8</v>
      </c>
      <c r="E551" s="1"/>
      <c r="F551" s="1"/>
    </row>
    <row r="552">
      <c r="A552" s="1" t="str">
        <f>IFERROR(__xludf.DUMMYFUNCTION("""COMPUTED_VALUE"""),"4de04651")</f>
        <v>4de04651</v>
      </c>
      <c r="B552" s="1" t="str">
        <f>IFERROR(__xludf.DUMMYFUNCTION("""COMPUTED_VALUE"""),"0011")</f>
        <v>0011</v>
      </c>
      <c r="C552" s="32">
        <f>IFERROR(__xludf.DUMMYFUNCTION("""COMPUTED_VALUE"""),46095.594293981485)</f>
        <v>46095.59429</v>
      </c>
      <c r="D552" s="1">
        <f>IFERROR(__xludf.DUMMYFUNCTION("""COMPUTED_VALUE"""),-10.0)</f>
        <v>-10</v>
      </c>
      <c r="E552" s="1"/>
      <c r="F552" s="1"/>
    </row>
    <row r="553">
      <c r="A553" s="1" t="str">
        <f>IFERROR(__xludf.DUMMYFUNCTION("""COMPUTED_VALUE"""),"1d0360a7")</f>
        <v>1d0360a7</v>
      </c>
      <c r="B553" s="1" t="str">
        <f>IFERROR(__xludf.DUMMYFUNCTION("""COMPUTED_VALUE"""),"0086")</f>
        <v>0086</v>
      </c>
      <c r="C553" s="32">
        <f>IFERROR(__xludf.DUMMYFUNCTION("""COMPUTED_VALUE"""),46095.59508101852)</f>
        <v>46095.59508</v>
      </c>
      <c r="D553" s="1">
        <f>IFERROR(__xludf.DUMMYFUNCTION("""COMPUTED_VALUE"""),-3.0)</f>
        <v>-3</v>
      </c>
      <c r="E553" s="1"/>
      <c r="F553" s="1"/>
    </row>
    <row r="554">
      <c r="A554" s="1" t="str">
        <f>IFERROR(__xludf.DUMMYFUNCTION("""COMPUTED_VALUE"""),"a2813a37")</f>
        <v>a2813a37</v>
      </c>
      <c r="B554" s="1" t="str">
        <f>IFERROR(__xludf.DUMMYFUNCTION("""COMPUTED_VALUE"""),"0064")</f>
        <v>0064</v>
      </c>
      <c r="C554" s="32">
        <f>IFERROR(__xludf.DUMMYFUNCTION("""COMPUTED_VALUE"""),46095.59576388889)</f>
        <v>46095.59576</v>
      </c>
      <c r="D554" s="1">
        <f>IFERROR(__xludf.DUMMYFUNCTION("""COMPUTED_VALUE"""),-10.0)</f>
        <v>-10</v>
      </c>
      <c r="E554" s="1"/>
      <c r="F554" s="1"/>
    </row>
    <row r="555">
      <c r="A555" s="1" t="str">
        <f>IFERROR(__xludf.DUMMYFUNCTION("""COMPUTED_VALUE"""),"c3eb471b")</f>
        <v>c3eb471b</v>
      </c>
      <c r="B555" s="1" t="str">
        <f>IFERROR(__xludf.DUMMYFUNCTION("""COMPUTED_VALUE"""),"0029")</f>
        <v>0029</v>
      </c>
      <c r="C555" s="32">
        <f>IFERROR(__xludf.DUMMYFUNCTION("""COMPUTED_VALUE"""),46095.5962037037)</f>
        <v>46095.5962</v>
      </c>
      <c r="D555" s="1">
        <f>IFERROR(__xludf.DUMMYFUNCTION("""COMPUTED_VALUE"""),-2.0)</f>
        <v>-2</v>
      </c>
      <c r="E555" s="1"/>
      <c r="F555" s="1"/>
    </row>
    <row r="556">
      <c r="A556" s="1" t="str">
        <f>IFERROR(__xludf.DUMMYFUNCTION("""COMPUTED_VALUE"""),"dfaf0714")</f>
        <v>dfaf0714</v>
      </c>
      <c r="B556" s="1" t="str">
        <f>IFERROR(__xludf.DUMMYFUNCTION("""COMPUTED_VALUE"""),"0002")</f>
        <v>0002</v>
      </c>
      <c r="C556" s="32">
        <f>IFERROR(__xludf.DUMMYFUNCTION("""COMPUTED_VALUE"""),46095.59641203703)</f>
        <v>46095.59641</v>
      </c>
      <c r="D556" s="1">
        <f>IFERROR(__xludf.DUMMYFUNCTION("""COMPUTED_VALUE"""),-48.0)</f>
        <v>-48</v>
      </c>
      <c r="E556" s="1"/>
      <c r="F556" s="1"/>
    </row>
    <row r="557">
      <c r="A557" s="1" t="str">
        <f>IFERROR(__xludf.DUMMYFUNCTION("""COMPUTED_VALUE"""),"2243d658")</f>
        <v>2243d658</v>
      </c>
      <c r="B557" s="1" t="str">
        <f>IFERROR(__xludf.DUMMYFUNCTION("""COMPUTED_VALUE"""),"b3204174")</f>
        <v>b3204174</v>
      </c>
      <c r="C557" s="32">
        <f>IFERROR(__xludf.DUMMYFUNCTION("""COMPUTED_VALUE"""),46095.602013888885)</f>
        <v>46095.60201</v>
      </c>
      <c r="D557" s="1">
        <f>IFERROR(__xludf.DUMMYFUNCTION("""COMPUTED_VALUE"""),-4.0)</f>
        <v>-4</v>
      </c>
      <c r="E557" s="1"/>
      <c r="F557" s="1"/>
    </row>
    <row r="558">
      <c r="A558" s="1" t="str">
        <f>IFERROR(__xludf.DUMMYFUNCTION("""COMPUTED_VALUE"""),"9c07fd03")</f>
        <v>9c07fd03</v>
      </c>
      <c r="B558" s="1" t="str">
        <f>IFERROR(__xludf.DUMMYFUNCTION("""COMPUTED_VALUE"""),"bb6c2490")</f>
        <v>bb6c2490</v>
      </c>
      <c r="C558" s="32">
        <f>IFERROR(__xludf.DUMMYFUNCTION("""COMPUTED_VALUE"""),46095.60207175926)</f>
        <v>46095.60207</v>
      </c>
      <c r="D558" s="1">
        <f>IFERROR(__xludf.DUMMYFUNCTION("""COMPUTED_VALUE"""),-6.0)</f>
        <v>-6</v>
      </c>
      <c r="E558" s="1"/>
      <c r="F558" s="1"/>
    </row>
    <row r="559">
      <c r="A559" s="1" t="str">
        <f>IFERROR(__xludf.DUMMYFUNCTION("""COMPUTED_VALUE"""),"20039cf7")</f>
        <v>20039cf7</v>
      </c>
      <c r="B559" s="1" t="str">
        <f>IFERROR(__xludf.DUMMYFUNCTION("""COMPUTED_VALUE"""),"c099f042")</f>
        <v>c099f042</v>
      </c>
      <c r="C559" s="32">
        <f>IFERROR(__xludf.DUMMYFUNCTION("""COMPUTED_VALUE"""),46095.602175925924)</f>
        <v>46095.60218</v>
      </c>
      <c r="D559" s="1">
        <f>IFERROR(__xludf.DUMMYFUNCTION("""COMPUTED_VALUE"""),-5.0)</f>
        <v>-5</v>
      </c>
      <c r="E559" s="1"/>
      <c r="F559" s="1"/>
    </row>
    <row r="560">
      <c r="A560" s="1" t="str">
        <f>IFERROR(__xludf.DUMMYFUNCTION("""COMPUTED_VALUE"""),"1adde3d1")</f>
        <v>1adde3d1</v>
      </c>
      <c r="B560" s="1" t="str">
        <f>IFERROR(__xludf.DUMMYFUNCTION("""COMPUTED_VALUE"""),"0001")</f>
        <v>0001</v>
      </c>
      <c r="C560" s="32">
        <f>IFERROR(__xludf.DUMMYFUNCTION("""COMPUTED_VALUE"""),46095.60251157408)</f>
        <v>46095.60251</v>
      </c>
      <c r="D560" s="1">
        <f>IFERROR(__xludf.DUMMYFUNCTION("""COMPUTED_VALUE"""),-11.0)</f>
        <v>-11</v>
      </c>
      <c r="E560" s="1"/>
      <c r="F560" s="1"/>
    </row>
    <row r="561">
      <c r="A561" s="1" t="str">
        <f>IFERROR(__xludf.DUMMYFUNCTION("""COMPUTED_VALUE"""),"38ea7fa5")</f>
        <v>38ea7fa5</v>
      </c>
      <c r="B561" s="1" t="str">
        <f>IFERROR(__xludf.DUMMYFUNCTION("""COMPUTED_VALUE"""),"d5b5f9d1")</f>
        <v>d5b5f9d1</v>
      </c>
      <c r="C561" s="32">
        <f>IFERROR(__xludf.DUMMYFUNCTION("""COMPUTED_VALUE"""),46095.602685185186)</f>
        <v>46095.60269</v>
      </c>
      <c r="D561" s="1">
        <f>IFERROR(__xludf.DUMMYFUNCTION("""COMPUTED_VALUE"""),-10.0)</f>
        <v>-10</v>
      </c>
      <c r="E561" s="1"/>
      <c r="F561" s="1"/>
    </row>
    <row r="562">
      <c r="A562" s="1" t="str">
        <f>IFERROR(__xludf.DUMMYFUNCTION("""COMPUTED_VALUE"""),"64ead495")</f>
        <v>64ead495</v>
      </c>
      <c r="B562" s="1" t="str">
        <f>IFERROR(__xludf.DUMMYFUNCTION("""COMPUTED_VALUE"""),"0af806f8")</f>
        <v>0af806f8</v>
      </c>
      <c r="C562" s="32">
        <f>IFERROR(__xludf.DUMMYFUNCTION("""COMPUTED_VALUE"""),46095.60393518519)</f>
        <v>46095.60394</v>
      </c>
      <c r="D562" s="1">
        <f>IFERROR(__xludf.DUMMYFUNCTION("""COMPUTED_VALUE"""),-2.0)</f>
        <v>-2</v>
      </c>
      <c r="E562" s="1"/>
      <c r="F562" s="1"/>
    </row>
    <row r="563">
      <c r="A563" s="1" t="str">
        <f>IFERROR(__xludf.DUMMYFUNCTION("""COMPUTED_VALUE"""),"95ab37e2")</f>
        <v>95ab37e2</v>
      </c>
      <c r="B563" s="1" t="str">
        <f>IFERROR(__xludf.DUMMYFUNCTION("""COMPUTED_VALUE"""),"12b96290")</f>
        <v>12b96290</v>
      </c>
      <c r="C563" s="32">
        <f>IFERROR(__xludf.DUMMYFUNCTION("""COMPUTED_VALUE"""),46095.6040162037)</f>
        <v>46095.60402</v>
      </c>
      <c r="D563" s="1">
        <f>IFERROR(__xludf.DUMMYFUNCTION("""COMPUTED_VALUE"""),-7.0)</f>
        <v>-7</v>
      </c>
      <c r="E563" s="1"/>
      <c r="F563" s="1"/>
    </row>
    <row r="564">
      <c r="A564" s="1" t="str">
        <f>IFERROR(__xludf.DUMMYFUNCTION("""COMPUTED_VALUE"""),"0b6abc96")</f>
        <v>0b6abc96</v>
      </c>
      <c r="B564" s="1" t="str">
        <f>IFERROR(__xludf.DUMMYFUNCTION("""COMPUTED_VALUE"""),"0021")</f>
        <v>0021</v>
      </c>
      <c r="C564" s="32">
        <f>IFERROR(__xludf.DUMMYFUNCTION("""COMPUTED_VALUE"""),46095.604479166665)</f>
        <v>46095.60448</v>
      </c>
      <c r="D564" s="1">
        <f>IFERROR(__xludf.DUMMYFUNCTION("""COMPUTED_VALUE"""),-11.0)</f>
        <v>-11</v>
      </c>
      <c r="E564" s="1"/>
      <c r="F564" s="1"/>
    </row>
    <row r="565">
      <c r="A565" s="1" t="str">
        <f>IFERROR(__xludf.DUMMYFUNCTION("""COMPUTED_VALUE"""),"0a6480f1")</f>
        <v>0a6480f1</v>
      </c>
      <c r="B565" s="1" t="str">
        <f>IFERROR(__xludf.DUMMYFUNCTION("""COMPUTED_VALUE"""),"a19879cf")</f>
        <v>a19879cf</v>
      </c>
      <c r="C565" s="32">
        <f>IFERROR(__xludf.DUMMYFUNCTION("""COMPUTED_VALUE"""),46095.60461805556)</f>
        <v>46095.60462</v>
      </c>
      <c r="D565" s="1">
        <f>IFERROR(__xludf.DUMMYFUNCTION("""COMPUTED_VALUE"""),-23.0)</f>
        <v>-23</v>
      </c>
      <c r="E565" s="1"/>
      <c r="F565" s="1"/>
    </row>
    <row r="566">
      <c r="A566" s="1" t="str">
        <f>IFERROR(__xludf.DUMMYFUNCTION("""COMPUTED_VALUE"""),"100d14ba")</f>
        <v>100d14ba</v>
      </c>
      <c r="B566" s="1" t="str">
        <f>IFERROR(__xludf.DUMMYFUNCTION("""COMPUTED_VALUE"""),"83dd14b5")</f>
        <v>83dd14b5</v>
      </c>
      <c r="C566" s="32">
        <f>IFERROR(__xludf.DUMMYFUNCTION("""COMPUTED_VALUE"""),46095.604791666665)</f>
        <v>46095.60479</v>
      </c>
      <c r="D566" s="1">
        <f>IFERROR(__xludf.DUMMYFUNCTION("""COMPUTED_VALUE"""),-6.0)</f>
        <v>-6</v>
      </c>
      <c r="E566" s="1"/>
      <c r="F566" s="1"/>
    </row>
    <row r="567">
      <c r="A567" s="1" t="str">
        <f>IFERROR(__xludf.DUMMYFUNCTION("""COMPUTED_VALUE"""),"581fd5eb")</f>
        <v>581fd5eb</v>
      </c>
      <c r="B567" s="1" t="str">
        <f>IFERROR(__xludf.DUMMYFUNCTION("""COMPUTED_VALUE"""),"cb9e809e")</f>
        <v>cb9e809e</v>
      </c>
      <c r="C567" s="32">
        <f>IFERROR(__xludf.DUMMYFUNCTION("""COMPUTED_VALUE"""),46095.605891203704)</f>
        <v>46095.60589</v>
      </c>
      <c r="D567" s="1">
        <f>IFERROR(__xludf.DUMMYFUNCTION("""COMPUTED_VALUE"""),-14.0)</f>
        <v>-14</v>
      </c>
      <c r="E567" s="1"/>
      <c r="F567" s="1"/>
    </row>
    <row r="568">
      <c r="A568" s="1" t="str">
        <f>IFERROR(__xludf.DUMMYFUNCTION("""COMPUTED_VALUE"""),"a8ddd8c2")</f>
        <v>a8ddd8c2</v>
      </c>
      <c r="B568" s="1" t="str">
        <f>IFERROR(__xludf.DUMMYFUNCTION("""COMPUTED_VALUE"""),"0049")</f>
        <v>0049</v>
      </c>
      <c r="C568" s="32">
        <f>IFERROR(__xludf.DUMMYFUNCTION("""COMPUTED_VALUE"""),46095.606770833336)</f>
        <v>46095.60677</v>
      </c>
      <c r="D568" s="1">
        <f>IFERROR(__xludf.DUMMYFUNCTION("""COMPUTED_VALUE"""),-10.0)</f>
        <v>-10</v>
      </c>
      <c r="E568" s="1"/>
      <c r="F568" s="1"/>
    </row>
    <row r="569">
      <c r="A569" s="1" t="str">
        <f>IFERROR(__xludf.DUMMYFUNCTION("""COMPUTED_VALUE"""),"05b36e07")</f>
        <v>05b36e07</v>
      </c>
      <c r="B569" s="1" t="str">
        <f>IFERROR(__xludf.DUMMYFUNCTION("""COMPUTED_VALUE"""),"0064")</f>
        <v>0064</v>
      </c>
      <c r="C569" s="32">
        <f>IFERROR(__xludf.DUMMYFUNCTION("""COMPUTED_VALUE"""),46095.60741898148)</f>
        <v>46095.60742</v>
      </c>
      <c r="D569" s="1">
        <f>IFERROR(__xludf.DUMMYFUNCTION("""COMPUTED_VALUE"""),-4.0)</f>
        <v>-4</v>
      </c>
      <c r="E569" s="1"/>
      <c r="F569" s="1"/>
    </row>
    <row r="570">
      <c r="A570" s="1" t="str">
        <f>IFERROR(__xludf.DUMMYFUNCTION("""COMPUTED_VALUE"""),"c6019670")</f>
        <v>c6019670</v>
      </c>
      <c r="B570" s="1" t="str">
        <f>IFERROR(__xludf.DUMMYFUNCTION("""COMPUTED_VALUE"""),"0029")</f>
        <v>0029</v>
      </c>
      <c r="C570" s="32">
        <f>IFERROR(__xludf.DUMMYFUNCTION("""COMPUTED_VALUE"""),46095.610347222224)</f>
        <v>46095.61035</v>
      </c>
      <c r="D570" s="1">
        <f>IFERROR(__xludf.DUMMYFUNCTION("""COMPUTED_VALUE"""),-6.0)</f>
        <v>-6</v>
      </c>
      <c r="E570" s="1"/>
      <c r="F570" s="1"/>
    </row>
    <row r="571">
      <c r="A571" s="1" t="str">
        <f>IFERROR(__xludf.DUMMYFUNCTION("""COMPUTED_VALUE"""),"b681997d")</f>
        <v>b681997d</v>
      </c>
      <c r="B571" s="1" t="str">
        <f>IFERROR(__xludf.DUMMYFUNCTION("""COMPUTED_VALUE"""),"406a1fee")</f>
        <v>406a1fee</v>
      </c>
      <c r="C571" s="32">
        <f>IFERROR(__xludf.DUMMYFUNCTION("""COMPUTED_VALUE"""),46095.61059027778)</f>
        <v>46095.61059</v>
      </c>
      <c r="D571" s="1">
        <f>IFERROR(__xludf.DUMMYFUNCTION("""COMPUTED_VALUE"""),-3.0)</f>
        <v>-3</v>
      </c>
      <c r="E571" s="1"/>
      <c r="F571" s="1"/>
    </row>
    <row r="572">
      <c r="A572" s="1" t="str">
        <f>IFERROR(__xludf.DUMMYFUNCTION("""COMPUTED_VALUE"""),"d66bb1af")</f>
        <v>d66bb1af</v>
      </c>
      <c r="B572" s="1" t="str">
        <f>IFERROR(__xludf.DUMMYFUNCTION("""COMPUTED_VALUE"""),"a3f74383")</f>
        <v>a3f74383</v>
      </c>
      <c r="C572" s="32">
        <f>IFERROR(__xludf.DUMMYFUNCTION("""COMPUTED_VALUE"""),46095.61072916666)</f>
        <v>46095.61073</v>
      </c>
      <c r="D572" s="1">
        <f>IFERROR(__xludf.DUMMYFUNCTION("""COMPUTED_VALUE"""),-1.0)</f>
        <v>-1</v>
      </c>
      <c r="E572" s="1"/>
      <c r="F572" s="1"/>
    </row>
    <row r="573">
      <c r="A573" s="1" t="str">
        <f>IFERROR(__xludf.DUMMYFUNCTION("""COMPUTED_VALUE"""),"1b935b96")</f>
        <v>1b935b96</v>
      </c>
      <c r="B573" s="1" t="str">
        <f>IFERROR(__xludf.DUMMYFUNCTION("""COMPUTED_VALUE"""),"0005")</f>
        <v>0005</v>
      </c>
      <c r="C573" s="32">
        <f>IFERROR(__xludf.DUMMYFUNCTION("""COMPUTED_VALUE"""),46095.61082175926)</f>
        <v>46095.61082</v>
      </c>
      <c r="D573" s="1">
        <f>IFERROR(__xludf.DUMMYFUNCTION("""COMPUTED_VALUE"""),-3.0)</f>
        <v>-3</v>
      </c>
      <c r="E573" s="1"/>
      <c r="F573" s="1"/>
    </row>
    <row r="574">
      <c r="A574" s="1" t="str">
        <f>IFERROR(__xludf.DUMMYFUNCTION("""COMPUTED_VALUE"""),"762fc49d")</f>
        <v>762fc49d</v>
      </c>
      <c r="B574" s="1" t="str">
        <f>IFERROR(__xludf.DUMMYFUNCTION("""COMPUTED_VALUE"""),"649eaeb5")</f>
        <v>649eaeb5</v>
      </c>
      <c r="C574" s="32">
        <f>IFERROR(__xludf.DUMMYFUNCTION("""COMPUTED_VALUE"""),46095.610925925925)</f>
        <v>46095.61093</v>
      </c>
      <c r="D574" s="1">
        <f>IFERROR(__xludf.DUMMYFUNCTION("""COMPUTED_VALUE"""),-1.0)</f>
        <v>-1</v>
      </c>
      <c r="E574" s="1"/>
      <c r="F574" s="1"/>
    </row>
    <row r="575">
      <c r="A575" s="1" t="str">
        <f>IFERROR(__xludf.DUMMYFUNCTION("""COMPUTED_VALUE"""),"7e892ec8")</f>
        <v>7e892ec8</v>
      </c>
      <c r="B575" s="1" t="str">
        <f>IFERROR(__xludf.DUMMYFUNCTION("""COMPUTED_VALUE"""),"0011")</f>
        <v>0011</v>
      </c>
      <c r="C575" s="32">
        <f>IFERROR(__xludf.DUMMYFUNCTION("""COMPUTED_VALUE"""),46095.61100694445)</f>
        <v>46095.61101</v>
      </c>
      <c r="D575" s="1">
        <f>IFERROR(__xludf.DUMMYFUNCTION("""COMPUTED_VALUE"""),-8.0)</f>
        <v>-8</v>
      </c>
      <c r="E575" s="1"/>
      <c r="F575" s="1"/>
    </row>
    <row r="576">
      <c r="A576" s="1" t="str">
        <f>IFERROR(__xludf.DUMMYFUNCTION("""COMPUTED_VALUE"""),"b362459c")</f>
        <v>b362459c</v>
      </c>
      <c r="B576" s="1" t="str">
        <f>IFERROR(__xludf.DUMMYFUNCTION("""COMPUTED_VALUE"""),"0002")</f>
        <v>0002</v>
      </c>
      <c r="C576" s="32">
        <f>IFERROR(__xludf.DUMMYFUNCTION("""COMPUTED_VALUE"""),46095.6112037037)</f>
        <v>46095.6112</v>
      </c>
      <c r="D576" s="1">
        <f>IFERROR(__xludf.DUMMYFUNCTION("""COMPUTED_VALUE"""),-60.0)</f>
        <v>-60</v>
      </c>
      <c r="E576" s="1"/>
      <c r="F576" s="1"/>
    </row>
    <row r="577">
      <c r="A577" s="1" t="str">
        <f>IFERROR(__xludf.DUMMYFUNCTION("""COMPUTED_VALUE"""),"745012de")</f>
        <v>745012de</v>
      </c>
      <c r="B577" s="1" t="str">
        <f>IFERROR(__xludf.DUMMYFUNCTION("""COMPUTED_VALUE"""),"0001")</f>
        <v>0001</v>
      </c>
      <c r="C577" s="32">
        <f>IFERROR(__xludf.DUMMYFUNCTION("""COMPUTED_VALUE"""),46096.76115740741)</f>
        <v>46096.76116</v>
      </c>
      <c r="D577" s="1">
        <f>IFERROR(__xludf.DUMMYFUNCTION("""COMPUTED_VALUE"""),-2.0)</f>
        <v>-2</v>
      </c>
      <c r="E577" s="1"/>
      <c r="F577" s="1"/>
    </row>
    <row r="578">
      <c r="A578" s="1" t="str">
        <f>IFERROR(__xludf.DUMMYFUNCTION("""COMPUTED_VALUE"""),"e4533c2c")</f>
        <v>e4533c2c</v>
      </c>
      <c r="B578" s="1" t="str">
        <f>IFERROR(__xludf.DUMMYFUNCTION("""COMPUTED_VALUE"""),"12b96290")</f>
        <v>12b96290</v>
      </c>
      <c r="C578" s="32">
        <f>IFERROR(__xludf.DUMMYFUNCTION("""COMPUTED_VALUE"""),46096.761296296296)</f>
        <v>46096.7613</v>
      </c>
      <c r="D578" s="1">
        <f>IFERROR(__xludf.DUMMYFUNCTION("""COMPUTED_VALUE"""),-5.0)</f>
        <v>-5</v>
      </c>
      <c r="E578" s="1"/>
      <c r="F578" s="1"/>
    </row>
    <row r="579">
      <c r="A579" s="1" t="str">
        <f>IFERROR(__xludf.DUMMYFUNCTION("""COMPUTED_VALUE"""),"f40f4bae")</f>
        <v>f40f4bae</v>
      </c>
      <c r="B579" s="1" t="str">
        <f>IFERROR(__xludf.DUMMYFUNCTION("""COMPUTED_VALUE"""),"0af806f8")</f>
        <v>0af806f8</v>
      </c>
      <c r="C579" s="32">
        <f>IFERROR(__xludf.DUMMYFUNCTION("""COMPUTED_VALUE"""),46096.761469907404)</f>
        <v>46096.76147</v>
      </c>
      <c r="D579" s="1">
        <f>IFERROR(__xludf.DUMMYFUNCTION("""COMPUTED_VALUE"""),-1.0)</f>
        <v>-1</v>
      </c>
      <c r="E579" s="1"/>
      <c r="F579" s="1"/>
    </row>
    <row r="580">
      <c r="A580" s="1" t="str">
        <f>IFERROR(__xludf.DUMMYFUNCTION("""COMPUTED_VALUE"""),"60a72ebc")</f>
        <v>60a72ebc</v>
      </c>
      <c r="B580" s="1" t="str">
        <f>IFERROR(__xludf.DUMMYFUNCTION("""COMPUTED_VALUE"""),"d5b5f9d1")</f>
        <v>d5b5f9d1</v>
      </c>
      <c r="C580" s="32">
        <f>IFERROR(__xludf.DUMMYFUNCTION("""COMPUTED_VALUE"""),46096.76153935185)</f>
        <v>46096.76154</v>
      </c>
      <c r="D580" s="1">
        <f>IFERROR(__xludf.DUMMYFUNCTION("""COMPUTED_VALUE"""),-1.0)</f>
        <v>-1</v>
      </c>
      <c r="E580" s="1"/>
      <c r="F580" s="1"/>
    </row>
    <row r="581">
      <c r="A581" s="1" t="str">
        <f>IFERROR(__xludf.DUMMYFUNCTION("""COMPUTED_VALUE"""),"7316563b")</f>
        <v>7316563b</v>
      </c>
      <c r="B581" s="1" t="str">
        <f>IFERROR(__xludf.DUMMYFUNCTION("""COMPUTED_VALUE"""),"bb6c2490")</f>
        <v>bb6c2490</v>
      </c>
      <c r="C581" s="32">
        <f>IFERROR(__xludf.DUMMYFUNCTION("""COMPUTED_VALUE"""),46096.76164351852)</f>
        <v>46096.76164</v>
      </c>
      <c r="D581" s="1">
        <f>IFERROR(__xludf.DUMMYFUNCTION("""COMPUTED_VALUE"""),-13.0)</f>
        <v>-13</v>
      </c>
      <c r="E581" s="1"/>
      <c r="F581" s="1"/>
    </row>
    <row r="582">
      <c r="A582" s="1" t="str">
        <f>IFERROR(__xludf.DUMMYFUNCTION("""COMPUTED_VALUE"""),"c9ecf1c7")</f>
        <v>c9ecf1c7</v>
      </c>
      <c r="B582" s="1" t="str">
        <f>IFERROR(__xludf.DUMMYFUNCTION("""COMPUTED_VALUE"""),"0019")</f>
        <v>0019</v>
      </c>
      <c r="C582" s="32">
        <f>IFERROR(__xludf.DUMMYFUNCTION("""COMPUTED_VALUE"""),46096.762141203704)</f>
        <v>46096.76214</v>
      </c>
      <c r="D582" s="1">
        <f>IFERROR(__xludf.DUMMYFUNCTION("""COMPUTED_VALUE"""),96.0)</f>
        <v>96</v>
      </c>
      <c r="E582" s="1" t="str">
        <f>IFERROR(__xludf.DUMMYFUNCTION("""COMPUTED_VALUE"""),"c71a5b2c")</f>
        <v>c71a5b2c</v>
      </c>
      <c r="F582" s="1"/>
    </row>
    <row r="583">
      <c r="A583" s="1" t="str">
        <f>IFERROR(__xludf.DUMMYFUNCTION("""COMPUTED_VALUE"""),"94020b71")</f>
        <v>94020b71</v>
      </c>
      <c r="B583" s="1" t="str">
        <f>IFERROR(__xludf.DUMMYFUNCTION("""COMPUTED_VALUE"""),"0029")</f>
        <v>0029</v>
      </c>
      <c r="C583" s="32">
        <f>IFERROR(__xludf.DUMMYFUNCTION("""COMPUTED_VALUE"""),46096.76219907407)</f>
        <v>46096.7622</v>
      </c>
      <c r="D583" s="1">
        <f>IFERROR(__xludf.DUMMYFUNCTION("""COMPUTED_VALUE"""),72.0)</f>
        <v>72</v>
      </c>
      <c r="E583" s="1" t="str">
        <f>IFERROR(__xludf.DUMMYFUNCTION("""COMPUTED_VALUE"""),"c71a5b2c")</f>
        <v>c71a5b2c</v>
      </c>
      <c r="F583" s="1"/>
    </row>
    <row r="584">
      <c r="A584" s="1" t="str">
        <f>IFERROR(__xludf.DUMMYFUNCTION("""COMPUTED_VALUE"""),"22c4f5e7")</f>
        <v>22c4f5e7</v>
      </c>
      <c r="B584" s="1" t="str">
        <f>IFERROR(__xludf.DUMMYFUNCTION("""COMPUTED_VALUE"""),"a3f74383")</f>
        <v>a3f74383</v>
      </c>
      <c r="C584" s="32">
        <f>IFERROR(__xludf.DUMMYFUNCTION("""COMPUTED_VALUE"""),46096.76226851852)</f>
        <v>46096.76227</v>
      </c>
      <c r="D584" s="1">
        <f>IFERROR(__xludf.DUMMYFUNCTION("""COMPUTED_VALUE"""),24.0)</f>
        <v>24</v>
      </c>
      <c r="E584" s="1" t="str">
        <f>IFERROR(__xludf.DUMMYFUNCTION("""COMPUTED_VALUE"""),"c71a5b2c")</f>
        <v>c71a5b2c</v>
      </c>
      <c r="F584" s="1"/>
    </row>
    <row r="585">
      <c r="A585" s="1" t="str">
        <f>IFERROR(__xludf.DUMMYFUNCTION("""COMPUTED_VALUE"""),"3f0ad902")</f>
        <v>3f0ad902</v>
      </c>
      <c r="B585" s="1" t="str">
        <f>IFERROR(__xludf.DUMMYFUNCTION("""COMPUTED_VALUE"""),"0054")</f>
        <v>0054</v>
      </c>
      <c r="C585" s="32">
        <f>IFERROR(__xludf.DUMMYFUNCTION("""COMPUTED_VALUE"""),46096.76232638889)</f>
        <v>46096.76233</v>
      </c>
      <c r="D585" s="1">
        <f>IFERROR(__xludf.DUMMYFUNCTION("""COMPUTED_VALUE"""),24.0)</f>
        <v>24</v>
      </c>
      <c r="E585" s="1" t="str">
        <f>IFERROR(__xludf.DUMMYFUNCTION("""COMPUTED_VALUE"""),"c71a5b2c")</f>
        <v>c71a5b2c</v>
      </c>
      <c r="F585" s="1"/>
    </row>
    <row r="586">
      <c r="A586" s="1" t="str">
        <f>IFERROR(__xludf.DUMMYFUNCTION("""COMPUTED_VALUE"""),"a91f8a62")</f>
        <v>a91f8a62</v>
      </c>
      <c r="B586" s="1" t="str">
        <f>IFERROR(__xludf.DUMMYFUNCTION("""COMPUTED_VALUE"""),"0af806f8")</f>
        <v>0af806f8</v>
      </c>
      <c r="C586" s="32">
        <f>IFERROR(__xludf.DUMMYFUNCTION("""COMPUTED_VALUE"""),46096.76237268518)</f>
        <v>46096.76237</v>
      </c>
      <c r="D586" s="1">
        <f>IFERROR(__xludf.DUMMYFUNCTION("""COMPUTED_VALUE"""),60.0)</f>
        <v>60</v>
      </c>
      <c r="E586" s="1" t="str">
        <f>IFERROR(__xludf.DUMMYFUNCTION("""COMPUTED_VALUE"""),"c71a5b2c")</f>
        <v>c71a5b2c</v>
      </c>
      <c r="F586" s="1"/>
    </row>
    <row r="587">
      <c r="A587" s="1" t="str">
        <f>IFERROR(__xludf.DUMMYFUNCTION("""COMPUTED_VALUE"""),"16688914")</f>
        <v>16688914</v>
      </c>
      <c r="B587" s="1" t="str">
        <f>IFERROR(__xludf.DUMMYFUNCTION("""COMPUTED_VALUE"""),"12b96290")</f>
        <v>12b96290</v>
      </c>
      <c r="C587" s="32">
        <f>IFERROR(__xludf.DUMMYFUNCTION("""COMPUTED_VALUE"""),46096.7625)</f>
        <v>46096.7625</v>
      </c>
      <c r="D587" s="1">
        <f>IFERROR(__xludf.DUMMYFUNCTION("""COMPUTED_VALUE"""),90.0)</f>
        <v>90</v>
      </c>
      <c r="E587" s="1" t="str">
        <f>IFERROR(__xludf.DUMMYFUNCTION("""COMPUTED_VALUE"""),"c71a5b2c")</f>
        <v>c71a5b2c</v>
      </c>
      <c r="F587" s="1"/>
    </row>
    <row r="588">
      <c r="A588" s="1" t="str">
        <f>IFERROR(__xludf.DUMMYFUNCTION("""COMPUTED_VALUE"""),"abd44ef1")</f>
        <v>abd44ef1</v>
      </c>
      <c r="B588" s="1" t="str">
        <f>IFERROR(__xludf.DUMMYFUNCTION("""COMPUTED_VALUE"""),"0001")</f>
        <v>0001</v>
      </c>
      <c r="C588" s="32">
        <f>IFERROR(__xludf.DUMMYFUNCTION("""COMPUTED_VALUE"""),46096.7625462963)</f>
        <v>46096.76255</v>
      </c>
      <c r="D588" s="1">
        <f>IFERROR(__xludf.DUMMYFUNCTION("""COMPUTED_VALUE"""),75.0)</f>
        <v>75</v>
      </c>
      <c r="E588" s="1" t="str">
        <f>IFERROR(__xludf.DUMMYFUNCTION("""COMPUTED_VALUE"""),"c71a5b2c")</f>
        <v>c71a5b2c</v>
      </c>
      <c r="F588" s="1"/>
    </row>
    <row r="589">
      <c r="A589" s="1" t="str">
        <f>IFERROR(__xludf.DUMMYFUNCTION("""COMPUTED_VALUE"""),"e1727764")</f>
        <v>e1727764</v>
      </c>
      <c r="B589" s="1" t="str">
        <f>IFERROR(__xludf.DUMMYFUNCTION("""COMPUTED_VALUE"""),"bb4d1bd1")</f>
        <v>bb4d1bd1</v>
      </c>
      <c r="C589" s="32">
        <f>IFERROR(__xludf.DUMMYFUNCTION("""COMPUTED_VALUE"""),46096.76329861111)</f>
        <v>46096.7633</v>
      </c>
      <c r="D589" s="1">
        <f>IFERROR(__xludf.DUMMYFUNCTION("""COMPUTED_VALUE"""),-12.0)</f>
        <v>-12</v>
      </c>
      <c r="E589" s="1"/>
      <c r="F589" s="1"/>
    </row>
    <row r="590">
      <c r="A590" s="1" t="str">
        <f>IFERROR(__xludf.DUMMYFUNCTION("""COMPUTED_VALUE"""),"d2765689")</f>
        <v>d2765689</v>
      </c>
      <c r="B590" s="1" t="str">
        <f>IFERROR(__xludf.DUMMYFUNCTION("""COMPUTED_VALUE"""),"0014")</f>
        <v>0014</v>
      </c>
      <c r="C590" s="32">
        <f>IFERROR(__xludf.DUMMYFUNCTION("""COMPUTED_VALUE"""),46096.763761574075)</f>
        <v>46096.76376</v>
      </c>
      <c r="D590" s="1">
        <f>IFERROR(__xludf.DUMMYFUNCTION("""COMPUTED_VALUE"""),-10.0)</f>
        <v>-10</v>
      </c>
      <c r="E590" s="1"/>
      <c r="F590" s="1"/>
    </row>
    <row r="591">
      <c r="A591" s="1" t="str">
        <f>IFERROR(__xludf.DUMMYFUNCTION("""COMPUTED_VALUE"""),"b05e78ed")</f>
        <v>b05e78ed</v>
      </c>
      <c r="B591" s="1" t="str">
        <f>IFERROR(__xludf.DUMMYFUNCTION("""COMPUTED_VALUE"""),"02d86a9b")</f>
        <v>02d86a9b</v>
      </c>
      <c r="C591" s="32">
        <f>IFERROR(__xludf.DUMMYFUNCTION("""COMPUTED_VALUE"""),46096.76436342593)</f>
        <v>46096.76436</v>
      </c>
      <c r="D591" s="1">
        <f>IFERROR(__xludf.DUMMYFUNCTION("""COMPUTED_VALUE"""),-12.0)</f>
        <v>-12</v>
      </c>
      <c r="E591" s="1"/>
      <c r="F591" s="1"/>
    </row>
    <row r="592">
      <c r="A592" s="1" t="str">
        <f>IFERROR(__xludf.DUMMYFUNCTION("""COMPUTED_VALUE"""),"8d5a1ab5")</f>
        <v>8d5a1ab5</v>
      </c>
      <c r="B592" s="1" t="str">
        <f>IFERROR(__xludf.DUMMYFUNCTION("""COMPUTED_VALUE"""),"0021")</f>
        <v>0021</v>
      </c>
      <c r="C592" s="32">
        <f>IFERROR(__xludf.DUMMYFUNCTION("""COMPUTED_VALUE"""),46096.764872685184)</f>
        <v>46096.76487</v>
      </c>
      <c r="D592" s="1">
        <f>IFERROR(__xludf.DUMMYFUNCTION("""COMPUTED_VALUE"""),-14.0)</f>
        <v>-14</v>
      </c>
      <c r="E592" s="1"/>
      <c r="F592" s="1"/>
    </row>
    <row r="593">
      <c r="A593" s="1" t="str">
        <f>IFERROR(__xludf.DUMMYFUNCTION("""COMPUTED_VALUE"""),"bb15bbc8")</f>
        <v>bb15bbc8</v>
      </c>
      <c r="B593" s="1" t="str">
        <f>IFERROR(__xludf.DUMMYFUNCTION("""COMPUTED_VALUE"""),"1b6b5ed6")</f>
        <v>1b6b5ed6</v>
      </c>
      <c r="C593" s="32">
        <f>IFERROR(__xludf.DUMMYFUNCTION("""COMPUTED_VALUE"""),46096.76646990741)</f>
        <v>46096.76647</v>
      </c>
      <c r="D593" s="1">
        <f>IFERROR(__xludf.DUMMYFUNCTION("""COMPUTED_VALUE"""),-6.0)</f>
        <v>-6</v>
      </c>
      <c r="E593" s="1"/>
      <c r="F593" s="1"/>
    </row>
    <row r="594">
      <c r="A594" s="1" t="str">
        <f>IFERROR(__xludf.DUMMYFUNCTION("""COMPUTED_VALUE"""),"9180031e")</f>
        <v>9180031e</v>
      </c>
      <c r="B594" s="1" t="str">
        <f>IFERROR(__xludf.DUMMYFUNCTION("""COMPUTED_VALUE"""),"0011")</f>
        <v>0011</v>
      </c>
      <c r="C594" s="32">
        <f>IFERROR(__xludf.DUMMYFUNCTION("""COMPUTED_VALUE"""),46096.76677083333)</f>
        <v>46096.76677</v>
      </c>
      <c r="D594" s="1">
        <f>IFERROR(__xludf.DUMMYFUNCTION("""COMPUTED_VALUE"""),48.0)</f>
        <v>48</v>
      </c>
      <c r="E594" s="1" t="str">
        <f>IFERROR(__xludf.DUMMYFUNCTION("""COMPUTED_VALUE"""),"c71a5b2c")</f>
        <v>c71a5b2c</v>
      </c>
      <c r="F594" s="1"/>
    </row>
    <row r="595">
      <c r="A595" s="1" t="str">
        <f>IFERROR(__xludf.DUMMYFUNCTION("""COMPUTED_VALUE"""),"892980a8")</f>
        <v>892980a8</v>
      </c>
      <c r="B595" s="1" t="str">
        <f>IFERROR(__xludf.DUMMYFUNCTION("""COMPUTED_VALUE"""),"0032")</f>
        <v>0032</v>
      </c>
      <c r="C595" s="32">
        <f>IFERROR(__xludf.DUMMYFUNCTION("""COMPUTED_VALUE"""),46096.766863425924)</f>
        <v>46096.76686</v>
      </c>
      <c r="D595" s="1">
        <f>IFERROR(__xludf.DUMMYFUNCTION("""COMPUTED_VALUE"""),-4.0)</f>
        <v>-4</v>
      </c>
      <c r="E595" s="1"/>
      <c r="F595" s="1"/>
    </row>
    <row r="596">
      <c r="A596" s="1" t="str">
        <f>IFERROR(__xludf.DUMMYFUNCTION("""COMPUTED_VALUE"""),"d1a9cf08")</f>
        <v>d1a9cf08</v>
      </c>
      <c r="B596" s="1" t="str">
        <f>IFERROR(__xludf.DUMMYFUNCTION("""COMPUTED_VALUE"""),"0064")</f>
        <v>0064</v>
      </c>
      <c r="C596" s="32">
        <f>IFERROR(__xludf.DUMMYFUNCTION("""COMPUTED_VALUE"""),46096.76695601852)</f>
        <v>46096.76696</v>
      </c>
      <c r="D596" s="1">
        <f>IFERROR(__xludf.DUMMYFUNCTION("""COMPUTED_VALUE"""),-2.0)</f>
        <v>-2</v>
      </c>
      <c r="E596" s="1"/>
      <c r="F596" s="1"/>
    </row>
    <row r="597">
      <c r="A597" s="1" t="str">
        <f>IFERROR(__xludf.DUMMYFUNCTION("""COMPUTED_VALUE"""),"86ed7c2d")</f>
        <v>86ed7c2d</v>
      </c>
      <c r="B597" s="1" t="str">
        <f>IFERROR(__xludf.DUMMYFUNCTION("""COMPUTED_VALUE"""),"0011")</f>
        <v>0011</v>
      </c>
      <c r="C597" s="32">
        <f>IFERROR(__xludf.DUMMYFUNCTION("""COMPUTED_VALUE"""),46096.76806712963)</f>
        <v>46096.76807</v>
      </c>
      <c r="D597" s="1">
        <f>IFERROR(__xludf.DUMMYFUNCTION("""COMPUTED_VALUE"""),-3.0)</f>
        <v>-3</v>
      </c>
      <c r="E597" s="1"/>
      <c r="F597" s="1"/>
    </row>
    <row r="598">
      <c r="A598" s="1" t="str">
        <f>IFERROR(__xludf.DUMMYFUNCTION("""COMPUTED_VALUE"""),"101a9ecc")</f>
        <v>101a9ecc</v>
      </c>
      <c r="B598" s="1" t="str">
        <f>IFERROR(__xludf.DUMMYFUNCTION("""COMPUTED_VALUE"""),"0029")</f>
        <v>0029</v>
      </c>
      <c r="C598" s="32">
        <f>IFERROR(__xludf.DUMMYFUNCTION("""COMPUTED_VALUE"""),46096.76831018519)</f>
        <v>46096.76831</v>
      </c>
      <c r="D598" s="1">
        <f>IFERROR(__xludf.DUMMYFUNCTION("""COMPUTED_VALUE"""),-10.0)</f>
        <v>-10</v>
      </c>
      <c r="E598" s="1"/>
      <c r="F598" s="1"/>
    </row>
    <row r="599">
      <c r="A599" s="1" t="str">
        <f>IFERROR(__xludf.DUMMYFUNCTION("""COMPUTED_VALUE"""),"8354bc3d")</f>
        <v>8354bc3d</v>
      </c>
      <c r="B599" s="1" t="str">
        <f>IFERROR(__xludf.DUMMYFUNCTION("""COMPUTED_VALUE"""),"0029")</f>
        <v>0029</v>
      </c>
      <c r="C599" s="32">
        <f>IFERROR(__xludf.DUMMYFUNCTION("""COMPUTED_VALUE"""),46096.768587962964)</f>
        <v>46096.76859</v>
      </c>
      <c r="D599" s="1">
        <f>IFERROR(__xludf.DUMMYFUNCTION("""COMPUTED_VALUE"""),2.0)</f>
        <v>2</v>
      </c>
      <c r="E599" s="1"/>
      <c r="F599" s="1"/>
    </row>
    <row r="600">
      <c r="A600" s="1" t="str">
        <f>IFERROR(__xludf.DUMMYFUNCTION("""COMPUTED_VALUE"""),"c74135d3")</f>
        <v>c74135d3</v>
      </c>
      <c r="B600" s="1" t="str">
        <f>IFERROR(__xludf.DUMMYFUNCTION("""COMPUTED_VALUE"""),"a3f74383")</f>
        <v>a3f74383</v>
      </c>
      <c r="C600" s="32">
        <f>IFERROR(__xludf.DUMMYFUNCTION("""COMPUTED_VALUE"""),46096.768692129626)</f>
        <v>46096.76869</v>
      </c>
      <c r="D600" s="1">
        <f>IFERROR(__xludf.DUMMYFUNCTION("""COMPUTED_VALUE"""),-6.0)</f>
        <v>-6</v>
      </c>
      <c r="E600" s="1"/>
      <c r="F600" s="1"/>
    </row>
    <row r="601">
      <c r="A601" s="1" t="str">
        <f>IFERROR(__xludf.DUMMYFUNCTION("""COMPUTED_VALUE"""),"0001fd34")</f>
        <v>0001fd34</v>
      </c>
      <c r="B601" s="1" t="str">
        <f>IFERROR(__xludf.DUMMYFUNCTION("""COMPUTED_VALUE"""),"0086")</f>
        <v>0086</v>
      </c>
      <c r="C601" s="32">
        <f>IFERROR(__xludf.DUMMYFUNCTION("""COMPUTED_VALUE"""),46096.76893518519)</f>
        <v>46096.76894</v>
      </c>
      <c r="D601" s="1">
        <f>IFERROR(__xludf.DUMMYFUNCTION("""COMPUTED_VALUE"""),50.0)</f>
        <v>50</v>
      </c>
      <c r="E601" s="1" t="str">
        <f>IFERROR(__xludf.DUMMYFUNCTION("""COMPUTED_VALUE"""),"0aabb6d2")</f>
        <v>0aabb6d2</v>
      </c>
      <c r="F601" s="1"/>
    </row>
    <row r="602">
      <c r="A602" s="1" t="str">
        <f>IFERROR(__xludf.DUMMYFUNCTION("""COMPUTED_VALUE"""),"26fe3630")</f>
        <v>26fe3630</v>
      </c>
      <c r="B602" s="1" t="str">
        <f>IFERROR(__xludf.DUMMYFUNCTION("""COMPUTED_VALUE"""),"0027")</f>
        <v>0027</v>
      </c>
      <c r="C602" s="32">
        <f>IFERROR(__xludf.DUMMYFUNCTION("""COMPUTED_VALUE"""),46096.76898148148)</f>
        <v>46096.76898</v>
      </c>
      <c r="D602" s="1">
        <f>IFERROR(__xludf.DUMMYFUNCTION("""COMPUTED_VALUE"""),30.0)</f>
        <v>30</v>
      </c>
      <c r="E602" s="1" t="str">
        <f>IFERROR(__xludf.DUMMYFUNCTION("""COMPUTED_VALUE"""),"0aabb6d2")</f>
        <v>0aabb6d2</v>
      </c>
      <c r="F602" s="1"/>
    </row>
    <row r="603">
      <c r="A603" s="1" t="str">
        <f>IFERROR(__xludf.DUMMYFUNCTION("""COMPUTED_VALUE"""),"7fce197e")</f>
        <v>7fce197e</v>
      </c>
      <c r="B603" s="1" t="str">
        <f>IFERROR(__xludf.DUMMYFUNCTION("""COMPUTED_VALUE"""),"406a1fee")</f>
        <v>406a1fee</v>
      </c>
      <c r="C603" s="32">
        <f>IFERROR(__xludf.DUMMYFUNCTION("""COMPUTED_VALUE"""),46096.76893518519)</f>
        <v>46096.76894</v>
      </c>
      <c r="D603" s="1">
        <f>IFERROR(__xludf.DUMMYFUNCTION("""COMPUTED_VALUE"""),-7.0)</f>
        <v>-7</v>
      </c>
      <c r="E603" s="1"/>
      <c r="F603" s="1"/>
    </row>
    <row r="604">
      <c r="A604" s="1" t="str">
        <f>IFERROR(__xludf.DUMMYFUNCTION("""COMPUTED_VALUE"""),"0c03ad46")</f>
        <v>0c03ad46</v>
      </c>
      <c r="B604" s="1" t="str">
        <f>IFERROR(__xludf.DUMMYFUNCTION("""COMPUTED_VALUE"""),"0014")</f>
        <v>0014</v>
      </c>
      <c r="C604" s="32">
        <f>IFERROR(__xludf.DUMMYFUNCTION("""COMPUTED_VALUE"""),46096.76903935185)</f>
        <v>46096.76904</v>
      </c>
      <c r="D604" s="1">
        <f>IFERROR(__xludf.DUMMYFUNCTION("""COMPUTED_VALUE"""),20.0)</f>
        <v>20</v>
      </c>
      <c r="E604" s="1" t="str">
        <f>IFERROR(__xludf.DUMMYFUNCTION("""COMPUTED_VALUE"""),"0aabb6d2")</f>
        <v>0aabb6d2</v>
      </c>
      <c r="F604" s="1"/>
    </row>
    <row r="605">
      <c r="A605" s="1" t="str">
        <f>IFERROR(__xludf.DUMMYFUNCTION("""COMPUTED_VALUE"""),"ef522f7d")</f>
        <v>ef522f7d</v>
      </c>
      <c r="B605" s="1" t="str">
        <f>IFERROR(__xludf.DUMMYFUNCTION("""COMPUTED_VALUE"""),"0054")</f>
        <v>0054</v>
      </c>
      <c r="C605" s="32">
        <f>IFERROR(__xludf.DUMMYFUNCTION("""COMPUTED_VALUE"""),46096.76905092593)</f>
        <v>46096.76905</v>
      </c>
      <c r="D605" s="1">
        <f>IFERROR(__xludf.DUMMYFUNCTION("""COMPUTED_VALUE"""),-4.0)</f>
        <v>-4</v>
      </c>
      <c r="E605" s="1"/>
      <c r="F605" s="1"/>
    </row>
    <row r="606">
      <c r="A606" s="1" t="str">
        <f>IFERROR(__xludf.DUMMYFUNCTION("""COMPUTED_VALUE"""),"d869e80b")</f>
        <v>d869e80b</v>
      </c>
      <c r="B606" s="1" t="str">
        <f>IFERROR(__xludf.DUMMYFUNCTION("""COMPUTED_VALUE"""),"699ad05d")</f>
        <v>699ad05d</v>
      </c>
      <c r="C606" s="32">
        <f>IFERROR(__xludf.DUMMYFUNCTION("""COMPUTED_VALUE"""),46096.76918981481)</f>
        <v>46096.76919</v>
      </c>
      <c r="D606" s="1">
        <f>IFERROR(__xludf.DUMMYFUNCTION("""COMPUTED_VALUE"""),-7.0)</f>
        <v>-7</v>
      </c>
      <c r="E606" s="1"/>
      <c r="F606" s="1"/>
    </row>
    <row r="607">
      <c r="A607" s="1" t="str">
        <f>IFERROR(__xludf.DUMMYFUNCTION("""COMPUTED_VALUE"""),"0e6e1f5c")</f>
        <v>0e6e1f5c</v>
      </c>
      <c r="B607" s="1" t="str">
        <f>IFERROR(__xludf.DUMMYFUNCTION("""COMPUTED_VALUE"""),"02d86a9b")</f>
        <v>02d86a9b</v>
      </c>
      <c r="C607" s="32">
        <f>IFERROR(__xludf.DUMMYFUNCTION("""COMPUTED_VALUE"""),46096.7709375)</f>
        <v>46096.77094</v>
      </c>
      <c r="D607" s="1">
        <f>IFERROR(__xludf.DUMMYFUNCTION("""COMPUTED_VALUE"""),24.0)</f>
        <v>24</v>
      </c>
      <c r="E607" s="1" t="str">
        <f>IFERROR(__xludf.DUMMYFUNCTION("""COMPUTED_VALUE"""),"1144b357")</f>
        <v>1144b357</v>
      </c>
      <c r="F607" s="1"/>
    </row>
    <row r="608">
      <c r="A608" s="1" t="str">
        <f>IFERROR(__xludf.DUMMYFUNCTION("""COMPUTED_VALUE"""),"dbecb350")</f>
        <v>dbecb350</v>
      </c>
      <c r="B608" s="1" t="str">
        <f>IFERROR(__xludf.DUMMYFUNCTION("""COMPUTED_VALUE"""),"bb4d1bd1")</f>
        <v>bb4d1bd1</v>
      </c>
      <c r="C608" s="32">
        <f>IFERROR(__xludf.DUMMYFUNCTION("""COMPUTED_VALUE"""),46096.7709837963)</f>
        <v>46096.77098</v>
      </c>
      <c r="D608" s="1">
        <f>IFERROR(__xludf.DUMMYFUNCTION("""COMPUTED_VALUE"""),48.0)</f>
        <v>48</v>
      </c>
      <c r="E608" s="1" t="str">
        <f>IFERROR(__xludf.DUMMYFUNCTION("""COMPUTED_VALUE"""),"1144b357")</f>
        <v>1144b357</v>
      </c>
      <c r="F608" s="1"/>
    </row>
    <row r="609">
      <c r="A609" s="1" t="str">
        <f>IFERROR(__xludf.DUMMYFUNCTION("""COMPUTED_VALUE"""),"1ca7f573")</f>
        <v>1ca7f573</v>
      </c>
      <c r="B609" s="1" t="str">
        <f>IFERROR(__xludf.DUMMYFUNCTION("""COMPUTED_VALUE"""),"a19879cf")</f>
        <v>a19879cf</v>
      </c>
      <c r="C609" s="32">
        <f>IFERROR(__xludf.DUMMYFUNCTION("""COMPUTED_VALUE"""),46096.77101851852)</f>
        <v>46096.77102</v>
      </c>
      <c r="D609" s="1">
        <f>IFERROR(__xludf.DUMMYFUNCTION("""COMPUTED_VALUE"""),72.0)</f>
        <v>72</v>
      </c>
      <c r="E609" s="1" t="str">
        <f>IFERROR(__xludf.DUMMYFUNCTION("""COMPUTED_VALUE"""),"1144b357")</f>
        <v>1144b357</v>
      </c>
      <c r="F609" s="1"/>
    </row>
    <row r="610">
      <c r="A610" s="1" t="str">
        <f>IFERROR(__xludf.DUMMYFUNCTION("""COMPUTED_VALUE"""),"83182162")</f>
        <v>83182162</v>
      </c>
      <c r="B610" s="1" t="str">
        <f>IFERROR(__xludf.DUMMYFUNCTION("""COMPUTED_VALUE"""),"0f694cb5")</f>
        <v>0f694cb5</v>
      </c>
      <c r="C610" s="32">
        <f>IFERROR(__xludf.DUMMYFUNCTION("""COMPUTED_VALUE"""),46096.77106481481)</f>
        <v>46096.77106</v>
      </c>
      <c r="D610" s="1">
        <f>IFERROR(__xludf.DUMMYFUNCTION("""COMPUTED_VALUE"""),48.0)</f>
        <v>48</v>
      </c>
      <c r="E610" s="1" t="str">
        <f>IFERROR(__xludf.DUMMYFUNCTION("""COMPUTED_VALUE"""),"1144b357")</f>
        <v>1144b357</v>
      </c>
      <c r="F610" s="1"/>
    </row>
    <row r="611">
      <c r="A611" s="1" t="str">
        <f>IFERROR(__xludf.DUMMYFUNCTION("""COMPUTED_VALUE"""),"5d34e08d")</f>
        <v>5d34e08d</v>
      </c>
      <c r="B611" s="1" t="str">
        <f>IFERROR(__xludf.DUMMYFUNCTION("""COMPUTED_VALUE"""),"0064")</f>
        <v>0064</v>
      </c>
      <c r="C611" s="32">
        <f>IFERROR(__xludf.DUMMYFUNCTION("""COMPUTED_VALUE"""),46096.77111111111)</f>
        <v>46096.77111</v>
      </c>
      <c r="D611" s="1">
        <f>IFERROR(__xludf.DUMMYFUNCTION("""COMPUTED_VALUE"""),54.0)</f>
        <v>54</v>
      </c>
      <c r="E611" s="1" t="str">
        <f>IFERROR(__xludf.DUMMYFUNCTION("""COMPUTED_VALUE"""),"1144b357")</f>
        <v>1144b357</v>
      </c>
      <c r="F611" s="1"/>
    </row>
    <row r="612">
      <c r="A612" s="1" t="str">
        <f>IFERROR(__xludf.DUMMYFUNCTION("""COMPUTED_VALUE"""),"236bbee4")</f>
        <v>236bbee4</v>
      </c>
      <c r="B612" s="1" t="str">
        <f>IFERROR(__xludf.DUMMYFUNCTION("""COMPUTED_VALUE"""),"0032")</f>
        <v>0032</v>
      </c>
      <c r="C612" s="32">
        <f>IFERROR(__xludf.DUMMYFUNCTION("""COMPUTED_VALUE"""),46096.771157407406)</f>
        <v>46096.77116</v>
      </c>
      <c r="D612" s="1">
        <f>IFERROR(__xludf.DUMMYFUNCTION("""COMPUTED_VALUE"""),54.0)</f>
        <v>54</v>
      </c>
      <c r="E612" s="1" t="str">
        <f>IFERROR(__xludf.DUMMYFUNCTION("""COMPUTED_VALUE"""),"1144b357")</f>
        <v>1144b357</v>
      </c>
      <c r="F612" s="1"/>
    </row>
    <row r="613">
      <c r="A613" s="1" t="str">
        <f>IFERROR(__xludf.DUMMYFUNCTION("""COMPUTED_VALUE"""),"0d82b542")</f>
        <v>0d82b542</v>
      </c>
      <c r="B613" s="1" t="str">
        <f>IFERROR(__xludf.DUMMYFUNCTION("""COMPUTED_VALUE"""),"cb9e809e")</f>
        <v>cb9e809e</v>
      </c>
      <c r="C613" s="32">
        <f>IFERROR(__xludf.DUMMYFUNCTION("""COMPUTED_VALUE"""),46096.771215277775)</f>
        <v>46096.77122</v>
      </c>
      <c r="D613" s="1">
        <f>IFERROR(__xludf.DUMMYFUNCTION("""COMPUTED_VALUE"""),72.0)</f>
        <v>72</v>
      </c>
      <c r="E613" s="1" t="str">
        <f>IFERROR(__xludf.DUMMYFUNCTION("""COMPUTED_VALUE"""),"1144b357")</f>
        <v>1144b357</v>
      </c>
      <c r="F613" s="1"/>
    </row>
    <row r="614">
      <c r="A614" s="1" t="str">
        <f>IFERROR(__xludf.DUMMYFUNCTION("""COMPUTED_VALUE"""),"0b88284a")</f>
        <v>0b88284a</v>
      </c>
      <c r="B614" s="1" t="str">
        <f>IFERROR(__xludf.DUMMYFUNCTION("""COMPUTED_VALUE"""),"0049")</f>
        <v>0049</v>
      </c>
      <c r="C614" s="32">
        <f>IFERROR(__xludf.DUMMYFUNCTION("""COMPUTED_VALUE"""),46096.771261574075)</f>
        <v>46096.77126</v>
      </c>
      <c r="D614" s="1">
        <f>IFERROR(__xludf.DUMMYFUNCTION("""COMPUTED_VALUE"""),48.0)</f>
        <v>48</v>
      </c>
      <c r="E614" s="1" t="str">
        <f>IFERROR(__xludf.DUMMYFUNCTION("""COMPUTED_VALUE"""),"1144b357")</f>
        <v>1144b357</v>
      </c>
      <c r="F614" s="1"/>
    </row>
    <row r="615">
      <c r="A615" s="1" t="str">
        <f>IFERROR(__xludf.DUMMYFUNCTION("""COMPUTED_VALUE"""),"86f0edeb")</f>
        <v>86f0edeb</v>
      </c>
      <c r="B615" s="1" t="str">
        <f>IFERROR(__xludf.DUMMYFUNCTION("""COMPUTED_VALUE"""),"0021")</f>
        <v>0021</v>
      </c>
      <c r="C615" s="32">
        <f>IFERROR(__xludf.DUMMYFUNCTION("""COMPUTED_VALUE"""),46096.7712962963)</f>
        <v>46096.7713</v>
      </c>
      <c r="D615" s="1">
        <f>IFERROR(__xludf.DUMMYFUNCTION("""COMPUTED_VALUE"""),24.0)</f>
        <v>24</v>
      </c>
      <c r="E615" s="1" t="str">
        <f>IFERROR(__xludf.DUMMYFUNCTION("""COMPUTED_VALUE"""),"1144b357")</f>
        <v>1144b357</v>
      </c>
      <c r="F615" s="1"/>
    </row>
    <row r="616">
      <c r="A616" s="1" t="str">
        <f>IFERROR(__xludf.DUMMYFUNCTION("""COMPUTED_VALUE"""),"8bdc3d23")</f>
        <v>8bdc3d23</v>
      </c>
      <c r="B616" s="1" t="str">
        <f>IFERROR(__xludf.DUMMYFUNCTION("""COMPUTED_VALUE"""),"0002")</f>
        <v>0002</v>
      </c>
      <c r="C616" s="32">
        <f>IFERROR(__xludf.DUMMYFUNCTION("""COMPUTED_VALUE"""),46096.772141203706)</f>
        <v>46096.77214</v>
      </c>
      <c r="D616" s="1">
        <f>IFERROR(__xludf.DUMMYFUNCTION("""COMPUTED_VALUE"""),-60.0)</f>
        <v>-60</v>
      </c>
      <c r="E616" s="1"/>
      <c r="F616" s="1"/>
    </row>
    <row r="617">
      <c r="A617" s="1" t="str">
        <f>IFERROR(__xludf.DUMMYFUNCTION("""COMPUTED_VALUE"""),"567d0732")</f>
        <v>567d0732</v>
      </c>
      <c r="B617" s="1" t="str">
        <f>IFERROR(__xludf.DUMMYFUNCTION("""COMPUTED_VALUE"""),"0002")</f>
        <v>0002</v>
      </c>
      <c r="C617" s="32">
        <f>IFERROR(__xludf.DUMMYFUNCTION("""COMPUTED_VALUE"""),46096.77296296296)</f>
        <v>46096.77296</v>
      </c>
      <c r="D617" s="1">
        <f>IFERROR(__xludf.DUMMYFUNCTION("""COMPUTED_VALUE"""),600.0)</f>
        <v>600</v>
      </c>
      <c r="E617" s="1" t="str">
        <f>IFERROR(__xludf.DUMMYFUNCTION("""COMPUTED_VALUE"""),"de4ec195")</f>
        <v>de4ec195</v>
      </c>
      <c r="F617" s="1"/>
    </row>
    <row r="618">
      <c r="A618" s="1" t="str">
        <f>IFERROR(__xludf.DUMMYFUNCTION("""COMPUTED_VALUE"""),"39f97575")</f>
        <v>39f97575</v>
      </c>
      <c r="B618" s="1" t="str">
        <f>IFERROR(__xludf.DUMMYFUNCTION("""COMPUTED_VALUE"""),"bb6c2490")</f>
        <v>bb6c2490</v>
      </c>
      <c r="C618" s="32">
        <f>IFERROR(__xludf.DUMMYFUNCTION("""COMPUTED_VALUE"""),46096.77334490741)</f>
        <v>46096.77334</v>
      </c>
      <c r="D618" s="1">
        <f>IFERROR(__xludf.DUMMYFUNCTION("""COMPUTED_VALUE"""),36.0)</f>
        <v>36</v>
      </c>
      <c r="E618" s="1" t="str">
        <f>IFERROR(__xludf.DUMMYFUNCTION("""COMPUTED_VALUE"""),"c71a5b2c")</f>
        <v>c71a5b2c</v>
      </c>
      <c r="F618" s="1"/>
    </row>
    <row r="619">
      <c r="A619" s="1" t="str">
        <f>IFERROR(__xludf.DUMMYFUNCTION("""COMPUTED_VALUE"""),"011bc7d0")</f>
        <v>011bc7d0</v>
      </c>
      <c r="B619" s="1" t="str">
        <f>IFERROR(__xludf.DUMMYFUNCTION("""COMPUTED_VALUE"""),"0086")</f>
        <v>0086</v>
      </c>
      <c r="C619" s="32">
        <f>IFERROR(__xludf.DUMMYFUNCTION("""COMPUTED_VALUE"""),46096.7737037037)</f>
        <v>46096.7737</v>
      </c>
      <c r="D619" s="1">
        <f>IFERROR(__xludf.DUMMYFUNCTION("""COMPUTED_VALUE"""),32.0)</f>
        <v>32</v>
      </c>
      <c r="E619" s="1"/>
      <c r="F619" s="1"/>
    </row>
    <row r="620">
      <c r="A620" s="1" t="str">
        <f>IFERROR(__xludf.DUMMYFUNCTION("""COMPUTED_VALUE"""),"717832aa")</f>
        <v>717832aa</v>
      </c>
      <c r="B620" s="1" t="str">
        <f>IFERROR(__xludf.DUMMYFUNCTION("""COMPUTED_VALUE"""),"0086")</f>
        <v>0086</v>
      </c>
      <c r="C620" s="32">
        <f>IFERROR(__xludf.DUMMYFUNCTION("""COMPUTED_VALUE"""),46096.77386574074)</f>
        <v>46096.77387</v>
      </c>
      <c r="D620" s="1">
        <f>IFERROR(__xludf.DUMMYFUNCTION("""COMPUTED_VALUE"""),-34.0)</f>
        <v>-34</v>
      </c>
      <c r="E620" s="1"/>
      <c r="F620" s="1"/>
    </row>
    <row r="621">
      <c r="A621" s="1" t="str">
        <f>IFERROR(__xludf.DUMMYFUNCTION("""COMPUTED_VALUE"""),"486b132f")</f>
        <v>486b132f</v>
      </c>
      <c r="B621" s="1" t="str">
        <f>IFERROR(__xludf.DUMMYFUNCTION("""COMPUTED_VALUE"""),"0086")</f>
        <v>0086</v>
      </c>
      <c r="C621" s="32">
        <f>IFERROR(__xludf.DUMMYFUNCTION("""COMPUTED_VALUE"""),46096.77431712963)</f>
        <v>46096.77432</v>
      </c>
      <c r="D621" s="1">
        <f>IFERROR(__xludf.DUMMYFUNCTION("""COMPUTED_VALUE"""),-48.0)</f>
        <v>-48</v>
      </c>
      <c r="E621" s="1"/>
      <c r="F621" s="1"/>
    </row>
    <row r="622">
      <c r="A622" s="1" t="str">
        <f>IFERROR(__xludf.DUMMYFUNCTION("""COMPUTED_VALUE"""),"8f82aca8")</f>
        <v>8f82aca8</v>
      </c>
      <c r="B622" s="1" t="str">
        <f>IFERROR(__xludf.DUMMYFUNCTION("""COMPUTED_VALUE"""),"0086")</f>
        <v>0086</v>
      </c>
      <c r="C622" s="32">
        <f>IFERROR(__xludf.DUMMYFUNCTION("""COMPUTED_VALUE"""),46096.77447916667)</f>
        <v>46096.77448</v>
      </c>
      <c r="D622" s="1">
        <f>IFERROR(__xludf.DUMMYFUNCTION("""COMPUTED_VALUE"""),18.0)</f>
        <v>18</v>
      </c>
      <c r="E622" s="1"/>
      <c r="F622" s="1"/>
    </row>
    <row r="623">
      <c r="A623" s="1" t="str">
        <f>IFERROR(__xludf.DUMMYFUNCTION("""COMPUTED_VALUE"""),"c676868a")</f>
        <v>c676868a</v>
      </c>
      <c r="B623" s="1" t="str">
        <f>IFERROR(__xludf.DUMMYFUNCTION("""COMPUTED_VALUE"""),"bb6c2490")</f>
        <v>bb6c2490</v>
      </c>
      <c r="C623" s="32">
        <f>IFERROR(__xludf.DUMMYFUNCTION("""COMPUTED_VALUE"""),46096.775775462964)</f>
        <v>46096.77578</v>
      </c>
      <c r="D623" s="1">
        <f>IFERROR(__xludf.DUMMYFUNCTION("""COMPUTED_VALUE"""),1.0)</f>
        <v>1</v>
      </c>
      <c r="E623" s="1"/>
      <c r="F623" s="1"/>
    </row>
    <row r="624">
      <c r="A624" s="1" t="str">
        <f>IFERROR(__xludf.DUMMYFUNCTION("""COMPUTED_VALUE"""),"116b3f39")</f>
        <v>116b3f39</v>
      </c>
      <c r="B624" s="1" t="str">
        <f>IFERROR(__xludf.DUMMYFUNCTION("""COMPUTED_VALUE"""),"0011")</f>
        <v>0011</v>
      </c>
      <c r="C624" s="32">
        <f>IFERROR(__xludf.DUMMYFUNCTION("""COMPUTED_VALUE"""),46096.77596064815)</f>
        <v>46096.77596</v>
      </c>
      <c r="D624" s="1">
        <f>IFERROR(__xludf.DUMMYFUNCTION("""COMPUTED_VALUE"""),1.0)</f>
        <v>1</v>
      </c>
      <c r="E624" s="1"/>
      <c r="F624" s="1"/>
    </row>
    <row r="625">
      <c r="A625" s="1" t="str">
        <f>IFERROR(__xludf.DUMMYFUNCTION("""COMPUTED_VALUE"""),"ea7b03cd")</f>
        <v>ea7b03cd</v>
      </c>
      <c r="B625" s="1" t="str">
        <f>IFERROR(__xludf.DUMMYFUNCTION("""COMPUTED_VALUE"""),"83dd14b5")</f>
        <v>83dd14b5</v>
      </c>
      <c r="C625" s="32">
        <f>IFERROR(__xludf.DUMMYFUNCTION("""COMPUTED_VALUE"""),46096.776087962964)</f>
        <v>46096.77609</v>
      </c>
      <c r="D625" s="1">
        <f>IFERROR(__xludf.DUMMYFUNCTION("""COMPUTED_VALUE"""),1.0)</f>
        <v>1</v>
      </c>
      <c r="E625" s="1"/>
      <c r="F625" s="1"/>
    </row>
    <row r="626">
      <c r="A626" s="1" t="str">
        <f>IFERROR(__xludf.DUMMYFUNCTION("""COMPUTED_VALUE"""),"ed9c1d73")</f>
        <v>ed9c1d73</v>
      </c>
      <c r="B626" s="1" t="str">
        <f>IFERROR(__xludf.DUMMYFUNCTION("""COMPUTED_VALUE"""),"bb6c2490")</f>
        <v>bb6c2490</v>
      </c>
      <c r="C626" s="32">
        <f>IFERROR(__xludf.DUMMYFUNCTION("""COMPUTED_VALUE"""),46097.70278935185)</f>
        <v>46097.70279</v>
      </c>
      <c r="D626" s="1">
        <f>IFERROR(__xludf.DUMMYFUNCTION("""COMPUTED_VALUE"""),-9.0)</f>
        <v>-9</v>
      </c>
      <c r="E626" s="1"/>
      <c r="F626" s="1"/>
    </row>
    <row r="627">
      <c r="A627" s="1" t="str">
        <f>IFERROR(__xludf.DUMMYFUNCTION("""COMPUTED_VALUE"""),"d5beda67")</f>
        <v>d5beda67</v>
      </c>
      <c r="B627" s="1" t="str">
        <f>IFERROR(__xludf.DUMMYFUNCTION("""COMPUTED_VALUE"""),"b3204174")</f>
        <v>b3204174</v>
      </c>
      <c r="C627" s="32">
        <f>IFERROR(__xludf.DUMMYFUNCTION("""COMPUTED_VALUE"""),46097.702881944446)</f>
        <v>46097.70288</v>
      </c>
      <c r="D627" s="1">
        <f>IFERROR(__xludf.DUMMYFUNCTION("""COMPUTED_VALUE"""),-12.0)</f>
        <v>-12</v>
      </c>
      <c r="E627" s="1"/>
      <c r="F627" s="1"/>
    </row>
    <row r="628">
      <c r="A628" s="1" t="str">
        <f>IFERROR(__xludf.DUMMYFUNCTION("""COMPUTED_VALUE"""),"833eff88")</f>
        <v>833eff88</v>
      </c>
      <c r="B628" s="1" t="str">
        <f>IFERROR(__xludf.DUMMYFUNCTION("""COMPUTED_VALUE"""),"0001")</f>
        <v>0001</v>
      </c>
      <c r="C628" s="32">
        <f>IFERROR(__xludf.DUMMYFUNCTION("""COMPUTED_VALUE"""),46097.70296296296)</f>
        <v>46097.70296</v>
      </c>
      <c r="D628" s="1">
        <f>IFERROR(__xludf.DUMMYFUNCTION("""COMPUTED_VALUE"""),-14.0)</f>
        <v>-14</v>
      </c>
      <c r="E628" s="1"/>
      <c r="F628" s="1"/>
    </row>
    <row r="629">
      <c r="A629" s="1" t="str">
        <f>IFERROR(__xludf.DUMMYFUNCTION("""COMPUTED_VALUE"""),"474f9c85")</f>
        <v>474f9c85</v>
      </c>
      <c r="B629" s="1" t="str">
        <f>IFERROR(__xludf.DUMMYFUNCTION("""COMPUTED_VALUE"""),"12b96290")</f>
        <v>12b96290</v>
      </c>
      <c r="C629" s="32">
        <f>IFERROR(__xludf.DUMMYFUNCTION("""COMPUTED_VALUE"""),46097.70303240741)</f>
        <v>46097.70303</v>
      </c>
      <c r="D629" s="1">
        <f>IFERROR(__xludf.DUMMYFUNCTION("""COMPUTED_VALUE"""),-7.0)</f>
        <v>-7</v>
      </c>
      <c r="E629" s="1"/>
      <c r="F629" s="1"/>
    </row>
    <row r="630">
      <c r="A630" s="1" t="str">
        <f>IFERROR(__xludf.DUMMYFUNCTION("""COMPUTED_VALUE"""),"d1322966")</f>
        <v>d1322966</v>
      </c>
      <c r="B630" s="1" t="str">
        <f>IFERROR(__xludf.DUMMYFUNCTION("""COMPUTED_VALUE"""),"d5b5f9d1")</f>
        <v>d5b5f9d1</v>
      </c>
      <c r="C630" s="32">
        <f>IFERROR(__xludf.DUMMYFUNCTION("""COMPUTED_VALUE"""),46097.70313657408)</f>
        <v>46097.70314</v>
      </c>
      <c r="D630" s="1">
        <f>IFERROR(__xludf.DUMMYFUNCTION("""COMPUTED_VALUE"""),-14.0)</f>
        <v>-14</v>
      </c>
      <c r="E630" s="1"/>
      <c r="F630" s="1"/>
    </row>
    <row r="631">
      <c r="A631" s="1" t="str">
        <f>IFERROR(__xludf.DUMMYFUNCTION("""COMPUTED_VALUE"""),"ddae2474")</f>
        <v>ddae2474</v>
      </c>
      <c r="B631" s="1" t="str">
        <f>IFERROR(__xludf.DUMMYFUNCTION("""COMPUTED_VALUE"""),"0af806f8")</f>
        <v>0af806f8</v>
      </c>
      <c r="C631" s="32">
        <f>IFERROR(__xludf.DUMMYFUNCTION("""COMPUTED_VALUE"""),46097.703310185185)</f>
        <v>46097.70331</v>
      </c>
      <c r="D631" s="1">
        <f>IFERROR(__xludf.DUMMYFUNCTION("""COMPUTED_VALUE"""),-14.0)</f>
        <v>-14</v>
      </c>
      <c r="E631" s="1"/>
      <c r="F631" s="1"/>
    </row>
    <row r="632">
      <c r="A632" s="1" t="str">
        <f>IFERROR(__xludf.DUMMYFUNCTION("""COMPUTED_VALUE"""),"cc080309")</f>
        <v>cc080309</v>
      </c>
      <c r="B632" s="1" t="str">
        <f>IFERROR(__xludf.DUMMYFUNCTION("""COMPUTED_VALUE"""),"561399a6")</f>
        <v>561399a6</v>
      </c>
      <c r="C632" s="32">
        <f>IFERROR(__xludf.DUMMYFUNCTION("""COMPUTED_VALUE"""),46097.70353009259)</f>
        <v>46097.70353</v>
      </c>
      <c r="D632" s="1">
        <f>IFERROR(__xludf.DUMMYFUNCTION("""COMPUTED_VALUE"""),-16.0)</f>
        <v>-16</v>
      </c>
      <c r="E632" s="1"/>
      <c r="F632" s="1"/>
    </row>
    <row r="633">
      <c r="A633" s="1" t="str">
        <f>IFERROR(__xludf.DUMMYFUNCTION("""COMPUTED_VALUE"""),"0f3be98b")</f>
        <v>0f3be98b</v>
      </c>
      <c r="B633" s="1" t="str">
        <f>IFERROR(__xludf.DUMMYFUNCTION("""COMPUTED_VALUE"""),"02d86a9b")</f>
        <v>02d86a9b</v>
      </c>
      <c r="C633" s="32">
        <f>IFERROR(__xludf.DUMMYFUNCTION("""COMPUTED_VALUE"""),46097.70505787037)</f>
        <v>46097.70506</v>
      </c>
      <c r="D633" s="1">
        <f>IFERROR(__xludf.DUMMYFUNCTION("""COMPUTED_VALUE"""),-12.0)</f>
        <v>-12</v>
      </c>
      <c r="E633" s="1"/>
      <c r="F633" s="1"/>
    </row>
    <row r="634">
      <c r="A634" s="1" t="str">
        <f>IFERROR(__xludf.DUMMYFUNCTION("""COMPUTED_VALUE"""),"049782ff")</f>
        <v>049782ff</v>
      </c>
      <c r="B634" s="1" t="str">
        <f>IFERROR(__xludf.DUMMYFUNCTION("""COMPUTED_VALUE"""),"a19879cf")</f>
        <v>a19879cf</v>
      </c>
      <c r="C634" s="32">
        <f>IFERROR(__xludf.DUMMYFUNCTION("""COMPUTED_VALUE"""),46097.7052662037)</f>
        <v>46097.70527</v>
      </c>
      <c r="D634" s="1">
        <f>IFERROR(__xludf.DUMMYFUNCTION("""COMPUTED_VALUE"""),-12.0)</f>
        <v>-12</v>
      </c>
      <c r="E634" s="1"/>
      <c r="F634" s="1"/>
    </row>
    <row r="635">
      <c r="A635" s="1" t="str">
        <f>IFERROR(__xludf.DUMMYFUNCTION("""COMPUTED_VALUE"""),"ba993d58")</f>
        <v>ba993d58</v>
      </c>
      <c r="B635" s="1" t="str">
        <f>IFERROR(__xludf.DUMMYFUNCTION("""COMPUTED_VALUE"""),"bb4d1bd1")</f>
        <v>bb4d1bd1</v>
      </c>
      <c r="C635" s="32">
        <f>IFERROR(__xludf.DUMMYFUNCTION("""COMPUTED_VALUE"""),46097.70537037037)</f>
        <v>46097.70537</v>
      </c>
      <c r="D635" s="1">
        <f>IFERROR(__xludf.DUMMYFUNCTION("""COMPUTED_VALUE"""),-12.0)</f>
        <v>-12</v>
      </c>
      <c r="E635" s="1"/>
      <c r="F635" s="1"/>
    </row>
    <row r="636">
      <c r="A636" s="1" t="str">
        <f>IFERROR(__xludf.DUMMYFUNCTION("""COMPUTED_VALUE"""),"7739a436")</f>
        <v>7739a436</v>
      </c>
      <c r="B636" s="1" t="str">
        <f>IFERROR(__xludf.DUMMYFUNCTION("""COMPUTED_VALUE"""),"0086")</f>
        <v>0086</v>
      </c>
      <c r="C636" s="32">
        <f>IFERROR(__xludf.DUMMYFUNCTION("""COMPUTED_VALUE"""),46097.705625)</f>
        <v>46097.70563</v>
      </c>
      <c r="D636" s="1">
        <f>IFERROR(__xludf.DUMMYFUNCTION("""COMPUTED_VALUE"""),-11.0)</f>
        <v>-11</v>
      </c>
      <c r="E636" s="1"/>
      <c r="F636" s="1"/>
    </row>
    <row r="637">
      <c r="A637" s="1" t="str">
        <f>IFERROR(__xludf.DUMMYFUNCTION("""COMPUTED_VALUE"""),"47435d88")</f>
        <v>47435d88</v>
      </c>
      <c r="B637" s="1" t="str">
        <f>IFERROR(__xludf.DUMMYFUNCTION("""COMPUTED_VALUE"""),"561399a6")</f>
        <v>561399a6</v>
      </c>
      <c r="C637" s="32">
        <f>IFERROR(__xludf.DUMMYFUNCTION("""COMPUTED_VALUE"""),46097.70690972222)</f>
        <v>46097.70691</v>
      </c>
      <c r="D637" s="1">
        <f>IFERROR(__xludf.DUMMYFUNCTION("""COMPUTED_VALUE"""),-16.0)</f>
        <v>-16</v>
      </c>
      <c r="E637" s="1"/>
      <c r="F637" s="1"/>
    </row>
    <row r="638">
      <c r="A638" s="1" t="str">
        <f>IFERROR(__xludf.DUMMYFUNCTION("""COMPUTED_VALUE"""),"f87b23a0")</f>
        <v>f87b23a0</v>
      </c>
      <c r="B638" s="1" t="str">
        <f>IFERROR(__xludf.DUMMYFUNCTION("""COMPUTED_VALUE"""),"83dd14b5")</f>
        <v>83dd14b5</v>
      </c>
      <c r="C638" s="32">
        <f>IFERROR(__xludf.DUMMYFUNCTION("""COMPUTED_VALUE"""),46097.70730324074)</f>
        <v>46097.7073</v>
      </c>
      <c r="D638" s="1">
        <f>IFERROR(__xludf.DUMMYFUNCTION("""COMPUTED_VALUE"""),-5.0)</f>
        <v>-5</v>
      </c>
      <c r="E638" s="1"/>
      <c r="F638" s="1"/>
    </row>
    <row r="639">
      <c r="A639" s="1" t="str">
        <f>IFERROR(__xludf.DUMMYFUNCTION("""COMPUTED_VALUE"""),"231d17b1")</f>
        <v>231d17b1</v>
      </c>
      <c r="B639" s="1" t="str">
        <f>IFERROR(__xludf.DUMMYFUNCTION("""COMPUTED_VALUE"""),"cb9e809e")</f>
        <v>cb9e809e</v>
      </c>
      <c r="C639" s="32">
        <f>IFERROR(__xludf.DUMMYFUNCTION("""COMPUTED_VALUE"""),46097.70755787037)</f>
        <v>46097.70756</v>
      </c>
      <c r="D639" s="1">
        <f>IFERROR(__xludf.DUMMYFUNCTION("""COMPUTED_VALUE"""),-12.0)</f>
        <v>-12</v>
      </c>
      <c r="E639" s="1"/>
      <c r="F639" s="1"/>
    </row>
    <row r="640">
      <c r="A640" s="1" t="str">
        <f>IFERROR(__xludf.DUMMYFUNCTION("""COMPUTED_VALUE"""),"9063a98e")</f>
        <v>9063a98e</v>
      </c>
      <c r="B640" s="1" t="str">
        <f>IFERROR(__xludf.DUMMYFUNCTION("""COMPUTED_VALUE"""),"cf6c9481")</f>
        <v>cf6c9481</v>
      </c>
      <c r="C640" s="32">
        <f>IFERROR(__xludf.DUMMYFUNCTION("""COMPUTED_VALUE"""),46097.70858796296)</f>
        <v>46097.70859</v>
      </c>
      <c r="D640" s="1">
        <f>IFERROR(__xludf.DUMMYFUNCTION("""COMPUTED_VALUE"""),-4.0)</f>
        <v>-4</v>
      </c>
      <c r="E640" s="1"/>
      <c r="F640" s="1"/>
    </row>
    <row r="641">
      <c r="A641" s="1" t="str">
        <f>IFERROR(__xludf.DUMMYFUNCTION("""COMPUTED_VALUE"""),"1458b027")</f>
        <v>1458b027</v>
      </c>
      <c r="B641" s="1" t="str">
        <f>IFERROR(__xludf.DUMMYFUNCTION("""COMPUTED_VALUE"""),"0049")</f>
        <v>0049</v>
      </c>
      <c r="C641" s="32">
        <f>IFERROR(__xludf.DUMMYFUNCTION("""COMPUTED_VALUE"""),46097.708715277775)</f>
        <v>46097.70872</v>
      </c>
      <c r="D641" s="1">
        <f>IFERROR(__xludf.DUMMYFUNCTION("""COMPUTED_VALUE"""),-14.0)</f>
        <v>-14</v>
      </c>
      <c r="E641" s="1"/>
      <c r="F641" s="1"/>
    </row>
    <row r="642">
      <c r="A642" s="1" t="str">
        <f>IFERROR(__xludf.DUMMYFUNCTION("""COMPUTED_VALUE"""),"516fd3ba")</f>
        <v>516fd3ba</v>
      </c>
      <c r="B642" s="1" t="str">
        <f>IFERROR(__xludf.DUMMYFUNCTION("""COMPUTED_VALUE"""),"0064")</f>
        <v>0064</v>
      </c>
      <c r="C642" s="32">
        <f>IFERROR(__xludf.DUMMYFUNCTION("""COMPUTED_VALUE"""),46097.708819444444)</f>
        <v>46097.70882</v>
      </c>
      <c r="D642" s="1">
        <f>IFERROR(__xludf.DUMMYFUNCTION("""COMPUTED_VALUE"""),-3.0)</f>
        <v>-3</v>
      </c>
      <c r="E642" s="1"/>
      <c r="F642" s="1"/>
    </row>
    <row r="643">
      <c r="A643" s="1" t="str">
        <f>IFERROR(__xludf.DUMMYFUNCTION("""COMPUTED_VALUE"""),"8f30dada")</f>
        <v>8f30dada</v>
      </c>
      <c r="B643" s="1" t="str">
        <f>IFERROR(__xludf.DUMMYFUNCTION("""COMPUTED_VALUE"""),"0032")</f>
        <v>0032</v>
      </c>
      <c r="C643" s="32">
        <f>IFERROR(__xludf.DUMMYFUNCTION("""COMPUTED_VALUE"""),46097.70894675926)</f>
        <v>46097.70895</v>
      </c>
      <c r="D643" s="1">
        <f>IFERROR(__xludf.DUMMYFUNCTION("""COMPUTED_VALUE"""),-10.0)</f>
        <v>-10</v>
      </c>
      <c r="E643" s="1"/>
      <c r="F643" s="1"/>
    </row>
    <row r="644">
      <c r="A644" s="1" t="str">
        <f>IFERROR(__xludf.DUMMYFUNCTION("""COMPUTED_VALUE"""),"61ce96c4")</f>
        <v>61ce96c4</v>
      </c>
      <c r="B644" s="1" t="str">
        <f>IFERROR(__xludf.DUMMYFUNCTION("""COMPUTED_VALUE"""),"0011")</f>
        <v>0011</v>
      </c>
      <c r="C644" s="32">
        <f>IFERROR(__xludf.DUMMYFUNCTION("""COMPUTED_VALUE"""),46097.71226851852)</f>
        <v>46097.71227</v>
      </c>
      <c r="D644" s="1">
        <f>IFERROR(__xludf.DUMMYFUNCTION("""COMPUTED_VALUE"""),-15.0)</f>
        <v>-15</v>
      </c>
      <c r="E644" s="1"/>
      <c r="F644" s="1"/>
    </row>
    <row r="645">
      <c r="A645" s="1" t="str">
        <f>IFERROR(__xludf.DUMMYFUNCTION("""COMPUTED_VALUE"""),"3e4274d6")</f>
        <v>3e4274d6</v>
      </c>
      <c r="B645" s="1" t="str">
        <f>IFERROR(__xludf.DUMMYFUNCTION("""COMPUTED_VALUE"""),"a3f74383")</f>
        <v>a3f74383</v>
      </c>
      <c r="C645" s="32">
        <f>IFERROR(__xludf.DUMMYFUNCTION("""COMPUTED_VALUE"""),46097.71238425926)</f>
        <v>46097.71238</v>
      </c>
      <c r="D645" s="1">
        <f>IFERROR(__xludf.DUMMYFUNCTION("""COMPUTED_VALUE"""),-7.0)</f>
        <v>-7</v>
      </c>
      <c r="E645" s="1"/>
      <c r="F645" s="1"/>
    </row>
    <row r="646">
      <c r="A646" s="1" t="str">
        <f>IFERROR(__xludf.DUMMYFUNCTION("""COMPUTED_VALUE"""),"8da479b8")</f>
        <v>8da479b8</v>
      </c>
      <c r="B646" s="1" t="str">
        <f>IFERROR(__xludf.DUMMYFUNCTION("""COMPUTED_VALUE"""),"0029")</f>
        <v>0029</v>
      </c>
      <c r="C646" s="32">
        <f>IFERROR(__xludf.DUMMYFUNCTION("""COMPUTED_VALUE"""),46097.712488425925)</f>
        <v>46097.71249</v>
      </c>
      <c r="D646" s="1">
        <f>IFERROR(__xludf.DUMMYFUNCTION("""COMPUTED_VALUE"""),-5.0)</f>
        <v>-5</v>
      </c>
      <c r="E646" s="1"/>
      <c r="F646" s="1"/>
    </row>
    <row r="647">
      <c r="A647" s="1" t="str">
        <f>IFERROR(__xludf.DUMMYFUNCTION("""COMPUTED_VALUE"""),"8c2cb79b")</f>
        <v>8c2cb79b</v>
      </c>
      <c r="B647" s="1" t="str">
        <f>IFERROR(__xludf.DUMMYFUNCTION("""COMPUTED_VALUE"""),"0054")</f>
        <v>0054</v>
      </c>
      <c r="C647" s="32">
        <f>IFERROR(__xludf.DUMMYFUNCTION("""COMPUTED_VALUE"""),46097.71258101852)</f>
        <v>46097.71258</v>
      </c>
      <c r="D647" s="1">
        <f>IFERROR(__xludf.DUMMYFUNCTION("""COMPUTED_VALUE"""),-3.0)</f>
        <v>-3</v>
      </c>
      <c r="E647" s="1"/>
      <c r="F647" s="1"/>
    </row>
    <row r="648">
      <c r="A648" s="1" t="str">
        <f>IFERROR(__xludf.DUMMYFUNCTION("""COMPUTED_VALUE"""),"1d17e5cc")</f>
        <v>1d17e5cc</v>
      </c>
      <c r="B648" s="1" t="str">
        <f>IFERROR(__xludf.DUMMYFUNCTION("""COMPUTED_VALUE"""),"0002")</f>
        <v>0002</v>
      </c>
      <c r="C648" s="32">
        <f>IFERROR(__xludf.DUMMYFUNCTION("""COMPUTED_VALUE"""),46097.71287037037)</f>
        <v>46097.71287</v>
      </c>
      <c r="D648" s="1">
        <f>IFERROR(__xludf.DUMMYFUNCTION("""COMPUTED_VALUE"""),-60.0)</f>
        <v>-60</v>
      </c>
      <c r="E648" s="1"/>
      <c r="F648" s="1"/>
    </row>
    <row r="649">
      <c r="A649" s="1" t="str">
        <f>IFERROR(__xludf.DUMMYFUNCTION("""COMPUTED_VALUE"""),"b1a750ee")</f>
        <v>b1a750ee</v>
      </c>
      <c r="B649" s="1" t="str">
        <f>IFERROR(__xludf.DUMMYFUNCTION("""COMPUTED_VALUE"""),"561399a6")</f>
        <v>561399a6</v>
      </c>
      <c r="C649" s="32">
        <f>IFERROR(__xludf.DUMMYFUNCTION("""COMPUTED_VALUE"""),46097.77056712963)</f>
        <v>46097.77057</v>
      </c>
      <c r="D649" s="1">
        <f>IFERROR(__xludf.DUMMYFUNCTION("""COMPUTED_VALUE"""),16.0)</f>
        <v>16</v>
      </c>
      <c r="E649" s="1"/>
      <c r="F649" s="1"/>
    </row>
    <row r="650">
      <c r="A650" s="1" t="str">
        <f>IFERROR(__xludf.DUMMYFUNCTION("""COMPUTED_VALUE"""),"d96b79b2")</f>
        <v>d96b79b2</v>
      </c>
      <c r="B650" s="1" t="str">
        <f>IFERROR(__xludf.DUMMYFUNCTION("""COMPUTED_VALUE"""),"bb6c2490")</f>
        <v>bb6c2490</v>
      </c>
      <c r="C650" s="32">
        <f>IFERROR(__xludf.DUMMYFUNCTION("""COMPUTED_VALUE"""),46098.12092592593)</f>
        <v>46098.12093</v>
      </c>
      <c r="D650" s="1">
        <f>IFERROR(__xludf.DUMMYFUNCTION("""COMPUTED_VALUE"""),-14.0)</f>
        <v>-14</v>
      </c>
      <c r="E650" s="1"/>
      <c r="F650" s="1"/>
    </row>
    <row r="651">
      <c r="A651" s="1" t="str">
        <f>IFERROR(__xludf.DUMMYFUNCTION("""COMPUTED_VALUE"""),"cc5aa455")</f>
        <v>cc5aa455</v>
      </c>
      <c r="B651" s="1" t="str">
        <f>IFERROR(__xludf.DUMMYFUNCTION("""COMPUTED_VALUE"""),"c099f042")</f>
        <v>c099f042</v>
      </c>
      <c r="C651" s="32">
        <f>IFERROR(__xludf.DUMMYFUNCTION("""COMPUTED_VALUE"""),46098.12100694444)</f>
        <v>46098.12101</v>
      </c>
      <c r="D651" s="1">
        <f>IFERROR(__xludf.DUMMYFUNCTION("""COMPUTED_VALUE"""),-7.0)</f>
        <v>-7</v>
      </c>
      <c r="E651" s="1"/>
      <c r="F651" s="1"/>
    </row>
    <row r="652">
      <c r="A652" s="1" t="str">
        <f>IFERROR(__xludf.DUMMYFUNCTION("""COMPUTED_VALUE"""),"ec264b67")</f>
        <v>ec264b67</v>
      </c>
      <c r="B652" s="1" t="str">
        <f>IFERROR(__xludf.DUMMYFUNCTION("""COMPUTED_VALUE"""),"0001")</f>
        <v>0001</v>
      </c>
      <c r="C652" s="32">
        <f>IFERROR(__xludf.DUMMYFUNCTION("""COMPUTED_VALUE"""),46098.12107638889)</f>
        <v>46098.12108</v>
      </c>
      <c r="D652" s="1">
        <f>IFERROR(__xludf.DUMMYFUNCTION("""COMPUTED_VALUE"""),-7.0)</f>
        <v>-7</v>
      </c>
      <c r="E652" s="1"/>
      <c r="F652" s="1"/>
    </row>
    <row r="653">
      <c r="A653" s="1" t="str">
        <f>IFERROR(__xludf.DUMMYFUNCTION("""COMPUTED_VALUE"""),"5839923b")</f>
        <v>5839923b</v>
      </c>
      <c r="B653" s="1" t="str">
        <f>IFERROR(__xludf.DUMMYFUNCTION("""COMPUTED_VALUE"""),"12b96290")</f>
        <v>12b96290</v>
      </c>
      <c r="C653" s="32">
        <f>IFERROR(__xludf.DUMMYFUNCTION("""COMPUTED_VALUE"""),46098.12113425926)</f>
        <v>46098.12113</v>
      </c>
      <c r="D653" s="1">
        <f>IFERROR(__xludf.DUMMYFUNCTION("""COMPUTED_VALUE"""),-7.0)</f>
        <v>-7</v>
      </c>
      <c r="E653" s="1"/>
      <c r="F653" s="1"/>
    </row>
    <row r="654">
      <c r="A654" s="1" t="str">
        <f>IFERROR(__xludf.DUMMYFUNCTION("""COMPUTED_VALUE"""),"617a978f")</f>
        <v>617a978f</v>
      </c>
      <c r="B654" s="1" t="str">
        <f>IFERROR(__xludf.DUMMYFUNCTION("""COMPUTED_VALUE"""),"0af806f8")</f>
        <v>0af806f8</v>
      </c>
      <c r="C654" s="32">
        <f>IFERROR(__xludf.DUMMYFUNCTION("""COMPUTED_VALUE"""),46098.121203703704)</f>
        <v>46098.1212</v>
      </c>
      <c r="D654" s="1">
        <f>IFERROR(__xludf.DUMMYFUNCTION("""COMPUTED_VALUE"""),-14.0)</f>
        <v>-14</v>
      </c>
      <c r="E654" s="1"/>
      <c r="F654" s="1"/>
    </row>
    <row r="655">
      <c r="A655" s="1" t="str">
        <f>IFERROR(__xludf.DUMMYFUNCTION("""COMPUTED_VALUE"""),"509cf504")</f>
        <v>509cf504</v>
      </c>
      <c r="B655" s="1" t="str">
        <f>IFERROR(__xludf.DUMMYFUNCTION("""COMPUTED_VALUE"""),"0033")</f>
        <v>0033</v>
      </c>
      <c r="C655" s="32">
        <f>IFERROR(__xludf.DUMMYFUNCTION("""COMPUTED_VALUE"""),46098.12253472222)</f>
        <v>46098.12253</v>
      </c>
      <c r="D655" s="1">
        <f>IFERROR(__xludf.DUMMYFUNCTION("""COMPUTED_VALUE"""),-6.0)</f>
        <v>-6</v>
      </c>
      <c r="E655" s="1"/>
      <c r="F655" s="1"/>
    </row>
    <row r="656">
      <c r="A656" s="1" t="str">
        <f>IFERROR(__xludf.DUMMYFUNCTION("""COMPUTED_VALUE"""),"5158e3b3")</f>
        <v>5158e3b3</v>
      </c>
      <c r="B656" s="1" t="str">
        <f>IFERROR(__xludf.DUMMYFUNCTION("""COMPUTED_VALUE"""),"a19879cf")</f>
        <v>a19879cf</v>
      </c>
      <c r="C656" s="32">
        <f>IFERROR(__xludf.DUMMYFUNCTION("""COMPUTED_VALUE"""),46098.12358796296)</f>
        <v>46098.12359</v>
      </c>
      <c r="D656" s="1">
        <f>IFERROR(__xludf.DUMMYFUNCTION("""COMPUTED_VALUE"""),-11.0)</f>
        <v>-11</v>
      </c>
      <c r="E656" s="1"/>
      <c r="F656" s="1"/>
    </row>
    <row r="657">
      <c r="A657" s="1" t="str">
        <f>IFERROR(__xludf.DUMMYFUNCTION("""COMPUTED_VALUE"""),"e118af1e")</f>
        <v>e118af1e</v>
      </c>
      <c r="B657" s="1" t="str">
        <f>IFERROR(__xludf.DUMMYFUNCTION("""COMPUTED_VALUE"""),"a19879cf")</f>
        <v>a19879cf</v>
      </c>
      <c r="C657" s="32">
        <f>IFERROR(__xludf.DUMMYFUNCTION("""COMPUTED_VALUE"""),46098.12384259259)</f>
        <v>46098.12384</v>
      </c>
      <c r="D657" s="1">
        <f>IFERROR(__xludf.DUMMYFUNCTION("""COMPUTED_VALUE"""),-1.0)</f>
        <v>-1</v>
      </c>
      <c r="E657" s="1"/>
      <c r="F657" s="1"/>
    </row>
    <row r="658">
      <c r="A658" s="1" t="str">
        <f>IFERROR(__xludf.DUMMYFUNCTION("""COMPUTED_VALUE"""),"9e1a67cf")</f>
        <v>9e1a67cf</v>
      </c>
      <c r="B658" s="1" t="str">
        <f>IFERROR(__xludf.DUMMYFUNCTION("""COMPUTED_VALUE"""),"bb4d1bd1")</f>
        <v>bb4d1bd1</v>
      </c>
      <c r="C658" s="32">
        <f>IFERROR(__xludf.DUMMYFUNCTION("""COMPUTED_VALUE"""),46098.12398148148)</f>
        <v>46098.12398</v>
      </c>
      <c r="D658" s="1">
        <f>IFERROR(__xludf.DUMMYFUNCTION("""COMPUTED_VALUE"""),-12.0)</f>
        <v>-12</v>
      </c>
      <c r="E658" s="1"/>
      <c r="F658" s="1"/>
    </row>
    <row r="659">
      <c r="A659" s="1" t="str">
        <f>IFERROR(__xludf.DUMMYFUNCTION("""COMPUTED_VALUE"""),"aec20e30")</f>
        <v>aec20e30</v>
      </c>
      <c r="B659" s="1" t="str">
        <f>IFERROR(__xludf.DUMMYFUNCTION("""COMPUTED_VALUE"""),"0014")</f>
        <v>0014</v>
      </c>
      <c r="C659" s="32">
        <f>IFERROR(__xludf.DUMMYFUNCTION("""COMPUTED_VALUE"""),46098.12505787037)</f>
        <v>46098.12506</v>
      </c>
      <c r="D659" s="1">
        <f>IFERROR(__xludf.DUMMYFUNCTION("""COMPUTED_VALUE"""),-10.0)</f>
        <v>-10</v>
      </c>
      <c r="E659" s="1"/>
      <c r="F659" s="1"/>
    </row>
    <row r="660">
      <c r="A660" s="1" t="str">
        <f>IFERROR(__xludf.DUMMYFUNCTION("""COMPUTED_VALUE"""),"0ee871f8")</f>
        <v>0ee871f8</v>
      </c>
      <c r="B660" s="1" t="str">
        <f>IFERROR(__xludf.DUMMYFUNCTION("""COMPUTED_VALUE"""),"0027")</f>
        <v>0027</v>
      </c>
      <c r="C660" s="32">
        <f>IFERROR(__xludf.DUMMYFUNCTION("""COMPUTED_VALUE"""),46098.12527777778)</f>
        <v>46098.12528</v>
      </c>
      <c r="D660" s="1">
        <f>IFERROR(__xludf.DUMMYFUNCTION("""COMPUTED_VALUE"""),-5.0)</f>
        <v>-5</v>
      </c>
      <c r="E660" s="1"/>
      <c r="F660" s="1"/>
    </row>
    <row r="661">
      <c r="A661" s="1" t="str">
        <f>IFERROR(__xludf.DUMMYFUNCTION("""COMPUTED_VALUE"""),"84db2a0d")</f>
        <v>84db2a0d</v>
      </c>
      <c r="B661" s="1" t="str">
        <f>IFERROR(__xludf.DUMMYFUNCTION("""COMPUTED_VALUE"""),"1b6b5ed6")</f>
        <v>1b6b5ed6</v>
      </c>
      <c r="C661" s="32">
        <f>IFERROR(__xludf.DUMMYFUNCTION("""COMPUTED_VALUE"""),46098.125752314816)</f>
        <v>46098.12575</v>
      </c>
      <c r="D661" s="1">
        <f>IFERROR(__xludf.DUMMYFUNCTION("""COMPUTED_VALUE"""),-19.0)</f>
        <v>-19</v>
      </c>
      <c r="E661" s="1"/>
      <c r="F661" s="1"/>
    </row>
    <row r="662">
      <c r="A662" s="1" t="str">
        <f>IFERROR(__xludf.DUMMYFUNCTION("""COMPUTED_VALUE"""),"c0153350")</f>
        <v>c0153350</v>
      </c>
      <c r="B662" s="1" t="str">
        <f>IFERROR(__xludf.DUMMYFUNCTION("""COMPUTED_VALUE"""),"0032")</f>
        <v>0032</v>
      </c>
      <c r="C662" s="32">
        <f>IFERROR(__xludf.DUMMYFUNCTION("""COMPUTED_VALUE"""),46098.125925925924)</f>
        <v>46098.12593</v>
      </c>
      <c r="D662" s="1">
        <f>IFERROR(__xludf.DUMMYFUNCTION("""COMPUTED_VALUE"""),-4.0)</f>
        <v>-4</v>
      </c>
      <c r="E662" s="1"/>
      <c r="F662" s="1"/>
    </row>
    <row r="663">
      <c r="A663" s="1" t="str">
        <f>IFERROR(__xludf.DUMMYFUNCTION("""COMPUTED_VALUE"""),"2a583b98")</f>
        <v>2a583b98</v>
      </c>
      <c r="B663" s="1" t="str">
        <f>IFERROR(__xludf.DUMMYFUNCTION("""COMPUTED_VALUE"""),"0064")</f>
        <v>0064</v>
      </c>
      <c r="C663" s="32">
        <f>IFERROR(__xludf.DUMMYFUNCTION("""COMPUTED_VALUE"""),46098.12605324074)</f>
        <v>46098.12605</v>
      </c>
      <c r="D663" s="1">
        <f>IFERROR(__xludf.DUMMYFUNCTION("""COMPUTED_VALUE"""),-7.0)</f>
        <v>-7</v>
      </c>
      <c r="E663" s="1"/>
      <c r="F663" s="1"/>
    </row>
    <row r="664">
      <c r="A664" s="1" t="str">
        <f>IFERROR(__xludf.DUMMYFUNCTION("""COMPUTED_VALUE"""),"d105d95f")</f>
        <v>d105d95f</v>
      </c>
      <c r="B664" s="1" t="str">
        <f>IFERROR(__xludf.DUMMYFUNCTION("""COMPUTED_VALUE"""),"0f694cb5")</f>
        <v>0f694cb5</v>
      </c>
      <c r="C664" s="32">
        <f>IFERROR(__xludf.DUMMYFUNCTION("""COMPUTED_VALUE"""),46098.12721064815)</f>
        <v>46098.12721</v>
      </c>
      <c r="D664" s="1">
        <f>IFERROR(__xludf.DUMMYFUNCTION("""COMPUTED_VALUE"""),-8.0)</f>
        <v>-8</v>
      </c>
      <c r="E664" s="1"/>
      <c r="F664" s="1"/>
    </row>
    <row r="665">
      <c r="A665" s="1" t="str">
        <f>IFERROR(__xludf.DUMMYFUNCTION("""COMPUTED_VALUE"""),"a9db3a24")</f>
        <v>a9db3a24</v>
      </c>
      <c r="B665" s="1" t="str">
        <f>IFERROR(__xludf.DUMMYFUNCTION("""COMPUTED_VALUE"""),"0f694cb5")</f>
        <v>0f694cb5</v>
      </c>
      <c r="C665" s="32">
        <f>IFERROR(__xludf.DUMMYFUNCTION("""COMPUTED_VALUE"""),46098.127546296295)</f>
        <v>46098.12755</v>
      </c>
      <c r="D665" s="1">
        <f>IFERROR(__xludf.DUMMYFUNCTION("""COMPUTED_VALUE"""),-4.0)</f>
        <v>-4</v>
      </c>
      <c r="E665" s="1"/>
      <c r="F665" s="1"/>
    </row>
    <row r="666">
      <c r="A666" s="1" t="str">
        <f>IFERROR(__xludf.DUMMYFUNCTION("""COMPUTED_VALUE"""),"8bd260a2")</f>
        <v>8bd260a2</v>
      </c>
      <c r="B666" s="1" t="str">
        <f>IFERROR(__xludf.DUMMYFUNCTION("""COMPUTED_VALUE"""),"0011")</f>
        <v>0011</v>
      </c>
      <c r="C666" s="32">
        <f>IFERROR(__xludf.DUMMYFUNCTION("""COMPUTED_VALUE"""),46098.128483796296)</f>
        <v>46098.12848</v>
      </c>
      <c r="D666" s="1">
        <f>IFERROR(__xludf.DUMMYFUNCTION("""COMPUTED_VALUE"""),-13.0)</f>
        <v>-13</v>
      </c>
      <c r="E666" s="1"/>
      <c r="F666" s="1"/>
    </row>
    <row r="667">
      <c r="A667" s="1" t="str">
        <f>IFERROR(__xludf.DUMMYFUNCTION("""COMPUTED_VALUE"""),"7e20d000")</f>
        <v>7e20d000</v>
      </c>
      <c r="B667" s="1" t="str">
        <f>IFERROR(__xludf.DUMMYFUNCTION("""COMPUTED_VALUE"""),"0002")</f>
        <v>0002</v>
      </c>
      <c r="C667" s="32">
        <f>IFERROR(__xludf.DUMMYFUNCTION("""COMPUTED_VALUE"""),46098.12871527778)</f>
        <v>46098.12872</v>
      </c>
      <c r="D667" s="1">
        <f>IFERROR(__xludf.DUMMYFUNCTION("""COMPUTED_VALUE"""),-60.0)</f>
        <v>-60</v>
      </c>
      <c r="E667" s="1"/>
      <c r="F667" s="1"/>
    </row>
    <row r="668">
      <c r="A668" s="1" t="str">
        <f>IFERROR(__xludf.DUMMYFUNCTION("""COMPUTED_VALUE"""),"12aa3b9c")</f>
        <v>12aa3b9c</v>
      </c>
      <c r="B668" s="1" t="str">
        <f>IFERROR(__xludf.DUMMYFUNCTION("""COMPUTED_VALUE"""),"a19879cf")</f>
        <v>a19879cf</v>
      </c>
      <c r="C668" s="32">
        <f>IFERROR(__xludf.DUMMYFUNCTION("""COMPUTED_VALUE"""),46098.158784722225)</f>
        <v>46098.15878</v>
      </c>
      <c r="D668" s="1">
        <f>IFERROR(__xludf.DUMMYFUNCTION("""COMPUTED_VALUE"""),4.0)</f>
        <v>4</v>
      </c>
      <c r="E668" s="1"/>
      <c r="F668" s="1"/>
    </row>
    <row r="669">
      <c r="A669" s="1" t="str">
        <f>IFERROR(__xludf.DUMMYFUNCTION("""COMPUTED_VALUE"""),"73e4b2f0")</f>
        <v>73e4b2f0</v>
      </c>
      <c r="B669" s="1" t="str">
        <f>IFERROR(__xludf.DUMMYFUNCTION("""COMPUTED_VALUE"""),"bb6c2490")</f>
        <v>bb6c2490</v>
      </c>
      <c r="C669" s="32">
        <f>IFERROR(__xludf.DUMMYFUNCTION("""COMPUTED_VALUE"""),46099.60259259259)</f>
        <v>46099.60259</v>
      </c>
      <c r="D669" s="1">
        <f>IFERROR(__xludf.DUMMYFUNCTION("""COMPUTED_VALUE"""),-14.0)</f>
        <v>-14</v>
      </c>
      <c r="E669" s="1"/>
      <c r="F669" s="1"/>
    </row>
    <row r="670">
      <c r="A670" s="1" t="str">
        <f>IFERROR(__xludf.DUMMYFUNCTION("""COMPUTED_VALUE"""),"0343617d")</f>
        <v>0343617d</v>
      </c>
      <c r="B670" s="1" t="str">
        <f>IFERROR(__xludf.DUMMYFUNCTION("""COMPUTED_VALUE"""),"b3204174")</f>
        <v>b3204174</v>
      </c>
      <c r="C670" s="32">
        <f>IFERROR(__xludf.DUMMYFUNCTION("""COMPUTED_VALUE"""),46099.60271990741)</f>
        <v>46099.60272</v>
      </c>
      <c r="D670" s="1">
        <f>IFERROR(__xludf.DUMMYFUNCTION("""COMPUTED_VALUE"""),-12.0)</f>
        <v>-12</v>
      </c>
      <c r="E670" s="1"/>
      <c r="F670" s="1"/>
    </row>
    <row r="671">
      <c r="A671" s="1" t="str">
        <f>IFERROR(__xludf.DUMMYFUNCTION("""COMPUTED_VALUE"""),"1ee2ef94")</f>
        <v>1ee2ef94</v>
      </c>
      <c r="B671" s="1" t="str">
        <f>IFERROR(__xludf.DUMMYFUNCTION("""COMPUTED_VALUE"""),"cd21eb57")</f>
        <v>cd21eb57</v>
      </c>
      <c r="C671" s="32">
        <f>IFERROR(__xludf.DUMMYFUNCTION("""COMPUTED_VALUE"""),46099.602789351855)</f>
        <v>46099.60279</v>
      </c>
      <c r="D671" s="1">
        <f>IFERROR(__xludf.DUMMYFUNCTION("""COMPUTED_VALUE"""),-7.0)</f>
        <v>-7</v>
      </c>
      <c r="E671" s="1"/>
      <c r="F671" s="1"/>
    </row>
    <row r="672">
      <c r="A672" s="1" t="str">
        <f>IFERROR(__xludf.DUMMYFUNCTION("""COMPUTED_VALUE"""),"2b838099")</f>
        <v>2b838099</v>
      </c>
      <c r="B672" s="1" t="str">
        <f>IFERROR(__xludf.DUMMYFUNCTION("""COMPUTED_VALUE"""),"0001")</f>
        <v>0001</v>
      </c>
      <c r="C672" s="32">
        <f>IFERROR(__xludf.DUMMYFUNCTION("""COMPUTED_VALUE"""),46099.602858796294)</f>
        <v>46099.60286</v>
      </c>
      <c r="D672" s="1">
        <f>IFERROR(__xludf.DUMMYFUNCTION("""COMPUTED_VALUE"""),-15.0)</f>
        <v>-15</v>
      </c>
      <c r="E672" s="1"/>
      <c r="F672" s="1"/>
    </row>
    <row r="673">
      <c r="A673" s="1" t="str">
        <f>IFERROR(__xludf.DUMMYFUNCTION("""COMPUTED_VALUE"""),"0aca24b5")</f>
        <v>0aca24b5</v>
      </c>
      <c r="B673" s="1" t="str">
        <f>IFERROR(__xludf.DUMMYFUNCTION("""COMPUTED_VALUE"""),"12b96290")</f>
        <v>12b96290</v>
      </c>
      <c r="C673" s="32">
        <f>IFERROR(__xludf.DUMMYFUNCTION("""COMPUTED_VALUE"""),46099.60293981482)</f>
        <v>46099.60294</v>
      </c>
      <c r="D673" s="1">
        <f>IFERROR(__xludf.DUMMYFUNCTION("""COMPUTED_VALUE"""),-15.0)</f>
        <v>-15</v>
      </c>
      <c r="E673" s="1"/>
      <c r="F673" s="1"/>
    </row>
    <row r="674">
      <c r="A674" s="1" t="str">
        <f>IFERROR(__xludf.DUMMYFUNCTION("""COMPUTED_VALUE"""),"b76e362a")</f>
        <v>b76e362a</v>
      </c>
      <c r="B674" s="1" t="str">
        <f>IFERROR(__xludf.DUMMYFUNCTION("""COMPUTED_VALUE"""),"0af806f8")</f>
        <v>0af806f8</v>
      </c>
      <c r="C674" s="32">
        <f>IFERROR(__xludf.DUMMYFUNCTION("""COMPUTED_VALUE"""),46099.60300925926)</f>
        <v>46099.60301</v>
      </c>
      <c r="D674" s="1">
        <f>IFERROR(__xludf.DUMMYFUNCTION("""COMPUTED_VALUE"""),-15.0)</f>
        <v>-15</v>
      </c>
      <c r="E674" s="1"/>
      <c r="F674" s="1"/>
    </row>
    <row r="675">
      <c r="A675" s="1" t="str">
        <f>IFERROR(__xludf.DUMMYFUNCTION("""COMPUTED_VALUE"""),"f89c5088")</f>
        <v>f89c5088</v>
      </c>
      <c r="B675" s="1" t="str">
        <f>IFERROR(__xludf.DUMMYFUNCTION("""COMPUTED_VALUE"""),"0001")</f>
        <v>0001</v>
      </c>
      <c r="C675" s="32">
        <f>IFERROR(__xludf.DUMMYFUNCTION("""COMPUTED_VALUE"""),46099.604155092595)</f>
        <v>46099.60416</v>
      </c>
      <c r="D675" s="1">
        <f>IFERROR(__xludf.DUMMYFUNCTION("""COMPUTED_VALUE"""),1.0)</f>
        <v>1</v>
      </c>
      <c r="E675" s="1"/>
      <c r="F675" s="1"/>
    </row>
    <row r="676">
      <c r="A676" s="1" t="str">
        <f>IFERROR(__xludf.DUMMYFUNCTION("""COMPUTED_VALUE"""),"56efc935")</f>
        <v>56efc935</v>
      </c>
      <c r="B676" s="1" t="str">
        <f>IFERROR(__xludf.DUMMYFUNCTION("""COMPUTED_VALUE"""),"12b96290")</f>
        <v>12b96290</v>
      </c>
      <c r="C676" s="32">
        <f>IFERROR(__xludf.DUMMYFUNCTION("""COMPUTED_VALUE"""),46099.604212962964)</f>
        <v>46099.60421</v>
      </c>
      <c r="D676" s="1">
        <f>IFERROR(__xludf.DUMMYFUNCTION("""COMPUTED_VALUE"""),1.0)</f>
        <v>1</v>
      </c>
      <c r="E676" s="1"/>
      <c r="F676" s="1"/>
    </row>
    <row r="677">
      <c r="A677" s="1" t="str">
        <f>IFERROR(__xludf.DUMMYFUNCTION("""COMPUTED_VALUE"""),"112cd7b6")</f>
        <v>112cd7b6</v>
      </c>
      <c r="B677" s="1" t="str">
        <f>IFERROR(__xludf.DUMMYFUNCTION("""COMPUTED_VALUE"""),"0af806f8")</f>
        <v>0af806f8</v>
      </c>
      <c r="C677" s="32">
        <f>IFERROR(__xludf.DUMMYFUNCTION("""COMPUTED_VALUE"""),46099.60425925926)</f>
        <v>46099.60426</v>
      </c>
      <c r="D677" s="1">
        <f>IFERROR(__xludf.DUMMYFUNCTION("""COMPUTED_VALUE"""),1.0)</f>
        <v>1</v>
      </c>
      <c r="E677" s="1"/>
      <c r="F677" s="1"/>
    </row>
    <row r="678">
      <c r="A678" s="1" t="str">
        <f>IFERROR(__xludf.DUMMYFUNCTION("""COMPUTED_VALUE"""),"eef39724")</f>
        <v>eef39724</v>
      </c>
      <c r="B678" s="1" t="str">
        <f>IFERROR(__xludf.DUMMYFUNCTION("""COMPUTED_VALUE"""),"561399a6")</f>
        <v>561399a6</v>
      </c>
      <c r="C678" s="32">
        <f>IFERROR(__xludf.DUMMYFUNCTION("""COMPUTED_VALUE"""),46099.60513888889)</f>
        <v>46099.60514</v>
      </c>
      <c r="D678" s="1">
        <f>IFERROR(__xludf.DUMMYFUNCTION("""COMPUTED_VALUE"""),-11.0)</f>
        <v>-11</v>
      </c>
      <c r="E678" s="1"/>
      <c r="F678" s="1"/>
    </row>
    <row r="679">
      <c r="A679" s="1" t="str">
        <f>IFERROR(__xludf.DUMMYFUNCTION("""COMPUTED_VALUE"""),"7421cda8")</f>
        <v>7421cda8</v>
      </c>
      <c r="B679" s="1" t="str">
        <f>IFERROR(__xludf.DUMMYFUNCTION("""COMPUTED_VALUE"""),"0019")</f>
        <v>0019</v>
      </c>
      <c r="C679" s="32">
        <f>IFERROR(__xludf.DUMMYFUNCTION("""COMPUTED_VALUE"""),46099.605219907404)</f>
        <v>46099.60522</v>
      </c>
      <c r="D679" s="1">
        <f>IFERROR(__xludf.DUMMYFUNCTION("""COMPUTED_VALUE"""),-14.0)</f>
        <v>-14</v>
      </c>
      <c r="E679" s="1"/>
      <c r="F679" s="1"/>
    </row>
    <row r="680">
      <c r="A680" s="1" t="str">
        <f>IFERROR(__xludf.DUMMYFUNCTION("""COMPUTED_VALUE"""),"a2c8e213")</f>
        <v>a2c8e213</v>
      </c>
      <c r="B680" s="1" t="str">
        <f>IFERROR(__xludf.DUMMYFUNCTION("""COMPUTED_VALUE"""),"a19879cf")</f>
        <v>a19879cf</v>
      </c>
      <c r="C680" s="32">
        <f>IFERROR(__xludf.DUMMYFUNCTION("""COMPUTED_VALUE"""),46099.605787037035)</f>
        <v>46099.60579</v>
      </c>
      <c r="D680" s="1">
        <f>IFERROR(__xludf.DUMMYFUNCTION("""COMPUTED_VALUE"""),-5.0)</f>
        <v>-5</v>
      </c>
      <c r="E680" s="1"/>
      <c r="F680" s="1"/>
    </row>
    <row r="681">
      <c r="A681" s="1" t="str">
        <f>IFERROR(__xludf.DUMMYFUNCTION("""COMPUTED_VALUE"""),"41c88ce1")</f>
        <v>41c88ce1</v>
      </c>
      <c r="B681" s="1" t="str">
        <f>IFERROR(__xludf.DUMMYFUNCTION("""COMPUTED_VALUE"""),"0021")</f>
        <v>0021</v>
      </c>
      <c r="C681" s="32">
        <f>IFERROR(__xludf.DUMMYFUNCTION("""COMPUTED_VALUE"""),46099.6059837963)</f>
        <v>46099.60598</v>
      </c>
      <c r="D681" s="1">
        <f>IFERROR(__xludf.DUMMYFUNCTION("""COMPUTED_VALUE"""),-14.0)</f>
        <v>-14</v>
      </c>
      <c r="E681" s="1"/>
      <c r="F681" s="1"/>
    </row>
    <row r="682">
      <c r="A682" s="1" t="str">
        <f>IFERROR(__xludf.DUMMYFUNCTION("""COMPUTED_VALUE"""),"f94e4588")</f>
        <v>f94e4588</v>
      </c>
      <c r="B682" s="1" t="str">
        <f>IFERROR(__xludf.DUMMYFUNCTION("""COMPUTED_VALUE"""),"0086")</f>
        <v>0086</v>
      </c>
      <c r="C682" s="32">
        <f>IFERROR(__xludf.DUMMYFUNCTION("""COMPUTED_VALUE"""),46099.60666666667)</f>
        <v>46099.60667</v>
      </c>
      <c r="D682" s="1">
        <f>IFERROR(__xludf.DUMMYFUNCTION("""COMPUTED_VALUE"""),-7.0)</f>
        <v>-7</v>
      </c>
      <c r="E682" s="1"/>
      <c r="F682" s="1"/>
    </row>
    <row r="683">
      <c r="A683" s="1" t="str">
        <f>IFERROR(__xludf.DUMMYFUNCTION("""COMPUTED_VALUE"""),"4924b11f")</f>
        <v>4924b11f</v>
      </c>
      <c r="B683" s="1" t="str">
        <f>IFERROR(__xludf.DUMMYFUNCTION("""COMPUTED_VALUE"""),"0027")</f>
        <v>0027</v>
      </c>
      <c r="C683" s="32">
        <f>IFERROR(__xludf.DUMMYFUNCTION("""COMPUTED_VALUE"""),46099.60736111111)</f>
        <v>46099.60736</v>
      </c>
      <c r="D683" s="1">
        <f>IFERROR(__xludf.DUMMYFUNCTION("""COMPUTED_VALUE"""),-8.0)</f>
        <v>-8</v>
      </c>
      <c r="E683" s="1"/>
      <c r="F683" s="1"/>
    </row>
    <row r="684">
      <c r="A684" s="1" t="str">
        <f>IFERROR(__xludf.DUMMYFUNCTION("""COMPUTED_VALUE"""),"6d0381d5")</f>
        <v>6d0381d5</v>
      </c>
      <c r="B684" s="1" t="str">
        <f>IFERROR(__xludf.DUMMYFUNCTION("""COMPUTED_VALUE"""),"83dd14b5")</f>
        <v>83dd14b5</v>
      </c>
      <c r="C684" s="32">
        <f>IFERROR(__xludf.DUMMYFUNCTION("""COMPUTED_VALUE"""),46099.60815972222)</f>
        <v>46099.60816</v>
      </c>
      <c r="D684" s="1">
        <f>IFERROR(__xludf.DUMMYFUNCTION("""COMPUTED_VALUE"""),-9.0)</f>
        <v>-9</v>
      </c>
      <c r="E684" s="1"/>
      <c r="F684" s="1"/>
    </row>
    <row r="685">
      <c r="A685" s="1" t="str">
        <f>IFERROR(__xludf.DUMMYFUNCTION("""COMPUTED_VALUE"""),"9f65b788")</f>
        <v>9f65b788</v>
      </c>
      <c r="B685" s="1" t="str">
        <f>IFERROR(__xludf.DUMMYFUNCTION("""COMPUTED_VALUE"""),"cb9e809e")</f>
        <v>cb9e809e</v>
      </c>
      <c r="C685" s="32">
        <f>IFERROR(__xludf.DUMMYFUNCTION("""COMPUTED_VALUE"""),46099.60936342592)</f>
        <v>46099.60936</v>
      </c>
      <c r="D685" s="1">
        <f>IFERROR(__xludf.DUMMYFUNCTION("""COMPUTED_VALUE"""),-9.0)</f>
        <v>-9</v>
      </c>
      <c r="E685" s="1"/>
      <c r="F685" s="1"/>
    </row>
    <row r="686">
      <c r="A686" s="1" t="str">
        <f>IFERROR(__xludf.DUMMYFUNCTION("""COMPUTED_VALUE"""),"0c1907f3")</f>
        <v>0c1907f3</v>
      </c>
      <c r="B686" s="1" t="str">
        <f>IFERROR(__xludf.DUMMYFUNCTION("""COMPUTED_VALUE"""),"cf6c9481")</f>
        <v>cf6c9481</v>
      </c>
      <c r="C686" s="32">
        <f>IFERROR(__xludf.DUMMYFUNCTION("""COMPUTED_VALUE"""),46099.60943287037)</f>
        <v>46099.60943</v>
      </c>
      <c r="D686" s="1">
        <f>IFERROR(__xludf.DUMMYFUNCTION("""COMPUTED_VALUE"""),-2.0)</f>
        <v>-2</v>
      </c>
      <c r="E686" s="1"/>
      <c r="F686" s="1"/>
    </row>
    <row r="687">
      <c r="A687" s="1" t="str">
        <f>IFERROR(__xludf.DUMMYFUNCTION("""COMPUTED_VALUE"""),"872fbe43")</f>
        <v>872fbe43</v>
      </c>
      <c r="B687" s="1" t="str">
        <f>IFERROR(__xludf.DUMMYFUNCTION("""COMPUTED_VALUE"""),"0049")</f>
        <v>0049</v>
      </c>
      <c r="C687" s="32">
        <f>IFERROR(__xludf.DUMMYFUNCTION("""COMPUTED_VALUE"""),46099.60965277778)</f>
        <v>46099.60965</v>
      </c>
      <c r="D687" s="1">
        <f>IFERROR(__xludf.DUMMYFUNCTION("""COMPUTED_VALUE"""),-14.0)</f>
        <v>-14</v>
      </c>
      <c r="E687" s="1"/>
      <c r="F687" s="1"/>
    </row>
    <row r="688">
      <c r="A688" s="1" t="str">
        <f>IFERROR(__xludf.DUMMYFUNCTION("""COMPUTED_VALUE"""),"39c711a8")</f>
        <v>39c711a8</v>
      </c>
      <c r="B688" s="1" t="str">
        <f>IFERROR(__xludf.DUMMYFUNCTION("""COMPUTED_VALUE"""),"0064")</f>
        <v>0064</v>
      </c>
      <c r="C688" s="32">
        <f>IFERROR(__xludf.DUMMYFUNCTION("""COMPUTED_VALUE"""),46099.611134259256)</f>
        <v>46099.61113</v>
      </c>
      <c r="D688" s="1">
        <f>IFERROR(__xludf.DUMMYFUNCTION("""COMPUTED_VALUE"""),-3.0)</f>
        <v>-3</v>
      </c>
      <c r="E688" s="1"/>
      <c r="F688" s="1"/>
    </row>
    <row r="689">
      <c r="A689" s="1" t="str">
        <f>IFERROR(__xludf.DUMMYFUNCTION("""COMPUTED_VALUE"""),"06a98053")</f>
        <v>06a98053</v>
      </c>
      <c r="B689" s="1" t="str">
        <f>IFERROR(__xludf.DUMMYFUNCTION("""COMPUTED_VALUE"""),"0032")</f>
        <v>0032</v>
      </c>
      <c r="C689" s="32">
        <f>IFERROR(__xludf.DUMMYFUNCTION("""COMPUTED_VALUE"""),46099.611238425925)</f>
        <v>46099.61124</v>
      </c>
      <c r="D689" s="1">
        <f>IFERROR(__xludf.DUMMYFUNCTION("""COMPUTED_VALUE"""),-5.0)</f>
        <v>-5</v>
      </c>
      <c r="E689" s="1"/>
      <c r="F689" s="1"/>
    </row>
    <row r="690">
      <c r="A690" s="1" t="str">
        <f>IFERROR(__xludf.DUMMYFUNCTION("""COMPUTED_VALUE"""),"7fdbeed1")</f>
        <v>7fdbeed1</v>
      </c>
      <c r="B690" s="1" t="str">
        <f>IFERROR(__xludf.DUMMYFUNCTION("""COMPUTED_VALUE"""),"0029")</f>
        <v>0029</v>
      </c>
      <c r="C690" s="32">
        <f>IFERROR(__xludf.DUMMYFUNCTION("""COMPUTED_VALUE"""),46099.61425925926)</f>
        <v>46099.61426</v>
      </c>
      <c r="D690" s="1">
        <f>IFERROR(__xludf.DUMMYFUNCTION("""COMPUTED_VALUE"""),-16.0)</f>
        <v>-16</v>
      </c>
      <c r="E690" s="1"/>
      <c r="F690" s="1"/>
    </row>
    <row r="691">
      <c r="A691" s="1" t="str">
        <f>IFERROR(__xludf.DUMMYFUNCTION("""COMPUTED_VALUE"""),"7d3f799c")</f>
        <v>7d3f799c</v>
      </c>
      <c r="B691" s="1" t="str">
        <f>IFERROR(__xludf.DUMMYFUNCTION("""COMPUTED_VALUE"""),"a3f74383")</f>
        <v>a3f74383</v>
      </c>
      <c r="C691" s="32">
        <f>IFERROR(__xludf.DUMMYFUNCTION("""COMPUTED_VALUE"""),46099.614375)</f>
        <v>46099.61438</v>
      </c>
      <c r="D691" s="1">
        <f>IFERROR(__xludf.DUMMYFUNCTION("""COMPUTED_VALUE"""),-2.0)</f>
        <v>-2</v>
      </c>
      <c r="E691" s="1"/>
      <c r="F691" s="1"/>
    </row>
    <row r="692">
      <c r="A692" s="1" t="str">
        <f>IFERROR(__xludf.DUMMYFUNCTION("""COMPUTED_VALUE"""),"383b184e")</f>
        <v>383b184e</v>
      </c>
      <c r="B692" s="1" t="str">
        <f>IFERROR(__xludf.DUMMYFUNCTION("""COMPUTED_VALUE"""),"0054")</f>
        <v>0054</v>
      </c>
      <c r="C692" s="32">
        <f>IFERROR(__xludf.DUMMYFUNCTION("""COMPUTED_VALUE"""),46099.61457175926)</f>
        <v>46099.61457</v>
      </c>
      <c r="D692" s="1">
        <f>IFERROR(__xludf.DUMMYFUNCTION("""COMPUTED_VALUE"""),-3.0)</f>
        <v>-3</v>
      </c>
      <c r="E692" s="1"/>
      <c r="F692" s="1"/>
    </row>
    <row r="693">
      <c r="A693" s="1" t="str">
        <f>IFERROR(__xludf.DUMMYFUNCTION("""COMPUTED_VALUE"""),"faca2430")</f>
        <v>faca2430</v>
      </c>
      <c r="B693" s="1" t="str">
        <f>IFERROR(__xludf.DUMMYFUNCTION("""COMPUTED_VALUE"""),"0005")</f>
        <v>0005</v>
      </c>
      <c r="C693" s="32">
        <f>IFERROR(__xludf.DUMMYFUNCTION("""COMPUTED_VALUE"""),46099.61471064815)</f>
        <v>46099.61471</v>
      </c>
      <c r="D693" s="1">
        <f>IFERROR(__xludf.DUMMYFUNCTION("""COMPUTED_VALUE"""),-6.0)</f>
        <v>-6</v>
      </c>
      <c r="E693" s="1"/>
      <c r="F693" s="1"/>
    </row>
    <row r="694">
      <c r="A694" s="1" t="str">
        <f>IFERROR(__xludf.DUMMYFUNCTION("""COMPUTED_VALUE"""),"0abfd1d9")</f>
        <v>0abfd1d9</v>
      </c>
      <c r="B694" s="1" t="str">
        <f>IFERROR(__xludf.DUMMYFUNCTION("""COMPUTED_VALUE"""),"649eaeb5")</f>
        <v>649eaeb5</v>
      </c>
      <c r="C694" s="32">
        <f>IFERROR(__xludf.DUMMYFUNCTION("""COMPUTED_VALUE"""),46099.61479166667)</f>
        <v>46099.61479</v>
      </c>
      <c r="D694" s="1">
        <f>IFERROR(__xludf.DUMMYFUNCTION("""COMPUTED_VALUE"""),-1.0)</f>
        <v>-1</v>
      </c>
      <c r="E694" s="1"/>
      <c r="F694" s="1"/>
    </row>
    <row r="695">
      <c r="A695" s="1" t="str">
        <f>IFERROR(__xludf.DUMMYFUNCTION("""COMPUTED_VALUE"""),"726ea377")</f>
        <v>726ea377</v>
      </c>
      <c r="B695" s="1" t="str">
        <f>IFERROR(__xludf.DUMMYFUNCTION("""COMPUTED_VALUE"""),"0011")</f>
        <v>0011</v>
      </c>
      <c r="C695" s="32">
        <f>IFERROR(__xludf.DUMMYFUNCTION("""COMPUTED_VALUE"""),46099.61488425926)</f>
        <v>46099.61488</v>
      </c>
      <c r="D695" s="1">
        <f>IFERROR(__xludf.DUMMYFUNCTION("""COMPUTED_VALUE"""),-17.0)</f>
        <v>-17</v>
      </c>
      <c r="E695" s="1"/>
      <c r="F695" s="1"/>
    </row>
    <row r="696">
      <c r="A696" s="1" t="str">
        <f>IFERROR(__xludf.DUMMYFUNCTION("""COMPUTED_VALUE"""),"b6550954")</f>
        <v>b6550954</v>
      </c>
      <c r="B696" s="1" t="str">
        <f>IFERROR(__xludf.DUMMYFUNCTION("""COMPUTED_VALUE"""),"0002")</f>
        <v>0002</v>
      </c>
      <c r="C696" s="32">
        <f>IFERROR(__xludf.DUMMYFUNCTION("""COMPUTED_VALUE"""),46099.61509259259)</f>
        <v>46099.61509</v>
      </c>
      <c r="D696" s="1">
        <f>IFERROR(__xludf.DUMMYFUNCTION("""COMPUTED_VALUE"""),-60.0)</f>
        <v>-60</v>
      </c>
      <c r="E696" s="1"/>
      <c r="F696" s="1"/>
    </row>
    <row r="697">
      <c r="A697" s="1" t="str">
        <f>IFERROR(__xludf.DUMMYFUNCTION("""COMPUTED_VALUE"""),"e29207b9")</f>
        <v>e29207b9</v>
      </c>
      <c r="B697" s="1" t="str">
        <f>IFERROR(__xludf.DUMMYFUNCTION("""COMPUTED_VALUE"""),"0036")</f>
        <v>0036</v>
      </c>
      <c r="C697" s="32">
        <f>IFERROR(__xludf.DUMMYFUNCTION("""COMPUTED_VALUE"""),46099.77966435185)</f>
        <v>46099.77966</v>
      </c>
      <c r="D697" s="1">
        <f>IFERROR(__xludf.DUMMYFUNCTION("""COMPUTED_VALUE"""),4.0)</f>
        <v>4</v>
      </c>
      <c r="E697" s="1"/>
      <c r="F697" s="1"/>
    </row>
    <row r="698">
      <c r="A698" s="1" t="str">
        <f>IFERROR(__xludf.DUMMYFUNCTION("""COMPUTED_VALUE"""),"747d7ed1")</f>
        <v>747d7ed1</v>
      </c>
      <c r="B698" s="1" t="str">
        <f>IFERROR(__xludf.DUMMYFUNCTION("""COMPUTED_VALUE"""),"364fe321")</f>
        <v>364fe321</v>
      </c>
      <c r="C698" s="32">
        <f>IFERROR(__xludf.DUMMYFUNCTION("""COMPUTED_VALUE"""),46099.78021990741)</f>
        <v>46099.78022</v>
      </c>
      <c r="D698" s="1">
        <f>IFERROR(__xludf.DUMMYFUNCTION("""COMPUTED_VALUE"""),5.0)</f>
        <v>5</v>
      </c>
      <c r="E698" s="1"/>
      <c r="F698" s="1"/>
    </row>
    <row r="699">
      <c r="A699" s="1" t="str">
        <f>IFERROR(__xludf.DUMMYFUNCTION("""COMPUTED_VALUE"""),"b2495461")</f>
        <v>b2495461</v>
      </c>
      <c r="B699" s="1" t="str">
        <f>IFERROR(__xludf.DUMMYFUNCTION("""COMPUTED_VALUE"""),"b112660a")</f>
        <v>b112660a</v>
      </c>
      <c r="C699" s="32">
        <f>IFERROR(__xludf.DUMMYFUNCTION("""COMPUTED_VALUE"""),46099.780381944445)</f>
        <v>46099.78038</v>
      </c>
      <c r="D699" s="1">
        <f>IFERROR(__xludf.DUMMYFUNCTION("""COMPUTED_VALUE"""),10.0)</f>
        <v>10</v>
      </c>
      <c r="E699" s="1"/>
      <c r="F699" s="1"/>
    </row>
    <row r="700">
      <c r="A700" s="1" t="str">
        <f>IFERROR(__xludf.DUMMYFUNCTION("""COMPUTED_VALUE"""),"a2e3e176")</f>
        <v>a2e3e176</v>
      </c>
      <c r="B700" s="1" t="str">
        <f>IFERROR(__xludf.DUMMYFUNCTION("""COMPUTED_VALUE"""),"0f694cb5")</f>
        <v>0f694cb5</v>
      </c>
      <c r="C700" s="32">
        <f>IFERROR(__xludf.DUMMYFUNCTION("""COMPUTED_VALUE"""),46099.78097222222)</f>
        <v>46099.78097</v>
      </c>
      <c r="D700" s="1">
        <f>IFERROR(__xludf.DUMMYFUNCTION("""COMPUTED_VALUE"""),4.0)</f>
        <v>4</v>
      </c>
      <c r="E700" s="1"/>
      <c r="F700" s="1"/>
    </row>
    <row r="701">
      <c r="A701" s="1" t="str">
        <f>IFERROR(__xludf.DUMMYFUNCTION("""COMPUTED_VALUE"""),"59da6c68")</f>
        <v>59da6c68</v>
      </c>
      <c r="B701" s="1" t="str">
        <f>IFERROR(__xludf.DUMMYFUNCTION("""COMPUTED_VALUE"""),"364fe321")</f>
        <v>364fe321</v>
      </c>
      <c r="C701" s="32">
        <f>IFERROR(__xludf.DUMMYFUNCTION("""COMPUTED_VALUE"""),46099.78109953704)</f>
        <v>46099.7811</v>
      </c>
      <c r="D701" s="1">
        <f>IFERROR(__xludf.DUMMYFUNCTION("""COMPUTED_VALUE"""),1.0)</f>
        <v>1</v>
      </c>
      <c r="E701" s="1"/>
      <c r="F701" s="1"/>
    </row>
    <row r="702">
      <c r="A702" s="1" t="str">
        <f>IFERROR(__xludf.DUMMYFUNCTION("""COMPUTED_VALUE"""),"6efb5925")</f>
        <v>6efb5925</v>
      </c>
      <c r="B702" s="1" t="str">
        <f>IFERROR(__xludf.DUMMYFUNCTION("""COMPUTED_VALUE"""),"0054")</f>
        <v>0054</v>
      </c>
      <c r="C702" s="32">
        <f>IFERROR(__xludf.DUMMYFUNCTION("""COMPUTED_VALUE"""),46099.78125)</f>
        <v>46099.78125</v>
      </c>
      <c r="D702" s="1">
        <f>IFERROR(__xludf.DUMMYFUNCTION("""COMPUTED_VALUE"""),5.0)</f>
        <v>5</v>
      </c>
      <c r="E702" s="1"/>
      <c r="F702" s="1"/>
    </row>
    <row r="703">
      <c r="A703" s="1" t="str">
        <f>IFERROR(__xludf.DUMMYFUNCTION("""COMPUTED_VALUE"""),"bb3669eb")</f>
        <v>bb3669eb</v>
      </c>
      <c r="B703" s="1" t="str">
        <f>IFERROR(__xludf.DUMMYFUNCTION("""COMPUTED_VALUE"""),"57a5617b")</f>
        <v>57a5617b</v>
      </c>
      <c r="C703" s="32">
        <f>IFERROR(__xludf.DUMMYFUNCTION("""COMPUTED_VALUE"""),46099.78145833333)</f>
        <v>46099.78146</v>
      </c>
      <c r="D703" s="1">
        <f>IFERROR(__xludf.DUMMYFUNCTION("""COMPUTED_VALUE"""),6.0)</f>
        <v>6</v>
      </c>
      <c r="E703" s="1"/>
      <c r="F703" s="1"/>
    </row>
    <row r="704">
      <c r="A704" s="1" t="str">
        <f>IFERROR(__xludf.DUMMYFUNCTION("""COMPUTED_VALUE"""),"eae9f224")</f>
        <v>eae9f224</v>
      </c>
      <c r="B704" s="1" t="str">
        <f>IFERROR(__xludf.DUMMYFUNCTION("""COMPUTED_VALUE"""),"a3f74383")</f>
        <v>a3f74383</v>
      </c>
      <c r="C704" s="32">
        <f>IFERROR(__xludf.DUMMYFUNCTION("""COMPUTED_VALUE"""),46099.781539351854)</f>
        <v>46099.78154</v>
      </c>
      <c r="D704" s="1">
        <f>IFERROR(__xludf.DUMMYFUNCTION("""COMPUTED_VALUE"""),2.0)</f>
        <v>2</v>
      </c>
      <c r="E704" s="1"/>
      <c r="F704" s="1"/>
    </row>
    <row r="705">
      <c r="A705" s="1" t="str">
        <f>IFERROR(__xludf.DUMMYFUNCTION("""COMPUTED_VALUE"""),"b4375141")</f>
        <v>b4375141</v>
      </c>
      <c r="B705" s="1" t="str">
        <f>IFERROR(__xludf.DUMMYFUNCTION("""COMPUTED_VALUE"""),"0029")</f>
        <v>0029</v>
      </c>
      <c r="C705" s="32">
        <f>IFERROR(__xludf.DUMMYFUNCTION("""COMPUTED_VALUE"""),46099.78163194445)</f>
        <v>46099.78163</v>
      </c>
      <c r="D705" s="1">
        <f>IFERROR(__xludf.DUMMYFUNCTION("""COMPUTED_VALUE"""),2.0)</f>
        <v>2</v>
      </c>
      <c r="E705" s="1"/>
      <c r="F705" s="1"/>
    </row>
    <row r="706">
      <c r="A706" s="1" t="str">
        <f>IFERROR(__xludf.DUMMYFUNCTION("""COMPUTED_VALUE"""),"a6ec11d1")</f>
        <v>a6ec11d1</v>
      </c>
      <c r="B706" s="1" t="str">
        <f>IFERROR(__xludf.DUMMYFUNCTION("""COMPUTED_VALUE"""),"cd21eb57")</f>
        <v>cd21eb57</v>
      </c>
      <c r="C706" s="32">
        <f>IFERROR(__xludf.DUMMYFUNCTION("""COMPUTED_VALUE"""),46099.785104166665)</f>
        <v>46099.7851</v>
      </c>
      <c r="D706" s="1">
        <f>IFERROR(__xludf.DUMMYFUNCTION("""COMPUTED_VALUE"""),6.0)</f>
        <v>6</v>
      </c>
      <c r="E706" s="1"/>
      <c r="F706" s="1"/>
    </row>
    <row r="707">
      <c r="A707" s="1" t="str">
        <f>IFERROR(__xludf.DUMMYFUNCTION("""COMPUTED_VALUE"""),"b38e30bc")</f>
        <v>b38e30bc</v>
      </c>
      <c r="B707" s="1" t="str">
        <f>IFERROR(__xludf.DUMMYFUNCTION("""COMPUTED_VALUE"""),"83dd14b5")</f>
        <v>83dd14b5</v>
      </c>
      <c r="C707" s="32">
        <f>IFERROR(__xludf.DUMMYFUNCTION("""COMPUTED_VALUE"""),46099.786458333336)</f>
        <v>46099.78646</v>
      </c>
      <c r="D707" s="1">
        <f>IFERROR(__xludf.DUMMYFUNCTION("""COMPUTED_VALUE"""),36.0)</f>
        <v>36</v>
      </c>
      <c r="E707" s="1"/>
      <c r="F707" s="1"/>
    </row>
    <row r="708">
      <c r="A708" s="1" t="str">
        <f>IFERROR(__xludf.DUMMYFUNCTION("""COMPUTED_VALUE"""),"5f415cc1")</f>
        <v>5f415cc1</v>
      </c>
      <c r="B708" s="1" t="str">
        <f>IFERROR(__xludf.DUMMYFUNCTION("""COMPUTED_VALUE"""),"0012")</f>
        <v>0012</v>
      </c>
      <c r="C708" s="32">
        <f>IFERROR(__xludf.DUMMYFUNCTION("""COMPUTED_VALUE"""),46099.78707175926)</f>
        <v>46099.78707</v>
      </c>
      <c r="D708" s="1">
        <f>IFERROR(__xludf.DUMMYFUNCTION("""COMPUTED_VALUE"""),11.0)</f>
        <v>11</v>
      </c>
      <c r="E708" s="1"/>
      <c r="F708" s="1"/>
    </row>
    <row r="709">
      <c r="A709" s="1" t="str">
        <f>IFERROR(__xludf.DUMMYFUNCTION("""COMPUTED_VALUE"""),"94d847e8")</f>
        <v>94d847e8</v>
      </c>
      <c r="B709" s="1" t="str">
        <f>IFERROR(__xludf.DUMMYFUNCTION("""COMPUTED_VALUE"""),"1b6b5ed6")</f>
        <v>1b6b5ed6</v>
      </c>
      <c r="C709" s="32">
        <f>IFERROR(__xludf.DUMMYFUNCTION("""COMPUTED_VALUE"""),46099.78797453704)</f>
        <v>46099.78797</v>
      </c>
      <c r="D709" s="1">
        <f>IFERROR(__xludf.DUMMYFUNCTION("""COMPUTED_VALUE"""),4.0)</f>
        <v>4</v>
      </c>
      <c r="E709" s="1"/>
      <c r="F709" s="1"/>
    </row>
    <row r="710">
      <c r="A710" s="1" t="str">
        <f>IFERROR(__xludf.DUMMYFUNCTION("""COMPUTED_VALUE"""),"8d6783d7")</f>
        <v>8d6783d7</v>
      </c>
      <c r="B710" s="1" t="str">
        <f>IFERROR(__xludf.DUMMYFUNCTION("""COMPUTED_VALUE"""),"0012")</f>
        <v>0012</v>
      </c>
      <c r="C710" s="32">
        <f>IFERROR(__xludf.DUMMYFUNCTION("""COMPUTED_VALUE"""),46099.788090277776)</f>
        <v>46099.78809</v>
      </c>
      <c r="D710" s="1">
        <f>IFERROR(__xludf.DUMMYFUNCTION("""COMPUTED_VALUE"""),1.0)</f>
        <v>1</v>
      </c>
      <c r="E710" s="1"/>
      <c r="F710" s="1"/>
    </row>
    <row r="711">
      <c r="A711" s="1" t="str">
        <f>IFERROR(__xludf.DUMMYFUNCTION("""COMPUTED_VALUE"""),"40f490f1")</f>
        <v>40f490f1</v>
      </c>
      <c r="B711" s="1" t="str">
        <f>IFERROR(__xludf.DUMMYFUNCTION("""COMPUTED_VALUE"""),"0019")</f>
        <v>0019</v>
      </c>
      <c r="C711" s="32">
        <f>IFERROR(__xludf.DUMMYFUNCTION("""COMPUTED_VALUE"""),46099.789085648146)</f>
        <v>46099.78909</v>
      </c>
      <c r="D711" s="1">
        <f>IFERROR(__xludf.DUMMYFUNCTION("""COMPUTED_VALUE"""),26.0)</f>
        <v>26</v>
      </c>
      <c r="E711" s="1"/>
      <c r="F711" s="1"/>
    </row>
    <row r="712">
      <c r="A712" s="1" t="str">
        <f>IFERROR(__xludf.DUMMYFUNCTION("""COMPUTED_VALUE"""),"61894fd1")</f>
        <v>61894fd1</v>
      </c>
      <c r="B712" s="1" t="str">
        <f>IFERROR(__xludf.DUMMYFUNCTION("""COMPUTED_VALUE"""),"0038")</f>
        <v>0038</v>
      </c>
      <c r="C712" s="32">
        <f>IFERROR(__xludf.DUMMYFUNCTION("""COMPUTED_VALUE"""),46099.78990740741)</f>
        <v>46099.78991</v>
      </c>
      <c r="D712" s="1">
        <f>IFERROR(__xludf.DUMMYFUNCTION("""COMPUTED_VALUE"""),3.0)</f>
        <v>3</v>
      </c>
      <c r="E712" s="1"/>
      <c r="F712" s="1"/>
    </row>
    <row r="713">
      <c r="A713" s="1" t="str">
        <f>IFERROR(__xludf.DUMMYFUNCTION("""COMPUTED_VALUE"""),"ba9a9bdb")</f>
        <v>ba9a9bdb</v>
      </c>
      <c r="B713" s="1" t="str">
        <f>IFERROR(__xludf.DUMMYFUNCTION("""COMPUTED_VALUE"""),"d0a21a3b")</f>
        <v>d0a21a3b</v>
      </c>
      <c r="C713" s="32">
        <f>IFERROR(__xludf.DUMMYFUNCTION("""COMPUTED_VALUE"""),46099.79043981482)</f>
        <v>46099.79044</v>
      </c>
      <c r="D713" s="1">
        <f>IFERROR(__xludf.DUMMYFUNCTION("""COMPUTED_VALUE"""),20.0)</f>
        <v>20</v>
      </c>
      <c r="E713" s="1"/>
      <c r="F713" s="1"/>
    </row>
    <row r="714">
      <c r="A714" s="1" t="str">
        <f>IFERROR(__xludf.DUMMYFUNCTION("""COMPUTED_VALUE"""),"afc339c8")</f>
        <v>afc339c8</v>
      </c>
      <c r="B714" s="1" t="str">
        <f>IFERROR(__xludf.DUMMYFUNCTION("""COMPUTED_VALUE"""),"0016")</f>
        <v>0016</v>
      </c>
      <c r="C714" s="32">
        <f>IFERROR(__xludf.DUMMYFUNCTION("""COMPUTED_VALUE"""),46099.79130787037)</f>
        <v>46099.79131</v>
      </c>
      <c r="D714" s="1">
        <f>IFERROR(__xludf.DUMMYFUNCTION("""COMPUTED_VALUE"""),14.0)</f>
        <v>14</v>
      </c>
      <c r="E714" s="1"/>
      <c r="F714" s="1"/>
    </row>
    <row r="715">
      <c r="A715" s="1" t="str">
        <f>IFERROR(__xludf.DUMMYFUNCTION("""COMPUTED_VALUE"""),"4f568d58")</f>
        <v>4f568d58</v>
      </c>
      <c r="B715" s="1" t="str">
        <f>IFERROR(__xludf.DUMMYFUNCTION("""COMPUTED_VALUE"""),"6670c5c1")</f>
        <v>6670c5c1</v>
      </c>
      <c r="C715" s="32">
        <f>IFERROR(__xludf.DUMMYFUNCTION("""COMPUTED_VALUE"""),46099.79174768519)</f>
        <v>46099.79175</v>
      </c>
      <c r="D715" s="1">
        <f>IFERROR(__xludf.DUMMYFUNCTION("""COMPUTED_VALUE"""),5.0)</f>
        <v>5</v>
      </c>
      <c r="E715" s="1"/>
      <c r="F715" s="1"/>
    </row>
    <row r="716">
      <c r="A716" s="1" t="str">
        <f>IFERROR(__xludf.DUMMYFUNCTION("""COMPUTED_VALUE"""),"1b13ff82")</f>
        <v>1b13ff82</v>
      </c>
      <c r="B716" s="1" t="str">
        <f>IFERROR(__xludf.DUMMYFUNCTION("""COMPUTED_VALUE"""),"0032")</f>
        <v>0032</v>
      </c>
      <c r="C716" s="32">
        <f>IFERROR(__xludf.DUMMYFUNCTION("""COMPUTED_VALUE"""),46099.79319444444)</f>
        <v>46099.79319</v>
      </c>
      <c r="D716" s="1">
        <f>IFERROR(__xludf.DUMMYFUNCTION("""COMPUTED_VALUE"""),20.0)</f>
        <v>20</v>
      </c>
      <c r="E716" s="1"/>
      <c r="F716" s="1"/>
    </row>
    <row r="717">
      <c r="A717" s="1" t="str">
        <f>IFERROR(__xludf.DUMMYFUNCTION("""COMPUTED_VALUE"""),"c09d3757")</f>
        <v>c09d3757</v>
      </c>
      <c r="B717" s="1" t="str">
        <f>IFERROR(__xludf.DUMMYFUNCTION("""COMPUTED_VALUE"""),"0064")</f>
        <v>0064</v>
      </c>
      <c r="C717" s="32">
        <f>IFERROR(__xludf.DUMMYFUNCTION("""COMPUTED_VALUE"""),46099.79332175926)</f>
        <v>46099.79332</v>
      </c>
      <c r="D717" s="1">
        <f>IFERROR(__xludf.DUMMYFUNCTION("""COMPUTED_VALUE"""),18.0)</f>
        <v>18</v>
      </c>
      <c r="E717" s="1"/>
      <c r="F717" s="1"/>
    </row>
    <row r="718">
      <c r="A718" s="1" t="str">
        <f>IFERROR(__xludf.DUMMYFUNCTION("""COMPUTED_VALUE"""),"f21b2d3f")</f>
        <v>f21b2d3f</v>
      </c>
      <c r="B718" s="1" t="str">
        <f>IFERROR(__xludf.DUMMYFUNCTION("""COMPUTED_VALUE"""),"0001")</f>
        <v>0001</v>
      </c>
      <c r="C718" s="32">
        <f>IFERROR(__xludf.DUMMYFUNCTION("""COMPUTED_VALUE"""),46099.79341435185)</f>
        <v>46099.79341</v>
      </c>
      <c r="D718" s="1">
        <f>IFERROR(__xludf.DUMMYFUNCTION("""COMPUTED_VALUE"""),2.0)</f>
        <v>2</v>
      </c>
      <c r="E718" s="1"/>
      <c r="F718" s="1"/>
    </row>
    <row r="719">
      <c r="A719" s="1" t="str">
        <f>IFERROR(__xludf.DUMMYFUNCTION("""COMPUTED_VALUE"""),"cd9296c7")</f>
        <v>cd9296c7</v>
      </c>
      <c r="B719" s="1" t="str">
        <f>IFERROR(__xludf.DUMMYFUNCTION("""COMPUTED_VALUE"""),"ccaf1c68")</f>
        <v>ccaf1c68</v>
      </c>
      <c r="C719" s="32">
        <f>IFERROR(__xludf.DUMMYFUNCTION("""COMPUTED_VALUE"""),46099.79349537037)</f>
        <v>46099.7935</v>
      </c>
      <c r="D719" s="1">
        <f>IFERROR(__xludf.DUMMYFUNCTION("""COMPUTED_VALUE"""),1.0)</f>
        <v>1</v>
      </c>
      <c r="E719" s="1"/>
      <c r="F719" s="1"/>
    </row>
    <row r="720">
      <c r="A720" s="1" t="str">
        <f>IFERROR(__xludf.DUMMYFUNCTION("""COMPUTED_VALUE"""),"8e7e63a2")</f>
        <v>8e7e63a2</v>
      </c>
      <c r="B720" s="1" t="str">
        <f>IFERROR(__xludf.DUMMYFUNCTION("""COMPUTED_VALUE"""),"e9e2a383")</f>
        <v>e9e2a383</v>
      </c>
      <c r="C720" s="32">
        <f>IFERROR(__xludf.DUMMYFUNCTION("""COMPUTED_VALUE"""),46099.79420138889)</f>
        <v>46099.7942</v>
      </c>
      <c r="D720" s="1">
        <f>IFERROR(__xludf.DUMMYFUNCTION("""COMPUTED_VALUE"""),2.0)</f>
        <v>2</v>
      </c>
      <c r="E720" s="1"/>
      <c r="F720" s="1"/>
    </row>
    <row r="721">
      <c r="A721" s="1" t="str">
        <f>IFERROR(__xludf.DUMMYFUNCTION("""COMPUTED_VALUE"""),"84ec13ab")</f>
        <v>84ec13ab</v>
      </c>
      <c r="B721" s="1" t="str">
        <f>IFERROR(__xludf.DUMMYFUNCTION("""COMPUTED_VALUE"""),"0065")</f>
        <v>0065</v>
      </c>
      <c r="C721" s="32">
        <f>IFERROR(__xludf.DUMMYFUNCTION("""COMPUTED_VALUE"""),46099.79445601852)</f>
        <v>46099.79446</v>
      </c>
      <c r="D721" s="1">
        <f>IFERROR(__xludf.DUMMYFUNCTION("""COMPUTED_VALUE"""),2.0)</f>
        <v>2</v>
      </c>
      <c r="E721" s="1"/>
      <c r="F721" s="1"/>
    </row>
    <row r="722">
      <c r="A722" s="1" t="str">
        <f>IFERROR(__xludf.DUMMYFUNCTION("""COMPUTED_VALUE"""),"dbe218f6")</f>
        <v>dbe218f6</v>
      </c>
      <c r="B722" s="1" t="str">
        <f>IFERROR(__xludf.DUMMYFUNCTION("""COMPUTED_VALUE"""),"0061")</f>
        <v>0061</v>
      </c>
      <c r="C722" s="32">
        <f>IFERROR(__xludf.DUMMYFUNCTION("""COMPUTED_VALUE"""),46099.79460648148)</f>
        <v>46099.79461</v>
      </c>
      <c r="D722" s="1">
        <f>IFERROR(__xludf.DUMMYFUNCTION("""COMPUTED_VALUE"""),1.0)</f>
        <v>1</v>
      </c>
      <c r="E722" s="1"/>
      <c r="F722" s="1"/>
    </row>
    <row r="723">
      <c r="A723" s="1" t="str">
        <f>IFERROR(__xludf.DUMMYFUNCTION("""COMPUTED_VALUE"""),"c49be400")</f>
        <v>c49be400</v>
      </c>
      <c r="B723" s="1" t="str">
        <f>IFERROR(__xludf.DUMMYFUNCTION("""COMPUTED_VALUE"""),"0002")</f>
        <v>0002</v>
      </c>
      <c r="C723" s="32">
        <f>IFERROR(__xludf.DUMMYFUNCTION("""COMPUTED_VALUE"""),46099.79688657408)</f>
        <v>46099.79689</v>
      </c>
      <c r="D723" s="1">
        <f>IFERROR(__xludf.DUMMYFUNCTION("""COMPUTED_VALUE"""),26.0)</f>
        <v>26</v>
      </c>
      <c r="E723" s="1"/>
      <c r="F723" s="1"/>
    </row>
    <row r="724">
      <c r="A724" s="1" t="str">
        <f>IFERROR(__xludf.DUMMYFUNCTION("""COMPUTED_VALUE"""),"89d51fdf")</f>
        <v>89d51fdf</v>
      </c>
      <c r="B724" s="1" t="str">
        <f>IFERROR(__xludf.DUMMYFUNCTION("""COMPUTED_VALUE"""),"b3204174")</f>
        <v>b3204174</v>
      </c>
      <c r="C724" s="32">
        <f>IFERROR(__xludf.DUMMYFUNCTION("""COMPUTED_VALUE"""),46100.63725694444)</f>
        <v>46100.63726</v>
      </c>
      <c r="D724" s="1">
        <f>IFERROR(__xludf.DUMMYFUNCTION("""COMPUTED_VALUE"""),-12.0)</f>
        <v>-12</v>
      </c>
      <c r="E724" s="1"/>
      <c r="F724" s="1"/>
    </row>
    <row r="725">
      <c r="A725" s="1" t="str">
        <f>IFERROR(__xludf.DUMMYFUNCTION("""COMPUTED_VALUE"""),"c0ab805f")</f>
        <v>c0ab805f</v>
      </c>
      <c r="B725" s="1" t="str">
        <f>IFERROR(__xludf.DUMMYFUNCTION("""COMPUTED_VALUE"""),"bb6c2490")</f>
        <v>bb6c2490</v>
      </c>
      <c r="C725" s="32">
        <f>IFERROR(__xludf.DUMMYFUNCTION("""COMPUTED_VALUE"""),46100.63731481481)</f>
        <v>46100.63731</v>
      </c>
      <c r="D725" s="1">
        <f>IFERROR(__xludf.DUMMYFUNCTION("""COMPUTED_VALUE"""),-11.0)</f>
        <v>-11</v>
      </c>
      <c r="E725" s="1"/>
      <c r="F725" s="1"/>
    </row>
    <row r="726">
      <c r="A726" s="1" t="str">
        <f>IFERROR(__xludf.DUMMYFUNCTION("""COMPUTED_VALUE"""),"d8814647")</f>
        <v>d8814647</v>
      </c>
      <c r="B726" s="1" t="str">
        <f>IFERROR(__xludf.DUMMYFUNCTION("""COMPUTED_VALUE"""),"cd21eb57")</f>
        <v>cd21eb57</v>
      </c>
      <c r="C726" s="32">
        <f>IFERROR(__xludf.DUMMYFUNCTION("""COMPUTED_VALUE"""),46100.63736111111)</f>
        <v>46100.63736</v>
      </c>
      <c r="D726" s="1">
        <f>IFERROR(__xludf.DUMMYFUNCTION("""COMPUTED_VALUE"""),-2.0)</f>
        <v>-2</v>
      </c>
      <c r="E726" s="1"/>
      <c r="F726" s="1"/>
    </row>
    <row r="727">
      <c r="A727" s="1" t="str">
        <f>IFERROR(__xludf.DUMMYFUNCTION("""COMPUTED_VALUE"""),"d849a905")</f>
        <v>d849a905</v>
      </c>
      <c r="B727" s="1" t="str">
        <f>IFERROR(__xludf.DUMMYFUNCTION("""COMPUTED_VALUE"""),"0001")</f>
        <v>0001</v>
      </c>
      <c r="C727" s="32">
        <f>IFERROR(__xludf.DUMMYFUNCTION("""COMPUTED_VALUE"""),46100.63744212963)</f>
        <v>46100.63744</v>
      </c>
      <c r="D727" s="1">
        <f>IFERROR(__xludf.DUMMYFUNCTION("""COMPUTED_VALUE"""),-15.0)</f>
        <v>-15</v>
      </c>
      <c r="E727" s="1"/>
      <c r="F727" s="1"/>
    </row>
    <row r="728">
      <c r="A728" s="1" t="str">
        <f>IFERROR(__xludf.DUMMYFUNCTION("""COMPUTED_VALUE"""),"12acf063")</f>
        <v>12acf063</v>
      </c>
      <c r="B728" s="1" t="str">
        <f>IFERROR(__xludf.DUMMYFUNCTION("""COMPUTED_VALUE"""),"12b96290")</f>
        <v>12b96290</v>
      </c>
      <c r="C728" s="32">
        <f>IFERROR(__xludf.DUMMYFUNCTION("""COMPUTED_VALUE"""),46100.637511574074)</f>
        <v>46100.63751</v>
      </c>
      <c r="D728" s="1">
        <f>IFERROR(__xludf.DUMMYFUNCTION("""COMPUTED_VALUE"""),-15.0)</f>
        <v>-15</v>
      </c>
      <c r="E728" s="1"/>
      <c r="F728" s="1"/>
    </row>
    <row r="729">
      <c r="A729" s="1" t="str">
        <f>IFERROR(__xludf.DUMMYFUNCTION("""COMPUTED_VALUE"""),"5dbdbd4f")</f>
        <v>5dbdbd4f</v>
      </c>
      <c r="B729" s="1" t="str">
        <f>IFERROR(__xludf.DUMMYFUNCTION("""COMPUTED_VALUE"""),"0af806f8")</f>
        <v>0af806f8</v>
      </c>
      <c r="C729" s="32">
        <f>IFERROR(__xludf.DUMMYFUNCTION("""COMPUTED_VALUE"""),46100.63758101852)</f>
        <v>46100.63758</v>
      </c>
      <c r="D729" s="1">
        <f>IFERROR(__xludf.DUMMYFUNCTION("""COMPUTED_VALUE"""),-15.0)</f>
        <v>-15</v>
      </c>
      <c r="E729" s="1"/>
      <c r="F729" s="1"/>
    </row>
    <row r="730">
      <c r="A730" s="1" t="str">
        <f>IFERROR(__xludf.DUMMYFUNCTION("""COMPUTED_VALUE"""),"914d3407")</f>
        <v>914d3407</v>
      </c>
      <c r="B730" s="1" t="str">
        <f>IFERROR(__xludf.DUMMYFUNCTION("""COMPUTED_VALUE"""),"bb4d1bd1")</f>
        <v>bb4d1bd1</v>
      </c>
      <c r="C730" s="32">
        <f>IFERROR(__xludf.DUMMYFUNCTION("""COMPUTED_VALUE"""),46100.63856481481)</f>
        <v>46100.63856</v>
      </c>
      <c r="D730" s="1">
        <f>IFERROR(__xludf.DUMMYFUNCTION("""COMPUTED_VALUE"""),-12.0)</f>
        <v>-12</v>
      </c>
      <c r="E730" s="1"/>
      <c r="F730" s="1"/>
    </row>
    <row r="731">
      <c r="A731" s="1" t="str">
        <f>IFERROR(__xludf.DUMMYFUNCTION("""COMPUTED_VALUE"""),"0d64fe6f")</f>
        <v>0d64fe6f</v>
      </c>
      <c r="B731" s="1" t="str">
        <f>IFERROR(__xludf.DUMMYFUNCTION("""COMPUTED_VALUE"""),"a19879cf")</f>
        <v>a19879cf</v>
      </c>
      <c r="C731" s="32">
        <f>IFERROR(__xludf.DUMMYFUNCTION("""COMPUTED_VALUE"""),46100.63866898148)</f>
        <v>46100.63867</v>
      </c>
      <c r="D731" s="1">
        <f>IFERROR(__xludf.DUMMYFUNCTION("""COMPUTED_VALUE"""),-6.0)</f>
        <v>-6</v>
      </c>
      <c r="E731" s="1"/>
      <c r="F731" s="1"/>
    </row>
    <row r="732">
      <c r="A732" s="1" t="str">
        <f>IFERROR(__xludf.DUMMYFUNCTION("""COMPUTED_VALUE"""),"1958db7e")</f>
        <v>1958db7e</v>
      </c>
      <c r="B732" s="1" t="str">
        <f>IFERROR(__xludf.DUMMYFUNCTION("""COMPUTED_VALUE"""),"0021")</f>
        <v>0021</v>
      </c>
      <c r="C732" s="32">
        <f>IFERROR(__xludf.DUMMYFUNCTION("""COMPUTED_VALUE"""),46100.638819444444)</f>
        <v>46100.63882</v>
      </c>
      <c r="D732" s="1">
        <f>IFERROR(__xludf.DUMMYFUNCTION("""COMPUTED_VALUE"""),-8.0)</f>
        <v>-8</v>
      </c>
      <c r="E732" s="1"/>
      <c r="F732" s="1"/>
    </row>
    <row r="733">
      <c r="A733" s="1" t="str">
        <f>IFERROR(__xludf.DUMMYFUNCTION("""COMPUTED_VALUE"""),"dce415e3")</f>
        <v>dce415e3</v>
      </c>
      <c r="B733" s="1" t="str">
        <f>IFERROR(__xludf.DUMMYFUNCTION("""COMPUTED_VALUE"""),"83dd14b5")</f>
        <v>83dd14b5</v>
      </c>
      <c r="C733" s="32">
        <f>IFERROR(__xludf.DUMMYFUNCTION("""COMPUTED_VALUE"""),46100.639236111114)</f>
        <v>46100.63924</v>
      </c>
      <c r="D733" s="1">
        <f>IFERROR(__xludf.DUMMYFUNCTION("""COMPUTED_VALUE"""),-12.0)</f>
        <v>-12</v>
      </c>
      <c r="E733" s="1"/>
      <c r="F733" s="1"/>
    </row>
    <row r="734">
      <c r="A734" s="1" t="str">
        <f>IFERROR(__xludf.DUMMYFUNCTION("""COMPUTED_VALUE"""),"2bc1a523")</f>
        <v>2bc1a523</v>
      </c>
      <c r="B734" s="1" t="str">
        <f>IFERROR(__xludf.DUMMYFUNCTION("""COMPUTED_VALUE"""),"cb9e809e")</f>
        <v>cb9e809e</v>
      </c>
      <c r="C734" s="32">
        <f>IFERROR(__xludf.DUMMYFUNCTION("""COMPUTED_VALUE"""),46100.6403125)</f>
        <v>46100.64031</v>
      </c>
      <c r="D734" s="1">
        <f>IFERROR(__xludf.DUMMYFUNCTION("""COMPUTED_VALUE"""),-10.0)</f>
        <v>-10</v>
      </c>
      <c r="E734" s="1"/>
      <c r="F734" s="1"/>
    </row>
    <row r="735">
      <c r="A735" s="1" t="str">
        <f>IFERROR(__xludf.DUMMYFUNCTION("""COMPUTED_VALUE"""),"93f391a5")</f>
        <v>93f391a5</v>
      </c>
      <c r="B735" s="1" t="str">
        <f>IFERROR(__xludf.DUMMYFUNCTION("""COMPUTED_VALUE"""),"0049")</f>
        <v>0049</v>
      </c>
      <c r="C735" s="32">
        <f>IFERROR(__xludf.DUMMYFUNCTION("""COMPUTED_VALUE"""),46100.64074074074)</f>
        <v>46100.64074</v>
      </c>
      <c r="D735" s="1">
        <f>IFERROR(__xludf.DUMMYFUNCTION("""COMPUTED_VALUE"""),-2.0)</f>
        <v>-2</v>
      </c>
      <c r="E735" s="1"/>
      <c r="F735" s="1"/>
    </row>
    <row r="736">
      <c r="A736" s="1" t="str">
        <f>IFERROR(__xludf.DUMMYFUNCTION("""COMPUTED_VALUE"""),"50b03142")</f>
        <v>50b03142</v>
      </c>
      <c r="B736" s="1" t="str">
        <f>IFERROR(__xludf.DUMMYFUNCTION("""COMPUTED_VALUE"""),"0064")</f>
        <v>0064</v>
      </c>
      <c r="C736" s="32">
        <f>IFERROR(__xludf.DUMMYFUNCTION("""COMPUTED_VALUE"""),46100.64150462963)</f>
        <v>46100.6415</v>
      </c>
      <c r="D736" s="1">
        <f>IFERROR(__xludf.DUMMYFUNCTION("""COMPUTED_VALUE"""),-2.0)</f>
        <v>-2</v>
      </c>
      <c r="E736" s="1"/>
      <c r="F736" s="1"/>
    </row>
    <row r="737">
      <c r="A737" s="1" t="str">
        <f>IFERROR(__xludf.DUMMYFUNCTION("""COMPUTED_VALUE"""),"ba1a6e12")</f>
        <v>ba1a6e12</v>
      </c>
      <c r="B737" s="1" t="str">
        <f>IFERROR(__xludf.DUMMYFUNCTION("""COMPUTED_VALUE"""),"0032")</f>
        <v>0032</v>
      </c>
      <c r="C737" s="32">
        <f>IFERROR(__xludf.DUMMYFUNCTION("""COMPUTED_VALUE"""),46100.64157407408)</f>
        <v>46100.64157</v>
      </c>
      <c r="D737" s="1">
        <f>IFERROR(__xludf.DUMMYFUNCTION("""COMPUTED_VALUE"""),-8.0)</f>
        <v>-8</v>
      </c>
      <c r="E737" s="1"/>
      <c r="F737" s="1"/>
    </row>
    <row r="738">
      <c r="A738" s="1" t="str">
        <f>IFERROR(__xludf.DUMMYFUNCTION("""COMPUTED_VALUE"""),"d27ba26e")</f>
        <v>d27ba26e</v>
      </c>
      <c r="B738" s="1" t="str">
        <f>IFERROR(__xludf.DUMMYFUNCTION("""COMPUTED_VALUE"""),"0029")</f>
        <v>0029</v>
      </c>
      <c r="C738" s="32">
        <f>IFERROR(__xludf.DUMMYFUNCTION("""COMPUTED_VALUE"""),46100.64234953704)</f>
        <v>46100.64235</v>
      </c>
      <c r="D738" s="1">
        <f>IFERROR(__xludf.DUMMYFUNCTION("""COMPUTED_VALUE"""),-10.0)</f>
        <v>-10</v>
      </c>
      <c r="E738" s="1"/>
      <c r="F738" s="1"/>
    </row>
    <row r="739">
      <c r="A739" s="1" t="str">
        <f>IFERROR(__xludf.DUMMYFUNCTION("""COMPUTED_VALUE"""),"a118c29a")</f>
        <v>a118c29a</v>
      </c>
      <c r="B739" s="1" t="str">
        <f>IFERROR(__xludf.DUMMYFUNCTION("""COMPUTED_VALUE"""),"406a1fee")</f>
        <v>406a1fee</v>
      </c>
      <c r="C739" s="32">
        <f>IFERROR(__xludf.DUMMYFUNCTION("""COMPUTED_VALUE"""),46100.64246527778)</f>
        <v>46100.64247</v>
      </c>
      <c r="D739" s="1">
        <f>IFERROR(__xludf.DUMMYFUNCTION("""COMPUTED_VALUE"""),-4.0)</f>
        <v>-4</v>
      </c>
      <c r="E739" s="1"/>
      <c r="F739" s="1"/>
    </row>
    <row r="740">
      <c r="A740" s="1" t="str">
        <f>IFERROR(__xludf.DUMMYFUNCTION("""COMPUTED_VALUE"""),"c04ef36e")</f>
        <v>c04ef36e</v>
      </c>
      <c r="B740" s="1" t="str">
        <f>IFERROR(__xludf.DUMMYFUNCTION("""COMPUTED_VALUE"""),"a3f74383")</f>
        <v>a3f74383</v>
      </c>
      <c r="C740" s="32">
        <f>IFERROR(__xludf.DUMMYFUNCTION("""COMPUTED_VALUE"""),46100.64256944445)</f>
        <v>46100.64257</v>
      </c>
      <c r="D740" s="1">
        <f>IFERROR(__xludf.DUMMYFUNCTION("""COMPUTED_VALUE"""),-1.0)</f>
        <v>-1</v>
      </c>
      <c r="E740" s="1"/>
      <c r="F740" s="1"/>
    </row>
    <row r="741">
      <c r="A741" s="1" t="str">
        <f>IFERROR(__xludf.DUMMYFUNCTION("""COMPUTED_VALUE"""),"966b6ffd")</f>
        <v>966b6ffd</v>
      </c>
      <c r="B741" s="1" t="str">
        <f>IFERROR(__xludf.DUMMYFUNCTION("""COMPUTED_VALUE"""),"0054")</f>
        <v>0054</v>
      </c>
      <c r="C741" s="32">
        <f>IFERROR(__xludf.DUMMYFUNCTION("""COMPUTED_VALUE"""),46100.64266203704)</f>
        <v>46100.64266</v>
      </c>
      <c r="D741" s="1">
        <f>IFERROR(__xludf.DUMMYFUNCTION("""COMPUTED_VALUE"""),-5.0)</f>
        <v>-5</v>
      </c>
      <c r="E741" s="1"/>
      <c r="F741" s="1"/>
    </row>
    <row r="742">
      <c r="A742" s="1" t="str">
        <f>IFERROR(__xludf.DUMMYFUNCTION("""COMPUTED_VALUE"""),"d00fe01e")</f>
        <v>d00fe01e</v>
      </c>
      <c r="B742" s="1" t="str">
        <f>IFERROR(__xludf.DUMMYFUNCTION("""COMPUTED_VALUE"""),"0011")</f>
        <v>0011</v>
      </c>
      <c r="C742" s="32">
        <f>IFERROR(__xludf.DUMMYFUNCTION("""COMPUTED_VALUE"""),46100.644479166665)</f>
        <v>46100.64448</v>
      </c>
      <c r="D742" s="1">
        <f>IFERROR(__xludf.DUMMYFUNCTION("""COMPUTED_VALUE"""),-11.0)</f>
        <v>-11</v>
      </c>
      <c r="E742" s="1"/>
      <c r="F742" s="1"/>
    </row>
    <row r="743">
      <c r="A743" s="1" t="str">
        <f>IFERROR(__xludf.DUMMYFUNCTION("""COMPUTED_VALUE"""),"a72222d2")</f>
        <v>a72222d2</v>
      </c>
      <c r="B743" s="1" t="str">
        <f>IFERROR(__xludf.DUMMYFUNCTION("""COMPUTED_VALUE"""),"0002")</f>
        <v>0002</v>
      </c>
      <c r="C743" s="32">
        <f>IFERROR(__xludf.DUMMYFUNCTION("""COMPUTED_VALUE"""),46100.64461805556)</f>
        <v>46100.64462</v>
      </c>
      <c r="D743" s="1">
        <f>IFERROR(__xludf.DUMMYFUNCTION("""COMPUTED_VALUE"""),-60.0)</f>
        <v>-60</v>
      </c>
      <c r="E743" s="1"/>
      <c r="F743" s="1"/>
    </row>
    <row r="744">
      <c r="A744" s="1" t="str">
        <f>IFERROR(__xludf.DUMMYFUNCTION("""COMPUTED_VALUE"""),"50464770")</f>
        <v>50464770</v>
      </c>
      <c r="B744" s="1" t="str">
        <f>IFERROR(__xludf.DUMMYFUNCTION("""COMPUTED_VALUE"""),"c099f042")</f>
        <v>c099f042</v>
      </c>
      <c r="C744" s="32">
        <f>IFERROR(__xludf.DUMMYFUNCTION("""COMPUTED_VALUE"""),46100.64800925926)</f>
        <v>46100.64801</v>
      </c>
      <c r="D744" s="1">
        <f>IFERROR(__xludf.DUMMYFUNCTION("""COMPUTED_VALUE"""),-6.0)</f>
        <v>-6</v>
      </c>
      <c r="E744" s="1"/>
      <c r="F744" s="1"/>
    </row>
    <row r="745">
      <c r="A745" s="1" t="str">
        <f>IFERROR(__xludf.DUMMYFUNCTION("""COMPUTED_VALUE"""),"2256c0f9")</f>
        <v>2256c0f9</v>
      </c>
      <c r="B745" s="1" t="str">
        <f>IFERROR(__xludf.DUMMYFUNCTION("""COMPUTED_VALUE"""),"bb6c2490")</f>
        <v>bb6c2490</v>
      </c>
      <c r="C745" s="32">
        <f>IFERROR(__xludf.DUMMYFUNCTION("""COMPUTED_VALUE"""),46100.64805555555)</f>
        <v>46100.64806</v>
      </c>
      <c r="D745" s="1">
        <f>IFERROR(__xludf.DUMMYFUNCTION("""COMPUTED_VALUE"""),-12.0)</f>
        <v>-12</v>
      </c>
      <c r="E745" s="1"/>
      <c r="F745" s="1"/>
    </row>
    <row r="746">
      <c r="A746" s="1" t="str">
        <f>IFERROR(__xludf.DUMMYFUNCTION("""COMPUTED_VALUE"""),"dadbeb2d")</f>
        <v>dadbeb2d</v>
      </c>
      <c r="B746" s="1" t="str">
        <f>IFERROR(__xludf.DUMMYFUNCTION("""COMPUTED_VALUE"""),"0001")</f>
        <v>0001</v>
      </c>
      <c r="C746" s="32">
        <f>IFERROR(__xludf.DUMMYFUNCTION("""COMPUTED_VALUE"""),46100.648148148146)</f>
        <v>46100.64815</v>
      </c>
      <c r="D746" s="1">
        <f>IFERROR(__xludf.DUMMYFUNCTION("""COMPUTED_VALUE"""),-18.0)</f>
        <v>-18</v>
      </c>
      <c r="E746" s="1"/>
      <c r="F746" s="1"/>
    </row>
    <row r="747">
      <c r="A747" s="1" t="str">
        <f>IFERROR(__xludf.DUMMYFUNCTION("""COMPUTED_VALUE"""),"f7ba7de4")</f>
        <v>f7ba7de4</v>
      </c>
      <c r="B747" s="1" t="str">
        <f>IFERROR(__xludf.DUMMYFUNCTION("""COMPUTED_VALUE"""),"0af806f8")</f>
        <v>0af806f8</v>
      </c>
      <c r="C747" s="32">
        <f>IFERROR(__xludf.DUMMYFUNCTION("""COMPUTED_VALUE"""),46100.64833333333)</f>
        <v>46100.64833</v>
      </c>
      <c r="D747" s="1">
        <f>IFERROR(__xludf.DUMMYFUNCTION("""COMPUTED_VALUE"""),-2.0)</f>
        <v>-2</v>
      </c>
      <c r="E747" s="1"/>
      <c r="F747" s="1"/>
    </row>
    <row r="748">
      <c r="A748" s="1" t="str">
        <f>IFERROR(__xludf.DUMMYFUNCTION("""COMPUTED_VALUE"""),"ab061f41")</f>
        <v>ab061f41</v>
      </c>
      <c r="B748" s="1" t="str">
        <f>IFERROR(__xludf.DUMMYFUNCTION("""COMPUTED_VALUE"""),"12b96290")</f>
        <v>12b96290</v>
      </c>
      <c r="C748" s="32">
        <f>IFERROR(__xludf.DUMMYFUNCTION("""COMPUTED_VALUE"""),46100.64840277778)</f>
        <v>46100.6484</v>
      </c>
      <c r="D748" s="1">
        <f>IFERROR(__xludf.DUMMYFUNCTION("""COMPUTED_VALUE"""),-15.0)</f>
        <v>-15</v>
      </c>
      <c r="E748" s="1"/>
      <c r="F748" s="1"/>
    </row>
    <row r="749">
      <c r="A749" s="1" t="str">
        <f>IFERROR(__xludf.DUMMYFUNCTION("""COMPUTED_VALUE"""),"15988e0c")</f>
        <v>15988e0c</v>
      </c>
      <c r="B749" s="1" t="str">
        <f>IFERROR(__xludf.DUMMYFUNCTION("""COMPUTED_VALUE"""),"0019")</f>
        <v>0019</v>
      </c>
      <c r="C749" s="32">
        <f>IFERROR(__xludf.DUMMYFUNCTION("""COMPUTED_VALUE"""),46100.64853009259)</f>
        <v>46100.64853</v>
      </c>
      <c r="D749" s="1">
        <f>IFERROR(__xludf.DUMMYFUNCTION("""COMPUTED_VALUE"""),-10.0)</f>
        <v>-10</v>
      </c>
      <c r="E749" s="1"/>
      <c r="F749" s="1"/>
    </row>
    <row r="750">
      <c r="A750" s="1" t="str">
        <f>IFERROR(__xludf.DUMMYFUNCTION("""COMPUTED_VALUE"""),"391c2417")</f>
        <v>391c2417</v>
      </c>
      <c r="B750" s="1" t="str">
        <f>IFERROR(__xludf.DUMMYFUNCTION("""COMPUTED_VALUE"""),"83dd14b5")</f>
        <v>83dd14b5</v>
      </c>
      <c r="C750" s="32">
        <f>IFERROR(__xludf.DUMMYFUNCTION("""COMPUTED_VALUE"""),46100.64891203704)</f>
        <v>46100.64891</v>
      </c>
      <c r="D750" s="1">
        <f>IFERROR(__xludf.DUMMYFUNCTION("""COMPUTED_VALUE"""),-24.0)</f>
        <v>-24</v>
      </c>
      <c r="E750" s="1"/>
      <c r="F750" s="1"/>
    </row>
    <row r="751">
      <c r="A751" s="1" t="str">
        <f>IFERROR(__xludf.DUMMYFUNCTION("""COMPUTED_VALUE"""),"f97a429c")</f>
        <v>f97a429c</v>
      </c>
      <c r="B751" s="1" t="str">
        <f>IFERROR(__xludf.DUMMYFUNCTION("""COMPUTED_VALUE"""),"0049")</f>
        <v>0049</v>
      </c>
      <c r="C751" s="32">
        <f>IFERROR(__xludf.DUMMYFUNCTION("""COMPUTED_VALUE"""),46100.649097222224)</f>
        <v>46100.6491</v>
      </c>
      <c r="D751" s="1">
        <f>IFERROR(__xludf.DUMMYFUNCTION("""COMPUTED_VALUE"""),-6.0)</f>
        <v>-6</v>
      </c>
      <c r="E751" s="1"/>
      <c r="F751" s="1"/>
    </row>
    <row r="752">
      <c r="A752" s="1" t="str">
        <f>IFERROR(__xludf.DUMMYFUNCTION("""COMPUTED_VALUE"""),"ac68a30c")</f>
        <v>ac68a30c</v>
      </c>
      <c r="B752" s="1" t="str">
        <f>IFERROR(__xludf.DUMMYFUNCTION("""COMPUTED_VALUE"""),"cf6c9481")</f>
        <v>cf6c9481</v>
      </c>
      <c r="C752" s="32">
        <f>IFERROR(__xludf.DUMMYFUNCTION("""COMPUTED_VALUE"""),46100.64969907407)</f>
        <v>46100.6497</v>
      </c>
      <c r="D752" s="1">
        <f>IFERROR(__xludf.DUMMYFUNCTION("""COMPUTED_VALUE"""),-12.0)</f>
        <v>-12</v>
      </c>
      <c r="E752" s="1"/>
      <c r="F752" s="1"/>
    </row>
    <row r="753">
      <c r="A753" s="1" t="str">
        <f>IFERROR(__xludf.DUMMYFUNCTION("""COMPUTED_VALUE"""),"0efc2333")</f>
        <v>0efc2333</v>
      </c>
      <c r="B753" s="1" t="str">
        <f>IFERROR(__xludf.DUMMYFUNCTION("""COMPUTED_VALUE"""),"0064")</f>
        <v>0064</v>
      </c>
      <c r="C753" s="32">
        <f>IFERROR(__xludf.DUMMYFUNCTION("""COMPUTED_VALUE"""),46100.65001157407)</f>
        <v>46100.65001</v>
      </c>
      <c r="D753" s="1">
        <f>IFERROR(__xludf.DUMMYFUNCTION("""COMPUTED_VALUE"""),-7.0)</f>
        <v>-7</v>
      </c>
      <c r="E753" s="1"/>
      <c r="F753" s="1"/>
    </row>
    <row r="754">
      <c r="A754" s="1" t="str">
        <f>IFERROR(__xludf.DUMMYFUNCTION("""COMPUTED_VALUE"""),"c9c58252")</f>
        <v>c9c58252</v>
      </c>
      <c r="B754" s="1" t="str">
        <f>IFERROR(__xludf.DUMMYFUNCTION("""COMPUTED_VALUE"""),"0032")</f>
        <v>0032</v>
      </c>
      <c r="C754" s="32">
        <f>IFERROR(__xludf.DUMMYFUNCTION("""COMPUTED_VALUE"""),46100.65010416666)</f>
        <v>46100.6501</v>
      </c>
      <c r="D754" s="1">
        <f>IFERROR(__xludf.DUMMYFUNCTION("""COMPUTED_VALUE"""),-4.0)</f>
        <v>-4</v>
      </c>
      <c r="E754" s="1"/>
      <c r="F754" s="1"/>
    </row>
    <row r="755">
      <c r="A755" s="1" t="str">
        <f>IFERROR(__xludf.DUMMYFUNCTION("""COMPUTED_VALUE"""),"55162164")</f>
        <v>55162164</v>
      </c>
      <c r="B755" s="1" t="str">
        <f>IFERROR(__xludf.DUMMYFUNCTION("""COMPUTED_VALUE"""),"0002")</f>
        <v>0002</v>
      </c>
      <c r="C755" s="32">
        <f>IFERROR(__xludf.DUMMYFUNCTION("""COMPUTED_VALUE"""),46100.650347222225)</f>
        <v>46100.65035</v>
      </c>
      <c r="D755" s="1">
        <f>IFERROR(__xludf.DUMMYFUNCTION("""COMPUTED_VALUE"""),-60.0)</f>
        <v>-60</v>
      </c>
      <c r="E755" s="1"/>
      <c r="F755" s="1"/>
    </row>
    <row r="756">
      <c r="A756" s="1" t="str">
        <f>IFERROR(__xludf.DUMMYFUNCTION("""COMPUTED_VALUE"""),"8943fb5f")</f>
        <v>8943fb5f</v>
      </c>
      <c r="B756" s="1" t="str">
        <f>IFERROR(__xludf.DUMMYFUNCTION("""COMPUTED_VALUE"""),"0011")</f>
        <v>0011</v>
      </c>
      <c r="C756" s="32">
        <f>IFERROR(__xludf.DUMMYFUNCTION("""COMPUTED_VALUE"""),46100.650821759256)</f>
        <v>46100.65082</v>
      </c>
      <c r="D756" s="1">
        <f>IFERROR(__xludf.DUMMYFUNCTION("""COMPUTED_VALUE"""),-6.0)</f>
        <v>-6</v>
      </c>
      <c r="E756" s="1"/>
      <c r="F756" s="1"/>
    </row>
    <row r="757">
      <c r="A757" s="1" t="str">
        <f>IFERROR(__xludf.DUMMYFUNCTION("""COMPUTED_VALUE"""),"e08855ec")</f>
        <v>e08855ec</v>
      </c>
      <c r="B757" s="1" t="str">
        <f>IFERROR(__xludf.DUMMYFUNCTION("""COMPUTED_VALUE"""),"406a1fee")</f>
        <v>406a1fee</v>
      </c>
      <c r="C757" s="32">
        <f>IFERROR(__xludf.DUMMYFUNCTION("""COMPUTED_VALUE"""),46100.652407407404)</f>
        <v>46100.65241</v>
      </c>
      <c r="D757" s="1">
        <f>IFERROR(__xludf.DUMMYFUNCTION("""COMPUTED_VALUE"""),-5.0)</f>
        <v>-5</v>
      </c>
      <c r="E757" s="1"/>
      <c r="F757" s="1"/>
    </row>
    <row r="758">
      <c r="A758" s="1" t="str">
        <f>IFERROR(__xludf.DUMMYFUNCTION("""COMPUTED_VALUE"""),"e79df754")</f>
        <v>e79df754</v>
      </c>
      <c r="B758" s="1" t="str">
        <f>IFERROR(__xludf.DUMMYFUNCTION("""COMPUTED_VALUE"""),"0029")</f>
        <v>0029</v>
      </c>
      <c r="C758" s="32">
        <f>IFERROR(__xludf.DUMMYFUNCTION("""COMPUTED_VALUE"""),46100.65256944444)</f>
        <v>46100.65257</v>
      </c>
      <c r="D758" s="1">
        <f>IFERROR(__xludf.DUMMYFUNCTION("""COMPUTED_VALUE"""),-11.0)</f>
        <v>-11</v>
      </c>
      <c r="E758" s="1"/>
      <c r="F758" s="1"/>
    </row>
    <row r="759">
      <c r="A759" s="1" t="str">
        <f>IFERROR(__xludf.DUMMYFUNCTION("""COMPUTED_VALUE"""),"930a6549")</f>
        <v>930a6549</v>
      </c>
      <c r="B759" s="1" t="str">
        <f>IFERROR(__xludf.DUMMYFUNCTION("""COMPUTED_VALUE"""),"0054")</f>
        <v>0054</v>
      </c>
      <c r="C759" s="32">
        <f>IFERROR(__xludf.DUMMYFUNCTION("""COMPUTED_VALUE"""),46100.65273148148)</f>
        <v>46100.65273</v>
      </c>
      <c r="D759" s="1">
        <f>IFERROR(__xludf.DUMMYFUNCTION("""COMPUTED_VALUE"""),-6.0)</f>
        <v>-6</v>
      </c>
      <c r="E759" s="1"/>
      <c r="F759" s="1"/>
    </row>
    <row r="760">
      <c r="A760" s="1" t="str">
        <f>IFERROR(__xludf.DUMMYFUNCTION("""COMPUTED_VALUE"""),"294a6f1d")</f>
        <v>294a6f1d</v>
      </c>
      <c r="B760" s="1" t="str">
        <f>IFERROR(__xludf.DUMMYFUNCTION("""COMPUTED_VALUE"""),"a3f74383")</f>
        <v>a3f74383</v>
      </c>
      <c r="C760" s="32">
        <f>IFERROR(__xludf.DUMMYFUNCTION("""COMPUTED_VALUE"""),46100.65284722222)</f>
        <v>46100.65285</v>
      </c>
      <c r="D760" s="1">
        <f>IFERROR(__xludf.DUMMYFUNCTION("""COMPUTED_VALUE"""),-4.0)</f>
        <v>-4</v>
      </c>
      <c r="E760" s="1"/>
      <c r="F760" s="1"/>
    </row>
    <row r="761">
      <c r="A761" s="1" t="str">
        <f>IFERROR(__xludf.DUMMYFUNCTION("""COMPUTED_VALUE"""),"797889b5")</f>
        <v>797889b5</v>
      </c>
      <c r="B761" s="1" t="str">
        <f>IFERROR(__xludf.DUMMYFUNCTION("""COMPUTED_VALUE"""),"0005")</f>
        <v>0005</v>
      </c>
      <c r="C761" s="32">
        <f>IFERROR(__xludf.DUMMYFUNCTION("""COMPUTED_VALUE"""),46100.65324074074)</f>
        <v>46100.65324</v>
      </c>
      <c r="D761" s="1">
        <f>IFERROR(__xludf.DUMMYFUNCTION("""COMPUTED_VALUE"""),-3.0)</f>
        <v>-3</v>
      </c>
      <c r="E761" s="1"/>
      <c r="F761" s="1"/>
    </row>
    <row r="762">
      <c r="A762" s="1" t="str">
        <f>IFERROR(__xludf.DUMMYFUNCTION("""COMPUTED_VALUE"""),"295be6c0")</f>
        <v>295be6c0</v>
      </c>
      <c r="B762" s="1" t="str">
        <f>IFERROR(__xludf.DUMMYFUNCTION("""COMPUTED_VALUE"""),"0010")</f>
        <v>0010</v>
      </c>
      <c r="C762" s="32">
        <f>IFERROR(__xludf.DUMMYFUNCTION("""COMPUTED_VALUE"""),46100.71581018518)</f>
        <v>46100.71581</v>
      </c>
      <c r="D762" s="1">
        <f>IFERROR(__xludf.DUMMYFUNCTION("""COMPUTED_VALUE"""),14.0)</f>
        <v>14</v>
      </c>
      <c r="E762" s="1" t="str">
        <f>IFERROR(__xludf.DUMMYFUNCTION("""COMPUTED_VALUE"""),"6502020e")</f>
        <v>6502020e</v>
      </c>
      <c r="F762" s="1"/>
    </row>
    <row r="763">
      <c r="A763" s="1" t="str">
        <f>IFERROR(__xludf.DUMMYFUNCTION("""COMPUTED_VALUE"""),"e9119531")</f>
        <v>e9119531</v>
      </c>
      <c r="B763" s="1" t="str">
        <f>IFERROR(__xludf.DUMMYFUNCTION("""COMPUTED_VALUE"""),"0086")</f>
        <v>0086</v>
      </c>
      <c r="C763" s="32">
        <f>IFERROR(__xludf.DUMMYFUNCTION("""COMPUTED_VALUE"""),46100.715902777774)</f>
        <v>46100.7159</v>
      </c>
      <c r="D763" s="1">
        <f>IFERROR(__xludf.DUMMYFUNCTION("""COMPUTED_VALUE"""),80.0)</f>
        <v>80</v>
      </c>
      <c r="E763" s="1" t="str">
        <f>IFERROR(__xludf.DUMMYFUNCTION("""COMPUTED_VALUE"""),"6502020e")</f>
        <v>6502020e</v>
      </c>
      <c r="F763" s="1"/>
    </row>
    <row r="764">
      <c r="A764" s="1" t="str">
        <f>IFERROR(__xludf.DUMMYFUNCTION("""COMPUTED_VALUE"""),"56360757")</f>
        <v>56360757</v>
      </c>
      <c r="B764" s="1" t="str">
        <f>IFERROR(__xludf.DUMMYFUNCTION("""COMPUTED_VALUE"""),"bb6c2490")</f>
        <v>bb6c2490</v>
      </c>
      <c r="C764" s="32">
        <f>IFERROR(__xludf.DUMMYFUNCTION("""COMPUTED_VALUE"""),46100.7175)</f>
        <v>46100.7175</v>
      </c>
      <c r="D764" s="1">
        <f>IFERROR(__xludf.DUMMYFUNCTION("""COMPUTED_VALUE"""),108.0)</f>
        <v>108</v>
      </c>
      <c r="E764" s="1" t="str">
        <f>IFERROR(__xludf.DUMMYFUNCTION("""COMPUTED_VALUE"""),"0717bd0b")</f>
        <v>0717bd0b</v>
      </c>
      <c r="F764" s="1"/>
    </row>
    <row r="765">
      <c r="A765" s="1" t="str">
        <f>IFERROR(__xludf.DUMMYFUNCTION("""COMPUTED_VALUE"""),"b99a6114")</f>
        <v>b99a6114</v>
      </c>
      <c r="B765" s="1" t="str">
        <f>IFERROR(__xludf.DUMMYFUNCTION("""COMPUTED_VALUE"""),"bb4d1bd1")</f>
        <v>bb4d1bd1</v>
      </c>
      <c r="C765" s="32">
        <f>IFERROR(__xludf.DUMMYFUNCTION("""COMPUTED_VALUE"""),46100.71858796296)</f>
        <v>46100.71859</v>
      </c>
      <c r="D765" s="1">
        <f>IFERROR(__xludf.DUMMYFUNCTION("""COMPUTED_VALUE"""),72.0)</f>
        <v>72</v>
      </c>
      <c r="E765" s="1" t="str">
        <f>IFERROR(__xludf.DUMMYFUNCTION("""COMPUTED_VALUE"""),"0717bd0b")</f>
        <v>0717bd0b</v>
      </c>
      <c r="F765" s="1"/>
    </row>
    <row r="766">
      <c r="A766" s="1" t="str">
        <f>IFERROR(__xludf.DUMMYFUNCTION("""COMPUTED_VALUE"""),"5ca9e8e7")</f>
        <v>5ca9e8e7</v>
      </c>
      <c r="B766" s="1" t="str">
        <f>IFERROR(__xludf.DUMMYFUNCTION("""COMPUTED_VALUE"""),"02d86a9b")</f>
        <v>02d86a9b</v>
      </c>
      <c r="C766" s="32">
        <f>IFERROR(__xludf.DUMMYFUNCTION("""COMPUTED_VALUE"""),46100.71863425926)</f>
        <v>46100.71863</v>
      </c>
      <c r="D766" s="1">
        <f>IFERROR(__xludf.DUMMYFUNCTION("""COMPUTED_VALUE"""),48.0)</f>
        <v>48</v>
      </c>
      <c r="E766" s="1" t="str">
        <f>IFERROR(__xludf.DUMMYFUNCTION("""COMPUTED_VALUE"""),"0717bd0b")</f>
        <v>0717bd0b</v>
      </c>
      <c r="F766" s="1"/>
    </row>
    <row r="767">
      <c r="A767" s="1" t="str">
        <f>IFERROR(__xludf.DUMMYFUNCTION("""COMPUTED_VALUE"""),"36bcd959")</f>
        <v>36bcd959</v>
      </c>
      <c r="B767" s="1" t="str">
        <f>IFERROR(__xludf.DUMMYFUNCTION("""COMPUTED_VALUE"""),"27c8f623")</f>
        <v>27c8f623</v>
      </c>
      <c r="C767" s="32">
        <f>IFERROR(__xludf.DUMMYFUNCTION("""COMPUTED_VALUE"""),46100.718680555554)</f>
        <v>46100.71868</v>
      </c>
      <c r="D767" s="1">
        <f>IFERROR(__xludf.DUMMYFUNCTION("""COMPUTED_VALUE"""),48.0)</f>
        <v>48</v>
      </c>
      <c r="E767" s="1" t="str">
        <f>IFERROR(__xludf.DUMMYFUNCTION("""COMPUTED_VALUE"""),"0717bd0b")</f>
        <v>0717bd0b</v>
      </c>
      <c r="F767" s="1"/>
    </row>
    <row r="768">
      <c r="A768" s="1" t="str">
        <f>IFERROR(__xludf.DUMMYFUNCTION("""COMPUTED_VALUE"""),"c2e2ac9a")</f>
        <v>c2e2ac9a</v>
      </c>
      <c r="B768" s="1" t="str">
        <f>IFERROR(__xludf.DUMMYFUNCTION("""COMPUTED_VALUE"""),"0021")</f>
        <v>0021</v>
      </c>
      <c r="C768" s="32">
        <f>IFERROR(__xludf.DUMMYFUNCTION("""COMPUTED_VALUE"""),46100.71873842592)</f>
        <v>46100.71874</v>
      </c>
      <c r="D768" s="1">
        <f>IFERROR(__xludf.DUMMYFUNCTION("""COMPUTED_VALUE"""),24.0)</f>
        <v>24</v>
      </c>
      <c r="E768" s="1" t="str">
        <f>IFERROR(__xludf.DUMMYFUNCTION("""COMPUTED_VALUE"""),"0717bd0b")</f>
        <v>0717bd0b</v>
      </c>
      <c r="F768" s="1"/>
    </row>
    <row r="769">
      <c r="A769" s="1" t="str">
        <f>IFERROR(__xludf.DUMMYFUNCTION("""COMPUTED_VALUE"""),"b0b9ff09")</f>
        <v>b0b9ff09</v>
      </c>
      <c r="B769" s="1" t="str">
        <f>IFERROR(__xludf.DUMMYFUNCTION("""COMPUTED_VALUE"""),"0011")</f>
        <v>0011</v>
      </c>
      <c r="C769" s="32">
        <f>IFERROR(__xludf.DUMMYFUNCTION("""COMPUTED_VALUE"""),46100.71878472222)</f>
        <v>46100.71878</v>
      </c>
      <c r="D769" s="1">
        <f>IFERROR(__xludf.DUMMYFUNCTION("""COMPUTED_VALUE"""),48.0)</f>
        <v>48</v>
      </c>
      <c r="E769" s="1" t="str">
        <f>IFERROR(__xludf.DUMMYFUNCTION("""COMPUTED_VALUE"""),"0717bd0b")</f>
        <v>0717bd0b</v>
      </c>
      <c r="F769" s="1"/>
    </row>
    <row r="770">
      <c r="A770" s="1" t="str">
        <f>IFERROR(__xludf.DUMMYFUNCTION("""COMPUTED_VALUE"""),"7d47c4cf")</f>
        <v>7d47c4cf</v>
      </c>
      <c r="B770" s="1" t="str">
        <f>IFERROR(__xludf.DUMMYFUNCTION("""COMPUTED_VALUE"""),"12b96290")</f>
        <v>12b96290</v>
      </c>
      <c r="C770" s="32">
        <f>IFERROR(__xludf.DUMMYFUNCTION("""COMPUTED_VALUE"""),46100.720046296294)</f>
        <v>46100.72005</v>
      </c>
      <c r="D770" s="1">
        <f>IFERROR(__xludf.DUMMYFUNCTION("""COMPUTED_VALUE"""),75.0)</f>
        <v>75</v>
      </c>
      <c r="E770" s="1" t="str">
        <f>IFERROR(__xludf.DUMMYFUNCTION("""COMPUTED_VALUE"""),"161a86ec")</f>
        <v>161a86ec</v>
      </c>
      <c r="F770" s="1"/>
    </row>
    <row r="771">
      <c r="A771" s="1" t="str">
        <f>IFERROR(__xludf.DUMMYFUNCTION("""COMPUTED_VALUE"""),"2a13b950")</f>
        <v>2a13b950</v>
      </c>
      <c r="B771" s="1" t="str">
        <f>IFERROR(__xludf.DUMMYFUNCTION("""COMPUTED_VALUE"""),"0001")</f>
        <v>0001</v>
      </c>
      <c r="C771" s="32">
        <f>IFERROR(__xludf.DUMMYFUNCTION("""COMPUTED_VALUE"""),46100.72009259259)</f>
        <v>46100.72009</v>
      </c>
      <c r="D771" s="1">
        <f>IFERROR(__xludf.DUMMYFUNCTION("""COMPUTED_VALUE"""),150.0)</f>
        <v>150</v>
      </c>
      <c r="E771" s="1" t="str">
        <f>IFERROR(__xludf.DUMMYFUNCTION("""COMPUTED_VALUE"""),"161a86ec")</f>
        <v>161a86ec</v>
      </c>
      <c r="F771" s="1"/>
    </row>
    <row r="772">
      <c r="A772" s="1" t="str">
        <f>IFERROR(__xludf.DUMMYFUNCTION("""COMPUTED_VALUE"""),"e4e1ed11")</f>
        <v>e4e1ed11</v>
      </c>
      <c r="B772" s="1" t="str">
        <f>IFERROR(__xludf.DUMMYFUNCTION("""COMPUTED_VALUE"""),"0054")</f>
        <v>0054</v>
      </c>
      <c r="C772" s="32">
        <f>IFERROR(__xludf.DUMMYFUNCTION("""COMPUTED_VALUE"""),46100.720138888886)</f>
        <v>46100.72014</v>
      </c>
      <c r="D772" s="1">
        <f>IFERROR(__xludf.DUMMYFUNCTION("""COMPUTED_VALUE"""),48.0)</f>
        <v>48</v>
      </c>
      <c r="E772" s="1" t="str">
        <f>IFERROR(__xludf.DUMMYFUNCTION("""COMPUTED_VALUE"""),"161a86ec")</f>
        <v>161a86ec</v>
      </c>
      <c r="F772" s="1"/>
    </row>
    <row r="773">
      <c r="A773" s="1" t="str">
        <f>IFERROR(__xludf.DUMMYFUNCTION("""COMPUTED_VALUE"""),"39d1e94b")</f>
        <v>39d1e94b</v>
      </c>
      <c r="B773" s="1" t="str">
        <f>IFERROR(__xludf.DUMMYFUNCTION("""COMPUTED_VALUE"""),"c099f042")</f>
        <v>c099f042</v>
      </c>
      <c r="C773" s="32">
        <f>IFERROR(__xludf.DUMMYFUNCTION("""COMPUTED_VALUE"""),46101.01467592592)</f>
        <v>46101.01468</v>
      </c>
      <c r="D773" s="1">
        <f>IFERROR(__xludf.DUMMYFUNCTION("""COMPUTED_VALUE"""),-4.0)</f>
        <v>-4</v>
      </c>
      <c r="E773" s="1"/>
      <c r="F773" s="1"/>
    </row>
    <row r="774">
      <c r="A774" s="1" t="str">
        <f>IFERROR(__xludf.DUMMYFUNCTION("""COMPUTED_VALUE"""),"64c88cea")</f>
        <v>64c88cea</v>
      </c>
      <c r="B774" s="1" t="str">
        <f>IFERROR(__xludf.DUMMYFUNCTION("""COMPUTED_VALUE"""),"0001")</f>
        <v>0001</v>
      </c>
      <c r="C774" s="32">
        <f>IFERROR(__xludf.DUMMYFUNCTION("""COMPUTED_VALUE"""),46101.01483796296)</f>
        <v>46101.01484</v>
      </c>
      <c r="D774" s="1">
        <f>IFERROR(__xludf.DUMMYFUNCTION("""COMPUTED_VALUE"""),-7.0)</f>
        <v>-7</v>
      </c>
      <c r="E774" s="1"/>
      <c r="F774" s="1"/>
    </row>
    <row r="775">
      <c r="A775" s="1" t="str">
        <f>IFERROR(__xludf.DUMMYFUNCTION("""COMPUTED_VALUE"""),"6c351015")</f>
        <v>6c351015</v>
      </c>
      <c r="B775" s="1" t="str">
        <f>IFERROR(__xludf.DUMMYFUNCTION("""COMPUTED_VALUE"""),"12b96290")</f>
        <v>12b96290</v>
      </c>
      <c r="C775" s="32">
        <f>IFERROR(__xludf.DUMMYFUNCTION("""COMPUTED_VALUE"""),46101.01490740741)</f>
        <v>46101.01491</v>
      </c>
      <c r="D775" s="1">
        <f>IFERROR(__xludf.DUMMYFUNCTION("""COMPUTED_VALUE"""),-5.0)</f>
        <v>-5</v>
      </c>
      <c r="E775" s="1"/>
      <c r="F775" s="1"/>
    </row>
    <row r="776">
      <c r="A776" s="1" t="str">
        <f>IFERROR(__xludf.DUMMYFUNCTION("""COMPUTED_VALUE"""),"895eb5c9")</f>
        <v>895eb5c9</v>
      </c>
      <c r="B776" s="1" t="str">
        <f>IFERROR(__xludf.DUMMYFUNCTION("""COMPUTED_VALUE"""),"bb6c2490")</f>
        <v>bb6c2490</v>
      </c>
      <c r="C776" s="32">
        <f>IFERROR(__xludf.DUMMYFUNCTION("""COMPUTED_VALUE"""),46101.015706018516)</f>
        <v>46101.01571</v>
      </c>
      <c r="D776" s="1">
        <f>IFERROR(__xludf.DUMMYFUNCTION("""COMPUTED_VALUE"""),-6.0)</f>
        <v>-6</v>
      </c>
      <c r="E776" s="1"/>
      <c r="F776" s="1"/>
    </row>
    <row r="777">
      <c r="A777" s="1" t="str">
        <f>IFERROR(__xludf.DUMMYFUNCTION("""COMPUTED_VALUE"""),"9a523de6")</f>
        <v>9a523de6</v>
      </c>
      <c r="B777" s="1" t="str">
        <f>IFERROR(__xludf.DUMMYFUNCTION("""COMPUTED_VALUE"""),"0038")</f>
        <v>0038</v>
      </c>
      <c r="C777" s="32">
        <f>IFERROR(__xludf.DUMMYFUNCTION("""COMPUTED_VALUE"""),46101.01642361111)</f>
        <v>46101.01642</v>
      </c>
      <c r="D777" s="1">
        <f>IFERROR(__xludf.DUMMYFUNCTION("""COMPUTED_VALUE"""),-3.0)</f>
        <v>-3</v>
      </c>
      <c r="E777" s="1"/>
      <c r="F777" s="1"/>
    </row>
    <row r="778">
      <c r="A778" s="1" t="str">
        <f>IFERROR(__xludf.DUMMYFUNCTION("""COMPUTED_VALUE"""),"c8212576")</f>
        <v>c8212576</v>
      </c>
      <c r="B778" s="1" t="str">
        <f>IFERROR(__xludf.DUMMYFUNCTION("""COMPUTED_VALUE"""),"12b96290")</f>
        <v>12b96290</v>
      </c>
      <c r="C778" s="32">
        <f>IFERROR(__xludf.DUMMYFUNCTION("""COMPUTED_VALUE"""),46101.017175925925)</f>
        <v>46101.01718</v>
      </c>
      <c r="D778" s="1">
        <f>IFERROR(__xludf.DUMMYFUNCTION("""COMPUTED_VALUE"""),-6.0)</f>
        <v>-6</v>
      </c>
      <c r="E778" s="1"/>
      <c r="F778" s="1"/>
    </row>
    <row r="779">
      <c r="A779" s="1" t="str">
        <f>IFERROR(__xludf.DUMMYFUNCTION("""COMPUTED_VALUE"""),"bff843a0")</f>
        <v>bff843a0</v>
      </c>
      <c r="B779" s="1" t="str">
        <f>IFERROR(__xludf.DUMMYFUNCTION("""COMPUTED_VALUE"""),"12b96290")</f>
        <v>12b96290</v>
      </c>
      <c r="C779" s="32">
        <f>IFERROR(__xludf.DUMMYFUNCTION("""COMPUTED_VALUE"""),46101.017372685186)</f>
        <v>46101.01737</v>
      </c>
      <c r="D779" s="1">
        <f>IFERROR(__xludf.DUMMYFUNCTION("""COMPUTED_VALUE"""),1.0)</f>
        <v>1</v>
      </c>
      <c r="E779" s="1"/>
      <c r="F779" s="1"/>
    </row>
    <row r="780">
      <c r="A780" s="1" t="str">
        <f>IFERROR(__xludf.DUMMYFUNCTION("""COMPUTED_VALUE"""),"0545693f")</f>
        <v>0545693f</v>
      </c>
      <c r="B780" s="1" t="str">
        <f>IFERROR(__xludf.DUMMYFUNCTION("""COMPUTED_VALUE"""),"0021")</f>
        <v>0021</v>
      </c>
      <c r="C780" s="32">
        <f>IFERROR(__xludf.DUMMYFUNCTION("""COMPUTED_VALUE"""),46101.01803240741)</f>
        <v>46101.01803</v>
      </c>
      <c r="D780" s="1">
        <f>IFERROR(__xludf.DUMMYFUNCTION("""COMPUTED_VALUE"""),-8.0)</f>
        <v>-8</v>
      </c>
      <c r="E780" s="1"/>
      <c r="F780" s="1"/>
    </row>
    <row r="781">
      <c r="A781" s="1" t="str">
        <f>IFERROR(__xludf.DUMMYFUNCTION("""COMPUTED_VALUE"""),"dfdf3b02")</f>
        <v>dfdf3b02</v>
      </c>
      <c r="B781" s="1" t="str">
        <f>IFERROR(__xludf.DUMMYFUNCTION("""COMPUTED_VALUE"""),"a19879cf")</f>
        <v>a19879cf</v>
      </c>
      <c r="C781" s="32">
        <f>IFERROR(__xludf.DUMMYFUNCTION("""COMPUTED_VALUE"""),46101.01912037037)</f>
        <v>46101.01912</v>
      </c>
      <c r="D781" s="1">
        <f>IFERROR(__xludf.DUMMYFUNCTION("""COMPUTED_VALUE"""),-13.0)</f>
        <v>-13</v>
      </c>
      <c r="E781" s="1"/>
      <c r="F781" s="1"/>
    </row>
    <row r="782">
      <c r="A782" s="1" t="str">
        <f>IFERROR(__xludf.DUMMYFUNCTION("""COMPUTED_VALUE"""),"b597a46a")</f>
        <v>b597a46a</v>
      </c>
      <c r="B782" s="1" t="str">
        <f>IFERROR(__xludf.DUMMYFUNCTION("""COMPUTED_VALUE"""),"02d86a9b")</f>
        <v>02d86a9b</v>
      </c>
      <c r="C782" s="32">
        <f>IFERROR(__xludf.DUMMYFUNCTION("""COMPUTED_VALUE"""),46101.01957175926)</f>
        <v>46101.01957</v>
      </c>
      <c r="D782" s="1">
        <f>IFERROR(__xludf.DUMMYFUNCTION("""COMPUTED_VALUE"""),-12.0)</f>
        <v>-12</v>
      </c>
      <c r="E782" s="1"/>
      <c r="F782" s="1"/>
    </row>
    <row r="783">
      <c r="A783" s="1" t="str">
        <f>IFERROR(__xludf.DUMMYFUNCTION("""COMPUTED_VALUE"""),"678a67b9")</f>
        <v>678a67b9</v>
      </c>
      <c r="B783" s="1" t="str">
        <f>IFERROR(__xludf.DUMMYFUNCTION("""COMPUTED_VALUE"""),"bb4d1bd1")</f>
        <v>bb4d1bd1</v>
      </c>
      <c r="C783" s="32">
        <f>IFERROR(__xludf.DUMMYFUNCTION("""COMPUTED_VALUE"""),46101.02018518518)</f>
        <v>46101.02019</v>
      </c>
      <c r="D783" s="1">
        <f>IFERROR(__xludf.DUMMYFUNCTION("""COMPUTED_VALUE"""),-5.0)</f>
        <v>-5</v>
      </c>
      <c r="E783" s="1"/>
      <c r="F783" s="1"/>
    </row>
    <row r="784">
      <c r="A784" s="1" t="str">
        <f>IFERROR(__xludf.DUMMYFUNCTION("""COMPUTED_VALUE"""),"2854771d")</f>
        <v>2854771d</v>
      </c>
      <c r="B784" s="1" t="str">
        <f>IFERROR(__xludf.DUMMYFUNCTION("""COMPUTED_VALUE"""),"27c8f623")</f>
        <v>27c8f623</v>
      </c>
      <c r="C784" s="32">
        <f>IFERROR(__xludf.DUMMYFUNCTION("""COMPUTED_VALUE"""),46101.02028935185)</f>
        <v>46101.02029</v>
      </c>
      <c r="D784" s="1">
        <f>IFERROR(__xludf.DUMMYFUNCTION("""COMPUTED_VALUE"""),-4.0)</f>
        <v>-4</v>
      </c>
      <c r="E784" s="1"/>
      <c r="F784" s="1"/>
    </row>
    <row r="785">
      <c r="A785" s="1" t="str">
        <f>IFERROR(__xludf.DUMMYFUNCTION("""COMPUTED_VALUE"""),"c607b0aa")</f>
        <v>c607b0aa</v>
      </c>
      <c r="B785" s="1" t="str">
        <f>IFERROR(__xludf.DUMMYFUNCTION("""COMPUTED_VALUE"""),"0012")</f>
        <v>0012</v>
      </c>
      <c r="C785" s="32">
        <f>IFERROR(__xludf.DUMMYFUNCTION("""COMPUTED_VALUE"""),46101.02162037037)</f>
        <v>46101.02162</v>
      </c>
      <c r="D785" s="1">
        <f>IFERROR(__xludf.DUMMYFUNCTION("""COMPUTED_VALUE"""),-8.0)</f>
        <v>-8</v>
      </c>
      <c r="E785" s="1"/>
      <c r="F785" s="1"/>
    </row>
    <row r="786">
      <c r="A786" s="1" t="str">
        <f>IFERROR(__xludf.DUMMYFUNCTION("""COMPUTED_VALUE"""),"4d6dc5d5")</f>
        <v>4d6dc5d5</v>
      </c>
      <c r="B786" s="1" t="str">
        <f>IFERROR(__xludf.DUMMYFUNCTION("""COMPUTED_VALUE"""),"0064")</f>
        <v>0064</v>
      </c>
      <c r="C786" s="32">
        <f>IFERROR(__xludf.DUMMYFUNCTION("""COMPUTED_VALUE"""),46101.021875)</f>
        <v>46101.02188</v>
      </c>
      <c r="D786" s="1">
        <f>IFERROR(__xludf.DUMMYFUNCTION("""COMPUTED_VALUE"""),-1.0)</f>
        <v>-1</v>
      </c>
      <c r="E786" s="1"/>
      <c r="F786" s="1"/>
    </row>
    <row r="787">
      <c r="A787" s="1" t="str">
        <f>IFERROR(__xludf.DUMMYFUNCTION("""COMPUTED_VALUE"""),"55ee8548")</f>
        <v>55ee8548</v>
      </c>
      <c r="B787" s="1" t="str">
        <f>IFERROR(__xludf.DUMMYFUNCTION("""COMPUTED_VALUE"""),"78233e6f")</f>
        <v>78233e6f</v>
      </c>
      <c r="C787" s="32">
        <f>IFERROR(__xludf.DUMMYFUNCTION("""COMPUTED_VALUE"""),46101.02206018518)</f>
        <v>46101.02206</v>
      </c>
      <c r="D787" s="1">
        <f>IFERROR(__xludf.DUMMYFUNCTION("""COMPUTED_VALUE"""),-3.0)</f>
        <v>-3</v>
      </c>
      <c r="E787" s="1"/>
      <c r="F787" s="1"/>
    </row>
    <row r="788">
      <c r="A788" s="1" t="str">
        <f>IFERROR(__xludf.DUMMYFUNCTION("""COMPUTED_VALUE"""),"350c268a")</f>
        <v>350c268a</v>
      </c>
      <c r="B788" s="1" t="str">
        <f>IFERROR(__xludf.DUMMYFUNCTION("""COMPUTED_VALUE"""),"0002")</f>
        <v>0002</v>
      </c>
      <c r="C788" s="32">
        <f>IFERROR(__xludf.DUMMYFUNCTION("""COMPUTED_VALUE"""),46101.02609953703)</f>
        <v>46101.0261</v>
      </c>
      <c r="D788" s="1">
        <f>IFERROR(__xludf.DUMMYFUNCTION("""COMPUTED_VALUE"""),48.0)</f>
        <v>48</v>
      </c>
      <c r="E788" s="1"/>
      <c r="F788" s="1"/>
    </row>
    <row r="789">
      <c r="A789" s="1" t="str">
        <f>IFERROR(__xludf.DUMMYFUNCTION("""COMPUTED_VALUE"""),"88295f6d")</f>
        <v>88295f6d</v>
      </c>
      <c r="B789" s="1" t="str">
        <f>IFERROR(__xludf.DUMMYFUNCTION("""COMPUTED_VALUE"""),"0002")</f>
        <v>0002</v>
      </c>
      <c r="C789" s="32">
        <f>IFERROR(__xludf.DUMMYFUNCTION("""COMPUTED_VALUE"""),46101.02622685185)</f>
        <v>46101.02623</v>
      </c>
      <c r="D789" s="1">
        <f>IFERROR(__xludf.DUMMYFUNCTION("""COMPUTED_VALUE"""),-48.0)</f>
        <v>-48</v>
      </c>
      <c r="E789" s="1"/>
      <c r="F789" s="1"/>
    </row>
    <row r="790">
      <c r="A790" s="1" t="str">
        <f>IFERROR(__xludf.DUMMYFUNCTION("""COMPUTED_VALUE"""),"d9ba438f")</f>
        <v>d9ba438f</v>
      </c>
      <c r="B790" s="1" t="str">
        <f>IFERROR(__xludf.DUMMYFUNCTION("""COMPUTED_VALUE"""),"0002")</f>
        <v>0002</v>
      </c>
      <c r="C790" s="32">
        <f>IFERROR(__xludf.DUMMYFUNCTION("""COMPUTED_VALUE"""),46101.02631944444)</f>
        <v>46101.02632</v>
      </c>
      <c r="D790" s="1">
        <f>IFERROR(__xludf.DUMMYFUNCTION("""COMPUTED_VALUE"""),-48.0)</f>
        <v>-48</v>
      </c>
      <c r="E790" s="1"/>
      <c r="F790" s="1"/>
    </row>
    <row r="791">
      <c r="A791" s="1" t="str">
        <f>IFERROR(__xludf.DUMMYFUNCTION("""COMPUTED_VALUE"""),"54d98fd3")</f>
        <v>54d98fd3</v>
      </c>
      <c r="B791" s="1" t="str">
        <f>IFERROR(__xludf.DUMMYFUNCTION("""COMPUTED_VALUE"""),"0029")</f>
        <v>0029</v>
      </c>
      <c r="C791" s="32">
        <f>IFERROR(__xludf.DUMMYFUNCTION("""COMPUTED_VALUE"""),46101.02649305556)</f>
        <v>46101.02649</v>
      </c>
      <c r="D791" s="1">
        <f>IFERROR(__xludf.DUMMYFUNCTION("""COMPUTED_VALUE"""),-14.0)</f>
        <v>-14</v>
      </c>
      <c r="E791" s="1"/>
      <c r="F791" s="1"/>
    </row>
    <row r="792">
      <c r="A792" s="1" t="str">
        <f>IFERROR(__xludf.DUMMYFUNCTION("""COMPUTED_VALUE"""),"b6130bcd")</f>
        <v>b6130bcd</v>
      </c>
      <c r="B792" s="1" t="str">
        <f>IFERROR(__xludf.DUMMYFUNCTION("""COMPUTED_VALUE"""),"57a5617b")</f>
        <v>57a5617b</v>
      </c>
      <c r="C792" s="32">
        <f>IFERROR(__xludf.DUMMYFUNCTION("""COMPUTED_VALUE"""),46101.02674768519)</f>
        <v>46101.02675</v>
      </c>
      <c r="D792" s="1">
        <f>IFERROR(__xludf.DUMMYFUNCTION("""COMPUTED_VALUE"""),-1.0)</f>
        <v>-1</v>
      </c>
      <c r="E792" s="1"/>
      <c r="F792" s="1"/>
    </row>
    <row r="793">
      <c r="A793" s="1" t="str">
        <f>IFERROR(__xludf.DUMMYFUNCTION("""COMPUTED_VALUE"""),"1a6cae1d")</f>
        <v>1a6cae1d</v>
      </c>
      <c r="B793" s="1" t="str">
        <f>IFERROR(__xludf.DUMMYFUNCTION("""COMPUTED_VALUE"""),"406a1fee")</f>
        <v>406a1fee</v>
      </c>
      <c r="C793" s="32">
        <f>IFERROR(__xludf.DUMMYFUNCTION("""COMPUTED_VALUE"""),46101.02686342593)</f>
        <v>46101.02686</v>
      </c>
      <c r="D793" s="1">
        <f>IFERROR(__xludf.DUMMYFUNCTION("""COMPUTED_VALUE"""),-3.0)</f>
        <v>-3</v>
      </c>
      <c r="E793" s="1"/>
      <c r="F793" s="1"/>
    </row>
    <row r="794">
      <c r="A794" s="1" t="str">
        <f>IFERROR(__xludf.DUMMYFUNCTION("""COMPUTED_VALUE"""),"4f8e7567")</f>
        <v>4f8e7567</v>
      </c>
      <c r="B794" s="1" t="str">
        <f>IFERROR(__xludf.DUMMYFUNCTION("""COMPUTED_VALUE"""),"a3f74383")</f>
        <v>a3f74383</v>
      </c>
      <c r="C794" s="32">
        <f>IFERROR(__xludf.DUMMYFUNCTION("""COMPUTED_VALUE"""),46101.026967592596)</f>
        <v>46101.02697</v>
      </c>
      <c r="D794" s="1">
        <f>IFERROR(__xludf.DUMMYFUNCTION("""COMPUTED_VALUE"""),-7.0)</f>
        <v>-7</v>
      </c>
      <c r="E794" s="1"/>
      <c r="F794" s="1"/>
    </row>
    <row r="795">
      <c r="A795" s="1" t="str">
        <f>IFERROR(__xludf.DUMMYFUNCTION("""COMPUTED_VALUE"""),"db83a102")</f>
        <v>db83a102</v>
      </c>
      <c r="B795" s="1" t="str">
        <f>IFERROR(__xludf.DUMMYFUNCTION("""COMPUTED_VALUE"""),"0054")</f>
        <v>0054</v>
      </c>
      <c r="C795" s="32">
        <f>IFERROR(__xludf.DUMMYFUNCTION("""COMPUTED_VALUE"""),46101.0271875)</f>
        <v>46101.02719</v>
      </c>
      <c r="D795" s="1">
        <f>IFERROR(__xludf.DUMMYFUNCTION("""COMPUTED_VALUE"""),-7.0)</f>
        <v>-7</v>
      </c>
      <c r="E795" s="1"/>
      <c r="F795" s="1"/>
    </row>
    <row r="796">
      <c r="A796" s="1" t="str">
        <f>IFERROR(__xludf.DUMMYFUNCTION("""COMPUTED_VALUE"""),"2e355e04")</f>
        <v>2e355e04</v>
      </c>
      <c r="B796" s="1" t="str">
        <f>IFERROR(__xludf.DUMMYFUNCTION("""COMPUTED_VALUE"""),"364fe321")</f>
        <v>364fe321</v>
      </c>
      <c r="C796" s="32">
        <f>IFERROR(__xludf.DUMMYFUNCTION("""COMPUTED_VALUE"""),46101.027453703704)</f>
        <v>46101.02745</v>
      </c>
      <c r="D796" s="1">
        <f>IFERROR(__xludf.DUMMYFUNCTION("""COMPUTED_VALUE"""),-6.0)</f>
        <v>-6</v>
      </c>
      <c r="E796" s="1"/>
      <c r="F796" s="1"/>
    </row>
    <row r="797">
      <c r="A797" s="1" t="str">
        <f>IFERROR(__xludf.DUMMYFUNCTION("""COMPUTED_VALUE"""),"e3892923")</f>
        <v>e3892923</v>
      </c>
      <c r="B797" s="1" t="str">
        <f>IFERROR(__xludf.DUMMYFUNCTION("""COMPUTED_VALUE"""),"b112660a")</f>
        <v>b112660a</v>
      </c>
      <c r="C797" s="32">
        <f>IFERROR(__xludf.DUMMYFUNCTION("""COMPUTED_VALUE"""),46101.027604166666)</f>
        <v>46101.0276</v>
      </c>
      <c r="D797" s="1">
        <f>IFERROR(__xludf.DUMMYFUNCTION("""COMPUTED_VALUE"""),-1.0)</f>
        <v>-1</v>
      </c>
      <c r="E797" s="1"/>
      <c r="F797" s="1"/>
    </row>
    <row r="798">
      <c r="A798" s="1" t="str">
        <f>IFERROR(__xludf.DUMMYFUNCTION("""COMPUTED_VALUE"""),"8884cbc0")</f>
        <v>8884cbc0</v>
      </c>
      <c r="B798" s="1" t="str">
        <f>IFERROR(__xludf.DUMMYFUNCTION("""COMPUTED_VALUE"""),"0f694cb5")</f>
        <v>0f694cb5</v>
      </c>
      <c r="C798" s="32">
        <f>IFERROR(__xludf.DUMMYFUNCTION("""COMPUTED_VALUE"""),46101.02773148148)</f>
        <v>46101.02773</v>
      </c>
      <c r="D798" s="1">
        <f>IFERROR(__xludf.DUMMYFUNCTION("""COMPUTED_VALUE"""),-3.0)</f>
        <v>-3</v>
      </c>
      <c r="E798" s="1"/>
      <c r="F798" s="1"/>
    </row>
    <row r="799">
      <c r="A799" s="1" t="str">
        <f>IFERROR(__xludf.DUMMYFUNCTION("""COMPUTED_VALUE"""),"0980c53b")</f>
        <v>0980c53b</v>
      </c>
      <c r="B799" s="1" t="str">
        <f>IFERROR(__xludf.DUMMYFUNCTION("""COMPUTED_VALUE"""),"0011")</f>
        <v>0011</v>
      </c>
      <c r="C799" s="32">
        <f>IFERROR(__xludf.DUMMYFUNCTION("""COMPUTED_VALUE"""),46101.02792824074)</f>
        <v>46101.02793</v>
      </c>
      <c r="D799" s="1">
        <f>IFERROR(__xludf.DUMMYFUNCTION("""COMPUTED_VALUE"""),-6.0)</f>
        <v>-6</v>
      </c>
      <c r="E799" s="1"/>
      <c r="F799" s="1"/>
    </row>
    <row r="800">
      <c r="A800" s="1" t="str">
        <f>IFERROR(__xludf.DUMMYFUNCTION("""COMPUTED_VALUE"""),"a3dc96c8")</f>
        <v>a3dc96c8</v>
      </c>
      <c r="B800" s="1" t="str">
        <f>IFERROR(__xludf.DUMMYFUNCTION("""COMPUTED_VALUE"""),"69692785")</f>
        <v>69692785</v>
      </c>
      <c r="C800" s="32">
        <f>IFERROR(__xludf.DUMMYFUNCTION("""COMPUTED_VALUE"""),46101.03046296296)</f>
        <v>46101.03046</v>
      </c>
      <c r="D800" s="1">
        <f>IFERROR(__xludf.DUMMYFUNCTION("""COMPUTED_VALUE"""),7.0)</f>
        <v>7</v>
      </c>
      <c r="E800" s="1"/>
      <c r="F800" s="1"/>
    </row>
    <row r="801">
      <c r="A801" s="1" t="str">
        <f>IFERROR(__xludf.DUMMYFUNCTION("""COMPUTED_VALUE"""),"f69b6ef2")</f>
        <v>f69b6ef2</v>
      </c>
      <c r="B801" s="1" t="str">
        <f>IFERROR(__xludf.DUMMYFUNCTION("""COMPUTED_VALUE"""),"12b96290")</f>
        <v>12b96290</v>
      </c>
      <c r="C801" s="32">
        <f>IFERROR(__xludf.DUMMYFUNCTION("""COMPUTED_VALUE"""),46101.03072916667)</f>
        <v>46101.03073</v>
      </c>
      <c r="D801" s="1">
        <f>IFERROR(__xludf.DUMMYFUNCTION("""COMPUTED_VALUE"""),9.0)</f>
        <v>9</v>
      </c>
      <c r="E801" s="1"/>
      <c r="F801" s="1"/>
    </row>
    <row r="802">
      <c r="A802" s="1" t="str">
        <f>IFERROR(__xludf.DUMMYFUNCTION("""COMPUTED_VALUE"""),"672c4fbf")</f>
        <v>672c4fbf</v>
      </c>
      <c r="B802" s="1" t="str">
        <f>IFERROR(__xludf.DUMMYFUNCTION("""COMPUTED_VALUE"""),"bb6c2490")</f>
        <v>bb6c2490</v>
      </c>
      <c r="C802" s="32">
        <f>IFERROR(__xludf.DUMMYFUNCTION("""COMPUTED_VALUE"""),46101.03086805555)</f>
        <v>46101.03087</v>
      </c>
      <c r="D802" s="1">
        <f>IFERROR(__xludf.DUMMYFUNCTION("""COMPUTED_VALUE"""),1.0)</f>
        <v>1</v>
      </c>
      <c r="E802" s="1"/>
      <c r="F802" s="1"/>
    </row>
    <row r="803">
      <c r="A803" s="1" t="str">
        <f>IFERROR(__xludf.DUMMYFUNCTION("""COMPUTED_VALUE"""),"debf41a4")</f>
        <v>debf41a4</v>
      </c>
      <c r="B803" s="1" t="str">
        <f>IFERROR(__xludf.DUMMYFUNCTION("""COMPUTED_VALUE"""),"0001")</f>
        <v>0001</v>
      </c>
      <c r="C803" s="32">
        <f>IFERROR(__xludf.DUMMYFUNCTION("""COMPUTED_VALUE"""),46101.031180555554)</f>
        <v>46101.03118</v>
      </c>
      <c r="D803" s="1">
        <f>IFERROR(__xludf.DUMMYFUNCTION("""COMPUTED_VALUE"""),13.0)</f>
        <v>13</v>
      </c>
      <c r="E803" s="1"/>
      <c r="F803" s="1"/>
    </row>
    <row r="804">
      <c r="A804" s="1" t="str">
        <f>IFERROR(__xludf.DUMMYFUNCTION("""COMPUTED_VALUE"""),"9153c292")</f>
        <v>9153c292</v>
      </c>
      <c r="B804" s="1" t="str">
        <f>IFERROR(__xludf.DUMMYFUNCTION("""COMPUTED_VALUE"""),"0002")</f>
        <v>0002</v>
      </c>
      <c r="C804" s="32">
        <f>IFERROR(__xludf.DUMMYFUNCTION("""COMPUTED_VALUE"""),46101.65354166667)</f>
        <v>46101.65354</v>
      </c>
      <c r="D804" s="1">
        <f>IFERROR(__xludf.DUMMYFUNCTION("""COMPUTED_VALUE"""),-24.0)</f>
        <v>-24</v>
      </c>
      <c r="E804" s="1"/>
      <c r="F804" s="1"/>
    </row>
    <row r="805">
      <c r="A805" s="1" t="str">
        <f>IFERROR(__xludf.DUMMYFUNCTION("""COMPUTED_VALUE"""),"f08637ae")</f>
        <v>f08637ae</v>
      </c>
      <c r="B805" s="1" t="str">
        <f>IFERROR(__xludf.DUMMYFUNCTION("""COMPUTED_VALUE"""),"0011")</f>
        <v>0011</v>
      </c>
      <c r="C805" s="32">
        <f>IFERROR(__xludf.DUMMYFUNCTION("""COMPUTED_VALUE"""),46101.653715277775)</f>
        <v>46101.65372</v>
      </c>
      <c r="D805" s="1">
        <f>IFERROR(__xludf.DUMMYFUNCTION("""COMPUTED_VALUE"""),-14.0)</f>
        <v>-14</v>
      </c>
      <c r="E805" s="1"/>
      <c r="F805" s="1"/>
    </row>
    <row r="806">
      <c r="A806" s="1" t="str">
        <f>IFERROR(__xludf.DUMMYFUNCTION("""COMPUTED_VALUE"""),"2939d27c")</f>
        <v>2939d27c</v>
      </c>
      <c r="B806" s="1" t="str">
        <f>IFERROR(__xludf.DUMMYFUNCTION("""COMPUTED_VALUE"""),"0001")</f>
        <v>0001</v>
      </c>
      <c r="C806" s="32">
        <f>IFERROR(__xludf.DUMMYFUNCTION("""COMPUTED_VALUE"""),46101.653865740744)</f>
        <v>46101.65387</v>
      </c>
      <c r="D806" s="1">
        <f>IFERROR(__xludf.DUMMYFUNCTION("""COMPUTED_VALUE"""),-30.0)</f>
        <v>-30</v>
      </c>
      <c r="E806" s="1"/>
      <c r="F806" s="1"/>
    </row>
    <row r="807">
      <c r="A807" s="1" t="str">
        <f>IFERROR(__xludf.DUMMYFUNCTION("""COMPUTED_VALUE"""),"e5dce272")</f>
        <v>e5dce272</v>
      </c>
      <c r="B807" s="1" t="str">
        <f>IFERROR(__xludf.DUMMYFUNCTION("""COMPUTED_VALUE"""),"12b96290")</f>
        <v>12b96290</v>
      </c>
      <c r="C807" s="32">
        <f>IFERROR(__xludf.DUMMYFUNCTION("""COMPUTED_VALUE"""),46101.65398148148)</f>
        <v>46101.65398</v>
      </c>
      <c r="D807" s="1">
        <f>IFERROR(__xludf.DUMMYFUNCTION("""COMPUTED_VALUE"""),-12.0)</f>
        <v>-12</v>
      </c>
      <c r="E807" s="1"/>
      <c r="F807" s="1"/>
    </row>
    <row r="808">
      <c r="A808" s="1" t="str">
        <f>IFERROR(__xludf.DUMMYFUNCTION("""COMPUTED_VALUE"""),"6b765ccf")</f>
        <v>6b765ccf</v>
      </c>
      <c r="B808" s="1" t="str">
        <f>IFERROR(__xludf.DUMMYFUNCTION("""COMPUTED_VALUE"""),"c099f042")</f>
        <v>c099f042</v>
      </c>
      <c r="C808" s="32">
        <f>IFERROR(__xludf.DUMMYFUNCTION("""COMPUTED_VALUE"""),46101.6541087963)</f>
        <v>46101.65411</v>
      </c>
      <c r="D808" s="1">
        <f>IFERROR(__xludf.DUMMYFUNCTION("""COMPUTED_VALUE"""),-7.0)</f>
        <v>-7</v>
      </c>
      <c r="E808" s="1"/>
      <c r="F808" s="1"/>
    </row>
    <row r="809">
      <c r="A809" s="1" t="str">
        <f>IFERROR(__xludf.DUMMYFUNCTION("""COMPUTED_VALUE"""),"199c18d7")</f>
        <v>199c18d7</v>
      </c>
      <c r="B809" s="1" t="str">
        <f>IFERROR(__xludf.DUMMYFUNCTION("""COMPUTED_VALUE"""),"0029")</f>
        <v>0029</v>
      </c>
      <c r="C809" s="32">
        <f>IFERROR(__xludf.DUMMYFUNCTION("""COMPUTED_VALUE"""),46101.65423611111)</f>
        <v>46101.65424</v>
      </c>
      <c r="D809" s="1">
        <f>IFERROR(__xludf.DUMMYFUNCTION("""COMPUTED_VALUE"""),-10.0)</f>
        <v>-10</v>
      </c>
      <c r="E809" s="1"/>
      <c r="F809" s="1"/>
    </row>
    <row r="810">
      <c r="A810" s="1" t="str">
        <f>IFERROR(__xludf.DUMMYFUNCTION("""COMPUTED_VALUE"""),"925ceb55")</f>
        <v>925ceb55</v>
      </c>
      <c r="B810" s="1" t="str">
        <f>IFERROR(__xludf.DUMMYFUNCTION("""COMPUTED_VALUE"""),"0054")</f>
        <v>0054</v>
      </c>
      <c r="C810" s="32">
        <f>IFERROR(__xludf.DUMMYFUNCTION("""COMPUTED_VALUE"""),46101.6544212963)</f>
        <v>46101.65442</v>
      </c>
      <c r="D810" s="1">
        <f>IFERROR(__xludf.DUMMYFUNCTION("""COMPUTED_VALUE"""),-6.0)</f>
        <v>-6</v>
      </c>
      <c r="E810" s="1"/>
      <c r="F810" s="1"/>
    </row>
    <row r="811">
      <c r="A811" s="1" t="str">
        <f>IFERROR(__xludf.DUMMYFUNCTION("""COMPUTED_VALUE"""),"7ea3571d")</f>
        <v>7ea3571d</v>
      </c>
      <c r="B811" s="1" t="str">
        <f>IFERROR(__xludf.DUMMYFUNCTION("""COMPUTED_VALUE"""),"0049")</f>
        <v>0049</v>
      </c>
      <c r="C811" s="32">
        <f>IFERROR(__xludf.DUMMYFUNCTION("""COMPUTED_VALUE"""),46101.65456018518)</f>
        <v>46101.65456</v>
      </c>
      <c r="D811" s="1">
        <f>IFERROR(__xludf.DUMMYFUNCTION("""COMPUTED_VALUE"""),-6.0)</f>
        <v>-6</v>
      </c>
      <c r="E811" s="1"/>
      <c r="F811" s="1"/>
    </row>
    <row r="812">
      <c r="A812" s="1" t="str">
        <f>IFERROR(__xludf.DUMMYFUNCTION("""COMPUTED_VALUE"""),"3c453383")</f>
        <v>3c453383</v>
      </c>
      <c r="B812" s="1" t="str">
        <f>IFERROR(__xludf.DUMMYFUNCTION("""COMPUTED_VALUE"""),"cf6c9481")</f>
        <v>cf6c9481</v>
      </c>
      <c r="C812" s="32">
        <f>IFERROR(__xludf.DUMMYFUNCTION("""COMPUTED_VALUE"""),46101.6546875)</f>
        <v>46101.65469</v>
      </c>
      <c r="D812" s="1">
        <f>IFERROR(__xludf.DUMMYFUNCTION("""COMPUTED_VALUE"""),-12.0)</f>
        <v>-12</v>
      </c>
      <c r="E812" s="1"/>
      <c r="F812" s="1"/>
    </row>
    <row r="813">
      <c r="A813" s="1" t="str">
        <f>IFERROR(__xludf.DUMMYFUNCTION("""COMPUTED_VALUE"""),"7725da91")</f>
        <v>7725da91</v>
      </c>
      <c r="B813" s="1" t="str">
        <f>IFERROR(__xludf.DUMMYFUNCTION("""COMPUTED_VALUE"""),"0086")</f>
        <v>0086</v>
      </c>
      <c r="C813" s="32">
        <f>IFERROR(__xludf.DUMMYFUNCTION("""COMPUTED_VALUE"""),46101.65483796296)</f>
        <v>46101.65484</v>
      </c>
      <c r="D813" s="1">
        <f>IFERROR(__xludf.DUMMYFUNCTION("""COMPUTED_VALUE"""),-20.0)</f>
        <v>-20</v>
      </c>
      <c r="E813" s="1"/>
      <c r="F813" s="1"/>
    </row>
    <row r="814">
      <c r="A814" s="1" t="str">
        <f>IFERROR(__xludf.DUMMYFUNCTION("""COMPUTED_VALUE"""),"92ed6f69")</f>
        <v>92ed6f69</v>
      </c>
      <c r="B814" s="1" t="str">
        <f>IFERROR(__xludf.DUMMYFUNCTION("""COMPUTED_VALUE"""),"bb4d1bd1")</f>
        <v>bb4d1bd1</v>
      </c>
      <c r="C814" s="32">
        <f>IFERROR(__xludf.DUMMYFUNCTION("""COMPUTED_VALUE"""),46101.65497685185)</f>
        <v>46101.65498</v>
      </c>
      <c r="D814" s="1">
        <f>IFERROR(__xludf.DUMMYFUNCTION("""COMPUTED_VALUE"""),-7.0)</f>
        <v>-7</v>
      </c>
      <c r="E814" s="1"/>
      <c r="F814" s="1"/>
    </row>
    <row r="815">
      <c r="A815" s="1" t="str">
        <f>IFERROR(__xludf.DUMMYFUNCTION("""COMPUTED_VALUE"""),"38489725")</f>
        <v>38489725</v>
      </c>
      <c r="B815" s="1" t="str">
        <f>IFERROR(__xludf.DUMMYFUNCTION("""COMPUTED_VALUE"""),"02d86a9b")</f>
        <v>02d86a9b</v>
      </c>
      <c r="C815" s="32">
        <f>IFERROR(__xludf.DUMMYFUNCTION("""COMPUTED_VALUE"""),46101.65508101852)</f>
        <v>46101.65508</v>
      </c>
      <c r="D815" s="1">
        <f>IFERROR(__xludf.DUMMYFUNCTION("""COMPUTED_VALUE"""),-7.0)</f>
        <v>-7</v>
      </c>
      <c r="E815" s="1"/>
      <c r="F815" s="1"/>
    </row>
    <row r="816">
      <c r="A816" s="1" t="str">
        <f>IFERROR(__xludf.DUMMYFUNCTION("""COMPUTED_VALUE"""),"adddae5a")</f>
        <v>adddae5a</v>
      </c>
      <c r="B816" s="1" t="str">
        <f>IFERROR(__xludf.DUMMYFUNCTION("""COMPUTED_VALUE"""),"27c8f623")</f>
        <v>27c8f623</v>
      </c>
      <c r="C816" s="32">
        <f>IFERROR(__xludf.DUMMYFUNCTION("""COMPUTED_VALUE"""),46101.65521990741)</f>
        <v>46101.65522</v>
      </c>
      <c r="D816" s="1">
        <f>IFERROR(__xludf.DUMMYFUNCTION("""COMPUTED_VALUE"""),-7.0)</f>
        <v>-7</v>
      </c>
      <c r="E816" s="1"/>
      <c r="F816" s="1"/>
    </row>
    <row r="817">
      <c r="A817" s="1" t="str">
        <f>IFERROR(__xludf.DUMMYFUNCTION("""COMPUTED_VALUE"""),"6f6479a3")</f>
        <v>6f6479a3</v>
      </c>
      <c r="B817" s="1" t="str">
        <f>IFERROR(__xludf.DUMMYFUNCTION("""COMPUTED_VALUE"""),"0019")</f>
        <v>0019</v>
      </c>
      <c r="C817" s="32">
        <f>IFERROR(__xludf.DUMMYFUNCTION("""COMPUTED_VALUE"""),46101.655335648145)</f>
        <v>46101.65534</v>
      </c>
      <c r="D817" s="1">
        <f>IFERROR(__xludf.DUMMYFUNCTION("""COMPUTED_VALUE"""),-6.0)</f>
        <v>-6</v>
      </c>
      <c r="E817" s="1"/>
      <c r="F817" s="1"/>
    </row>
    <row r="818">
      <c r="A818" s="1" t="str">
        <f>IFERROR(__xludf.DUMMYFUNCTION("""COMPUTED_VALUE"""),"ca082b0c")</f>
        <v>ca082b0c</v>
      </c>
      <c r="B818" s="1" t="str">
        <f>IFERROR(__xludf.DUMMYFUNCTION("""COMPUTED_VALUE"""),"cb9e809e")</f>
        <v>cb9e809e</v>
      </c>
      <c r="C818" s="32">
        <f>IFERROR(__xludf.DUMMYFUNCTION("""COMPUTED_VALUE"""),46101.65546296296)</f>
        <v>46101.65546</v>
      </c>
      <c r="D818" s="1">
        <f>IFERROR(__xludf.DUMMYFUNCTION("""COMPUTED_VALUE"""),-7.0)</f>
        <v>-7</v>
      </c>
      <c r="E818" s="1"/>
      <c r="F818" s="1"/>
    </row>
    <row r="819">
      <c r="A819" s="1" t="str">
        <f>IFERROR(__xludf.DUMMYFUNCTION("""COMPUTED_VALUE"""),"5c1f55b3")</f>
        <v>5c1f55b3</v>
      </c>
      <c r="B819" s="1" t="str">
        <f>IFERROR(__xludf.DUMMYFUNCTION("""COMPUTED_VALUE"""),"83dd14b5")</f>
        <v>83dd14b5</v>
      </c>
      <c r="C819" s="32">
        <f>IFERROR(__xludf.DUMMYFUNCTION("""COMPUTED_VALUE"""),46101.655636574076)</f>
        <v>46101.65564</v>
      </c>
      <c r="D819" s="1">
        <f>IFERROR(__xludf.DUMMYFUNCTION("""COMPUTED_VALUE"""),-24.0)</f>
        <v>-24</v>
      </c>
      <c r="E819" s="1"/>
      <c r="F819" s="1"/>
    </row>
    <row r="820">
      <c r="A820" s="1" t="str">
        <f>IFERROR(__xludf.DUMMYFUNCTION("""COMPUTED_VALUE"""),"3484ad35")</f>
        <v>3484ad35</v>
      </c>
      <c r="B820" s="1" t="str">
        <f>IFERROR(__xludf.DUMMYFUNCTION("""COMPUTED_VALUE"""),"bb6c2490")</f>
        <v>bb6c2490</v>
      </c>
      <c r="C820" s="32">
        <f>IFERROR(__xludf.DUMMYFUNCTION("""COMPUTED_VALUE"""),46102.539143518516)</f>
        <v>46102.53914</v>
      </c>
      <c r="D820" s="1">
        <f>IFERROR(__xludf.DUMMYFUNCTION("""COMPUTED_VALUE"""),-14.0)</f>
        <v>-14</v>
      </c>
      <c r="E820" s="1"/>
      <c r="F820" s="1"/>
    </row>
    <row r="821">
      <c r="A821" s="1" t="str">
        <f>IFERROR(__xludf.DUMMYFUNCTION("""COMPUTED_VALUE"""),"b02bfe3d")</f>
        <v>b02bfe3d</v>
      </c>
      <c r="B821" s="1" t="str">
        <f>IFERROR(__xludf.DUMMYFUNCTION("""COMPUTED_VALUE"""),"b3204174")</f>
        <v>b3204174</v>
      </c>
      <c r="C821" s="32">
        <f>IFERROR(__xludf.DUMMYFUNCTION("""COMPUTED_VALUE"""),46102.53920138889)</f>
        <v>46102.5392</v>
      </c>
      <c r="D821" s="1">
        <f>IFERROR(__xludf.DUMMYFUNCTION("""COMPUTED_VALUE"""),-12.0)</f>
        <v>-12</v>
      </c>
      <c r="E821" s="1"/>
      <c r="F821" s="1"/>
    </row>
    <row r="822">
      <c r="A822" s="1" t="str">
        <f>IFERROR(__xludf.DUMMYFUNCTION("""COMPUTED_VALUE"""),"c55e3bc6")</f>
        <v>c55e3bc6</v>
      </c>
      <c r="B822" s="1" t="str">
        <f>IFERROR(__xludf.DUMMYFUNCTION("""COMPUTED_VALUE"""),"0001")</f>
        <v>0001</v>
      </c>
      <c r="C822" s="32">
        <f>IFERROR(__xludf.DUMMYFUNCTION("""COMPUTED_VALUE"""),46102.53928240741)</f>
        <v>46102.53928</v>
      </c>
      <c r="D822" s="1">
        <f>IFERROR(__xludf.DUMMYFUNCTION("""COMPUTED_VALUE"""),-15.0)</f>
        <v>-15</v>
      </c>
      <c r="E822" s="1"/>
      <c r="F822" s="1"/>
    </row>
    <row r="823">
      <c r="A823" s="1" t="str">
        <f>IFERROR(__xludf.DUMMYFUNCTION("""COMPUTED_VALUE"""),"37b8017d")</f>
        <v>37b8017d</v>
      </c>
      <c r="B823" s="1" t="str">
        <f>IFERROR(__xludf.DUMMYFUNCTION("""COMPUTED_VALUE"""),"12b96290")</f>
        <v>12b96290</v>
      </c>
      <c r="C823" s="32">
        <f>IFERROR(__xludf.DUMMYFUNCTION("""COMPUTED_VALUE"""),46102.53936342592)</f>
        <v>46102.53936</v>
      </c>
      <c r="D823" s="1">
        <f>IFERROR(__xludf.DUMMYFUNCTION("""COMPUTED_VALUE"""),-15.0)</f>
        <v>-15</v>
      </c>
      <c r="E823" s="1"/>
      <c r="F823" s="1"/>
    </row>
    <row r="824">
      <c r="A824" s="1" t="str">
        <f>IFERROR(__xludf.DUMMYFUNCTION("""COMPUTED_VALUE"""),"5459afbb")</f>
        <v>5459afbb</v>
      </c>
      <c r="B824" s="1" t="str">
        <f>IFERROR(__xludf.DUMMYFUNCTION("""COMPUTED_VALUE"""),"12b96290")</f>
        <v>12b96290</v>
      </c>
      <c r="C824" s="32">
        <f>IFERROR(__xludf.DUMMYFUNCTION("""COMPUTED_VALUE"""),46102.53949074074)</f>
        <v>46102.53949</v>
      </c>
      <c r="D824" s="1">
        <f>IFERROR(__xludf.DUMMYFUNCTION("""COMPUTED_VALUE"""),-12.0)</f>
        <v>-12</v>
      </c>
      <c r="E824" s="1"/>
      <c r="F824" s="1"/>
    </row>
    <row r="825">
      <c r="A825" s="1" t="str">
        <f>IFERROR(__xludf.DUMMYFUNCTION("""COMPUTED_VALUE"""),"56c43f6d")</f>
        <v>56c43f6d</v>
      </c>
      <c r="B825" s="1" t="str">
        <f>IFERROR(__xludf.DUMMYFUNCTION("""COMPUTED_VALUE"""),"0049")</f>
        <v>0049</v>
      </c>
      <c r="C825" s="32">
        <f>IFERROR(__xludf.DUMMYFUNCTION("""COMPUTED_VALUE"""),46102.540925925925)</f>
        <v>46102.54093</v>
      </c>
      <c r="D825" s="1">
        <f>IFERROR(__xludf.DUMMYFUNCTION("""COMPUTED_VALUE"""),-14.0)</f>
        <v>-14</v>
      </c>
      <c r="E825" s="1"/>
      <c r="F825" s="1"/>
    </row>
    <row r="826">
      <c r="A826" s="1" t="str">
        <f>IFERROR(__xludf.DUMMYFUNCTION("""COMPUTED_VALUE"""),"a5beab3a")</f>
        <v>a5beab3a</v>
      </c>
      <c r="B826" s="1" t="str">
        <f>IFERROR(__xludf.DUMMYFUNCTION("""COMPUTED_VALUE"""),"0086")</f>
        <v>0086</v>
      </c>
      <c r="C826" s="32">
        <f>IFERROR(__xludf.DUMMYFUNCTION("""COMPUTED_VALUE"""),46102.54100694445)</f>
        <v>46102.54101</v>
      </c>
      <c r="D826" s="1">
        <f>IFERROR(__xludf.DUMMYFUNCTION("""COMPUTED_VALUE"""),-10.0)</f>
        <v>-10</v>
      </c>
      <c r="E826" s="1"/>
      <c r="F826" s="1"/>
    </row>
    <row r="827">
      <c r="A827" s="1" t="str">
        <f>IFERROR(__xludf.DUMMYFUNCTION("""COMPUTED_VALUE"""),"4ef78c20")</f>
        <v>4ef78c20</v>
      </c>
      <c r="B827" s="1" t="str">
        <f>IFERROR(__xludf.DUMMYFUNCTION("""COMPUTED_VALUE"""),"bb4d1bd1")</f>
        <v>bb4d1bd1</v>
      </c>
      <c r="C827" s="32">
        <f>IFERROR(__xludf.DUMMYFUNCTION("""COMPUTED_VALUE"""),46102.54194444444)</f>
        <v>46102.54194</v>
      </c>
      <c r="D827" s="1">
        <f>IFERROR(__xludf.DUMMYFUNCTION("""COMPUTED_VALUE"""),-12.0)</f>
        <v>-12</v>
      </c>
      <c r="E827" s="1"/>
      <c r="F827" s="1"/>
    </row>
    <row r="828">
      <c r="A828" s="1" t="str">
        <f>IFERROR(__xludf.DUMMYFUNCTION("""COMPUTED_VALUE"""),"bd0e88e4")</f>
        <v>bd0e88e4</v>
      </c>
      <c r="B828" s="1" t="str">
        <f>IFERROR(__xludf.DUMMYFUNCTION("""COMPUTED_VALUE"""),"27c8f623")</f>
        <v>27c8f623</v>
      </c>
      <c r="C828" s="32">
        <f>IFERROR(__xludf.DUMMYFUNCTION("""COMPUTED_VALUE"""),46102.542025462964)</f>
        <v>46102.54203</v>
      </c>
      <c r="D828" s="1">
        <f>IFERROR(__xludf.DUMMYFUNCTION("""COMPUTED_VALUE"""),-12.0)</f>
        <v>-12</v>
      </c>
      <c r="E828" s="1"/>
      <c r="F828" s="1"/>
    </row>
    <row r="829">
      <c r="A829" s="1" t="str">
        <f>IFERROR(__xludf.DUMMYFUNCTION("""COMPUTED_VALUE"""),"e6621f56")</f>
        <v>e6621f56</v>
      </c>
      <c r="B829" s="1" t="str">
        <f>IFERROR(__xludf.DUMMYFUNCTION("""COMPUTED_VALUE"""),"02d86a9b")</f>
        <v>02d86a9b</v>
      </c>
      <c r="C829" s="32">
        <f>IFERROR(__xludf.DUMMYFUNCTION("""COMPUTED_VALUE"""),46102.54215277778)</f>
        <v>46102.54215</v>
      </c>
      <c r="D829" s="1">
        <f>IFERROR(__xludf.DUMMYFUNCTION("""COMPUTED_VALUE"""),-12.0)</f>
        <v>-12</v>
      </c>
      <c r="E829" s="1"/>
      <c r="F829" s="1"/>
    </row>
    <row r="830">
      <c r="A830" s="1" t="str">
        <f>IFERROR(__xludf.DUMMYFUNCTION("""COMPUTED_VALUE"""),"7aa68d0d")</f>
        <v>7aa68d0d</v>
      </c>
      <c r="B830" s="1" t="str">
        <f>IFERROR(__xludf.DUMMYFUNCTION("""COMPUTED_VALUE"""),"0021")</f>
        <v>0021</v>
      </c>
      <c r="C830" s="32">
        <f>IFERROR(__xludf.DUMMYFUNCTION("""COMPUTED_VALUE"""),46102.54268518519)</f>
        <v>46102.54269</v>
      </c>
      <c r="D830" s="1">
        <f>IFERROR(__xludf.DUMMYFUNCTION("""COMPUTED_VALUE"""),-10.0)</f>
        <v>-10</v>
      </c>
      <c r="E830" s="1"/>
      <c r="F830" s="1"/>
    </row>
    <row r="831">
      <c r="A831" s="1" t="str">
        <f>IFERROR(__xludf.DUMMYFUNCTION("""COMPUTED_VALUE"""),"358fcd87")</f>
        <v>358fcd87</v>
      </c>
      <c r="B831" s="1" t="str">
        <f>IFERROR(__xludf.DUMMYFUNCTION("""COMPUTED_VALUE"""),"cb9e809e")</f>
        <v>cb9e809e</v>
      </c>
      <c r="C831" s="32">
        <f>IFERROR(__xludf.DUMMYFUNCTION("""COMPUTED_VALUE"""),46102.543229166666)</f>
        <v>46102.54323</v>
      </c>
      <c r="D831" s="1">
        <f>IFERROR(__xludf.DUMMYFUNCTION("""COMPUTED_VALUE"""),-9.0)</f>
        <v>-9</v>
      </c>
      <c r="E831" s="1"/>
      <c r="F831" s="1"/>
    </row>
    <row r="832">
      <c r="A832" s="1" t="str">
        <f>IFERROR(__xludf.DUMMYFUNCTION("""COMPUTED_VALUE"""),"b17bd496")</f>
        <v>b17bd496</v>
      </c>
      <c r="B832" s="1" t="str">
        <f>IFERROR(__xludf.DUMMYFUNCTION("""COMPUTED_VALUE"""),"0032")</f>
        <v>0032</v>
      </c>
      <c r="C832" s="32">
        <f>IFERROR(__xludf.DUMMYFUNCTION("""COMPUTED_VALUE"""),46102.54344907407)</f>
        <v>46102.54345</v>
      </c>
      <c r="D832" s="1">
        <f>IFERROR(__xludf.DUMMYFUNCTION("""COMPUTED_VALUE"""),-12.0)</f>
        <v>-12</v>
      </c>
      <c r="E832" s="1"/>
      <c r="F832" s="1"/>
    </row>
    <row r="833">
      <c r="A833" s="1" t="str">
        <f>IFERROR(__xludf.DUMMYFUNCTION("""COMPUTED_VALUE"""),"d77711cf")</f>
        <v>d77711cf</v>
      </c>
      <c r="B833" s="1" t="str">
        <f>IFERROR(__xludf.DUMMYFUNCTION("""COMPUTED_VALUE"""),"0064")</f>
        <v>0064</v>
      </c>
      <c r="C833" s="32">
        <f>IFERROR(__xludf.DUMMYFUNCTION("""COMPUTED_VALUE"""),46102.54357638889)</f>
        <v>46102.54358</v>
      </c>
      <c r="D833" s="1">
        <f>IFERROR(__xludf.DUMMYFUNCTION("""COMPUTED_VALUE"""),-4.0)</f>
        <v>-4</v>
      </c>
      <c r="E833" s="1"/>
      <c r="F833" s="1"/>
    </row>
    <row r="834">
      <c r="A834" s="1" t="str">
        <f>IFERROR(__xludf.DUMMYFUNCTION("""COMPUTED_VALUE"""),"4c45269d")</f>
        <v>4c45269d</v>
      </c>
      <c r="B834" s="1" t="str">
        <f>IFERROR(__xludf.DUMMYFUNCTION("""COMPUTED_VALUE"""),"0029")</f>
        <v>0029</v>
      </c>
      <c r="C834" s="32">
        <f>IFERROR(__xludf.DUMMYFUNCTION("""COMPUTED_VALUE"""),46102.54369212963)</f>
        <v>46102.54369</v>
      </c>
      <c r="D834" s="1">
        <f>IFERROR(__xludf.DUMMYFUNCTION("""COMPUTED_VALUE"""),-21.0)</f>
        <v>-21</v>
      </c>
      <c r="E834" s="1"/>
      <c r="F834" s="1"/>
    </row>
    <row r="835">
      <c r="A835" s="1" t="str">
        <f>IFERROR(__xludf.DUMMYFUNCTION("""COMPUTED_VALUE"""),"40a37b27")</f>
        <v>40a37b27</v>
      </c>
      <c r="B835" s="1" t="str">
        <f>IFERROR(__xludf.DUMMYFUNCTION("""COMPUTED_VALUE"""),"406a1fee")</f>
        <v>406a1fee</v>
      </c>
      <c r="C835" s="32">
        <f>IFERROR(__xludf.DUMMYFUNCTION("""COMPUTED_VALUE"""),46102.54387731481)</f>
        <v>46102.54388</v>
      </c>
      <c r="D835" s="1">
        <f>IFERROR(__xludf.DUMMYFUNCTION("""COMPUTED_VALUE"""),-7.0)</f>
        <v>-7</v>
      </c>
      <c r="E835" s="1"/>
      <c r="F835" s="1"/>
    </row>
    <row r="836">
      <c r="A836" s="1" t="str">
        <f>IFERROR(__xludf.DUMMYFUNCTION("""COMPUTED_VALUE"""),"628747ca")</f>
        <v>628747ca</v>
      </c>
      <c r="B836" s="1" t="str">
        <f>IFERROR(__xludf.DUMMYFUNCTION("""COMPUTED_VALUE"""),"a3f74383")</f>
        <v>a3f74383</v>
      </c>
      <c r="C836" s="32">
        <f>IFERROR(__xludf.DUMMYFUNCTION("""COMPUTED_VALUE"""),46102.543958333335)</f>
        <v>46102.54396</v>
      </c>
      <c r="D836" s="1">
        <f>IFERROR(__xludf.DUMMYFUNCTION("""COMPUTED_VALUE"""),-7.0)</f>
        <v>-7</v>
      </c>
      <c r="E836" s="1"/>
      <c r="F836" s="1"/>
    </row>
    <row r="837">
      <c r="A837" s="1" t="str">
        <f>IFERROR(__xludf.DUMMYFUNCTION("""COMPUTED_VALUE"""),"2e788b96")</f>
        <v>2e788b96</v>
      </c>
      <c r="B837" s="1" t="str">
        <f>IFERROR(__xludf.DUMMYFUNCTION("""COMPUTED_VALUE"""),"0054")</f>
        <v>0054</v>
      </c>
      <c r="C837" s="32">
        <f>IFERROR(__xludf.DUMMYFUNCTION("""COMPUTED_VALUE"""),46102.54403935185)</f>
        <v>46102.54404</v>
      </c>
      <c r="D837" s="1">
        <f>IFERROR(__xludf.DUMMYFUNCTION("""COMPUTED_VALUE"""),-7.0)</f>
        <v>-7</v>
      </c>
      <c r="E837" s="1"/>
      <c r="F837" s="1"/>
    </row>
    <row r="838">
      <c r="A838" s="1" t="str">
        <f>IFERROR(__xludf.DUMMYFUNCTION("""COMPUTED_VALUE"""),"56d486fe")</f>
        <v>56d486fe</v>
      </c>
      <c r="B838" s="1" t="str">
        <f>IFERROR(__xludf.DUMMYFUNCTION("""COMPUTED_VALUE"""),"0005")</f>
        <v>0005</v>
      </c>
      <c r="C838" s="32">
        <f>IFERROR(__xludf.DUMMYFUNCTION("""COMPUTED_VALUE"""),46102.544120370374)</f>
        <v>46102.54412</v>
      </c>
      <c r="D838" s="1">
        <f>IFERROR(__xludf.DUMMYFUNCTION("""COMPUTED_VALUE"""),-5.0)</f>
        <v>-5</v>
      </c>
      <c r="E838" s="1"/>
      <c r="F838" s="1"/>
    </row>
    <row r="839">
      <c r="A839" s="1" t="str">
        <f>IFERROR(__xludf.DUMMYFUNCTION("""COMPUTED_VALUE"""),"1c9e0153")</f>
        <v>1c9e0153</v>
      </c>
      <c r="B839" s="1" t="str">
        <f>IFERROR(__xludf.DUMMYFUNCTION("""COMPUTED_VALUE"""),"0011")</f>
        <v>0011</v>
      </c>
      <c r="C839" s="32">
        <f>IFERROR(__xludf.DUMMYFUNCTION("""COMPUTED_VALUE"""),46102.544224537036)</f>
        <v>46102.54422</v>
      </c>
      <c r="D839" s="1">
        <f>IFERROR(__xludf.DUMMYFUNCTION("""COMPUTED_VALUE"""),-24.0)</f>
        <v>-24</v>
      </c>
      <c r="E839" s="1"/>
      <c r="F839" s="1"/>
    </row>
    <row r="840">
      <c r="A840" s="1" t="str">
        <f>IFERROR(__xludf.DUMMYFUNCTION("""COMPUTED_VALUE"""),"d51172f1")</f>
        <v>d51172f1</v>
      </c>
      <c r="B840" s="1" t="str">
        <f>IFERROR(__xludf.DUMMYFUNCTION("""COMPUTED_VALUE"""),"0002")</f>
        <v>0002</v>
      </c>
      <c r="C840" s="32">
        <f>IFERROR(__xludf.DUMMYFUNCTION("""COMPUTED_VALUE"""),46102.544328703705)</f>
        <v>46102.54433</v>
      </c>
      <c r="D840" s="1">
        <f>IFERROR(__xludf.DUMMYFUNCTION("""COMPUTED_VALUE"""),-60.0)</f>
        <v>-60</v>
      </c>
      <c r="E840" s="1"/>
      <c r="F840" s="1"/>
    </row>
    <row r="841">
      <c r="A841" s="1" t="str">
        <f>IFERROR(__xludf.DUMMYFUNCTION("""COMPUTED_VALUE"""),"fe776000")</f>
        <v>fe776000</v>
      </c>
      <c r="B841" s="1" t="str">
        <f>IFERROR(__xludf.DUMMYFUNCTION("""COMPUTED_VALUE"""),"83dd14b5")</f>
        <v>83dd14b5</v>
      </c>
      <c r="C841" s="32">
        <f>IFERROR(__xludf.DUMMYFUNCTION("""COMPUTED_VALUE"""),46102.54673611111)</f>
        <v>46102.54674</v>
      </c>
      <c r="D841" s="1">
        <f>IFERROR(__xludf.DUMMYFUNCTION("""COMPUTED_VALUE"""),-12.0)</f>
        <v>-12</v>
      </c>
      <c r="E841" s="1"/>
      <c r="F841" s="1"/>
    </row>
    <row r="842">
      <c r="A842" s="1" t="str">
        <f>IFERROR(__xludf.DUMMYFUNCTION("""COMPUTED_VALUE"""),"47c022b4")</f>
        <v>47c022b4</v>
      </c>
      <c r="B842" s="1" t="str">
        <f>IFERROR(__xludf.DUMMYFUNCTION("""COMPUTED_VALUE"""),"0001")</f>
        <v>0001</v>
      </c>
      <c r="C842" s="32">
        <f>IFERROR(__xludf.DUMMYFUNCTION("""COMPUTED_VALUE"""),46102.66347222222)</f>
        <v>46102.66347</v>
      </c>
      <c r="D842" s="1">
        <f>IFERROR(__xludf.DUMMYFUNCTION("""COMPUTED_VALUE"""),-30.0)</f>
        <v>-30</v>
      </c>
      <c r="E842" s="1"/>
      <c r="F842" s="1"/>
    </row>
    <row r="843">
      <c r="A843" s="1" t="str">
        <f>IFERROR(__xludf.DUMMYFUNCTION("""COMPUTED_VALUE"""),"fb467c02")</f>
        <v>fb467c02</v>
      </c>
      <c r="B843" s="1" t="str">
        <f>IFERROR(__xludf.DUMMYFUNCTION("""COMPUTED_VALUE"""),"12b96290")</f>
        <v>12b96290</v>
      </c>
      <c r="C843" s="32">
        <f>IFERROR(__xludf.DUMMYFUNCTION("""COMPUTED_VALUE"""),46102.663622685184)</f>
        <v>46102.66362</v>
      </c>
      <c r="D843" s="1">
        <f>IFERROR(__xludf.DUMMYFUNCTION("""COMPUTED_VALUE"""),-15.0)</f>
        <v>-15</v>
      </c>
      <c r="E843" s="1"/>
      <c r="F843" s="1"/>
    </row>
    <row r="844">
      <c r="A844" s="1" t="str">
        <f>IFERROR(__xludf.DUMMYFUNCTION("""COMPUTED_VALUE"""),"129ed80f")</f>
        <v>129ed80f</v>
      </c>
      <c r="B844" s="1" t="str">
        <f>IFERROR(__xludf.DUMMYFUNCTION("""COMPUTED_VALUE"""),"0011")</f>
        <v>0011</v>
      </c>
      <c r="C844" s="32">
        <f>IFERROR(__xludf.DUMMYFUNCTION("""COMPUTED_VALUE"""),46102.664039351854)</f>
        <v>46102.66404</v>
      </c>
      <c r="D844" s="1">
        <f>IFERROR(__xludf.DUMMYFUNCTION("""COMPUTED_VALUE"""),-4.0)</f>
        <v>-4</v>
      </c>
      <c r="E844" s="1"/>
      <c r="F844" s="1"/>
    </row>
    <row r="845">
      <c r="A845" s="1" t="str">
        <f>IFERROR(__xludf.DUMMYFUNCTION("""COMPUTED_VALUE"""),"f885903f")</f>
        <v>f885903f</v>
      </c>
      <c r="B845" s="1" t="str">
        <f>IFERROR(__xludf.DUMMYFUNCTION("""COMPUTED_VALUE"""),"0064")</f>
        <v>0064</v>
      </c>
      <c r="C845" s="32">
        <f>IFERROR(__xludf.DUMMYFUNCTION("""COMPUTED_VALUE"""),46102.6649537037)</f>
        <v>46102.66495</v>
      </c>
      <c r="D845" s="1">
        <f>IFERROR(__xludf.DUMMYFUNCTION("""COMPUTED_VALUE"""),-6.0)</f>
        <v>-6</v>
      </c>
      <c r="E845" s="1"/>
      <c r="F845" s="1"/>
    </row>
    <row r="846">
      <c r="A846" s="1" t="str">
        <f>IFERROR(__xludf.DUMMYFUNCTION("""COMPUTED_VALUE"""),"60fe7e63")</f>
        <v>60fe7e63</v>
      </c>
      <c r="B846" s="1" t="str">
        <f>IFERROR(__xludf.DUMMYFUNCTION("""COMPUTED_VALUE"""),"0032")</f>
        <v>0032</v>
      </c>
      <c r="C846" s="32">
        <f>IFERROR(__xludf.DUMMYFUNCTION("""COMPUTED_VALUE"""),46102.66505787037)</f>
        <v>46102.66506</v>
      </c>
      <c r="D846" s="1">
        <f>IFERROR(__xludf.DUMMYFUNCTION("""COMPUTED_VALUE"""),-12.0)</f>
        <v>-12</v>
      </c>
      <c r="E846" s="1"/>
      <c r="F846" s="1"/>
    </row>
    <row r="847">
      <c r="A847" s="1" t="str">
        <f>IFERROR(__xludf.DUMMYFUNCTION("""COMPUTED_VALUE"""),"50beecb7")</f>
        <v>50beecb7</v>
      </c>
      <c r="B847" s="1" t="str">
        <f>IFERROR(__xludf.DUMMYFUNCTION("""COMPUTED_VALUE"""),"0049")</f>
        <v>0049</v>
      </c>
      <c r="C847" s="32">
        <f>IFERROR(__xludf.DUMMYFUNCTION("""COMPUTED_VALUE"""),46102.66578703704)</f>
        <v>46102.66579</v>
      </c>
      <c r="D847" s="1">
        <f>IFERROR(__xludf.DUMMYFUNCTION("""COMPUTED_VALUE"""),-5.0)</f>
        <v>-5</v>
      </c>
      <c r="E847" s="1"/>
      <c r="F847" s="1"/>
    </row>
    <row r="848">
      <c r="A848" s="1" t="str">
        <f>IFERROR(__xludf.DUMMYFUNCTION("""COMPUTED_VALUE"""),"60c39b1f")</f>
        <v>60c39b1f</v>
      </c>
      <c r="B848" s="1" t="str">
        <f>IFERROR(__xludf.DUMMYFUNCTION("""COMPUTED_VALUE"""),"0027")</f>
        <v>0027</v>
      </c>
      <c r="C848" s="32">
        <f>IFERROR(__xludf.DUMMYFUNCTION("""COMPUTED_VALUE"""),46102.66600694445)</f>
        <v>46102.66601</v>
      </c>
      <c r="D848" s="1">
        <f>IFERROR(__xludf.DUMMYFUNCTION("""COMPUTED_VALUE"""),-3.0)</f>
        <v>-3</v>
      </c>
      <c r="E848" s="1"/>
      <c r="F848" s="1"/>
    </row>
    <row r="849">
      <c r="A849" s="1" t="str">
        <f>IFERROR(__xludf.DUMMYFUNCTION("""COMPUTED_VALUE"""),"88f86d81")</f>
        <v>88f86d81</v>
      </c>
      <c r="B849" s="1" t="str">
        <f>IFERROR(__xludf.DUMMYFUNCTION("""COMPUTED_VALUE"""),"0002")</f>
        <v>0002</v>
      </c>
      <c r="C849" s="32">
        <f>IFERROR(__xludf.DUMMYFUNCTION("""COMPUTED_VALUE"""),46102.66643518519)</f>
        <v>46102.66644</v>
      </c>
      <c r="D849" s="1">
        <f>IFERROR(__xludf.DUMMYFUNCTION("""COMPUTED_VALUE"""),-24.0)</f>
        <v>-24</v>
      </c>
      <c r="E849" s="1"/>
      <c r="F849" s="1"/>
    </row>
    <row r="850">
      <c r="A850" s="1" t="str">
        <f>IFERROR(__xludf.DUMMYFUNCTION("""COMPUTED_VALUE"""),"6c1afdfa")</f>
        <v>6c1afdfa</v>
      </c>
      <c r="B850" s="1" t="str">
        <f>IFERROR(__xludf.DUMMYFUNCTION("""COMPUTED_VALUE"""),"83dd14b5")</f>
        <v>83dd14b5</v>
      </c>
      <c r="C850" s="32">
        <f>IFERROR(__xludf.DUMMYFUNCTION("""COMPUTED_VALUE"""),46102.66730324074)</f>
        <v>46102.6673</v>
      </c>
      <c r="D850" s="1">
        <f>IFERROR(__xludf.DUMMYFUNCTION("""COMPUTED_VALUE"""),-12.0)</f>
        <v>-12</v>
      </c>
      <c r="E850" s="1"/>
      <c r="F850" s="1"/>
    </row>
    <row r="851">
      <c r="A851" s="1" t="str">
        <f>IFERROR(__xludf.DUMMYFUNCTION("""COMPUTED_VALUE"""),"d29beabc")</f>
        <v>d29beabc</v>
      </c>
      <c r="B851" s="1" t="str">
        <f>IFERROR(__xludf.DUMMYFUNCTION("""COMPUTED_VALUE"""),"0012")</f>
        <v>0012</v>
      </c>
      <c r="C851" s="32">
        <f>IFERROR(__xludf.DUMMYFUNCTION("""COMPUTED_VALUE"""),46102.6674537037)</f>
        <v>46102.66745</v>
      </c>
      <c r="D851" s="1">
        <f>IFERROR(__xludf.DUMMYFUNCTION("""COMPUTED_VALUE"""),-3.0)</f>
        <v>-3</v>
      </c>
      <c r="E851" s="1"/>
      <c r="F851" s="1"/>
    </row>
    <row r="852">
      <c r="A852" s="1" t="str">
        <f>IFERROR(__xludf.DUMMYFUNCTION("""COMPUTED_VALUE"""),"8ced892b")</f>
        <v>8ced892b</v>
      </c>
      <c r="B852" s="1" t="str">
        <f>IFERROR(__xludf.DUMMYFUNCTION("""COMPUTED_VALUE"""),"0086")</f>
        <v>0086</v>
      </c>
      <c r="C852" s="32">
        <f>IFERROR(__xludf.DUMMYFUNCTION("""COMPUTED_VALUE"""),46102.66761574074)</f>
        <v>46102.66762</v>
      </c>
      <c r="D852" s="1">
        <f>IFERROR(__xludf.DUMMYFUNCTION("""COMPUTED_VALUE"""),-10.0)</f>
        <v>-10</v>
      </c>
      <c r="E852" s="1"/>
      <c r="F852" s="1"/>
    </row>
    <row r="853">
      <c r="A853" s="1" t="str">
        <f>IFERROR(__xludf.DUMMYFUNCTION("""COMPUTED_VALUE"""),"7aea5bda")</f>
        <v>7aea5bda</v>
      </c>
      <c r="B853" s="1" t="str">
        <f>IFERROR(__xludf.DUMMYFUNCTION("""COMPUTED_VALUE"""),"0086")</f>
        <v>0086</v>
      </c>
      <c r="C853" s="32">
        <f>IFERROR(__xludf.DUMMYFUNCTION("""COMPUTED_VALUE"""),46103.49744212963)</f>
        <v>46103.49744</v>
      </c>
      <c r="D853" s="1">
        <f>IFERROR(__xludf.DUMMYFUNCTION("""COMPUTED_VALUE"""),10.0)</f>
        <v>10</v>
      </c>
      <c r="E853" s="1"/>
      <c r="F853" s="1"/>
    </row>
    <row r="854">
      <c r="A854" s="1" t="str">
        <f>IFERROR(__xludf.DUMMYFUNCTION("""COMPUTED_VALUE"""),"adb4e6ba")</f>
        <v>adb4e6ba</v>
      </c>
      <c r="B854" s="1" t="str">
        <f>IFERROR(__xludf.DUMMYFUNCTION("""COMPUTED_VALUE"""),"57a5617b")</f>
        <v>57a5617b</v>
      </c>
      <c r="C854" s="32">
        <f>IFERROR(__xludf.DUMMYFUNCTION("""COMPUTED_VALUE"""),46103.49753472222)</f>
        <v>46103.49753</v>
      </c>
      <c r="D854" s="1">
        <f>IFERROR(__xludf.DUMMYFUNCTION("""COMPUTED_VALUE"""),-7.0)</f>
        <v>-7</v>
      </c>
      <c r="E854" s="1"/>
      <c r="F854" s="1"/>
    </row>
    <row r="855">
      <c r="A855" s="1" t="str">
        <f>IFERROR(__xludf.DUMMYFUNCTION("""COMPUTED_VALUE"""),"788bef4a")</f>
        <v>788bef4a</v>
      </c>
      <c r="B855" s="1" t="str">
        <f>IFERROR(__xludf.DUMMYFUNCTION("""COMPUTED_VALUE"""),"406a1fee")</f>
        <v>406a1fee</v>
      </c>
      <c r="C855" s="32">
        <f>IFERROR(__xludf.DUMMYFUNCTION("""COMPUTED_VALUE"""),46103.497615740744)</f>
        <v>46103.49762</v>
      </c>
      <c r="D855" s="1">
        <f>IFERROR(__xludf.DUMMYFUNCTION("""COMPUTED_VALUE"""),7.0)</f>
        <v>7</v>
      </c>
      <c r="E855" s="1"/>
      <c r="F855" s="1"/>
    </row>
    <row r="856">
      <c r="A856" s="1" t="str">
        <f>IFERROR(__xludf.DUMMYFUNCTION("""COMPUTED_VALUE"""),"199839d6")</f>
        <v>199839d6</v>
      </c>
      <c r="B856" s="1" t="str">
        <f>IFERROR(__xludf.DUMMYFUNCTION("""COMPUTED_VALUE"""),"bb6c2490")</f>
        <v>bb6c2490</v>
      </c>
      <c r="C856" s="32">
        <f>IFERROR(__xludf.DUMMYFUNCTION("""COMPUTED_VALUE"""),46103.49930555555)</f>
        <v>46103.49931</v>
      </c>
      <c r="D856" s="1">
        <f>IFERROR(__xludf.DUMMYFUNCTION("""COMPUTED_VALUE"""),-14.0)</f>
        <v>-14</v>
      </c>
      <c r="E856" s="1"/>
      <c r="F856" s="1"/>
    </row>
    <row r="857">
      <c r="A857" s="1" t="str">
        <f>IFERROR(__xludf.DUMMYFUNCTION("""COMPUTED_VALUE"""),"bd7cf3a0")</f>
        <v>bd7cf3a0</v>
      </c>
      <c r="B857" s="1" t="str">
        <f>IFERROR(__xludf.DUMMYFUNCTION("""COMPUTED_VALUE"""),"cd21eb57")</f>
        <v>cd21eb57</v>
      </c>
      <c r="C857" s="32">
        <f>IFERROR(__xludf.DUMMYFUNCTION("""COMPUTED_VALUE"""),46103.49936342592)</f>
        <v>46103.49936</v>
      </c>
      <c r="D857" s="1">
        <f>IFERROR(__xludf.DUMMYFUNCTION("""COMPUTED_VALUE"""),-1.0)</f>
        <v>-1</v>
      </c>
      <c r="E857" s="1"/>
      <c r="F857" s="1"/>
    </row>
    <row r="858">
      <c r="A858" s="1" t="str">
        <f>IFERROR(__xludf.DUMMYFUNCTION("""COMPUTED_VALUE"""),"adac3a51")</f>
        <v>adac3a51</v>
      </c>
      <c r="B858" s="1" t="str">
        <f>IFERROR(__xludf.DUMMYFUNCTION("""COMPUTED_VALUE"""),"b3204174")</f>
        <v>b3204174</v>
      </c>
      <c r="C858" s="32">
        <f>IFERROR(__xludf.DUMMYFUNCTION("""COMPUTED_VALUE"""),46103.49946759259)</f>
        <v>46103.49947</v>
      </c>
      <c r="D858" s="1">
        <f>IFERROR(__xludf.DUMMYFUNCTION("""COMPUTED_VALUE"""),-12.0)</f>
        <v>-12</v>
      </c>
      <c r="E858" s="1"/>
      <c r="F858" s="1"/>
    </row>
    <row r="859">
      <c r="A859" s="1" t="str">
        <f>IFERROR(__xludf.DUMMYFUNCTION("""COMPUTED_VALUE"""),"357608a2")</f>
        <v>357608a2</v>
      </c>
      <c r="B859" s="1" t="str">
        <f>IFERROR(__xludf.DUMMYFUNCTION("""COMPUTED_VALUE"""),"0001")</f>
        <v>0001</v>
      </c>
      <c r="C859" s="32">
        <f>IFERROR(__xludf.DUMMYFUNCTION("""COMPUTED_VALUE"""),46103.49958333333)</f>
        <v>46103.49958</v>
      </c>
      <c r="D859" s="1">
        <f>IFERROR(__xludf.DUMMYFUNCTION("""COMPUTED_VALUE"""),-30.0)</f>
        <v>-30</v>
      </c>
      <c r="E859" s="1"/>
      <c r="F859" s="1"/>
    </row>
    <row r="860">
      <c r="A860" s="1" t="str">
        <f>IFERROR(__xludf.DUMMYFUNCTION("""COMPUTED_VALUE"""),"80e1e069")</f>
        <v>80e1e069</v>
      </c>
      <c r="B860" s="1" t="str">
        <f>IFERROR(__xludf.DUMMYFUNCTION("""COMPUTED_VALUE"""),"12b96290")</f>
        <v>12b96290</v>
      </c>
      <c r="C860" s="32">
        <f>IFERROR(__xludf.DUMMYFUNCTION("""COMPUTED_VALUE"""),46103.49966435185)</f>
        <v>46103.49966</v>
      </c>
      <c r="D860" s="1">
        <f>IFERROR(__xludf.DUMMYFUNCTION("""COMPUTED_VALUE"""),-15.0)</f>
        <v>-15</v>
      </c>
      <c r="E860" s="1"/>
      <c r="F860" s="1"/>
    </row>
    <row r="861">
      <c r="A861" s="1" t="str">
        <f>IFERROR(__xludf.DUMMYFUNCTION("""COMPUTED_VALUE"""),"899d2d7a")</f>
        <v>899d2d7a</v>
      </c>
      <c r="B861" s="1" t="str">
        <f>IFERROR(__xludf.DUMMYFUNCTION("""COMPUTED_VALUE"""),"0019")</f>
        <v>0019</v>
      </c>
      <c r="C861" s="32">
        <f>IFERROR(__xludf.DUMMYFUNCTION("""COMPUTED_VALUE"""),46103.50009259259)</f>
        <v>46103.50009</v>
      </c>
      <c r="D861" s="1">
        <f>IFERROR(__xludf.DUMMYFUNCTION("""COMPUTED_VALUE"""),-10.0)</f>
        <v>-10</v>
      </c>
      <c r="E861" s="1"/>
      <c r="F861" s="1"/>
    </row>
    <row r="862">
      <c r="A862" s="1" t="str">
        <f>IFERROR(__xludf.DUMMYFUNCTION("""COMPUTED_VALUE"""),"2f38e38a")</f>
        <v>2f38e38a</v>
      </c>
      <c r="B862" s="1" t="str">
        <f>IFERROR(__xludf.DUMMYFUNCTION("""COMPUTED_VALUE"""),"bb4d1bd1")</f>
        <v>bb4d1bd1</v>
      </c>
      <c r="C862" s="32">
        <f>IFERROR(__xludf.DUMMYFUNCTION("""COMPUTED_VALUE"""),46103.5021875)</f>
        <v>46103.50219</v>
      </c>
      <c r="D862" s="1">
        <f>IFERROR(__xludf.DUMMYFUNCTION("""COMPUTED_VALUE"""),-12.0)</f>
        <v>-12</v>
      </c>
      <c r="E862" s="1"/>
      <c r="F862" s="1"/>
    </row>
    <row r="863">
      <c r="A863" s="1" t="str">
        <f>IFERROR(__xludf.DUMMYFUNCTION("""COMPUTED_VALUE"""),"5b41096a")</f>
        <v>5b41096a</v>
      </c>
      <c r="B863" s="1" t="str">
        <f>IFERROR(__xludf.DUMMYFUNCTION("""COMPUTED_VALUE"""),"27c8f623")</f>
        <v>27c8f623</v>
      </c>
      <c r="C863" s="32">
        <f>IFERROR(__xludf.DUMMYFUNCTION("""COMPUTED_VALUE"""),46103.50230324074)</f>
        <v>46103.5023</v>
      </c>
      <c r="D863" s="1">
        <f>IFERROR(__xludf.DUMMYFUNCTION("""COMPUTED_VALUE"""),-12.0)</f>
        <v>-12</v>
      </c>
      <c r="E863" s="1"/>
      <c r="F863" s="1"/>
    </row>
    <row r="864">
      <c r="A864" s="1" t="str">
        <f>IFERROR(__xludf.DUMMYFUNCTION("""COMPUTED_VALUE"""),"59006415")</f>
        <v>59006415</v>
      </c>
      <c r="B864" s="1" t="str">
        <f>IFERROR(__xludf.DUMMYFUNCTION("""COMPUTED_VALUE"""),"02d86a9b")</f>
        <v>02d86a9b</v>
      </c>
      <c r="C864" s="32">
        <f>IFERROR(__xludf.DUMMYFUNCTION("""COMPUTED_VALUE"""),46103.50247685185)</f>
        <v>46103.50248</v>
      </c>
      <c r="D864" s="1">
        <f>IFERROR(__xludf.DUMMYFUNCTION("""COMPUTED_VALUE"""),-12.0)</f>
        <v>-12</v>
      </c>
      <c r="E864" s="1"/>
      <c r="F864" s="1"/>
    </row>
    <row r="865">
      <c r="A865" s="1" t="str">
        <f>IFERROR(__xludf.DUMMYFUNCTION("""COMPUTED_VALUE"""),"738e98a8")</f>
        <v>738e98a8</v>
      </c>
      <c r="B865" s="1" t="str">
        <f>IFERROR(__xludf.DUMMYFUNCTION("""COMPUTED_VALUE"""),"a19879cf")</f>
        <v>a19879cf</v>
      </c>
      <c r="C865" s="32">
        <f>IFERROR(__xludf.DUMMYFUNCTION("""COMPUTED_VALUE"""),46103.502592592595)</f>
        <v>46103.50259</v>
      </c>
      <c r="D865" s="1">
        <f>IFERROR(__xludf.DUMMYFUNCTION("""COMPUTED_VALUE"""),-12.0)</f>
        <v>-12</v>
      </c>
      <c r="E865" s="1"/>
      <c r="F865" s="1"/>
    </row>
    <row r="866">
      <c r="A866" s="1" t="str">
        <f>IFERROR(__xludf.DUMMYFUNCTION("""COMPUTED_VALUE"""),"76e6fc6d")</f>
        <v>76e6fc6d</v>
      </c>
      <c r="B866" s="1" t="str">
        <f>IFERROR(__xludf.DUMMYFUNCTION("""COMPUTED_VALUE"""),"0086")</f>
        <v>0086</v>
      </c>
      <c r="C866" s="32">
        <f>IFERROR(__xludf.DUMMYFUNCTION("""COMPUTED_VALUE"""),46103.503530092596)</f>
        <v>46103.50353</v>
      </c>
      <c r="D866" s="1">
        <f>IFERROR(__xludf.DUMMYFUNCTION("""COMPUTED_VALUE"""),-30.0)</f>
        <v>-30</v>
      </c>
      <c r="E866" s="1"/>
      <c r="F866" s="1"/>
    </row>
    <row r="867">
      <c r="A867" s="1" t="str">
        <f>IFERROR(__xludf.DUMMYFUNCTION("""COMPUTED_VALUE"""),"3f2b7046")</f>
        <v>3f2b7046</v>
      </c>
      <c r="B867" s="1" t="str">
        <f>IFERROR(__xludf.DUMMYFUNCTION("""COMPUTED_VALUE"""),"83dd14b5")</f>
        <v>83dd14b5</v>
      </c>
      <c r="C867" s="32">
        <f>IFERROR(__xludf.DUMMYFUNCTION("""COMPUTED_VALUE"""),46103.50461805556)</f>
        <v>46103.50462</v>
      </c>
      <c r="D867" s="1">
        <f>IFERROR(__xludf.DUMMYFUNCTION("""COMPUTED_VALUE"""),-12.0)</f>
        <v>-12</v>
      </c>
      <c r="E867" s="1"/>
      <c r="F867" s="1"/>
    </row>
    <row r="868">
      <c r="A868" s="1" t="str">
        <f>IFERROR(__xludf.DUMMYFUNCTION("""COMPUTED_VALUE"""),"083a9715")</f>
        <v>083a9715</v>
      </c>
      <c r="B868" s="1" t="str">
        <f>IFERROR(__xludf.DUMMYFUNCTION("""COMPUTED_VALUE"""),"cb9e809e")</f>
        <v>cb9e809e</v>
      </c>
      <c r="C868" s="32">
        <f>IFERROR(__xludf.DUMMYFUNCTION("""COMPUTED_VALUE"""),46103.5047337963)</f>
        <v>46103.50473</v>
      </c>
      <c r="D868" s="1">
        <f>IFERROR(__xludf.DUMMYFUNCTION("""COMPUTED_VALUE"""),-14.0)</f>
        <v>-14</v>
      </c>
      <c r="E868" s="1"/>
      <c r="F868" s="1"/>
    </row>
    <row r="869">
      <c r="A869" s="1" t="str">
        <f>IFERROR(__xludf.DUMMYFUNCTION("""COMPUTED_VALUE"""),"d258b614")</f>
        <v>d258b614</v>
      </c>
      <c r="B869" s="1" t="str">
        <f>IFERROR(__xludf.DUMMYFUNCTION("""COMPUTED_VALUE"""),"cf6c9481")</f>
        <v>cf6c9481</v>
      </c>
      <c r="C869" s="32">
        <f>IFERROR(__xludf.DUMMYFUNCTION("""COMPUTED_VALUE"""),46103.50486111111)</f>
        <v>46103.50486</v>
      </c>
      <c r="D869" s="1">
        <f>IFERROR(__xludf.DUMMYFUNCTION("""COMPUTED_VALUE"""),-7.0)</f>
        <v>-7</v>
      </c>
      <c r="E869" s="1"/>
      <c r="F869" s="1"/>
    </row>
    <row r="870">
      <c r="A870" s="1" t="str">
        <f>IFERROR(__xludf.DUMMYFUNCTION("""COMPUTED_VALUE"""),"df22001e")</f>
        <v>df22001e</v>
      </c>
      <c r="B870" s="1" t="str">
        <f>IFERROR(__xludf.DUMMYFUNCTION("""COMPUTED_VALUE"""),"0049")</f>
        <v>0049</v>
      </c>
      <c r="C870" s="32">
        <f>IFERROR(__xludf.DUMMYFUNCTION("""COMPUTED_VALUE"""),46103.50498842593)</f>
        <v>46103.50499</v>
      </c>
      <c r="D870" s="1">
        <f>IFERROR(__xludf.DUMMYFUNCTION("""COMPUTED_VALUE"""),-11.0)</f>
        <v>-11</v>
      </c>
      <c r="E870" s="1"/>
      <c r="F870" s="1"/>
    </row>
    <row r="871">
      <c r="A871" s="1" t="str">
        <f>IFERROR(__xludf.DUMMYFUNCTION("""COMPUTED_VALUE"""),"115cb395")</f>
        <v>115cb395</v>
      </c>
      <c r="B871" s="1" t="str">
        <f>IFERROR(__xludf.DUMMYFUNCTION("""COMPUTED_VALUE"""),"0064")</f>
        <v>0064</v>
      </c>
      <c r="C871" s="32">
        <f>IFERROR(__xludf.DUMMYFUNCTION("""COMPUTED_VALUE"""),46103.50512731481)</f>
        <v>46103.50513</v>
      </c>
      <c r="D871" s="1">
        <f>IFERROR(__xludf.DUMMYFUNCTION("""COMPUTED_VALUE"""),-5.0)</f>
        <v>-5</v>
      </c>
      <c r="E871" s="1"/>
      <c r="F871" s="1"/>
    </row>
    <row r="872">
      <c r="A872" s="1" t="str">
        <f>IFERROR(__xludf.DUMMYFUNCTION("""COMPUTED_VALUE"""),"cba51fe0")</f>
        <v>cba51fe0</v>
      </c>
      <c r="B872" s="1" t="str">
        <f>IFERROR(__xludf.DUMMYFUNCTION("""COMPUTED_VALUE"""),"0029")</f>
        <v>0029</v>
      </c>
      <c r="C872" s="32">
        <f>IFERROR(__xludf.DUMMYFUNCTION("""COMPUTED_VALUE"""),46103.50923611111)</f>
        <v>46103.50924</v>
      </c>
      <c r="D872" s="1">
        <f>IFERROR(__xludf.DUMMYFUNCTION("""COMPUTED_VALUE"""),-14.0)</f>
        <v>-14</v>
      </c>
      <c r="E872" s="1"/>
      <c r="F872" s="1"/>
    </row>
    <row r="873">
      <c r="A873" s="1" t="str">
        <f>IFERROR(__xludf.DUMMYFUNCTION("""COMPUTED_VALUE"""),"4f28e05e")</f>
        <v>4f28e05e</v>
      </c>
      <c r="B873" s="1" t="str">
        <f>IFERROR(__xludf.DUMMYFUNCTION("""COMPUTED_VALUE"""),"a3f74383")</f>
        <v>a3f74383</v>
      </c>
      <c r="C873" s="32">
        <f>IFERROR(__xludf.DUMMYFUNCTION("""COMPUTED_VALUE"""),46103.509363425925)</f>
        <v>46103.50936</v>
      </c>
      <c r="D873" s="1">
        <f>IFERROR(__xludf.DUMMYFUNCTION("""COMPUTED_VALUE"""),-4.0)</f>
        <v>-4</v>
      </c>
      <c r="E873" s="1"/>
      <c r="F873" s="1"/>
    </row>
    <row r="874">
      <c r="A874" s="1" t="str">
        <f>IFERROR(__xludf.DUMMYFUNCTION("""COMPUTED_VALUE"""),"50d99ba7")</f>
        <v>50d99ba7</v>
      </c>
      <c r="B874" s="1" t="str">
        <f>IFERROR(__xludf.DUMMYFUNCTION("""COMPUTED_VALUE"""),"0054")</f>
        <v>0054</v>
      </c>
      <c r="C874" s="32">
        <f>IFERROR(__xludf.DUMMYFUNCTION("""COMPUTED_VALUE"""),46103.50947916666)</f>
        <v>46103.50948</v>
      </c>
      <c r="D874" s="1">
        <f>IFERROR(__xludf.DUMMYFUNCTION("""COMPUTED_VALUE"""),-3.0)</f>
        <v>-3</v>
      </c>
      <c r="E874" s="1"/>
      <c r="F874" s="1"/>
    </row>
    <row r="875">
      <c r="A875" s="1" t="str">
        <f>IFERROR(__xludf.DUMMYFUNCTION("""COMPUTED_VALUE"""),"69b0f81d")</f>
        <v>69b0f81d</v>
      </c>
      <c r="B875" s="1" t="str">
        <f>IFERROR(__xludf.DUMMYFUNCTION("""COMPUTED_VALUE"""),"0002")</f>
        <v>0002</v>
      </c>
      <c r="C875" s="32">
        <f>IFERROR(__xludf.DUMMYFUNCTION("""COMPUTED_VALUE"""),46103.509780092594)</f>
        <v>46103.50978</v>
      </c>
      <c r="D875" s="1">
        <f>IFERROR(__xludf.DUMMYFUNCTION("""COMPUTED_VALUE"""),-60.0)</f>
        <v>-60</v>
      </c>
      <c r="E875" s="1"/>
      <c r="F875" s="1"/>
    </row>
    <row r="876">
      <c r="A876" s="1" t="str">
        <f>IFERROR(__xludf.DUMMYFUNCTION("""COMPUTED_VALUE"""),"73d24078")</f>
        <v>73d24078</v>
      </c>
      <c r="B876" s="1" t="str">
        <f>IFERROR(__xludf.DUMMYFUNCTION("""COMPUTED_VALUE"""),"0001")</f>
        <v>0001</v>
      </c>
      <c r="C876" s="32">
        <f>IFERROR(__xludf.DUMMYFUNCTION("""COMPUTED_VALUE"""),46103.52863425926)</f>
        <v>46103.52863</v>
      </c>
      <c r="D876" s="1">
        <f>IFERROR(__xludf.DUMMYFUNCTION("""COMPUTED_VALUE"""),-30.0)</f>
        <v>-30</v>
      </c>
      <c r="E876" s="1"/>
      <c r="F876" s="1"/>
    </row>
    <row r="877">
      <c r="A877" s="1" t="str">
        <f>IFERROR(__xludf.DUMMYFUNCTION("""COMPUTED_VALUE"""),"c064a1a1")</f>
        <v>c064a1a1</v>
      </c>
      <c r="B877" s="1" t="str">
        <f>IFERROR(__xludf.DUMMYFUNCTION("""COMPUTED_VALUE"""),"12b96290")</f>
        <v>12b96290</v>
      </c>
      <c r="C877" s="32">
        <f>IFERROR(__xludf.DUMMYFUNCTION("""COMPUTED_VALUE"""),46103.528703703705)</f>
        <v>46103.5287</v>
      </c>
      <c r="D877" s="1">
        <f>IFERROR(__xludf.DUMMYFUNCTION("""COMPUTED_VALUE"""),-15.0)</f>
        <v>-15</v>
      </c>
      <c r="E877" s="1"/>
      <c r="F877" s="1"/>
    </row>
    <row r="878">
      <c r="A878" s="1" t="str">
        <f>IFERROR(__xludf.DUMMYFUNCTION("""COMPUTED_VALUE"""),"a2e4c631")</f>
        <v>a2e4c631</v>
      </c>
      <c r="B878" s="1" t="str">
        <f>IFERROR(__xludf.DUMMYFUNCTION("""COMPUTED_VALUE"""),"bb6c2490")</f>
        <v>bb6c2490</v>
      </c>
      <c r="C878" s="32">
        <f>IFERROR(__xludf.DUMMYFUNCTION("""COMPUTED_VALUE"""),46103.528761574074)</f>
        <v>46103.52876</v>
      </c>
      <c r="D878" s="1">
        <f>IFERROR(__xludf.DUMMYFUNCTION("""COMPUTED_VALUE"""),-14.0)</f>
        <v>-14</v>
      </c>
      <c r="E878" s="1"/>
      <c r="F878" s="1"/>
    </row>
    <row r="879">
      <c r="A879" s="1" t="str">
        <f>IFERROR(__xludf.DUMMYFUNCTION("""COMPUTED_VALUE"""),"94cec2e1")</f>
        <v>94cec2e1</v>
      </c>
      <c r="B879" s="1" t="str">
        <f>IFERROR(__xludf.DUMMYFUNCTION("""COMPUTED_VALUE"""),"bb6c2490")</f>
        <v>bb6c2490</v>
      </c>
      <c r="C879" s="32">
        <f>IFERROR(__xludf.DUMMYFUNCTION("""COMPUTED_VALUE"""),46103.528865740744)</f>
        <v>46103.52887</v>
      </c>
      <c r="D879" s="1">
        <f>IFERROR(__xludf.DUMMYFUNCTION("""COMPUTED_VALUE"""),-1.0)</f>
        <v>-1</v>
      </c>
      <c r="E879" s="1"/>
      <c r="F879" s="1"/>
    </row>
    <row r="880">
      <c r="A880" s="1" t="str">
        <f>IFERROR(__xludf.DUMMYFUNCTION("""COMPUTED_VALUE"""),"44cec1f3")</f>
        <v>44cec1f3</v>
      </c>
      <c r="B880" s="1" t="str">
        <f>IFERROR(__xludf.DUMMYFUNCTION("""COMPUTED_VALUE"""),"c099f042")</f>
        <v>c099f042</v>
      </c>
      <c r="C880" s="32">
        <f>IFERROR(__xludf.DUMMYFUNCTION("""COMPUTED_VALUE"""),46103.528969907406)</f>
        <v>46103.52897</v>
      </c>
      <c r="D880" s="1">
        <f>IFERROR(__xludf.DUMMYFUNCTION("""COMPUTED_VALUE"""),-13.0)</f>
        <v>-13</v>
      </c>
      <c r="E880" s="1"/>
      <c r="F880" s="1"/>
    </row>
    <row r="881">
      <c r="A881" s="1" t="str">
        <f>IFERROR(__xludf.DUMMYFUNCTION("""COMPUTED_VALUE"""),"951d4ee9")</f>
        <v>951d4ee9</v>
      </c>
      <c r="B881" s="1" t="str">
        <f>IFERROR(__xludf.DUMMYFUNCTION("""COMPUTED_VALUE"""),"0019")</f>
        <v>0019</v>
      </c>
      <c r="C881" s="32">
        <f>IFERROR(__xludf.DUMMYFUNCTION("""COMPUTED_VALUE"""),46103.561527777776)</f>
        <v>46103.56153</v>
      </c>
      <c r="D881" s="1">
        <f>IFERROR(__xludf.DUMMYFUNCTION("""COMPUTED_VALUE"""),-7.0)</f>
        <v>-7</v>
      </c>
      <c r="E881" s="1"/>
      <c r="F881" s="1"/>
    </row>
    <row r="882">
      <c r="A882" s="1" t="str">
        <f>IFERROR(__xludf.DUMMYFUNCTION("""COMPUTED_VALUE"""),"a940937b")</f>
        <v>a940937b</v>
      </c>
      <c r="B882" s="1" t="str">
        <f>IFERROR(__xludf.DUMMYFUNCTION("""COMPUTED_VALUE"""),"0011")</f>
        <v>0011</v>
      </c>
      <c r="C882" s="32">
        <f>IFERROR(__xludf.DUMMYFUNCTION("""COMPUTED_VALUE"""),46103.56165509259)</f>
        <v>46103.56166</v>
      </c>
      <c r="D882" s="1">
        <f>IFERROR(__xludf.DUMMYFUNCTION("""COMPUTED_VALUE"""),-48.0)</f>
        <v>-48</v>
      </c>
      <c r="E882" s="1"/>
      <c r="F882" s="1"/>
    </row>
    <row r="883">
      <c r="A883" s="1" t="str">
        <f>IFERROR(__xludf.DUMMYFUNCTION("""COMPUTED_VALUE"""),"7c599d0d")</f>
        <v>7c599d0d</v>
      </c>
      <c r="B883" s="1" t="str">
        <f>IFERROR(__xludf.DUMMYFUNCTION("""COMPUTED_VALUE"""),"bb4d1bd1")</f>
        <v>bb4d1bd1</v>
      </c>
      <c r="C883" s="32">
        <f>IFERROR(__xludf.DUMMYFUNCTION("""COMPUTED_VALUE"""),46103.56233796296)</f>
        <v>46103.56234</v>
      </c>
      <c r="D883" s="1">
        <f>IFERROR(__xludf.DUMMYFUNCTION("""COMPUTED_VALUE"""),-12.0)</f>
        <v>-12</v>
      </c>
      <c r="E883" s="1"/>
      <c r="F883" s="1"/>
    </row>
    <row r="884">
      <c r="A884" s="1" t="str">
        <f>IFERROR(__xludf.DUMMYFUNCTION("""COMPUTED_VALUE"""),"c1d3c9da")</f>
        <v>c1d3c9da</v>
      </c>
      <c r="B884" s="1" t="str">
        <f>IFERROR(__xludf.DUMMYFUNCTION("""COMPUTED_VALUE"""),"0002")</f>
        <v>0002</v>
      </c>
      <c r="C884" s="32">
        <f>IFERROR(__xludf.DUMMYFUNCTION("""COMPUTED_VALUE"""),46103.562430555554)</f>
        <v>46103.56243</v>
      </c>
      <c r="D884" s="1">
        <f>IFERROR(__xludf.DUMMYFUNCTION("""COMPUTED_VALUE"""),600.0)</f>
        <v>600</v>
      </c>
      <c r="E884" s="1" t="str">
        <f>IFERROR(__xludf.DUMMYFUNCTION("""COMPUTED_VALUE"""),"dd9b4145")</f>
        <v>dd9b4145</v>
      </c>
      <c r="F884" s="1"/>
    </row>
    <row r="885">
      <c r="A885" s="1" t="str">
        <f>IFERROR(__xludf.DUMMYFUNCTION("""COMPUTED_VALUE"""),"2ca75b24")</f>
        <v>2ca75b24</v>
      </c>
      <c r="B885" s="1" t="str">
        <f>IFERROR(__xludf.DUMMYFUNCTION("""COMPUTED_VALUE"""),"02d86a9b")</f>
        <v>02d86a9b</v>
      </c>
      <c r="C885" s="32">
        <f>IFERROR(__xludf.DUMMYFUNCTION("""COMPUTED_VALUE"""),46103.56244212963)</f>
        <v>46103.56244</v>
      </c>
      <c r="D885" s="1">
        <f>IFERROR(__xludf.DUMMYFUNCTION("""COMPUTED_VALUE"""),-5.0)</f>
        <v>-5</v>
      </c>
      <c r="E885" s="1"/>
      <c r="F885" s="1"/>
    </row>
    <row r="886">
      <c r="A886" s="1" t="str">
        <f>IFERROR(__xludf.DUMMYFUNCTION("""COMPUTED_VALUE"""),"b8e293bd")</f>
        <v>b8e293bd</v>
      </c>
      <c r="B886" s="1" t="str">
        <f>IFERROR(__xludf.DUMMYFUNCTION("""COMPUTED_VALUE"""),"a19879cf")</f>
        <v>a19879cf</v>
      </c>
      <c r="C886" s="32">
        <f>IFERROR(__xludf.DUMMYFUNCTION("""COMPUTED_VALUE"""),46103.56255787037)</f>
        <v>46103.56256</v>
      </c>
      <c r="D886" s="1">
        <f>IFERROR(__xludf.DUMMYFUNCTION("""COMPUTED_VALUE"""),-12.0)</f>
        <v>-12</v>
      </c>
      <c r="E886" s="1"/>
      <c r="F886" s="1"/>
    </row>
    <row r="887">
      <c r="A887" s="1" t="str">
        <f>IFERROR(__xludf.DUMMYFUNCTION("""COMPUTED_VALUE"""),"280da0f4")</f>
        <v>280da0f4</v>
      </c>
      <c r="B887" s="1" t="str">
        <f>IFERROR(__xludf.DUMMYFUNCTION("""COMPUTED_VALUE"""),"0014")</f>
        <v>0014</v>
      </c>
      <c r="C887" s="32">
        <f>IFERROR(__xludf.DUMMYFUNCTION("""COMPUTED_VALUE"""),46103.56284722222)</f>
        <v>46103.56285</v>
      </c>
      <c r="D887" s="1">
        <f>IFERROR(__xludf.DUMMYFUNCTION("""COMPUTED_VALUE"""),20.0)</f>
        <v>20</v>
      </c>
      <c r="E887" s="1" t="str">
        <f>IFERROR(__xludf.DUMMYFUNCTION("""COMPUTED_VALUE"""),"90f9d1f9")</f>
        <v>90f9d1f9</v>
      </c>
      <c r="F887" s="1"/>
    </row>
    <row r="888">
      <c r="A888" s="1" t="str">
        <f>IFERROR(__xludf.DUMMYFUNCTION("""COMPUTED_VALUE"""),"2bcbb2aa")</f>
        <v>2bcbb2aa</v>
      </c>
      <c r="B888" s="1" t="str">
        <f>IFERROR(__xludf.DUMMYFUNCTION("""COMPUTED_VALUE"""),"27c8f623")</f>
        <v>27c8f623</v>
      </c>
      <c r="C888" s="32">
        <f>IFERROR(__xludf.DUMMYFUNCTION("""COMPUTED_VALUE"""),46103.56282407408)</f>
        <v>46103.56282</v>
      </c>
      <c r="D888" s="1">
        <f>IFERROR(__xludf.DUMMYFUNCTION("""COMPUTED_VALUE"""),-13.0)</f>
        <v>-13</v>
      </c>
      <c r="E888" s="1"/>
      <c r="F888" s="1"/>
    </row>
    <row r="889">
      <c r="A889" s="1" t="str">
        <f>IFERROR(__xludf.DUMMYFUNCTION("""COMPUTED_VALUE"""),"0640ce6e")</f>
        <v>0640ce6e</v>
      </c>
      <c r="B889" s="1" t="str">
        <f>IFERROR(__xludf.DUMMYFUNCTION("""COMPUTED_VALUE"""),"0021")</f>
        <v>0021</v>
      </c>
      <c r="C889" s="32">
        <f>IFERROR(__xludf.DUMMYFUNCTION("""COMPUTED_VALUE"""),46103.56313657408)</f>
        <v>46103.56314</v>
      </c>
      <c r="D889" s="1">
        <f>IFERROR(__xludf.DUMMYFUNCTION("""COMPUTED_VALUE"""),-12.0)</f>
        <v>-12</v>
      </c>
      <c r="E889" s="1"/>
      <c r="F889" s="1"/>
    </row>
    <row r="890">
      <c r="A890" s="1" t="str">
        <f>IFERROR(__xludf.DUMMYFUNCTION("""COMPUTED_VALUE"""),"38270c14")</f>
        <v>38270c14</v>
      </c>
      <c r="B890" s="1" t="str">
        <f>IFERROR(__xludf.DUMMYFUNCTION("""COMPUTED_VALUE"""),"0011")</f>
        <v>0011</v>
      </c>
      <c r="C890" s="32">
        <f>IFERROR(__xludf.DUMMYFUNCTION("""COMPUTED_VALUE"""),46103.56322916667)</f>
        <v>46103.56323</v>
      </c>
      <c r="D890" s="1">
        <f>IFERROR(__xludf.DUMMYFUNCTION("""COMPUTED_VALUE"""),120.0)</f>
        <v>120</v>
      </c>
      <c r="E890" s="1" t="str">
        <f>IFERROR(__xludf.DUMMYFUNCTION("""COMPUTED_VALUE"""),"868835ce")</f>
        <v>868835ce</v>
      </c>
      <c r="F890" s="1"/>
    </row>
    <row r="891">
      <c r="A891" s="1" t="str">
        <f>IFERROR(__xludf.DUMMYFUNCTION("""COMPUTED_VALUE"""),"c04cc3ab")</f>
        <v>c04cc3ab</v>
      </c>
      <c r="B891" s="1" t="str">
        <f>IFERROR(__xludf.DUMMYFUNCTION("""COMPUTED_VALUE"""),"83dd14b5")</f>
        <v>83dd14b5</v>
      </c>
      <c r="C891" s="32">
        <f>IFERROR(__xludf.DUMMYFUNCTION("""COMPUTED_VALUE"""),46103.56422453704)</f>
        <v>46103.56422</v>
      </c>
      <c r="D891" s="1">
        <f>IFERROR(__xludf.DUMMYFUNCTION("""COMPUTED_VALUE"""),-24.0)</f>
        <v>-24</v>
      </c>
      <c r="E891" s="1"/>
      <c r="F891" s="1"/>
    </row>
    <row r="892">
      <c r="A892" s="1" t="str">
        <f>IFERROR(__xludf.DUMMYFUNCTION("""COMPUTED_VALUE"""),"d7525b3d")</f>
        <v>d7525b3d</v>
      </c>
      <c r="B892" s="1" t="str">
        <f>IFERROR(__xludf.DUMMYFUNCTION("""COMPUTED_VALUE"""),"0029")</f>
        <v>0029</v>
      </c>
      <c r="C892" s="32">
        <f>IFERROR(__xludf.DUMMYFUNCTION("""COMPUTED_VALUE"""),46103.5643287037)</f>
        <v>46103.56433</v>
      </c>
      <c r="D892" s="1">
        <f>IFERROR(__xludf.DUMMYFUNCTION("""COMPUTED_VALUE"""),72.0)</f>
        <v>72</v>
      </c>
      <c r="E892" s="1" t="str">
        <f>IFERROR(__xludf.DUMMYFUNCTION("""COMPUTED_VALUE"""),"7a0e9897")</f>
        <v>7a0e9897</v>
      </c>
      <c r="F892" s="1"/>
    </row>
    <row r="893">
      <c r="A893" s="1" t="str">
        <f>IFERROR(__xludf.DUMMYFUNCTION("""COMPUTED_VALUE"""),"9d2573c2")</f>
        <v>9d2573c2</v>
      </c>
      <c r="B893" s="1" t="str">
        <f>IFERROR(__xludf.DUMMYFUNCTION("""COMPUTED_VALUE"""),"0032")</f>
        <v>0032</v>
      </c>
      <c r="C893" s="32">
        <f>IFERROR(__xludf.DUMMYFUNCTION("""COMPUTED_VALUE"""),46103.564375)</f>
        <v>46103.56438</v>
      </c>
      <c r="D893" s="1">
        <f>IFERROR(__xludf.DUMMYFUNCTION("""COMPUTED_VALUE"""),54.0)</f>
        <v>54</v>
      </c>
      <c r="E893" s="1" t="str">
        <f>IFERROR(__xludf.DUMMYFUNCTION("""COMPUTED_VALUE"""),"7a0e9897")</f>
        <v>7a0e9897</v>
      </c>
      <c r="F893" s="1"/>
    </row>
    <row r="894">
      <c r="A894" s="1" t="str">
        <f>IFERROR(__xludf.DUMMYFUNCTION("""COMPUTED_VALUE"""),"8aae68ee")</f>
        <v>8aae68ee</v>
      </c>
      <c r="B894" s="1" t="str">
        <f>IFERROR(__xludf.DUMMYFUNCTION("""COMPUTED_VALUE"""),"cb9e809e")</f>
        <v>cb9e809e</v>
      </c>
      <c r="C894" s="32">
        <f>IFERROR(__xludf.DUMMYFUNCTION("""COMPUTED_VALUE"""),46103.56458333333)</f>
        <v>46103.56458</v>
      </c>
      <c r="D894" s="1">
        <f>IFERROR(__xludf.DUMMYFUNCTION("""COMPUTED_VALUE"""),-14.0)</f>
        <v>-14</v>
      </c>
      <c r="E894" s="1"/>
      <c r="F894" s="1"/>
    </row>
    <row r="895">
      <c r="A895" s="1" t="str">
        <f>IFERROR(__xludf.DUMMYFUNCTION("""COMPUTED_VALUE"""),"b3aa6aca")</f>
        <v>b3aa6aca</v>
      </c>
      <c r="B895" s="1" t="str">
        <f>IFERROR(__xludf.DUMMYFUNCTION("""COMPUTED_VALUE"""),"a19879cf")</f>
        <v>a19879cf</v>
      </c>
      <c r="C895" s="32">
        <f>IFERROR(__xludf.DUMMYFUNCTION("""COMPUTED_VALUE"""),46103.565)</f>
        <v>46103.565</v>
      </c>
      <c r="D895" s="1">
        <f>IFERROR(__xludf.DUMMYFUNCTION("""COMPUTED_VALUE"""),24.0)</f>
        <v>24</v>
      </c>
      <c r="E895" s="1" t="str">
        <f>IFERROR(__xludf.DUMMYFUNCTION("""COMPUTED_VALUE"""),"4087a248")</f>
        <v>4087a248</v>
      </c>
      <c r="F895" s="1"/>
    </row>
    <row r="896">
      <c r="A896" s="1" t="str">
        <f>IFERROR(__xludf.DUMMYFUNCTION("""COMPUTED_VALUE"""),"b26a46d3")</f>
        <v>b26a46d3</v>
      </c>
      <c r="B896" s="1" t="str">
        <f>IFERROR(__xludf.DUMMYFUNCTION("""COMPUTED_VALUE"""),"27c8f623")</f>
        <v>27c8f623</v>
      </c>
      <c r="C896" s="32">
        <f>IFERROR(__xludf.DUMMYFUNCTION("""COMPUTED_VALUE"""),46103.565034722225)</f>
        <v>46103.56503</v>
      </c>
      <c r="D896" s="1">
        <f>IFERROR(__xludf.DUMMYFUNCTION("""COMPUTED_VALUE"""),24.0)</f>
        <v>24</v>
      </c>
      <c r="E896" s="1" t="str">
        <f>IFERROR(__xludf.DUMMYFUNCTION("""COMPUTED_VALUE"""),"4087a248")</f>
        <v>4087a248</v>
      </c>
      <c r="F896" s="1"/>
    </row>
    <row r="897">
      <c r="A897" s="1" t="str">
        <f>IFERROR(__xludf.DUMMYFUNCTION("""COMPUTED_VALUE"""),"dacfe1da")</f>
        <v>dacfe1da</v>
      </c>
      <c r="B897" s="1" t="str">
        <f>IFERROR(__xludf.DUMMYFUNCTION("""COMPUTED_VALUE"""),"02d86a9b")</f>
        <v>02d86a9b</v>
      </c>
      <c r="C897" s="32">
        <f>IFERROR(__xludf.DUMMYFUNCTION("""COMPUTED_VALUE"""),46103.56642361111)</f>
        <v>46103.56642</v>
      </c>
      <c r="D897" s="1">
        <f>IFERROR(__xludf.DUMMYFUNCTION("""COMPUTED_VALUE"""),24.0)</f>
        <v>24</v>
      </c>
      <c r="E897" s="1" t="str">
        <f>IFERROR(__xludf.DUMMYFUNCTION("""COMPUTED_VALUE"""),"4087a248")</f>
        <v>4087a248</v>
      </c>
      <c r="F897" s="1"/>
    </row>
    <row r="898">
      <c r="A898" s="1" t="str">
        <f>IFERROR(__xludf.DUMMYFUNCTION("""COMPUTED_VALUE"""),"2d3a146a")</f>
        <v>2d3a146a</v>
      </c>
      <c r="B898" s="1" t="str">
        <f>IFERROR(__xludf.DUMMYFUNCTION("""COMPUTED_VALUE"""),"69692785")</f>
        <v>69692785</v>
      </c>
      <c r="C898" s="32">
        <f>IFERROR(__xludf.DUMMYFUNCTION("""COMPUTED_VALUE"""),46103.566469907404)</f>
        <v>46103.56647</v>
      </c>
      <c r="D898" s="1">
        <f>IFERROR(__xludf.DUMMYFUNCTION("""COMPUTED_VALUE"""),-8.0)</f>
        <v>-8</v>
      </c>
      <c r="E898" s="1"/>
      <c r="F898" s="1"/>
    </row>
    <row r="899">
      <c r="A899" s="1" t="str">
        <f>IFERROR(__xludf.DUMMYFUNCTION("""COMPUTED_VALUE"""),"43914641")</f>
        <v>43914641</v>
      </c>
      <c r="B899" s="1" t="str">
        <f>IFERROR(__xludf.DUMMYFUNCTION("""COMPUTED_VALUE"""),"0021")</f>
        <v>0021</v>
      </c>
      <c r="C899" s="32">
        <f>IFERROR(__xludf.DUMMYFUNCTION("""COMPUTED_VALUE"""),46103.56873842593)</f>
        <v>46103.56874</v>
      </c>
      <c r="D899" s="1">
        <f>IFERROR(__xludf.DUMMYFUNCTION("""COMPUTED_VALUE"""),-24.0)</f>
        <v>-24</v>
      </c>
      <c r="E899" s="1"/>
      <c r="F899" s="1"/>
    </row>
    <row r="900">
      <c r="A900" s="1" t="str">
        <f>IFERROR(__xludf.DUMMYFUNCTION("""COMPUTED_VALUE"""),"dc857041")</f>
        <v>dc857041</v>
      </c>
      <c r="B900" s="1" t="str">
        <f>IFERROR(__xludf.DUMMYFUNCTION("""COMPUTED_VALUE"""),"0032")</f>
        <v>0032</v>
      </c>
      <c r="C900" s="32">
        <f>IFERROR(__xludf.DUMMYFUNCTION("""COMPUTED_VALUE"""),46103.569768518515)</f>
        <v>46103.56977</v>
      </c>
      <c r="D900" s="1">
        <f>IFERROR(__xludf.DUMMYFUNCTION("""COMPUTED_VALUE"""),-14.0)</f>
        <v>-14</v>
      </c>
      <c r="E900" s="1"/>
      <c r="F900" s="1"/>
    </row>
    <row r="901">
      <c r="A901" s="1" t="str">
        <f>IFERROR(__xludf.DUMMYFUNCTION("""COMPUTED_VALUE"""),"cb4852d1")</f>
        <v>cb4852d1</v>
      </c>
      <c r="B901" s="1" t="str">
        <f>IFERROR(__xludf.DUMMYFUNCTION("""COMPUTED_VALUE"""),"cf6c9481")</f>
        <v>cf6c9481</v>
      </c>
      <c r="C901" s="32">
        <f>IFERROR(__xludf.DUMMYFUNCTION("""COMPUTED_VALUE"""),46103.56997685185)</f>
        <v>46103.56998</v>
      </c>
      <c r="D901" s="1">
        <f>IFERROR(__xludf.DUMMYFUNCTION("""COMPUTED_VALUE"""),-7.0)</f>
        <v>-7</v>
      </c>
      <c r="E901" s="1"/>
      <c r="F901" s="1"/>
    </row>
    <row r="902">
      <c r="A902" s="1" t="str">
        <f>IFERROR(__xludf.DUMMYFUNCTION("""COMPUTED_VALUE"""),"6b394f5b")</f>
        <v>6b394f5b</v>
      </c>
      <c r="B902" s="1" t="str">
        <f>IFERROR(__xludf.DUMMYFUNCTION("""COMPUTED_VALUE"""),"0002")</f>
        <v>0002</v>
      </c>
      <c r="C902" s="32">
        <f>IFERROR(__xludf.DUMMYFUNCTION("""COMPUTED_VALUE"""),46103.57016203704)</f>
        <v>46103.57016</v>
      </c>
      <c r="D902" s="1">
        <f>IFERROR(__xludf.DUMMYFUNCTION("""COMPUTED_VALUE"""),-60.0)</f>
        <v>-60</v>
      </c>
      <c r="E902" s="1"/>
      <c r="F902" s="1"/>
    </row>
    <row r="903">
      <c r="A903" s="1" t="str">
        <f>IFERROR(__xludf.DUMMYFUNCTION("""COMPUTED_VALUE"""),"63b4f2b6")</f>
        <v>63b4f2b6</v>
      </c>
      <c r="B903" s="1" t="str">
        <f>IFERROR(__xludf.DUMMYFUNCTION("""COMPUTED_VALUE"""),"0011")</f>
        <v>0011</v>
      </c>
      <c r="C903" s="32">
        <f>IFERROR(__xludf.DUMMYFUNCTION("""COMPUTED_VALUE"""),46103.5703125)</f>
        <v>46103.57031</v>
      </c>
      <c r="D903" s="1">
        <f>IFERROR(__xludf.DUMMYFUNCTION("""COMPUTED_VALUE"""),-24.0)</f>
        <v>-24</v>
      </c>
      <c r="E903" s="1"/>
      <c r="F903" s="1"/>
    </row>
    <row r="904">
      <c r="A904" s="1" t="str">
        <f>IFERROR(__xludf.DUMMYFUNCTION("""COMPUTED_VALUE"""),"336179f4")</f>
        <v>336179f4</v>
      </c>
      <c r="B904" s="1" t="str">
        <f>IFERROR(__xludf.DUMMYFUNCTION("""COMPUTED_VALUE"""),"0029")</f>
        <v>0029</v>
      </c>
      <c r="C904" s="32">
        <f>IFERROR(__xludf.DUMMYFUNCTION("""COMPUTED_VALUE"""),46103.570439814815)</f>
        <v>46103.57044</v>
      </c>
      <c r="D904" s="1">
        <f>IFERROR(__xludf.DUMMYFUNCTION("""COMPUTED_VALUE"""),-13.0)</f>
        <v>-13</v>
      </c>
      <c r="E904" s="1"/>
      <c r="F904" s="1"/>
    </row>
    <row r="905">
      <c r="A905" s="1" t="str">
        <f>IFERROR(__xludf.DUMMYFUNCTION("""COMPUTED_VALUE"""),"3a0921b7")</f>
        <v>3a0921b7</v>
      </c>
      <c r="B905" s="1" t="str">
        <f>IFERROR(__xludf.DUMMYFUNCTION("""COMPUTED_VALUE"""),"a3f74383")</f>
        <v>a3f74383</v>
      </c>
      <c r="C905" s="32">
        <f>IFERROR(__xludf.DUMMYFUNCTION("""COMPUTED_VALUE"""),46103.5705787037)</f>
        <v>46103.57058</v>
      </c>
      <c r="D905" s="1">
        <f>IFERROR(__xludf.DUMMYFUNCTION("""COMPUTED_VALUE"""),-7.0)</f>
        <v>-7</v>
      </c>
      <c r="E905" s="1"/>
      <c r="F905" s="1"/>
    </row>
    <row r="906">
      <c r="A906" s="1" t="str">
        <f>IFERROR(__xludf.DUMMYFUNCTION("""COMPUTED_VALUE"""),"8bc169de")</f>
        <v>8bc169de</v>
      </c>
      <c r="B906" s="1" t="str">
        <f>IFERROR(__xludf.DUMMYFUNCTION("""COMPUTED_VALUE"""),"0054")</f>
        <v>0054</v>
      </c>
      <c r="C906" s="32">
        <f>IFERROR(__xludf.DUMMYFUNCTION("""COMPUTED_VALUE"""),46103.57072916667)</f>
        <v>46103.57073</v>
      </c>
      <c r="D906" s="1">
        <f>IFERROR(__xludf.DUMMYFUNCTION("""COMPUTED_VALUE"""),-7.0)</f>
        <v>-7</v>
      </c>
      <c r="E906" s="1"/>
      <c r="F906" s="1"/>
    </row>
    <row r="907">
      <c r="A907" s="1" t="str">
        <f>IFERROR(__xludf.DUMMYFUNCTION("""COMPUTED_VALUE"""),"5465628c")</f>
        <v>5465628c</v>
      </c>
      <c r="B907" s="1" t="str">
        <f>IFERROR(__xludf.DUMMYFUNCTION("""COMPUTED_VALUE"""),"57a5617b")</f>
        <v>57a5617b</v>
      </c>
      <c r="C907" s="32">
        <f>IFERROR(__xludf.DUMMYFUNCTION("""COMPUTED_VALUE"""),46103.57084490741)</f>
        <v>46103.57084</v>
      </c>
      <c r="D907" s="1">
        <f>IFERROR(__xludf.DUMMYFUNCTION("""COMPUTED_VALUE"""),-6.0)</f>
        <v>-6</v>
      </c>
      <c r="E907" s="1"/>
      <c r="F907" s="1"/>
    </row>
    <row r="908">
      <c r="A908" s="1" t="str">
        <f>IFERROR(__xludf.DUMMYFUNCTION("""COMPUTED_VALUE"""),"70f07edb")</f>
        <v>70f07edb</v>
      </c>
      <c r="B908" s="1" t="str">
        <f>IFERROR(__xludf.DUMMYFUNCTION("""COMPUTED_VALUE"""),"bb6c2490")</f>
        <v>bb6c2490</v>
      </c>
      <c r="C908" s="32">
        <f>IFERROR(__xludf.DUMMYFUNCTION("""COMPUTED_VALUE"""),46103.57603009259)</f>
        <v>46103.57603</v>
      </c>
      <c r="D908" s="1">
        <f>IFERROR(__xludf.DUMMYFUNCTION("""COMPUTED_VALUE"""),-18.0)</f>
        <v>-18</v>
      </c>
      <c r="E908" s="1"/>
      <c r="F908" s="1"/>
    </row>
    <row r="909">
      <c r="A909" s="1" t="str">
        <f>IFERROR(__xludf.DUMMYFUNCTION("""COMPUTED_VALUE"""),"859bf83e")</f>
        <v>859bf83e</v>
      </c>
      <c r="B909" s="1" t="str">
        <f>IFERROR(__xludf.DUMMYFUNCTION("""COMPUTED_VALUE"""),"0001")</f>
        <v>0001</v>
      </c>
      <c r="C909" s="32">
        <f>IFERROR(__xludf.DUMMYFUNCTION("""COMPUTED_VALUE"""),46103.57653935185)</f>
        <v>46103.57654</v>
      </c>
      <c r="D909" s="1">
        <f>IFERROR(__xludf.DUMMYFUNCTION("""COMPUTED_VALUE"""),-45.0)</f>
        <v>-45</v>
      </c>
      <c r="E909" s="1"/>
      <c r="F909" s="1"/>
    </row>
    <row r="910">
      <c r="A910" s="1" t="str">
        <f>IFERROR(__xludf.DUMMYFUNCTION("""COMPUTED_VALUE"""),"29686142")</f>
        <v>29686142</v>
      </c>
      <c r="B910" s="1" t="str">
        <f>IFERROR(__xludf.DUMMYFUNCTION("""COMPUTED_VALUE"""),"83dd14b5")</f>
        <v>83dd14b5</v>
      </c>
      <c r="C910" s="32">
        <f>IFERROR(__xludf.DUMMYFUNCTION("""COMPUTED_VALUE"""),46103.57666666667)</f>
        <v>46103.57667</v>
      </c>
      <c r="D910" s="1">
        <f>IFERROR(__xludf.DUMMYFUNCTION("""COMPUTED_VALUE"""),-17.0)</f>
        <v>-17</v>
      </c>
      <c r="E910" s="1"/>
      <c r="F910" s="1"/>
    </row>
    <row r="911">
      <c r="A911" s="1" t="str">
        <f>IFERROR(__xludf.DUMMYFUNCTION("""COMPUTED_VALUE"""),"bd5ca5de")</f>
        <v>bd5ca5de</v>
      </c>
      <c r="B911" s="1" t="str">
        <f>IFERROR(__xludf.DUMMYFUNCTION("""COMPUTED_VALUE"""),"0002")</f>
        <v>0002</v>
      </c>
      <c r="C911" s="32">
        <f>IFERROR(__xludf.DUMMYFUNCTION("""COMPUTED_VALUE"""),46103.576875)</f>
        <v>46103.57688</v>
      </c>
      <c r="D911" s="1">
        <f>IFERROR(__xludf.DUMMYFUNCTION("""COMPUTED_VALUE"""),-36.0)</f>
        <v>-36</v>
      </c>
      <c r="E911" s="1"/>
      <c r="F911" s="1"/>
    </row>
    <row r="912">
      <c r="A912" s="1" t="str">
        <f>IFERROR(__xludf.DUMMYFUNCTION("""COMPUTED_VALUE"""),"bece459b")</f>
        <v>bece459b</v>
      </c>
      <c r="B912" s="1" t="str">
        <f>IFERROR(__xludf.DUMMYFUNCTION("""COMPUTED_VALUE"""),"0029")</f>
        <v>0029</v>
      </c>
      <c r="C912" s="32">
        <f>IFERROR(__xludf.DUMMYFUNCTION("""COMPUTED_VALUE"""),46103.578993055555)</f>
        <v>46103.57899</v>
      </c>
      <c r="D912" s="1">
        <f>IFERROR(__xludf.DUMMYFUNCTION("""COMPUTED_VALUE"""),-13.0)</f>
        <v>-13</v>
      </c>
      <c r="E912" s="1"/>
      <c r="F912" s="1"/>
    </row>
    <row r="913">
      <c r="A913" s="1" t="str">
        <f>IFERROR(__xludf.DUMMYFUNCTION("""COMPUTED_VALUE"""),"6f43a38f")</f>
        <v>6f43a38f</v>
      </c>
      <c r="B913" s="1" t="str">
        <f>IFERROR(__xludf.DUMMYFUNCTION("""COMPUTED_VALUE"""),"0054")</f>
        <v>0054</v>
      </c>
      <c r="C913" s="32">
        <f>IFERROR(__xludf.DUMMYFUNCTION("""COMPUTED_VALUE"""),46103.57916666667)</f>
        <v>46103.57917</v>
      </c>
      <c r="D913" s="1">
        <f>IFERROR(__xludf.DUMMYFUNCTION("""COMPUTED_VALUE"""),-3.0)</f>
        <v>-3</v>
      </c>
      <c r="E913" s="1"/>
      <c r="F913" s="1"/>
    </row>
    <row r="914">
      <c r="A914" s="1" t="str">
        <f>IFERROR(__xludf.DUMMYFUNCTION("""COMPUTED_VALUE"""),"039117f5")</f>
        <v>039117f5</v>
      </c>
      <c r="B914" s="1" t="str">
        <f>IFERROR(__xludf.DUMMYFUNCTION("""COMPUTED_VALUE"""),"a3f74383")</f>
        <v>a3f74383</v>
      </c>
      <c r="C914" s="32">
        <f>IFERROR(__xludf.DUMMYFUNCTION("""COMPUTED_VALUE"""),46103.57925925926)</f>
        <v>46103.57926</v>
      </c>
      <c r="D914" s="1">
        <f>IFERROR(__xludf.DUMMYFUNCTION("""COMPUTED_VALUE"""),-5.0)</f>
        <v>-5</v>
      </c>
      <c r="E914" s="1"/>
      <c r="F914" s="1"/>
    </row>
    <row r="915">
      <c r="A915" s="1" t="str">
        <f>IFERROR(__xludf.DUMMYFUNCTION("""COMPUTED_VALUE"""),"8fe82cd2")</f>
        <v>8fe82cd2</v>
      </c>
      <c r="B915" s="1" t="str">
        <f>IFERROR(__xludf.DUMMYFUNCTION("""COMPUTED_VALUE"""),"cb9e809e")</f>
        <v>cb9e809e</v>
      </c>
      <c r="C915" s="32">
        <f>IFERROR(__xludf.DUMMYFUNCTION("""COMPUTED_VALUE"""),46103.58037037037)</f>
        <v>46103.58037</v>
      </c>
      <c r="D915" s="1">
        <f>IFERROR(__xludf.DUMMYFUNCTION("""COMPUTED_VALUE"""),-5.0)</f>
        <v>-5</v>
      </c>
      <c r="E915" s="1"/>
      <c r="F915" s="1"/>
    </row>
    <row r="916">
      <c r="A916" s="1" t="str">
        <f>IFERROR(__xludf.DUMMYFUNCTION("""COMPUTED_VALUE"""),"ab201c32")</f>
        <v>ab201c32</v>
      </c>
      <c r="B916" s="1" t="str">
        <f>IFERROR(__xludf.DUMMYFUNCTION("""COMPUTED_VALUE"""),"0032")</f>
        <v>0032</v>
      </c>
      <c r="C916" s="32">
        <f>IFERROR(__xludf.DUMMYFUNCTION("""COMPUTED_VALUE"""),46103.580555555556)</f>
        <v>46103.58056</v>
      </c>
      <c r="D916" s="1">
        <f>IFERROR(__xludf.DUMMYFUNCTION("""COMPUTED_VALUE"""),-12.0)</f>
        <v>-12</v>
      </c>
      <c r="E916" s="1"/>
      <c r="F916" s="1"/>
    </row>
    <row r="917">
      <c r="A917" s="1" t="str">
        <f>IFERROR(__xludf.DUMMYFUNCTION("""COMPUTED_VALUE"""),"bc6d7e8e")</f>
        <v>bc6d7e8e</v>
      </c>
      <c r="B917" s="1" t="str">
        <f>IFERROR(__xludf.DUMMYFUNCTION("""COMPUTED_VALUE"""),"0086")</f>
        <v>0086</v>
      </c>
      <c r="C917" s="32">
        <f>IFERROR(__xludf.DUMMYFUNCTION("""COMPUTED_VALUE"""),46103.58259259259)</f>
        <v>46103.58259</v>
      </c>
      <c r="D917" s="1">
        <f>IFERROR(__xludf.DUMMYFUNCTION("""COMPUTED_VALUE"""),-10.0)</f>
        <v>-10</v>
      </c>
      <c r="E917" s="1"/>
      <c r="F917" s="1"/>
    </row>
    <row r="918">
      <c r="A918" s="1" t="str">
        <f>IFERROR(__xludf.DUMMYFUNCTION("""COMPUTED_VALUE"""),"1af95d32")</f>
        <v>1af95d32</v>
      </c>
      <c r="B918" s="1" t="str">
        <f>IFERROR(__xludf.DUMMYFUNCTION("""COMPUTED_VALUE"""),"0010")</f>
        <v>0010</v>
      </c>
      <c r="C918" s="32">
        <f>IFERROR(__xludf.DUMMYFUNCTION("""COMPUTED_VALUE"""),46103.582708333335)</f>
        <v>46103.58271</v>
      </c>
      <c r="D918" s="1">
        <f>IFERROR(__xludf.DUMMYFUNCTION("""COMPUTED_VALUE"""),-15.0)</f>
        <v>-15</v>
      </c>
      <c r="E918" s="1"/>
      <c r="F918" s="1"/>
    </row>
    <row r="919">
      <c r="A919" s="1" t="str">
        <f>IFERROR(__xludf.DUMMYFUNCTION("""COMPUTED_VALUE"""),"d2d91aa5")</f>
        <v>d2d91aa5</v>
      </c>
      <c r="B919" s="1" t="str">
        <f>IFERROR(__xludf.DUMMYFUNCTION("""COMPUTED_VALUE"""),"27c8f623")</f>
        <v>27c8f623</v>
      </c>
      <c r="C919" s="32">
        <f>IFERROR(__xludf.DUMMYFUNCTION("""COMPUTED_VALUE"""),46103.58305555556)</f>
        <v>46103.58306</v>
      </c>
      <c r="D919" s="1">
        <f>IFERROR(__xludf.DUMMYFUNCTION("""COMPUTED_VALUE"""),-6.0)</f>
        <v>-6</v>
      </c>
      <c r="E919" s="1"/>
      <c r="F919" s="1"/>
    </row>
    <row r="920">
      <c r="A920" s="1" t="str">
        <f>IFERROR(__xludf.DUMMYFUNCTION("""COMPUTED_VALUE"""),"6ee8c4f0")</f>
        <v>6ee8c4f0</v>
      </c>
      <c r="B920" s="1" t="str">
        <f>IFERROR(__xludf.DUMMYFUNCTION("""COMPUTED_VALUE"""),"bb4d1bd1")</f>
        <v>bb4d1bd1</v>
      </c>
      <c r="C920" s="32">
        <f>IFERROR(__xludf.DUMMYFUNCTION("""COMPUTED_VALUE"""),46103.583182870374)</f>
        <v>46103.58318</v>
      </c>
      <c r="D920" s="1">
        <f>IFERROR(__xludf.DUMMYFUNCTION("""COMPUTED_VALUE"""),-6.0)</f>
        <v>-6</v>
      </c>
      <c r="E920" s="1"/>
      <c r="F920" s="1"/>
    </row>
    <row r="921">
      <c r="A921" s="1" t="str">
        <f>IFERROR(__xludf.DUMMYFUNCTION("""COMPUTED_VALUE"""),"12630229")</f>
        <v>12630229</v>
      </c>
      <c r="B921" s="1" t="str">
        <f>IFERROR(__xludf.DUMMYFUNCTION("""COMPUTED_VALUE"""),"a19879cf")</f>
        <v>a19879cf</v>
      </c>
      <c r="C921" s="32">
        <f>IFERROR(__xludf.DUMMYFUNCTION("""COMPUTED_VALUE"""),46103.58331018518)</f>
        <v>46103.58331</v>
      </c>
      <c r="D921" s="1">
        <f>IFERROR(__xludf.DUMMYFUNCTION("""COMPUTED_VALUE"""),-6.0)</f>
        <v>-6</v>
      </c>
      <c r="E921" s="1"/>
      <c r="F921" s="1"/>
    </row>
    <row r="922">
      <c r="A922" s="1" t="str">
        <f>IFERROR(__xludf.DUMMYFUNCTION("""COMPUTED_VALUE"""),"2d65e60a")</f>
        <v>2d65e60a</v>
      </c>
      <c r="B922" s="1" t="str">
        <f>IFERROR(__xludf.DUMMYFUNCTION("""COMPUTED_VALUE"""),"0002")</f>
        <v>0002</v>
      </c>
      <c r="C922" s="32">
        <f>IFERROR(__xludf.DUMMYFUNCTION("""COMPUTED_VALUE"""),46103.64530092593)</f>
        <v>46103.6453</v>
      </c>
      <c r="D922" s="1">
        <f>IFERROR(__xludf.DUMMYFUNCTION("""COMPUTED_VALUE"""),-24.0)</f>
        <v>-24</v>
      </c>
      <c r="E922" s="1"/>
      <c r="F922" s="1"/>
    </row>
    <row r="923">
      <c r="A923" s="1" t="str">
        <f>IFERROR(__xludf.DUMMYFUNCTION("""COMPUTED_VALUE"""),"049fdf07")</f>
        <v>049fdf07</v>
      </c>
      <c r="B923" s="1" t="str">
        <f>IFERROR(__xludf.DUMMYFUNCTION("""COMPUTED_VALUE"""),"0011")</f>
        <v>0011</v>
      </c>
      <c r="C923" s="32">
        <f>IFERROR(__xludf.DUMMYFUNCTION("""COMPUTED_VALUE"""),46104.49965277778)</f>
        <v>46104.49965</v>
      </c>
      <c r="D923" s="1">
        <f>IFERROR(__xludf.DUMMYFUNCTION("""COMPUTED_VALUE"""),72.0)</f>
        <v>72</v>
      </c>
      <c r="E923" s="1" t="str">
        <f>IFERROR(__xludf.DUMMYFUNCTION("""COMPUTED_VALUE"""),"20efc97b")</f>
        <v>20efc97b</v>
      </c>
      <c r="F923" s="1"/>
    </row>
    <row r="924">
      <c r="A924" s="1" t="str">
        <f>IFERROR(__xludf.DUMMYFUNCTION("""COMPUTED_VALUE"""),"1a0d71a6")</f>
        <v>1a0d71a6</v>
      </c>
      <c r="B924" s="1" t="str">
        <f>IFERROR(__xludf.DUMMYFUNCTION("""COMPUTED_VALUE"""),"0001")</f>
        <v>0001</v>
      </c>
      <c r="C924" s="32">
        <f>IFERROR(__xludf.DUMMYFUNCTION("""COMPUTED_VALUE"""),46104.499756944446)</f>
        <v>46104.49976</v>
      </c>
      <c r="D924" s="1">
        <f>IFERROR(__xludf.DUMMYFUNCTION("""COMPUTED_VALUE"""),75.0)</f>
        <v>75</v>
      </c>
      <c r="E924" s="1" t="str">
        <f>IFERROR(__xludf.DUMMYFUNCTION("""COMPUTED_VALUE"""),"20efc97b")</f>
        <v>20efc97b</v>
      </c>
      <c r="F924" s="1"/>
    </row>
    <row r="925">
      <c r="A925" s="1" t="str">
        <f>IFERROR(__xludf.DUMMYFUNCTION("""COMPUTED_VALUE"""),"3b5231c9")</f>
        <v>3b5231c9</v>
      </c>
      <c r="B925" s="1" t="str">
        <f>IFERROR(__xludf.DUMMYFUNCTION("""COMPUTED_VALUE"""),"12b96290")</f>
        <v>12b96290</v>
      </c>
      <c r="C925" s="32">
        <f>IFERROR(__xludf.DUMMYFUNCTION("""COMPUTED_VALUE"""),46104.49986111111)</f>
        <v>46104.49986</v>
      </c>
      <c r="D925" s="1">
        <f>IFERROR(__xludf.DUMMYFUNCTION("""COMPUTED_VALUE"""),75.0)</f>
        <v>75</v>
      </c>
      <c r="E925" s="1" t="str">
        <f>IFERROR(__xludf.DUMMYFUNCTION("""COMPUTED_VALUE"""),"20efc97b")</f>
        <v>20efc97b</v>
      </c>
      <c r="F925" s="1"/>
    </row>
    <row r="926">
      <c r="A926" s="1" t="str">
        <f>IFERROR(__xludf.DUMMYFUNCTION("""COMPUTED_VALUE"""),"4a2da4f6")</f>
        <v>4a2da4f6</v>
      </c>
      <c r="B926" s="1" t="str">
        <f>IFERROR(__xludf.DUMMYFUNCTION("""COMPUTED_VALUE"""),"0029")</f>
        <v>0029</v>
      </c>
      <c r="C926" s="32">
        <f>IFERROR(__xludf.DUMMYFUNCTION("""COMPUTED_VALUE"""),46104.49994212963)</f>
        <v>46104.49994</v>
      </c>
      <c r="D926" s="1">
        <f>IFERROR(__xludf.DUMMYFUNCTION("""COMPUTED_VALUE"""),48.0)</f>
        <v>48</v>
      </c>
      <c r="E926" s="1" t="str">
        <f>IFERROR(__xludf.DUMMYFUNCTION("""COMPUTED_VALUE"""),"20efc97b")</f>
        <v>20efc97b</v>
      </c>
      <c r="F926" s="1"/>
    </row>
    <row r="927">
      <c r="A927" s="1" t="str">
        <f>IFERROR(__xludf.DUMMYFUNCTION("""COMPUTED_VALUE"""),"d44c784d")</f>
        <v>d44c784d</v>
      </c>
      <c r="B927" s="1" t="str">
        <f>IFERROR(__xludf.DUMMYFUNCTION("""COMPUTED_VALUE"""),"0021")</f>
        <v>0021</v>
      </c>
      <c r="C927" s="32">
        <f>IFERROR(__xludf.DUMMYFUNCTION("""COMPUTED_VALUE"""),46104.50003472222)</f>
        <v>46104.50003</v>
      </c>
      <c r="D927" s="1">
        <f>IFERROR(__xludf.DUMMYFUNCTION("""COMPUTED_VALUE"""),48.0)</f>
        <v>48</v>
      </c>
      <c r="E927" s="1" t="str">
        <f>IFERROR(__xludf.DUMMYFUNCTION("""COMPUTED_VALUE"""),"20efc97b")</f>
        <v>20efc97b</v>
      </c>
      <c r="F927" s="1"/>
    </row>
    <row r="928">
      <c r="A928" s="1" t="str">
        <f>IFERROR(__xludf.DUMMYFUNCTION("""COMPUTED_VALUE"""),"7b86b170")</f>
        <v>7b86b170</v>
      </c>
      <c r="B928" s="1" t="str">
        <f>IFERROR(__xludf.DUMMYFUNCTION("""COMPUTED_VALUE"""),"0049")</f>
        <v>0049</v>
      </c>
      <c r="C928" s="32">
        <f>IFERROR(__xludf.DUMMYFUNCTION("""COMPUTED_VALUE"""),46104.500393518516)</f>
        <v>46104.50039</v>
      </c>
      <c r="D928" s="1">
        <f>IFERROR(__xludf.DUMMYFUNCTION("""COMPUTED_VALUE"""),24.0)</f>
        <v>24</v>
      </c>
      <c r="E928" s="1" t="str">
        <f>IFERROR(__xludf.DUMMYFUNCTION("""COMPUTED_VALUE"""),"1a253598")</f>
        <v>1a253598</v>
      </c>
      <c r="F928" s="1"/>
    </row>
    <row r="929">
      <c r="A929" s="1" t="str">
        <f>IFERROR(__xludf.DUMMYFUNCTION("""COMPUTED_VALUE"""),"7b791f23")</f>
        <v>7b791f23</v>
      </c>
      <c r="B929" s="1" t="str">
        <f>IFERROR(__xludf.DUMMYFUNCTION("""COMPUTED_VALUE"""),"cb9e809e")</f>
        <v>cb9e809e</v>
      </c>
      <c r="C929" s="32">
        <f>IFERROR(__xludf.DUMMYFUNCTION("""COMPUTED_VALUE"""),46104.500497685185)</f>
        <v>46104.5005</v>
      </c>
      <c r="D929" s="1">
        <f>IFERROR(__xludf.DUMMYFUNCTION("""COMPUTED_VALUE"""),12.0)</f>
        <v>12</v>
      </c>
      <c r="E929" s="1" t="str">
        <f>IFERROR(__xludf.DUMMYFUNCTION("""COMPUTED_VALUE"""),"1a253598")</f>
        <v>1a253598</v>
      </c>
      <c r="F929" s="1"/>
    </row>
    <row r="930">
      <c r="A930" s="1" t="str">
        <f>IFERROR(__xludf.DUMMYFUNCTION("""COMPUTED_VALUE"""),"442b6384")</f>
        <v>442b6384</v>
      </c>
      <c r="B930" s="1" t="str">
        <f>IFERROR(__xludf.DUMMYFUNCTION("""COMPUTED_VALUE"""),"bb6c2490")</f>
        <v>bb6c2490</v>
      </c>
      <c r="C930" s="32">
        <f>IFERROR(__xludf.DUMMYFUNCTION("""COMPUTED_VALUE"""),46104.51325231481)</f>
        <v>46104.51325</v>
      </c>
      <c r="D930" s="1">
        <f>IFERROR(__xludf.DUMMYFUNCTION("""COMPUTED_VALUE"""),-18.0)</f>
        <v>-18</v>
      </c>
      <c r="E930" s="1"/>
      <c r="F930" s="1"/>
    </row>
    <row r="931">
      <c r="A931" s="1" t="str">
        <f>IFERROR(__xludf.DUMMYFUNCTION("""COMPUTED_VALUE"""),"2a45efb3")</f>
        <v>2a45efb3</v>
      </c>
      <c r="B931" s="1" t="str">
        <f>IFERROR(__xludf.DUMMYFUNCTION("""COMPUTED_VALUE"""),"0001")</f>
        <v>0001</v>
      </c>
      <c r="C931" s="32">
        <f>IFERROR(__xludf.DUMMYFUNCTION("""COMPUTED_VALUE"""),46104.51346064815)</f>
        <v>46104.51346</v>
      </c>
      <c r="D931" s="1">
        <f>IFERROR(__xludf.DUMMYFUNCTION("""COMPUTED_VALUE"""),-15.0)</f>
        <v>-15</v>
      </c>
      <c r="E931" s="1"/>
      <c r="F931" s="1"/>
    </row>
    <row r="932">
      <c r="A932" s="1" t="str">
        <f>IFERROR(__xludf.DUMMYFUNCTION("""COMPUTED_VALUE"""),"fdda5fed")</f>
        <v>fdda5fed</v>
      </c>
      <c r="B932" s="1" t="str">
        <f>IFERROR(__xludf.DUMMYFUNCTION("""COMPUTED_VALUE"""),"12b96290")</f>
        <v>12b96290</v>
      </c>
      <c r="C932" s="32">
        <f>IFERROR(__xludf.DUMMYFUNCTION("""COMPUTED_VALUE"""),46104.51351851852)</f>
        <v>46104.51352</v>
      </c>
      <c r="D932" s="1">
        <f>IFERROR(__xludf.DUMMYFUNCTION("""COMPUTED_VALUE"""),-15.0)</f>
        <v>-15</v>
      </c>
      <c r="E932" s="1"/>
      <c r="F932" s="1"/>
    </row>
    <row r="933">
      <c r="A933" s="1" t="str">
        <f>IFERROR(__xludf.DUMMYFUNCTION("""COMPUTED_VALUE"""),"7f92ebd4")</f>
        <v>7f92ebd4</v>
      </c>
      <c r="B933" s="1" t="str">
        <f>IFERROR(__xludf.DUMMYFUNCTION("""COMPUTED_VALUE"""),"cd21eb57")</f>
        <v>cd21eb57</v>
      </c>
      <c r="C933" s="32">
        <f>IFERROR(__xludf.DUMMYFUNCTION("""COMPUTED_VALUE"""),46104.51443287037)</f>
        <v>46104.51443</v>
      </c>
      <c r="D933" s="1">
        <f>IFERROR(__xludf.DUMMYFUNCTION("""COMPUTED_VALUE"""),-15.0)</f>
        <v>-15</v>
      </c>
      <c r="E933" s="1"/>
      <c r="F933" s="1"/>
    </row>
    <row r="934">
      <c r="A934" s="1" t="str">
        <f>IFERROR(__xludf.DUMMYFUNCTION("""COMPUTED_VALUE"""),"24533e6d")</f>
        <v>24533e6d</v>
      </c>
      <c r="B934" s="1" t="str">
        <f>IFERROR(__xludf.DUMMYFUNCTION("""COMPUTED_VALUE"""),"0011")</f>
        <v>0011</v>
      </c>
      <c r="C934" s="32">
        <f>IFERROR(__xludf.DUMMYFUNCTION("""COMPUTED_VALUE"""),46104.5156712963)</f>
        <v>46104.51567</v>
      </c>
      <c r="D934" s="1">
        <f>IFERROR(__xludf.DUMMYFUNCTION("""COMPUTED_VALUE"""),-24.0)</f>
        <v>-24</v>
      </c>
      <c r="E934" s="1"/>
      <c r="F934" s="1"/>
    </row>
    <row r="935">
      <c r="A935" s="1" t="str">
        <f>IFERROR(__xludf.DUMMYFUNCTION("""COMPUTED_VALUE"""),"9fadb50e")</f>
        <v>9fadb50e</v>
      </c>
      <c r="B935" s="1" t="str">
        <f>IFERROR(__xludf.DUMMYFUNCTION("""COMPUTED_VALUE"""),"0019")</f>
        <v>0019</v>
      </c>
      <c r="C935" s="32">
        <f>IFERROR(__xludf.DUMMYFUNCTION("""COMPUTED_VALUE"""),46104.51590277778)</f>
        <v>46104.5159</v>
      </c>
      <c r="D935" s="1">
        <f>IFERROR(__xludf.DUMMYFUNCTION("""COMPUTED_VALUE"""),-24.0)</f>
        <v>-24</v>
      </c>
      <c r="E935" s="1"/>
      <c r="F935" s="1"/>
    </row>
    <row r="936">
      <c r="A936" s="1" t="str">
        <f>IFERROR(__xludf.DUMMYFUNCTION("""COMPUTED_VALUE"""),"1bf1002a")</f>
        <v>1bf1002a</v>
      </c>
      <c r="B936" s="1" t="str">
        <f>IFERROR(__xludf.DUMMYFUNCTION("""COMPUTED_VALUE"""),"0012")</f>
        <v>0012</v>
      </c>
      <c r="C936" s="32">
        <f>IFERROR(__xludf.DUMMYFUNCTION("""COMPUTED_VALUE"""),46104.51626157408)</f>
        <v>46104.51626</v>
      </c>
      <c r="D936" s="1">
        <f>IFERROR(__xludf.DUMMYFUNCTION("""COMPUTED_VALUE"""),-21.0)</f>
        <v>-21</v>
      </c>
      <c r="E936" s="1"/>
      <c r="F936" s="1"/>
    </row>
    <row r="937">
      <c r="A937" s="1" t="str">
        <f>IFERROR(__xludf.DUMMYFUNCTION("""COMPUTED_VALUE"""),"8718af91")</f>
        <v>8718af91</v>
      </c>
      <c r="B937" s="1" t="str">
        <f>IFERROR(__xludf.DUMMYFUNCTION("""COMPUTED_VALUE"""),"0064")</f>
        <v>0064</v>
      </c>
      <c r="C937" s="32">
        <f>IFERROR(__xludf.DUMMYFUNCTION("""COMPUTED_VALUE"""),46104.51662037037)</f>
        <v>46104.51662</v>
      </c>
      <c r="D937" s="1">
        <f>IFERROR(__xludf.DUMMYFUNCTION("""COMPUTED_VALUE"""),-7.0)</f>
        <v>-7</v>
      </c>
      <c r="E937" s="1"/>
      <c r="F937" s="1"/>
    </row>
    <row r="938">
      <c r="A938" s="1" t="str">
        <f>IFERROR(__xludf.DUMMYFUNCTION("""COMPUTED_VALUE"""),"4814e97b")</f>
        <v>4814e97b</v>
      </c>
      <c r="B938" s="1" t="str">
        <f>IFERROR(__xludf.DUMMYFUNCTION("""COMPUTED_VALUE"""),"0032")</f>
        <v>0032</v>
      </c>
      <c r="C938" s="32">
        <f>IFERROR(__xludf.DUMMYFUNCTION("""COMPUTED_VALUE"""),46104.51712962963)</f>
        <v>46104.51713</v>
      </c>
      <c r="D938" s="1">
        <f>IFERROR(__xludf.DUMMYFUNCTION("""COMPUTED_VALUE"""),-12.0)</f>
        <v>-12</v>
      </c>
      <c r="E938" s="1"/>
      <c r="F938" s="1"/>
    </row>
    <row r="939">
      <c r="A939" s="1" t="str">
        <f>IFERROR(__xludf.DUMMYFUNCTION("""COMPUTED_VALUE"""),"638f9b17")</f>
        <v>638f9b17</v>
      </c>
      <c r="B939" s="1" t="str">
        <f>IFERROR(__xludf.DUMMYFUNCTION("""COMPUTED_VALUE"""),"0049")</f>
        <v>0049</v>
      </c>
      <c r="C939" s="32">
        <f>IFERROR(__xludf.DUMMYFUNCTION("""COMPUTED_VALUE"""),46104.51894675926)</f>
        <v>46104.51895</v>
      </c>
      <c r="D939" s="1">
        <f>IFERROR(__xludf.DUMMYFUNCTION("""COMPUTED_VALUE"""),-12.0)</f>
        <v>-12</v>
      </c>
      <c r="E939" s="1"/>
      <c r="F939" s="1"/>
    </row>
    <row r="940">
      <c r="A940" s="1" t="str">
        <f>IFERROR(__xludf.DUMMYFUNCTION("""COMPUTED_VALUE"""),"628f793c")</f>
        <v>628f793c</v>
      </c>
      <c r="B940" s="1" t="str">
        <f>IFERROR(__xludf.DUMMYFUNCTION("""COMPUTED_VALUE"""),"02d86a9b")</f>
        <v>02d86a9b</v>
      </c>
      <c r="C940" s="32">
        <f>IFERROR(__xludf.DUMMYFUNCTION("""COMPUTED_VALUE"""),46104.520520833335)</f>
        <v>46104.52052</v>
      </c>
      <c r="D940" s="1">
        <f>IFERROR(__xludf.DUMMYFUNCTION("""COMPUTED_VALUE"""),-8.0)</f>
        <v>-8</v>
      </c>
      <c r="E940" s="1"/>
      <c r="F940" s="1"/>
    </row>
    <row r="941">
      <c r="A941" s="1" t="str">
        <f>IFERROR(__xludf.DUMMYFUNCTION("""COMPUTED_VALUE"""),"e24e2f25")</f>
        <v>e24e2f25</v>
      </c>
      <c r="B941" s="1" t="str">
        <f>IFERROR(__xludf.DUMMYFUNCTION("""COMPUTED_VALUE"""),"27c8f623")</f>
        <v>27c8f623</v>
      </c>
      <c r="C941" s="32">
        <f>IFERROR(__xludf.DUMMYFUNCTION("""COMPUTED_VALUE"""),46104.520625)</f>
        <v>46104.52063</v>
      </c>
      <c r="D941" s="1">
        <f>IFERROR(__xludf.DUMMYFUNCTION("""COMPUTED_VALUE"""),-8.0)</f>
        <v>-8</v>
      </c>
      <c r="E941" s="1"/>
      <c r="F941" s="1"/>
    </row>
    <row r="942">
      <c r="A942" s="1" t="str">
        <f>IFERROR(__xludf.DUMMYFUNCTION("""COMPUTED_VALUE"""),"dcfd3a31")</f>
        <v>dcfd3a31</v>
      </c>
      <c r="B942" s="1" t="str">
        <f>IFERROR(__xludf.DUMMYFUNCTION("""COMPUTED_VALUE"""),"a19879cf")</f>
        <v>a19879cf</v>
      </c>
      <c r="C942" s="32">
        <f>IFERROR(__xludf.DUMMYFUNCTION("""COMPUTED_VALUE"""),46104.52075231481)</f>
        <v>46104.52075</v>
      </c>
      <c r="D942" s="1">
        <f>IFERROR(__xludf.DUMMYFUNCTION("""COMPUTED_VALUE"""),-8.0)</f>
        <v>-8</v>
      </c>
      <c r="E942" s="1"/>
      <c r="F942" s="1"/>
    </row>
    <row r="943">
      <c r="A943" s="1" t="str">
        <f>IFERROR(__xludf.DUMMYFUNCTION("""COMPUTED_VALUE"""),"165c0776")</f>
        <v>165c0776</v>
      </c>
      <c r="B943" s="1" t="str">
        <f>IFERROR(__xludf.DUMMYFUNCTION("""COMPUTED_VALUE"""),"bb4d1bd1")</f>
        <v>bb4d1bd1</v>
      </c>
      <c r="C943" s="32">
        <f>IFERROR(__xludf.DUMMYFUNCTION("""COMPUTED_VALUE"""),46104.52112268518)</f>
        <v>46104.52112</v>
      </c>
      <c r="D943" s="1">
        <f>IFERROR(__xludf.DUMMYFUNCTION("""COMPUTED_VALUE"""),-8.0)</f>
        <v>-8</v>
      </c>
      <c r="E943" s="1"/>
      <c r="F943" s="1"/>
    </row>
    <row r="944">
      <c r="A944" s="1" t="str">
        <f>IFERROR(__xludf.DUMMYFUNCTION("""COMPUTED_VALUE"""),"c9cd296d")</f>
        <v>c9cd296d</v>
      </c>
      <c r="B944" s="1" t="str">
        <f>IFERROR(__xludf.DUMMYFUNCTION("""COMPUTED_VALUE"""),"0086")</f>
        <v>0086</v>
      </c>
      <c r="C944" s="32">
        <f>IFERROR(__xludf.DUMMYFUNCTION("""COMPUTED_VALUE"""),46104.52174768518)</f>
        <v>46104.52175</v>
      </c>
      <c r="D944" s="1">
        <f>IFERROR(__xludf.DUMMYFUNCTION("""COMPUTED_VALUE"""),-10.0)</f>
        <v>-10</v>
      </c>
      <c r="E944" s="1"/>
      <c r="F944" s="1"/>
    </row>
    <row r="945">
      <c r="A945" s="1" t="str">
        <f>IFERROR(__xludf.DUMMYFUNCTION("""COMPUTED_VALUE"""),"75a0bafc")</f>
        <v>75a0bafc</v>
      </c>
      <c r="B945" s="1" t="str">
        <f>IFERROR(__xludf.DUMMYFUNCTION("""COMPUTED_VALUE"""),"cb9e809e")</f>
        <v>cb9e809e</v>
      </c>
      <c r="C945" s="32">
        <f>IFERROR(__xludf.DUMMYFUNCTION("""COMPUTED_VALUE"""),46104.522152777776)</f>
        <v>46104.52215</v>
      </c>
      <c r="D945" s="1">
        <f>IFERROR(__xludf.DUMMYFUNCTION("""COMPUTED_VALUE"""),-5.0)</f>
        <v>-5</v>
      </c>
      <c r="E945" s="1"/>
      <c r="F945" s="1"/>
    </row>
    <row r="946">
      <c r="A946" s="1" t="str">
        <f>IFERROR(__xludf.DUMMYFUNCTION("""COMPUTED_VALUE"""),"5c37b322")</f>
        <v>5c37b322</v>
      </c>
      <c r="B946" s="1" t="str">
        <f>IFERROR(__xludf.DUMMYFUNCTION("""COMPUTED_VALUE"""),"0029")</f>
        <v>0029</v>
      </c>
      <c r="C946" s="32">
        <f>IFERROR(__xludf.DUMMYFUNCTION("""COMPUTED_VALUE"""),46104.52302083333)</f>
        <v>46104.52302</v>
      </c>
      <c r="D946" s="1">
        <f>IFERROR(__xludf.DUMMYFUNCTION("""COMPUTED_VALUE"""),-24.0)</f>
        <v>-24</v>
      </c>
      <c r="E946" s="1"/>
      <c r="F946" s="1"/>
    </row>
    <row r="947">
      <c r="A947" s="1" t="str">
        <f>IFERROR(__xludf.DUMMYFUNCTION("""COMPUTED_VALUE"""),"ddaf557f")</f>
        <v>ddaf557f</v>
      </c>
      <c r="B947" s="1" t="str">
        <f>IFERROR(__xludf.DUMMYFUNCTION("""COMPUTED_VALUE"""),"0001")</f>
        <v>0001</v>
      </c>
      <c r="C947" s="32">
        <f>IFERROR(__xludf.DUMMYFUNCTION("""COMPUTED_VALUE"""),46104.52605324074)</f>
        <v>46104.52605</v>
      </c>
      <c r="D947" s="1">
        <f>IFERROR(__xludf.DUMMYFUNCTION("""COMPUTED_VALUE"""),-30.0)</f>
        <v>-30</v>
      </c>
      <c r="E947" s="1"/>
      <c r="F947" s="1"/>
    </row>
    <row r="948">
      <c r="A948" s="1" t="str">
        <f>IFERROR(__xludf.DUMMYFUNCTION("""COMPUTED_VALUE"""),"36f0fad1")</f>
        <v>36f0fad1</v>
      </c>
      <c r="B948" s="1" t="str">
        <f>IFERROR(__xludf.DUMMYFUNCTION("""COMPUTED_VALUE"""),"12b96290")</f>
        <v>12b96290</v>
      </c>
      <c r="C948" s="32">
        <f>IFERROR(__xludf.DUMMYFUNCTION("""COMPUTED_VALUE"""),46104.52611111111)</f>
        <v>46104.52611</v>
      </c>
      <c r="D948" s="1">
        <f>IFERROR(__xludf.DUMMYFUNCTION("""COMPUTED_VALUE"""),-15.0)</f>
        <v>-15</v>
      </c>
      <c r="E948" s="1"/>
      <c r="F948" s="1"/>
    </row>
    <row r="949">
      <c r="A949" s="1" t="str">
        <f>IFERROR(__xludf.DUMMYFUNCTION("""COMPUTED_VALUE"""),"056d95d4")</f>
        <v>056d95d4</v>
      </c>
      <c r="B949" s="1" t="str">
        <f>IFERROR(__xludf.DUMMYFUNCTION("""COMPUTED_VALUE"""),"bb6c2490")</f>
        <v>bb6c2490</v>
      </c>
      <c r="C949" s="32">
        <f>IFERROR(__xludf.DUMMYFUNCTION("""COMPUTED_VALUE"""),46104.52618055556)</f>
        <v>46104.52618</v>
      </c>
      <c r="D949" s="1">
        <f>IFERROR(__xludf.DUMMYFUNCTION("""COMPUTED_VALUE"""),-14.0)</f>
        <v>-14</v>
      </c>
      <c r="E949" s="1"/>
      <c r="F949" s="1"/>
    </row>
    <row r="950">
      <c r="A950" s="1" t="str">
        <f>IFERROR(__xludf.DUMMYFUNCTION("""COMPUTED_VALUE"""),"1cde54fe")</f>
        <v>1cde54fe</v>
      </c>
      <c r="B950" s="1" t="str">
        <f>IFERROR(__xludf.DUMMYFUNCTION("""COMPUTED_VALUE"""),"cd21eb57")</f>
        <v>cd21eb57</v>
      </c>
      <c r="C950" s="32">
        <f>IFERROR(__xludf.DUMMYFUNCTION("""COMPUTED_VALUE"""),46104.52622685185)</f>
        <v>46104.52623</v>
      </c>
      <c r="D950" s="1">
        <f>IFERROR(__xludf.DUMMYFUNCTION("""COMPUTED_VALUE"""),-7.0)</f>
        <v>-7</v>
      </c>
      <c r="E950" s="1"/>
      <c r="F950" s="1"/>
    </row>
    <row r="951">
      <c r="A951" s="1" t="str">
        <f>IFERROR(__xludf.DUMMYFUNCTION("""COMPUTED_VALUE"""),"b8067781")</f>
        <v>b8067781</v>
      </c>
      <c r="B951" s="1" t="str">
        <f>IFERROR(__xludf.DUMMYFUNCTION("""COMPUTED_VALUE"""),"0019")</f>
        <v>0019</v>
      </c>
      <c r="C951" s="32">
        <f>IFERROR(__xludf.DUMMYFUNCTION("""COMPUTED_VALUE"""),46104.526504629626)</f>
        <v>46104.5265</v>
      </c>
      <c r="D951" s="1">
        <f>IFERROR(__xludf.DUMMYFUNCTION("""COMPUTED_VALUE"""),-8.0)</f>
        <v>-8</v>
      </c>
      <c r="E951" s="1"/>
      <c r="F951" s="1"/>
    </row>
    <row r="952">
      <c r="A952" s="1" t="str">
        <f>IFERROR(__xludf.DUMMYFUNCTION("""COMPUTED_VALUE"""),"7f158554")</f>
        <v>7f158554</v>
      </c>
      <c r="B952" s="1" t="str">
        <f>IFERROR(__xludf.DUMMYFUNCTION("""COMPUTED_VALUE"""),"02d86a9b")</f>
        <v>02d86a9b</v>
      </c>
      <c r="C952" s="32">
        <f>IFERROR(__xludf.DUMMYFUNCTION("""COMPUTED_VALUE"""),46104.52761574074)</f>
        <v>46104.52762</v>
      </c>
      <c r="D952" s="1">
        <f>IFERROR(__xludf.DUMMYFUNCTION("""COMPUTED_VALUE"""),-6.0)</f>
        <v>-6</v>
      </c>
      <c r="E952" s="1"/>
      <c r="F952" s="1"/>
    </row>
    <row r="953">
      <c r="A953" s="1" t="str">
        <f>IFERROR(__xludf.DUMMYFUNCTION("""COMPUTED_VALUE"""),"d55b54b7")</f>
        <v>d55b54b7</v>
      </c>
      <c r="B953" s="1" t="str">
        <f>IFERROR(__xludf.DUMMYFUNCTION("""COMPUTED_VALUE"""),"27c8f623")</f>
        <v>27c8f623</v>
      </c>
      <c r="C953" s="32">
        <f>IFERROR(__xludf.DUMMYFUNCTION("""COMPUTED_VALUE"""),46104.527708333335)</f>
        <v>46104.52771</v>
      </c>
      <c r="D953" s="1">
        <f>IFERROR(__xludf.DUMMYFUNCTION("""COMPUTED_VALUE"""),-6.0)</f>
        <v>-6</v>
      </c>
      <c r="E953" s="1"/>
      <c r="F953" s="1"/>
    </row>
    <row r="954">
      <c r="A954" s="1" t="str">
        <f>IFERROR(__xludf.DUMMYFUNCTION("""COMPUTED_VALUE"""),"239e34a7")</f>
        <v>239e34a7</v>
      </c>
      <c r="B954" s="1" t="str">
        <f>IFERROR(__xludf.DUMMYFUNCTION("""COMPUTED_VALUE"""),"bb4d1bd1")</f>
        <v>bb4d1bd1</v>
      </c>
      <c r="C954" s="32">
        <f>IFERROR(__xludf.DUMMYFUNCTION("""COMPUTED_VALUE"""),46104.52789351852)</f>
        <v>46104.52789</v>
      </c>
      <c r="D954" s="1">
        <f>IFERROR(__xludf.DUMMYFUNCTION("""COMPUTED_VALUE"""),-6.0)</f>
        <v>-6</v>
      </c>
      <c r="E954" s="1"/>
      <c r="F954" s="1"/>
    </row>
    <row r="955">
      <c r="A955" s="1" t="str">
        <f>IFERROR(__xludf.DUMMYFUNCTION("""COMPUTED_VALUE"""),"cac873ec")</f>
        <v>cac873ec</v>
      </c>
      <c r="B955" s="1" t="str">
        <f>IFERROR(__xludf.DUMMYFUNCTION("""COMPUTED_VALUE"""),"0021")</f>
        <v>0021</v>
      </c>
      <c r="C955" s="32">
        <f>IFERROR(__xludf.DUMMYFUNCTION("""COMPUTED_VALUE"""),46104.52821759259)</f>
        <v>46104.52822</v>
      </c>
      <c r="D955" s="1">
        <f>IFERROR(__xludf.DUMMYFUNCTION("""COMPUTED_VALUE"""),-12.0)</f>
        <v>-12</v>
      </c>
      <c r="E955" s="1"/>
      <c r="F955" s="1"/>
    </row>
    <row r="956">
      <c r="A956" s="1" t="str">
        <f>IFERROR(__xludf.DUMMYFUNCTION("""COMPUTED_VALUE"""),"4623362b")</f>
        <v>4623362b</v>
      </c>
      <c r="B956" s="1" t="str">
        <f>IFERROR(__xludf.DUMMYFUNCTION("""COMPUTED_VALUE"""),"83dd14b5")</f>
        <v>83dd14b5</v>
      </c>
      <c r="C956" s="32">
        <f>IFERROR(__xludf.DUMMYFUNCTION("""COMPUTED_VALUE"""),46104.52880787037)</f>
        <v>46104.52881</v>
      </c>
      <c r="D956" s="1">
        <f>IFERROR(__xludf.DUMMYFUNCTION("""COMPUTED_VALUE"""),-12.0)</f>
        <v>-12</v>
      </c>
      <c r="E956" s="1"/>
      <c r="F956" s="1"/>
    </row>
    <row r="957">
      <c r="A957" s="1" t="str">
        <f>IFERROR(__xludf.DUMMYFUNCTION("""COMPUTED_VALUE"""),"fb537262")</f>
        <v>fb537262</v>
      </c>
      <c r="B957" s="1" t="str">
        <f>IFERROR(__xludf.DUMMYFUNCTION("""COMPUTED_VALUE"""),"83dd14b5")</f>
        <v>83dd14b5</v>
      </c>
      <c r="C957" s="32">
        <f>IFERROR(__xludf.DUMMYFUNCTION("""COMPUTED_VALUE"""),46104.52935185185)</f>
        <v>46104.52935</v>
      </c>
      <c r="D957" s="1">
        <f>IFERROR(__xludf.DUMMYFUNCTION("""COMPUTED_VALUE"""),6.0)</f>
        <v>6</v>
      </c>
      <c r="E957" s="1"/>
      <c r="F957" s="1"/>
    </row>
    <row r="958">
      <c r="A958" s="1" t="str">
        <f>IFERROR(__xludf.DUMMYFUNCTION("""COMPUTED_VALUE"""),"fcbc1e34")</f>
        <v>fcbc1e34</v>
      </c>
      <c r="B958" s="1" t="str">
        <f>IFERROR(__xludf.DUMMYFUNCTION("""COMPUTED_VALUE"""),"0065")</f>
        <v>0065</v>
      </c>
      <c r="C958" s="32">
        <f>IFERROR(__xludf.DUMMYFUNCTION("""COMPUTED_VALUE"""),46104.52943287037)</f>
        <v>46104.52943</v>
      </c>
      <c r="D958" s="1">
        <f>IFERROR(__xludf.DUMMYFUNCTION("""COMPUTED_VALUE"""),-6.0)</f>
        <v>-6</v>
      </c>
      <c r="E958" s="1"/>
      <c r="F958" s="1"/>
    </row>
    <row r="959">
      <c r="A959" s="1" t="str">
        <f>IFERROR(__xludf.DUMMYFUNCTION("""COMPUTED_VALUE"""),"111ccac4")</f>
        <v>111ccac4</v>
      </c>
      <c r="B959" s="1" t="str">
        <f>IFERROR(__xludf.DUMMYFUNCTION("""COMPUTED_VALUE"""),"cb9e809e")</f>
        <v>cb9e809e</v>
      </c>
      <c r="C959" s="32">
        <f>IFERROR(__xludf.DUMMYFUNCTION("""COMPUTED_VALUE"""),46104.529861111114)</f>
        <v>46104.52986</v>
      </c>
      <c r="D959" s="1">
        <f>IFERROR(__xludf.DUMMYFUNCTION("""COMPUTED_VALUE"""),-11.0)</f>
        <v>-11</v>
      </c>
      <c r="E959" s="1"/>
      <c r="F959" s="1"/>
    </row>
    <row r="960">
      <c r="A960" s="1" t="str">
        <f>IFERROR(__xludf.DUMMYFUNCTION("""COMPUTED_VALUE"""),"b3870c37")</f>
        <v>b3870c37</v>
      </c>
      <c r="B960" s="1" t="str">
        <f>IFERROR(__xludf.DUMMYFUNCTION("""COMPUTED_VALUE"""),"cf6c9481")</f>
        <v>cf6c9481</v>
      </c>
      <c r="C960" s="32">
        <f>IFERROR(__xludf.DUMMYFUNCTION("""COMPUTED_VALUE"""),46104.53055555555)</f>
        <v>46104.53056</v>
      </c>
      <c r="D960" s="1">
        <f>IFERROR(__xludf.DUMMYFUNCTION("""COMPUTED_VALUE"""),-3.0)</f>
        <v>-3</v>
      </c>
      <c r="E960" s="1"/>
      <c r="F960" s="1"/>
    </row>
    <row r="961">
      <c r="A961" s="1" t="str">
        <f>IFERROR(__xludf.DUMMYFUNCTION("""COMPUTED_VALUE"""),"966c9561")</f>
        <v>966c9561</v>
      </c>
      <c r="B961" s="1" t="str">
        <f>IFERROR(__xludf.DUMMYFUNCTION("""COMPUTED_VALUE"""),"0049")</f>
        <v>0049</v>
      </c>
      <c r="C961" s="32">
        <f>IFERROR(__xludf.DUMMYFUNCTION("""COMPUTED_VALUE"""),46104.53135416667)</f>
        <v>46104.53135</v>
      </c>
      <c r="D961" s="1">
        <f>IFERROR(__xludf.DUMMYFUNCTION("""COMPUTED_VALUE"""),-12.0)</f>
        <v>-12</v>
      </c>
      <c r="E961" s="1"/>
      <c r="F961" s="1"/>
    </row>
    <row r="962">
      <c r="A962" s="1" t="str">
        <f>IFERROR(__xludf.DUMMYFUNCTION("""COMPUTED_VALUE"""),"deec4275")</f>
        <v>deec4275</v>
      </c>
      <c r="B962" s="1" t="str">
        <f>IFERROR(__xludf.DUMMYFUNCTION("""COMPUTED_VALUE"""),"0064")</f>
        <v>0064</v>
      </c>
      <c r="C962" s="32">
        <f>IFERROR(__xludf.DUMMYFUNCTION("""COMPUTED_VALUE"""),46104.5315625)</f>
        <v>46104.53156</v>
      </c>
      <c r="D962" s="1">
        <f>IFERROR(__xludf.DUMMYFUNCTION("""COMPUTED_VALUE"""),-3.0)</f>
        <v>-3</v>
      </c>
      <c r="E962" s="1"/>
      <c r="F962" s="1"/>
    </row>
    <row r="963">
      <c r="A963" s="1" t="str">
        <f>IFERROR(__xludf.DUMMYFUNCTION("""COMPUTED_VALUE"""),"d9db6d82")</f>
        <v>d9db6d82</v>
      </c>
      <c r="B963" s="1" t="str">
        <f>IFERROR(__xludf.DUMMYFUNCTION("""COMPUTED_VALUE"""),"0032")</f>
        <v>0032</v>
      </c>
      <c r="C963" s="32">
        <f>IFERROR(__xludf.DUMMYFUNCTION("""COMPUTED_VALUE"""),46104.531701388885)</f>
        <v>46104.5317</v>
      </c>
      <c r="D963" s="1">
        <f>IFERROR(__xludf.DUMMYFUNCTION("""COMPUTED_VALUE"""),-7.0)</f>
        <v>-7</v>
      </c>
      <c r="E963" s="1"/>
      <c r="F963" s="1"/>
    </row>
    <row r="964">
      <c r="A964" s="1" t="str">
        <f>IFERROR(__xludf.DUMMYFUNCTION("""COMPUTED_VALUE"""),"8ab8fd9b")</f>
        <v>8ab8fd9b</v>
      </c>
      <c r="B964" s="1" t="str">
        <f>IFERROR(__xludf.DUMMYFUNCTION("""COMPUTED_VALUE"""),"0029")</f>
        <v>0029</v>
      </c>
      <c r="C964" s="32">
        <f>IFERROR(__xludf.DUMMYFUNCTION("""COMPUTED_VALUE"""),46104.53240740741)</f>
        <v>46104.53241</v>
      </c>
      <c r="D964" s="1">
        <f>IFERROR(__xludf.DUMMYFUNCTION("""COMPUTED_VALUE"""),-21.0)</f>
        <v>-21</v>
      </c>
      <c r="E964" s="1"/>
      <c r="F964" s="1"/>
    </row>
    <row r="965">
      <c r="A965" s="1" t="str">
        <f>IFERROR(__xludf.DUMMYFUNCTION("""COMPUTED_VALUE"""),"06fbc3a2")</f>
        <v>06fbc3a2</v>
      </c>
      <c r="B965" s="1" t="str">
        <f>IFERROR(__xludf.DUMMYFUNCTION("""COMPUTED_VALUE"""),"57a5617b")</f>
        <v>57a5617b</v>
      </c>
      <c r="C965" s="32">
        <f>IFERROR(__xludf.DUMMYFUNCTION("""COMPUTED_VALUE"""),46104.53251157407)</f>
        <v>46104.53251</v>
      </c>
      <c r="D965" s="1">
        <f>IFERROR(__xludf.DUMMYFUNCTION("""COMPUTED_VALUE"""),-7.0)</f>
        <v>-7</v>
      </c>
      <c r="E965" s="1"/>
      <c r="F965" s="1"/>
    </row>
    <row r="966">
      <c r="A966" s="1" t="str">
        <f>IFERROR(__xludf.DUMMYFUNCTION("""COMPUTED_VALUE"""),"cb7901d1")</f>
        <v>cb7901d1</v>
      </c>
      <c r="B966" s="1" t="str">
        <f>IFERROR(__xludf.DUMMYFUNCTION("""COMPUTED_VALUE"""),"a3f74383")</f>
        <v>a3f74383</v>
      </c>
      <c r="C966" s="32">
        <f>IFERROR(__xludf.DUMMYFUNCTION("""COMPUTED_VALUE"""),46104.532743055555)</f>
        <v>46104.53274</v>
      </c>
      <c r="D966" s="1">
        <f>IFERROR(__xludf.DUMMYFUNCTION("""COMPUTED_VALUE"""),-6.0)</f>
        <v>-6</v>
      </c>
      <c r="E966" s="1"/>
      <c r="F966" s="1"/>
    </row>
    <row r="967">
      <c r="A967" s="1" t="str">
        <f>IFERROR(__xludf.DUMMYFUNCTION("""COMPUTED_VALUE"""),"28f12218")</f>
        <v>28f12218</v>
      </c>
      <c r="B967" s="1" t="str">
        <f>IFERROR(__xludf.DUMMYFUNCTION("""COMPUTED_VALUE"""),"0054")</f>
        <v>0054</v>
      </c>
      <c r="C967" s="32">
        <f>IFERROR(__xludf.DUMMYFUNCTION("""COMPUTED_VALUE"""),46104.53287037037)</f>
        <v>46104.53287</v>
      </c>
      <c r="D967" s="1">
        <f>IFERROR(__xludf.DUMMYFUNCTION("""COMPUTED_VALUE"""),-7.0)</f>
        <v>-7</v>
      </c>
      <c r="E967" s="1"/>
      <c r="F967" s="1"/>
    </row>
    <row r="968">
      <c r="A968" s="1" t="str">
        <f>IFERROR(__xludf.DUMMYFUNCTION("""COMPUTED_VALUE"""),"5b25bc04")</f>
        <v>5b25bc04</v>
      </c>
      <c r="B968" s="1" t="str">
        <f>IFERROR(__xludf.DUMMYFUNCTION("""COMPUTED_VALUE"""),"0054")</f>
        <v>0054</v>
      </c>
      <c r="C968" s="32">
        <f>IFERROR(__xludf.DUMMYFUNCTION("""COMPUTED_VALUE"""),46104.53298611111)</f>
        <v>46104.53299</v>
      </c>
      <c r="D968" s="1">
        <f>IFERROR(__xludf.DUMMYFUNCTION("""COMPUTED_VALUE"""),-7.0)</f>
        <v>-7</v>
      </c>
      <c r="E968" s="1"/>
      <c r="F968" s="1"/>
    </row>
    <row r="969">
      <c r="A969" s="1" t="str">
        <f>IFERROR(__xludf.DUMMYFUNCTION("""COMPUTED_VALUE"""),"f8c787ff")</f>
        <v>f8c787ff</v>
      </c>
      <c r="B969" s="1" t="str">
        <f>IFERROR(__xludf.DUMMYFUNCTION("""COMPUTED_VALUE"""),"0011")</f>
        <v>0011</v>
      </c>
      <c r="C969" s="32">
        <f>IFERROR(__xludf.DUMMYFUNCTION("""COMPUTED_VALUE"""),46104.53306712963)</f>
        <v>46104.53307</v>
      </c>
      <c r="D969" s="1">
        <f>IFERROR(__xludf.DUMMYFUNCTION("""COMPUTED_VALUE"""),-24.0)</f>
        <v>-24</v>
      </c>
      <c r="E969" s="1"/>
      <c r="F969" s="1"/>
    </row>
    <row r="970">
      <c r="A970" s="1" t="str">
        <f>IFERROR(__xludf.DUMMYFUNCTION("""COMPUTED_VALUE"""),"3e29dbae")</f>
        <v>3e29dbae</v>
      </c>
      <c r="B970" s="1" t="str">
        <f>IFERROR(__xludf.DUMMYFUNCTION("""COMPUTED_VALUE"""),"0002")</f>
        <v>0002</v>
      </c>
      <c r="C970" s="32">
        <f>IFERROR(__xludf.DUMMYFUNCTION("""COMPUTED_VALUE"""),46104.53488425926)</f>
        <v>46104.53488</v>
      </c>
      <c r="D970" s="1">
        <f>IFERROR(__xludf.DUMMYFUNCTION("""COMPUTED_VALUE"""),-120.0)</f>
        <v>-120</v>
      </c>
      <c r="E970" s="1"/>
      <c r="F970" s="1"/>
    </row>
    <row r="971">
      <c r="A971" s="1" t="str">
        <f>IFERROR(__xludf.DUMMYFUNCTION("""COMPUTED_VALUE"""),"e96051cc")</f>
        <v>e96051cc</v>
      </c>
      <c r="B971" s="1" t="str">
        <f>IFERROR(__xludf.DUMMYFUNCTION("""COMPUTED_VALUE"""),"bb6c2490")</f>
        <v>bb6c2490</v>
      </c>
      <c r="C971" s="32">
        <f>IFERROR(__xludf.DUMMYFUNCTION("""COMPUTED_VALUE"""),46104.53810185185)</f>
        <v>46104.5381</v>
      </c>
      <c r="D971" s="1">
        <f>IFERROR(__xludf.DUMMYFUNCTION("""COMPUTED_VALUE"""),-22.0)</f>
        <v>-22</v>
      </c>
      <c r="E971" s="1"/>
      <c r="F971" s="1"/>
    </row>
    <row r="972">
      <c r="A972" s="1" t="str">
        <f>IFERROR(__xludf.DUMMYFUNCTION("""COMPUTED_VALUE"""),"49d9e8d1")</f>
        <v>49d9e8d1</v>
      </c>
      <c r="B972" s="1" t="str">
        <f>IFERROR(__xludf.DUMMYFUNCTION("""COMPUTED_VALUE"""),"cd21eb57")</f>
        <v>cd21eb57</v>
      </c>
      <c r="C972" s="32">
        <f>IFERROR(__xludf.DUMMYFUNCTION("""COMPUTED_VALUE"""),46104.53815972222)</f>
        <v>46104.53816</v>
      </c>
      <c r="D972" s="1">
        <f>IFERROR(__xludf.DUMMYFUNCTION("""COMPUTED_VALUE"""),-7.0)</f>
        <v>-7</v>
      </c>
      <c r="E972" s="1"/>
      <c r="F972" s="1"/>
    </row>
    <row r="973">
      <c r="A973" s="1" t="str">
        <f>IFERROR(__xludf.DUMMYFUNCTION("""COMPUTED_VALUE"""),"584d2753")</f>
        <v>584d2753</v>
      </c>
      <c r="B973" s="1" t="str">
        <f>IFERROR(__xludf.DUMMYFUNCTION("""COMPUTED_VALUE"""),"0001")</f>
        <v>0001</v>
      </c>
      <c r="C973" s="32">
        <f>IFERROR(__xludf.DUMMYFUNCTION("""COMPUTED_VALUE"""),46104.53828703704)</f>
        <v>46104.53829</v>
      </c>
      <c r="D973" s="1">
        <f>IFERROR(__xludf.DUMMYFUNCTION("""COMPUTED_VALUE"""),-15.0)</f>
        <v>-15</v>
      </c>
      <c r="E973" s="1"/>
      <c r="F973" s="1"/>
    </row>
    <row r="974">
      <c r="A974" s="1" t="str">
        <f>IFERROR(__xludf.DUMMYFUNCTION("""COMPUTED_VALUE"""),"7ef5ddc0")</f>
        <v>7ef5ddc0</v>
      </c>
      <c r="B974" s="1" t="str">
        <f>IFERROR(__xludf.DUMMYFUNCTION("""COMPUTED_VALUE"""),"12b96290")</f>
        <v>12b96290</v>
      </c>
      <c r="C974" s="32">
        <f>IFERROR(__xludf.DUMMYFUNCTION("""COMPUTED_VALUE"""),46104.53836805555)</f>
        <v>46104.53837</v>
      </c>
      <c r="D974" s="1">
        <f>IFERROR(__xludf.DUMMYFUNCTION("""COMPUTED_VALUE"""),-15.0)</f>
        <v>-15</v>
      </c>
      <c r="E974" s="1"/>
      <c r="F974" s="1"/>
    </row>
    <row r="975">
      <c r="A975" s="1" t="str">
        <f>IFERROR(__xludf.DUMMYFUNCTION("""COMPUTED_VALUE"""),"5b0f2685")</f>
        <v>5b0f2685</v>
      </c>
      <c r="B975" s="1" t="str">
        <f>IFERROR(__xludf.DUMMYFUNCTION("""COMPUTED_VALUE"""),"e28d366b")</f>
        <v>e28d366b</v>
      </c>
      <c r="C975" s="32">
        <f>IFERROR(__xludf.DUMMYFUNCTION("""COMPUTED_VALUE"""),46104.539039351854)</f>
        <v>46104.53904</v>
      </c>
      <c r="D975" s="1">
        <f>IFERROR(__xludf.DUMMYFUNCTION("""COMPUTED_VALUE"""),-11.0)</f>
        <v>-11</v>
      </c>
      <c r="E975" s="1"/>
      <c r="F975" s="1"/>
    </row>
    <row r="976">
      <c r="A976" s="1" t="str">
        <f>IFERROR(__xludf.DUMMYFUNCTION("""COMPUTED_VALUE"""),"b6f41c25")</f>
        <v>b6f41c25</v>
      </c>
      <c r="B976" s="1" t="str">
        <f>IFERROR(__xludf.DUMMYFUNCTION("""COMPUTED_VALUE"""),"0019")</f>
        <v>0019</v>
      </c>
      <c r="C976" s="32">
        <f>IFERROR(__xludf.DUMMYFUNCTION("""COMPUTED_VALUE"""),46104.54068287037)</f>
        <v>46104.54068</v>
      </c>
      <c r="D976" s="1">
        <f>IFERROR(__xludf.DUMMYFUNCTION("""COMPUTED_VALUE"""),-24.0)</f>
        <v>-24</v>
      </c>
      <c r="E976" s="1"/>
      <c r="F976" s="1"/>
    </row>
    <row r="977">
      <c r="A977" s="1" t="str">
        <f>IFERROR(__xludf.DUMMYFUNCTION("""COMPUTED_VALUE"""),"83f9a0e4")</f>
        <v>83f9a0e4</v>
      </c>
      <c r="B977" s="1" t="str">
        <f>IFERROR(__xludf.DUMMYFUNCTION("""COMPUTED_VALUE"""),"0019")</f>
        <v>0019</v>
      </c>
      <c r="C977" s="32">
        <f>IFERROR(__xludf.DUMMYFUNCTION("""COMPUTED_VALUE"""),46104.54077546296)</f>
        <v>46104.54078</v>
      </c>
      <c r="D977" s="1">
        <f>IFERROR(__xludf.DUMMYFUNCTION("""COMPUTED_VALUE"""),-16.0)</f>
        <v>-16</v>
      </c>
      <c r="E977" s="1"/>
      <c r="F977" s="1"/>
    </row>
    <row r="978">
      <c r="A978" s="1" t="str">
        <f>IFERROR(__xludf.DUMMYFUNCTION("""COMPUTED_VALUE"""),"1495fcbb")</f>
        <v>1495fcbb</v>
      </c>
      <c r="B978" s="1" t="str">
        <f>IFERROR(__xludf.DUMMYFUNCTION("""COMPUTED_VALUE"""),"02d86a9b")</f>
        <v>02d86a9b</v>
      </c>
      <c r="C978" s="32">
        <f>IFERROR(__xludf.DUMMYFUNCTION("""COMPUTED_VALUE"""),46104.54167824074)</f>
        <v>46104.54168</v>
      </c>
      <c r="D978" s="1">
        <f>IFERROR(__xludf.DUMMYFUNCTION("""COMPUTED_VALUE"""),-10.0)</f>
        <v>-10</v>
      </c>
      <c r="E978" s="1"/>
      <c r="F978" s="1"/>
    </row>
    <row r="979">
      <c r="A979" s="1" t="str">
        <f>IFERROR(__xludf.DUMMYFUNCTION("""COMPUTED_VALUE"""),"98610269")</f>
        <v>98610269</v>
      </c>
      <c r="B979" s="1" t="str">
        <f>IFERROR(__xludf.DUMMYFUNCTION("""COMPUTED_VALUE"""),"27c8f623")</f>
        <v>27c8f623</v>
      </c>
      <c r="C979" s="32">
        <f>IFERROR(__xludf.DUMMYFUNCTION("""COMPUTED_VALUE"""),46104.54175925926)</f>
        <v>46104.54176</v>
      </c>
      <c r="D979" s="1">
        <f>IFERROR(__xludf.DUMMYFUNCTION("""COMPUTED_VALUE"""),-4.0)</f>
        <v>-4</v>
      </c>
      <c r="E979" s="1"/>
      <c r="F979" s="1"/>
    </row>
    <row r="980">
      <c r="A980" s="1" t="str">
        <f>IFERROR(__xludf.DUMMYFUNCTION("""COMPUTED_VALUE"""),"603c872a")</f>
        <v>603c872a</v>
      </c>
      <c r="B980" s="1" t="str">
        <f>IFERROR(__xludf.DUMMYFUNCTION("""COMPUTED_VALUE"""),"bb4d1bd1")</f>
        <v>bb4d1bd1</v>
      </c>
      <c r="C980" s="32">
        <f>IFERROR(__xludf.DUMMYFUNCTION("""COMPUTED_VALUE"""),46104.54185185185)</f>
        <v>46104.54185</v>
      </c>
      <c r="D980" s="1">
        <f>IFERROR(__xludf.DUMMYFUNCTION("""COMPUTED_VALUE"""),-4.0)</f>
        <v>-4</v>
      </c>
      <c r="E980" s="1"/>
      <c r="F980" s="1"/>
    </row>
    <row r="981">
      <c r="A981" s="1" t="str">
        <f>IFERROR(__xludf.DUMMYFUNCTION("""COMPUTED_VALUE"""),"8cf03657")</f>
        <v>8cf03657</v>
      </c>
      <c r="B981" s="1" t="str">
        <f>IFERROR(__xludf.DUMMYFUNCTION("""COMPUTED_VALUE"""),"a19879cf")</f>
        <v>a19879cf</v>
      </c>
      <c r="C981" s="32">
        <f>IFERROR(__xludf.DUMMYFUNCTION("""COMPUTED_VALUE"""),46104.54195601852)</f>
        <v>46104.54196</v>
      </c>
      <c r="D981" s="1">
        <f>IFERROR(__xludf.DUMMYFUNCTION("""COMPUTED_VALUE"""),-14.0)</f>
        <v>-14</v>
      </c>
      <c r="E981" s="1"/>
      <c r="F981" s="1"/>
    </row>
    <row r="982">
      <c r="A982" s="1" t="str">
        <f>IFERROR(__xludf.DUMMYFUNCTION("""COMPUTED_VALUE"""),"2a0f9128")</f>
        <v>2a0f9128</v>
      </c>
      <c r="B982" s="1" t="str">
        <f>IFERROR(__xludf.DUMMYFUNCTION("""COMPUTED_VALUE"""),"0021")</f>
        <v>0021</v>
      </c>
      <c r="C982" s="32">
        <f>IFERROR(__xludf.DUMMYFUNCTION("""COMPUTED_VALUE"""),46104.542650462965)</f>
        <v>46104.54265</v>
      </c>
      <c r="D982" s="1">
        <f>IFERROR(__xludf.DUMMYFUNCTION("""COMPUTED_VALUE"""),-12.0)</f>
        <v>-12</v>
      </c>
      <c r="E982" s="1"/>
      <c r="F982" s="1"/>
    </row>
    <row r="983">
      <c r="A983" s="1" t="str">
        <f>IFERROR(__xludf.DUMMYFUNCTION("""COMPUTED_VALUE"""),"f8df73ab")</f>
        <v>f8df73ab</v>
      </c>
      <c r="B983" s="1" t="str">
        <f>IFERROR(__xludf.DUMMYFUNCTION("""COMPUTED_VALUE"""),"83dd14b5")</f>
        <v>83dd14b5</v>
      </c>
      <c r="C983" s="32">
        <f>IFERROR(__xludf.DUMMYFUNCTION("""COMPUTED_VALUE"""),46104.54288194444)</f>
        <v>46104.54288</v>
      </c>
      <c r="D983" s="1">
        <f>IFERROR(__xludf.DUMMYFUNCTION("""COMPUTED_VALUE"""),-24.0)</f>
        <v>-24</v>
      </c>
      <c r="E983" s="1"/>
      <c r="F983" s="1"/>
    </row>
    <row r="984">
      <c r="A984" s="1" t="str">
        <f>IFERROR(__xludf.DUMMYFUNCTION("""COMPUTED_VALUE"""),"e15a5c40")</f>
        <v>e15a5c40</v>
      </c>
      <c r="B984" s="1" t="str">
        <f>IFERROR(__xludf.DUMMYFUNCTION("""COMPUTED_VALUE"""),"cf6c9481")</f>
        <v>cf6c9481</v>
      </c>
      <c r="C984" s="32">
        <f>IFERROR(__xludf.DUMMYFUNCTION("""COMPUTED_VALUE"""),46104.54371527778)</f>
        <v>46104.54372</v>
      </c>
      <c r="D984" s="1">
        <f>IFERROR(__xludf.DUMMYFUNCTION("""COMPUTED_VALUE"""),-12.0)</f>
        <v>-12</v>
      </c>
      <c r="E984" s="1"/>
      <c r="F984" s="1"/>
    </row>
    <row r="985">
      <c r="A985" s="1" t="str">
        <f>IFERROR(__xludf.DUMMYFUNCTION("""COMPUTED_VALUE"""),"4e75202f")</f>
        <v>4e75202f</v>
      </c>
      <c r="B985" s="1" t="str">
        <f>IFERROR(__xludf.DUMMYFUNCTION("""COMPUTED_VALUE"""),"0032")</f>
        <v>0032</v>
      </c>
      <c r="C985" s="32">
        <f>IFERROR(__xludf.DUMMYFUNCTION("""COMPUTED_VALUE"""),46104.54386574074)</f>
        <v>46104.54387</v>
      </c>
      <c r="D985" s="1">
        <f>IFERROR(__xludf.DUMMYFUNCTION("""COMPUTED_VALUE"""),-14.0)</f>
        <v>-14</v>
      </c>
      <c r="E985" s="1"/>
      <c r="F985" s="1"/>
    </row>
    <row r="986">
      <c r="A986" s="1" t="str">
        <f>IFERROR(__xludf.DUMMYFUNCTION("""COMPUTED_VALUE"""),"628d9b23")</f>
        <v>628d9b23</v>
      </c>
      <c r="B986" s="1" t="str">
        <f>IFERROR(__xludf.DUMMYFUNCTION("""COMPUTED_VALUE"""),"0002")</f>
        <v>0002</v>
      </c>
      <c r="C986" s="32">
        <f>IFERROR(__xludf.DUMMYFUNCTION("""COMPUTED_VALUE"""),46104.544641203705)</f>
        <v>46104.54464</v>
      </c>
      <c r="D986" s="1">
        <f>IFERROR(__xludf.DUMMYFUNCTION("""COMPUTED_VALUE"""),-60.0)</f>
        <v>-60</v>
      </c>
      <c r="E986" s="1"/>
      <c r="F986" s="1"/>
    </row>
    <row r="987">
      <c r="A987" s="1" t="str">
        <f>IFERROR(__xludf.DUMMYFUNCTION("""COMPUTED_VALUE"""),"242f2992")</f>
        <v>242f2992</v>
      </c>
      <c r="B987" s="1" t="str">
        <f>IFERROR(__xludf.DUMMYFUNCTION("""COMPUTED_VALUE"""),"0011")</f>
        <v>0011</v>
      </c>
      <c r="C987" s="32">
        <f>IFERROR(__xludf.DUMMYFUNCTION("""COMPUTED_VALUE"""),46104.54483796296)</f>
        <v>46104.54484</v>
      </c>
      <c r="D987" s="1">
        <f>IFERROR(__xludf.DUMMYFUNCTION("""COMPUTED_VALUE"""),-24.0)</f>
        <v>-24</v>
      </c>
      <c r="E987" s="1"/>
      <c r="F987" s="1"/>
    </row>
    <row r="988">
      <c r="A988" s="1" t="str">
        <f>IFERROR(__xludf.DUMMYFUNCTION("""COMPUTED_VALUE"""),"1086462e")</f>
        <v>1086462e</v>
      </c>
      <c r="B988" s="1" t="str">
        <f>IFERROR(__xludf.DUMMYFUNCTION("""COMPUTED_VALUE"""),"0029")</f>
        <v>0029</v>
      </c>
      <c r="C988" s="32">
        <f>IFERROR(__xludf.DUMMYFUNCTION("""COMPUTED_VALUE"""),46104.547638888886)</f>
        <v>46104.54764</v>
      </c>
      <c r="D988" s="1">
        <f>IFERROR(__xludf.DUMMYFUNCTION("""COMPUTED_VALUE"""),-10.0)</f>
        <v>-10</v>
      </c>
      <c r="E988" s="1"/>
      <c r="F988" s="1"/>
    </row>
    <row r="989">
      <c r="A989" s="1" t="str">
        <f>IFERROR(__xludf.DUMMYFUNCTION("""COMPUTED_VALUE"""),"6038eca6")</f>
        <v>6038eca6</v>
      </c>
      <c r="B989" s="1" t="str">
        <f>IFERROR(__xludf.DUMMYFUNCTION("""COMPUTED_VALUE"""),"0054")</f>
        <v>0054</v>
      </c>
      <c r="C989" s="32">
        <f>IFERROR(__xludf.DUMMYFUNCTION("""COMPUTED_VALUE"""),46104.547743055555)</f>
        <v>46104.54774</v>
      </c>
      <c r="D989" s="1">
        <f>IFERROR(__xludf.DUMMYFUNCTION("""COMPUTED_VALUE"""),-3.0)</f>
        <v>-3</v>
      </c>
      <c r="E989" s="1"/>
      <c r="F989" s="1"/>
    </row>
    <row r="990">
      <c r="A990" s="1" t="str">
        <f>IFERROR(__xludf.DUMMYFUNCTION("""COMPUTED_VALUE"""),"3a1a752f")</f>
        <v>3a1a752f</v>
      </c>
      <c r="B990" s="1" t="str">
        <f>IFERROR(__xludf.DUMMYFUNCTION("""COMPUTED_VALUE"""),"cb9e809e")</f>
        <v>cb9e809e</v>
      </c>
      <c r="C990" s="32">
        <f>IFERROR(__xludf.DUMMYFUNCTION("""COMPUTED_VALUE"""),46104.54814814815)</f>
        <v>46104.54815</v>
      </c>
      <c r="D990" s="1">
        <f>IFERROR(__xludf.DUMMYFUNCTION("""COMPUTED_VALUE"""),-8.0)</f>
        <v>-8</v>
      </c>
      <c r="E990" s="1"/>
      <c r="F990" s="1"/>
    </row>
    <row r="991">
      <c r="A991" s="1" t="str">
        <f>IFERROR(__xludf.DUMMYFUNCTION("""COMPUTED_VALUE"""),"f4f05ff5")</f>
        <v>f4f05ff5</v>
      </c>
      <c r="B991" s="1" t="str">
        <f>IFERROR(__xludf.DUMMYFUNCTION("""COMPUTED_VALUE"""),"0001")</f>
        <v>0001</v>
      </c>
      <c r="C991" s="32">
        <f>IFERROR(__xludf.DUMMYFUNCTION("""COMPUTED_VALUE"""),46104.87693287037)</f>
        <v>46104.87693</v>
      </c>
      <c r="D991" s="1">
        <f>IFERROR(__xludf.DUMMYFUNCTION("""COMPUTED_VALUE"""),-30.0)</f>
        <v>-30</v>
      </c>
      <c r="E991" s="1"/>
      <c r="F991" s="1"/>
    </row>
    <row r="992">
      <c r="A992" s="1" t="str">
        <f>IFERROR(__xludf.DUMMYFUNCTION("""COMPUTED_VALUE"""),"c0a84948")</f>
        <v>c0a84948</v>
      </c>
      <c r="B992" s="1" t="str">
        <f>IFERROR(__xludf.DUMMYFUNCTION("""COMPUTED_VALUE"""),"12b96290")</f>
        <v>12b96290</v>
      </c>
      <c r="C992" s="32">
        <f>IFERROR(__xludf.DUMMYFUNCTION("""COMPUTED_VALUE"""),46104.877118055556)</f>
        <v>46104.87712</v>
      </c>
      <c r="D992" s="1">
        <f>IFERROR(__xludf.DUMMYFUNCTION("""COMPUTED_VALUE"""),-15.0)</f>
        <v>-15</v>
      </c>
      <c r="E992" s="1"/>
      <c r="F992" s="1"/>
    </row>
    <row r="993">
      <c r="A993" s="1" t="str">
        <f>IFERROR(__xludf.DUMMYFUNCTION("""COMPUTED_VALUE"""),"4a6021d4")</f>
        <v>4a6021d4</v>
      </c>
      <c r="B993" s="1" t="str">
        <f>IFERROR(__xludf.DUMMYFUNCTION("""COMPUTED_VALUE"""),"12b96290")</f>
        <v>12b96290</v>
      </c>
      <c r="C993" s="32">
        <f>IFERROR(__xludf.DUMMYFUNCTION("""COMPUTED_VALUE"""),46104.8774537037)</f>
        <v>46104.87745</v>
      </c>
      <c r="D993" s="1">
        <f>IFERROR(__xludf.DUMMYFUNCTION("""COMPUTED_VALUE"""),-4.0)</f>
        <v>-4</v>
      </c>
      <c r="E993" s="1"/>
      <c r="F993" s="1"/>
    </row>
    <row r="994">
      <c r="A994" s="1" t="str">
        <f>IFERROR(__xludf.DUMMYFUNCTION("""COMPUTED_VALUE"""),"cab144de")</f>
        <v>cab144de</v>
      </c>
      <c r="B994" s="1" t="str">
        <f>IFERROR(__xludf.DUMMYFUNCTION("""COMPUTED_VALUE"""),"0033")</f>
        <v>0033</v>
      </c>
      <c r="C994" s="32">
        <f>IFERROR(__xludf.DUMMYFUNCTION("""COMPUTED_VALUE"""),46104.87758101852)</f>
        <v>46104.87758</v>
      </c>
      <c r="D994" s="1">
        <f>IFERROR(__xludf.DUMMYFUNCTION("""COMPUTED_VALUE"""),-5.0)</f>
        <v>-5</v>
      </c>
      <c r="E994" s="1"/>
      <c r="F994" s="1"/>
    </row>
    <row r="995">
      <c r="A995" s="1" t="str">
        <f>IFERROR(__xludf.DUMMYFUNCTION("""COMPUTED_VALUE"""),"098efc17")</f>
        <v>098efc17</v>
      </c>
      <c r="B995" s="1" t="str">
        <f>IFERROR(__xludf.DUMMYFUNCTION("""COMPUTED_VALUE"""),"0027")</f>
        <v>0027</v>
      </c>
      <c r="C995" s="32">
        <f>IFERROR(__xludf.DUMMYFUNCTION("""COMPUTED_VALUE"""),46104.87836805556)</f>
        <v>46104.87837</v>
      </c>
      <c r="D995" s="1">
        <f>IFERROR(__xludf.DUMMYFUNCTION("""COMPUTED_VALUE"""),-21.0)</f>
        <v>-21</v>
      </c>
      <c r="E995" s="1"/>
      <c r="F995" s="1"/>
    </row>
    <row r="996">
      <c r="A996" s="1" t="str">
        <f>IFERROR(__xludf.DUMMYFUNCTION("""COMPUTED_VALUE"""),"fd72bfcf")</f>
        <v>fd72bfcf</v>
      </c>
      <c r="B996" s="1" t="str">
        <f>IFERROR(__xludf.DUMMYFUNCTION("""COMPUTED_VALUE"""),"0021")</f>
        <v>0021</v>
      </c>
      <c r="C996" s="32">
        <f>IFERROR(__xludf.DUMMYFUNCTION("""COMPUTED_VALUE"""),46104.879282407404)</f>
        <v>46104.87928</v>
      </c>
      <c r="D996" s="1">
        <f>IFERROR(__xludf.DUMMYFUNCTION("""COMPUTED_VALUE"""),-24.0)</f>
        <v>-24</v>
      </c>
      <c r="E996" s="1"/>
      <c r="F996" s="1"/>
    </row>
    <row r="997">
      <c r="A997" s="1" t="str">
        <f>IFERROR(__xludf.DUMMYFUNCTION("""COMPUTED_VALUE"""),"49188c67")</f>
        <v>49188c67</v>
      </c>
      <c r="B997" s="1" t="str">
        <f>IFERROR(__xludf.DUMMYFUNCTION("""COMPUTED_VALUE"""),"0014")</f>
        <v>0014</v>
      </c>
      <c r="C997" s="32">
        <f>IFERROR(__xludf.DUMMYFUNCTION("""COMPUTED_VALUE"""),46104.87945601852)</f>
        <v>46104.87946</v>
      </c>
      <c r="D997" s="1">
        <f>IFERROR(__xludf.DUMMYFUNCTION("""COMPUTED_VALUE"""),-10.0)</f>
        <v>-10</v>
      </c>
      <c r="E997" s="1"/>
      <c r="F997" s="1"/>
    </row>
    <row r="998">
      <c r="A998" s="1" t="str">
        <f>IFERROR(__xludf.DUMMYFUNCTION("""COMPUTED_VALUE"""),"3c02323a")</f>
        <v>3c02323a</v>
      </c>
      <c r="B998" s="1" t="str">
        <f>IFERROR(__xludf.DUMMYFUNCTION("""COMPUTED_VALUE"""),"0019")</f>
        <v>0019</v>
      </c>
      <c r="C998" s="32">
        <f>IFERROR(__xludf.DUMMYFUNCTION("""COMPUTED_VALUE"""),46104.88037037037)</f>
        <v>46104.88037</v>
      </c>
      <c r="D998" s="1">
        <f>IFERROR(__xludf.DUMMYFUNCTION("""COMPUTED_VALUE"""),-15.0)</f>
        <v>-15</v>
      </c>
      <c r="E998" s="1"/>
      <c r="F998" s="1"/>
    </row>
    <row r="999">
      <c r="A999" s="1" t="str">
        <f>IFERROR(__xludf.DUMMYFUNCTION("""COMPUTED_VALUE"""),"8c89bfec")</f>
        <v>8c89bfec</v>
      </c>
      <c r="B999" s="1" t="str">
        <f>IFERROR(__xludf.DUMMYFUNCTION("""COMPUTED_VALUE"""),"0016")</f>
        <v>0016</v>
      </c>
      <c r="C999" s="32">
        <f>IFERROR(__xludf.DUMMYFUNCTION("""COMPUTED_VALUE"""),46104.880902777775)</f>
        <v>46104.8809</v>
      </c>
      <c r="D999" s="1">
        <f>IFERROR(__xludf.DUMMYFUNCTION("""COMPUTED_VALUE"""),-12.0)</f>
        <v>-12</v>
      </c>
      <c r="E999" s="1"/>
      <c r="F999" s="1"/>
    </row>
    <row r="1000">
      <c r="A1000" s="1" t="str">
        <f>IFERROR(__xludf.DUMMYFUNCTION("""COMPUTED_VALUE"""),"98434b9a")</f>
        <v>98434b9a</v>
      </c>
      <c r="B1000" s="1" t="str">
        <f>IFERROR(__xludf.DUMMYFUNCTION("""COMPUTED_VALUE"""),"1b6b5ed6")</f>
        <v>1b6b5ed6</v>
      </c>
      <c r="C1000" s="32">
        <f>IFERROR(__xludf.DUMMYFUNCTION("""COMPUTED_VALUE"""),46104.88109953704)</f>
        <v>46104.8811</v>
      </c>
      <c r="D1000" s="1">
        <f>IFERROR(__xludf.DUMMYFUNCTION("""COMPUTED_VALUE"""),-24.0)</f>
        <v>-24</v>
      </c>
      <c r="E1000" s="1"/>
      <c r="F1000" s="1"/>
    </row>
    <row r="1001">
      <c r="A1001" s="1" t="str">
        <f>IFERROR(__xludf.DUMMYFUNCTION("""COMPUTED_VALUE"""),"c1e26f94")</f>
        <v>c1e26f94</v>
      </c>
      <c r="B1001" s="1" t="str">
        <f>IFERROR(__xludf.DUMMYFUNCTION("""COMPUTED_VALUE"""),"0002")</f>
        <v>0002</v>
      </c>
      <c r="C1001" s="32">
        <f>IFERROR(__xludf.DUMMYFUNCTION("""COMPUTED_VALUE"""),46104.88123842593)</f>
        <v>46104.88124</v>
      </c>
      <c r="D1001" s="1">
        <f>IFERROR(__xludf.DUMMYFUNCTION("""COMPUTED_VALUE"""),-60.0)</f>
        <v>-60</v>
      </c>
      <c r="E1001" s="1"/>
      <c r="F1001" s="1"/>
    </row>
    <row r="1002">
      <c r="A1002" s="1" t="str">
        <f>IFERROR(__xludf.DUMMYFUNCTION("""COMPUTED_VALUE"""),"682d5629")</f>
        <v>682d5629</v>
      </c>
      <c r="B1002" s="1" t="str">
        <f>IFERROR(__xludf.DUMMYFUNCTION("""COMPUTED_VALUE"""),"0011")</f>
        <v>0011</v>
      </c>
      <c r="C1002" s="32">
        <f>IFERROR(__xludf.DUMMYFUNCTION("""COMPUTED_VALUE"""),46104.88140046296)</f>
        <v>46104.8814</v>
      </c>
      <c r="D1002" s="1">
        <f>IFERROR(__xludf.DUMMYFUNCTION("""COMPUTED_VALUE"""),-6.0)</f>
        <v>-6</v>
      </c>
      <c r="E1002" s="1"/>
      <c r="F1002" s="1"/>
    </row>
    <row r="1003">
      <c r="A1003" s="1" t="str">
        <f>IFERROR(__xludf.DUMMYFUNCTION("""COMPUTED_VALUE"""),"42021b67")</f>
        <v>42021b67</v>
      </c>
      <c r="B1003" s="1" t="str">
        <f>IFERROR(__xludf.DUMMYFUNCTION("""COMPUTED_VALUE"""),"0029")</f>
        <v>0029</v>
      </c>
      <c r="C1003" s="32">
        <f>IFERROR(__xludf.DUMMYFUNCTION("""COMPUTED_VALUE"""),46104.88153935185)</f>
        <v>46104.88154</v>
      </c>
      <c r="D1003" s="1">
        <f>IFERROR(__xludf.DUMMYFUNCTION("""COMPUTED_VALUE"""),-7.0)</f>
        <v>-7</v>
      </c>
      <c r="E1003" s="1"/>
      <c r="F1003" s="1"/>
    </row>
    <row r="1004">
      <c r="A1004" s="1" t="str">
        <f>IFERROR(__xludf.DUMMYFUNCTION("""COMPUTED_VALUE"""),"48cc4d3d")</f>
        <v>48cc4d3d</v>
      </c>
      <c r="B1004" s="1" t="str">
        <f>IFERROR(__xludf.DUMMYFUNCTION("""COMPUTED_VALUE"""),"0032")</f>
        <v>0032</v>
      </c>
      <c r="C1004" s="32">
        <f>IFERROR(__xludf.DUMMYFUNCTION("""COMPUTED_VALUE"""),46104.88164351852)</f>
        <v>46104.88164</v>
      </c>
      <c r="D1004" s="1">
        <f>IFERROR(__xludf.DUMMYFUNCTION("""COMPUTED_VALUE"""),-6.0)</f>
        <v>-6</v>
      </c>
      <c r="E1004" s="1"/>
      <c r="F1004" s="1"/>
    </row>
    <row r="1005">
      <c r="A1005" s="1" t="str">
        <f>IFERROR(__xludf.DUMMYFUNCTION("""COMPUTED_VALUE"""),"891b88f4")</f>
        <v>891b88f4</v>
      </c>
      <c r="B1005" s="1" t="str">
        <f>IFERROR(__xludf.DUMMYFUNCTION("""COMPUTED_VALUE"""),"0064")</f>
        <v>0064</v>
      </c>
      <c r="C1005" s="32">
        <f>IFERROR(__xludf.DUMMYFUNCTION("""COMPUTED_VALUE"""),46104.881886574076)</f>
        <v>46104.88189</v>
      </c>
      <c r="D1005" s="1">
        <f>IFERROR(__xludf.DUMMYFUNCTION("""COMPUTED_VALUE"""),-2.0)</f>
        <v>-2</v>
      </c>
      <c r="E1005" s="1"/>
      <c r="F1005" s="1"/>
    </row>
    <row r="1006">
      <c r="A1006" s="1" t="str">
        <f>IFERROR(__xludf.DUMMYFUNCTION("""COMPUTED_VALUE"""),"da54d5ea")</f>
        <v>da54d5ea</v>
      </c>
      <c r="B1006" s="1" t="str">
        <f>IFERROR(__xludf.DUMMYFUNCTION("""COMPUTED_VALUE"""),"0021")</f>
        <v>0021</v>
      </c>
      <c r="C1006" s="32">
        <f>IFERROR(__xludf.DUMMYFUNCTION("""COMPUTED_VALUE"""),46104.88217592592)</f>
        <v>46104.88218</v>
      </c>
      <c r="D1006" s="1">
        <f>IFERROR(__xludf.DUMMYFUNCTION("""COMPUTED_VALUE"""),-5.0)</f>
        <v>-5</v>
      </c>
      <c r="E1006" s="1"/>
      <c r="F1006" s="1"/>
    </row>
    <row r="1007">
      <c r="A1007" s="1" t="str">
        <f>IFERROR(__xludf.DUMMYFUNCTION("""COMPUTED_VALUE"""),"fc7ae55a")</f>
        <v>fc7ae55a</v>
      </c>
      <c r="B1007" s="1" t="str">
        <f>IFERROR(__xludf.DUMMYFUNCTION("""COMPUTED_VALUE"""),"0001")</f>
        <v>0001</v>
      </c>
      <c r="C1007" s="32">
        <f>IFERROR(__xludf.DUMMYFUNCTION("""COMPUTED_VALUE"""),46104.88234953704)</f>
        <v>46104.88235</v>
      </c>
      <c r="D1007" s="1">
        <f>IFERROR(__xludf.DUMMYFUNCTION("""COMPUTED_VALUE"""),-15.0)</f>
        <v>-15</v>
      </c>
      <c r="E1007" s="1"/>
      <c r="F1007" s="1"/>
    </row>
    <row r="1008">
      <c r="A1008" s="1" t="str">
        <f>IFERROR(__xludf.DUMMYFUNCTION("""COMPUTED_VALUE"""),"581d82f5")</f>
        <v>581d82f5</v>
      </c>
      <c r="B1008" s="1" t="str">
        <f>IFERROR(__xludf.DUMMYFUNCTION("""COMPUTED_VALUE"""),"12b96290")</f>
        <v>12b96290</v>
      </c>
      <c r="C1008" s="32">
        <f>IFERROR(__xludf.DUMMYFUNCTION("""COMPUTED_VALUE"""),46104.88244212963)</f>
        <v>46104.88244</v>
      </c>
      <c r="D1008" s="1">
        <f>IFERROR(__xludf.DUMMYFUNCTION("""COMPUTED_VALUE"""),-15.0)</f>
        <v>-15</v>
      </c>
      <c r="E1008" s="1"/>
      <c r="F1008" s="1"/>
    </row>
    <row r="1009">
      <c r="A1009" s="1" t="str">
        <f>IFERROR(__xludf.DUMMYFUNCTION("""COMPUTED_VALUE"""),"69232e0d")</f>
        <v>69232e0d</v>
      </c>
      <c r="B1009" s="1" t="str">
        <f>IFERROR(__xludf.DUMMYFUNCTION("""COMPUTED_VALUE"""),"cf6c9481")</f>
        <v>cf6c9481</v>
      </c>
      <c r="C1009" s="32">
        <f>IFERROR(__xludf.DUMMYFUNCTION("""COMPUTED_VALUE"""),46104.88259259259)</f>
        <v>46104.88259</v>
      </c>
      <c r="D1009" s="1">
        <f>IFERROR(__xludf.DUMMYFUNCTION("""COMPUTED_VALUE"""),-3.0)</f>
        <v>-3</v>
      </c>
      <c r="E1009" s="1"/>
      <c r="F1009" s="1"/>
    </row>
    <row r="1010">
      <c r="A1010" s="1" t="str">
        <f>IFERROR(__xludf.DUMMYFUNCTION("""COMPUTED_VALUE"""),"7115df28")</f>
        <v>7115df28</v>
      </c>
      <c r="B1010" s="1" t="str">
        <f>IFERROR(__xludf.DUMMYFUNCTION("""COMPUTED_VALUE"""),"0027")</f>
        <v>0027</v>
      </c>
      <c r="C1010" s="32">
        <f>IFERROR(__xludf.DUMMYFUNCTION("""COMPUTED_VALUE"""),46104.882731481484)</f>
        <v>46104.88273</v>
      </c>
      <c r="D1010" s="1">
        <f>IFERROR(__xludf.DUMMYFUNCTION("""COMPUTED_VALUE"""),12.0)</f>
        <v>12</v>
      </c>
      <c r="E1010" s="1"/>
      <c r="F1010" s="1"/>
    </row>
    <row r="1011">
      <c r="A1011" s="1" t="str">
        <f>IFERROR(__xludf.DUMMYFUNCTION("""COMPUTED_VALUE"""),"4c14605b")</f>
        <v>4c14605b</v>
      </c>
      <c r="B1011" s="1" t="str">
        <f>IFERROR(__xludf.DUMMYFUNCTION("""COMPUTED_VALUE"""),"cb9e809e")</f>
        <v>cb9e809e</v>
      </c>
      <c r="C1011" s="32">
        <f>IFERROR(__xludf.DUMMYFUNCTION("""COMPUTED_VALUE"""),46104.883310185185)</f>
        <v>46104.88331</v>
      </c>
      <c r="D1011" s="1">
        <f>IFERROR(__xludf.DUMMYFUNCTION("""COMPUTED_VALUE"""),-6.0)</f>
        <v>-6</v>
      </c>
      <c r="E1011" s="1"/>
      <c r="F1011" s="1"/>
    </row>
    <row r="1012">
      <c r="A1012" s="1" t="str">
        <f>IFERROR(__xludf.DUMMYFUNCTION("""COMPUTED_VALUE"""),"86e521ac")</f>
        <v>86e521ac</v>
      </c>
      <c r="B1012" s="1" t="str">
        <f>IFERROR(__xludf.DUMMYFUNCTION("""COMPUTED_VALUE"""),"0064")</f>
        <v>0064</v>
      </c>
      <c r="C1012" s="32">
        <f>IFERROR(__xludf.DUMMYFUNCTION("""COMPUTED_VALUE"""),46104.88365740741)</f>
        <v>46104.88366</v>
      </c>
      <c r="D1012" s="1">
        <f>IFERROR(__xludf.DUMMYFUNCTION("""COMPUTED_VALUE"""),-5.0)</f>
        <v>-5</v>
      </c>
      <c r="E1012" s="1"/>
      <c r="F1012" s="1"/>
    </row>
    <row r="1013">
      <c r="A1013" s="1" t="str">
        <f>IFERROR(__xludf.DUMMYFUNCTION("""COMPUTED_VALUE"""),"fd20970d")</f>
        <v>fd20970d</v>
      </c>
      <c r="B1013" s="1" t="str">
        <f>IFERROR(__xludf.DUMMYFUNCTION("""COMPUTED_VALUE"""),"0f694cb5")</f>
        <v>0f694cb5</v>
      </c>
      <c r="C1013" s="32">
        <f>IFERROR(__xludf.DUMMYFUNCTION("""COMPUTED_VALUE"""),46104.8822337963)</f>
        <v>46104.88223</v>
      </c>
      <c r="D1013" s="1">
        <f>IFERROR(__xludf.DUMMYFUNCTION("""COMPUTED_VALUE"""),-15.0)</f>
        <v>-15</v>
      </c>
      <c r="E1013" s="1"/>
      <c r="F1013" s="1"/>
    </row>
    <row r="1014">
      <c r="A1014" s="1" t="str">
        <f>IFERROR(__xludf.DUMMYFUNCTION("""COMPUTED_VALUE"""),"5076a7e3")</f>
        <v>5076a7e3</v>
      </c>
      <c r="B1014" s="1" t="str">
        <f>IFERROR(__xludf.DUMMYFUNCTION("""COMPUTED_VALUE"""),"b112660a")</f>
        <v>b112660a</v>
      </c>
      <c r="C1014" s="32">
        <f>IFERROR(__xludf.DUMMYFUNCTION("""COMPUTED_VALUE"""),46104.882685185185)</f>
        <v>46104.88269</v>
      </c>
      <c r="D1014" s="1">
        <f>IFERROR(__xludf.DUMMYFUNCTION("""COMPUTED_VALUE"""),-6.0)</f>
        <v>-6</v>
      </c>
      <c r="E1014" s="1"/>
      <c r="F1014" s="1"/>
    </row>
    <row r="1015">
      <c r="A1015" s="1" t="str">
        <f>IFERROR(__xludf.DUMMYFUNCTION("""COMPUTED_VALUE"""),"0cff3b2d")</f>
        <v>0cff3b2d</v>
      </c>
      <c r="B1015" s="1" t="str">
        <f>IFERROR(__xludf.DUMMYFUNCTION("""COMPUTED_VALUE"""),"0029")</f>
        <v>0029</v>
      </c>
      <c r="C1015" s="32">
        <f>IFERROR(__xludf.DUMMYFUNCTION("""COMPUTED_VALUE"""),46104.8865625)</f>
        <v>46104.88656</v>
      </c>
      <c r="D1015" s="1">
        <f>IFERROR(__xludf.DUMMYFUNCTION("""COMPUTED_VALUE"""),-23.0)</f>
        <v>-23</v>
      </c>
      <c r="E1015" s="1"/>
      <c r="F1015" s="1"/>
    </row>
    <row r="1016">
      <c r="A1016" s="1" t="str">
        <f>IFERROR(__xludf.DUMMYFUNCTION("""COMPUTED_VALUE"""),"368fdf7e")</f>
        <v>368fdf7e</v>
      </c>
      <c r="B1016" s="1" t="str">
        <f>IFERROR(__xludf.DUMMYFUNCTION("""COMPUTED_VALUE"""),"57a5617b")</f>
        <v>57a5617b</v>
      </c>
      <c r="C1016" s="32">
        <f>IFERROR(__xludf.DUMMYFUNCTION("""COMPUTED_VALUE"""),46104.887708333335)</f>
        <v>46104.88771</v>
      </c>
      <c r="D1016" s="1">
        <f>IFERROR(__xludf.DUMMYFUNCTION("""COMPUTED_VALUE"""),-10.0)</f>
        <v>-10</v>
      </c>
      <c r="E1016" s="1"/>
      <c r="F1016" s="1"/>
    </row>
    <row r="1017">
      <c r="A1017" s="1" t="str">
        <f>IFERROR(__xludf.DUMMYFUNCTION("""COMPUTED_VALUE"""),"9649dbf1")</f>
        <v>9649dbf1</v>
      </c>
      <c r="B1017" s="1" t="str">
        <f>IFERROR(__xludf.DUMMYFUNCTION("""COMPUTED_VALUE"""),"0054")</f>
        <v>0054</v>
      </c>
      <c r="C1017" s="32">
        <f>IFERROR(__xludf.DUMMYFUNCTION("""COMPUTED_VALUE"""),46104.8878125)</f>
        <v>46104.88781</v>
      </c>
      <c r="D1017" s="1">
        <f>IFERROR(__xludf.DUMMYFUNCTION("""COMPUTED_VALUE"""),-6.0)</f>
        <v>-6</v>
      </c>
      <c r="E1017" s="1"/>
      <c r="F1017" s="1"/>
    </row>
    <row r="1018">
      <c r="A1018" s="1" t="str">
        <f>IFERROR(__xludf.DUMMYFUNCTION("""COMPUTED_VALUE"""),"54765de7")</f>
        <v>54765de7</v>
      </c>
      <c r="B1018" s="1" t="str">
        <f>IFERROR(__xludf.DUMMYFUNCTION("""COMPUTED_VALUE"""),"0011")</f>
        <v>0011</v>
      </c>
      <c r="C1018" s="32">
        <f>IFERROR(__xludf.DUMMYFUNCTION("""COMPUTED_VALUE"""),46104.888020833336)</f>
        <v>46104.88802</v>
      </c>
      <c r="D1018" s="1">
        <f>IFERROR(__xludf.DUMMYFUNCTION("""COMPUTED_VALUE"""),-21.0)</f>
        <v>-21</v>
      </c>
      <c r="E1018" s="1"/>
      <c r="F1018" s="1"/>
    </row>
    <row r="1019">
      <c r="A1019" s="1" t="str">
        <f>IFERROR(__xludf.DUMMYFUNCTION("""COMPUTED_VALUE"""),"7223a8d1")</f>
        <v>7223a8d1</v>
      </c>
      <c r="B1019" s="1" t="str">
        <f>IFERROR(__xludf.DUMMYFUNCTION("""COMPUTED_VALUE"""),"0002")</f>
        <v>0002</v>
      </c>
      <c r="C1019" s="32">
        <f>IFERROR(__xludf.DUMMYFUNCTION("""COMPUTED_VALUE"""),46104.888761574075)</f>
        <v>46104.88876</v>
      </c>
      <c r="D1019" s="1">
        <f>IFERROR(__xludf.DUMMYFUNCTION("""COMPUTED_VALUE"""),-60.0)</f>
        <v>-60</v>
      </c>
      <c r="E1019" s="1"/>
      <c r="F1019" s="1"/>
    </row>
    <row r="1020">
      <c r="A1020" s="1" t="str">
        <f>IFERROR(__xludf.DUMMYFUNCTION("""COMPUTED_VALUE"""),"9140b1d7")</f>
        <v>9140b1d7</v>
      </c>
      <c r="B1020" s="1" t="str">
        <f>IFERROR(__xludf.DUMMYFUNCTION("""COMPUTED_VALUE"""),"57a5617b")</f>
        <v>57a5617b</v>
      </c>
      <c r="C1020" s="32">
        <f>IFERROR(__xludf.DUMMYFUNCTION("""COMPUTED_VALUE"""),46104.9509837963)</f>
        <v>46104.95098</v>
      </c>
      <c r="D1020" s="1">
        <f>IFERROR(__xludf.DUMMYFUNCTION("""COMPUTED_VALUE"""),7.0)</f>
        <v>7</v>
      </c>
      <c r="E1020" s="1"/>
      <c r="F1020" s="1"/>
    </row>
    <row r="1021">
      <c r="A1021" s="1" t="str">
        <f>IFERROR(__xludf.DUMMYFUNCTION("""COMPUTED_VALUE"""),"31a6af2b")</f>
        <v>31a6af2b</v>
      </c>
      <c r="B1021" s="1" t="str">
        <f>IFERROR(__xludf.DUMMYFUNCTION("""COMPUTED_VALUE"""),"0f694cb5")</f>
        <v>0f694cb5</v>
      </c>
      <c r="C1021" s="32">
        <f>IFERROR(__xludf.DUMMYFUNCTION("""COMPUTED_VALUE"""),46104.95108796296)</f>
        <v>46104.95109</v>
      </c>
      <c r="D1021" s="1">
        <f>IFERROR(__xludf.DUMMYFUNCTION("""COMPUTED_VALUE"""),3.0)</f>
        <v>3</v>
      </c>
      <c r="E1021" s="1"/>
      <c r="F1021" s="1"/>
    </row>
    <row r="1022">
      <c r="A1022" s="1" t="str">
        <f>IFERROR(__xludf.DUMMYFUNCTION("""COMPUTED_VALUE"""),"c2e1d38c")</f>
        <v>c2e1d38c</v>
      </c>
      <c r="B1022" s="1" t="str">
        <f>IFERROR(__xludf.DUMMYFUNCTION("""COMPUTED_VALUE"""),"0011")</f>
        <v>0011</v>
      </c>
      <c r="C1022" s="32">
        <f>IFERROR(__xludf.DUMMYFUNCTION("""COMPUTED_VALUE"""),46105.69493055555)</f>
        <v>46105.69493</v>
      </c>
      <c r="D1022" s="1">
        <f>IFERROR(__xludf.DUMMYFUNCTION("""COMPUTED_VALUE"""),-21.0)</f>
        <v>-21</v>
      </c>
      <c r="E1022" s="1"/>
      <c r="F1022" s="1"/>
    </row>
    <row r="1023">
      <c r="A1023" s="1" t="str">
        <f>IFERROR(__xludf.DUMMYFUNCTION("""COMPUTED_VALUE"""),"65c01ed8")</f>
        <v>65c01ed8</v>
      </c>
      <c r="B1023" s="1" t="str">
        <f>IFERROR(__xludf.DUMMYFUNCTION("""COMPUTED_VALUE"""),"bb6c2490")</f>
        <v>bb6c2490</v>
      </c>
      <c r="C1023" s="32">
        <f>IFERROR(__xludf.DUMMYFUNCTION("""COMPUTED_VALUE"""),46105.69658564815)</f>
        <v>46105.69659</v>
      </c>
      <c r="D1023" s="1">
        <f>IFERROR(__xludf.DUMMYFUNCTION("""COMPUTED_VALUE"""),-18.0)</f>
        <v>-18</v>
      </c>
      <c r="E1023" s="1"/>
      <c r="F1023" s="1"/>
    </row>
    <row r="1024">
      <c r="A1024" s="1" t="str">
        <f>IFERROR(__xludf.DUMMYFUNCTION("""COMPUTED_VALUE"""),"24a11e1b")</f>
        <v>24a11e1b</v>
      </c>
      <c r="B1024" s="1" t="str">
        <f>IFERROR(__xludf.DUMMYFUNCTION("""COMPUTED_VALUE"""),"83dd14b5")</f>
        <v>83dd14b5</v>
      </c>
      <c r="C1024" s="32">
        <f>IFERROR(__xludf.DUMMYFUNCTION("""COMPUTED_VALUE"""),46105.69672453704)</f>
        <v>46105.69672</v>
      </c>
      <c r="D1024" s="1">
        <f>IFERROR(__xludf.DUMMYFUNCTION("""COMPUTED_VALUE"""),-24.0)</f>
        <v>-24</v>
      </c>
      <c r="E1024" s="1"/>
      <c r="F1024" s="1"/>
    </row>
    <row r="1025">
      <c r="A1025" s="1" t="str">
        <f>IFERROR(__xludf.DUMMYFUNCTION("""COMPUTED_VALUE"""),"d16c2d78")</f>
        <v>d16c2d78</v>
      </c>
      <c r="B1025" s="1" t="str">
        <f>IFERROR(__xludf.DUMMYFUNCTION("""COMPUTED_VALUE"""),"0086")</f>
        <v>0086</v>
      </c>
      <c r="C1025" s="32">
        <f>IFERROR(__xludf.DUMMYFUNCTION("""COMPUTED_VALUE"""),46105.6971875)</f>
        <v>46105.69719</v>
      </c>
      <c r="D1025" s="1">
        <f>IFERROR(__xludf.DUMMYFUNCTION("""COMPUTED_VALUE"""),-20.0)</f>
        <v>-20</v>
      </c>
      <c r="E1025" s="1"/>
      <c r="F1025" s="1"/>
    </row>
    <row r="1026">
      <c r="A1026" s="1" t="str">
        <f>IFERROR(__xludf.DUMMYFUNCTION("""COMPUTED_VALUE"""),"4fd981b7")</f>
        <v>4fd981b7</v>
      </c>
      <c r="B1026" s="1" t="str">
        <f>IFERROR(__xludf.DUMMYFUNCTION("""COMPUTED_VALUE"""),"0032")</f>
        <v>0032</v>
      </c>
      <c r="C1026" s="32">
        <f>IFERROR(__xludf.DUMMYFUNCTION("""COMPUTED_VALUE"""),46105.698229166665)</f>
        <v>46105.69823</v>
      </c>
      <c r="D1026" s="1">
        <f>IFERROR(__xludf.DUMMYFUNCTION("""COMPUTED_VALUE"""),-7.0)</f>
        <v>-7</v>
      </c>
      <c r="E1026" s="1"/>
      <c r="F1026" s="1"/>
    </row>
    <row r="1027">
      <c r="A1027" s="1" t="str">
        <f>IFERROR(__xludf.DUMMYFUNCTION("""COMPUTED_VALUE"""),"772d8ffd")</f>
        <v>772d8ffd</v>
      </c>
      <c r="B1027" s="1" t="str">
        <f>IFERROR(__xludf.DUMMYFUNCTION("""COMPUTED_VALUE"""),"0054")</f>
        <v>0054</v>
      </c>
      <c r="C1027" s="32">
        <f>IFERROR(__xludf.DUMMYFUNCTION("""COMPUTED_VALUE"""),46105.69944444444)</f>
        <v>46105.69944</v>
      </c>
      <c r="D1027" s="1">
        <f>IFERROR(__xludf.DUMMYFUNCTION("""COMPUTED_VALUE"""),-17.0)</f>
        <v>-17</v>
      </c>
      <c r="E1027" s="1"/>
      <c r="F1027" s="1"/>
    </row>
    <row r="1028">
      <c r="A1028" s="1" t="str">
        <f>IFERROR(__xludf.DUMMYFUNCTION("""COMPUTED_VALUE"""),"5e3a95d4")</f>
        <v>5e3a95d4</v>
      </c>
      <c r="B1028" s="1" t="str">
        <f>IFERROR(__xludf.DUMMYFUNCTION("""COMPUTED_VALUE"""),"0064")</f>
        <v>0064</v>
      </c>
      <c r="C1028" s="32">
        <f>IFERROR(__xludf.DUMMYFUNCTION("""COMPUTED_VALUE"""),46105.69978009259)</f>
        <v>46105.69978</v>
      </c>
      <c r="D1028" s="1">
        <f>IFERROR(__xludf.DUMMYFUNCTION("""COMPUTED_VALUE"""),-2.0)</f>
        <v>-2</v>
      </c>
      <c r="E1028" s="1"/>
      <c r="F1028" s="1"/>
    </row>
    <row r="1029">
      <c r="A1029" s="1" t="str">
        <f>IFERROR(__xludf.DUMMYFUNCTION("""COMPUTED_VALUE"""),"1ab05876")</f>
        <v>1ab05876</v>
      </c>
      <c r="B1029" s="1" t="str">
        <f>IFERROR(__xludf.DUMMYFUNCTION("""COMPUTED_VALUE"""),"0021")</f>
        <v>0021</v>
      </c>
      <c r="C1029" s="32">
        <f>IFERROR(__xludf.DUMMYFUNCTION("""COMPUTED_VALUE"""),46105.700949074075)</f>
        <v>46105.70095</v>
      </c>
      <c r="D1029" s="1">
        <f>IFERROR(__xludf.DUMMYFUNCTION("""COMPUTED_VALUE"""),-24.0)</f>
        <v>-24</v>
      </c>
      <c r="E1029" s="1"/>
      <c r="F1029" s="1"/>
    </row>
    <row r="1030">
      <c r="A1030" s="1" t="str">
        <f>IFERROR(__xludf.DUMMYFUNCTION("""COMPUTED_VALUE"""),"9152f45d")</f>
        <v>9152f45d</v>
      </c>
      <c r="B1030" s="1" t="str">
        <f>IFERROR(__xludf.DUMMYFUNCTION("""COMPUTED_VALUE"""),"0001")</f>
        <v>0001</v>
      </c>
      <c r="C1030" s="32">
        <f>IFERROR(__xludf.DUMMYFUNCTION("""COMPUTED_VALUE"""),46105.701215277775)</f>
        <v>46105.70122</v>
      </c>
      <c r="D1030" s="1">
        <f>IFERROR(__xludf.DUMMYFUNCTION("""COMPUTED_VALUE"""),-30.0)</f>
        <v>-30</v>
      </c>
      <c r="E1030" s="1"/>
      <c r="F1030" s="1"/>
    </row>
    <row r="1031">
      <c r="A1031" s="1" t="str">
        <f>IFERROR(__xludf.DUMMYFUNCTION("""COMPUTED_VALUE"""),"4bbbb3eb")</f>
        <v>4bbbb3eb</v>
      </c>
      <c r="B1031" s="1" t="str">
        <f>IFERROR(__xludf.DUMMYFUNCTION("""COMPUTED_VALUE"""),"12b96290")</f>
        <v>12b96290</v>
      </c>
      <c r="C1031" s="32">
        <f>IFERROR(__xludf.DUMMYFUNCTION("""COMPUTED_VALUE"""),46105.701273148145)</f>
        <v>46105.70127</v>
      </c>
      <c r="D1031" s="1">
        <f>IFERROR(__xludf.DUMMYFUNCTION("""COMPUTED_VALUE"""),-15.0)</f>
        <v>-15</v>
      </c>
      <c r="E1031" s="1"/>
      <c r="F1031" s="1"/>
    </row>
    <row r="1032">
      <c r="A1032" s="1" t="str">
        <f>IFERROR(__xludf.DUMMYFUNCTION("""COMPUTED_VALUE"""),"cc545b63")</f>
        <v>cc545b63</v>
      </c>
      <c r="B1032" s="1" t="str">
        <f>IFERROR(__xludf.DUMMYFUNCTION("""COMPUTED_VALUE"""),"0019")</f>
        <v>0019</v>
      </c>
      <c r="C1032" s="32">
        <f>IFERROR(__xludf.DUMMYFUNCTION("""COMPUTED_VALUE"""),46105.701736111114)</f>
        <v>46105.70174</v>
      </c>
      <c r="D1032" s="1">
        <f>IFERROR(__xludf.DUMMYFUNCTION("""COMPUTED_VALUE"""),-24.0)</f>
        <v>-24</v>
      </c>
      <c r="E1032" s="1"/>
      <c r="F1032" s="1"/>
    </row>
    <row r="1033">
      <c r="A1033" s="1" t="str">
        <f>IFERROR(__xludf.DUMMYFUNCTION("""COMPUTED_VALUE"""),"113bd00d")</f>
        <v>113bd00d</v>
      </c>
      <c r="B1033" s="1" t="str">
        <f>IFERROR(__xludf.DUMMYFUNCTION("""COMPUTED_VALUE"""),"02d86a9b")</f>
        <v>02d86a9b</v>
      </c>
      <c r="C1033" s="32">
        <f>IFERROR(__xludf.DUMMYFUNCTION("""COMPUTED_VALUE"""),46105.702361111114)</f>
        <v>46105.70236</v>
      </c>
      <c r="D1033" s="1">
        <f>IFERROR(__xludf.DUMMYFUNCTION("""COMPUTED_VALUE"""),-24.0)</f>
        <v>-24</v>
      </c>
      <c r="E1033" s="1"/>
      <c r="F1033" s="1"/>
    </row>
    <row r="1034">
      <c r="A1034" s="1" t="str">
        <f>IFERROR(__xludf.DUMMYFUNCTION("""COMPUTED_VALUE"""),"63ebdeec")</f>
        <v>63ebdeec</v>
      </c>
      <c r="B1034" s="1" t="str">
        <f>IFERROR(__xludf.DUMMYFUNCTION("""COMPUTED_VALUE"""),"bb4d1bd1")</f>
        <v>bb4d1bd1</v>
      </c>
      <c r="C1034" s="32">
        <f>IFERROR(__xludf.DUMMYFUNCTION("""COMPUTED_VALUE"""),46105.70243055555)</f>
        <v>46105.70243</v>
      </c>
      <c r="D1034" s="1">
        <f>IFERROR(__xludf.DUMMYFUNCTION("""COMPUTED_VALUE"""),-24.0)</f>
        <v>-24</v>
      </c>
      <c r="E1034" s="1"/>
      <c r="F1034" s="1"/>
    </row>
    <row r="1035">
      <c r="A1035" s="1" t="str">
        <f>IFERROR(__xludf.DUMMYFUNCTION("""COMPUTED_VALUE"""),"833231d9")</f>
        <v>833231d9</v>
      </c>
      <c r="B1035" s="1" t="str">
        <f>IFERROR(__xludf.DUMMYFUNCTION("""COMPUTED_VALUE"""),"0049")</f>
        <v>0049</v>
      </c>
      <c r="C1035" s="32">
        <f>IFERROR(__xludf.DUMMYFUNCTION("""COMPUTED_VALUE"""),46105.70266203704)</f>
        <v>46105.70266</v>
      </c>
      <c r="D1035" s="1">
        <f>IFERROR(__xludf.DUMMYFUNCTION("""COMPUTED_VALUE"""),-16.0)</f>
        <v>-16</v>
      </c>
      <c r="E1035" s="1"/>
      <c r="F1035" s="1"/>
    </row>
    <row r="1036">
      <c r="A1036" s="1" t="str">
        <f>IFERROR(__xludf.DUMMYFUNCTION("""COMPUTED_VALUE"""),"e196fb1f")</f>
        <v>e196fb1f</v>
      </c>
      <c r="B1036" s="1" t="str">
        <f>IFERROR(__xludf.DUMMYFUNCTION("""COMPUTED_VALUE"""),"cf6c9481")</f>
        <v>cf6c9481</v>
      </c>
      <c r="C1036" s="32">
        <f>IFERROR(__xludf.DUMMYFUNCTION("""COMPUTED_VALUE"""),46105.70280092592)</f>
        <v>46105.7028</v>
      </c>
      <c r="D1036" s="1">
        <f>IFERROR(__xludf.DUMMYFUNCTION("""COMPUTED_VALUE"""),-12.0)</f>
        <v>-12</v>
      </c>
      <c r="E1036" s="1"/>
      <c r="F1036" s="1"/>
    </row>
    <row r="1037">
      <c r="A1037" s="1" t="str">
        <f>IFERROR(__xludf.DUMMYFUNCTION("""COMPUTED_VALUE"""),"07642c6c")</f>
        <v>07642c6c</v>
      </c>
      <c r="B1037" s="1" t="str">
        <f>IFERROR(__xludf.DUMMYFUNCTION("""COMPUTED_VALUE"""),"cb9e809e")</f>
        <v>cb9e809e</v>
      </c>
      <c r="C1037" s="32">
        <f>IFERROR(__xludf.DUMMYFUNCTION("""COMPUTED_VALUE"""),46105.703055555554)</f>
        <v>46105.70306</v>
      </c>
      <c r="D1037" s="1">
        <f>IFERROR(__xludf.DUMMYFUNCTION("""COMPUTED_VALUE"""),-12.0)</f>
        <v>-12</v>
      </c>
      <c r="E1037" s="1"/>
      <c r="F1037" s="1"/>
    </row>
    <row r="1038">
      <c r="A1038" s="1" t="str">
        <f>IFERROR(__xludf.DUMMYFUNCTION("""COMPUTED_VALUE"""),"abbd5fae")</f>
        <v>abbd5fae</v>
      </c>
      <c r="B1038" s="1" t="str">
        <f>IFERROR(__xludf.DUMMYFUNCTION("""COMPUTED_VALUE"""),"0002")</f>
        <v>0002</v>
      </c>
      <c r="C1038" s="32">
        <f>IFERROR(__xludf.DUMMYFUNCTION("""COMPUTED_VALUE"""),46105.7031712963)</f>
        <v>46105.70317</v>
      </c>
      <c r="D1038" s="1">
        <f>IFERROR(__xludf.DUMMYFUNCTION("""COMPUTED_VALUE"""),-60.0)</f>
        <v>-60</v>
      </c>
      <c r="E1038" s="1"/>
      <c r="F1038" s="1"/>
    </row>
    <row r="1039">
      <c r="A1039" s="1" t="str">
        <f>IFERROR(__xludf.DUMMYFUNCTION("""COMPUTED_VALUE"""),"7465efff")</f>
        <v>7465efff</v>
      </c>
      <c r="B1039" s="1" t="str">
        <f>IFERROR(__xludf.DUMMYFUNCTION("""COMPUTED_VALUE"""),"cb9e809e")</f>
        <v>cb9e809e</v>
      </c>
      <c r="C1039" s="32">
        <f>IFERROR(__xludf.DUMMYFUNCTION("""COMPUTED_VALUE"""),46105.79153935185)</f>
        <v>46105.79154</v>
      </c>
      <c r="D1039" s="1">
        <f>IFERROR(__xludf.DUMMYFUNCTION("""COMPUTED_VALUE"""),6.0)</f>
        <v>6</v>
      </c>
      <c r="E1039" s="1"/>
      <c r="F1039" s="1"/>
    </row>
    <row r="1040">
      <c r="A1040" s="1" t="str">
        <f>IFERROR(__xludf.DUMMYFUNCTION("""COMPUTED_VALUE"""),"4ea7a22e")</f>
        <v>4ea7a22e</v>
      </c>
      <c r="B1040" s="1" t="str">
        <f>IFERROR(__xludf.DUMMYFUNCTION("""COMPUTED_VALUE"""),"cf6c9481")</f>
        <v>cf6c9481</v>
      </c>
      <c r="C1040" s="32">
        <f>IFERROR(__xludf.DUMMYFUNCTION("""COMPUTED_VALUE"""),46105.79200231482)</f>
        <v>46105.792</v>
      </c>
      <c r="D1040" s="1">
        <f>IFERROR(__xludf.DUMMYFUNCTION("""COMPUTED_VALUE"""),6.0)</f>
        <v>6</v>
      </c>
      <c r="E1040" s="1"/>
      <c r="F1040" s="1"/>
    </row>
    <row r="1041">
      <c r="A1041" s="1" t="str">
        <f>IFERROR(__xludf.DUMMYFUNCTION("""COMPUTED_VALUE"""),"d90ca12a")</f>
        <v>d90ca12a</v>
      </c>
      <c r="B1041" s="1" t="str">
        <f>IFERROR(__xludf.DUMMYFUNCTION("""COMPUTED_VALUE"""),"0019")</f>
        <v>0019</v>
      </c>
      <c r="C1041" s="32">
        <f>IFERROR(__xludf.DUMMYFUNCTION("""COMPUTED_VALUE"""),46105.793287037035)</f>
        <v>46105.79329</v>
      </c>
      <c r="D1041" s="1">
        <f>IFERROR(__xludf.DUMMYFUNCTION("""COMPUTED_VALUE"""),16.0)</f>
        <v>16</v>
      </c>
      <c r="E1041" s="1"/>
      <c r="F1041" s="1"/>
    </row>
    <row r="1042">
      <c r="A1042" s="1" t="str">
        <f>IFERROR(__xludf.DUMMYFUNCTION("""COMPUTED_VALUE"""),"05bc9cdb")</f>
        <v>05bc9cdb</v>
      </c>
      <c r="B1042" s="1" t="str">
        <f>IFERROR(__xludf.DUMMYFUNCTION("""COMPUTED_VALUE"""),"12b96290")</f>
        <v>12b96290</v>
      </c>
      <c r="C1042" s="32">
        <f>IFERROR(__xludf.DUMMYFUNCTION("""COMPUTED_VALUE"""),46105.82168981482)</f>
        <v>46105.82169</v>
      </c>
      <c r="D1042" s="1">
        <f>IFERROR(__xludf.DUMMYFUNCTION("""COMPUTED_VALUE"""),-15.0)</f>
        <v>-15</v>
      </c>
      <c r="E1042" s="1"/>
      <c r="F1042" s="1"/>
    </row>
    <row r="1043">
      <c r="A1043" s="1" t="str">
        <f>IFERROR(__xludf.DUMMYFUNCTION("""COMPUTED_VALUE"""),"492d4b26")</f>
        <v>492d4b26</v>
      </c>
      <c r="B1043" s="1" t="str">
        <f>IFERROR(__xludf.DUMMYFUNCTION("""COMPUTED_VALUE"""),"0001")</f>
        <v>0001</v>
      </c>
      <c r="C1043" s="32">
        <f>IFERROR(__xludf.DUMMYFUNCTION("""COMPUTED_VALUE"""),46105.821851851855)</f>
        <v>46105.82185</v>
      </c>
      <c r="D1043" s="1">
        <f>IFERROR(__xludf.DUMMYFUNCTION("""COMPUTED_VALUE"""),-30.0)</f>
        <v>-30</v>
      </c>
      <c r="E1043" s="1"/>
      <c r="F1043" s="1"/>
    </row>
    <row r="1044">
      <c r="A1044" s="1" t="str">
        <f>IFERROR(__xludf.DUMMYFUNCTION("""COMPUTED_VALUE"""),"7c6cec7a")</f>
        <v>7c6cec7a</v>
      </c>
      <c r="B1044" s="1" t="str">
        <f>IFERROR(__xludf.DUMMYFUNCTION("""COMPUTED_VALUE"""),"bb6c2490")</f>
        <v>bb6c2490</v>
      </c>
      <c r="C1044" s="32">
        <f>IFERROR(__xludf.DUMMYFUNCTION("""COMPUTED_VALUE"""),46105.822071759256)</f>
        <v>46105.82207</v>
      </c>
      <c r="D1044" s="1">
        <f>IFERROR(__xludf.DUMMYFUNCTION("""COMPUTED_VALUE"""),-18.0)</f>
        <v>-18</v>
      </c>
      <c r="E1044" s="1"/>
      <c r="F1044" s="1"/>
    </row>
    <row r="1045">
      <c r="A1045" s="1" t="str">
        <f>IFERROR(__xludf.DUMMYFUNCTION("""COMPUTED_VALUE"""),"f0cc6b08")</f>
        <v>f0cc6b08</v>
      </c>
      <c r="B1045" s="1" t="str">
        <f>IFERROR(__xludf.DUMMYFUNCTION("""COMPUTED_VALUE"""),"0019")</f>
        <v>0019</v>
      </c>
      <c r="C1045" s="32">
        <f>IFERROR(__xludf.DUMMYFUNCTION("""COMPUTED_VALUE"""),46105.8221875)</f>
        <v>46105.82219</v>
      </c>
      <c r="D1045" s="1">
        <f>IFERROR(__xludf.DUMMYFUNCTION("""COMPUTED_VALUE"""),-24.0)</f>
        <v>-24</v>
      </c>
      <c r="E1045" s="1"/>
      <c r="F1045" s="1"/>
    </row>
    <row r="1046">
      <c r="A1046" s="1" t="str">
        <f>IFERROR(__xludf.DUMMYFUNCTION("""COMPUTED_VALUE"""),"88abe316")</f>
        <v>88abe316</v>
      </c>
      <c r="B1046" s="1" t="str">
        <f>IFERROR(__xludf.DUMMYFUNCTION("""COMPUTED_VALUE"""),"02d86a9b")</f>
        <v>02d86a9b</v>
      </c>
      <c r="C1046" s="32">
        <f>IFERROR(__xludf.DUMMYFUNCTION("""COMPUTED_VALUE"""),46105.8224537037)</f>
        <v>46105.82245</v>
      </c>
      <c r="D1046" s="1">
        <f>IFERROR(__xludf.DUMMYFUNCTION("""COMPUTED_VALUE"""),-24.0)</f>
        <v>-24</v>
      </c>
      <c r="E1046" s="1"/>
      <c r="F1046" s="1"/>
    </row>
    <row r="1047">
      <c r="A1047" s="1" t="str">
        <f>IFERROR(__xludf.DUMMYFUNCTION("""COMPUTED_VALUE"""),"274f4986")</f>
        <v>274f4986</v>
      </c>
      <c r="B1047" s="1" t="str">
        <f>IFERROR(__xludf.DUMMYFUNCTION("""COMPUTED_VALUE"""),"a19879cf")</f>
        <v>a19879cf</v>
      </c>
      <c r="C1047" s="32">
        <f>IFERROR(__xludf.DUMMYFUNCTION("""COMPUTED_VALUE"""),46105.82261574074)</f>
        <v>46105.82262</v>
      </c>
      <c r="D1047" s="1">
        <f>IFERROR(__xludf.DUMMYFUNCTION("""COMPUTED_VALUE"""),-24.0)</f>
        <v>-24</v>
      </c>
      <c r="E1047" s="1"/>
      <c r="F1047" s="1"/>
    </row>
    <row r="1048">
      <c r="A1048" s="1" t="str">
        <f>IFERROR(__xludf.DUMMYFUNCTION("""COMPUTED_VALUE"""),"d7515255")</f>
        <v>d7515255</v>
      </c>
      <c r="B1048" s="1" t="str">
        <f>IFERROR(__xludf.DUMMYFUNCTION("""COMPUTED_VALUE"""),"0086")</f>
        <v>0086</v>
      </c>
      <c r="C1048" s="32">
        <f>IFERROR(__xludf.DUMMYFUNCTION("""COMPUTED_VALUE"""),46105.822858796295)</f>
        <v>46105.82286</v>
      </c>
      <c r="D1048" s="1">
        <f>IFERROR(__xludf.DUMMYFUNCTION("""COMPUTED_VALUE"""),-30.0)</f>
        <v>-30</v>
      </c>
      <c r="E1048" s="1"/>
      <c r="F1048" s="1"/>
    </row>
    <row r="1049">
      <c r="A1049" s="1" t="str">
        <f>IFERROR(__xludf.DUMMYFUNCTION("""COMPUTED_VALUE"""),"4ef0c63b")</f>
        <v>4ef0c63b</v>
      </c>
      <c r="B1049" s="1" t="str">
        <f>IFERROR(__xludf.DUMMYFUNCTION("""COMPUTED_VALUE"""),"0065")</f>
        <v>0065</v>
      </c>
      <c r="C1049" s="32">
        <f>IFERROR(__xludf.DUMMYFUNCTION("""COMPUTED_VALUE"""),46105.82319444444)</f>
        <v>46105.82319</v>
      </c>
      <c r="D1049" s="1">
        <f>IFERROR(__xludf.DUMMYFUNCTION("""COMPUTED_VALUE"""),-12.0)</f>
        <v>-12</v>
      </c>
      <c r="E1049" s="1"/>
      <c r="F1049" s="1"/>
    </row>
    <row r="1050">
      <c r="A1050" s="1" t="str">
        <f>IFERROR(__xludf.DUMMYFUNCTION("""COMPUTED_VALUE"""),"40275f75")</f>
        <v>40275f75</v>
      </c>
      <c r="B1050" s="1" t="str">
        <f>IFERROR(__xludf.DUMMYFUNCTION("""COMPUTED_VALUE"""),"0049")</f>
        <v>0049</v>
      </c>
      <c r="C1050" s="32">
        <f>IFERROR(__xludf.DUMMYFUNCTION("""COMPUTED_VALUE"""),46105.82331018519)</f>
        <v>46105.82331</v>
      </c>
      <c r="D1050" s="1">
        <f>IFERROR(__xludf.DUMMYFUNCTION("""COMPUTED_VALUE"""),-24.0)</f>
        <v>-24</v>
      </c>
      <c r="E1050" s="1"/>
      <c r="F1050" s="1"/>
    </row>
    <row r="1051">
      <c r="A1051" s="1" t="str">
        <f>IFERROR(__xludf.DUMMYFUNCTION("""COMPUTED_VALUE"""),"00553fe5")</f>
        <v>00553fe5</v>
      </c>
      <c r="B1051" s="1" t="str">
        <f>IFERROR(__xludf.DUMMYFUNCTION("""COMPUTED_VALUE"""),"0064")</f>
        <v>0064</v>
      </c>
      <c r="C1051" s="32">
        <f>IFERROR(__xludf.DUMMYFUNCTION("""COMPUTED_VALUE"""),46105.823645833334)</f>
        <v>46105.82365</v>
      </c>
      <c r="D1051" s="1">
        <f>IFERROR(__xludf.DUMMYFUNCTION("""COMPUTED_VALUE"""),-4.0)</f>
        <v>-4</v>
      </c>
      <c r="E1051" s="1"/>
      <c r="F1051" s="1"/>
    </row>
    <row r="1052">
      <c r="A1052" s="1" t="str">
        <f>IFERROR(__xludf.DUMMYFUNCTION("""COMPUTED_VALUE"""),"08688d59")</f>
        <v>08688d59</v>
      </c>
      <c r="B1052" s="1" t="str">
        <f>IFERROR(__xludf.DUMMYFUNCTION("""COMPUTED_VALUE"""),"0032")</f>
        <v>0032</v>
      </c>
      <c r="C1052" s="32">
        <f>IFERROR(__xludf.DUMMYFUNCTION("""COMPUTED_VALUE"""),46105.82408564815)</f>
        <v>46105.82409</v>
      </c>
      <c r="D1052" s="1">
        <f>IFERROR(__xludf.DUMMYFUNCTION("""COMPUTED_VALUE"""),-1.0)</f>
        <v>-1</v>
      </c>
      <c r="E1052" s="1"/>
      <c r="F1052" s="1"/>
    </row>
    <row r="1053">
      <c r="A1053" s="1" t="str">
        <f>IFERROR(__xludf.DUMMYFUNCTION("""COMPUTED_VALUE"""),"e8fb2da1")</f>
        <v>e8fb2da1</v>
      </c>
      <c r="B1053" s="1" t="str">
        <f>IFERROR(__xludf.DUMMYFUNCTION("""COMPUTED_VALUE"""),"0064")</f>
        <v>0064</v>
      </c>
      <c r="C1053" s="32">
        <f>IFERROR(__xludf.DUMMYFUNCTION("""COMPUTED_VALUE"""),46105.824224537035)</f>
        <v>46105.82422</v>
      </c>
      <c r="D1053" s="1">
        <f>IFERROR(__xludf.DUMMYFUNCTION("""COMPUTED_VALUE"""),-6.0)</f>
        <v>-6</v>
      </c>
      <c r="E1053" s="1"/>
      <c r="F1053" s="1"/>
    </row>
    <row r="1054">
      <c r="A1054" s="1" t="str">
        <f>IFERROR(__xludf.DUMMYFUNCTION("""COMPUTED_VALUE"""),"6965e14f")</f>
        <v>6965e14f</v>
      </c>
      <c r="B1054" s="1" t="str">
        <f>IFERROR(__xludf.DUMMYFUNCTION("""COMPUTED_VALUE"""),"a3f74383")</f>
        <v>a3f74383</v>
      </c>
      <c r="C1054" s="32">
        <f>IFERROR(__xludf.DUMMYFUNCTION("""COMPUTED_VALUE"""),46105.82494212963)</f>
        <v>46105.82494</v>
      </c>
      <c r="D1054" s="1">
        <f>IFERROR(__xludf.DUMMYFUNCTION("""COMPUTED_VALUE"""),-24.0)</f>
        <v>-24</v>
      </c>
      <c r="E1054" s="1"/>
      <c r="F1054" s="1"/>
    </row>
    <row r="1055">
      <c r="A1055" s="1" t="str">
        <f>IFERROR(__xludf.DUMMYFUNCTION("""COMPUTED_VALUE"""),"929b4674")</f>
        <v>929b4674</v>
      </c>
      <c r="B1055" s="1" t="str">
        <f>IFERROR(__xludf.DUMMYFUNCTION("""COMPUTED_VALUE"""),"0054")</f>
        <v>0054</v>
      </c>
      <c r="C1055" s="32">
        <f>IFERROR(__xludf.DUMMYFUNCTION("""COMPUTED_VALUE"""),46105.82502314815)</f>
        <v>46105.82502</v>
      </c>
      <c r="D1055" s="1">
        <f>IFERROR(__xludf.DUMMYFUNCTION("""COMPUTED_VALUE"""),-24.0)</f>
        <v>-24</v>
      </c>
      <c r="E1055" s="1"/>
      <c r="F1055" s="1"/>
    </row>
    <row r="1056">
      <c r="A1056" s="1" t="str">
        <f>IFERROR(__xludf.DUMMYFUNCTION("""COMPUTED_VALUE"""),"038afa85")</f>
        <v>038afa85</v>
      </c>
      <c r="B1056" s="1" t="str">
        <f>IFERROR(__xludf.DUMMYFUNCTION("""COMPUTED_VALUE"""),"0011")</f>
        <v>0011</v>
      </c>
      <c r="C1056" s="32">
        <f>IFERROR(__xludf.DUMMYFUNCTION("""COMPUTED_VALUE"""),46105.825208333335)</f>
        <v>46105.82521</v>
      </c>
      <c r="D1056" s="1">
        <f>IFERROR(__xludf.DUMMYFUNCTION("""COMPUTED_VALUE"""),-24.0)</f>
        <v>-24</v>
      </c>
      <c r="E1056" s="1"/>
      <c r="F1056" s="1"/>
    </row>
    <row r="1057">
      <c r="A1057" s="1" t="str">
        <f>IFERROR(__xludf.DUMMYFUNCTION("""COMPUTED_VALUE"""),"f2dfb2fc")</f>
        <v>f2dfb2fc</v>
      </c>
      <c r="B1057" s="1" t="str">
        <f>IFERROR(__xludf.DUMMYFUNCTION("""COMPUTED_VALUE"""),"0002")</f>
        <v>0002</v>
      </c>
      <c r="C1057" s="32">
        <f>IFERROR(__xludf.DUMMYFUNCTION("""COMPUTED_VALUE"""),46105.825370370374)</f>
        <v>46105.82537</v>
      </c>
      <c r="D1057" s="1">
        <f>IFERROR(__xludf.DUMMYFUNCTION("""COMPUTED_VALUE"""),-60.0)</f>
        <v>-60</v>
      </c>
      <c r="E1057" s="1"/>
      <c r="F1057" s="1"/>
    </row>
    <row r="1058">
      <c r="A1058" s="1" t="str">
        <f>IFERROR(__xludf.DUMMYFUNCTION("""COMPUTED_VALUE"""),"8dcc2e80")</f>
        <v>8dcc2e80</v>
      </c>
      <c r="B1058" s="1" t="str">
        <f>IFERROR(__xludf.DUMMYFUNCTION("""COMPUTED_VALUE"""),"0021")</f>
        <v>0021</v>
      </c>
      <c r="C1058" s="32">
        <f>IFERROR(__xludf.DUMMYFUNCTION("""COMPUTED_VALUE"""),46105.8271875)</f>
        <v>46105.82719</v>
      </c>
      <c r="D1058" s="1">
        <f>IFERROR(__xludf.DUMMYFUNCTION("""COMPUTED_VALUE"""),-12.0)</f>
        <v>-12</v>
      </c>
      <c r="E1058" s="1"/>
      <c r="F1058" s="1"/>
    </row>
    <row r="1059">
      <c r="A1059" s="1" t="str">
        <f>IFERROR(__xludf.DUMMYFUNCTION("""COMPUTED_VALUE"""),"21987e0e")</f>
        <v>21987e0e</v>
      </c>
      <c r="B1059" s="1" t="str">
        <f>IFERROR(__xludf.DUMMYFUNCTION("""COMPUTED_VALUE"""),"cb9e809e")</f>
        <v>cb9e809e</v>
      </c>
      <c r="C1059" s="32">
        <f>IFERROR(__xludf.DUMMYFUNCTION("""COMPUTED_VALUE"""),46105.82732638889)</f>
        <v>46105.82733</v>
      </c>
      <c r="D1059" s="1">
        <f>IFERROR(__xludf.DUMMYFUNCTION("""COMPUTED_VALUE"""),-13.0)</f>
        <v>-13</v>
      </c>
      <c r="E1059" s="1"/>
      <c r="F1059" s="1"/>
    </row>
    <row r="1060">
      <c r="A1060" s="1" t="str">
        <f>IFERROR(__xludf.DUMMYFUNCTION("""COMPUTED_VALUE"""),"428f10d7")</f>
        <v>428f10d7</v>
      </c>
      <c r="B1060" s="1" t="str">
        <f>IFERROR(__xludf.DUMMYFUNCTION("""COMPUTED_VALUE"""),"cf6c9481")</f>
        <v>cf6c9481</v>
      </c>
      <c r="C1060" s="32">
        <f>IFERROR(__xludf.DUMMYFUNCTION("""COMPUTED_VALUE"""),46105.82748842592)</f>
        <v>46105.82749</v>
      </c>
      <c r="D1060" s="1">
        <f>IFERROR(__xludf.DUMMYFUNCTION("""COMPUTED_VALUE"""),-3.0)</f>
        <v>-3</v>
      </c>
      <c r="E1060" s="1"/>
      <c r="F1060" s="1"/>
    </row>
    <row r="1061">
      <c r="A1061" s="1" t="str">
        <f>IFERROR(__xludf.DUMMYFUNCTION("""COMPUTED_VALUE"""),"2926c8e9")</f>
        <v>2926c8e9</v>
      </c>
      <c r="B1061" s="1" t="str">
        <f>IFERROR(__xludf.DUMMYFUNCTION("""COMPUTED_VALUE"""),"0001")</f>
        <v>0001</v>
      </c>
      <c r="C1061" s="32">
        <f>IFERROR(__xludf.DUMMYFUNCTION("""COMPUTED_VALUE"""),46105.82826388889)</f>
        <v>46105.82826</v>
      </c>
      <c r="D1061" s="1">
        <f>IFERROR(__xludf.DUMMYFUNCTION("""COMPUTED_VALUE"""),-30.0)</f>
        <v>-30</v>
      </c>
      <c r="E1061" s="1"/>
      <c r="F1061" s="1"/>
    </row>
    <row r="1062">
      <c r="A1062" s="1" t="str">
        <f>IFERROR(__xludf.DUMMYFUNCTION("""COMPUTED_VALUE"""),"dc5ea190")</f>
        <v>dc5ea190</v>
      </c>
      <c r="B1062" s="1" t="str">
        <f>IFERROR(__xludf.DUMMYFUNCTION("""COMPUTED_VALUE"""),"12b96290")</f>
        <v>12b96290</v>
      </c>
      <c r="C1062" s="32">
        <f>IFERROR(__xludf.DUMMYFUNCTION("""COMPUTED_VALUE"""),46105.82833333333)</f>
        <v>46105.82833</v>
      </c>
      <c r="D1062" s="1">
        <f>IFERROR(__xludf.DUMMYFUNCTION("""COMPUTED_VALUE"""),-15.0)</f>
        <v>-15</v>
      </c>
      <c r="E1062" s="1"/>
      <c r="F1062" s="1"/>
    </row>
    <row r="1063">
      <c r="A1063" s="1" t="str">
        <f>IFERROR(__xludf.DUMMYFUNCTION("""COMPUTED_VALUE"""),"b83d76ee")</f>
        <v>b83d76ee</v>
      </c>
      <c r="B1063" s="1" t="str">
        <f>IFERROR(__xludf.DUMMYFUNCTION("""COMPUTED_VALUE"""),"bb6c2490")</f>
        <v>bb6c2490</v>
      </c>
      <c r="C1063" s="32">
        <f>IFERROR(__xludf.DUMMYFUNCTION("""COMPUTED_VALUE"""),46105.82840277778)</f>
        <v>46105.8284</v>
      </c>
      <c r="D1063" s="1">
        <f>IFERROR(__xludf.DUMMYFUNCTION("""COMPUTED_VALUE"""),-18.0)</f>
        <v>-18</v>
      </c>
      <c r="E1063" s="1"/>
      <c r="F1063" s="1"/>
    </row>
    <row r="1064">
      <c r="A1064" s="1" t="str">
        <f>IFERROR(__xludf.DUMMYFUNCTION("""COMPUTED_VALUE"""),"c0f1b2c4")</f>
        <v>c0f1b2c4</v>
      </c>
      <c r="B1064" s="1" t="str">
        <f>IFERROR(__xludf.DUMMYFUNCTION("""COMPUTED_VALUE"""),"c099f042")</f>
        <v>c099f042</v>
      </c>
      <c r="C1064" s="32">
        <f>IFERROR(__xludf.DUMMYFUNCTION("""COMPUTED_VALUE"""),46105.82846064815)</f>
        <v>46105.82846</v>
      </c>
      <c r="D1064" s="1">
        <f>IFERROR(__xludf.DUMMYFUNCTION("""COMPUTED_VALUE"""),-7.0)</f>
        <v>-7</v>
      </c>
      <c r="E1064" s="1"/>
      <c r="F1064" s="1"/>
    </row>
    <row r="1065">
      <c r="A1065" s="1" t="str">
        <f>IFERROR(__xludf.DUMMYFUNCTION("""COMPUTED_VALUE"""),"e95199d4")</f>
        <v>e95199d4</v>
      </c>
      <c r="B1065" s="1" t="str">
        <f>IFERROR(__xludf.DUMMYFUNCTION("""COMPUTED_VALUE"""),"bb4d1bd1")</f>
        <v>bb4d1bd1</v>
      </c>
      <c r="C1065" s="32">
        <f>IFERROR(__xludf.DUMMYFUNCTION("""COMPUTED_VALUE"""),46105.828738425924)</f>
        <v>46105.82874</v>
      </c>
      <c r="D1065" s="1">
        <f>IFERROR(__xludf.DUMMYFUNCTION("""COMPUTED_VALUE"""),-24.0)</f>
        <v>-24</v>
      </c>
      <c r="E1065" s="1"/>
      <c r="F1065" s="1"/>
    </row>
    <row r="1066">
      <c r="A1066" s="1" t="str">
        <f>IFERROR(__xludf.DUMMYFUNCTION("""COMPUTED_VALUE"""),"d39a5df4")</f>
        <v>d39a5df4</v>
      </c>
      <c r="B1066" s="1" t="str">
        <f>IFERROR(__xludf.DUMMYFUNCTION("""COMPUTED_VALUE"""),"a19879cf")</f>
        <v>a19879cf</v>
      </c>
      <c r="C1066" s="32">
        <f>IFERROR(__xludf.DUMMYFUNCTION("""COMPUTED_VALUE"""),46105.82890046296)</f>
        <v>46105.8289</v>
      </c>
      <c r="D1066" s="1">
        <f>IFERROR(__xludf.DUMMYFUNCTION("""COMPUTED_VALUE"""),-24.0)</f>
        <v>-24</v>
      </c>
      <c r="E1066" s="1"/>
      <c r="F1066" s="1"/>
    </row>
    <row r="1067">
      <c r="A1067" s="1" t="str">
        <f>IFERROR(__xludf.DUMMYFUNCTION("""COMPUTED_VALUE"""),"f52216f0")</f>
        <v>f52216f0</v>
      </c>
      <c r="B1067" s="1" t="str">
        <f>IFERROR(__xludf.DUMMYFUNCTION("""COMPUTED_VALUE"""),"0021")</f>
        <v>0021</v>
      </c>
      <c r="C1067" s="32">
        <f>IFERROR(__xludf.DUMMYFUNCTION("""COMPUTED_VALUE"""),46105.82916666667)</f>
        <v>46105.82917</v>
      </c>
      <c r="D1067" s="1">
        <f>IFERROR(__xludf.DUMMYFUNCTION("""COMPUTED_VALUE"""),-9.0)</f>
        <v>-9</v>
      </c>
      <c r="E1067" s="1"/>
      <c r="F1067" s="1"/>
    </row>
    <row r="1068">
      <c r="A1068" s="1" t="str">
        <f>IFERROR(__xludf.DUMMYFUNCTION("""COMPUTED_VALUE"""),"ad44b328")</f>
        <v>ad44b328</v>
      </c>
      <c r="B1068" s="1" t="str">
        <f>IFERROR(__xludf.DUMMYFUNCTION("""COMPUTED_VALUE"""),"83dd14b5")</f>
        <v>83dd14b5</v>
      </c>
      <c r="C1068" s="32">
        <f>IFERROR(__xludf.DUMMYFUNCTION("""COMPUTED_VALUE"""),46105.82944444445)</f>
        <v>46105.82944</v>
      </c>
      <c r="D1068" s="1">
        <f>IFERROR(__xludf.DUMMYFUNCTION("""COMPUTED_VALUE"""),-24.0)</f>
        <v>-24</v>
      </c>
      <c r="E1068" s="1"/>
      <c r="F1068" s="1"/>
    </row>
    <row r="1069">
      <c r="A1069" s="1" t="str">
        <f>IFERROR(__xludf.DUMMYFUNCTION("""COMPUTED_VALUE"""),"83bc0cc0")</f>
        <v>83bc0cc0</v>
      </c>
      <c r="B1069" s="1" t="str">
        <f>IFERROR(__xludf.DUMMYFUNCTION("""COMPUTED_VALUE"""),"cb9e809e")</f>
        <v>cb9e809e</v>
      </c>
      <c r="C1069" s="32">
        <f>IFERROR(__xludf.DUMMYFUNCTION("""COMPUTED_VALUE"""),46105.829618055555)</f>
        <v>46105.82962</v>
      </c>
      <c r="D1069" s="1">
        <f>IFERROR(__xludf.DUMMYFUNCTION("""COMPUTED_VALUE"""),-7.0)</f>
        <v>-7</v>
      </c>
      <c r="E1069" s="1"/>
      <c r="F1069" s="1"/>
    </row>
    <row r="1070">
      <c r="A1070" s="1" t="str">
        <f>IFERROR(__xludf.DUMMYFUNCTION("""COMPUTED_VALUE"""),"462d134c")</f>
        <v>462d134c</v>
      </c>
      <c r="B1070" s="1" t="str">
        <f>IFERROR(__xludf.DUMMYFUNCTION("""COMPUTED_VALUE"""),"cf6c9481")</f>
        <v>cf6c9481</v>
      </c>
      <c r="C1070" s="32">
        <f>IFERROR(__xludf.DUMMYFUNCTION("""COMPUTED_VALUE"""),46105.830196759256)</f>
        <v>46105.8302</v>
      </c>
      <c r="D1070" s="1">
        <f>IFERROR(__xludf.DUMMYFUNCTION("""COMPUTED_VALUE"""),-10.0)</f>
        <v>-10</v>
      </c>
      <c r="E1070" s="1"/>
      <c r="F1070" s="1"/>
    </row>
    <row r="1071">
      <c r="A1071" s="1" t="str">
        <f>IFERROR(__xludf.DUMMYFUNCTION("""COMPUTED_VALUE"""),"e5cd236e")</f>
        <v>e5cd236e</v>
      </c>
      <c r="B1071" s="1" t="str">
        <f>IFERROR(__xludf.DUMMYFUNCTION("""COMPUTED_VALUE"""),"0002")</f>
        <v>0002</v>
      </c>
      <c r="C1071" s="32">
        <f>IFERROR(__xludf.DUMMYFUNCTION("""COMPUTED_VALUE"""),46105.830416666664)</f>
        <v>46105.83042</v>
      </c>
      <c r="D1071" s="1">
        <f>IFERROR(__xludf.DUMMYFUNCTION("""COMPUTED_VALUE"""),-36.0)</f>
        <v>-36</v>
      </c>
      <c r="E1071" s="1"/>
      <c r="F1071" s="1"/>
    </row>
    <row r="1072">
      <c r="A1072" s="1" t="str">
        <f>IFERROR(__xludf.DUMMYFUNCTION("""COMPUTED_VALUE"""),"021034ed")</f>
        <v>021034ed</v>
      </c>
      <c r="B1072" s="1" t="str">
        <f>IFERROR(__xludf.DUMMYFUNCTION("""COMPUTED_VALUE"""),"0029")</f>
        <v>0029</v>
      </c>
      <c r="C1072" s="32">
        <f>IFERROR(__xludf.DUMMYFUNCTION("""COMPUTED_VALUE"""),46105.83070601852)</f>
        <v>46105.83071</v>
      </c>
      <c r="D1072" s="1">
        <f>IFERROR(__xludf.DUMMYFUNCTION("""COMPUTED_VALUE"""),-11.0)</f>
        <v>-11</v>
      </c>
      <c r="E1072" s="1"/>
      <c r="F1072" s="1"/>
    </row>
    <row r="1073">
      <c r="A1073" s="1" t="str">
        <f>IFERROR(__xludf.DUMMYFUNCTION("""COMPUTED_VALUE"""),"d4859e61")</f>
        <v>d4859e61</v>
      </c>
      <c r="B1073" s="1" t="str">
        <f>IFERROR(__xludf.DUMMYFUNCTION("""COMPUTED_VALUE"""),"a3f74383")</f>
        <v>a3f74383</v>
      </c>
      <c r="C1073" s="32">
        <f>IFERROR(__xludf.DUMMYFUNCTION("""COMPUTED_VALUE"""),46105.83082175926)</f>
        <v>46105.83082</v>
      </c>
      <c r="D1073" s="1">
        <f>IFERROR(__xludf.DUMMYFUNCTION("""COMPUTED_VALUE"""),-3.0)</f>
        <v>-3</v>
      </c>
      <c r="E1073" s="1"/>
      <c r="F1073" s="1"/>
    </row>
    <row r="1074">
      <c r="A1074" s="1" t="str">
        <f>IFERROR(__xludf.DUMMYFUNCTION("""COMPUTED_VALUE"""),"6aed5cfb")</f>
        <v>6aed5cfb</v>
      </c>
      <c r="B1074" s="1" t="str">
        <f>IFERROR(__xludf.DUMMYFUNCTION("""COMPUTED_VALUE"""),"57a5617b")</f>
        <v>57a5617b</v>
      </c>
      <c r="C1074" s="32">
        <f>IFERROR(__xludf.DUMMYFUNCTION("""COMPUTED_VALUE"""),46105.83096064815)</f>
        <v>46105.83096</v>
      </c>
      <c r="D1074" s="1">
        <f>IFERROR(__xludf.DUMMYFUNCTION("""COMPUTED_VALUE"""),-3.0)</f>
        <v>-3</v>
      </c>
      <c r="E1074" s="1"/>
      <c r="F1074" s="1"/>
    </row>
    <row r="1075">
      <c r="A1075" s="1" t="str">
        <f>IFERROR(__xludf.DUMMYFUNCTION("""COMPUTED_VALUE"""),"807c226f")</f>
        <v>807c226f</v>
      </c>
      <c r="B1075" s="1" t="str">
        <f>IFERROR(__xludf.DUMMYFUNCTION("""COMPUTED_VALUE"""),"0005")</f>
        <v>0005</v>
      </c>
      <c r="C1075" s="32">
        <f>IFERROR(__xludf.DUMMYFUNCTION("""COMPUTED_VALUE"""),46105.83113425926)</f>
        <v>46105.83113</v>
      </c>
      <c r="D1075" s="1">
        <f>IFERROR(__xludf.DUMMYFUNCTION("""COMPUTED_VALUE"""),-4.0)</f>
        <v>-4</v>
      </c>
      <c r="E1075" s="1"/>
      <c r="F1075" s="1"/>
    </row>
    <row r="1076">
      <c r="A1076" s="1" t="str">
        <f>IFERROR(__xludf.DUMMYFUNCTION("""COMPUTED_VALUE"""),"8a0f396e")</f>
        <v>8a0f396e</v>
      </c>
      <c r="B1076" s="1" t="str">
        <f>IFERROR(__xludf.DUMMYFUNCTION("""COMPUTED_VALUE"""),"0054")</f>
        <v>0054</v>
      </c>
      <c r="C1076" s="32">
        <f>IFERROR(__xludf.DUMMYFUNCTION("""COMPUTED_VALUE"""),46105.83163194444)</f>
        <v>46105.83163</v>
      </c>
      <c r="D1076" s="1">
        <f>IFERROR(__xludf.DUMMYFUNCTION("""COMPUTED_VALUE"""),-2.0)</f>
        <v>-2</v>
      </c>
      <c r="E1076" s="1"/>
      <c r="F1076" s="1"/>
    </row>
    <row r="1077">
      <c r="A1077" s="1" t="str">
        <f>IFERROR(__xludf.DUMMYFUNCTION("""COMPUTED_VALUE"""),"6a26ee72")</f>
        <v>6a26ee72</v>
      </c>
      <c r="B1077" s="1" t="str">
        <f>IFERROR(__xludf.DUMMYFUNCTION("""COMPUTED_VALUE"""),"cf6c9481")</f>
        <v>cf6c9481</v>
      </c>
      <c r="C1077" s="32">
        <f>IFERROR(__xludf.DUMMYFUNCTION("""COMPUTED_VALUE"""),46105.92697916667)</f>
        <v>46105.92698</v>
      </c>
      <c r="D1077" s="1">
        <f>IFERROR(__xludf.DUMMYFUNCTION("""COMPUTED_VALUE"""),4.0)</f>
        <v>4</v>
      </c>
      <c r="E1077" s="1"/>
      <c r="F1077" s="1"/>
    </row>
    <row r="1078">
      <c r="A1078" s="1" t="str">
        <f>IFERROR(__xludf.DUMMYFUNCTION("""COMPUTED_VALUE"""),"2525beae")</f>
        <v>2525beae</v>
      </c>
      <c r="B1078" s="1" t="str">
        <f>IFERROR(__xludf.DUMMYFUNCTION("""COMPUTED_VALUE"""),"0021")</f>
        <v>0021</v>
      </c>
      <c r="C1078" s="32">
        <f>IFERROR(__xludf.DUMMYFUNCTION("""COMPUTED_VALUE"""),46105.92722222222)</f>
        <v>46105.92722</v>
      </c>
      <c r="D1078" s="1">
        <f>IFERROR(__xludf.DUMMYFUNCTION("""COMPUTED_VALUE"""),3.0)</f>
        <v>3</v>
      </c>
      <c r="E1078" s="1"/>
      <c r="F1078" s="1"/>
    </row>
    <row r="1079">
      <c r="A1079" s="1" t="str">
        <f>IFERROR(__xludf.DUMMYFUNCTION("""COMPUTED_VALUE"""),"0b9681eb")</f>
        <v>0b9681eb</v>
      </c>
      <c r="B1079" s="1" t="str">
        <f>IFERROR(__xludf.DUMMYFUNCTION("""COMPUTED_VALUE"""),"0049")</f>
        <v>0049</v>
      </c>
      <c r="C1079" s="32">
        <f>IFERROR(__xludf.DUMMYFUNCTION("""COMPUTED_VALUE"""),46105.92733796296)</f>
        <v>46105.92734</v>
      </c>
      <c r="D1079" s="1">
        <f>IFERROR(__xludf.DUMMYFUNCTION("""COMPUTED_VALUE"""),2.0)</f>
        <v>2</v>
      </c>
      <c r="E1079" s="1"/>
      <c r="F1079" s="1"/>
    </row>
    <row r="1080">
      <c r="A1080" s="1" t="str">
        <f>IFERROR(__xludf.DUMMYFUNCTION("""COMPUTED_VALUE"""),"22e53dcf")</f>
        <v>22e53dcf</v>
      </c>
      <c r="B1080" s="1" t="str">
        <f>IFERROR(__xludf.DUMMYFUNCTION("""COMPUTED_VALUE"""),"cb9e809e")</f>
        <v>cb9e809e</v>
      </c>
      <c r="C1080" s="32">
        <f>IFERROR(__xludf.DUMMYFUNCTION("""COMPUTED_VALUE"""),46105.927465277775)</f>
        <v>46105.92747</v>
      </c>
      <c r="D1080" s="1">
        <f>IFERROR(__xludf.DUMMYFUNCTION("""COMPUTED_VALUE"""),1.0)</f>
        <v>1</v>
      </c>
      <c r="E1080" s="1"/>
      <c r="F1080" s="1"/>
    </row>
    <row r="1081">
      <c r="A1081" s="1" t="str">
        <f>IFERROR(__xludf.DUMMYFUNCTION("""COMPUTED_VALUE"""),"5cf56ecf")</f>
        <v>5cf56ecf</v>
      </c>
      <c r="B1081" s="1" t="str">
        <f>IFERROR(__xludf.DUMMYFUNCTION("""COMPUTED_VALUE"""),"0029")</f>
        <v>0029</v>
      </c>
      <c r="C1081" s="32">
        <f>IFERROR(__xludf.DUMMYFUNCTION("""COMPUTED_VALUE"""),46105.9275462963)</f>
        <v>46105.92755</v>
      </c>
      <c r="D1081" s="1">
        <f>IFERROR(__xludf.DUMMYFUNCTION("""COMPUTED_VALUE"""),1.0)</f>
        <v>1</v>
      </c>
      <c r="E1081" s="1"/>
      <c r="F1081" s="1"/>
    </row>
    <row r="1082">
      <c r="A1082" s="1" t="str">
        <f>IFERROR(__xludf.DUMMYFUNCTION("""COMPUTED_VALUE"""),"8d7197cb")</f>
        <v>8d7197cb</v>
      </c>
      <c r="B1082" s="1" t="str">
        <f>IFERROR(__xludf.DUMMYFUNCTION("""COMPUTED_VALUE"""),"57a5617b")</f>
        <v>57a5617b</v>
      </c>
      <c r="C1082" s="32">
        <f>IFERROR(__xludf.DUMMYFUNCTION("""COMPUTED_VALUE"""),46105.927615740744)</f>
        <v>46105.92762</v>
      </c>
      <c r="D1082" s="1">
        <f>IFERROR(__xludf.DUMMYFUNCTION("""COMPUTED_VALUE"""),1.0)</f>
        <v>1</v>
      </c>
      <c r="E1082" s="1"/>
      <c r="F1082" s="1"/>
    </row>
    <row r="1083">
      <c r="A1083" s="1" t="str">
        <f>IFERROR(__xludf.DUMMYFUNCTION("""COMPUTED_VALUE"""),"bbe3d05f")</f>
        <v>bbe3d05f</v>
      </c>
      <c r="B1083" s="1" t="str">
        <f>IFERROR(__xludf.DUMMYFUNCTION("""COMPUTED_VALUE"""),"c099f042")</f>
        <v>c099f042</v>
      </c>
      <c r="C1083" s="32">
        <f>IFERROR(__xludf.DUMMYFUNCTION("""COMPUTED_VALUE"""),46106.481990740744)</f>
        <v>46106.48199</v>
      </c>
      <c r="D1083" s="1">
        <f>IFERROR(__xludf.DUMMYFUNCTION("""COMPUTED_VALUE"""),-5.0)</f>
        <v>-5</v>
      </c>
      <c r="E1083" s="1"/>
      <c r="F1083" s="1"/>
    </row>
    <row r="1084">
      <c r="A1084" s="1" t="str">
        <f>IFERROR(__xludf.DUMMYFUNCTION("""COMPUTED_VALUE"""),"a6405e75")</f>
        <v>a6405e75</v>
      </c>
      <c r="B1084" s="1" t="str">
        <f>IFERROR(__xludf.DUMMYFUNCTION("""COMPUTED_VALUE"""),"bb6c2490")</f>
        <v>bb6c2490</v>
      </c>
      <c r="C1084" s="32">
        <f>IFERROR(__xludf.DUMMYFUNCTION("""COMPUTED_VALUE"""),46106.482152777775)</f>
        <v>46106.48215</v>
      </c>
      <c r="D1084" s="1">
        <f>IFERROR(__xludf.DUMMYFUNCTION("""COMPUTED_VALUE"""),-14.0)</f>
        <v>-14</v>
      </c>
      <c r="E1084" s="1"/>
      <c r="F1084" s="1"/>
    </row>
    <row r="1085">
      <c r="A1085" s="1" t="str">
        <f>IFERROR(__xludf.DUMMYFUNCTION("""COMPUTED_VALUE"""),"2400cf33")</f>
        <v>2400cf33</v>
      </c>
      <c r="B1085" s="1" t="str">
        <f>IFERROR(__xludf.DUMMYFUNCTION("""COMPUTED_VALUE"""),"12b96290")</f>
        <v>12b96290</v>
      </c>
      <c r="C1085" s="32">
        <f>IFERROR(__xludf.DUMMYFUNCTION("""COMPUTED_VALUE"""),46106.48221064815)</f>
        <v>46106.48221</v>
      </c>
      <c r="D1085" s="1">
        <f>IFERROR(__xludf.DUMMYFUNCTION("""COMPUTED_VALUE"""),-14.0)</f>
        <v>-14</v>
      </c>
      <c r="E1085" s="1"/>
      <c r="F1085" s="1"/>
    </row>
    <row r="1086">
      <c r="A1086" s="1" t="str">
        <f>IFERROR(__xludf.DUMMYFUNCTION("""COMPUTED_VALUE"""),"2292a344")</f>
        <v>2292a344</v>
      </c>
      <c r="B1086" s="1" t="str">
        <f>IFERROR(__xludf.DUMMYFUNCTION("""COMPUTED_VALUE"""),"0001")</f>
        <v>0001</v>
      </c>
      <c r="C1086" s="32">
        <f>IFERROR(__xludf.DUMMYFUNCTION("""COMPUTED_VALUE"""),46106.48229166667)</f>
        <v>46106.48229</v>
      </c>
      <c r="D1086" s="1">
        <f>IFERROR(__xludf.DUMMYFUNCTION("""COMPUTED_VALUE"""),-14.0)</f>
        <v>-14</v>
      </c>
      <c r="E1086" s="1"/>
      <c r="F1086" s="1"/>
    </row>
    <row r="1087">
      <c r="A1087" s="1" t="str">
        <f>IFERROR(__xludf.DUMMYFUNCTION("""COMPUTED_VALUE"""),"726061fb")</f>
        <v>726061fb</v>
      </c>
      <c r="B1087" s="1" t="str">
        <f>IFERROR(__xludf.DUMMYFUNCTION("""COMPUTED_VALUE"""),"0038")</f>
        <v>0038</v>
      </c>
      <c r="C1087" s="32">
        <f>IFERROR(__xludf.DUMMYFUNCTION("""COMPUTED_VALUE"""),46106.48241898148)</f>
        <v>46106.48242</v>
      </c>
      <c r="D1087" s="1">
        <f>IFERROR(__xludf.DUMMYFUNCTION("""COMPUTED_VALUE"""),-5.0)</f>
        <v>-5</v>
      </c>
      <c r="E1087" s="1"/>
      <c r="F1087" s="1"/>
    </row>
    <row r="1088">
      <c r="A1088" s="1" t="str">
        <f>IFERROR(__xludf.DUMMYFUNCTION("""COMPUTED_VALUE"""),"a96332bd")</f>
        <v>a96332bd</v>
      </c>
      <c r="B1088" s="1" t="str">
        <f>IFERROR(__xludf.DUMMYFUNCTION("""COMPUTED_VALUE"""),"0033")</f>
        <v>0033</v>
      </c>
      <c r="C1088" s="32">
        <f>IFERROR(__xludf.DUMMYFUNCTION("""COMPUTED_VALUE"""),46106.48253472222)</f>
        <v>46106.48253</v>
      </c>
      <c r="D1088" s="1">
        <f>IFERROR(__xludf.DUMMYFUNCTION("""COMPUTED_VALUE"""),-7.0)</f>
        <v>-7</v>
      </c>
      <c r="E1088" s="1"/>
      <c r="F1088" s="1"/>
    </row>
    <row r="1089">
      <c r="A1089" s="1" t="str">
        <f>IFERROR(__xludf.DUMMYFUNCTION("""COMPUTED_VALUE"""),"c3846c82")</f>
        <v>c3846c82</v>
      </c>
      <c r="B1089" s="1" t="str">
        <f>IFERROR(__xludf.DUMMYFUNCTION("""COMPUTED_VALUE"""),"0019")</f>
        <v>0019</v>
      </c>
      <c r="C1089" s="32">
        <f>IFERROR(__xludf.DUMMYFUNCTION("""COMPUTED_VALUE"""),46106.48339120371)</f>
        <v>46106.48339</v>
      </c>
      <c r="D1089" s="1">
        <f>IFERROR(__xludf.DUMMYFUNCTION("""COMPUTED_VALUE"""),-12.0)</f>
        <v>-12</v>
      </c>
      <c r="E1089" s="1"/>
      <c r="F1089" s="1"/>
    </row>
    <row r="1090">
      <c r="A1090" s="1" t="str">
        <f>IFERROR(__xludf.DUMMYFUNCTION("""COMPUTED_VALUE"""),"efc0daf4")</f>
        <v>efc0daf4</v>
      </c>
      <c r="B1090" s="1" t="str">
        <f>IFERROR(__xludf.DUMMYFUNCTION("""COMPUTED_VALUE"""),"0014")</f>
        <v>0014</v>
      </c>
      <c r="C1090" s="32">
        <f>IFERROR(__xludf.DUMMYFUNCTION("""COMPUTED_VALUE"""),46106.48407407408)</f>
        <v>46106.48407</v>
      </c>
      <c r="D1090" s="1">
        <f>IFERROR(__xludf.DUMMYFUNCTION("""COMPUTED_VALUE"""),-10.0)</f>
        <v>-10</v>
      </c>
      <c r="E1090" s="1"/>
      <c r="F1090" s="1"/>
    </row>
    <row r="1091">
      <c r="A1091" s="1" t="str">
        <f>IFERROR(__xludf.DUMMYFUNCTION("""COMPUTED_VALUE"""),"7ee4c4bd")</f>
        <v>7ee4c4bd</v>
      </c>
      <c r="B1091" s="1" t="str">
        <f>IFERROR(__xludf.DUMMYFUNCTION("""COMPUTED_VALUE"""),"0027")</f>
        <v>0027</v>
      </c>
      <c r="C1091" s="32">
        <f>IFERROR(__xludf.DUMMYFUNCTION("""COMPUTED_VALUE"""),46106.48434027778)</f>
        <v>46106.48434</v>
      </c>
      <c r="D1091" s="1">
        <f>IFERROR(__xludf.DUMMYFUNCTION("""COMPUTED_VALUE"""),-5.0)</f>
        <v>-5</v>
      </c>
      <c r="E1091" s="1"/>
      <c r="F1091" s="1"/>
    </row>
    <row r="1092">
      <c r="A1092" s="1" t="str">
        <f>IFERROR(__xludf.DUMMYFUNCTION("""COMPUTED_VALUE"""),"5778a05e")</f>
        <v>5778a05e</v>
      </c>
      <c r="B1092" s="1" t="str">
        <f>IFERROR(__xludf.DUMMYFUNCTION("""COMPUTED_VALUE"""),"0021")</f>
        <v>0021</v>
      </c>
      <c r="C1092" s="32">
        <f>IFERROR(__xludf.DUMMYFUNCTION("""COMPUTED_VALUE"""),46106.48546296296)</f>
        <v>46106.48546</v>
      </c>
      <c r="D1092" s="1">
        <f>IFERROR(__xludf.DUMMYFUNCTION("""COMPUTED_VALUE"""),-17.0)</f>
        <v>-17</v>
      </c>
      <c r="E1092" s="1"/>
      <c r="F1092" s="1"/>
    </row>
    <row r="1093">
      <c r="A1093" s="1" t="str">
        <f>IFERROR(__xludf.DUMMYFUNCTION("""COMPUTED_VALUE"""),"b4d33ec4")</f>
        <v>b4d33ec4</v>
      </c>
      <c r="B1093" s="1" t="str">
        <f>IFERROR(__xludf.DUMMYFUNCTION("""COMPUTED_VALUE"""),"0016")</f>
        <v>0016</v>
      </c>
      <c r="C1093" s="32">
        <f>IFERROR(__xludf.DUMMYFUNCTION("""COMPUTED_VALUE"""),46106.485555555555)</f>
        <v>46106.48556</v>
      </c>
      <c r="D1093" s="1">
        <f>IFERROR(__xludf.DUMMYFUNCTION("""COMPUTED_VALUE"""),-16.0)</f>
        <v>-16</v>
      </c>
      <c r="E1093" s="1"/>
      <c r="F1093" s="1"/>
    </row>
    <row r="1094">
      <c r="A1094" s="1" t="str">
        <f>IFERROR(__xludf.DUMMYFUNCTION("""COMPUTED_VALUE"""),"0270838d")</f>
        <v>0270838d</v>
      </c>
      <c r="B1094" s="1" t="str">
        <f>IFERROR(__xludf.DUMMYFUNCTION("""COMPUTED_VALUE"""),"27c8f623")</f>
        <v>27c8f623</v>
      </c>
      <c r="C1094" s="32">
        <f>IFERROR(__xludf.DUMMYFUNCTION("""COMPUTED_VALUE"""),46106.48741898148)</f>
        <v>46106.48742</v>
      </c>
      <c r="D1094" s="1">
        <f>IFERROR(__xludf.DUMMYFUNCTION("""COMPUTED_VALUE"""),-7.0)</f>
        <v>-7</v>
      </c>
      <c r="E1094" s="1"/>
      <c r="F1094" s="1"/>
    </row>
    <row r="1095">
      <c r="A1095" s="1" t="str">
        <f>IFERROR(__xludf.DUMMYFUNCTION("""COMPUTED_VALUE"""),"30abc278")</f>
        <v>30abc278</v>
      </c>
      <c r="B1095" s="1" t="str">
        <f>IFERROR(__xludf.DUMMYFUNCTION("""COMPUTED_VALUE"""),"bb4d1bd1")</f>
        <v>bb4d1bd1</v>
      </c>
      <c r="C1095" s="32">
        <f>IFERROR(__xludf.DUMMYFUNCTION("""COMPUTED_VALUE"""),46106.48753472222)</f>
        <v>46106.48753</v>
      </c>
      <c r="D1095" s="1">
        <f>IFERROR(__xludf.DUMMYFUNCTION("""COMPUTED_VALUE"""),-10.0)</f>
        <v>-10</v>
      </c>
      <c r="E1095" s="1"/>
      <c r="F1095" s="1"/>
    </row>
    <row r="1096">
      <c r="A1096" s="1" t="str">
        <f>IFERROR(__xludf.DUMMYFUNCTION("""COMPUTED_VALUE"""),"6e49c1b5")</f>
        <v>6e49c1b5</v>
      </c>
      <c r="B1096" s="1" t="str">
        <f>IFERROR(__xludf.DUMMYFUNCTION("""COMPUTED_VALUE"""),"a19879cf")</f>
        <v>a19879cf</v>
      </c>
      <c r="C1096" s="32">
        <f>IFERROR(__xludf.DUMMYFUNCTION("""COMPUTED_VALUE"""),46106.48771990741)</f>
        <v>46106.48772</v>
      </c>
      <c r="D1096" s="1">
        <f>IFERROR(__xludf.DUMMYFUNCTION("""COMPUTED_VALUE"""),-24.0)</f>
        <v>-24</v>
      </c>
      <c r="E1096" s="1"/>
      <c r="F1096" s="1"/>
    </row>
    <row r="1097">
      <c r="A1097" s="1" t="str">
        <f>IFERROR(__xludf.DUMMYFUNCTION("""COMPUTED_VALUE"""),"9c1558b3")</f>
        <v>9c1558b3</v>
      </c>
      <c r="B1097" s="1" t="str">
        <f>IFERROR(__xludf.DUMMYFUNCTION("""COMPUTED_VALUE"""),"1b6b5ed6")</f>
        <v>1b6b5ed6</v>
      </c>
      <c r="C1097" s="32">
        <f>IFERROR(__xludf.DUMMYFUNCTION("""COMPUTED_VALUE"""),46106.48814814815)</f>
        <v>46106.48815</v>
      </c>
      <c r="D1097" s="1">
        <f>IFERROR(__xludf.DUMMYFUNCTION("""COMPUTED_VALUE"""),-24.0)</f>
        <v>-24</v>
      </c>
      <c r="E1097" s="1"/>
      <c r="F1097" s="1"/>
    </row>
    <row r="1098">
      <c r="A1098" s="1" t="str">
        <f>IFERROR(__xludf.DUMMYFUNCTION("""COMPUTED_VALUE"""),"48e69eb2")</f>
        <v>48e69eb2</v>
      </c>
      <c r="B1098" s="1" t="str">
        <f>IFERROR(__xludf.DUMMYFUNCTION("""COMPUTED_VALUE"""),"0064")</f>
        <v>0064</v>
      </c>
      <c r="C1098" s="32">
        <f>IFERROR(__xludf.DUMMYFUNCTION("""COMPUTED_VALUE"""),46106.48849537037)</f>
        <v>46106.4885</v>
      </c>
      <c r="D1098" s="1">
        <f>IFERROR(__xludf.DUMMYFUNCTION("""COMPUTED_VALUE"""),-8.0)</f>
        <v>-8</v>
      </c>
      <c r="E1098" s="1"/>
      <c r="F1098" s="1"/>
    </row>
    <row r="1099">
      <c r="A1099" s="1" t="str">
        <f>IFERROR(__xludf.DUMMYFUNCTION("""COMPUTED_VALUE"""),"7edd809a")</f>
        <v>7edd809a</v>
      </c>
      <c r="B1099" s="1" t="str">
        <f>IFERROR(__xludf.DUMMYFUNCTION("""COMPUTED_VALUE"""),"a3f74383")</f>
        <v>a3f74383</v>
      </c>
      <c r="C1099" s="32">
        <f>IFERROR(__xludf.DUMMYFUNCTION("""COMPUTED_VALUE"""),46106.48961805556)</f>
        <v>46106.48962</v>
      </c>
      <c r="D1099" s="1">
        <f>IFERROR(__xludf.DUMMYFUNCTION("""COMPUTED_VALUE"""),-21.0)</f>
        <v>-21</v>
      </c>
      <c r="E1099" s="1"/>
      <c r="F1099" s="1"/>
    </row>
    <row r="1100">
      <c r="A1100" s="1" t="str">
        <f>IFERROR(__xludf.DUMMYFUNCTION("""COMPUTED_VALUE"""),"8a8235ae")</f>
        <v>8a8235ae</v>
      </c>
      <c r="B1100" s="1" t="str">
        <f>IFERROR(__xludf.DUMMYFUNCTION("""COMPUTED_VALUE"""),"0054")</f>
        <v>0054</v>
      </c>
      <c r="C1100" s="32">
        <f>IFERROR(__xludf.DUMMYFUNCTION("""COMPUTED_VALUE"""),46106.48983796296)</f>
        <v>46106.48984</v>
      </c>
      <c r="D1100" s="1">
        <f>IFERROR(__xludf.DUMMYFUNCTION("""COMPUTED_VALUE"""),-3.0)</f>
        <v>-3</v>
      </c>
      <c r="E1100" s="1"/>
      <c r="F1100" s="1"/>
    </row>
    <row r="1101">
      <c r="A1101" s="1" t="str">
        <f>IFERROR(__xludf.DUMMYFUNCTION("""COMPUTED_VALUE"""),"4c3378a3")</f>
        <v>4c3378a3</v>
      </c>
      <c r="B1101" s="1" t="str">
        <f>IFERROR(__xludf.DUMMYFUNCTION("""COMPUTED_VALUE"""),"57a5617b")</f>
        <v>57a5617b</v>
      </c>
      <c r="C1101" s="32">
        <f>IFERROR(__xludf.DUMMYFUNCTION("""COMPUTED_VALUE"""),46106.490625)</f>
        <v>46106.49063</v>
      </c>
      <c r="D1101" s="1">
        <f>IFERROR(__xludf.DUMMYFUNCTION("""COMPUTED_VALUE"""),-7.0)</f>
        <v>-7</v>
      </c>
      <c r="E1101" s="1"/>
      <c r="F1101" s="1"/>
    </row>
    <row r="1102">
      <c r="A1102" s="1" t="str">
        <f>IFERROR(__xludf.DUMMYFUNCTION("""COMPUTED_VALUE"""),"b01ad810")</f>
        <v>b01ad810</v>
      </c>
      <c r="B1102" s="1" t="str">
        <f>IFERROR(__xludf.DUMMYFUNCTION("""COMPUTED_VALUE"""),"0f694cb5")</f>
        <v>0f694cb5</v>
      </c>
      <c r="C1102" s="32">
        <f>IFERROR(__xludf.DUMMYFUNCTION("""COMPUTED_VALUE"""),46106.49101851852)</f>
        <v>46106.49102</v>
      </c>
      <c r="D1102" s="1">
        <f>IFERROR(__xludf.DUMMYFUNCTION("""COMPUTED_VALUE"""),-7.0)</f>
        <v>-7</v>
      </c>
      <c r="E1102" s="1"/>
      <c r="F1102" s="1"/>
    </row>
    <row r="1103">
      <c r="A1103" s="1" t="str">
        <f>IFERROR(__xludf.DUMMYFUNCTION("""COMPUTED_VALUE"""),"b07dfc54")</f>
        <v>b07dfc54</v>
      </c>
      <c r="B1103" s="1" t="str">
        <f>IFERROR(__xludf.DUMMYFUNCTION("""COMPUTED_VALUE"""),"0011")</f>
        <v>0011</v>
      </c>
      <c r="C1103" s="32">
        <f>IFERROR(__xludf.DUMMYFUNCTION("""COMPUTED_VALUE"""),46106.491435185184)</f>
        <v>46106.49144</v>
      </c>
      <c r="D1103" s="1">
        <f>IFERROR(__xludf.DUMMYFUNCTION("""COMPUTED_VALUE"""),-12.0)</f>
        <v>-12</v>
      </c>
      <c r="E1103" s="1"/>
      <c r="F1103" s="1"/>
    </row>
    <row r="1104">
      <c r="A1104" s="1" t="str">
        <f>IFERROR(__xludf.DUMMYFUNCTION("""COMPUTED_VALUE"""),"9cb3e197")</f>
        <v>9cb3e197</v>
      </c>
      <c r="B1104" s="1" t="str">
        <f>IFERROR(__xludf.DUMMYFUNCTION("""COMPUTED_VALUE"""),"0002")</f>
        <v>0002</v>
      </c>
      <c r="C1104" s="32">
        <f>IFERROR(__xludf.DUMMYFUNCTION("""COMPUTED_VALUE"""),46106.49253472222)</f>
        <v>46106.49253</v>
      </c>
      <c r="D1104" s="1">
        <f>IFERROR(__xludf.DUMMYFUNCTION("""COMPUTED_VALUE"""),-48.0)</f>
        <v>-48</v>
      </c>
      <c r="E1104" s="1"/>
      <c r="F1104" s="1"/>
    </row>
    <row r="1105">
      <c r="A1105" s="1" t="str">
        <f>IFERROR(__xludf.DUMMYFUNCTION("""COMPUTED_VALUE"""),"0895a5f1")</f>
        <v>0895a5f1</v>
      </c>
      <c r="B1105" s="1" t="str">
        <f>IFERROR(__xludf.DUMMYFUNCTION("""COMPUTED_VALUE"""),"1b6b5ed6")</f>
        <v>1b6b5ed6</v>
      </c>
      <c r="C1105" s="32">
        <f>IFERROR(__xludf.DUMMYFUNCTION("""COMPUTED_VALUE"""),46106.55856481481)</f>
        <v>46106.55856</v>
      </c>
      <c r="D1105" s="1">
        <f>IFERROR(__xludf.DUMMYFUNCTION("""COMPUTED_VALUE"""),3.0)</f>
        <v>3</v>
      </c>
      <c r="E1105" s="1"/>
      <c r="F1105" s="1"/>
    </row>
    <row r="1106">
      <c r="A1106" s="1" t="str">
        <f>IFERROR(__xludf.DUMMYFUNCTION("""COMPUTED_VALUE"""),"48cd1f26")</f>
        <v>48cd1f26</v>
      </c>
      <c r="B1106" s="1" t="str">
        <f>IFERROR(__xludf.DUMMYFUNCTION("""COMPUTED_VALUE"""),"0011")</f>
        <v>0011</v>
      </c>
      <c r="C1106" s="32">
        <f>IFERROR(__xludf.DUMMYFUNCTION("""COMPUTED_VALUE"""),46106.61373842593)</f>
        <v>46106.61374</v>
      </c>
      <c r="D1106" s="1">
        <f>IFERROR(__xludf.DUMMYFUNCTION("""COMPUTED_VALUE"""),240.0)</f>
        <v>240</v>
      </c>
      <c r="E1106" s="1" t="str">
        <f>IFERROR(__xludf.DUMMYFUNCTION("""COMPUTED_VALUE"""),"41b292a0")</f>
        <v>41b292a0</v>
      </c>
      <c r="F1106" s="1"/>
    </row>
    <row r="1107">
      <c r="A1107" s="1" t="str">
        <f>IFERROR(__xludf.DUMMYFUNCTION("""COMPUTED_VALUE"""),"fde6d2e4")</f>
        <v>fde6d2e4</v>
      </c>
      <c r="B1107" s="1" t="str">
        <f>IFERROR(__xludf.DUMMYFUNCTION("""COMPUTED_VALUE"""),"c099f042")</f>
        <v>c099f042</v>
      </c>
      <c r="C1107" s="32">
        <f>IFERROR(__xludf.DUMMYFUNCTION("""COMPUTED_VALUE"""),46106.61381944444)</f>
        <v>46106.61382</v>
      </c>
      <c r="D1107" s="1">
        <f>IFERROR(__xludf.DUMMYFUNCTION("""COMPUTED_VALUE"""),140.0)</f>
        <v>140</v>
      </c>
      <c r="E1107" s="1" t="str">
        <f>IFERROR(__xludf.DUMMYFUNCTION("""COMPUTED_VALUE"""),"41b292a0")</f>
        <v>41b292a0</v>
      </c>
      <c r="F1107" s="1"/>
    </row>
    <row r="1108">
      <c r="A1108" s="1" t="str">
        <f>IFERROR(__xludf.DUMMYFUNCTION("""COMPUTED_VALUE"""),"450f4a63")</f>
        <v>450f4a63</v>
      </c>
      <c r="B1108" s="1" t="str">
        <f>IFERROR(__xludf.DUMMYFUNCTION("""COMPUTED_VALUE"""),"83dd14b5")</f>
        <v>83dd14b5</v>
      </c>
      <c r="C1108" s="32">
        <f>IFERROR(__xludf.DUMMYFUNCTION("""COMPUTED_VALUE"""),46106.613912037035)</f>
        <v>46106.61391</v>
      </c>
      <c r="D1108" s="1">
        <f>IFERROR(__xludf.DUMMYFUNCTION("""COMPUTED_VALUE"""),240.0)</f>
        <v>240</v>
      </c>
      <c r="E1108" s="1" t="str">
        <f>IFERROR(__xludf.DUMMYFUNCTION("""COMPUTED_VALUE"""),"41b292a0")</f>
        <v>41b292a0</v>
      </c>
      <c r="F1108" s="1"/>
    </row>
    <row r="1109">
      <c r="A1109" s="1" t="str">
        <f>IFERROR(__xludf.DUMMYFUNCTION("""COMPUTED_VALUE"""),"0ab39507")</f>
        <v>0ab39507</v>
      </c>
      <c r="B1109" s="1" t="str">
        <f>IFERROR(__xludf.DUMMYFUNCTION("""COMPUTED_VALUE"""),"0019")</f>
        <v>0019</v>
      </c>
      <c r="C1109" s="32">
        <f>IFERROR(__xludf.DUMMYFUNCTION("""COMPUTED_VALUE"""),46106.61400462963)</f>
        <v>46106.614</v>
      </c>
      <c r="D1109" s="1">
        <f>IFERROR(__xludf.DUMMYFUNCTION("""COMPUTED_VALUE"""),72.0)</f>
        <v>72</v>
      </c>
      <c r="E1109" s="1" t="str">
        <f>IFERROR(__xludf.DUMMYFUNCTION("""COMPUTED_VALUE"""),"41b292a0")</f>
        <v>41b292a0</v>
      </c>
      <c r="F1109" s="1"/>
    </row>
    <row r="1110">
      <c r="A1110" s="1" t="str">
        <f>IFERROR(__xludf.DUMMYFUNCTION("""COMPUTED_VALUE"""),"6ef815c8")</f>
        <v>6ef815c8</v>
      </c>
      <c r="B1110" s="1" t="str">
        <f>IFERROR(__xludf.DUMMYFUNCTION("""COMPUTED_VALUE"""),"0021")</f>
        <v>0021</v>
      </c>
      <c r="C1110" s="32">
        <f>IFERROR(__xludf.DUMMYFUNCTION("""COMPUTED_VALUE"""),46106.61505787037)</f>
        <v>46106.61506</v>
      </c>
      <c r="D1110" s="1">
        <f>IFERROR(__xludf.DUMMYFUNCTION("""COMPUTED_VALUE"""),120.0)</f>
        <v>120</v>
      </c>
      <c r="E1110" s="1" t="str">
        <f>IFERROR(__xludf.DUMMYFUNCTION("""COMPUTED_VALUE"""),"316f5491")</f>
        <v>316f5491</v>
      </c>
      <c r="F1110" s="1"/>
    </row>
    <row r="1111">
      <c r="A1111" s="1" t="str">
        <f>IFERROR(__xludf.DUMMYFUNCTION("""COMPUTED_VALUE"""),"f64d3609")</f>
        <v>f64d3609</v>
      </c>
      <c r="B1111" s="1" t="str">
        <f>IFERROR(__xludf.DUMMYFUNCTION("""COMPUTED_VALUE"""),"0033")</f>
        <v>0033</v>
      </c>
      <c r="C1111" s="32">
        <f>IFERROR(__xludf.DUMMYFUNCTION("""COMPUTED_VALUE"""),46106.61515046296)</f>
        <v>46106.61515</v>
      </c>
      <c r="D1111" s="1">
        <f>IFERROR(__xludf.DUMMYFUNCTION("""COMPUTED_VALUE"""),24.0)</f>
        <v>24</v>
      </c>
      <c r="E1111" s="1" t="str">
        <f>IFERROR(__xludf.DUMMYFUNCTION("""COMPUTED_VALUE"""),"316f5491")</f>
        <v>316f5491</v>
      </c>
      <c r="F1111" s="1"/>
    </row>
    <row r="1112">
      <c r="A1112" s="1" t="str">
        <f>IFERROR(__xludf.DUMMYFUNCTION("""COMPUTED_VALUE"""),"1fa613a5")</f>
        <v>1fa613a5</v>
      </c>
      <c r="B1112" s="1" t="str">
        <f>IFERROR(__xludf.DUMMYFUNCTION("""COMPUTED_VALUE"""),"0038")</f>
        <v>0038</v>
      </c>
      <c r="C1112" s="32">
        <f>IFERROR(__xludf.DUMMYFUNCTION("""COMPUTED_VALUE"""),46106.61524305555)</f>
        <v>46106.61524</v>
      </c>
      <c r="D1112" s="1">
        <f>IFERROR(__xludf.DUMMYFUNCTION("""COMPUTED_VALUE"""),16.0)</f>
        <v>16</v>
      </c>
      <c r="E1112" s="1" t="str">
        <f>IFERROR(__xludf.DUMMYFUNCTION("""COMPUTED_VALUE"""),"316f5491")</f>
        <v>316f5491</v>
      </c>
      <c r="F1112" s="1"/>
    </row>
    <row r="1113">
      <c r="A1113" s="1" t="str">
        <f>IFERROR(__xludf.DUMMYFUNCTION("""COMPUTED_VALUE"""),"3cc59124")</f>
        <v>3cc59124</v>
      </c>
      <c r="B1113" s="1" t="str">
        <f>IFERROR(__xludf.DUMMYFUNCTION("""COMPUTED_VALUE"""),"0001")</f>
        <v>0001</v>
      </c>
      <c r="C1113" s="32">
        <f>IFERROR(__xludf.DUMMYFUNCTION("""COMPUTED_VALUE"""),46106.6153125)</f>
        <v>46106.61531</v>
      </c>
      <c r="D1113" s="1">
        <f>IFERROR(__xludf.DUMMYFUNCTION("""COMPUTED_VALUE"""),195.0)</f>
        <v>195</v>
      </c>
      <c r="E1113" s="1" t="str">
        <f>IFERROR(__xludf.DUMMYFUNCTION("""COMPUTED_VALUE"""),"316f5491")</f>
        <v>316f5491</v>
      </c>
      <c r="F1113" s="1"/>
    </row>
    <row r="1114">
      <c r="A1114" s="1" t="str">
        <f>IFERROR(__xludf.DUMMYFUNCTION("""COMPUTED_VALUE"""),"35fe9bcf")</f>
        <v>35fe9bcf</v>
      </c>
      <c r="B1114" s="1" t="str">
        <f>IFERROR(__xludf.DUMMYFUNCTION("""COMPUTED_VALUE"""),"12b96290")</f>
        <v>12b96290</v>
      </c>
      <c r="C1114" s="32">
        <f>IFERROR(__xludf.DUMMYFUNCTION("""COMPUTED_VALUE"""),46106.61540509259)</f>
        <v>46106.61541</v>
      </c>
      <c r="D1114" s="1">
        <f>IFERROR(__xludf.DUMMYFUNCTION("""COMPUTED_VALUE"""),105.0)</f>
        <v>105</v>
      </c>
      <c r="E1114" s="1" t="str">
        <f>IFERROR(__xludf.DUMMYFUNCTION("""COMPUTED_VALUE"""),"316f5491")</f>
        <v>316f5491</v>
      </c>
      <c r="F1114" s="1"/>
    </row>
    <row r="1115">
      <c r="A1115" s="1" t="str">
        <f>IFERROR(__xludf.DUMMYFUNCTION("""COMPUTED_VALUE"""),"1be55a3e")</f>
        <v>1be55a3e</v>
      </c>
      <c r="B1115" s="1" t="str">
        <f>IFERROR(__xludf.DUMMYFUNCTION("""COMPUTED_VALUE"""),"0054")</f>
        <v>0054</v>
      </c>
      <c r="C1115" s="32">
        <f>IFERROR(__xludf.DUMMYFUNCTION("""COMPUTED_VALUE"""),46106.615578703706)</f>
        <v>46106.61558</v>
      </c>
      <c r="D1115" s="1">
        <f>IFERROR(__xludf.DUMMYFUNCTION("""COMPUTED_VALUE"""),48.0)</f>
        <v>48</v>
      </c>
      <c r="E1115" s="1" t="str">
        <f>IFERROR(__xludf.DUMMYFUNCTION("""COMPUTED_VALUE"""),"316f5491")</f>
        <v>316f5491</v>
      </c>
      <c r="F1115" s="1"/>
    </row>
    <row r="1116">
      <c r="A1116" s="1" t="str">
        <f>IFERROR(__xludf.DUMMYFUNCTION("""COMPUTED_VALUE"""),"d9f12217")</f>
        <v>d9f12217</v>
      </c>
      <c r="B1116" s="1" t="str">
        <f>IFERROR(__xludf.DUMMYFUNCTION("""COMPUTED_VALUE"""),"a3f74383")</f>
        <v>a3f74383</v>
      </c>
      <c r="C1116" s="32">
        <f>IFERROR(__xludf.DUMMYFUNCTION("""COMPUTED_VALUE"""),46106.61572916667)</f>
        <v>46106.61573</v>
      </c>
      <c r="D1116" s="1">
        <f>IFERROR(__xludf.DUMMYFUNCTION("""COMPUTED_VALUE"""),48.0)</f>
        <v>48</v>
      </c>
      <c r="E1116" s="1" t="str">
        <f>IFERROR(__xludf.DUMMYFUNCTION("""COMPUTED_VALUE"""),"316f5491")</f>
        <v>316f5491</v>
      </c>
      <c r="F1116" s="1"/>
    </row>
    <row r="1117">
      <c r="A1117" s="1" t="str">
        <f>IFERROR(__xludf.DUMMYFUNCTION("""COMPUTED_VALUE"""),"76d51325")</f>
        <v>76d51325</v>
      </c>
      <c r="B1117" s="1" t="str">
        <f>IFERROR(__xludf.DUMMYFUNCTION("""COMPUTED_VALUE"""),"57a5617b")</f>
        <v>57a5617b</v>
      </c>
      <c r="C1117" s="32">
        <f>IFERROR(__xludf.DUMMYFUNCTION("""COMPUTED_VALUE"""),46106.616122685184)</f>
        <v>46106.61612</v>
      </c>
      <c r="D1117" s="1">
        <f>IFERROR(__xludf.DUMMYFUNCTION("""COMPUTED_VALUE"""),24.0)</f>
        <v>24</v>
      </c>
      <c r="E1117" s="1" t="str">
        <f>IFERROR(__xludf.DUMMYFUNCTION("""COMPUTED_VALUE"""),"316f5491")</f>
        <v>316f5491</v>
      </c>
      <c r="F1117" s="1"/>
    </row>
    <row r="1118">
      <c r="A1118" s="1" t="str">
        <f>IFERROR(__xludf.DUMMYFUNCTION("""COMPUTED_VALUE"""),"598b02da")</f>
        <v>598b02da</v>
      </c>
      <c r="B1118" s="1" t="str">
        <f>IFERROR(__xludf.DUMMYFUNCTION("""COMPUTED_VALUE"""),"bb6c2490")</f>
        <v>bb6c2490</v>
      </c>
      <c r="C1118" s="32">
        <f>IFERROR(__xludf.DUMMYFUNCTION("""COMPUTED_VALUE"""),46106.6183912037)</f>
        <v>46106.61839</v>
      </c>
      <c r="D1118" s="1">
        <f>IFERROR(__xludf.DUMMYFUNCTION("""COMPUTED_VALUE"""),144.0)</f>
        <v>144</v>
      </c>
      <c r="E1118" s="1" t="str">
        <f>IFERROR(__xludf.DUMMYFUNCTION("""COMPUTED_VALUE"""),"011b17d4")</f>
        <v>011b17d4</v>
      </c>
      <c r="F1118" s="1"/>
    </row>
    <row r="1119">
      <c r="A1119" s="1" t="str">
        <f>IFERROR(__xludf.DUMMYFUNCTION("""COMPUTED_VALUE"""),"767101ee")</f>
        <v>767101ee</v>
      </c>
      <c r="B1119" s="1" t="str">
        <f>IFERROR(__xludf.DUMMYFUNCTION("""COMPUTED_VALUE"""),"bb4d1bd1")</f>
        <v>bb4d1bd1</v>
      </c>
      <c r="C1119" s="32">
        <f>IFERROR(__xludf.DUMMYFUNCTION("""COMPUTED_VALUE"""),46106.61846064815)</f>
        <v>46106.61846</v>
      </c>
      <c r="D1119" s="1">
        <f>IFERROR(__xludf.DUMMYFUNCTION("""COMPUTED_VALUE"""),72.0)</f>
        <v>72</v>
      </c>
      <c r="E1119" s="1" t="str">
        <f>IFERROR(__xludf.DUMMYFUNCTION("""COMPUTED_VALUE"""),"011b17d4")</f>
        <v>011b17d4</v>
      </c>
      <c r="F1119" s="1"/>
    </row>
    <row r="1120">
      <c r="A1120" s="1" t="str">
        <f>IFERROR(__xludf.DUMMYFUNCTION("""COMPUTED_VALUE"""),"c1a76a9d")</f>
        <v>c1a76a9d</v>
      </c>
      <c r="B1120" s="1" t="str">
        <f>IFERROR(__xludf.DUMMYFUNCTION("""COMPUTED_VALUE"""),"0005")</f>
        <v>0005</v>
      </c>
      <c r="C1120" s="32">
        <f>IFERROR(__xludf.DUMMYFUNCTION("""COMPUTED_VALUE"""),46106.61851851852)</f>
        <v>46106.61852</v>
      </c>
      <c r="D1120" s="1">
        <f>IFERROR(__xludf.DUMMYFUNCTION("""COMPUTED_VALUE"""),24.0)</f>
        <v>24</v>
      </c>
      <c r="E1120" s="1" t="str">
        <f>IFERROR(__xludf.DUMMYFUNCTION("""COMPUTED_VALUE"""),"011b17d4")</f>
        <v>011b17d4</v>
      </c>
      <c r="F1120" s="1"/>
    </row>
    <row r="1121">
      <c r="A1121" s="1" t="str">
        <f>IFERROR(__xludf.DUMMYFUNCTION("""COMPUTED_VALUE"""),"00725a15")</f>
        <v>00725a15</v>
      </c>
      <c r="B1121" s="1" t="str">
        <f>IFERROR(__xludf.DUMMYFUNCTION("""COMPUTED_VALUE"""),"a19879cf")</f>
        <v>a19879cf</v>
      </c>
      <c r="C1121" s="32">
        <f>IFERROR(__xludf.DUMMYFUNCTION("""COMPUTED_VALUE"""),46106.61858796296)</f>
        <v>46106.61859</v>
      </c>
      <c r="D1121" s="1">
        <f>IFERROR(__xludf.DUMMYFUNCTION("""COMPUTED_VALUE"""),72.0)</f>
        <v>72</v>
      </c>
      <c r="E1121" s="1" t="str">
        <f>IFERROR(__xludf.DUMMYFUNCTION("""COMPUTED_VALUE"""),"011b17d4")</f>
        <v>011b17d4</v>
      </c>
      <c r="F1121" s="1"/>
    </row>
    <row r="1122">
      <c r="A1122" s="1" t="str">
        <f>IFERROR(__xludf.DUMMYFUNCTION("""COMPUTED_VALUE"""),"a8dd30c7")</f>
        <v>a8dd30c7</v>
      </c>
      <c r="B1122" s="1" t="str">
        <f>IFERROR(__xludf.DUMMYFUNCTION("""COMPUTED_VALUE"""),"02d86a9b")</f>
        <v>02d86a9b</v>
      </c>
      <c r="C1122" s="32">
        <f>IFERROR(__xludf.DUMMYFUNCTION("""COMPUTED_VALUE"""),46106.61866898148)</f>
        <v>46106.61867</v>
      </c>
      <c r="D1122" s="1">
        <f>IFERROR(__xludf.DUMMYFUNCTION("""COMPUTED_VALUE"""),48.0)</f>
        <v>48</v>
      </c>
      <c r="E1122" s="1" t="str">
        <f>IFERROR(__xludf.DUMMYFUNCTION("""COMPUTED_VALUE"""),"011b17d4")</f>
        <v>011b17d4</v>
      </c>
      <c r="F1122" s="1"/>
    </row>
    <row r="1123">
      <c r="A1123" s="1" t="str">
        <f>IFERROR(__xludf.DUMMYFUNCTION("""COMPUTED_VALUE"""),"9a3bd5cb")</f>
        <v>9a3bd5cb</v>
      </c>
      <c r="B1123" s="1" t="str">
        <f>IFERROR(__xludf.DUMMYFUNCTION("""COMPUTED_VALUE"""),"27c8f623")</f>
        <v>27c8f623</v>
      </c>
      <c r="C1123" s="32">
        <f>IFERROR(__xludf.DUMMYFUNCTION("""COMPUTED_VALUE"""),46106.618738425925)</f>
        <v>46106.61874</v>
      </c>
      <c r="D1123" s="1">
        <f>IFERROR(__xludf.DUMMYFUNCTION("""COMPUTED_VALUE"""),48.0)</f>
        <v>48</v>
      </c>
      <c r="E1123" s="1" t="str">
        <f>IFERROR(__xludf.DUMMYFUNCTION("""COMPUTED_VALUE"""),"011b17d4")</f>
        <v>011b17d4</v>
      </c>
      <c r="F1123" s="1"/>
    </row>
    <row r="1124">
      <c r="A1124" s="1" t="str">
        <f>IFERROR(__xludf.DUMMYFUNCTION("""COMPUTED_VALUE"""),"bf442d25")</f>
        <v>bf442d25</v>
      </c>
      <c r="B1124" s="1" t="str">
        <f>IFERROR(__xludf.DUMMYFUNCTION("""COMPUTED_VALUE"""),"0014")</f>
        <v>0014</v>
      </c>
      <c r="C1124" s="32">
        <f>IFERROR(__xludf.DUMMYFUNCTION("""COMPUTED_VALUE"""),46106.61883101852)</f>
        <v>46106.61883</v>
      </c>
      <c r="D1124" s="1">
        <f>IFERROR(__xludf.DUMMYFUNCTION("""COMPUTED_VALUE"""),10.0)</f>
        <v>10</v>
      </c>
      <c r="E1124" s="1" t="str">
        <f>IFERROR(__xludf.DUMMYFUNCTION("""COMPUTED_VALUE"""),"011b17d4")</f>
        <v>011b17d4</v>
      </c>
      <c r="F1124" s="1"/>
    </row>
    <row r="1125">
      <c r="A1125" s="1" t="str">
        <f>IFERROR(__xludf.DUMMYFUNCTION("""COMPUTED_VALUE"""),"f897582a")</f>
        <v>f897582a</v>
      </c>
      <c r="B1125" s="1" t="str">
        <f>IFERROR(__xludf.DUMMYFUNCTION("""COMPUTED_VALUE"""),"cb9e809e")</f>
        <v>cb9e809e</v>
      </c>
      <c r="C1125" s="32">
        <f>IFERROR(__xludf.DUMMYFUNCTION("""COMPUTED_VALUE"""),46106.61888888889)</f>
        <v>46106.61889</v>
      </c>
      <c r="D1125" s="1">
        <f>IFERROR(__xludf.DUMMYFUNCTION("""COMPUTED_VALUE"""),84.0)</f>
        <v>84</v>
      </c>
      <c r="E1125" s="1" t="str">
        <f>IFERROR(__xludf.DUMMYFUNCTION("""COMPUTED_VALUE"""),"011b17d4")</f>
        <v>011b17d4</v>
      </c>
      <c r="F1125" s="1"/>
    </row>
    <row r="1126">
      <c r="A1126" s="1" t="str">
        <f>IFERROR(__xludf.DUMMYFUNCTION("""COMPUTED_VALUE"""),"5c75f9cb")</f>
        <v>5c75f9cb</v>
      </c>
      <c r="B1126" s="1" t="str">
        <f>IFERROR(__xludf.DUMMYFUNCTION("""COMPUTED_VALUE"""),"0049")</f>
        <v>0049</v>
      </c>
      <c r="C1126" s="32">
        <f>IFERROR(__xludf.DUMMYFUNCTION("""COMPUTED_VALUE"""),46106.61895833333)</f>
        <v>46106.61896</v>
      </c>
      <c r="D1126" s="1">
        <f>IFERROR(__xludf.DUMMYFUNCTION("""COMPUTED_VALUE"""),48.0)</f>
        <v>48</v>
      </c>
      <c r="E1126" s="1" t="str">
        <f>IFERROR(__xludf.DUMMYFUNCTION("""COMPUTED_VALUE"""),"011b17d4")</f>
        <v>011b17d4</v>
      </c>
      <c r="F1126" s="1"/>
    </row>
    <row r="1127">
      <c r="A1127" s="1" t="str">
        <f>IFERROR(__xludf.DUMMYFUNCTION("""COMPUTED_VALUE"""),"eb0cbf27")</f>
        <v>eb0cbf27</v>
      </c>
      <c r="B1127" s="1" t="str">
        <f>IFERROR(__xludf.DUMMYFUNCTION("""COMPUTED_VALUE"""),"0086")</f>
        <v>0086</v>
      </c>
      <c r="C1127" s="32">
        <f>IFERROR(__xludf.DUMMYFUNCTION("""COMPUTED_VALUE"""),46106.61908564815)</f>
        <v>46106.61909</v>
      </c>
      <c r="D1127" s="1">
        <f>IFERROR(__xludf.DUMMYFUNCTION("""COMPUTED_VALUE"""),60.0)</f>
        <v>60</v>
      </c>
      <c r="E1127" s="1" t="str">
        <f>IFERROR(__xludf.DUMMYFUNCTION("""COMPUTED_VALUE"""),"fa6cc36f")</f>
        <v>fa6cc36f</v>
      </c>
      <c r="F1127" s="1"/>
    </row>
    <row r="1128">
      <c r="A1128" s="1" t="str">
        <f>IFERROR(__xludf.DUMMYFUNCTION("""COMPUTED_VALUE"""),"4d2090e4")</f>
        <v>4d2090e4</v>
      </c>
      <c r="B1128" s="1" t="str">
        <f>IFERROR(__xludf.DUMMYFUNCTION("""COMPUTED_VALUE"""),"cf6c9481")</f>
        <v>cf6c9481</v>
      </c>
      <c r="C1128" s="32">
        <f>IFERROR(__xludf.DUMMYFUNCTION("""COMPUTED_VALUE"""),46106.61914351852)</f>
        <v>46106.61914</v>
      </c>
      <c r="D1128" s="1">
        <f>IFERROR(__xludf.DUMMYFUNCTION("""COMPUTED_VALUE"""),22.0)</f>
        <v>22</v>
      </c>
      <c r="E1128" s="1" t="str">
        <f>IFERROR(__xludf.DUMMYFUNCTION("""COMPUTED_VALUE"""),"fa6cc36f")</f>
        <v>fa6cc36f</v>
      </c>
      <c r="F1128" s="1"/>
    </row>
    <row r="1129">
      <c r="A1129" s="1" t="str">
        <f>IFERROR(__xludf.DUMMYFUNCTION("""COMPUTED_VALUE"""),"cfea1e30")</f>
        <v>cfea1e30</v>
      </c>
      <c r="B1129" s="1" t="str">
        <f>IFERROR(__xludf.DUMMYFUNCTION("""COMPUTED_VALUE"""),"0029")</f>
        <v>0029</v>
      </c>
      <c r="C1129" s="32">
        <f>IFERROR(__xludf.DUMMYFUNCTION("""COMPUTED_VALUE"""),46106.63505787037)</f>
        <v>46106.63506</v>
      </c>
      <c r="D1129" s="1">
        <f>IFERROR(__xludf.DUMMYFUNCTION("""COMPUTED_VALUE"""),120.0)</f>
        <v>120</v>
      </c>
      <c r="E1129" s="1" t="str">
        <f>IFERROR(__xludf.DUMMYFUNCTION("""COMPUTED_VALUE"""),"ad41d324")</f>
        <v>ad41d324</v>
      </c>
      <c r="F1129" s="1"/>
    </row>
    <row r="1130">
      <c r="A1130" s="1" t="str">
        <f>IFERROR(__xludf.DUMMYFUNCTION("""COMPUTED_VALUE"""),"581d7ec3")</f>
        <v>581d7ec3</v>
      </c>
      <c r="B1130" s="1" t="str">
        <f>IFERROR(__xludf.DUMMYFUNCTION("""COMPUTED_VALUE"""),"0054")</f>
        <v>0054</v>
      </c>
      <c r="C1130" s="32">
        <f>IFERROR(__xludf.DUMMYFUNCTION("""COMPUTED_VALUE"""),46106.63512731482)</f>
        <v>46106.63513</v>
      </c>
      <c r="D1130" s="1">
        <f>IFERROR(__xludf.DUMMYFUNCTION("""COMPUTED_VALUE"""),72.0)</f>
        <v>72</v>
      </c>
      <c r="E1130" s="1" t="str">
        <f>IFERROR(__xludf.DUMMYFUNCTION("""COMPUTED_VALUE"""),"ad41d324")</f>
        <v>ad41d324</v>
      </c>
      <c r="F1130" s="1"/>
    </row>
    <row r="1131">
      <c r="A1131" s="1" t="str">
        <f>IFERROR(__xludf.DUMMYFUNCTION("""COMPUTED_VALUE"""),"96ac3f76")</f>
        <v>96ac3f76</v>
      </c>
      <c r="B1131" s="1" t="str">
        <f>IFERROR(__xludf.DUMMYFUNCTION("""COMPUTED_VALUE"""),"a3f74383")</f>
        <v>a3f74383</v>
      </c>
      <c r="C1131" s="32">
        <f>IFERROR(__xludf.DUMMYFUNCTION("""COMPUTED_VALUE"""),46106.64275462963)</f>
        <v>46106.64275</v>
      </c>
      <c r="D1131" s="1">
        <f>IFERROR(__xludf.DUMMYFUNCTION("""COMPUTED_VALUE"""),72.0)</f>
        <v>72</v>
      </c>
      <c r="E1131" s="1" t="str">
        <f>IFERROR(__xludf.DUMMYFUNCTION("""COMPUTED_VALUE"""),"ad41d324")</f>
        <v>ad41d324</v>
      </c>
      <c r="F1131" s="1"/>
    </row>
    <row r="1132">
      <c r="A1132" s="1" t="str">
        <f>IFERROR(__xludf.DUMMYFUNCTION("""COMPUTED_VALUE"""),"1cef3e94")</f>
        <v>1cef3e94</v>
      </c>
      <c r="B1132" s="1" t="str">
        <f>IFERROR(__xludf.DUMMYFUNCTION("""COMPUTED_VALUE"""),"0053")</f>
        <v>0053</v>
      </c>
      <c r="C1132" s="32">
        <f>IFERROR(__xludf.DUMMYFUNCTION("""COMPUTED_VALUE"""),46106.64282407407)</f>
        <v>46106.64282</v>
      </c>
      <c r="D1132" s="1">
        <f>IFERROR(__xludf.DUMMYFUNCTION("""COMPUTED_VALUE"""),24.0)</f>
        <v>24</v>
      </c>
      <c r="E1132" s="1" t="str">
        <f>IFERROR(__xludf.DUMMYFUNCTION("""COMPUTED_VALUE"""),"ad41d324")</f>
        <v>ad41d324</v>
      </c>
      <c r="F1132" s="1"/>
    </row>
    <row r="1133">
      <c r="A1133" s="1" t="str">
        <f>IFERROR(__xludf.DUMMYFUNCTION("""COMPUTED_VALUE"""),"61147a88")</f>
        <v>61147a88</v>
      </c>
      <c r="B1133" s="1" t="str">
        <f>IFERROR(__xludf.DUMMYFUNCTION("""COMPUTED_VALUE"""),"0002")</f>
        <v>0002</v>
      </c>
      <c r="C1133" s="32">
        <f>IFERROR(__xludf.DUMMYFUNCTION("""COMPUTED_VALUE"""),46106.643113425926)</f>
        <v>46106.64311</v>
      </c>
      <c r="D1133" s="1">
        <f>IFERROR(__xludf.DUMMYFUNCTION("""COMPUTED_VALUE"""),600.0)</f>
        <v>600</v>
      </c>
      <c r="E1133" s="1" t="str">
        <f>IFERROR(__xludf.DUMMYFUNCTION("""COMPUTED_VALUE"""),"bd35a5cf")</f>
        <v>bd35a5cf</v>
      </c>
      <c r="F1133" s="1"/>
    </row>
    <row r="1134">
      <c r="A1134" s="1" t="str">
        <f>IFERROR(__xludf.DUMMYFUNCTION("""COMPUTED_VALUE"""),"85a85613")</f>
        <v>85a85613</v>
      </c>
      <c r="B1134" s="1" t="str">
        <f>IFERROR(__xludf.DUMMYFUNCTION("""COMPUTED_VALUE"""),"c099f042")</f>
        <v>c099f042</v>
      </c>
      <c r="C1134" s="32">
        <f>IFERROR(__xludf.DUMMYFUNCTION("""COMPUTED_VALUE"""),46107.405706018515)</f>
        <v>46107.40571</v>
      </c>
      <c r="D1134" s="1">
        <f>IFERROR(__xludf.DUMMYFUNCTION("""COMPUTED_VALUE"""),-7.0)</f>
        <v>-7</v>
      </c>
      <c r="E1134" s="1"/>
      <c r="F1134" s="1"/>
    </row>
    <row r="1135">
      <c r="A1135" s="1" t="str">
        <f>IFERROR(__xludf.DUMMYFUNCTION("""COMPUTED_VALUE"""),"4544d19c")</f>
        <v>4544d19c</v>
      </c>
      <c r="B1135" s="1" t="str">
        <f>IFERROR(__xludf.DUMMYFUNCTION("""COMPUTED_VALUE"""),"bb6c2490")</f>
        <v>bb6c2490</v>
      </c>
      <c r="C1135" s="32">
        <f>IFERROR(__xludf.DUMMYFUNCTION("""COMPUTED_VALUE"""),46107.40582175926)</f>
        <v>46107.40582</v>
      </c>
      <c r="D1135" s="1">
        <f>IFERROR(__xludf.DUMMYFUNCTION("""COMPUTED_VALUE"""),-14.0)</f>
        <v>-14</v>
      </c>
      <c r="E1135" s="1"/>
      <c r="F1135" s="1"/>
    </row>
    <row r="1136">
      <c r="A1136" s="1" t="str">
        <f>IFERROR(__xludf.DUMMYFUNCTION("""COMPUTED_VALUE"""),"09414dc3")</f>
        <v>09414dc3</v>
      </c>
      <c r="B1136" s="1" t="str">
        <f>IFERROR(__xludf.DUMMYFUNCTION("""COMPUTED_VALUE"""),"27c8f623")</f>
        <v>27c8f623</v>
      </c>
      <c r="C1136" s="32">
        <f>IFERROR(__xludf.DUMMYFUNCTION("""COMPUTED_VALUE"""),46107.406006944446)</f>
        <v>46107.40601</v>
      </c>
      <c r="D1136" s="1">
        <f>IFERROR(__xludf.DUMMYFUNCTION("""COMPUTED_VALUE"""),-5.0)</f>
        <v>-5</v>
      </c>
      <c r="E1136" s="1"/>
      <c r="F1136" s="1"/>
    </row>
    <row r="1137">
      <c r="A1137" s="1" t="str">
        <f>IFERROR(__xludf.DUMMYFUNCTION("""COMPUTED_VALUE"""),"b31e5f00")</f>
        <v>b31e5f00</v>
      </c>
      <c r="B1137" s="1" t="str">
        <f>IFERROR(__xludf.DUMMYFUNCTION("""COMPUTED_VALUE"""),"bb4d1bd1")</f>
        <v>bb4d1bd1</v>
      </c>
      <c r="C1137" s="32">
        <f>IFERROR(__xludf.DUMMYFUNCTION("""COMPUTED_VALUE"""),46107.40621527778)</f>
        <v>46107.40622</v>
      </c>
      <c r="D1137" s="1">
        <f>IFERROR(__xludf.DUMMYFUNCTION("""COMPUTED_VALUE"""),-5.0)</f>
        <v>-5</v>
      </c>
      <c r="E1137" s="1"/>
      <c r="F1137" s="1"/>
    </row>
    <row r="1138">
      <c r="A1138" s="1" t="str">
        <f>IFERROR(__xludf.DUMMYFUNCTION("""COMPUTED_VALUE"""),"d92cea66")</f>
        <v>d92cea66</v>
      </c>
      <c r="B1138" s="1" t="str">
        <f>IFERROR(__xludf.DUMMYFUNCTION("""COMPUTED_VALUE"""),"cb9e809e")</f>
        <v>cb9e809e</v>
      </c>
      <c r="C1138" s="32">
        <f>IFERROR(__xludf.DUMMYFUNCTION("""COMPUTED_VALUE"""),46107.40635416667)</f>
        <v>46107.40635</v>
      </c>
      <c r="D1138" s="1">
        <f>IFERROR(__xludf.DUMMYFUNCTION("""COMPUTED_VALUE"""),-12.0)</f>
        <v>-12</v>
      </c>
      <c r="E1138" s="1"/>
      <c r="F1138" s="1"/>
    </row>
    <row r="1139">
      <c r="A1139" s="1" t="str">
        <f>IFERROR(__xludf.DUMMYFUNCTION("""COMPUTED_VALUE"""),"ee14cbd4")</f>
        <v>ee14cbd4</v>
      </c>
      <c r="B1139" s="1" t="str">
        <f>IFERROR(__xludf.DUMMYFUNCTION("""COMPUTED_VALUE"""),"cf6c9481")</f>
        <v>cf6c9481</v>
      </c>
      <c r="C1139" s="32">
        <f>IFERROR(__xludf.DUMMYFUNCTION("""COMPUTED_VALUE"""),46107.4065162037)</f>
        <v>46107.40652</v>
      </c>
      <c r="D1139" s="1">
        <f>IFERROR(__xludf.DUMMYFUNCTION("""COMPUTED_VALUE"""),-5.0)</f>
        <v>-5</v>
      </c>
      <c r="E1139" s="1"/>
      <c r="F1139" s="1"/>
    </row>
    <row r="1140">
      <c r="A1140" s="1" t="str">
        <f>IFERROR(__xludf.DUMMYFUNCTION("""COMPUTED_VALUE"""),"858b16fa")</f>
        <v>858b16fa</v>
      </c>
      <c r="B1140" s="1" t="str">
        <f>IFERROR(__xludf.DUMMYFUNCTION("""COMPUTED_VALUE"""),"0029")</f>
        <v>0029</v>
      </c>
      <c r="C1140" s="32">
        <f>IFERROR(__xludf.DUMMYFUNCTION("""COMPUTED_VALUE"""),46107.40665509259)</f>
        <v>46107.40666</v>
      </c>
      <c r="D1140" s="1">
        <f>IFERROR(__xludf.DUMMYFUNCTION("""COMPUTED_VALUE"""),-3.0)</f>
        <v>-3</v>
      </c>
      <c r="E1140" s="1"/>
      <c r="F1140" s="1"/>
    </row>
    <row r="1141">
      <c r="A1141" s="1" t="str">
        <f>IFERROR(__xludf.DUMMYFUNCTION("""COMPUTED_VALUE"""),"80caf363")</f>
        <v>80caf363</v>
      </c>
      <c r="B1141" s="1" t="str">
        <f>IFERROR(__xludf.DUMMYFUNCTION("""COMPUTED_VALUE"""),"0053")</f>
        <v>0053</v>
      </c>
      <c r="C1141" s="32">
        <f>IFERROR(__xludf.DUMMYFUNCTION("""COMPUTED_VALUE"""),46107.4068287037)</f>
        <v>46107.40683</v>
      </c>
      <c r="D1141" s="1">
        <f>IFERROR(__xludf.DUMMYFUNCTION("""COMPUTED_VALUE"""),-4.0)</f>
        <v>-4</v>
      </c>
      <c r="E1141" s="1"/>
      <c r="F1141" s="1"/>
    </row>
    <row r="1142">
      <c r="A1142" s="1" t="str">
        <f>IFERROR(__xludf.DUMMYFUNCTION("""COMPUTED_VALUE"""),"4cb6955e")</f>
        <v>4cb6955e</v>
      </c>
      <c r="B1142" s="1" t="str">
        <f>IFERROR(__xludf.DUMMYFUNCTION("""COMPUTED_VALUE"""),"0011")</f>
        <v>0011</v>
      </c>
      <c r="C1142" s="32">
        <f>IFERROR(__xludf.DUMMYFUNCTION("""COMPUTED_VALUE"""),46107.40696759259)</f>
        <v>46107.40697</v>
      </c>
      <c r="D1142" s="1">
        <f>IFERROR(__xludf.DUMMYFUNCTION("""COMPUTED_VALUE"""),-8.0)</f>
        <v>-8</v>
      </c>
      <c r="E1142" s="1"/>
      <c r="F1142" s="1"/>
    </row>
    <row r="1143">
      <c r="A1143" s="1" t="str">
        <f>IFERROR(__xludf.DUMMYFUNCTION("""COMPUTED_VALUE"""),"437a2716")</f>
        <v>437a2716</v>
      </c>
      <c r="B1143" s="1" t="str">
        <f>IFERROR(__xludf.DUMMYFUNCTION("""COMPUTED_VALUE"""),"c099f042")</f>
        <v>c099f042</v>
      </c>
      <c r="C1143" s="32">
        <f>IFERROR(__xludf.DUMMYFUNCTION("""COMPUTED_VALUE"""),46107.40710648148)</f>
        <v>46107.40711</v>
      </c>
      <c r="D1143" s="1">
        <f>IFERROR(__xludf.DUMMYFUNCTION("""COMPUTED_VALUE"""),-14.0)</f>
        <v>-14</v>
      </c>
      <c r="E1143" s="1"/>
      <c r="F1143" s="1"/>
    </row>
    <row r="1144">
      <c r="A1144" s="1" t="str">
        <f>IFERROR(__xludf.DUMMYFUNCTION("""COMPUTED_VALUE"""),"9030649a")</f>
        <v>9030649a</v>
      </c>
      <c r="B1144" s="1" t="str">
        <f>IFERROR(__xludf.DUMMYFUNCTION("""COMPUTED_VALUE"""),"bb6c2490")</f>
        <v>bb6c2490</v>
      </c>
      <c r="C1144" s="32">
        <f>IFERROR(__xludf.DUMMYFUNCTION("""COMPUTED_VALUE"""),46107.4071875)</f>
        <v>46107.40719</v>
      </c>
      <c r="D1144" s="1">
        <f>IFERROR(__xludf.DUMMYFUNCTION("""COMPUTED_VALUE"""),-14.0)</f>
        <v>-14</v>
      </c>
      <c r="E1144" s="1"/>
      <c r="F1144" s="1"/>
    </row>
    <row r="1145">
      <c r="A1145" s="1" t="str">
        <f>IFERROR(__xludf.DUMMYFUNCTION("""COMPUTED_VALUE"""),"80a79818")</f>
        <v>80a79818</v>
      </c>
      <c r="B1145" s="1" t="str">
        <f>IFERROR(__xludf.DUMMYFUNCTION("""COMPUTED_VALUE"""),"0001")</f>
        <v>0001</v>
      </c>
      <c r="C1145" s="32">
        <f>IFERROR(__xludf.DUMMYFUNCTION("""COMPUTED_VALUE"""),46107.4075)</f>
        <v>46107.4075</v>
      </c>
      <c r="D1145" s="1">
        <f>IFERROR(__xludf.DUMMYFUNCTION("""COMPUTED_VALUE"""),-15.0)</f>
        <v>-15</v>
      </c>
      <c r="E1145" s="1"/>
      <c r="F1145" s="1"/>
    </row>
    <row r="1146">
      <c r="A1146" s="1" t="str">
        <f>IFERROR(__xludf.DUMMYFUNCTION("""COMPUTED_VALUE"""),"20c5279c")</f>
        <v>20c5279c</v>
      </c>
      <c r="B1146" s="1" t="str">
        <f>IFERROR(__xludf.DUMMYFUNCTION("""COMPUTED_VALUE"""),"12b96290")</f>
        <v>12b96290</v>
      </c>
      <c r="C1146" s="32">
        <f>IFERROR(__xludf.DUMMYFUNCTION("""COMPUTED_VALUE"""),46107.40758101852)</f>
        <v>46107.40758</v>
      </c>
      <c r="D1146" s="1">
        <f>IFERROR(__xludf.DUMMYFUNCTION("""COMPUTED_VALUE"""),-15.0)</f>
        <v>-15</v>
      </c>
      <c r="E1146" s="1"/>
      <c r="F1146" s="1"/>
    </row>
    <row r="1147">
      <c r="A1147" s="1" t="str">
        <f>IFERROR(__xludf.DUMMYFUNCTION("""COMPUTED_VALUE"""),"ef2151b7")</f>
        <v>ef2151b7</v>
      </c>
      <c r="B1147" s="1" t="str">
        <f>IFERROR(__xludf.DUMMYFUNCTION("""COMPUTED_VALUE"""),"27c8f623")</f>
        <v>27c8f623</v>
      </c>
      <c r="C1147" s="32">
        <f>IFERROR(__xludf.DUMMYFUNCTION("""COMPUTED_VALUE"""),46107.40855324074)</f>
        <v>46107.40855</v>
      </c>
      <c r="D1147" s="1">
        <f>IFERROR(__xludf.DUMMYFUNCTION("""COMPUTED_VALUE"""),-12.0)</f>
        <v>-12</v>
      </c>
      <c r="E1147" s="1"/>
      <c r="F1147" s="1"/>
    </row>
    <row r="1148">
      <c r="A1148" s="1" t="str">
        <f>IFERROR(__xludf.DUMMYFUNCTION("""COMPUTED_VALUE"""),"99ce055b")</f>
        <v>99ce055b</v>
      </c>
      <c r="B1148" s="1" t="str">
        <f>IFERROR(__xludf.DUMMYFUNCTION("""COMPUTED_VALUE"""),"bb4d1bd1")</f>
        <v>bb4d1bd1</v>
      </c>
      <c r="C1148" s="32">
        <f>IFERROR(__xludf.DUMMYFUNCTION("""COMPUTED_VALUE"""),46107.40864583333)</f>
        <v>46107.40865</v>
      </c>
      <c r="D1148" s="1">
        <f>IFERROR(__xludf.DUMMYFUNCTION("""COMPUTED_VALUE"""),-9.0)</f>
        <v>-9</v>
      </c>
      <c r="E1148" s="1"/>
      <c r="F1148" s="1"/>
    </row>
    <row r="1149">
      <c r="A1149" s="1" t="str">
        <f>IFERROR(__xludf.DUMMYFUNCTION("""COMPUTED_VALUE"""),"4f1668ce")</f>
        <v>4f1668ce</v>
      </c>
      <c r="B1149" s="1" t="str">
        <f>IFERROR(__xludf.DUMMYFUNCTION("""COMPUTED_VALUE"""),"27c8f623")</f>
        <v>27c8f623</v>
      </c>
      <c r="C1149" s="32">
        <f>IFERROR(__xludf.DUMMYFUNCTION("""COMPUTED_VALUE"""),46107.409004629626)</f>
        <v>46107.409</v>
      </c>
      <c r="D1149" s="1">
        <f>IFERROR(__xludf.DUMMYFUNCTION("""COMPUTED_VALUE"""),-24.0)</f>
        <v>-24</v>
      </c>
      <c r="E1149" s="1"/>
      <c r="F1149" s="1"/>
    </row>
    <row r="1150">
      <c r="A1150" s="1" t="str">
        <f>IFERROR(__xludf.DUMMYFUNCTION("""COMPUTED_VALUE"""),"e122f4a7")</f>
        <v>e122f4a7</v>
      </c>
      <c r="B1150" s="1" t="str">
        <f>IFERROR(__xludf.DUMMYFUNCTION("""COMPUTED_VALUE"""),"0065")</f>
        <v>0065</v>
      </c>
      <c r="C1150" s="32">
        <f>IFERROR(__xludf.DUMMYFUNCTION("""COMPUTED_VALUE"""),46107.409270833334)</f>
        <v>46107.40927</v>
      </c>
      <c r="D1150" s="1">
        <f>IFERROR(__xludf.DUMMYFUNCTION("""COMPUTED_VALUE"""),-12.0)</f>
        <v>-12</v>
      </c>
      <c r="E1150" s="1"/>
      <c r="F1150" s="1"/>
    </row>
    <row r="1151">
      <c r="A1151" s="1" t="str">
        <f>IFERROR(__xludf.DUMMYFUNCTION("""COMPUTED_VALUE"""),"e74690a9")</f>
        <v>e74690a9</v>
      </c>
      <c r="B1151" s="1" t="str">
        <f>IFERROR(__xludf.DUMMYFUNCTION("""COMPUTED_VALUE"""),"cb9e809e")</f>
        <v>cb9e809e</v>
      </c>
      <c r="C1151" s="32">
        <f>IFERROR(__xludf.DUMMYFUNCTION("""COMPUTED_VALUE"""),46107.40943287037)</f>
        <v>46107.40943</v>
      </c>
      <c r="D1151" s="1">
        <f>IFERROR(__xludf.DUMMYFUNCTION("""COMPUTED_VALUE"""),-14.0)</f>
        <v>-14</v>
      </c>
      <c r="E1151" s="1"/>
      <c r="F1151" s="1"/>
    </row>
    <row r="1152">
      <c r="A1152" s="1" t="str">
        <f>IFERROR(__xludf.DUMMYFUNCTION("""COMPUTED_VALUE"""),"b8783e0d")</f>
        <v>b8783e0d</v>
      </c>
      <c r="B1152" s="1" t="str">
        <f>IFERROR(__xludf.DUMMYFUNCTION("""COMPUTED_VALUE"""),"cf6c9481")</f>
        <v>cf6c9481</v>
      </c>
      <c r="C1152" s="32">
        <f>IFERROR(__xludf.DUMMYFUNCTION("""COMPUTED_VALUE"""),46107.410150462965)</f>
        <v>46107.41015</v>
      </c>
      <c r="D1152" s="1">
        <f>IFERROR(__xludf.DUMMYFUNCTION("""COMPUTED_VALUE"""),-5.0)</f>
        <v>-5</v>
      </c>
      <c r="E1152" s="1"/>
      <c r="F1152" s="1"/>
    </row>
    <row r="1153">
      <c r="A1153" s="1" t="str">
        <f>IFERROR(__xludf.DUMMYFUNCTION("""COMPUTED_VALUE"""),"02f6e1ea")</f>
        <v>02f6e1ea</v>
      </c>
      <c r="B1153" s="1" t="str">
        <f>IFERROR(__xludf.DUMMYFUNCTION("""COMPUTED_VALUE"""),"0049")</f>
        <v>0049</v>
      </c>
      <c r="C1153" s="32">
        <f>IFERROR(__xludf.DUMMYFUNCTION("""COMPUTED_VALUE"""),46107.41055555556)</f>
        <v>46107.41056</v>
      </c>
      <c r="D1153" s="1">
        <f>IFERROR(__xludf.DUMMYFUNCTION("""COMPUTED_VALUE"""),-10.0)</f>
        <v>-10</v>
      </c>
      <c r="E1153" s="1"/>
      <c r="F1153" s="1"/>
    </row>
    <row r="1154">
      <c r="A1154" s="1" t="str">
        <f>IFERROR(__xludf.DUMMYFUNCTION("""COMPUTED_VALUE"""),"0ca6326f")</f>
        <v>0ca6326f</v>
      </c>
      <c r="B1154" s="1" t="str">
        <f>IFERROR(__xludf.DUMMYFUNCTION("""COMPUTED_VALUE"""),"0064")</f>
        <v>0064</v>
      </c>
      <c r="C1154" s="32">
        <f>IFERROR(__xludf.DUMMYFUNCTION("""COMPUTED_VALUE"""),46107.41149305556)</f>
        <v>46107.41149</v>
      </c>
      <c r="D1154" s="1">
        <f>IFERROR(__xludf.DUMMYFUNCTION("""COMPUTED_VALUE"""),-8.0)</f>
        <v>-8</v>
      </c>
      <c r="E1154" s="1"/>
      <c r="F1154" s="1"/>
    </row>
    <row r="1155">
      <c r="A1155" s="1" t="str">
        <f>IFERROR(__xludf.DUMMYFUNCTION("""COMPUTED_VALUE"""),"77f4db13")</f>
        <v>77f4db13</v>
      </c>
      <c r="B1155" s="1" t="str">
        <f>IFERROR(__xludf.DUMMYFUNCTION("""COMPUTED_VALUE"""),"0029")</f>
        <v>0029</v>
      </c>
      <c r="C1155" s="32">
        <f>IFERROR(__xludf.DUMMYFUNCTION("""COMPUTED_VALUE"""),46107.412210648145)</f>
        <v>46107.41221</v>
      </c>
      <c r="D1155" s="1">
        <f>IFERROR(__xludf.DUMMYFUNCTION("""COMPUTED_VALUE"""),-21.0)</f>
        <v>-21</v>
      </c>
      <c r="E1155" s="1"/>
      <c r="F1155" s="1"/>
    </row>
    <row r="1156">
      <c r="A1156" s="1" t="str">
        <f>IFERROR(__xludf.DUMMYFUNCTION("""COMPUTED_VALUE"""),"d255d920")</f>
        <v>d255d920</v>
      </c>
      <c r="B1156" s="1" t="str">
        <f>IFERROR(__xludf.DUMMYFUNCTION("""COMPUTED_VALUE"""),"0011")</f>
        <v>0011</v>
      </c>
      <c r="C1156" s="32">
        <f>IFERROR(__xludf.DUMMYFUNCTION("""COMPUTED_VALUE"""),46107.41238425926)</f>
        <v>46107.41238</v>
      </c>
      <c r="D1156" s="1">
        <f>IFERROR(__xludf.DUMMYFUNCTION("""COMPUTED_VALUE"""),-22.0)</f>
        <v>-22</v>
      </c>
      <c r="E1156" s="1"/>
      <c r="F1156" s="1"/>
    </row>
    <row r="1157">
      <c r="A1157" s="1" t="str">
        <f>IFERROR(__xludf.DUMMYFUNCTION("""COMPUTED_VALUE"""),"0588ccae")</f>
        <v>0588ccae</v>
      </c>
      <c r="B1157" s="1" t="str">
        <f>IFERROR(__xludf.DUMMYFUNCTION("""COMPUTED_VALUE"""),"0002")</f>
        <v>0002</v>
      </c>
      <c r="C1157" s="32">
        <f>IFERROR(__xludf.DUMMYFUNCTION("""COMPUTED_VALUE"""),46107.41289351852)</f>
        <v>46107.41289</v>
      </c>
      <c r="D1157" s="1">
        <f>IFERROR(__xludf.DUMMYFUNCTION("""COMPUTED_VALUE"""),-60.0)</f>
        <v>-60</v>
      </c>
      <c r="E1157" s="1"/>
      <c r="F1157" s="1"/>
    </row>
    <row r="1158">
      <c r="A1158" s="1" t="str">
        <f>IFERROR(__xludf.DUMMYFUNCTION("""COMPUTED_VALUE"""),"923699f2")</f>
        <v>923699f2</v>
      </c>
      <c r="B1158" s="1" t="str">
        <f>IFERROR(__xludf.DUMMYFUNCTION("""COMPUTED_VALUE"""),"bb6c2490")</f>
        <v>bb6c2490</v>
      </c>
      <c r="C1158" s="32">
        <f>IFERROR(__xludf.DUMMYFUNCTION("""COMPUTED_VALUE"""),46107.41664351852)</f>
        <v>46107.41664</v>
      </c>
      <c r="D1158" s="1">
        <f>IFERROR(__xludf.DUMMYFUNCTION("""COMPUTED_VALUE"""),-13.0)</f>
        <v>-13</v>
      </c>
      <c r="E1158" s="1"/>
      <c r="F1158" s="1"/>
    </row>
    <row r="1159">
      <c r="A1159" s="1" t="str">
        <f>IFERROR(__xludf.DUMMYFUNCTION("""COMPUTED_VALUE"""),"b5cdc588")</f>
        <v>b5cdc588</v>
      </c>
      <c r="B1159" s="1" t="str">
        <f>IFERROR(__xludf.DUMMYFUNCTION("""COMPUTED_VALUE"""),"0001")</f>
        <v>0001</v>
      </c>
      <c r="C1159" s="32">
        <f>IFERROR(__xludf.DUMMYFUNCTION("""COMPUTED_VALUE"""),46107.41677083333)</f>
        <v>46107.41677</v>
      </c>
      <c r="D1159" s="1">
        <f>IFERROR(__xludf.DUMMYFUNCTION("""COMPUTED_VALUE"""),-18.0)</f>
        <v>-18</v>
      </c>
      <c r="E1159" s="1"/>
      <c r="F1159" s="1"/>
    </row>
    <row r="1160">
      <c r="A1160" s="1" t="str">
        <f>IFERROR(__xludf.DUMMYFUNCTION("""COMPUTED_VALUE"""),"35065fb4")</f>
        <v>35065fb4</v>
      </c>
      <c r="B1160" s="1" t="str">
        <f>IFERROR(__xludf.DUMMYFUNCTION("""COMPUTED_VALUE"""),"12b96290")</f>
        <v>12b96290</v>
      </c>
      <c r="C1160" s="32">
        <f>IFERROR(__xludf.DUMMYFUNCTION("""COMPUTED_VALUE"""),46107.41684027778)</f>
        <v>46107.41684</v>
      </c>
      <c r="D1160" s="1">
        <f>IFERROR(__xludf.DUMMYFUNCTION("""COMPUTED_VALUE"""),-15.0)</f>
        <v>-15</v>
      </c>
      <c r="E1160" s="1"/>
      <c r="F1160" s="1"/>
    </row>
    <row r="1161">
      <c r="A1161" s="1" t="str">
        <f>IFERROR(__xludf.DUMMYFUNCTION("""COMPUTED_VALUE"""),"8c84fd5a")</f>
        <v>8c84fd5a</v>
      </c>
      <c r="B1161" s="1" t="str">
        <f>IFERROR(__xludf.DUMMYFUNCTION("""COMPUTED_VALUE"""),"0019")</f>
        <v>0019</v>
      </c>
      <c r="C1161" s="32">
        <f>IFERROR(__xludf.DUMMYFUNCTION("""COMPUTED_VALUE"""),46107.417025462964)</f>
        <v>46107.41703</v>
      </c>
      <c r="D1161" s="1">
        <f>IFERROR(__xludf.DUMMYFUNCTION("""COMPUTED_VALUE"""),-24.0)</f>
        <v>-24</v>
      </c>
      <c r="E1161" s="1"/>
      <c r="F1161" s="1"/>
    </row>
    <row r="1162">
      <c r="A1162" s="1" t="str">
        <f>IFERROR(__xludf.DUMMYFUNCTION("""COMPUTED_VALUE"""),"aa770c4a")</f>
        <v>aa770c4a</v>
      </c>
      <c r="B1162" s="1" t="str">
        <f>IFERROR(__xludf.DUMMYFUNCTION("""COMPUTED_VALUE"""),"0021")</f>
        <v>0021</v>
      </c>
      <c r="C1162" s="32">
        <f>IFERROR(__xludf.DUMMYFUNCTION("""COMPUTED_VALUE"""),46107.41737268519)</f>
        <v>46107.41737</v>
      </c>
      <c r="D1162" s="1">
        <f>IFERROR(__xludf.DUMMYFUNCTION("""COMPUTED_VALUE"""),-8.0)</f>
        <v>-8</v>
      </c>
      <c r="E1162" s="1"/>
      <c r="F1162" s="1"/>
    </row>
    <row r="1163">
      <c r="A1163" s="1" t="str">
        <f>IFERROR(__xludf.DUMMYFUNCTION("""COMPUTED_VALUE"""),"fba8deac")</f>
        <v>fba8deac</v>
      </c>
      <c r="B1163" s="1" t="str">
        <f>IFERROR(__xludf.DUMMYFUNCTION("""COMPUTED_VALUE"""),"83dd14b5")</f>
        <v>83dd14b5</v>
      </c>
      <c r="C1163" s="32">
        <f>IFERROR(__xludf.DUMMYFUNCTION("""COMPUTED_VALUE"""),46107.41763888889)</f>
        <v>46107.41764</v>
      </c>
      <c r="D1163" s="1">
        <f>IFERROR(__xludf.DUMMYFUNCTION("""COMPUTED_VALUE"""),-24.0)</f>
        <v>-24</v>
      </c>
      <c r="E1163" s="1"/>
      <c r="F1163" s="1"/>
    </row>
    <row r="1164">
      <c r="A1164" s="1" t="str">
        <f>IFERROR(__xludf.DUMMYFUNCTION("""COMPUTED_VALUE"""),"eb566770")</f>
        <v>eb566770</v>
      </c>
      <c r="B1164" s="1" t="str">
        <f>IFERROR(__xludf.DUMMYFUNCTION("""COMPUTED_VALUE"""),"cb9e809e")</f>
        <v>cb9e809e</v>
      </c>
      <c r="C1164" s="32">
        <f>IFERROR(__xludf.DUMMYFUNCTION("""COMPUTED_VALUE"""),46107.417974537035)</f>
        <v>46107.41797</v>
      </c>
      <c r="D1164" s="1">
        <f>IFERROR(__xludf.DUMMYFUNCTION("""COMPUTED_VALUE"""),-8.0)</f>
        <v>-8</v>
      </c>
      <c r="E1164" s="1"/>
      <c r="F1164" s="1"/>
    </row>
    <row r="1165">
      <c r="A1165" s="1" t="str">
        <f>IFERROR(__xludf.DUMMYFUNCTION("""COMPUTED_VALUE"""),"71b3e559")</f>
        <v>71b3e559</v>
      </c>
      <c r="B1165" s="1" t="str">
        <f>IFERROR(__xludf.DUMMYFUNCTION("""COMPUTED_VALUE"""),"cf6c9481")</f>
        <v>cf6c9481</v>
      </c>
      <c r="C1165" s="32">
        <f>IFERROR(__xludf.DUMMYFUNCTION("""COMPUTED_VALUE"""),46107.4190625)</f>
        <v>46107.41906</v>
      </c>
      <c r="D1165" s="1">
        <f>IFERROR(__xludf.DUMMYFUNCTION("""COMPUTED_VALUE"""),-4.0)</f>
        <v>-4</v>
      </c>
      <c r="E1165" s="1"/>
      <c r="F1165" s="1"/>
    </row>
    <row r="1166">
      <c r="A1166" s="1" t="str">
        <f>IFERROR(__xludf.DUMMYFUNCTION("""COMPUTED_VALUE"""),"5f6cda5e")</f>
        <v>5f6cda5e</v>
      </c>
      <c r="B1166" s="1" t="str">
        <f>IFERROR(__xludf.DUMMYFUNCTION("""COMPUTED_VALUE"""),"0064")</f>
        <v>0064</v>
      </c>
      <c r="C1166" s="32">
        <f>IFERROR(__xludf.DUMMYFUNCTION("""COMPUTED_VALUE"""),46107.41936342593)</f>
        <v>46107.41936</v>
      </c>
      <c r="D1166" s="1">
        <f>IFERROR(__xludf.DUMMYFUNCTION("""COMPUTED_VALUE"""),-3.0)</f>
        <v>-3</v>
      </c>
      <c r="E1166" s="1"/>
      <c r="F1166" s="1"/>
    </row>
    <row r="1167">
      <c r="A1167" s="1" t="str">
        <f>IFERROR(__xludf.DUMMYFUNCTION("""COMPUTED_VALUE"""),"f1ea8393")</f>
        <v>f1ea8393</v>
      </c>
      <c r="B1167" s="1" t="str">
        <f>IFERROR(__xludf.DUMMYFUNCTION("""COMPUTED_VALUE"""),"0002")</f>
        <v>0002</v>
      </c>
      <c r="C1167" s="32">
        <f>IFERROR(__xludf.DUMMYFUNCTION("""COMPUTED_VALUE"""),46107.419583333336)</f>
        <v>46107.41958</v>
      </c>
      <c r="D1167" s="1">
        <f>IFERROR(__xludf.DUMMYFUNCTION("""COMPUTED_VALUE"""),-60.0)</f>
        <v>-60</v>
      </c>
      <c r="E1167" s="1"/>
      <c r="F1167" s="1"/>
    </row>
    <row r="1168">
      <c r="A1168" s="1" t="str">
        <f>IFERROR(__xludf.DUMMYFUNCTION("""COMPUTED_VALUE"""),"45af0731")</f>
        <v>45af0731</v>
      </c>
      <c r="B1168" s="1" t="str">
        <f>IFERROR(__xludf.DUMMYFUNCTION("""COMPUTED_VALUE"""),"0011")</f>
        <v>0011</v>
      </c>
      <c r="C1168" s="32">
        <f>IFERROR(__xludf.DUMMYFUNCTION("""COMPUTED_VALUE"""),46107.419699074075)</f>
        <v>46107.4197</v>
      </c>
      <c r="D1168" s="1">
        <f>IFERROR(__xludf.DUMMYFUNCTION("""COMPUTED_VALUE"""),-19.0)</f>
        <v>-19</v>
      </c>
      <c r="E1168" s="1"/>
      <c r="F1168" s="1"/>
    </row>
    <row r="1169">
      <c r="A1169" s="1" t="str">
        <f>IFERROR(__xludf.DUMMYFUNCTION("""COMPUTED_VALUE"""),"c134a97c")</f>
        <v>c134a97c</v>
      </c>
      <c r="B1169" s="1" t="str">
        <f>IFERROR(__xludf.DUMMYFUNCTION("""COMPUTED_VALUE"""),"0029")</f>
        <v>0029</v>
      </c>
      <c r="C1169" s="32">
        <f>IFERROR(__xludf.DUMMYFUNCTION("""COMPUTED_VALUE"""),46107.42061342593)</f>
        <v>46107.42061</v>
      </c>
      <c r="D1169" s="1">
        <f>IFERROR(__xludf.DUMMYFUNCTION("""COMPUTED_VALUE"""),-1.0)</f>
        <v>-1</v>
      </c>
      <c r="E1169" s="1"/>
      <c r="F1169" s="1"/>
    </row>
    <row r="1170">
      <c r="A1170" s="1" t="str">
        <f>IFERROR(__xludf.DUMMYFUNCTION("""COMPUTED_VALUE"""),"5913ea79")</f>
        <v>5913ea79</v>
      </c>
      <c r="B1170" s="1" t="str">
        <f>IFERROR(__xludf.DUMMYFUNCTION("""COMPUTED_VALUE"""),"0005")</f>
        <v>0005</v>
      </c>
      <c r="C1170" s="32">
        <f>IFERROR(__xludf.DUMMYFUNCTION("""COMPUTED_VALUE"""),46107.42173611111)</f>
        <v>46107.42174</v>
      </c>
      <c r="D1170" s="1">
        <f>IFERROR(__xludf.DUMMYFUNCTION("""COMPUTED_VALUE"""),-7.0)</f>
        <v>-7</v>
      </c>
      <c r="E1170" s="1"/>
      <c r="F1170" s="1"/>
    </row>
    <row r="1171">
      <c r="A1171" s="1" t="str">
        <f>IFERROR(__xludf.DUMMYFUNCTION("""COMPUTED_VALUE"""),"09a5827d")</f>
        <v>09a5827d</v>
      </c>
      <c r="B1171" s="1" t="str">
        <f>IFERROR(__xludf.DUMMYFUNCTION("""COMPUTED_VALUE"""),"c099f042")</f>
        <v>c099f042</v>
      </c>
      <c r="C1171" s="32">
        <f>IFERROR(__xludf.DUMMYFUNCTION("""COMPUTED_VALUE"""),46107.42364583333)</f>
        <v>46107.42365</v>
      </c>
      <c r="D1171" s="1">
        <f>IFERROR(__xludf.DUMMYFUNCTION("""COMPUTED_VALUE"""),-7.0)</f>
        <v>-7</v>
      </c>
      <c r="E1171" s="1"/>
      <c r="F1171" s="1"/>
    </row>
    <row r="1172">
      <c r="A1172" s="1" t="str">
        <f>IFERROR(__xludf.DUMMYFUNCTION("""COMPUTED_VALUE"""),"46776f2c")</f>
        <v>46776f2c</v>
      </c>
      <c r="B1172" s="1" t="str">
        <f>IFERROR(__xludf.DUMMYFUNCTION("""COMPUTED_VALUE"""),"0001")</f>
        <v>0001</v>
      </c>
      <c r="C1172" s="32">
        <f>IFERROR(__xludf.DUMMYFUNCTION("""COMPUTED_VALUE"""),46107.423726851855)</f>
        <v>46107.42373</v>
      </c>
      <c r="D1172" s="1">
        <f>IFERROR(__xludf.DUMMYFUNCTION("""COMPUTED_VALUE"""),-5.0)</f>
        <v>-5</v>
      </c>
      <c r="E1172" s="1"/>
      <c r="F1172" s="1"/>
    </row>
    <row r="1173">
      <c r="A1173" s="1" t="str">
        <f>IFERROR(__xludf.DUMMYFUNCTION("""COMPUTED_VALUE"""),"0d70dc94")</f>
        <v>0d70dc94</v>
      </c>
      <c r="B1173" s="1" t="str">
        <f>IFERROR(__xludf.DUMMYFUNCTION("""COMPUTED_VALUE"""),"12b96290")</f>
        <v>12b96290</v>
      </c>
      <c r="C1173" s="32">
        <f>IFERROR(__xludf.DUMMYFUNCTION("""COMPUTED_VALUE"""),46107.423796296294)</f>
        <v>46107.4238</v>
      </c>
      <c r="D1173" s="1">
        <f>IFERROR(__xludf.DUMMYFUNCTION("""COMPUTED_VALUE"""),-5.0)</f>
        <v>-5</v>
      </c>
      <c r="E1173" s="1"/>
      <c r="F1173" s="1"/>
    </row>
    <row r="1174">
      <c r="A1174" s="1" t="str">
        <f>IFERROR(__xludf.DUMMYFUNCTION("""COMPUTED_VALUE"""),"8d00d622")</f>
        <v>8d00d622</v>
      </c>
      <c r="B1174" s="1" t="str">
        <f>IFERROR(__xludf.DUMMYFUNCTION("""COMPUTED_VALUE"""),"0029")</f>
        <v>0029</v>
      </c>
      <c r="C1174" s="32">
        <f>IFERROR(__xludf.DUMMYFUNCTION("""COMPUTED_VALUE"""),46107.42458333333)</f>
        <v>46107.42458</v>
      </c>
      <c r="D1174" s="1">
        <f>IFERROR(__xludf.DUMMYFUNCTION("""COMPUTED_VALUE"""),-2.0)</f>
        <v>-2</v>
      </c>
      <c r="E1174" s="1"/>
      <c r="F1174" s="1"/>
    </row>
    <row r="1175">
      <c r="A1175" s="1" t="str">
        <f>IFERROR(__xludf.DUMMYFUNCTION("""COMPUTED_VALUE"""),"67346221")</f>
        <v>67346221</v>
      </c>
      <c r="B1175" s="1" t="str">
        <f>IFERROR(__xludf.DUMMYFUNCTION("""COMPUTED_VALUE"""),"0054")</f>
        <v>0054</v>
      </c>
      <c r="C1175" s="32">
        <f>IFERROR(__xludf.DUMMYFUNCTION("""COMPUTED_VALUE"""),46107.42466435185)</f>
        <v>46107.42466</v>
      </c>
      <c r="D1175" s="1">
        <f>IFERROR(__xludf.DUMMYFUNCTION("""COMPUTED_VALUE"""),-1.0)</f>
        <v>-1</v>
      </c>
      <c r="E1175" s="1"/>
      <c r="F1175" s="1"/>
    </row>
    <row r="1176">
      <c r="A1176" s="1" t="str">
        <f>IFERROR(__xludf.DUMMYFUNCTION("""COMPUTED_VALUE"""),"a3f561ad")</f>
        <v>a3f561ad</v>
      </c>
      <c r="B1176" s="1" t="str">
        <f>IFERROR(__xludf.DUMMYFUNCTION("""COMPUTED_VALUE"""),"a3f74383")</f>
        <v>a3f74383</v>
      </c>
      <c r="C1176" s="32">
        <f>IFERROR(__xludf.DUMMYFUNCTION("""COMPUTED_VALUE"""),46107.424733796295)</f>
        <v>46107.42473</v>
      </c>
      <c r="D1176" s="1">
        <f>IFERROR(__xludf.DUMMYFUNCTION("""COMPUTED_VALUE"""),-1.0)</f>
        <v>-1</v>
      </c>
      <c r="E1176" s="1"/>
      <c r="F1176" s="1"/>
    </row>
    <row r="1177">
      <c r="A1177" s="1" t="str">
        <f>IFERROR(__xludf.DUMMYFUNCTION("""COMPUTED_VALUE"""),"cd6eb398")</f>
        <v>cd6eb398</v>
      </c>
      <c r="B1177" s="1" t="str">
        <f>IFERROR(__xludf.DUMMYFUNCTION("""COMPUTED_VALUE"""),"0011")</f>
        <v>0011</v>
      </c>
      <c r="C1177" s="32">
        <f>IFERROR(__xludf.DUMMYFUNCTION("""COMPUTED_VALUE"""),46107.424988425926)</f>
        <v>46107.42499</v>
      </c>
      <c r="D1177" s="1">
        <f>IFERROR(__xludf.DUMMYFUNCTION("""COMPUTED_VALUE"""),-7.0)</f>
        <v>-7</v>
      </c>
      <c r="E1177" s="1"/>
      <c r="F1177" s="1"/>
    </row>
    <row r="1178">
      <c r="A1178" s="1" t="str">
        <f>IFERROR(__xludf.DUMMYFUNCTION("""COMPUTED_VALUE"""),"1c70041b")</f>
        <v>1c70041b</v>
      </c>
      <c r="B1178" s="1" t="str">
        <f>IFERROR(__xludf.DUMMYFUNCTION("""COMPUTED_VALUE"""),"0002")</f>
        <v>0002</v>
      </c>
      <c r="C1178" s="32">
        <f>IFERROR(__xludf.DUMMYFUNCTION("""COMPUTED_VALUE"""),46107.42561342593)</f>
        <v>46107.42561</v>
      </c>
      <c r="D1178" s="1">
        <f>IFERROR(__xludf.DUMMYFUNCTION("""COMPUTED_VALUE"""),-12.0)</f>
        <v>-12</v>
      </c>
      <c r="E1178" s="1"/>
      <c r="F1178" s="1"/>
    </row>
    <row r="1179">
      <c r="A1179" s="1" t="str">
        <f>IFERROR(__xludf.DUMMYFUNCTION("""COMPUTED_VALUE"""),"cb9501ff")</f>
        <v>cb9501ff</v>
      </c>
      <c r="B1179" s="1" t="str">
        <f>IFERROR(__xludf.DUMMYFUNCTION("""COMPUTED_VALUE"""),"cb9e809e")</f>
        <v>cb9e809e</v>
      </c>
      <c r="C1179" s="32">
        <f>IFERROR(__xludf.DUMMYFUNCTION("""COMPUTED_VALUE"""),46107.42696759259)</f>
        <v>46107.42697</v>
      </c>
      <c r="D1179" s="1">
        <f>IFERROR(__xludf.DUMMYFUNCTION("""COMPUTED_VALUE"""),-10.0)</f>
        <v>-10</v>
      </c>
      <c r="E1179" s="1"/>
      <c r="F1179" s="1"/>
    </row>
    <row r="1180">
      <c r="A1180" s="1" t="str">
        <f>IFERROR(__xludf.DUMMYFUNCTION("""COMPUTED_VALUE"""),"0e3af893")</f>
        <v>0e3af893</v>
      </c>
      <c r="B1180" s="1" t="str">
        <f>IFERROR(__xludf.DUMMYFUNCTION("""COMPUTED_VALUE"""),"cf6c9481")</f>
        <v>cf6c9481</v>
      </c>
      <c r="C1180" s="32">
        <f>IFERROR(__xludf.DUMMYFUNCTION("""COMPUTED_VALUE"""),46107.42707175926)</f>
        <v>46107.42707</v>
      </c>
      <c r="D1180" s="1">
        <f>IFERROR(__xludf.DUMMYFUNCTION("""COMPUTED_VALUE"""),-12.0)</f>
        <v>-12</v>
      </c>
      <c r="E1180" s="1"/>
      <c r="F1180" s="1"/>
    </row>
    <row r="1181">
      <c r="A1181" s="1" t="str">
        <f>IFERROR(__xludf.DUMMYFUNCTION("""COMPUTED_VALUE"""),"82dcd379")</f>
        <v>82dcd379</v>
      </c>
      <c r="B1181" s="1" t="str">
        <f>IFERROR(__xludf.DUMMYFUNCTION("""COMPUTED_VALUE"""),"0027")</f>
        <v>0027</v>
      </c>
      <c r="C1181" s="32">
        <f>IFERROR(__xludf.DUMMYFUNCTION("""COMPUTED_VALUE"""),46107.83550925926)</f>
        <v>46107.83551</v>
      </c>
      <c r="D1181" s="1">
        <f>IFERROR(__xludf.DUMMYFUNCTION("""COMPUTED_VALUE"""),25.0)</f>
        <v>25</v>
      </c>
      <c r="E1181" s="1" t="str">
        <f>IFERROR(__xludf.DUMMYFUNCTION("""COMPUTED_VALUE"""),"fb914ad9")</f>
        <v>fb914ad9</v>
      </c>
      <c r="F1181" s="1"/>
    </row>
    <row r="1182">
      <c r="A1182" s="1" t="str">
        <f>IFERROR(__xludf.DUMMYFUNCTION("""COMPUTED_VALUE"""),"08d9f28f")</f>
        <v>08d9f28f</v>
      </c>
      <c r="B1182" s="1" t="str">
        <f>IFERROR(__xludf.DUMMYFUNCTION("""COMPUTED_VALUE"""),"cf6c9481")</f>
        <v>cf6c9481</v>
      </c>
      <c r="C1182" s="32">
        <f>IFERROR(__xludf.DUMMYFUNCTION("""COMPUTED_VALUE"""),46107.83559027778)</f>
        <v>46107.83559</v>
      </c>
      <c r="D1182" s="1">
        <f>IFERROR(__xludf.DUMMYFUNCTION("""COMPUTED_VALUE"""),40.0)</f>
        <v>40</v>
      </c>
      <c r="E1182" s="1" t="str">
        <f>IFERROR(__xludf.DUMMYFUNCTION("""COMPUTED_VALUE"""),"fb914ad9")</f>
        <v>fb914ad9</v>
      </c>
      <c r="F1182" s="1"/>
    </row>
    <row r="1183">
      <c r="A1183" s="1" t="str">
        <f>IFERROR(__xludf.DUMMYFUNCTION("""COMPUTED_VALUE"""),"bd609b46")</f>
        <v>bd609b46</v>
      </c>
      <c r="B1183" s="1" t="str">
        <f>IFERROR(__xludf.DUMMYFUNCTION("""COMPUTED_VALUE"""),"0049")</f>
        <v>0049</v>
      </c>
      <c r="C1183" s="32">
        <f>IFERROR(__xludf.DUMMYFUNCTION("""COMPUTED_VALUE"""),46107.83565972222)</f>
        <v>46107.83566</v>
      </c>
      <c r="D1183" s="1">
        <f>IFERROR(__xludf.DUMMYFUNCTION("""COMPUTED_VALUE"""),48.0)</f>
        <v>48</v>
      </c>
      <c r="E1183" s="1" t="str">
        <f>IFERROR(__xludf.DUMMYFUNCTION("""COMPUTED_VALUE"""),"fb914ad9")</f>
        <v>fb914ad9</v>
      </c>
      <c r="F1183" s="1"/>
    </row>
    <row r="1184">
      <c r="A1184" s="1" t="str">
        <f>IFERROR(__xludf.DUMMYFUNCTION("""COMPUTED_VALUE"""),"5c16cd92")</f>
        <v>5c16cd92</v>
      </c>
      <c r="B1184" s="1" t="str">
        <f>IFERROR(__xludf.DUMMYFUNCTION("""COMPUTED_VALUE"""),"0086")</f>
        <v>0086</v>
      </c>
      <c r="C1184" s="32">
        <f>IFERROR(__xludf.DUMMYFUNCTION("""COMPUTED_VALUE"""),46107.83857638889)</f>
        <v>46107.83858</v>
      </c>
      <c r="D1184" s="1">
        <f>IFERROR(__xludf.DUMMYFUNCTION("""COMPUTED_VALUE"""),40.0)</f>
        <v>40</v>
      </c>
      <c r="E1184" s="1" t="str">
        <f>IFERROR(__xludf.DUMMYFUNCTION("""COMPUTED_VALUE"""),"fb914ad9")</f>
        <v>fb914ad9</v>
      </c>
      <c r="F1184" s="1"/>
    </row>
    <row r="1185">
      <c r="A1185" s="1" t="str">
        <f>IFERROR(__xludf.DUMMYFUNCTION("""COMPUTED_VALUE"""),"7fc00e5c")</f>
        <v>7fc00e5c</v>
      </c>
      <c r="B1185" s="1" t="str">
        <f>IFERROR(__xludf.DUMMYFUNCTION("""COMPUTED_VALUE"""),"0025")</f>
        <v>0025</v>
      </c>
      <c r="C1185" s="32">
        <f>IFERROR(__xludf.DUMMYFUNCTION("""COMPUTED_VALUE"""),46107.83866898148)</f>
        <v>46107.83867</v>
      </c>
      <c r="D1185" s="1">
        <f>IFERROR(__xludf.DUMMYFUNCTION("""COMPUTED_VALUE"""),1.0)</f>
        <v>1</v>
      </c>
      <c r="E1185" s="1"/>
      <c r="F1185" s="1"/>
    </row>
    <row r="1186">
      <c r="A1186" s="1" t="str">
        <f>IFERROR(__xludf.DUMMYFUNCTION("""COMPUTED_VALUE"""),"cb3b84e2")</f>
        <v>cb3b84e2</v>
      </c>
      <c r="B1186" s="1" t="str">
        <f>IFERROR(__xludf.DUMMYFUNCTION("""COMPUTED_VALUE"""),"0028")</f>
        <v>0028</v>
      </c>
      <c r="C1186" s="32">
        <f>IFERROR(__xludf.DUMMYFUNCTION("""COMPUTED_VALUE"""),46107.83875)</f>
        <v>46107.83875</v>
      </c>
      <c r="D1186" s="1">
        <f>IFERROR(__xludf.DUMMYFUNCTION("""COMPUTED_VALUE"""),8.0)</f>
        <v>8</v>
      </c>
      <c r="E1186" s="1"/>
      <c r="F1186" s="1"/>
    </row>
    <row r="1187">
      <c r="A1187" s="1" t="str">
        <f>IFERROR(__xludf.DUMMYFUNCTION("""COMPUTED_VALUE"""),"ae1c4e07")</f>
        <v>ae1c4e07</v>
      </c>
      <c r="B1187" s="1" t="str">
        <f>IFERROR(__xludf.DUMMYFUNCTION("""COMPUTED_VALUE"""),"9d0be7b3")</f>
        <v>9d0be7b3</v>
      </c>
      <c r="C1187" s="32">
        <f>IFERROR(__xludf.DUMMYFUNCTION("""COMPUTED_VALUE"""),46107.83898148148)</f>
        <v>46107.83898</v>
      </c>
      <c r="D1187" s="1">
        <f>IFERROR(__xludf.DUMMYFUNCTION("""COMPUTED_VALUE"""),-6.0)</f>
        <v>-6</v>
      </c>
      <c r="E1187" s="1"/>
      <c r="F1187" s="1"/>
    </row>
    <row r="1188">
      <c r="A1188" s="1" t="str">
        <f>IFERROR(__xludf.DUMMYFUNCTION("""COMPUTED_VALUE"""),"08bc1d85")</f>
        <v>08bc1d85</v>
      </c>
      <c r="B1188" s="1" t="str">
        <f>IFERROR(__xludf.DUMMYFUNCTION("""COMPUTED_VALUE"""),"8ed00567")</f>
        <v>8ed00567</v>
      </c>
      <c r="C1188" s="32">
        <f>IFERROR(__xludf.DUMMYFUNCTION("""COMPUTED_VALUE"""),46107.83972222222)</f>
        <v>46107.83972</v>
      </c>
      <c r="D1188" s="1">
        <f>IFERROR(__xludf.DUMMYFUNCTION("""COMPUTED_VALUE"""),12.0)</f>
        <v>12</v>
      </c>
      <c r="E1188" s="1"/>
      <c r="F1188" s="1"/>
    </row>
    <row r="1189">
      <c r="A1189" s="1" t="str">
        <f>IFERROR(__xludf.DUMMYFUNCTION("""COMPUTED_VALUE"""),"859fe410")</f>
        <v>859fe410</v>
      </c>
      <c r="B1189" s="1" t="str">
        <f>IFERROR(__xludf.DUMMYFUNCTION("""COMPUTED_VALUE"""),"0001")</f>
        <v>0001</v>
      </c>
      <c r="C1189" s="32">
        <f>IFERROR(__xludf.DUMMYFUNCTION("""COMPUTED_VALUE"""),46108.59569444445)</f>
        <v>46108.59569</v>
      </c>
      <c r="D1189" s="1">
        <f>IFERROR(__xludf.DUMMYFUNCTION("""COMPUTED_VALUE"""),-21.0)</f>
        <v>-21</v>
      </c>
      <c r="E1189" s="1"/>
      <c r="F1189" s="1"/>
    </row>
    <row r="1190">
      <c r="A1190" s="1" t="str">
        <f>IFERROR(__xludf.DUMMYFUNCTION("""COMPUTED_VALUE"""),"79d7a615")</f>
        <v>79d7a615</v>
      </c>
      <c r="B1190" s="1" t="str">
        <f>IFERROR(__xludf.DUMMYFUNCTION("""COMPUTED_VALUE"""),"12b96290")</f>
        <v>12b96290</v>
      </c>
      <c r="C1190" s="32">
        <f>IFERROR(__xludf.DUMMYFUNCTION("""COMPUTED_VALUE"""),46108.59575231482)</f>
        <v>46108.59575</v>
      </c>
      <c r="D1190" s="1">
        <f>IFERROR(__xludf.DUMMYFUNCTION("""COMPUTED_VALUE"""),-6.0)</f>
        <v>-6</v>
      </c>
      <c r="E1190" s="1"/>
      <c r="F1190" s="1"/>
    </row>
    <row r="1191">
      <c r="A1191" s="1" t="str">
        <f>IFERROR(__xludf.DUMMYFUNCTION("""COMPUTED_VALUE"""),"05dde63a")</f>
        <v>05dde63a</v>
      </c>
      <c r="B1191" s="1" t="str">
        <f>IFERROR(__xludf.DUMMYFUNCTION("""COMPUTED_VALUE"""),"bb6c2490")</f>
        <v>bb6c2490</v>
      </c>
      <c r="C1191" s="32">
        <f>IFERROR(__xludf.DUMMYFUNCTION("""COMPUTED_VALUE"""),46108.59579861111)</f>
        <v>46108.5958</v>
      </c>
      <c r="D1191" s="1">
        <f>IFERROR(__xludf.DUMMYFUNCTION("""COMPUTED_VALUE"""),-9.0)</f>
        <v>-9</v>
      </c>
      <c r="E1191" s="1"/>
      <c r="F1191" s="1"/>
    </row>
    <row r="1192">
      <c r="A1192" s="1" t="str">
        <f>IFERROR(__xludf.DUMMYFUNCTION("""COMPUTED_VALUE"""),"b23c26e8")</f>
        <v>b23c26e8</v>
      </c>
      <c r="B1192" s="1" t="str">
        <f>IFERROR(__xludf.DUMMYFUNCTION("""COMPUTED_VALUE"""),"0019")</f>
        <v>0019</v>
      </c>
      <c r="C1192" s="32">
        <f>IFERROR(__xludf.DUMMYFUNCTION("""COMPUTED_VALUE"""),46108.59738425926)</f>
        <v>46108.59738</v>
      </c>
      <c r="D1192" s="1">
        <f>IFERROR(__xludf.DUMMYFUNCTION("""COMPUTED_VALUE"""),-20.0)</f>
        <v>-20</v>
      </c>
      <c r="E1192" s="1"/>
      <c r="F1192" s="1"/>
    </row>
    <row r="1193">
      <c r="A1193" s="1" t="str">
        <f>IFERROR(__xludf.DUMMYFUNCTION("""COMPUTED_VALUE"""),"ac6bbffc")</f>
        <v>ac6bbffc</v>
      </c>
      <c r="B1193" s="1" t="str">
        <f>IFERROR(__xludf.DUMMYFUNCTION("""COMPUTED_VALUE"""),"0086")</f>
        <v>0086</v>
      </c>
      <c r="C1193" s="32">
        <f>IFERROR(__xludf.DUMMYFUNCTION("""COMPUTED_VALUE"""),46108.59753472222)</f>
        <v>46108.59753</v>
      </c>
      <c r="D1193" s="1">
        <f>IFERROR(__xludf.DUMMYFUNCTION("""COMPUTED_VALUE"""),-32.0)</f>
        <v>-32</v>
      </c>
      <c r="E1193" s="1"/>
      <c r="F1193" s="1"/>
    </row>
    <row r="1194">
      <c r="A1194" s="1" t="str">
        <f>IFERROR(__xludf.DUMMYFUNCTION("""COMPUTED_VALUE"""),"7ed7308d")</f>
        <v>7ed7308d</v>
      </c>
      <c r="B1194" s="1" t="str">
        <f>IFERROR(__xludf.DUMMYFUNCTION("""COMPUTED_VALUE"""),"0021")</f>
        <v>0021</v>
      </c>
      <c r="C1194" s="32">
        <f>IFERROR(__xludf.DUMMYFUNCTION("""COMPUTED_VALUE"""),46108.598344907405)</f>
        <v>46108.59834</v>
      </c>
      <c r="D1194" s="1">
        <f>IFERROR(__xludf.DUMMYFUNCTION("""COMPUTED_VALUE"""),-24.0)</f>
        <v>-24</v>
      </c>
      <c r="E1194" s="1"/>
      <c r="F1194" s="1"/>
    </row>
    <row r="1195">
      <c r="A1195" s="1" t="str">
        <f>IFERROR(__xludf.DUMMYFUNCTION("""COMPUTED_VALUE"""),"96121854")</f>
        <v>96121854</v>
      </c>
      <c r="B1195" s="1" t="str">
        <f>IFERROR(__xludf.DUMMYFUNCTION("""COMPUTED_VALUE"""),"0065")</f>
        <v>0065</v>
      </c>
      <c r="C1195" s="32">
        <f>IFERROR(__xludf.DUMMYFUNCTION("""COMPUTED_VALUE"""),46108.59878472222)</f>
        <v>46108.59878</v>
      </c>
      <c r="D1195" s="1">
        <f>IFERROR(__xludf.DUMMYFUNCTION("""COMPUTED_VALUE"""),-10.0)</f>
        <v>-10</v>
      </c>
      <c r="E1195" s="1"/>
      <c r="F1195" s="1"/>
    </row>
    <row r="1196">
      <c r="A1196" s="1" t="str">
        <f>IFERROR(__xludf.DUMMYFUNCTION("""COMPUTED_VALUE"""),"01d7cec1")</f>
        <v>01d7cec1</v>
      </c>
      <c r="B1196" s="1" t="str">
        <f>IFERROR(__xludf.DUMMYFUNCTION("""COMPUTED_VALUE"""),"cb9e809e")</f>
        <v>cb9e809e</v>
      </c>
      <c r="C1196" s="32">
        <f>IFERROR(__xludf.DUMMYFUNCTION("""COMPUTED_VALUE"""),46108.599027777775)</f>
        <v>46108.59903</v>
      </c>
      <c r="D1196" s="1">
        <f>IFERROR(__xludf.DUMMYFUNCTION("""COMPUTED_VALUE"""),-14.0)</f>
        <v>-14</v>
      </c>
      <c r="E1196" s="1"/>
      <c r="F1196" s="1"/>
    </row>
    <row r="1197">
      <c r="A1197" s="1" t="str">
        <f>IFERROR(__xludf.DUMMYFUNCTION("""COMPUTED_VALUE"""),"6c5fdae8")</f>
        <v>6c5fdae8</v>
      </c>
      <c r="B1197" s="1" t="str">
        <f>IFERROR(__xludf.DUMMYFUNCTION("""COMPUTED_VALUE"""),"cf6c9481")</f>
        <v>cf6c9481</v>
      </c>
      <c r="C1197" s="32">
        <f>IFERROR(__xludf.DUMMYFUNCTION("""COMPUTED_VALUE"""),46108.600798611114)</f>
        <v>46108.6008</v>
      </c>
      <c r="D1197" s="1">
        <f>IFERROR(__xludf.DUMMYFUNCTION("""COMPUTED_VALUE"""),-6.0)</f>
        <v>-6</v>
      </c>
      <c r="E1197" s="1"/>
      <c r="F1197" s="1"/>
    </row>
    <row r="1198">
      <c r="A1198" s="1" t="str">
        <f>IFERROR(__xludf.DUMMYFUNCTION("""COMPUTED_VALUE"""),"fbde6169")</f>
        <v>fbde6169</v>
      </c>
      <c r="B1198" s="1" t="str">
        <f>IFERROR(__xludf.DUMMYFUNCTION("""COMPUTED_VALUE"""),"0049")</f>
        <v>0049</v>
      </c>
      <c r="C1198" s="32">
        <f>IFERROR(__xludf.DUMMYFUNCTION("""COMPUTED_VALUE"""),46108.60165509259)</f>
        <v>46108.60166</v>
      </c>
      <c r="D1198" s="1">
        <f>IFERROR(__xludf.DUMMYFUNCTION("""COMPUTED_VALUE"""),-14.0)</f>
        <v>-14</v>
      </c>
      <c r="E1198" s="1"/>
      <c r="F1198" s="1"/>
    </row>
    <row r="1199">
      <c r="A1199" s="1" t="str">
        <f>IFERROR(__xludf.DUMMYFUNCTION("""COMPUTED_VALUE"""),"a3b84014")</f>
        <v>a3b84014</v>
      </c>
      <c r="B1199" s="1" t="str">
        <f>IFERROR(__xludf.DUMMYFUNCTION("""COMPUTED_VALUE"""),"0029")</f>
        <v>0029</v>
      </c>
      <c r="C1199" s="32">
        <f>IFERROR(__xludf.DUMMYFUNCTION("""COMPUTED_VALUE"""),46108.60184027778)</f>
        <v>46108.60184</v>
      </c>
      <c r="D1199" s="1">
        <f>IFERROR(__xludf.DUMMYFUNCTION("""COMPUTED_VALUE"""),-20.0)</f>
        <v>-20</v>
      </c>
      <c r="E1199" s="1"/>
      <c r="F1199" s="1"/>
    </row>
    <row r="1200">
      <c r="A1200" s="1" t="str">
        <f>IFERROR(__xludf.DUMMYFUNCTION("""COMPUTED_VALUE"""),"d9307c4a")</f>
        <v>d9307c4a</v>
      </c>
      <c r="B1200" s="1" t="str">
        <f>IFERROR(__xludf.DUMMYFUNCTION("""COMPUTED_VALUE"""),"a3f74383")</f>
        <v>a3f74383</v>
      </c>
      <c r="C1200" s="32">
        <f>IFERROR(__xludf.DUMMYFUNCTION("""COMPUTED_VALUE"""),46108.60497685185)</f>
        <v>46108.60498</v>
      </c>
      <c r="D1200" s="1">
        <f>IFERROR(__xludf.DUMMYFUNCTION("""COMPUTED_VALUE"""),-9.0)</f>
        <v>-9</v>
      </c>
      <c r="E1200" s="1"/>
      <c r="F1200" s="1"/>
    </row>
    <row r="1201">
      <c r="A1201" s="1" t="str">
        <f>IFERROR(__xludf.DUMMYFUNCTION("""COMPUTED_VALUE"""),"c9f24695")</f>
        <v>c9f24695</v>
      </c>
      <c r="B1201" s="1" t="str">
        <f>IFERROR(__xludf.DUMMYFUNCTION("""COMPUTED_VALUE"""),"0054")</f>
        <v>0054</v>
      </c>
      <c r="C1201" s="32">
        <f>IFERROR(__xludf.DUMMYFUNCTION("""COMPUTED_VALUE"""),46108.605092592596)</f>
        <v>46108.60509</v>
      </c>
      <c r="D1201" s="1">
        <f>IFERROR(__xludf.DUMMYFUNCTION("""COMPUTED_VALUE"""),-14.0)</f>
        <v>-14</v>
      </c>
      <c r="E1201" s="1"/>
      <c r="F1201" s="1"/>
    </row>
    <row r="1202">
      <c r="A1202" s="1" t="str">
        <f>IFERROR(__xludf.DUMMYFUNCTION("""COMPUTED_VALUE"""),"5b966c51")</f>
        <v>5b966c51</v>
      </c>
      <c r="B1202" s="1" t="str">
        <f>IFERROR(__xludf.DUMMYFUNCTION("""COMPUTED_VALUE"""),"0011")</f>
        <v>0011</v>
      </c>
      <c r="C1202" s="32">
        <f>IFERROR(__xludf.DUMMYFUNCTION("""COMPUTED_VALUE"""),46108.60519675926)</f>
        <v>46108.6052</v>
      </c>
      <c r="D1202" s="1">
        <f>IFERROR(__xludf.DUMMYFUNCTION("""COMPUTED_VALUE"""),-12.0)</f>
        <v>-12</v>
      </c>
      <c r="E1202" s="1"/>
      <c r="F1202" s="1"/>
    </row>
    <row r="1203">
      <c r="A1203" s="1" t="str">
        <f>IFERROR(__xludf.DUMMYFUNCTION("""COMPUTED_VALUE"""),"c9863d58")</f>
        <v>c9863d58</v>
      </c>
      <c r="B1203" s="1" t="str">
        <f>IFERROR(__xludf.DUMMYFUNCTION("""COMPUTED_VALUE"""),"0002")</f>
        <v>0002</v>
      </c>
      <c r="C1203" s="32">
        <f>IFERROR(__xludf.DUMMYFUNCTION("""COMPUTED_VALUE"""),46108.605266203704)</f>
        <v>46108.60527</v>
      </c>
      <c r="D1203" s="1">
        <f>IFERROR(__xludf.DUMMYFUNCTION("""COMPUTED_VALUE"""),-60.0)</f>
        <v>-60</v>
      </c>
      <c r="E1203" s="1"/>
      <c r="F1203" s="1"/>
    </row>
    <row r="1204">
      <c r="A1204" s="1" t="str">
        <f>IFERROR(__xludf.DUMMYFUNCTION("""COMPUTED_VALUE"""),"962142eb")</f>
        <v>962142eb</v>
      </c>
      <c r="B1204" s="1" t="str">
        <f>IFERROR(__xludf.DUMMYFUNCTION("""COMPUTED_VALUE"""),"cb9e809e")</f>
        <v>cb9e809e</v>
      </c>
      <c r="C1204" s="32">
        <f>IFERROR(__xludf.DUMMYFUNCTION("""COMPUTED_VALUE"""),46108.609664351854)</f>
        <v>46108.60966</v>
      </c>
      <c r="D1204" s="1">
        <f>IFERROR(__xludf.DUMMYFUNCTION("""COMPUTED_VALUE"""),-5.0)</f>
        <v>-5</v>
      </c>
      <c r="E1204" s="1"/>
      <c r="F1204" s="1"/>
    </row>
    <row r="1205">
      <c r="A1205" s="1" t="str">
        <f>IFERROR(__xludf.DUMMYFUNCTION("""COMPUTED_VALUE"""),"f20e6f3d")</f>
        <v>f20e6f3d</v>
      </c>
      <c r="B1205" s="1" t="str">
        <f>IFERROR(__xludf.DUMMYFUNCTION("""COMPUTED_VALUE"""),"8ed00567")</f>
        <v>8ed00567</v>
      </c>
      <c r="C1205" s="32">
        <f>IFERROR(__xludf.DUMMYFUNCTION("""COMPUTED_VALUE"""),46108.60988425926)</f>
        <v>46108.60988</v>
      </c>
      <c r="D1205" s="1">
        <f>IFERROR(__xludf.DUMMYFUNCTION("""COMPUTED_VALUE"""),-3.0)</f>
        <v>-3</v>
      </c>
      <c r="E1205" s="1"/>
      <c r="F1205" s="1"/>
    </row>
    <row r="1206">
      <c r="A1206" s="1" t="str">
        <f>IFERROR(__xludf.DUMMYFUNCTION("""COMPUTED_VALUE"""),"7d3cb19f")</f>
        <v>7d3cb19f</v>
      </c>
      <c r="B1206" s="1" t="str">
        <f>IFERROR(__xludf.DUMMYFUNCTION("""COMPUTED_VALUE"""),"cf6c9481")</f>
        <v>cf6c9481</v>
      </c>
      <c r="C1206" s="32">
        <f>IFERROR(__xludf.DUMMYFUNCTION("""COMPUTED_VALUE"""),46108.61)</f>
        <v>46108.61</v>
      </c>
      <c r="D1206" s="1">
        <f>IFERROR(__xludf.DUMMYFUNCTION("""COMPUTED_VALUE"""),-7.0)</f>
        <v>-7</v>
      </c>
      <c r="E1206" s="1"/>
      <c r="F1206" s="1"/>
    </row>
    <row r="1207">
      <c r="A1207" s="1" t="str">
        <f>IFERROR(__xludf.DUMMYFUNCTION("""COMPUTED_VALUE"""),"eae86e3b")</f>
        <v>eae86e3b</v>
      </c>
      <c r="B1207" s="1" t="str">
        <f>IFERROR(__xludf.DUMMYFUNCTION("""COMPUTED_VALUE"""),"0049")</f>
        <v>0049</v>
      </c>
      <c r="C1207" s="32">
        <f>IFERROR(__xludf.DUMMYFUNCTION("""COMPUTED_VALUE"""),46108.610127314816)</f>
        <v>46108.61013</v>
      </c>
      <c r="D1207" s="1">
        <f>IFERROR(__xludf.DUMMYFUNCTION("""COMPUTED_VALUE"""),-7.0)</f>
        <v>-7</v>
      </c>
      <c r="E1207" s="1"/>
      <c r="F1207" s="1"/>
    </row>
    <row r="1208">
      <c r="A1208" s="1" t="str">
        <f>IFERROR(__xludf.DUMMYFUNCTION("""COMPUTED_VALUE"""),"1fddfb58")</f>
        <v>1fddfb58</v>
      </c>
      <c r="B1208" s="1" t="str">
        <f>IFERROR(__xludf.DUMMYFUNCTION("""COMPUTED_VALUE"""),"12b96290")</f>
        <v>12b96290</v>
      </c>
      <c r="C1208" s="32">
        <f>IFERROR(__xludf.DUMMYFUNCTION("""COMPUTED_VALUE"""),46108.61059027778)</f>
        <v>46108.61059</v>
      </c>
      <c r="D1208" s="1">
        <f>IFERROR(__xludf.DUMMYFUNCTION("""COMPUTED_VALUE"""),-2.0)</f>
        <v>-2</v>
      </c>
      <c r="E1208" s="1"/>
      <c r="F1208" s="1"/>
    </row>
    <row r="1209">
      <c r="A1209" s="1" t="str">
        <f>IFERROR(__xludf.DUMMYFUNCTION("""COMPUTED_VALUE"""),"1cc082e6")</f>
        <v>1cc082e6</v>
      </c>
      <c r="B1209" s="1" t="str">
        <f>IFERROR(__xludf.DUMMYFUNCTION("""COMPUTED_VALUE"""),"0001")</f>
        <v>0001</v>
      </c>
      <c r="C1209" s="32">
        <f>IFERROR(__xludf.DUMMYFUNCTION("""COMPUTED_VALUE"""),46108.61070601852)</f>
        <v>46108.61071</v>
      </c>
      <c r="D1209" s="1">
        <f>IFERROR(__xludf.DUMMYFUNCTION("""COMPUTED_VALUE"""),-8.0)</f>
        <v>-8</v>
      </c>
      <c r="E1209" s="1"/>
      <c r="F1209" s="1"/>
    </row>
    <row r="1210">
      <c r="A1210" s="1" t="str">
        <f>IFERROR(__xludf.DUMMYFUNCTION("""COMPUTED_VALUE"""),"a2ccbc1b")</f>
        <v>a2ccbc1b</v>
      </c>
      <c r="B1210" s="1" t="str">
        <f>IFERROR(__xludf.DUMMYFUNCTION("""COMPUTED_VALUE"""),"bb6c2490")</f>
        <v>bb6c2490</v>
      </c>
      <c r="C1210" s="32">
        <f>IFERROR(__xludf.DUMMYFUNCTION("""COMPUTED_VALUE"""),46108.61077546296)</f>
        <v>46108.61078</v>
      </c>
      <c r="D1210" s="1">
        <f>IFERROR(__xludf.DUMMYFUNCTION("""COMPUTED_VALUE"""),-2.0)</f>
        <v>-2</v>
      </c>
      <c r="E1210" s="1"/>
      <c r="F1210" s="1"/>
    </row>
    <row r="1211">
      <c r="A1211" s="1" t="str">
        <f>IFERROR(__xludf.DUMMYFUNCTION("""COMPUTED_VALUE"""),"9cab744d")</f>
        <v>9cab744d</v>
      </c>
      <c r="B1211" s="1" t="str">
        <f>IFERROR(__xludf.DUMMYFUNCTION("""COMPUTED_VALUE"""),"0021")</f>
        <v>0021</v>
      </c>
      <c r="C1211" s="32">
        <f>IFERROR(__xludf.DUMMYFUNCTION("""COMPUTED_VALUE"""),46108.61094907407)</f>
        <v>46108.61095</v>
      </c>
      <c r="D1211" s="1">
        <f>IFERROR(__xludf.DUMMYFUNCTION("""COMPUTED_VALUE"""),-5.0)</f>
        <v>-5</v>
      </c>
      <c r="E1211" s="1"/>
      <c r="F1211" s="1"/>
    </row>
    <row r="1212">
      <c r="A1212" s="1" t="str">
        <f>IFERROR(__xludf.DUMMYFUNCTION("""COMPUTED_VALUE"""),"28334f20")</f>
        <v>28334f20</v>
      </c>
      <c r="B1212" s="1" t="str">
        <f>IFERROR(__xludf.DUMMYFUNCTION("""COMPUTED_VALUE"""),"0086")</f>
        <v>0086</v>
      </c>
      <c r="C1212" s="32">
        <f>IFERROR(__xludf.DUMMYFUNCTION("""COMPUTED_VALUE"""),46108.611296296294)</f>
        <v>46108.6113</v>
      </c>
      <c r="D1212" s="1">
        <f>IFERROR(__xludf.DUMMYFUNCTION("""COMPUTED_VALUE"""),-8.0)</f>
        <v>-8</v>
      </c>
      <c r="E1212" s="1"/>
      <c r="F1212" s="1"/>
    </row>
    <row r="1213">
      <c r="A1213" s="1" t="str">
        <f>IFERROR(__xludf.DUMMYFUNCTION("""COMPUTED_VALUE"""),"87699c4e")</f>
        <v>87699c4e</v>
      </c>
      <c r="B1213" s="1" t="str">
        <f>IFERROR(__xludf.DUMMYFUNCTION("""COMPUTED_VALUE"""),"0011")</f>
        <v>0011</v>
      </c>
      <c r="C1213" s="32">
        <f>IFERROR(__xludf.DUMMYFUNCTION("""COMPUTED_VALUE"""),46108.61142361111)</f>
        <v>46108.61142</v>
      </c>
      <c r="D1213" s="1">
        <f>IFERROR(__xludf.DUMMYFUNCTION("""COMPUTED_VALUE"""),-16.0)</f>
        <v>-16</v>
      </c>
      <c r="E1213" s="1"/>
      <c r="F1213" s="1"/>
    </row>
    <row r="1214">
      <c r="A1214" s="1" t="str">
        <f>IFERROR(__xludf.DUMMYFUNCTION("""COMPUTED_VALUE"""),"8f4e8cb8")</f>
        <v>8f4e8cb8</v>
      </c>
      <c r="B1214" s="1" t="str">
        <f>IFERROR(__xludf.DUMMYFUNCTION("""COMPUTED_VALUE"""),"83dd14b5")</f>
        <v>83dd14b5</v>
      </c>
      <c r="C1214" s="32">
        <f>IFERROR(__xludf.DUMMYFUNCTION("""COMPUTED_VALUE"""),46108.61157407407)</f>
        <v>46108.61157</v>
      </c>
      <c r="D1214" s="1">
        <f>IFERROR(__xludf.DUMMYFUNCTION("""COMPUTED_VALUE"""),-12.0)</f>
        <v>-12</v>
      </c>
      <c r="E1214" s="1"/>
      <c r="F1214" s="1"/>
    </row>
    <row r="1215">
      <c r="A1215" s="1" t="str">
        <f>IFERROR(__xludf.DUMMYFUNCTION("""COMPUTED_VALUE"""),"5e56a282")</f>
        <v>5e56a282</v>
      </c>
      <c r="B1215" s="1" t="str">
        <f>IFERROR(__xludf.DUMMYFUNCTION("""COMPUTED_VALUE"""),"0029")</f>
        <v>0029</v>
      </c>
      <c r="C1215" s="32">
        <f>IFERROR(__xludf.DUMMYFUNCTION("""COMPUTED_VALUE"""),46108.612175925926)</f>
        <v>46108.61218</v>
      </c>
      <c r="D1215" s="1">
        <f>IFERROR(__xludf.DUMMYFUNCTION("""COMPUTED_VALUE"""),-7.0)</f>
        <v>-7</v>
      </c>
      <c r="E1215" s="1"/>
      <c r="F1215" s="1"/>
    </row>
    <row r="1216">
      <c r="A1216" s="1" t="str">
        <f>IFERROR(__xludf.DUMMYFUNCTION("""COMPUTED_VALUE"""),"da5bade7")</f>
        <v>da5bade7</v>
      </c>
      <c r="B1216" s="1" t="str">
        <f>IFERROR(__xludf.DUMMYFUNCTION("""COMPUTED_VALUE"""),"0002")</f>
        <v>0002</v>
      </c>
      <c r="C1216" s="32">
        <f>IFERROR(__xludf.DUMMYFUNCTION("""COMPUTED_VALUE"""),46108.61226851852)</f>
        <v>46108.61227</v>
      </c>
      <c r="D1216" s="1">
        <f>IFERROR(__xludf.DUMMYFUNCTION("""COMPUTED_VALUE"""),-60.0)</f>
        <v>-60</v>
      </c>
      <c r="E1216" s="1"/>
      <c r="F1216" s="1"/>
    </row>
    <row r="1217">
      <c r="A1217" s="1" t="str">
        <f>IFERROR(__xludf.DUMMYFUNCTION("""COMPUTED_VALUE"""),"ea7f2bec")</f>
        <v>ea7f2bec</v>
      </c>
      <c r="B1217" s="1" t="str">
        <f>IFERROR(__xludf.DUMMYFUNCTION("""COMPUTED_VALUE"""),"a3f74383")</f>
        <v>a3f74383</v>
      </c>
      <c r="C1217" s="32">
        <f>IFERROR(__xludf.DUMMYFUNCTION("""COMPUTED_VALUE"""),46108.61337962963)</f>
        <v>46108.61338</v>
      </c>
      <c r="D1217" s="1">
        <f>IFERROR(__xludf.DUMMYFUNCTION("""COMPUTED_VALUE"""),-4.0)</f>
        <v>-4</v>
      </c>
      <c r="E1217" s="1"/>
      <c r="F1217" s="1"/>
    </row>
    <row r="1218">
      <c r="A1218" s="1" t="str">
        <f>IFERROR(__xludf.DUMMYFUNCTION("""COMPUTED_VALUE"""),"b5924c6d")</f>
        <v>b5924c6d</v>
      </c>
      <c r="B1218" s="1" t="str">
        <f>IFERROR(__xludf.DUMMYFUNCTION("""COMPUTED_VALUE"""),"0054")</f>
        <v>0054</v>
      </c>
      <c r="C1218" s="32">
        <f>IFERROR(__xludf.DUMMYFUNCTION("""COMPUTED_VALUE"""),46108.61347222222)</f>
        <v>46108.61347</v>
      </c>
      <c r="D1218" s="1">
        <f>IFERROR(__xludf.DUMMYFUNCTION("""COMPUTED_VALUE"""),-3.0)</f>
        <v>-3</v>
      </c>
      <c r="E1218" s="1"/>
      <c r="F1218" s="1"/>
    </row>
    <row r="1219">
      <c r="A1219" s="1" t="str">
        <f>IFERROR(__xludf.DUMMYFUNCTION("""COMPUTED_VALUE"""),"930aaab7")</f>
        <v>930aaab7</v>
      </c>
      <c r="B1219" s="1" t="str">
        <f>IFERROR(__xludf.DUMMYFUNCTION("""COMPUTED_VALUE"""),"cb9e809e")</f>
        <v>cb9e809e</v>
      </c>
      <c r="C1219" s="32">
        <f>IFERROR(__xludf.DUMMYFUNCTION("""COMPUTED_VALUE"""),46108.614756944444)</f>
        <v>46108.61476</v>
      </c>
      <c r="D1219" s="1">
        <f>IFERROR(__xludf.DUMMYFUNCTION("""COMPUTED_VALUE"""),7.0)</f>
        <v>7</v>
      </c>
      <c r="E1219" s="1"/>
      <c r="F1219" s="1"/>
    </row>
    <row r="1220">
      <c r="A1220" s="1" t="str">
        <f>IFERROR(__xludf.DUMMYFUNCTION("""COMPUTED_VALUE"""),"7b29cbec")</f>
        <v>7b29cbec</v>
      </c>
      <c r="B1220" s="1" t="str">
        <f>IFERROR(__xludf.DUMMYFUNCTION("""COMPUTED_VALUE"""),"cf6c9481")</f>
        <v>cf6c9481</v>
      </c>
      <c r="C1220" s="32">
        <f>IFERROR(__xludf.DUMMYFUNCTION("""COMPUTED_VALUE"""),46108.61505787037)</f>
        <v>46108.61506</v>
      </c>
      <c r="D1220" s="1">
        <f>IFERROR(__xludf.DUMMYFUNCTION("""COMPUTED_VALUE"""),12.0)</f>
        <v>12</v>
      </c>
      <c r="E1220" s="1"/>
      <c r="F1220" s="1"/>
    </row>
    <row r="1221">
      <c r="A1221" s="1" t="str">
        <f>IFERROR(__xludf.DUMMYFUNCTION("""COMPUTED_VALUE"""),"939712c3")</f>
        <v>939712c3</v>
      </c>
      <c r="B1221" s="1" t="str">
        <f>IFERROR(__xludf.DUMMYFUNCTION("""COMPUTED_VALUE"""),"c099f042")</f>
        <v>c099f042</v>
      </c>
      <c r="C1221" s="32">
        <f>IFERROR(__xludf.DUMMYFUNCTION("""COMPUTED_VALUE"""),46109.151354166665)</f>
        <v>46109.15135</v>
      </c>
      <c r="D1221" s="1">
        <f>IFERROR(__xludf.DUMMYFUNCTION("""COMPUTED_VALUE"""),-14.0)</f>
        <v>-14</v>
      </c>
      <c r="E1221" s="1"/>
      <c r="F1221" s="1"/>
    </row>
    <row r="1222">
      <c r="A1222" s="1" t="str">
        <f>IFERROR(__xludf.DUMMYFUNCTION("""COMPUTED_VALUE"""),"5fe7998e")</f>
        <v>5fe7998e</v>
      </c>
      <c r="B1222" s="1" t="str">
        <f>IFERROR(__xludf.DUMMYFUNCTION("""COMPUTED_VALUE"""),"bb6c2490")</f>
        <v>bb6c2490</v>
      </c>
      <c r="C1222" s="32">
        <f>IFERROR(__xludf.DUMMYFUNCTION("""COMPUTED_VALUE"""),46109.151655092595)</f>
        <v>46109.15166</v>
      </c>
      <c r="D1222" s="1">
        <f>IFERROR(__xludf.DUMMYFUNCTION("""COMPUTED_VALUE"""),-14.0)</f>
        <v>-14</v>
      </c>
      <c r="E1222" s="1"/>
      <c r="F1222" s="1"/>
    </row>
    <row r="1223">
      <c r="A1223" s="1" t="str">
        <f>IFERROR(__xludf.DUMMYFUNCTION("""COMPUTED_VALUE"""),"598db093")</f>
        <v>598db093</v>
      </c>
      <c r="B1223" s="1" t="str">
        <f>IFERROR(__xludf.DUMMYFUNCTION("""COMPUTED_VALUE"""),"12b96290")</f>
        <v>12b96290</v>
      </c>
      <c r="C1223" s="32">
        <f>IFERROR(__xludf.DUMMYFUNCTION("""COMPUTED_VALUE"""),46109.15181712963)</f>
        <v>46109.15182</v>
      </c>
      <c r="D1223" s="1">
        <f>IFERROR(__xludf.DUMMYFUNCTION("""COMPUTED_VALUE"""),-7.0)</f>
        <v>-7</v>
      </c>
      <c r="E1223" s="1"/>
      <c r="F1223" s="1"/>
    </row>
    <row r="1224">
      <c r="A1224" s="1" t="str">
        <f>IFERROR(__xludf.DUMMYFUNCTION("""COMPUTED_VALUE"""),"a5cb185c")</f>
        <v>a5cb185c</v>
      </c>
      <c r="B1224" s="1" t="str">
        <f>IFERROR(__xludf.DUMMYFUNCTION("""COMPUTED_VALUE"""),"0001")</f>
        <v>0001</v>
      </c>
      <c r="C1224" s="32">
        <f>IFERROR(__xludf.DUMMYFUNCTION("""COMPUTED_VALUE"""),46109.15200231481)</f>
        <v>46109.152</v>
      </c>
      <c r="D1224" s="1">
        <f>IFERROR(__xludf.DUMMYFUNCTION("""COMPUTED_VALUE"""),-14.0)</f>
        <v>-14</v>
      </c>
      <c r="E1224" s="1"/>
      <c r="F1224" s="1"/>
    </row>
    <row r="1225">
      <c r="A1225" s="1" t="str">
        <f>IFERROR(__xludf.DUMMYFUNCTION("""COMPUTED_VALUE"""),"888528c1")</f>
        <v>888528c1</v>
      </c>
      <c r="B1225" s="1" t="str">
        <f>IFERROR(__xludf.DUMMYFUNCTION("""COMPUTED_VALUE"""),"0038")</f>
        <v>0038</v>
      </c>
      <c r="C1225" s="32">
        <f>IFERROR(__xludf.DUMMYFUNCTION("""COMPUTED_VALUE"""),46109.152291666665)</f>
        <v>46109.15229</v>
      </c>
      <c r="D1225" s="1">
        <f>IFERROR(__xludf.DUMMYFUNCTION("""COMPUTED_VALUE"""),-6.0)</f>
        <v>-6</v>
      </c>
      <c r="E1225" s="1"/>
      <c r="F1225" s="1"/>
    </row>
    <row r="1226">
      <c r="A1226" s="1" t="str">
        <f>IFERROR(__xludf.DUMMYFUNCTION("""COMPUTED_VALUE"""),"46544629")</f>
        <v>46544629</v>
      </c>
      <c r="B1226" s="1" t="str">
        <f>IFERROR(__xludf.DUMMYFUNCTION("""COMPUTED_VALUE"""),"0033")</f>
        <v>0033</v>
      </c>
      <c r="C1226" s="32">
        <f>IFERROR(__xludf.DUMMYFUNCTION("""COMPUTED_VALUE"""),46109.152546296296)</f>
        <v>46109.15255</v>
      </c>
      <c r="D1226" s="1">
        <f>IFERROR(__xludf.DUMMYFUNCTION("""COMPUTED_VALUE"""),-3.0)</f>
        <v>-3</v>
      </c>
      <c r="E1226" s="1"/>
      <c r="F1226" s="1"/>
    </row>
    <row r="1227">
      <c r="A1227" s="1" t="str">
        <f>IFERROR(__xludf.DUMMYFUNCTION("""COMPUTED_VALUE"""),"40e2b9ca")</f>
        <v>40e2b9ca</v>
      </c>
      <c r="B1227" s="1" t="str">
        <f>IFERROR(__xludf.DUMMYFUNCTION("""COMPUTED_VALUE"""),"0021")</f>
        <v>0021</v>
      </c>
      <c r="C1227" s="32">
        <f>IFERROR(__xludf.DUMMYFUNCTION("""COMPUTED_VALUE"""),46109.15267361111)</f>
        <v>46109.15267</v>
      </c>
      <c r="D1227" s="1">
        <f>IFERROR(__xludf.DUMMYFUNCTION("""COMPUTED_VALUE"""),-15.0)</f>
        <v>-15</v>
      </c>
      <c r="E1227" s="1"/>
      <c r="F1227" s="1"/>
    </row>
    <row r="1228">
      <c r="A1228" s="1" t="str">
        <f>IFERROR(__xludf.DUMMYFUNCTION("""COMPUTED_VALUE"""),"dabb599b")</f>
        <v>dabb599b</v>
      </c>
      <c r="B1228" s="1" t="str">
        <f>IFERROR(__xludf.DUMMYFUNCTION("""COMPUTED_VALUE"""),"d0a21a3b")</f>
        <v>d0a21a3b</v>
      </c>
      <c r="C1228" s="32">
        <f>IFERROR(__xludf.DUMMYFUNCTION("""COMPUTED_VALUE"""),46109.1528587963)</f>
        <v>46109.15286</v>
      </c>
      <c r="D1228" s="1">
        <f>IFERROR(__xludf.DUMMYFUNCTION("""COMPUTED_VALUE"""),-15.0)</f>
        <v>-15</v>
      </c>
      <c r="E1228" s="1"/>
      <c r="F1228" s="1"/>
    </row>
    <row r="1229">
      <c r="A1229" s="1" t="str">
        <f>IFERROR(__xludf.DUMMYFUNCTION("""COMPUTED_VALUE"""),"d7d586de")</f>
        <v>d7d586de</v>
      </c>
      <c r="B1229" s="1" t="str">
        <f>IFERROR(__xludf.DUMMYFUNCTION("""COMPUTED_VALUE"""),"0014")</f>
        <v>0014</v>
      </c>
      <c r="C1229" s="32">
        <f>IFERROR(__xludf.DUMMYFUNCTION("""COMPUTED_VALUE"""),46109.15299768518)</f>
        <v>46109.153</v>
      </c>
      <c r="D1229" s="1">
        <f>IFERROR(__xludf.DUMMYFUNCTION("""COMPUTED_VALUE"""),-5.0)</f>
        <v>-5</v>
      </c>
      <c r="E1229" s="1"/>
      <c r="F1229" s="1"/>
    </row>
    <row r="1230">
      <c r="A1230" s="1" t="str">
        <f>IFERROR(__xludf.DUMMYFUNCTION("""COMPUTED_VALUE"""),"608f4b07")</f>
        <v>608f4b07</v>
      </c>
      <c r="B1230" s="1" t="str">
        <f>IFERROR(__xludf.DUMMYFUNCTION("""COMPUTED_VALUE"""),"1b6b5ed6")</f>
        <v>1b6b5ed6</v>
      </c>
      <c r="C1230" s="32">
        <f>IFERROR(__xludf.DUMMYFUNCTION("""COMPUTED_VALUE"""),46109.15337962963)</f>
        <v>46109.15338</v>
      </c>
      <c r="D1230" s="1">
        <f>IFERROR(__xludf.DUMMYFUNCTION("""COMPUTED_VALUE"""),-24.0)</f>
        <v>-24</v>
      </c>
      <c r="E1230" s="1"/>
      <c r="F1230" s="1"/>
    </row>
    <row r="1231">
      <c r="A1231" s="1" t="str">
        <f>IFERROR(__xludf.DUMMYFUNCTION("""COMPUTED_VALUE"""),"59c46a0d")</f>
        <v>59c46a0d</v>
      </c>
      <c r="B1231" s="1" t="str">
        <f>IFERROR(__xludf.DUMMYFUNCTION("""COMPUTED_VALUE"""),"0064")</f>
        <v>0064</v>
      </c>
      <c r="C1231" s="32">
        <f>IFERROR(__xludf.DUMMYFUNCTION("""COMPUTED_VALUE"""),46109.15363425926)</f>
        <v>46109.15363</v>
      </c>
      <c r="D1231" s="1">
        <f>IFERROR(__xludf.DUMMYFUNCTION("""COMPUTED_VALUE"""),-2.0)</f>
        <v>-2</v>
      </c>
      <c r="E1231" s="1"/>
      <c r="F1231" s="1"/>
    </row>
    <row r="1232">
      <c r="A1232" s="1" t="str">
        <f>IFERROR(__xludf.DUMMYFUNCTION("""COMPUTED_VALUE"""),"56a2ca9b")</f>
        <v>56a2ca9b</v>
      </c>
      <c r="B1232" s="1" t="str">
        <f>IFERROR(__xludf.DUMMYFUNCTION("""COMPUTED_VALUE"""),"0029")</f>
        <v>0029</v>
      </c>
      <c r="C1232" s="32">
        <f>IFERROR(__xludf.DUMMYFUNCTION("""COMPUTED_VALUE"""),46109.1537962963)</f>
        <v>46109.1538</v>
      </c>
      <c r="D1232" s="1">
        <f>IFERROR(__xludf.DUMMYFUNCTION("""COMPUTED_VALUE"""),-10.0)</f>
        <v>-10</v>
      </c>
      <c r="E1232" s="1"/>
      <c r="F1232" s="1"/>
    </row>
    <row r="1233">
      <c r="A1233" s="1" t="str">
        <f>IFERROR(__xludf.DUMMYFUNCTION("""COMPUTED_VALUE"""),"9cf4c625")</f>
        <v>9cf4c625</v>
      </c>
      <c r="B1233" s="1" t="str">
        <f>IFERROR(__xludf.DUMMYFUNCTION("""COMPUTED_VALUE"""),"0011")</f>
        <v>0011</v>
      </c>
      <c r="C1233" s="32">
        <f>IFERROR(__xludf.DUMMYFUNCTION("""COMPUTED_VALUE"""),46109.153912037036)</f>
        <v>46109.15391</v>
      </c>
      <c r="D1233" s="1">
        <f>IFERROR(__xludf.DUMMYFUNCTION("""COMPUTED_VALUE"""),-11.0)</f>
        <v>-11</v>
      </c>
      <c r="E1233" s="1"/>
      <c r="F1233" s="1"/>
    </row>
    <row r="1234">
      <c r="A1234" s="1" t="str">
        <f>IFERROR(__xludf.DUMMYFUNCTION("""COMPUTED_VALUE"""),"98cde04a")</f>
        <v>98cde04a</v>
      </c>
      <c r="B1234" s="1" t="str">
        <f>IFERROR(__xludf.DUMMYFUNCTION("""COMPUTED_VALUE"""),"0005")</f>
        <v>0005</v>
      </c>
      <c r="C1234" s="32">
        <f>IFERROR(__xludf.DUMMYFUNCTION("""COMPUTED_VALUE"""),46109.15408564815)</f>
        <v>46109.15409</v>
      </c>
      <c r="D1234" s="1">
        <f>IFERROR(__xludf.DUMMYFUNCTION("""COMPUTED_VALUE"""),-4.0)</f>
        <v>-4</v>
      </c>
      <c r="E1234" s="1"/>
      <c r="F1234" s="1"/>
    </row>
    <row r="1235">
      <c r="A1235" s="1" t="str">
        <f>IFERROR(__xludf.DUMMYFUNCTION("""COMPUTED_VALUE"""),"7f77ff70")</f>
        <v>7f77ff70</v>
      </c>
      <c r="B1235" s="1" t="str">
        <f>IFERROR(__xludf.DUMMYFUNCTION("""COMPUTED_VALUE"""),"0002")</f>
        <v>0002</v>
      </c>
      <c r="C1235" s="32">
        <f>IFERROR(__xludf.DUMMYFUNCTION("""COMPUTED_VALUE"""),46109.15430555555)</f>
        <v>46109.15431</v>
      </c>
      <c r="D1235" s="1">
        <f>IFERROR(__xludf.DUMMYFUNCTION("""COMPUTED_VALUE"""),-48.0)</f>
        <v>-48</v>
      </c>
      <c r="E1235" s="1"/>
      <c r="F1235" s="1"/>
    </row>
    <row r="1236">
      <c r="A1236" s="1" t="str">
        <f>IFERROR(__xludf.DUMMYFUNCTION("""COMPUTED_VALUE"""),"3f625960")</f>
        <v>3f625960</v>
      </c>
      <c r="B1236" s="1" t="str">
        <f>IFERROR(__xludf.DUMMYFUNCTION("""COMPUTED_VALUE"""),"0016")</f>
        <v>0016</v>
      </c>
      <c r="C1236" s="32">
        <f>IFERROR(__xludf.DUMMYFUNCTION("""COMPUTED_VALUE"""),46109.154502314814)</f>
        <v>46109.1545</v>
      </c>
      <c r="D1236" s="1">
        <f>IFERROR(__xludf.DUMMYFUNCTION("""COMPUTED_VALUE"""),-10.0)</f>
        <v>-10</v>
      </c>
      <c r="E1236" s="1"/>
      <c r="F1236" s="1"/>
    </row>
    <row r="1237">
      <c r="A1237" s="1" t="str">
        <f>IFERROR(__xludf.DUMMYFUNCTION("""COMPUTED_VALUE"""),"93ef25f7")</f>
        <v>93ef25f7</v>
      </c>
      <c r="B1237" s="1" t="str">
        <f>IFERROR(__xludf.DUMMYFUNCTION("""COMPUTED_VALUE"""),"0044")</f>
        <v>0044</v>
      </c>
      <c r="C1237" s="32">
        <f>IFERROR(__xludf.DUMMYFUNCTION("""COMPUTED_VALUE"""),46109.154652777775)</f>
        <v>46109.15465</v>
      </c>
      <c r="D1237" s="1">
        <f>IFERROR(__xludf.DUMMYFUNCTION("""COMPUTED_VALUE"""),-3.0)</f>
        <v>-3</v>
      </c>
      <c r="E1237" s="1"/>
      <c r="F1237" s="1"/>
    </row>
    <row r="1238">
      <c r="A1238" s="1" t="str">
        <f>IFERROR(__xludf.DUMMYFUNCTION("""COMPUTED_VALUE"""),"ff1e7796")</f>
        <v>ff1e7796</v>
      </c>
      <c r="B1238" s="1" t="str">
        <f>IFERROR(__xludf.DUMMYFUNCTION("""COMPUTED_VALUE"""),"78233e6f")</f>
        <v>78233e6f</v>
      </c>
      <c r="C1238" s="32">
        <f>IFERROR(__xludf.DUMMYFUNCTION("""COMPUTED_VALUE"""),46109.154814814814)</f>
        <v>46109.15481</v>
      </c>
      <c r="D1238" s="1">
        <f>IFERROR(__xludf.DUMMYFUNCTION("""COMPUTED_VALUE"""),-4.0)</f>
        <v>-4</v>
      </c>
      <c r="E1238" s="1"/>
      <c r="F1238" s="1"/>
    </row>
    <row r="1239">
      <c r="A1239" s="1" t="str">
        <f>IFERROR(__xludf.DUMMYFUNCTION("""COMPUTED_VALUE"""),"431614bc")</f>
        <v>431614bc</v>
      </c>
      <c r="B1239" s="1" t="str">
        <f>IFERROR(__xludf.DUMMYFUNCTION("""COMPUTED_VALUE"""),"cb9e809e")</f>
        <v>cb9e809e</v>
      </c>
      <c r="C1239" s="32">
        <f>IFERROR(__xludf.DUMMYFUNCTION("""COMPUTED_VALUE"""),46109.15494212963)</f>
        <v>46109.15494</v>
      </c>
      <c r="D1239" s="1">
        <f>IFERROR(__xludf.DUMMYFUNCTION("""COMPUTED_VALUE"""),-6.0)</f>
        <v>-6</v>
      </c>
      <c r="E1239" s="1"/>
      <c r="F1239" s="1"/>
    </row>
    <row r="1240">
      <c r="A1240" s="1" t="str">
        <f>IFERROR(__xludf.DUMMYFUNCTION("""COMPUTED_VALUE"""),"64e5b303")</f>
        <v>64e5b303</v>
      </c>
      <c r="B1240" s="1" t="str">
        <f>IFERROR(__xludf.DUMMYFUNCTION("""COMPUTED_VALUE"""),"c099f042")</f>
        <v>c099f042</v>
      </c>
      <c r="C1240" s="32">
        <f>IFERROR(__xludf.DUMMYFUNCTION("""COMPUTED_VALUE"""),46109.46878472222)</f>
        <v>46109.46878</v>
      </c>
      <c r="D1240" s="1">
        <f>IFERROR(__xludf.DUMMYFUNCTION("""COMPUTED_VALUE"""),-14.0)</f>
        <v>-14</v>
      </c>
      <c r="E1240" s="1"/>
      <c r="F1240" s="1"/>
    </row>
    <row r="1241">
      <c r="A1241" s="1" t="str">
        <f>IFERROR(__xludf.DUMMYFUNCTION("""COMPUTED_VALUE"""),"49480a74")</f>
        <v>49480a74</v>
      </c>
      <c r="B1241" s="1" t="str">
        <f>IFERROR(__xludf.DUMMYFUNCTION("""COMPUTED_VALUE"""),"bb6c2490")</f>
        <v>bb6c2490</v>
      </c>
      <c r="C1241" s="32">
        <f>IFERROR(__xludf.DUMMYFUNCTION("""COMPUTED_VALUE"""),46109.46885416667)</f>
        <v>46109.46885</v>
      </c>
      <c r="D1241" s="1">
        <f>IFERROR(__xludf.DUMMYFUNCTION("""COMPUTED_VALUE"""),-10.0)</f>
        <v>-10</v>
      </c>
      <c r="E1241" s="1"/>
      <c r="F1241" s="1"/>
    </row>
    <row r="1242">
      <c r="A1242" s="1" t="str">
        <f>IFERROR(__xludf.DUMMYFUNCTION("""COMPUTED_VALUE"""),"f99d321b")</f>
        <v>f99d321b</v>
      </c>
      <c r="B1242" s="1" t="str">
        <f>IFERROR(__xludf.DUMMYFUNCTION("""COMPUTED_VALUE"""),"0001")</f>
        <v>0001</v>
      </c>
      <c r="C1242" s="32">
        <f>IFERROR(__xludf.DUMMYFUNCTION("""COMPUTED_VALUE"""),46109.46892361111)</f>
        <v>46109.46892</v>
      </c>
      <c r="D1242" s="1">
        <f>IFERROR(__xludf.DUMMYFUNCTION("""COMPUTED_VALUE"""),-16.0)</f>
        <v>-16</v>
      </c>
      <c r="E1242" s="1"/>
      <c r="F1242" s="1"/>
    </row>
    <row r="1243">
      <c r="A1243" s="1" t="str">
        <f>IFERROR(__xludf.DUMMYFUNCTION("""COMPUTED_VALUE"""),"3481432e")</f>
        <v>3481432e</v>
      </c>
      <c r="B1243" s="1" t="str">
        <f>IFERROR(__xludf.DUMMYFUNCTION("""COMPUTED_VALUE"""),"12b96290")</f>
        <v>12b96290</v>
      </c>
      <c r="C1243" s="32">
        <f>IFERROR(__xludf.DUMMYFUNCTION("""COMPUTED_VALUE"""),46109.46902777778)</f>
        <v>46109.46903</v>
      </c>
      <c r="D1243" s="1">
        <f>IFERROR(__xludf.DUMMYFUNCTION("""COMPUTED_VALUE"""),-8.0)</f>
        <v>-8</v>
      </c>
      <c r="E1243" s="1"/>
      <c r="F1243" s="1"/>
    </row>
    <row r="1244">
      <c r="A1244" s="1" t="str">
        <f>IFERROR(__xludf.DUMMYFUNCTION("""COMPUTED_VALUE"""),"7d6dd6c0")</f>
        <v>7d6dd6c0</v>
      </c>
      <c r="B1244" s="1" t="str">
        <f>IFERROR(__xludf.DUMMYFUNCTION("""COMPUTED_VALUE"""),"0021")</f>
        <v>0021</v>
      </c>
      <c r="C1244" s="32">
        <f>IFERROR(__xludf.DUMMYFUNCTION("""COMPUTED_VALUE"""),46109.46938657408)</f>
        <v>46109.46939</v>
      </c>
      <c r="D1244" s="1">
        <f>IFERROR(__xludf.DUMMYFUNCTION("""COMPUTED_VALUE"""),-11.0)</f>
        <v>-11</v>
      </c>
      <c r="E1244" s="1"/>
      <c r="F1244" s="1"/>
    </row>
    <row r="1245">
      <c r="A1245" s="1" t="str">
        <f>IFERROR(__xludf.DUMMYFUNCTION("""COMPUTED_VALUE"""),"5edf3907")</f>
        <v>5edf3907</v>
      </c>
      <c r="B1245" s="1" t="str">
        <f>IFERROR(__xludf.DUMMYFUNCTION("""COMPUTED_VALUE"""),"0086")</f>
        <v>0086</v>
      </c>
      <c r="C1245" s="32">
        <f>IFERROR(__xludf.DUMMYFUNCTION("""COMPUTED_VALUE"""),46109.46954861111)</f>
        <v>46109.46955</v>
      </c>
      <c r="D1245" s="1">
        <f>IFERROR(__xludf.DUMMYFUNCTION("""COMPUTED_VALUE"""),-10.0)</f>
        <v>-10</v>
      </c>
      <c r="E1245" s="1"/>
      <c r="F1245" s="1"/>
    </row>
    <row r="1246">
      <c r="A1246" s="1" t="str">
        <f>IFERROR(__xludf.DUMMYFUNCTION("""COMPUTED_VALUE"""),"896e7bb5")</f>
        <v>896e7bb5</v>
      </c>
      <c r="B1246" s="1" t="str">
        <f>IFERROR(__xludf.DUMMYFUNCTION("""COMPUTED_VALUE"""),"83dd14b5")</f>
        <v>83dd14b5</v>
      </c>
      <c r="C1246" s="32">
        <f>IFERROR(__xludf.DUMMYFUNCTION("""COMPUTED_VALUE"""),46109.46983796296)</f>
        <v>46109.46984</v>
      </c>
      <c r="D1246" s="1">
        <f>IFERROR(__xludf.DUMMYFUNCTION("""COMPUTED_VALUE"""),-24.0)</f>
        <v>-24</v>
      </c>
      <c r="E1246" s="1"/>
      <c r="F1246" s="1"/>
    </row>
    <row r="1247">
      <c r="A1247" s="1" t="str">
        <f>IFERROR(__xludf.DUMMYFUNCTION("""COMPUTED_VALUE"""),"88f685a2")</f>
        <v>88f685a2</v>
      </c>
      <c r="B1247" s="1" t="str">
        <f>IFERROR(__xludf.DUMMYFUNCTION("""COMPUTED_VALUE"""),"0049")</f>
        <v>0049</v>
      </c>
      <c r="C1247" s="32">
        <f>IFERROR(__xludf.DUMMYFUNCTION("""COMPUTED_VALUE"""),46109.47011574074)</f>
        <v>46109.47012</v>
      </c>
      <c r="D1247" s="1">
        <f>IFERROR(__xludf.DUMMYFUNCTION("""COMPUTED_VALUE"""),-7.0)</f>
        <v>-7</v>
      </c>
      <c r="E1247" s="1"/>
      <c r="F1247" s="1"/>
    </row>
    <row r="1248">
      <c r="A1248" s="1" t="str">
        <f>IFERROR(__xludf.DUMMYFUNCTION("""COMPUTED_VALUE"""),"32629010")</f>
        <v>32629010</v>
      </c>
      <c r="B1248" s="1" t="str">
        <f>IFERROR(__xludf.DUMMYFUNCTION("""COMPUTED_VALUE"""),"cb9e809e")</f>
        <v>cb9e809e</v>
      </c>
      <c r="C1248" s="32">
        <f>IFERROR(__xludf.DUMMYFUNCTION("""COMPUTED_VALUE"""),46109.47121527778)</f>
        <v>46109.47122</v>
      </c>
      <c r="D1248" s="1">
        <f>IFERROR(__xludf.DUMMYFUNCTION("""COMPUTED_VALUE"""),-1.0)</f>
        <v>-1</v>
      </c>
      <c r="E1248" s="1"/>
      <c r="F1248" s="1"/>
    </row>
    <row r="1249">
      <c r="A1249" s="1" t="str">
        <f>IFERROR(__xludf.DUMMYFUNCTION("""COMPUTED_VALUE"""),"8efecb21")</f>
        <v>8efecb21</v>
      </c>
      <c r="B1249" s="1" t="str">
        <f>IFERROR(__xludf.DUMMYFUNCTION("""COMPUTED_VALUE"""),"cf6c9481")</f>
        <v>cf6c9481</v>
      </c>
      <c r="C1249" s="32">
        <f>IFERROR(__xludf.DUMMYFUNCTION("""COMPUTED_VALUE"""),46109.4715162037)</f>
        <v>46109.47152</v>
      </c>
      <c r="D1249" s="1">
        <f>IFERROR(__xludf.DUMMYFUNCTION("""COMPUTED_VALUE"""),-3.0)</f>
        <v>-3</v>
      </c>
      <c r="E1249" s="1"/>
      <c r="F1249" s="1"/>
    </row>
    <row r="1250">
      <c r="A1250" s="1" t="str">
        <f>IFERROR(__xludf.DUMMYFUNCTION("""COMPUTED_VALUE"""),"db869b16")</f>
        <v>db869b16</v>
      </c>
      <c r="B1250" s="1" t="str">
        <f>IFERROR(__xludf.DUMMYFUNCTION("""COMPUTED_VALUE"""),"0011")</f>
        <v>0011</v>
      </c>
      <c r="C1250" s="32">
        <f>IFERROR(__xludf.DUMMYFUNCTION("""COMPUTED_VALUE"""),46109.47189814815)</f>
        <v>46109.4719</v>
      </c>
      <c r="D1250" s="1">
        <f>IFERROR(__xludf.DUMMYFUNCTION("""COMPUTED_VALUE"""),-12.0)</f>
        <v>-12</v>
      </c>
      <c r="E1250" s="1"/>
      <c r="F1250" s="1"/>
    </row>
    <row r="1251">
      <c r="A1251" s="1" t="str">
        <f>IFERROR(__xludf.DUMMYFUNCTION("""COMPUTED_VALUE"""),"83c0259f")</f>
        <v>83c0259f</v>
      </c>
      <c r="B1251" s="1" t="str">
        <f>IFERROR(__xludf.DUMMYFUNCTION("""COMPUTED_VALUE"""),"0002")</f>
        <v>0002</v>
      </c>
      <c r="C1251" s="32">
        <f>IFERROR(__xludf.DUMMYFUNCTION("""COMPUTED_VALUE"""),46109.47221064815)</f>
        <v>46109.47221</v>
      </c>
      <c r="D1251" s="1">
        <f>IFERROR(__xludf.DUMMYFUNCTION("""COMPUTED_VALUE"""),-60.0)</f>
        <v>-60</v>
      </c>
      <c r="E1251" s="1"/>
      <c r="F1251" s="1"/>
    </row>
    <row r="1252">
      <c r="A1252" s="1" t="str">
        <f>IFERROR(__xludf.DUMMYFUNCTION("""COMPUTED_VALUE"""),"b23ae251")</f>
        <v>b23ae251</v>
      </c>
      <c r="B1252" s="1" t="str">
        <f>IFERROR(__xludf.DUMMYFUNCTION("""COMPUTED_VALUE"""),"0029")</f>
        <v>0029</v>
      </c>
      <c r="C1252" s="32">
        <f>IFERROR(__xludf.DUMMYFUNCTION("""COMPUTED_VALUE"""),46109.47368055556)</f>
        <v>46109.47368</v>
      </c>
      <c r="D1252" s="1">
        <f>IFERROR(__xludf.DUMMYFUNCTION("""COMPUTED_VALUE"""),-7.0)</f>
        <v>-7</v>
      </c>
      <c r="E1252" s="1"/>
      <c r="F1252" s="1"/>
    </row>
    <row r="1253">
      <c r="A1253" s="1" t="str">
        <f>IFERROR(__xludf.DUMMYFUNCTION("""COMPUTED_VALUE"""),"b4875f84")</f>
        <v>b4875f84</v>
      </c>
      <c r="B1253" s="1" t="str">
        <f>IFERROR(__xludf.DUMMYFUNCTION("""COMPUTED_VALUE"""),"a3f74383")</f>
        <v>a3f74383</v>
      </c>
      <c r="C1253" s="32">
        <f>IFERROR(__xludf.DUMMYFUNCTION("""COMPUTED_VALUE"""),46109.47384259259)</f>
        <v>46109.47384</v>
      </c>
      <c r="D1253" s="1">
        <f>IFERROR(__xludf.DUMMYFUNCTION("""COMPUTED_VALUE"""),-3.0)</f>
        <v>-3</v>
      </c>
      <c r="E1253" s="1"/>
      <c r="F1253" s="1"/>
    </row>
    <row r="1254">
      <c r="A1254" s="1" t="str">
        <f>IFERROR(__xludf.DUMMYFUNCTION("""COMPUTED_VALUE"""),"05f51d5d")</f>
        <v>05f51d5d</v>
      </c>
      <c r="B1254" s="1" t="str">
        <f>IFERROR(__xludf.DUMMYFUNCTION("""COMPUTED_VALUE"""),"0054")</f>
        <v>0054</v>
      </c>
      <c r="C1254" s="32">
        <f>IFERROR(__xludf.DUMMYFUNCTION("""COMPUTED_VALUE"""),46109.47399305556)</f>
        <v>46109.47399</v>
      </c>
      <c r="D1254" s="1">
        <f>IFERROR(__xludf.DUMMYFUNCTION("""COMPUTED_VALUE"""),-4.0)</f>
        <v>-4</v>
      </c>
      <c r="E1254" s="1"/>
      <c r="F1254" s="1"/>
    </row>
    <row r="1255">
      <c r="A1255" s="1" t="str">
        <f>IFERROR(__xludf.DUMMYFUNCTION("""COMPUTED_VALUE"""),"fe37b159")</f>
        <v>fe37b159</v>
      </c>
      <c r="B1255" s="1" t="str">
        <f>IFERROR(__xludf.DUMMYFUNCTION("""COMPUTED_VALUE"""),"0005")</f>
        <v>0005</v>
      </c>
      <c r="C1255" s="32">
        <f>IFERROR(__xludf.DUMMYFUNCTION("""COMPUTED_VALUE"""),46109.47408564815)</f>
        <v>46109.47409</v>
      </c>
      <c r="D1255" s="1">
        <f>IFERROR(__xludf.DUMMYFUNCTION("""COMPUTED_VALUE"""),-7.0)</f>
        <v>-7</v>
      </c>
      <c r="E1255" s="1"/>
      <c r="F1255" s="1"/>
    </row>
    <row r="1256">
      <c r="A1256" s="1" t="str">
        <f>IFERROR(__xludf.DUMMYFUNCTION("""COMPUTED_VALUE"""),"f92d3e56")</f>
        <v>f92d3e56</v>
      </c>
      <c r="B1256" s="1" t="str">
        <f>IFERROR(__xludf.DUMMYFUNCTION("""COMPUTED_VALUE"""),"c099f042")</f>
        <v>c099f042</v>
      </c>
      <c r="C1256" s="32">
        <f>IFERROR(__xludf.DUMMYFUNCTION("""COMPUTED_VALUE"""),46109.477476851855)</f>
        <v>46109.47748</v>
      </c>
      <c r="D1256" s="1">
        <f>IFERROR(__xludf.DUMMYFUNCTION("""COMPUTED_VALUE"""),-20.0)</f>
        <v>-20</v>
      </c>
      <c r="E1256" s="1"/>
      <c r="F1256" s="1"/>
    </row>
    <row r="1257">
      <c r="A1257" s="1" t="str">
        <f>IFERROR(__xludf.DUMMYFUNCTION("""COMPUTED_VALUE"""),"aab94529")</f>
        <v>aab94529</v>
      </c>
      <c r="B1257" s="1" t="str">
        <f>IFERROR(__xludf.DUMMYFUNCTION("""COMPUTED_VALUE"""),"e28d366b")</f>
        <v>e28d366b</v>
      </c>
      <c r="C1257" s="32">
        <f>IFERROR(__xludf.DUMMYFUNCTION("""COMPUTED_VALUE"""),46109.47761574074)</f>
        <v>46109.47762</v>
      </c>
      <c r="D1257" s="1">
        <f>IFERROR(__xludf.DUMMYFUNCTION("""COMPUTED_VALUE"""),-7.0)</f>
        <v>-7</v>
      </c>
      <c r="E1257" s="1"/>
      <c r="F1257" s="1"/>
    </row>
    <row r="1258">
      <c r="A1258" s="1" t="str">
        <f>IFERROR(__xludf.DUMMYFUNCTION("""COMPUTED_VALUE"""),"134bd19d")</f>
        <v>134bd19d</v>
      </c>
      <c r="B1258" s="1" t="str">
        <f>IFERROR(__xludf.DUMMYFUNCTION("""COMPUTED_VALUE"""),"0001")</f>
        <v>0001</v>
      </c>
      <c r="C1258" s="32">
        <f>IFERROR(__xludf.DUMMYFUNCTION("""COMPUTED_VALUE"""),46109.47769675926)</f>
        <v>46109.4777</v>
      </c>
      <c r="D1258" s="1">
        <f>IFERROR(__xludf.DUMMYFUNCTION("""COMPUTED_VALUE"""),-15.0)</f>
        <v>-15</v>
      </c>
      <c r="E1258" s="1"/>
      <c r="F1258" s="1"/>
    </row>
    <row r="1259">
      <c r="A1259" s="1" t="str">
        <f>IFERROR(__xludf.DUMMYFUNCTION("""COMPUTED_VALUE"""),"bbdea6ae")</f>
        <v>bbdea6ae</v>
      </c>
      <c r="B1259" s="1" t="str">
        <f>IFERROR(__xludf.DUMMYFUNCTION("""COMPUTED_VALUE"""),"0002")</f>
        <v>0002</v>
      </c>
      <c r="C1259" s="32">
        <f>IFERROR(__xludf.DUMMYFUNCTION("""COMPUTED_VALUE"""),46109.477951388886)</f>
        <v>46109.47795</v>
      </c>
      <c r="D1259" s="1">
        <f>IFERROR(__xludf.DUMMYFUNCTION("""COMPUTED_VALUE"""),-60.0)</f>
        <v>-60</v>
      </c>
      <c r="E1259" s="1"/>
      <c r="F1259" s="1"/>
    </row>
    <row r="1260">
      <c r="A1260" s="1" t="str">
        <f>IFERROR(__xludf.DUMMYFUNCTION("""COMPUTED_VALUE"""),"b8dc7830")</f>
        <v>b8dc7830</v>
      </c>
      <c r="B1260" s="1" t="str">
        <f>IFERROR(__xludf.DUMMYFUNCTION("""COMPUTED_VALUE"""),"83dd14b5")</f>
        <v>83dd14b5</v>
      </c>
      <c r="C1260" s="32">
        <f>IFERROR(__xludf.DUMMYFUNCTION("""COMPUTED_VALUE"""),46109.47829861111)</f>
        <v>46109.4783</v>
      </c>
      <c r="D1260" s="1">
        <f>IFERROR(__xludf.DUMMYFUNCTION("""COMPUTED_VALUE"""),-24.0)</f>
        <v>-24</v>
      </c>
      <c r="E1260" s="1"/>
      <c r="F1260" s="1"/>
    </row>
    <row r="1261">
      <c r="A1261" s="1" t="str">
        <f>IFERROR(__xludf.DUMMYFUNCTION("""COMPUTED_VALUE"""),"ebb12d9d")</f>
        <v>ebb12d9d</v>
      </c>
      <c r="B1261" s="1" t="str">
        <f>IFERROR(__xludf.DUMMYFUNCTION("""COMPUTED_VALUE"""),"0011")</f>
        <v>0011</v>
      </c>
      <c r="C1261" s="32">
        <f>IFERROR(__xludf.DUMMYFUNCTION("""COMPUTED_VALUE"""),46109.47849537037)</f>
        <v>46109.4785</v>
      </c>
      <c r="D1261" s="1">
        <f>IFERROR(__xludf.DUMMYFUNCTION("""COMPUTED_VALUE"""),-16.0)</f>
        <v>-16</v>
      </c>
      <c r="E1261" s="1"/>
      <c r="F1261" s="1"/>
    </row>
    <row r="1262">
      <c r="A1262" s="1" t="str">
        <f>IFERROR(__xludf.DUMMYFUNCTION("""COMPUTED_VALUE"""),"a328bf9c")</f>
        <v>a328bf9c</v>
      </c>
      <c r="B1262" s="1" t="str">
        <f>IFERROR(__xludf.DUMMYFUNCTION("""COMPUTED_VALUE"""),"0049")</f>
        <v>0049</v>
      </c>
      <c r="C1262" s="32">
        <f>IFERROR(__xludf.DUMMYFUNCTION("""COMPUTED_VALUE"""),46109.47969907407)</f>
        <v>46109.4797</v>
      </c>
      <c r="D1262" s="1">
        <f>IFERROR(__xludf.DUMMYFUNCTION("""COMPUTED_VALUE"""),-5.0)</f>
        <v>-5</v>
      </c>
      <c r="E1262" s="1"/>
      <c r="F1262" s="1"/>
    </row>
    <row r="1263">
      <c r="A1263" s="1" t="str">
        <f>IFERROR(__xludf.DUMMYFUNCTION("""COMPUTED_VALUE"""),"3bd89d86")</f>
        <v>3bd89d86</v>
      </c>
      <c r="B1263" s="1" t="str">
        <f>IFERROR(__xludf.DUMMYFUNCTION("""COMPUTED_VALUE"""),"8ed00567")</f>
        <v>8ed00567</v>
      </c>
      <c r="C1263" s="32">
        <f>IFERROR(__xludf.DUMMYFUNCTION("""COMPUTED_VALUE"""),46109.479791666665)</f>
        <v>46109.47979</v>
      </c>
      <c r="D1263" s="1">
        <f>IFERROR(__xludf.DUMMYFUNCTION("""COMPUTED_VALUE"""),-7.0)</f>
        <v>-7</v>
      </c>
      <c r="E1263" s="1"/>
      <c r="F1263" s="1"/>
    </row>
    <row r="1264">
      <c r="A1264" s="1" t="str">
        <f>IFERROR(__xludf.DUMMYFUNCTION("""COMPUTED_VALUE"""),"7101c0dd")</f>
        <v>7101c0dd</v>
      </c>
      <c r="B1264" s="1" t="str">
        <f>IFERROR(__xludf.DUMMYFUNCTION("""COMPUTED_VALUE"""),"0029")</f>
        <v>0029</v>
      </c>
      <c r="C1264" s="32">
        <f>IFERROR(__xludf.DUMMYFUNCTION("""COMPUTED_VALUE"""),46109.48048611111)</f>
        <v>46109.48049</v>
      </c>
      <c r="D1264" s="1">
        <f>IFERROR(__xludf.DUMMYFUNCTION("""COMPUTED_VALUE"""),-10.0)</f>
        <v>-10</v>
      </c>
      <c r="E1264" s="1"/>
      <c r="F1264" s="1"/>
    </row>
    <row r="1265">
      <c r="A1265" s="1" t="str">
        <f>IFERROR(__xludf.DUMMYFUNCTION("""COMPUTED_VALUE"""),"9f505675")</f>
        <v>9f505675</v>
      </c>
      <c r="B1265" s="1" t="str">
        <f>IFERROR(__xludf.DUMMYFUNCTION("""COMPUTED_VALUE"""),"0025")</f>
        <v>0025</v>
      </c>
      <c r="C1265" s="32">
        <f>IFERROR(__xludf.DUMMYFUNCTION("""COMPUTED_VALUE"""),46109.51577546296)</f>
        <v>46109.51578</v>
      </c>
      <c r="D1265" s="1">
        <f>IFERROR(__xludf.DUMMYFUNCTION("""COMPUTED_VALUE"""),-5.0)</f>
        <v>-5</v>
      </c>
      <c r="E1265" s="1"/>
      <c r="F1265" s="1"/>
    </row>
    <row r="1266">
      <c r="A1266" s="1" t="str">
        <f>IFERROR(__xludf.DUMMYFUNCTION("""COMPUTED_VALUE"""),"70d32750")</f>
        <v>70d32750</v>
      </c>
      <c r="B1266" s="1" t="str">
        <f>IFERROR(__xludf.DUMMYFUNCTION("""COMPUTED_VALUE"""),"0028")</f>
        <v>0028</v>
      </c>
      <c r="C1266" s="32">
        <f>IFERROR(__xludf.DUMMYFUNCTION("""COMPUTED_VALUE"""),46109.5159375)</f>
        <v>46109.51594</v>
      </c>
      <c r="D1266" s="1">
        <f>IFERROR(__xludf.DUMMYFUNCTION("""COMPUTED_VALUE"""),-8.0)</f>
        <v>-8</v>
      </c>
      <c r="E1266" s="1"/>
      <c r="F1266" s="1"/>
    </row>
    <row r="1267">
      <c r="A1267" s="1" t="str">
        <f>IFERROR(__xludf.DUMMYFUNCTION("""COMPUTED_VALUE"""),"f4b7b207")</f>
        <v>f4b7b207</v>
      </c>
      <c r="B1267" s="1" t="str">
        <f>IFERROR(__xludf.DUMMYFUNCTION("""COMPUTED_VALUE"""),"0005")</f>
        <v>0005</v>
      </c>
      <c r="C1267" s="32">
        <f>IFERROR(__xludf.DUMMYFUNCTION("""COMPUTED_VALUE"""),46109.481944444444)</f>
        <v>46109.48194</v>
      </c>
      <c r="D1267" s="1">
        <f>IFERROR(__xludf.DUMMYFUNCTION("""COMPUTED_VALUE"""),-2.0)</f>
        <v>-2</v>
      </c>
      <c r="E1267" s="1"/>
      <c r="F1267" s="1"/>
    </row>
    <row r="1268">
      <c r="A1268" s="1" t="str">
        <f>IFERROR(__xludf.DUMMYFUNCTION("""COMPUTED_VALUE"""),"c0367dae")</f>
        <v>c0367dae</v>
      </c>
      <c r="B1268" s="1" t="str">
        <f>IFERROR(__xludf.DUMMYFUNCTION("""COMPUTED_VALUE"""),"0002")</f>
        <v>0002</v>
      </c>
      <c r="C1268" s="32">
        <f>IFERROR(__xludf.DUMMYFUNCTION("""COMPUTED_VALUE"""),46109.63012731481)</f>
        <v>46109.63013</v>
      </c>
      <c r="D1268" s="1">
        <f>IFERROR(__xludf.DUMMYFUNCTION("""COMPUTED_VALUE"""),6.0)</f>
        <v>6</v>
      </c>
      <c r="E1268" s="1"/>
      <c r="F1268" s="1"/>
    </row>
    <row r="1269">
      <c r="A1269" s="1" t="str">
        <f>IFERROR(__xludf.DUMMYFUNCTION("""COMPUTED_VALUE"""),"186069ce")</f>
        <v>186069ce</v>
      </c>
      <c r="B1269" s="1" t="str">
        <f>IFERROR(__xludf.DUMMYFUNCTION("""COMPUTED_VALUE"""),"0001")</f>
        <v>0001</v>
      </c>
      <c r="C1269" s="32">
        <f>IFERROR(__xludf.DUMMYFUNCTION("""COMPUTED_VALUE"""),46109.63041666667)</f>
        <v>46109.63042</v>
      </c>
      <c r="D1269" s="1">
        <f>IFERROR(__xludf.DUMMYFUNCTION("""COMPUTED_VALUE"""),6.0)</f>
        <v>6</v>
      </c>
      <c r="E1269" s="1"/>
      <c r="F1269" s="1"/>
    </row>
    <row r="1270">
      <c r="A1270" s="1" t="str">
        <f>IFERROR(__xludf.DUMMYFUNCTION("""COMPUTED_VALUE"""),"3a70c68d")</f>
        <v>3a70c68d</v>
      </c>
      <c r="B1270" s="1" t="str">
        <f>IFERROR(__xludf.DUMMYFUNCTION("""COMPUTED_VALUE"""),"0011")</f>
        <v>0011</v>
      </c>
      <c r="C1270" s="32">
        <f>IFERROR(__xludf.DUMMYFUNCTION("""COMPUTED_VALUE"""),46110.095034722224)</f>
        <v>46110.09503</v>
      </c>
      <c r="D1270" s="1">
        <f>IFERROR(__xludf.DUMMYFUNCTION("""COMPUTED_VALUE"""),48.0)</f>
        <v>48</v>
      </c>
      <c r="E1270" s="1" t="str">
        <f>IFERROR(__xludf.DUMMYFUNCTION("""COMPUTED_VALUE"""),"a48e4ced")</f>
        <v>a48e4ced</v>
      </c>
      <c r="F1270" s="1"/>
    </row>
    <row r="1271">
      <c r="A1271" s="1" t="str">
        <f>IFERROR(__xludf.DUMMYFUNCTION("""COMPUTED_VALUE"""),"349965f4")</f>
        <v>349965f4</v>
      </c>
      <c r="B1271" s="1" t="str">
        <f>IFERROR(__xludf.DUMMYFUNCTION("""COMPUTED_VALUE"""),"bb6c2490")</f>
        <v>bb6c2490</v>
      </c>
      <c r="C1271" s="32">
        <f>IFERROR(__xludf.DUMMYFUNCTION("""COMPUTED_VALUE"""),46110.095138888886)</f>
        <v>46110.09514</v>
      </c>
      <c r="D1271" s="1">
        <f>IFERROR(__xludf.DUMMYFUNCTION("""COMPUTED_VALUE"""),36.0)</f>
        <v>36</v>
      </c>
      <c r="E1271" s="1" t="str">
        <f>IFERROR(__xludf.DUMMYFUNCTION("""COMPUTED_VALUE"""),"a48e4ced")</f>
        <v>a48e4ced</v>
      </c>
      <c r="F1271" s="1"/>
    </row>
    <row r="1272">
      <c r="A1272" s="1" t="str">
        <f>IFERROR(__xludf.DUMMYFUNCTION("""COMPUTED_VALUE"""),"8c658b4c")</f>
        <v>8c658b4c</v>
      </c>
      <c r="B1272" s="1" t="str">
        <f>IFERROR(__xludf.DUMMYFUNCTION("""COMPUTED_VALUE"""),"c099f042")</f>
        <v>c099f042</v>
      </c>
      <c r="C1272" s="32">
        <f>IFERROR(__xludf.DUMMYFUNCTION("""COMPUTED_VALUE"""),46110.09521990741)</f>
        <v>46110.09522</v>
      </c>
      <c r="D1272" s="1">
        <f>IFERROR(__xludf.DUMMYFUNCTION("""COMPUTED_VALUE"""),80.0)</f>
        <v>80</v>
      </c>
      <c r="E1272" s="1" t="str">
        <f>IFERROR(__xludf.DUMMYFUNCTION("""COMPUTED_VALUE"""),"a48e4ced")</f>
        <v>a48e4ced</v>
      </c>
      <c r="F1272" s="1"/>
    </row>
    <row r="1273">
      <c r="A1273" s="1" t="str">
        <f>IFERROR(__xludf.DUMMYFUNCTION("""COMPUTED_VALUE"""),"8b652352")</f>
        <v>8b652352</v>
      </c>
      <c r="B1273" s="1" t="str">
        <f>IFERROR(__xludf.DUMMYFUNCTION("""COMPUTED_VALUE"""),"83dd14b5")</f>
        <v>83dd14b5</v>
      </c>
      <c r="C1273" s="32">
        <f>IFERROR(__xludf.DUMMYFUNCTION("""COMPUTED_VALUE"""),46110.0953125)</f>
        <v>46110.09531</v>
      </c>
      <c r="D1273" s="1">
        <f>IFERROR(__xludf.DUMMYFUNCTION("""COMPUTED_VALUE"""),240.0)</f>
        <v>240</v>
      </c>
      <c r="E1273" s="1" t="str">
        <f>IFERROR(__xludf.DUMMYFUNCTION("""COMPUTED_VALUE"""),"a48e4ced")</f>
        <v>a48e4ced</v>
      </c>
      <c r="F1273" s="1"/>
    </row>
    <row r="1274">
      <c r="A1274" s="1" t="str">
        <f>IFERROR(__xludf.DUMMYFUNCTION("""COMPUTED_VALUE"""),"e4581aef")</f>
        <v>e4581aef</v>
      </c>
      <c r="B1274" s="1" t="str">
        <f>IFERROR(__xludf.DUMMYFUNCTION("""COMPUTED_VALUE"""),"0001")</f>
        <v>0001</v>
      </c>
      <c r="C1274" s="32">
        <f>IFERROR(__xludf.DUMMYFUNCTION("""COMPUTED_VALUE"""),46110.09793981481)</f>
        <v>46110.09794</v>
      </c>
      <c r="D1274" s="1">
        <f>IFERROR(__xludf.DUMMYFUNCTION("""COMPUTED_VALUE"""),75.0)</f>
        <v>75</v>
      </c>
      <c r="E1274" s="1" t="str">
        <f>IFERROR(__xludf.DUMMYFUNCTION("""COMPUTED_VALUE"""),"ffb86cee")</f>
        <v>ffb86cee</v>
      </c>
      <c r="F1274" s="1"/>
    </row>
    <row r="1275">
      <c r="A1275" s="1" t="str">
        <f>IFERROR(__xludf.DUMMYFUNCTION("""COMPUTED_VALUE"""),"9fbd4d65")</f>
        <v>9fbd4d65</v>
      </c>
      <c r="B1275" s="1" t="str">
        <f>IFERROR(__xludf.DUMMYFUNCTION("""COMPUTED_VALUE"""),"12b96290")</f>
        <v>12b96290</v>
      </c>
      <c r="C1275" s="32">
        <f>IFERROR(__xludf.DUMMYFUNCTION("""COMPUTED_VALUE"""),46110.09800925926)</f>
        <v>46110.09801</v>
      </c>
      <c r="D1275" s="1">
        <f>IFERROR(__xludf.DUMMYFUNCTION("""COMPUTED_VALUE"""),30.0)</f>
        <v>30</v>
      </c>
      <c r="E1275" s="1" t="str">
        <f>IFERROR(__xludf.DUMMYFUNCTION("""COMPUTED_VALUE"""),"ffb86cee")</f>
        <v>ffb86cee</v>
      </c>
      <c r="F1275" s="1"/>
    </row>
    <row r="1276">
      <c r="A1276" s="1" t="str">
        <f>IFERROR(__xludf.DUMMYFUNCTION("""COMPUTED_VALUE"""),"4b526148")</f>
        <v>4b526148</v>
      </c>
      <c r="B1276" s="1" t="str">
        <f>IFERROR(__xludf.DUMMYFUNCTION("""COMPUTED_VALUE"""),"0af806f8")</f>
        <v>0af806f8</v>
      </c>
      <c r="C1276" s="32">
        <f>IFERROR(__xludf.DUMMYFUNCTION("""COMPUTED_VALUE"""),46110.098078703704)</f>
        <v>46110.09808</v>
      </c>
      <c r="D1276" s="1">
        <f>IFERROR(__xludf.DUMMYFUNCTION("""COMPUTED_VALUE"""),45.0)</f>
        <v>45</v>
      </c>
      <c r="E1276" s="1" t="str">
        <f>IFERROR(__xludf.DUMMYFUNCTION("""COMPUTED_VALUE"""),"ffb86cee")</f>
        <v>ffb86cee</v>
      </c>
      <c r="F1276" s="1"/>
    </row>
    <row r="1277">
      <c r="A1277" s="1" t="str">
        <f>IFERROR(__xludf.DUMMYFUNCTION("""COMPUTED_VALUE"""),"a3a96f93")</f>
        <v>a3a96f93</v>
      </c>
      <c r="B1277" s="1" t="str">
        <f>IFERROR(__xludf.DUMMYFUNCTION("""COMPUTED_VALUE"""),"0019")</f>
        <v>0019</v>
      </c>
      <c r="C1277" s="32">
        <f>IFERROR(__xludf.DUMMYFUNCTION("""COMPUTED_VALUE"""),46110.09815972222)</f>
        <v>46110.09816</v>
      </c>
      <c r="D1277" s="1">
        <f>IFERROR(__xludf.DUMMYFUNCTION("""COMPUTED_VALUE"""),72.0)</f>
        <v>72</v>
      </c>
      <c r="E1277" s="1" t="str">
        <f>IFERROR(__xludf.DUMMYFUNCTION("""COMPUTED_VALUE"""),"ffb86cee")</f>
        <v>ffb86cee</v>
      </c>
      <c r="F1277" s="1"/>
    </row>
    <row r="1278">
      <c r="A1278" s="1" t="str">
        <f>IFERROR(__xludf.DUMMYFUNCTION("""COMPUTED_VALUE"""),"c54dfa77")</f>
        <v>c54dfa77</v>
      </c>
      <c r="B1278" s="1" t="str">
        <f>IFERROR(__xludf.DUMMYFUNCTION("""COMPUTED_VALUE"""),"0021")</f>
        <v>0021</v>
      </c>
      <c r="C1278" s="32">
        <f>IFERROR(__xludf.DUMMYFUNCTION("""COMPUTED_VALUE"""),46110.09821759259)</f>
        <v>46110.09822</v>
      </c>
      <c r="D1278" s="1">
        <f>IFERROR(__xludf.DUMMYFUNCTION("""COMPUTED_VALUE"""),48.0)</f>
        <v>48</v>
      </c>
      <c r="E1278" s="1" t="str">
        <f>IFERROR(__xludf.DUMMYFUNCTION("""COMPUTED_VALUE"""),"ffb86cee")</f>
        <v>ffb86cee</v>
      </c>
      <c r="F1278" s="1"/>
    </row>
    <row r="1279">
      <c r="A1279" s="1" t="str">
        <f>IFERROR(__xludf.DUMMYFUNCTION("""COMPUTED_VALUE"""),"2a242345")</f>
        <v>2a242345</v>
      </c>
      <c r="B1279" s="1" t="str">
        <f>IFERROR(__xludf.DUMMYFUNCTION("""COMPUTED_VALUE"""),"0029")</f>
        <v>0029</v>
      </c>
      <c r="C1279" s="32">
        <f>IFERROR(__xludf.DUMMYFUNCTION("""COMPUTED_VALUE"""),46110.098287037035)</f>
        <v>46110.09829</v>
      </c>
      <c r="D1279" s="1">
        <f>IFERROR(__xludf.DUMMYFUNCTION("""COMPUTED_VALUE"""),24.0)</f>
        <v>24</v>
      </c>
      <c r="E1279" s="1" t="str">
        <f>IFERROR(__xludf.DUMMYFUNCTION("""COMPUTED_VALUE"""),"ffb86cee")</f>
        <v>ffb86cee</v>
      </c>
      <c r="F1279" s="1"/>
    </row>
    <row r="1280">
      <c r="A1280" s="1" t="str">
        <f>IFERROR(__xludf.DUMMYFUNCTION("""COMPUTED_VALUE"""),"b1a09860")</f>
        <v>b1a09860</v>
      </c>
      <c r="B1280" s="1" t="str">
        <f>IFERROR(__xludf.DUMMYFUNCTION("""COMPUTED_VALUE"""),"0005")</f>
        <v>0005</v>
      </c>
      <c r="C1280" s="32">
        <f>IFERROR(__xludf.DUMMYFUNCTION("""COMPUTED_VALUE"""),46110.09835648148)</f>
        <v>46110.09836</v>
      </c>
      <c r="D1280" s="1">
        <f>IFERROR(__xludf.DUMMYFUNCTION("""COMPUTED_VALUE"""),24.0)</f>
        <v>24</v>
      </c>
      <c r="E1280" s="1" t="str">
        <f>IFERROR(__xludf.DUMMYFUNCTION("""COMPUTED_VALUE"""),"ffb86cee")</f>
        <v>ffb86cee</v>
      </c>
      <c r="F1280" s="1"/>
    </row>
    <row r="1281">
      <c r="A1281" s="1" t="str">
        <f>IFERROR(__xludf.DUMMYFUNCTION("""COMPUTED_VALUE"""),"90fd4352")</f>
        <v>90fd4352</v>
      </c>
      <c r="B1281" s="1" t="str">
        <f>IFERROR(__xludf.DUMMYFUNCTION("""COMPUTED_VALUE"""),"0064")</f>
        <v>0064</v>
      </c>
      <c r="C1281" s="32">
        <f>IFERROR(__xludf.DUMMYFUNCTION("""COMPUTED_VALUE"""),46110.09841435185)</f>
        <v>46110.09841</v>
      </c>
      <c r="D1281" s="1">
        <f>IFERROR(__xludf.DUMMYFUNCTION("""COMPUTED_VALUE"""),81.0)</f>
        <v>81</v>
      </c>
      <c r="E1281" s="1" t="str">
        <f>IFERROR(__xludf.DUMMYFUNCTION("""COMPUTED_VALUE"""),"ffb86cee")</f>
        <v>ffb86cee</v>
      </c>
      <c r="F1281" s="1"/>
    </row>
    <row r="1282">
      <c r="A1282" s="1" t="str">
        <f>IFERROR(__xludf.DUMMYFUNCTION("""COMPUTED_VALUE"""),"586b2775")</f>
        <v>586b2775</v>
      </c>
      <c r="B1282" s="1" t="str">
        <f>IFERROR(__xludf.DUMMYFUNCTION("""COMPUTED_VALUE"""),"0032")</f>
        <v>0032</v>
      </c>
      <c r="C1282" s="32">
        <f>IFERROR(__xludf.DUMMYFUNCTION("""COMPUTED_VALUE"""),46110.09847222222)</f>
        <v>46110.09847</v>
      </c>
      <c r="D1282" s="1">
        <f>IFERROR(__xludf.DUMMYFUNCTION("""COMPUTED_VALUE"""),81.0)</f>
        <v>81</v>
      </c>
      <c r="E1282" s="1" t="str">
        <f>IFERROR(__xludf.DUMMYFUNCTION("""COMPUTED_VALUE"""),"ffb86cee")</f>
        <v>ffb86cee</v>
      </c>
      <c r="F1282" s="1"/>
    </row>
    <row r="1283">
      <c r="A1283" s="1" t="str">
        <f>IFERROR(__xludf.DUMMYFUNCTION("""COMPUTED_VALUE"""),"1ddcd925")</f>
        <v>1ddcd925</v>
      </c>
      <c r="B1283" s="1" t="str">
        <f>IFERROR(__xludf.DUMMYFUNCTION("""COMPUTED_VALUE"""),"1b6b5ed6")</f>
        <v>1b6b5ed6</v>
      </c>
      <c r="C1283" s="32">
        <f>IFERROR(__xludf.DUMMYFUNCTION("""COMPUTED_VALUE"""),46110.09853009259)</f>
        <v>46110.09853</v>
      </c>
      <c r="D1283" s="1">
        <f>IFERROR(__xludf.DUMMYFUNCTION("""COMPUTED_VALUE"""),120.0)</f>
        <v>120</v>
      </c>
      <c r="E1283" s="1" t="str">
        <f>IFERROR(__xludf.DUMMYFUNCTION("""COMPUTED_VALUE"""),"ffb86cee")</f>
        <v>ffb86cee</v>
      </c>
      <c r="F1283" s="1"/>
    </row>
    <row r="1284">
      <c r="A1284" s="1" t="str">
        <f>IFERROR(__xludf.DUMMYFUNCTION("""COMPUTED_VALUE"""),"e73a3906")</f>
        <v>e73a3906</v>
      </c>
      <c r="B1284" s="1" t="str">
        <f>IFERROR(__xludf.DUMMYFUNCTION("""COMPUTED_VALUE"""),"0038")</f>
        <v>0038</v>
      </c>
      <c r="C1284" s="32">
        <f>IFERROR(__xludf.DUMMYFUNCTION("""COMPUTED_VALUE"""),46110.098587962966)</f>
        <v>46110.09859</v>
      </c>
      <c r="D1284" s="1">
        <f>IFERROR(__xludf.DUMMYFUNCTION("""COMPUTED_VALUE"""),16.0)</f>
        <v>16</v>
      </c>
      <c r="E1284" s="1" t="str">
        <f>IFERROR(__xludf.DUMMYFUNCTION("""COMPUTED_VALUE"""),"ffb86cee")</f>
        <v>ffb86cee</v>
      </c>
      <c r="F1284" s="1"/>
    </row>
    <row r="1285">
      <c r="A1285" s="1" t="str">
        <f>IFERROR(__xludf.DUMMYFUNCTION("""COMPUTED_VALUE"""),"ba0df0b1")</f>
        <v>ba0df0b1</v>
      </c>
      <c r="B1285" s="1" t="str">
        <f>IFERROR(__xludf.DUMMYFUNCTION("""COMPUTED_VALUE"""),"bb6c2490")</f>
        <v>bb6c2490</v>
      </c>
      <c r="C1285" s="32">
        <f>IFERROR(__xludf.DUMMYFUNCTION("""COMPUTED_VALUE"""),46110.098657407405)</f>
        <v>46110.09866</v>
      </c>
      <c r="D1285" s="1">
        <f>IFERROR(__xludf.DUMMYFUNCTION("""COMPUTED_VALUE"""),36.0)</f>
        <v>36</v>
      </c>
      <c r="E1285" s="1" t="str">
        <f>IFERROR(__xludf.DUMMYFUNCTION("""COMPUTED_VALUE"""),"ffb86cee")</f>
        <v>ffb86cee</v>
      </c>
      <c r="F1285" s="1"/>
    </row>
    <row r="1286">
      <c r="A1286" s="1" t="str">
        <f>IFERROR(__xludf.DUMMYFUNCTION("""COMPUTED_VALUE"""),"e32e2903")</f>
        <v>e32e2903</v>
      </c>
      <c r="B1286" s="1" t="str">
        <f>IFERROR(__xludf.DUMMYFUNCTION("""COMPUTED_VALUE"""),"cb9e809e")</f>
        <v>cb9e809e</v>
      </c>
      <c r="C1286" s="32">
        <f>IFERROR(__xludf.DUMMYFUNCTION("""COMPUTED_VALUE"""),46110.0996875)</f>
        <v>46110.09969</v>
      </c>
      <c r="D1286" s="1">
        <f>IFERROR(__xludf.DUMMYFUNCTION("""COMPUTED_VALUE"""),60.0)</f>
        <v>60</v>
      </c>
      <c r="E1286" s="1" t="str">
        <f>IFERROR(__xludf.DUMMYFUNCTION("""COMPUTED_VALUE"""),"bb81e412")</f>
        <v>bb81e412</v>
      </c>
      <c r="F1286" s="1"/>
    </row>
    <row r="1287">
      <c r="A1287" s="1" t="str">
        <f>IFERROR(__xludf.DUMMYFUNCTION("""COMPUTED_VALUE"""),"9807070c")</f>
        <v>9807070c</v>
      </c>
      <c r="B1287" s="1" t="str">
        <f>IFERROR(__xludf.DUMMYFUNCTION("""COMPUTED_VALUE"""),"bb4d1bd1")</f>
        <v>bb4d1bd1</v>
      </c>
      <c r="C1287" s="32">
        <f>IFERROR(__xludf.DUMMYFUNCTION("""COMPUTED_VALUE"""),46110.09974537037)</f>
        <v>46110.09975</v>
      </c>
      <c r="D1287" s="1">
        <f>IFERROR(__xludf.DUMMYFUNCTION("""COMPUTED_VALUE"""),48.0)</f>
        <v>48</v>
      </c>
      <c r="E1287" s="1" t="str">
        <f>IFERROR(__xludf.DUMMYFUNCTION("""COMPUTED_VALUE"""),"bb81e412")</f>
        <v>bb81e412</v>
      </c>
      <c r="F1287" s="1"/>
    </row>
    <row r="1288">
      <c r="A1288" s="1" t="str">
        <f>IFERROR(__xludf.DUMMYFUNCTION("""COMPUTED_VALUE"""),"99686ced")</f>
        <v>99686ced</v>
      </c>
      <c r="B1288" s="1" t="str">
        <f>IFERROR(__xludf.DUMMYFUNCTION("""COMPUTED_VALUE"""),"02d86a9b")</f>
        <v>02d86a9b</v>
      </c>
      <c r="C1288" s="32">
        <f>IFERROR(__xludf.DUMMYFUNCTION("""COMPUTED_VALUE"""),46110.09979166667)</f>
        <v>46110.09979</v>
      </c>
      <c r="D1288" s="1">
        <f>IFERROR(__xludf.DUMMYFUNCTION("""COMPUTED_VALUE"""),72.0)</f>
        <v>72</v>
      </c>
      <c r="E1288" s="1" t="str">
        <f>IFERROR(__xludf.DUMMYFUNCTION("""COMPUTED_VALUE"""),"bb81e412")</f>
        <v>bb81e412</v>
      </c>
      <c r="F1288" s="1"/>
    </row>
    <row r="1289">
      <c r="A1289" s="1" t="str">
        <f>IFERROR(__xludf.DUMMYFUNCTION("""COMPUTED_VALUE"""),"d6ddb442")</f>
        <v>d6ddb442</v>
      </c>
      <c r="B1289" s="1" t="str">
        <f>IFERROR(__xludf.DUMMYFUNCTION("""COMPUTED_VALUE"""),"a19879cf")</f>
        <v>a19879cf</v>
      </c>
      <c r="C1289" s="32">
        <f>IFERROR(__xludf.DUMMYFUNCTION("""COMPUTED_VALUE"""),46110.09984953704)</f>
        <v>46110.09985</v>
      </c>
      <c r="D1289" s="1">
        <f>IFERROR(__xludf.DUMMYFUNCTION("""COMPUTED_VALUE"""),120.0)</f>
        <v>120</v>
      </c>
      <c r="E1289" s="1" t="str">
        <f>IFERROR(__xludf.DUMMYFUNCTION("""COMPUTED_VALUE"""),"bb81e412")</f>
        <v>bb81e412</v>
      </c>
      <c r="F1289" s="1"/>
    </row>
    <row r="1290">
      <c r="A1290" s="1" t="str">
        <f>IFERROR(__xludf.DUMMYFUNCTION("""COMPUTED_VALUE"""),"58c6f359")</f>
        <v>58c6f359</v>
      </c>
      <c r="B1290" s="1" t="str">
        <f>IFERROR(__xludf.DUMMYFUNCTION("""COMPUTED_VALUE"""),"0014")</f>
        <v>0014</v>
      </c>
      <c r="C1290" s="32">
        <f>IFERROR(__xludf.DUMMYFUNCTION("""COMPUTED_VALUE"""),46110.10016203704)</f>
        <v>46110.10016</v>
      </c>
      <c r="D1290" s="1">
        <f>IFERROR(__xludf.DUMMYFUNCTION("""COMPUTED_VALUE"""),10.0)</f>
        <v>10</v>
      </c>
      <c r="E1290" s="1" t="str">
        <f>IFERROR(__xludf.DUMMYFUNCTION("""COMPUTED_VALUE"""),"4f7d1480")</f>
        <v>4f7d1480</v>
      </c>
      <c r="F1290" s="1"/>
    </row>
    <row r="1291">
      <c r="A1291" s="1" t="str">
        <f>IFERROR(__xludf.DUMMYFUNCTION("""COMPUTED_VALUE"""),"311870d3")</f>
        <v>311870d3</v>
      </c>
      <c r="B1291" s="1" t="str">
        <f>IFERROR(__xludf.DUMMYFUNCTION("""COMPUTED_VALUE"""),"0086")</f>
        <v>0086</v>
      </c>
      <c r="C1291" s="32">
        <f>IFERROR(__xludf.DUMMYFUNCTION("""COMPUTED_VALUE"""),46110.10021990741)</f>
        <v>46110.10022</v>
      </c>
      <c r="D1291" s="1">
        <f>IFERROR(__xludf.DUMMYFUNCTION("""COMPUTED_VALUE"""),30.0)</f>
        <v>30</v>
      </c>
      <c r="E1291" s="1" t="str">
        <f>IFERROR(__xludf.DUMMYFUNCTION("""COMPUTED_VALUE"""),"4f7d1480")</f>
        <v>4f7d1480</v>
      </c>
      <c r="F1291" s="1"/>
    </row>
    <row r="1292">
      <c r="A1292" s="1" t="str">
        <f>IFERROR(__xludf.DUMMYFUNCTION("""COMPUTED_VALUE"""),"25e9931b")</f>
        <v>25e9931b</v>
      </c>
      <c r="B1292" s="1" t="str">
        <f>IFERROR(__xludf.DUMMYFUNCTION("""COMPUTED_VALUE"""),"c099f042")</f>
        <v>c099f042</v>
      </c>
      <c r="C1292" s="32">
        <f>IFERROR(__xludf.DUMMYFUNCTION("""COMPUTED_VALUE"""),46110.48935185185)</f>
        <v>46110.48935</v>
      </c>
      <c r="D1292" s="1">
        <f>IFERROR(__xludf.DUMMYFUNCTION("""COMPUTED_VALUE"""),-4.0)</f>
        <v>-4</v>
      </c>
      <c r="E1292" s="1"/>
      <c r="F1292" s="1"/>
    </row>
    <row r="1293">
      <c r="A1293" s="1" t="str">
        <f>IFERROR(__xludf.DUMMYFUNCTION("""COMPUTED_VALUE"""),"d7ece027")</f>
        <v>d7ece027</v>
      </c>
      <c r="B1293" s="1" t="str">
        <f>IFERROR(__xludf.DUMMYFUNCTION("""COMPUTED_VALUE"""),"bb6c2490")</f>
        <v>bb6c2490</v>
      </c>
      <c r="C1293" s="32">
        <f>IFERROR(__xludf.DUMMYFUNCTION("""COMPUTED_VALUE"""),46110.48940972222)</f>
        <v>46110.48941</v>
      </c>
      <c r="D1293" s="1">
        <f>IFERROR(__xludf.DUMMYFUNCTION("""COMPUTED_VALUE"""),-4.0)</f>
        <v>-4</v>
      </c>
      <c r="E1293" s="1"/>
      <c r="F1293" s="1"/>
    </row>
    <row r="1294">
      <c r="A1294" s="1" t="str">
        <f>IFERROR(__xludf.DUMMYFUNCTION("""COMPUTED_VALUE"""),"b23e5222")</f>
        <v>b23e5222</v>
      </c>
      <c r="B1294" s="1" t="str">
        <f>IFERROR(__xludf.DUMMYFUNCTION("""COMPUTED_VALUE"""),"0af806f8")</f>
        <v>0af806f8</v>
      </c>
      <c r="C1294" s="32">
        <f>IFERROR(__xludf.DUMMYFUNCTION("""COMPUTED_VALUE"""),46110.48947916667)</f>
        <v>46110.48948</v>
      </c>
      <c r="D1294" s="1">
        <f>IFERROR(__xludf.DUMMYFUNCTION("""COMPUTED_VALUE"""),-7.0)</f>
        <v>-7</v>
      </c>
      <c r="E1294" s="1"/>
      <c r="F1294" s="1"/>
    </row>
    <row r="1295">
      <c r="A1295" s="1" t="str">
        <f>IFERROR(__xludf.DUMMYFUNCTION("""COMPUTED_VALUE"""),"7ae55ed8")</f>
        <v>7ae55ed8</v>
      </c>
      <c r="B1295" s="1" t="str">
        <f>IFERROR(__xludf.DUMMYFUNCTION("""COMPUTED_VALUE"""),"12b96290")</f>
        <v>12b96290</v>
      </c>
      <c r="C1295" s="32">
        <f>IFERROR(__xludf.DUMMYFUNCTION("""COMPUTED_VALUE"""),46110.48954861111)</f>
        <v>46110.48955</v>
      </c>
      <c r="D1295" s="1">
        <f>IFERROR(__xludf.DUMMYFUNCTION("""COMPUTED_VALUE"""),-2.0)</f>
        <v>-2</v>
      </c>
      <c r="E1295" s="1"/>
      <c r="F1295" s="1"/>
    </row>
    <row r="1296">
      <c r="A1296" s="1" t="str">
        <f>IFERROR(__xludf.DUMMYFUNCTION("""COMPUTED_VALUE"""),"b12df269")</f>
        <v>b12df269</v>
      </c>
      <c r="B1296" s="1" t="str">
        <f>IFERROR(__xludf.DUMMYFUNCTION("""COMPUTED_VALUE"""),"0001")</f>
        <v>0001</v>
      </c>
      <c r="C1296" s="32">
        <f>IFERROR(__xludf.DUMMYFUNCTION("""COMPUTED_VALUE"""),46110.48961805556)</f>
        <v>46110.48962</v>
      </c>
      <c r="D1296" s="1">
        <f>IFERROR(__xludf.DUMMYFUNCTION("""COMPUTED_VALUE"""),-1.0)</f>
        <v>-1</v>
      </c>
      <c r="E1296" s="1"/>
      <c r="F1296" s="1"/>
    </row>
    <row r="1297">
      <c r="A1297" s="1" t="str">
        <f>IFERROR(__xludf.DUMMYFUNCTION("""COMPUTED_VALUE"""),"cc42972e")</f>
        <v>cc42972e</v>
      </c>
      <c r="B1297" s="1" t="str">
        <f>IFERROR(__xludf.DUMMYFUNCTION("""COMPUTED_VALUE"""),"02d86a9b")</f>
        <v>02d86a9b</v>
      </c>
      <c r="C1297" s="32">
        <f>IFERROR(__xludf.DUMMYFUNCTION("""COMPUTED_VALUE"""),46110.494166666664)</f>
        <v>46110.49417</v>
      </c>
      <c r="D1297" s="1">
        <f>IFERROR(__xludf.DUMMYFUNCTION("""COMPUTED_VALUE"""),-16.0)</f>
        <v>-16</v>
      </c>
      <c r="E1297" s="1"/>
      <c r="F1297" s="1"/>
    </row>
    <row r="1298">
      <c r="A1298" s="1" t="str">
        <f>IFERROR(__xludf.DUMMYFUNCTION("""COMPUTED_VALUE"""),"2b6bd70e")</f>
        <v>2b6bd70e</v>
      </c>
      <c r="B1298" s="1" t="str">
        <f>IFERROR(__xludf.DUMMYFUNCTION("""COMPUTED_VALUE"""),"bb4d1bd1")</f>
        <v>bb4d1bd1</v>
      </c>
      <c r="C1298" s="32">
        <f>IFERROR(__xludf.DUMMYFUNCTION("""COMPUTED_VALUE"""),46110.49424768519)</f>
        <v>46110.49425</v>
      </c>
      <c r="D1298" s="1">
        <f>IFERROR(__xludf.DUMMYFUNCTION("""COMPUTED_VALUE"""),-16.0)</f>
        <v>-16</v>
      </c>
      <c r="E1298" s="1"/>
      <c r="F1298" s="1"/>
    </row>
    <row r="1299">
      <c r="A1299" s="1" t="str">
        <f>IFERROR(__xludf.DUMMYFUNCTION("""COMPUTED_VALUE"""),"684cfaa4")</f>
        <v>684cfaa4</v>
      </c>
      <c r="B1299" s="1" t="str">
        <f>IFERROR(__xludf.DUMMYFUNCTION("""COMPUTED_VALUE"""),"a19879cf")</f>
        <v>a19879cf</v>
      </c>
      <c r="C1299" s="32">
        <f>IFERROR(__xludf.DUMMYFUNCTION("""COMPUTED_VALUE"""),46110.494363425925)</f>
        <v>46110.49436</v>
      </c>
      <c r="D1299" s="1">
        <f>IFERROR(__xludf.DUMMYFUNCTION("""COMPUTED_VALUE"""),-10.0)</f>
        <v>-10</v>
      </c>
      <c r="E1299" s="1"/>
      <c r="F1299" s="1"/>
    </row>
    <row r="1300">
      <c r="A1300" s="1" t="str">
        <f>IFERROR(__xludf.DUMMYFUNCTION("""COMPUTED_VALUE"""),"4ffcdd35")</f>
        <v>4ffcdd35</v>
      </c>
      <c r="B1300" s="1" t="str">
        <f>IFERROR(__xludf.DUMMYFUNCTION("""COMPUTED_VALUE"""),"0027")</f>
        <v>0027</v>
      </c>
      <c r="C1300" s="32">
        <f>IFERROR(__xludf.DUMMYFUNCTION("""COMPUTED_VALUE"""),46110.49450231482)</f>
        <v>46110.4945</v>
      </c>
      <c r="D1300" s="1">
        <f>IFERROR(__xludf.DUMMYFUNCTION("""COMPUTED_VALUE"""),-5.0)</f>
        <v>-5</v>
      </c>
      <c r="E1300" s="1"/>
      <c r="F1300" s="1"/>
    </row>
    <row r="1301">
      <c r="A1301" s="1" t="str">
        <f>IFERROR(__xludf.DUMMYFUNCTION("""COMPUTED_VALUE"""),"bce0a6d4")</f>
        <v>bce0a6d4</v>
      </c>
      <c r="B1301" s="1" t="str">
        <f>IFERROR(__xludf.DUMMYFUNCTION("""COMPUTED_VALUE"""),"0086")</f>
        <v>0086</v>
      </c>
      <c r="C1301" s="32">
        <f>IFERROR(__xludf.DUMMYFUNCTION("""COMPUTED_VALUE"""),46110.494618055556)</f>
        <v>46110.49462</v>
      </c>
      <c r="D1301" s="1">
        <f>IFERROR(__xludf.DUMMYFUNCTION("""COMPUTED_VALUE"""),-10.0)</f>
        <v>-10</v>
      </c>
      <c r="E1301" s="1"/>
      <c r="F1301" s="1"/>
    </row>
    <row r="1302">
      <c r="A1302" s="1" t="str">
        <f>IFERROR(__xludf.DUMMYFUNCTION("""COMPUTED_VALUE"""),"b4750600")</f>
        <v>b4750600</v>
      </c>
      <c r="B1302" s="1" t="str">
        <f>IFERROR(__xludf.DUMMYFUNCTION("""COMPUTED_VALUE"""),"0021")</f>
        <v>0021</v>
      </c>
      <c r="C1302" s="32">
        <f>IFERROR(__xludf.DUMMYFUNCTION("""COMPUTED_VALUE"""),46110.49591435185)</f>
        <v>46110.49591</v>
      </c>
      <c r="D1302" s="1">
        <f>IFERROR(__xludf.DUMMYFUNCTION("""COMPUTED_VALUE"""),-11.0)</f>
        <v>-11</v>
      </c>
      <c r="E1302" s="1"/>
      <c r="F1302" s="1"/>
    </row>
    <row r="1303">
      <c r="A1303" s="1" t="str">
        <f>IFERROR(__xludf.DUMMYFUNCTION("""COMPUTED_VALUE"""),"3b4f5236")</f>
        <v>3b4f5236</v>
      </c>
      <c r="B1303" s="1" t="str">
        <f>IFERROR(__xludf.DUMMYFUNCTION("""COMPUTED_VALUE"""),"cb9e809e")</f>
        <v>cb9e809e</v>
      </c>
      <c r="C1303" s="32">
        <f>IFERROR(__xludf.DUMMYFUNCTION("""COMPUTED_VALUE"""),46110.496724537035)</f>
        <v>46110.49672</v>
      </c>
      <c r="D1303" s="1">
        <f>IFERROR(__xludf.DUMMYFUNCTION("""COMPUTED_VALUE"""),-14.0)</f>
        <v>-14</v>
      </c>
      <c r="E1303" s="1"/>
      <c r="F1303" s="1"/>
    </row>
    <row r="1304">
      <c r="A1304" s="1" t="str">
        <f>IFERROR(__xludf.DUMMYFUNCTION("""COMPUTED_VALUE"""),"64feb6e1")</f>
        <v>64feb6e1</v>
      </c>
      <c r="B1304" s="1" t="str">
        <f>IFERROR(__xludf.DUMMYFUNCTION("""COMPUTED_VALUE"""),"0049")</f>
        <v>0049</v>
      </c>
      <c r="C1304" s="32">
        <f>IFERROR(__xludf.DUMMYFUNCTION("""COMPUTED_VALUE"""),46110.49753472222)</f>
        <v>46110.49753</v>
      </c>
      <c r="D1304" s="1">
        <f>IFERROR(__xludf.DUMMYFUNCTION("""COMPUTED_VALUE"""),-12.0)</f>
        <v>-12</v>
      </c>
      <c r="E1304" s="1"/>
      <c r="F1304" s="1"/>
    </row>
    <row r="1305">
      <c r="A1305" s="1" t="str">
        <f>IFERROR(__xludf.DUMMYFUNCTION("""COMPUTED_VALUE"""),"9a785d79")</f>
        <v>9a785d79</v>
      </c>
      <c r="B1305" s="1" t="str">
        <f>IFERROR(__xludf.DUMMYFUNCTION("""COMPUTED_VALUE"""),"0032")</f>
        <v>0032</v>
      </c>
      <c r="C1305" s="32">
        <f>IFERROR(__xludf.DUMMYFUNCTION("""COMPUTED_VALUE"""),46110.499386574076)</f>
        <v>46110.49939</v>
      </c>
      <c r="D1305" s="1">
        <f>IFERROR(__xludf.DUMMYFUNCTION("""COMPUTED_VALUE"""),-7.0)</f>
        <v>-7</v>
      </c>
      <c r="E1305" s="1"/>
      <c r="F1305" s="1"/>
    </row>
    <row r="1306">
      <c r="A1306" s="1" t="str">
        <f>IFERROR(__xludf.DUMMYFUNCTION("""COMPUTED_VALUE"""),"37834f2a")</f>
        <v>37834f2a</v>
      </c>
      <c r="B1306" s="1" t="str">
        <f>IFERROR(__xludf.DUMMYFUNCTION("""COMPUTED_VALUE"""),"0064")</f>
        <v>0064</v>
      </c>
      <c r="C1306" s="32">
        <f>IFERROR(__xludf.DUMMYFUNCTION("""COMPUTED_VALUE"""),46110.499456018515)</f>
        <v>46110.49946</v>
      </c>
      <c r="D1306" s="1">
        <f>IFERROR(__xludf.DUMMYFUNCTION("""COMPUTED_VALUE"""),-1.0)</f>
        <v>-1</v>
      </c>
      <c r="E1306" s="1"/>
      <c r="F1306" s="1"/>
    </row>
    <row r="1307">
      <c r="A1307" s="1" t="str">
        <f>IFERROR(__xludf.DUMMYFUNCTION("""COMPUTED_VALUE"""),"3bcb7baf")</f>
        <v>3bcb7baf</v>
      </c>
      <c r="B1307" s="1" t="str">
        <f>IFERROR(__xludf.DUMMYFUNCTION("""COMPUTED_VALUE"""),"0029")</f>
        <v>0029</v>
      </c>
      <c r="C1307" s="32">
        <f>IFERROR(__xludf.DUMMYFUNCTION("""COMPUTED_VALUE"""),46110.5021875)</f>
        <v>46110.50219</v>
      </c>
      <c r="D1307" s="1">
        <f>IFERROR(__xludf.DUMMYFUNCTION("""COMPUTED_VALUE"""),-19.0)</f>
        <v>-19</v>
      </c>
      <c r="E1307" s="1"/>
      <c r="F1307" s="1"/>
    </row>
    <row r="1308">
      <c r="A1308" s="1" t="str">
        <f>IFERROR(__xludf.DUMMYFUNCTION("""COMPUTED_VALUE"""),"b640b9c7")</f>
        <v>b640b9c7</v>
      </c>
      <c r="B1308" s="1" t="str">
        <f>IFERROR(__xludf.DUMMYFUNCTION("""COMPUTED_VALUE"""),"57a5617b")</f>
        <v>57a5617b</v>
      </c>
      <c r="C1308" s="32">
        <f>IFERROR(__xludf.DUMMYFUNCTION("""COMPUTED_VALUE"""),46110.502384259256)</f>
        <v>46110.50238</v>
      </c>
      <c r="D1308" s="1">
        <f>IFERROR(__xludf.DUMMYFUNCTION("""COMPUTED_VALUE"""),-3.0)</f>
        <v>-3</v>
      </c>
      <c r="E1308" s="1"/>
      <c r="F1308" s="1"/>
    </row>
    <row r="1309">
      <c r="A1309" s="1" t="str">
        <f>IFERROR(__xludf.DUMMYFUNCTION("""COMPUTED_VALUE"""),"6af6b80f")</f>
        <v>6af6b80f</v>
      </c>
      <c r="B1309" s="1" t="str">
        <f>IFERROR(__xludf.DUMMYFUNCTION("""COMPUTED_VALUE"""),"0054")</f>
        <v>0054</v>
      </c>
      <c r="C1309" s="32">
        <f>IFERROR(__xludf.DUMMYFUNCTION("""COMPUTED_VALUE"""),46110.502488425926)</f>
        <v>46110.50249</v>
      </c>
      <c r="D1309" s="1">
        <f>IFERROR(__xludf.DUMMYFUNCTION("""COMPUTED_VALUE"""),-6.0)</f>
        <v>-6</v>
      </c>
      <c r="E1309" s="1"/>
      <c r="F1309" s="1"/>
    </row>
    <row r="1310">
      <c r="A1310" s="1" t="str">
        <f>IFERROR(__xludf.DUMMYFUNCTION("""COMPUTED_VALUE"""),"c02d5132")</f>
        <v>c02d5132</v>
      </c>
      <c r="B1310" s="1" t="str">
        <f>IFERROR(__xludf.DUMMYFUNCTION("""COMPUTED_VALUE"""),"0005")</f>
        <v>0005</v>
      </c>
      <c r="C1310" s="32">
        <f>IFERROR(__xludf.DUMMYFUNCTION("""COMPUTED_VALUE"""),46110.502604166664)</f>
        <v>46110.5026</v>
      </c>
      <c r="D1310" s="1">
        <f>IFERROR(__xludf.DUMMYFUNCTION("""COMPUTED_VALUE"""),-7.0)</f>
        <v>-7</v>
      </c>
      <c r="E1310" s="1"/>
      <c r="F1310" s="1"/>
    </row>
    <row r="1311">
      <c r="A1311" s="1" t="str">
        <f>IFERROR(__xludf.DUMMYFUNCTION("""COMPUTED_VALUE"""),"f42666ec")</f>
        <v>f42666ec</v>
      </c>
      <c r="B1311" s="1" t="str">
        <f>IFERROR(__xludf.DUMMYFUNCTION("""COMPUTED_VALUE"""),"0011")</f>
        <v>0011</v>
      </c>
      <c r="C1311" s="32">
        <f>IFERROR(__xludf.DUMMYFUNCTION("""COMPUTED_VALUE"""),46110.50271990741)</f>
        <v>46110.50272</v>
      </c>
      <c r="D1311" s="1">
        <f>IFERROR(__xludf.DUMMYFUNCTION("""COMPUTED_VALUE"""),-10.0)</f>
        <v>-10</v>
      </c>
      <c r="E1311" s="1"/>
      <c r="F1311" s="1"/>
    </row>
    <row r="1312">
      <c r="A1312" s="1" t="str">
        <f>IFERROR(__xludf.DUMMYFUNCTION("""COMPUTED_VALUE"""),"7ceeb6bf")</f>
        <v>7ceeb6bf</v>
      </c>
      <c r="B1312" s="1" t="str">
        <f>IFERROR(__xludf.DUMMYFUNCTION("""COMPUTED_VALUE"""),"0002")</f>
        <v>0002</v>
      </c>
      <c r="C1312" s="32">
        <f>IFERROR(__xludf.DUMMYFUNCTION("""COMPUTED_VALUE"""),46110.502847222226)</f>
        <v>46110.50285</v>
      </c>
      <c r="D1312" s="1">
        <f>IFERROR(__xludf.DUMMYFUNCTION("""COMPUTED_VALUE"""),-60.0)</f>
        <v>-60</v>
      </c>
      <c r="E1312" s="1"/>
      <c r="F1312" s="1"/>
    </row>
    <row r="1313">
      <c r="A1313" s="1" t="str">
        <f>IFERROR(__xludf.DUMMYFUNCTION("""COMPUTED_VALUE"""),"7ce8ec61")</f>
        <v>7ce8ec61</v>
      </c>
      <c r="B1313" s="1" t="str">
        <f>IFERROR(__xludf.DUMMYFUNCTION("""COMPUTED_VALUE"""),"8ed00567")</f>
        <v>8ed00567</v>
      </c>
      <c r="C1313" s="32">
        <f>IFERROR(__xludf.DUMMYFUNCTION("""COMPUTED_VALUE"""),46110.503703703704)</f>
        <v>46110.5037</v>
      </c>
      <c r="D1313" s="1">
        <f>IFERROR(__xludf.DUMMYFUNCTION("""COMPUTED_VALUE"""),1.0)</f>
        <v>1</v>
      </c>
      <c r="E1313" s="1"/>
      <c r="F1313" s="1"/>
    </row>
    <row r="1314">
      <c r="A1314" s="1" t="str">
        <f>IFERROR(__xludf.DUMMYFUNCTION("""COMPUTED_VALUE"""),"8d62a863")</f>
        <v>8d62a863</v>
      </c>
      <c r="B1314" s="1" t="str">
        <f>IFERROR(__xludf.DUMMYFUNCTION("""COMPUTED_VALUE"""),"0065")</f>
        <v>0065</v>
      </c>
      <c r="C1314" s="32">
        <f>IFERROR(__xludf.DUMMYFUNCTION("""COMPUTED_VALUE"""),46110.50550925926)</f>
        <v>46110.50551</v>
      </c>
      <c r="D1314" s="1">
        <f>IFERROR(__xludf.DUMMYFUNCTION("""COMPUTED_VALUE"""),4.0)</f>
        <v>4</v>
      </c>
      <c r="E1314" s="1"/>
      <c r="F1314" s="1"/>
    </row>
    <row r="1315">
      <c r="A1315" s="1" t="str">
        <f>IFERROR(__xludf.DUMMYFUNCTION("""COMPUTED_VALUE"""),"8db8fe46")</f>
        <v>8db8fe46</v>
      </c>
      <c r="B1315" s="1" t="str">
        <f>IFERROR(__xludf.DUMMYFUNCTION("""COMPUTED_VALUE"""),"e9e2a383")</f>
        <v>e9e2a383</v>
      </c>
      <c r="C1315" s="32">
        <f>IFERROR(__xludf.DUMMYFUNCTION("""COMPUTED_VALUE"""),46110.505740740744)</f>
        <v>46110.50574</v>
      </c>
      <c r="D1315" s="1">
        <f>IFERROR(__xludf.DUMMYFUNCTION("""COMPUTED_VALUE"""),3.0)</f>
        <v>3</v>
      </c>
      <c r="E1315" s="1"/>
      <c r="F1315" s="1"/>
    </row>
    <row r="1316">
      <c r="A1316" s="1" t="str">
        <f>IFERROR(__xludf.DUMMYFUNCTION("""COMPUTED_VALUE"""),"1c3d37bc")</f>
        <v>1c3d37bc</v>
      </c>
      <c r="B1316" s="1" t="str">
        <f>IFERROR(__xludf.DUMMYFUNCTION("""COMPUTED_VALUE"""),"f38e69c5")</f>
        <v>f38e69c5</v>
      </c>
      <c r="C1316" s="32">
        <f>IFERROR(__xludf.DUMMYFUNCTION("""COMPUTED_VALUE"""),46110.505891203706)</f>
        <v>46110.50589</v>
      </c>
      <c r="D1316" s="1">
        <f>IFERROR(__xludf.DUMMYFUNCTION("""COMPUTED_VALUE"""),1.0)</f>
        <v>1</v>
      </c>
      <c r="E1316" s="1"/>
      <c r="F1316" s="1"/>
    </row>
    <row r="1317">
      <c r="A1317" s="1" t="str">
        <f>IFERROR(__xludf.DUMMYFUNCTION("""COMPUTED_VALUE"""),"57eb46ea")</f>
        <v>57eb46ea</v>
      </c>
      <c r="B1317" s="1" t="str">
        <f>IFERROR(__xludf.DUMMYFUNCTION("""COMPUTED_VALUE"""),"c099f042")</f>
        <v>c099f042</v>
      </c>
      <c r="C1317" s="32">
        <f>IFERROR(__xludf.DUMMYFUNCTION("""COMPUTED_VALUE"""),46111.44243055556)</f>
        <v>46111.44243</v>
      </c>
      <c r="D1317" s="1">
        <f>IFERROR(__xludf.DUMMYFUNCTION("""COMPUTED_VALUE"""),-3.0)</f>
        <v>-3</v>
      </c>
      <c r="E1317" s="1"/>
      <c r="F1317" s="1"/>
    </row>
    <row r="1318">
      <c r="A1318" s="1" t="str">
        <f>IFERROR(__xludf.DUMMYFUNCTION("""COMPUTED_VALUE"""),"8be073a6")</f>
        <v>8be073a6</v>
      </c>
      <c r="B1318" s="1" t="str">
        <f>IFERROR(__xludf.DUMMYFUNCTION("""COMPUTED_VALUE"""),"bb6c2490")</f>
        <v>bb6c2490</v>
      </c>
      <c r="C1318" s="32">
        <f>IFERROR(__xludf.DUMMYFUNCTION("""COMPUTED_VALUE"""),46111.44247685185)</f>
        <v>46111.44248</v>
      </c>
      <c r="D1318" s="1">
        <f>IFERROR(__xludf.DUMMYFUNCTION("""COMPUTED_VALUE"""),-12.0)</f>
        <v>-12</v>
      </c>
      <c r="E1318" s="1"/>
      <c r="F1318" s="1"/>
    </row>
    <row r="1319">
      <c r="A1319" s="1" t="str">
        <f>IFERROR(__xludf.DUMMYFUNCTION("""COMPUTED_VALUE"""),"b316e8cf")</f>
        <v>b316e8cf</v>
      </c>
      <c r="B1319" s="1" t="str">
        <f>IFERROR(__xludf.DUMMYFUNCTION("""COMPUTED_VALUE"""),"0033")</f>
        <v>0033</v>
      </c>
      <c r="C1319" s="32">
        <f>IFERROR(__xludf.DUMMYFUNCTION("""COMPUTED_VALUE"""),46111.44261574074)</f>
        <v>46111.44262</v>
      </c>
      <c r="D1319" s="1">
        <f>IFERROR(__xludf.DUMMYFUNCTION("""COMPUTED_VALUE"""),-6.0)</f>
        <v>-6</v>
      </c>
      <c r="E1319" s="1"/>
      <c r="F1319" s="1"/>
    </row>
    <row r="1320">
      <c r="A1320" s="1" t="str">
        <f>IFERROR(__xludf.DUMMYFUNCTION("""COMPUTED_VALUE"""),"e00760c9")</f>
        <v>e00760c9</v>
      </c>
      <c r="B1320" s="1" t="str">
        <f>IFERROR(__xludf.DUMMYFUNCTION("""COMPUTED_VALUE"""),"0af806f8")</f>
        <v>0af806f8</v>
      </c>
      <c r="C1320" s="32">
        <f>IFERROR(__xludf.DUMMYFUNCTION("""COMPUTED_VALUE"""),46111.442777777775)</f>
        <v>46111.44278</v>
      </c>
      <c r="D1320" s="1">
        <f>IFERROR(__xludf.DUMMYFUNCTION("""COMPUTED_VALUE"""),-7.0)</f>
        <v>-7</v>
      </c>
      <c r="E1320" s="1"/>
      <c r="F1320" s="1"/>
    </row>
    <row r="1321">
      <c r="A1321" s="1" t="str">
        <f>IFERROR(__xludf.DUMMYFUNCTION("""COMPUTED_VALUE"""),"26681e2b")</f>
        <v>26681e2b</v>
      </c>
      <c r="B1321" s="1" t="str">
        <f>IFERROR(__xludf.DUMMYFUNCTION("""COMPUTED_VALUE"""),"12b96290")</f>
        <v>12b96290</v>
      </c>
      <c r="C1321" s="32">
        <f>IFERROR(__xludf.DUMMYFUNCTION("""COMPUTED_VALUE"""),46111.44284722222)</f>
        <v>46111.44285</v>
      </c>
      <c r="D1321" s="1">
        <f>IFERROR(__xludf.DUMMYFUNCTION("""COMPUTED_VALUE"""),-2.0)</f>
        <v>-2</v>
      </c>
      <c r="E1321" s="1"/>
      <c r="F1321" s="1"/>
    </row>
    <row r="1322">
      <c r="A1322" s="1" t="str">
        <f>IFERROR(__xludf.DUMMYFUNCTION("""COMPUTED_VALUE"""),"e152a03a")</f>
        <v>e152a03a</v>
      </c>
      <c r="B1322" s="1" t="str">
        <f>IFERROR(__xludf.DUMMYFUNCTION("""COMPUTED_VALUE"""),"0001")</f>
        <v>0001</v>
      </c>
      <c r="C1322" s="32">
        <f>IFERROR(__xludf.DUMMYFUNCTION("""COMPUTED_VALUE"""),46111.44296296296)</f>
        <v>46111.44296</v>
      </c>
      <c r="D1322" s="1">
        <f>IFERROR(__xludf.DUMMYFUNCTION("""COMPUTED_VALUE"""),-8.0)</f>
        <v>-8</v>
      </c>
      <c r="E1322" s="1"/>
      <c r="F1322" s="1"/>
    </row>
    <row r="1323">
      <c r="A1323" s="1" t="str">
        <f>IFERROR(__xludf.DUMMYFUNCTION("""COMPUTED_VALUE"""),"ffd2d153")</f>
        <v>ffd2d153</v>
      </c>
      <c r="B1323" s="1" t="str">
        <f>IFERROR(__xludf.DUMMYFUNCTION("""COMPUTED_VALUE"""),"0014")</f>
        <v>0014</v>
      </c>
      <c r="C1323" s="32">
        <f>IFERROR(__xludf.DUMMYFUNCTION("""COMPUTED_VALUE"""),46111.44414351852)</f>
        <v>46111.44414</v>
      </c>
      <c r="D1323" s="1">
        <f>IFERROR(__xludf.DUMMYFUNCTION("""COMPUTED_VALUE"""),-11.0)</f>
        <v>-11</v>
      </c>
      <c r="E1323" s="1"/>
      <c r="F1323" s="1"/>
    </row>
    <row r="1324">
      <c r="A1324" s="1" t="str">
        <f>IFERROR(__xludf.DUMMYFUNCTION("""COMPUTED_VALUE"""),"5a384d52")</f>
        <v>5a384d52</v>
      </c>
      <c r="B1324" s="1" t="str">
        <f>IFERROR(__xludf.DUMMYFUNCTION("""COMPUTED_VALUE"""),"0038")</f>
        <v>0038</v>
      </c>
      <c r="C1324" s="32">
        <f>IFERROR(__xludf.DUMMYFUNCTION("""COMPUTED_VALUE"""),46111.44431712963)</f>
        <v>46111.44432</v>
      </c>
      <c r="D1324" s="1">
        <f>IFERROR(__xludf.DUMMYFUNCTION("""COMPUTED_VALUE"""),-5.0)</f>
        <v>-5</v>
      </c>
      <c r="E1324" s="1"/>
      <c r="F1324" s="1"/>
    </row>
    <row r="1325">
      <c r="A1325" s="1" t="str">
        <f>IFERROR(__xludf.DUMMYFUNCTION("""COMPUTED_VALUE"""),"e0018bf7")</f>
        <v>e0018bf7</v>
      </c>
      <c r="B1325" s="1" t="str">
        <f>IFERROR(__xludf.DUMMYFUNCTION("""COMPUTED_VALUE"""),"0027")</f>
        <v>0027</v>
      </c>
      <c r="C1325" s="32">
        <f>IFERROR(__xludf.DUMMYFUNCTION("""COMPUTED_VALUE"""),46111.44488425926)</f>
        <v>46111.44488</v>
      </c>
      <c r="D1325" s="1">
        <f>IFERROR(__xludf.DUMMYFUNCTION("""COMPUTED_VALUE"""),-10.0)</f>
        <v>-10</v>
      </c>
      <c r="E1325" s="1"/>
      <c r="F1325" s="1"/>
    </row>
    <row r="1326">
      <c r="A1326" s="1" t="str">
        <f>IFERROR(__xludf.DUMMYFUNCTION("""COMPUTED_VALUE"""),"4f6ef2ff")</f>
        <v>4f6ef2ff</v>
      </c>
      <c r="B1326" s="1" t="str">
        <f>IFERROR(__xludf.DUMMYFUNCTION("""COMPUTED_VALUE"""),"02d86a9b")</f>
        <v>02d86a9b</v>
      </c>
      <c r="C1326" s="32">
        <f>IFERROR(__xludf.DUMMYFUNCTION("""COMPUTED_VALUE"""),46111.445439814815)</f>
        <v>46111.44544</v>
      </c>
      <c r="D1326" s="1">
        <f>IFERROR(__xludf.DUMMYFUNCTION("""COMPUTED_VALUE"""),-13.0)</f>
        <v>-13</v>
      </c>
      <c r="E1326" s="1"/>
      <c r="F1326" s="1"/>
    </row>
    <row r="1327">
      <c r="A1327" s="1" t="str">
        <f>IFERROR(__xludf.DUMMYFUNCTION("""COMPUTED_VALUE"""),"363f82ae")</f>
        <v>363f82ae</v>
      </c>
      <c r="B1327" s="1" t="str">
        <f>IFERROR(__xludf.DUMMYFUNCTION("""COMPUTED_VALUE"""),"1b6b5ed6")</f>
        <v>1b6b5ed6</v>
      </c>
      <c r="C1327" s="32">
        <f>IFERROR(__xludf.DUMMYFUNCTION("""COMPUTED_VALUE"""),46111.44621527778)</f>
        <v>46111.44622</v>
      </c>
      <c r="D1327" s="1">
        <f>IFERROR(__xludf.DUMMYFUNCTION("""COMPUTED_VALUE"""),-10.0)</f>
        <v>-10</v>
      </c>
      <c r="E1327" s="1"/>
      <c r="F1327" s="1"/>
    </row>
    <row r="1328">
      <c r="A1328" s="1" t="str">
        <f>IFERROR(__xludf.DUMMYFUNCTION("""COMPUTED_VALUE"""),"dc1f821d")</f>
        <v>dc1f821d</v>
      </c>
      <c r="B1328" s="1" t="str">
        <f>IFERROR(__xludf.DUMMYFUNCTION("""COMPUTED_VALUE"""),"0032")</f>
        <v>0032</v>
      </c>
      <c r="C1328" s="32">
        <f>IFERROR(__xludf.DUMMYFUNCTION("""COMPUTED_VALUE"""),46111.44671296296)</f>
        <v>46111.44671</v>
      </c>
      <c r="D1328" s="1">
        <f>IFERROR(__xludf.DUMMYFUNCTION("""COMPUTED_VALUE"""),-7.0)</f>
        <v>-7</v>
      </c>
      <c r="E1328" s="1"/>
      <c r="F1328" s="1"/>
    </row>
    <row r="1329">
      <c r="A1329" s="1" t="str">
        <f>IFERROR(__xludf.DUMMYFUNCTION("""COMPUTED_VALUE"""),"8bb0c1c3")</f>
        <v>8bb0c1c3</v>
      </c>
      <c r="B1329" s="1" t="str">
        <f>IFERROR(__xludf.DUMMYFUNCTION("""COMPUTED_VALUE"""),"0064")</f>
        <v>0064</v>
      </c>
      <c r="C1329" s="32">
        <f>IFERROR(__xludf.DUMMYFUNCTION("""COMPUTED_VALUE"""),46111.447488425925)</f>
        <v>46111.44749</v>
      </c>
      <c r="D1329" s="1">
        <f>IFERROR(__xludf.DUMMYFUNCTION("""COMPUTED_VALUE"""),-4.0)</f>
        <v>-4</v>
      </c>
      <c r="E1329" s="1"/>
      <c r="F1329" s="1"/>
    </row>
    <row r="1330">
      <c r="A1330" s="1" t="str">
        <f>IFERROR(__xludf.DUMMYFUNCTION("""COMPUTED_VALUE"""),"69109319")</f>
        <v>69109319</v>
      </c>
      <c r="B1330" s="1" t="str">
        <f>IFERROR(__xludf.DUMMYFUNCTION("""COMPUTED_VALUE"""),"78233e6f")</f>
        <v>78233e6f</v>
      </c>
      <c r="C1330" s="32">
        <f>IFERROR(__xludf.DUMMYFUNCTION("""COMPUTED_VALUE"""),46111.44767361111)</f>
        <v>46111.44767</v>
      </c>
      <c r="D1330" s="1">
        <f>IFERROR(__xludf.DUMMYFUNCTION("""COMPUTED_VALUE"""),-4.0)</f>
        <v>-4</v>
      </c>
      <c r="E1330" s="1"/>
      <c r="F1330" s="1"/>
    </row>
    <row r="1331">
      <c r="A1331" s="1" t="str">
        <f>IFERROR(__xludf.DUMMYFUNCTION("""COMPUTED_VALUE"""),"678c6f2d")</f>
        <v>678c6f2d</v>
      </c>
      <c r="B1331" s="1" t="str">
        <f>IFERROR(__xludf.DUMMYFUNCTION("""COMPUTED_VALUE"""),"f38e69c5")</f>
        <v>f38e69c5</v>
      </c>
      <c r="C1331" s="32">
        <f>IFERROR(__xludf.DUMMYFUNCTION("""COMPUTED_VALUE"""),46111.44844907407)</f>
        <v>46111.44845</v>
      </c>
      <c r="D1331" s="1">
        <f>IFERROR(__xludf.DUMMYFUNCTION("""COMPUTED_VALUE"""),-1.0)</f>
        <v>-1</v>
      </c>
      <c r="E1331" s="1"/>
      <c r="F1331" s="1"/>
    </row>
    <row r="1332">
      <c r="A1332" s="1" t="str">
        <f>IFERROR(__xludf.DUMMYFUNCTION("""COMPUTED_VALUE"""),"3f8026ef")</f>
        <v>3f8026ef</v>
      </c>
      <c r="B1332" s="1" t="str">
        <f>IFERROR(__xludf.DUMMYFUNCTION("""COMPUTED_VALUE"""),"0005")</f>
        <v>0005</v>
      </c>
      <c r="C1332" s="32">
        <f>IFERROR(__xludf.DUMMYFUNCTION("""COMPUTED_VALUE"""),46111.44865740741)</f>
        <v>46111.44866</v>
      </c>
      <c r="D1332" s="1">
        <f>IFERROR(__xludf.DUMMYFUNCTION("""COMPUTED_VALUE"""),-7.0)</f>
        <v>-7</v>
      </c>
      <c r="E1332" s="1"/>
      <c r="F1332" s="1"/>
    </row>
    <row r="1333">
      <c r="A1333" s="1" t="str">
        <f>IFERROR(__xludf.DUMMYFUNCTION("""COMPUTED_VALUE"""),"34efa179")</f>
        <v>34efa179</v>
      </c>
      <c r="B1333" s="1" t="str">
        <f>IFERROR(__xludf.DUMMYFUNCTION("""COMPUTED_VALUE"""),"0029")</f>
        <v>0029</v>
      </c>
      <c r="C1333" s="32">
        <f>IFERROR(__xludf.DUMMYFUNCTION("""COMPUTED_VALUE"""),46111.449421296296)</f>
        <v>46111.44942</v>
      </c>
      <c r="D1333" s="1">
        <f>IFERROR(__xludf.DUMMYFUNCTION("""COMPUTED_VALUE"""),-14.0)</f>
        <v>-14</v>
      </c>
      <c r="E1333" s="1"/>
      <c r="F1333" s="1"/>
    </row>
    <row r="1334">
      <c r="A1334" s="1" t="str">
        <f>IFERROR(__xludf.DUMMYFUNCTION("""COMPUTED_VALUE"""),"d16bb760")</f>
        <v>d16bb760</v>
      </c>
      <c r="B1334" s="1" t="str">
        <f>IFERROR(__xludf.DUMMYFUNCTION("""COMPUTED_VALUE"""),"a3f74383")</f>
        <v>a3f74383</v>
      </c>
      <c r="C1334" s="32">
        <f>IFERROR(__xludf.DUMMYFUNCTION("""COMPUTED_VALUE"""),46111.45011574074)</f>
        <v>46111.45012</v>
      </c>
      <c r="D1334" s="1">
        <f>IFERROR(__xludf.DUMMYFUNCTION("""COMPUTED_VALUE"""),-1.0)</f>
        <v>-1</v>
      </c>
      <c r="E1334" s="1"/>
      <c r="F1334" s="1"/>
    </row>
    <row r="1335">
      <c r="A1335" s="1" t="str">
        <f>IFERROR(__xludf.DUMMYFUNCTION("""COMPUTED_VALUE"""),"db718fea")</f>
        <v>db718fea</v>
      </c>
      <c r="B1335" s="1" t="str">
        <f>IFERROR(__xludf.DUMMYFUNCTION("""COMPUTED_VALUE"""),"0054")</f>
        <v>0054</v>
      </c>
      <c r="C1335" s="32">
        <f>IFERROR(__xludf.DUMMYFUNCTION("""COMPUTED_VALUE"""),46111.450219907405)</f>
        <v>46111.45022</v>
      </c>
      <c r="D1335" s="1">
        <f>IFERROR(__xludf.DUMMYFUNCTION("""COMPUTED_VALUE"""),-7.0)</f>
        <v>-7</v>
      </c>
      <c r="E1335" s="1"/>
      <c r="F1335" s="1"/>
    </row>
    <row r="1336">
      <c r="A1336" s="1" t="str">
        <f>IFERROR(__xludf.DUMMYFUNCTION("""COMPUTED_VALUE"""),"ddb96127")</f>
        <v>ddb96127</v>
      </c>
      <c r="B1336" s="1" t="str">
        <f>IFERROR(__xludf.DUMMYFUNCTION("""COMPUTED_VALUE"""),"57a5617b")</f>
        <v>57a5617b</v>
      </c>
      <c r="C1336" s="32">
        <f>IFERROR(__xludf.DUMMYFUNCTION("""COMPUTED_VALUE"""),46111.45079861111)</f>
        <v>46111.4508</v>
      </c>
      <c r="D1336" s="1">
        <f>IFERROR(__xludf.DUMMYFUNCTION("""COMPUTED_VALUE"""),-7.0)</f>
        <v>-7</v>
      </c>
      <c r="E1336" s="1"/>
      <c r="F1336" s="1"/>
    </row>
    <row r="1337">
      <c r="A1337" s="1" t="str">
        <f>IFERROR(__xludf.DUMMYFUNCTION("""COMPUTED_VALUE"""),"e581c86f")</f>
        <v>e581c86f</v>
      </c>
      <c r="B1337" s="1" t="str">
        <f>IFERROR(__xludf.DUMMYFUNCTION("""COMPUTED_VALUE"""),"0011")</f>
        <v>0011</v>
      </c>
      <c r="C1337" s="32">
        <f>IFERROR(__xludf.DUMMYFUNCTION("""COMPUTED_VALUE"""),46111.45142361111)</f>
        <v>46111.45142</v>
      </c>
      <c r="D1337" s="1">
        <f>IFERROR(__xludf.DUMMYFUNCTION("""COMPUTED_VALUE"""),-16.0)</f>
        <v>-16</v>
      </c>
      <c r="E1337" s="1"/>
      <c r="F1337" s="1"/>
    </row>
    <row r="1338">
      <c r="A1338" s="1" t="str">
        <f>IFERROR(__xludf.DUMMYFUNCTION("""COMPUTED_VALUE"""),"ea2b7ee7")</f>
        <v>ea2b7ee7</v>
      </c>
      <c r="B1338" s="1" t="str">
        <f>IFERROR(__xludf.DUMMYFUNCTION("""COMPUTED_VALUE"""),"0f694cb5")</f>
        <v>0f694cb5</v>
      </c>
      <c r="C1338" s="32">
        <f>IFERROR(__xludf.DUMMYFUNCTION("""COMPUTED_VALUE"""),46111.45282407408)</f>
        <v>46111.45282</v>
      </c>
      <c r="D1338" s="1">
        <f>IFERROR(__xludf.DUMMYFUNCTION("""COMPUTED_VALUE"""),-3.0)</f>
        <v>-3</v>
      </c>
      <c r="E1338" s="1"/>
      <c r="F1338" s="1"/>
    </row>
    <row r="1339">
      <c r="A1339" s="1" t="str">
        <f>IFERROR(__xludf.DUMMYFUNCTION("""COMPUTED_VALUE"""),"42aa6f7a")</f>
        <v>42aa6f7a</v>
      </c>
      <c r="B1339" s="1" t="str">
        <f>IFERROR(__xludf.DUMMYFUNCTION("""COMPUTED_VALUE"""),"0002")</f>
        <v>0002</v>
      </c>
      <c r="C1339" s="32">
        <f>IFERROR(__xludf.DUMMYFUNCTION("""COMPUTED_VALUE"""),46111.4540625)</f>
        <v>46111.45406</v>
      </c>
      <c r="D1339" s="1">
        <f>IFERROR(__xludf.DUMMYFUNCTION("""COMPUTED_VALUE"""),-51.0)</f>
        <v>-51</v>
      </c>
      <c r="E1339" s="1"/>
      <c r="F1339" s="1"/>
    </row>
    <row r="1340">
      <c r="A1340" s="1" t="str">
        <f>IFERROR(__xludf.DUMMYFUNCTION("""COMPUTED_VALUE"""),"79bafbd3")</f>
        <v>79bafbd3</v>
      </c>
      <c r="B1340" s="1" t="str">
        <f>IFERROR(__xludf.DUMMYFUNCTION("""COMPUTED_VALUE"""),"cb9e809e")</f>
        <v>cb9e809e</v>
      </c>
      <c r="C1340" s="32">
        <f>IFERROR(__xludf.DUMMYFUNCTION("""COMPUTED_VALUE"""),46111.45613425926)</f>
        <v>46111.45613</v>
      </c>
      <c r="D1340" s="1">
        <f>IFERROR(__xludf.DUMMYFUNCTION("""COMPUTED_VALUE"""),-7.0)</f>
        <v>-7</v>
      </c>
      <c r="E1340" s="1"/>
      <c r="F1340" s="1"/>
    </row>
    <row r="1341">
      <c r="A1341" s="1" t="str">
        <f>IFERROR(__xludf.DUMMYFUNCTION("""COMPUTED_VALUE"""),"0e208cae")</f>
        <v>0e208cae</v>
      </c>
      <c r="B1341" s="1" t="str">
        <f>IFERROR(__xludf.DUMMYFUNCTION("""COMPUTED_VALUE"""),"0019")</f>
        <v>0019</v>
      </c>
      <c r="C1341" s="32">
        <f>IFERROR(__xludf.DUMMYFUNCTION("""COMPUTED_VALUE"""),46112.94590277778)</f>
        <v>46112.9459</v>
      </c>
      <c r="D1341" s="1">
        <f>IFERROR(__xludf.DUMMYFUNCTION("""COMPUTED_VALUE"""),20.0)</f>
        <v>20</v>
      </c>
      <c r="E1341" s="1"/>
      <c r="F1341" s="1"/>
    </row>
    <row r="1342">
      <c r="A1342" s="1" t="str">
        <f>IFERROR(__xludf.DUMMYFUNCTION("""COMPUTED_VALUE"""),"f18d8f5f")</f>
        <v>f18d8f5f</v>
      </c>
      <c r="B1342" s="1" t="str">
        <f>IFERROR(__xludf.DUMMYFUNCTION("""COMPUTED_VALUE"""),"9d0be7b3")</f>
        <v>9d0be7b3</v>
      </c>
      <c r="C1342" s="32">
        <f>IFERROR(__xludf.DUMMYFUNCTION("""COMPUTED_VALUE"""),46112.94629629629)</f>
        <v>46112.9463</v>
      </c>
      <c r="D1342" s="1">
        <f>IFERROR(__xludf.DUMMYFUNCTION("""COMPUTED_VALUE"""),3.0)</f>
        <v>3</v>
      </c>
      <c r="E1342" s="1"/>
      <c r="F1342" s="1"/>
    </row>
    <row r="1343">
      <c r="A1343" s="1" t="str">
        <f>IFERROR(__xludf.DUMMYFUNCTION("""COMPUTED_VALUE"""),"c019223e")</f>
        <v>c019223e</v>
      </c>
      <c r="B1343" s="1" t="str">
        <f>IFERROR(__xludf.DUMMYFUNCTION("""COMPUTED_VALUE"""),"0011")</f>
        <v>0011</v>
      </c>
      <c r="C1343" s="32">
        <f>IFERROR(__xludf.DUMMYFUNCTION("""COMPUTED_VALUE"""),46112.947280092594)</f>
        <v>46112.94728</v>
      </c>
      <c r="D1343" s="1">
        <f>IFERROR(__xludf.DUMMYFUNCTION("""COMPUTED_VALUE"""),7.0)</f>
        <v>7</v>
      </c>
      <c r="E1343" s="1"/>
      <c r="F1343" s="1"/>
    </row>
    <row r="1344">
      <c r="A1344" s="1" t="str">
        <f>IFERROR(__xludf.DUMMYFUNCTION("""COMPUTED_VALUE"""),"05c52b06")</f>
        <v>05c52b06</v>
      </c>
      <c r="B1344" s="1" t="str">
        <f>IFERROR(__xludf.DUMMYFUNCTION("""COMPUTED_VALUE"""),"0029")</f>
        <v>0029</v>
      </c>
      <c r="C1344" s="32">
        <f>IFERROR(__xludf.DUMMYFUNCTION("""COMPUTED_VALUE"""),46112.94832175926)</f>
        <v>46112.94832</v>
      </c>
      <c r="D1344" s="1">
        <f>IFERROR(__xludf.DUMMYFUNCTION("""COMPUTED_VALUE"""),10.0)</f>
        <v>10</v>
      </c>
      <c r="E1344" s="1"/>
      <c r="F1344" s="1"/>
    </row>
    <row r="1345">
      <c r="A1345" s="1" t="str">
        <f>IFERROR(__xludf.DUMMYFUNCTION("""COMPUTED_VALUE"""),"db61995a")</f>
        <v>db61995a</v>
      </c>
      <c r="B1345" s="1" t="str">
        <f>IFERROR(__xludf.DUMMYFUNCTION("""COMPUTED_VALUE"""),"0001")</f>
        <v>0001</v>
      </c>
      <c r="C1345" s="32">
        <f>IFERROR(__xludf.DUMMYFUNCTION("""COMPUTED_VALUE"""),46112.94962962963)</f>
        <v>46112.94963</v>
      </c>
      <c r="D1345" s="1">
        <f>IFERROR(__xludf.DUMMYFUNCTION("""COMPUTED_VALUE"""),16.0)</f>
        <v>16</v>
      </c>
      <c r="E1345" s="1"/>
      <c r="F1345" s="1"/>
    </row>
    <row r="1346">
      <c r="A1346" s="1" t="str">
        <f>IFERROR(__xludf.DUMMYFUNCTION("""COMPUTED_VALUE"""),"8ceb5580")</f>
        <v>8ceb5580</v>
      </c>
      <c r="B1346" s="1" t="str">
        <f>IFERROR(__xludf.DUMMYFUNCTION("""COMPUTED_VALUE"""),"12b96290")</f>
        <v>12b96290</v>
      </c>
      <c r="C1346" s="32">
        <f>IFERROR(__xludf.DUMMYFUNCTION("""COMPUTED_VALUE"""),46112.95071759259)</f>
        <v>46112.95072</v>
      </c>
      <c r="D1346" s="1">
        <f>IFERROR(__xludf.DUMMYFUNCTION("""COMPUTED_VALUE"""),8.0)</f>
        <v>8</v>
      </c>
      <c r="E1346" s="1"/>
      <c r="F1346" s="1"/>
    </row>
    <row r="1347">
      <c r="A1347" s="1" t="str">
        <f>IFERROR(__xludf.DUMMYFUNCTION("""COMPUTED_VALUE"""),"0216a7b1")</f>
        <v>0216a7b1</v>
      </c>
      <c r="B1347" s="1" t="str">
        <f>IFERROR(__xludf.DUMMYFUNCTION("""COMPUTED_VALUE"""),"c099f042")</f>
        <v>c099f042</v>
      </c>
      <c r="C1347" s="32">
        <f>IFERROR(__xludf.DUMMYFUNCTION("""COMPUTED_VALUE"""),46112.951898148145)</f>
        <v>46112.9519</v>
      </c>
      <c r="D1347" s="1">
        <f>IFERROR(__xludf.DUMMYFUNCTION("""COMPUTED_VALUE"""),21.0)</f>
        <v>21</v>
      </c>
      <c r="E1347" s="1"/>
      <c r="F1347" s="1"/>
    </row>
    <row r="1348">
      <c r="A1348" s="1" t="str">
        <f>IFERROR(__xludf.DUMMYFUNCTION("""COMPUTED_VALUE"""),"2c9c4be0")</f>
        <v>2c9c4be0</v>
      </c>
      <c r="B1348" s="1" t="str">
        <f>IFERROR(__xludf.DUMMYFUNCTION("""COMPUTED_VALUE"""),"bb6c2490")</f>
        <v>bb6c2490</v>
      </c>
      <c r="C1348" s="32">
        <f>IFERROR(__xludf.DUMMYFUNCTION("""COMPUTED_VALUE"""),46112.95261574074)</f>
        <v>46112.95262</v>
      </c>
      <c r="D1348" s="1">
        <f>IFERROR(__xludf.DUMMYFUNCTION("""COMPUTED_VALUE"""),2.0)</f>
        <v>2</v>
      </c>
      <c r="E1348" s="1"/>
      <c r="F1348" s="1"/>
    </row>
    <row r="1349">
      <c r="A1349" s="1" t="str">
        <f>IFERROR(__xludf.DUMMYFUNCTION("""COMPUTED_VALUE"""),"76617346")</f>
        <v>76617346</v>
      </c>
      <c r="B1349" s="1" t="str">
        <f>IFERROR(__xludf.DUMMYFUNCTION("""COMPUTED_VALUE"""),"cf6c9481")</f>
        <v>cf6c9481</v>
      </c>
      <c r="C1349" s="32">
        <f>IFERROR(__xludf.DUMMYFUNCTION("""COMPUTED_VALUE"""),46112.953194444446)</f>
        <v>46112.95319</v>
      </c>
      <c r="D1349" s="1">
        <f>IFERROR(__xludf.DUMMYFUNCTION("""COMPUTED_VALUE"""),12.0)</f>
        <v>12</v>
      </c>
      <c r="E1349" s="1"/>
      <c r="F1349" s="1"/>
    </row>
    <row r="1350">
      <c r="A1350" s="1" t="str">
        <f>IFERROR(__xludf.DUMMYFUNCTION("""COMPUTED_VALUE"""),"96cd8ae4")</f>
        <v>96cd8ae4</v>
      </c>
      <c r="B1350" s="1" t="str">
        <f>IFERROR(__xludf.DUMMYFUNCTION("""COMPUTED_VALUE"""),"8ed00567")</f>
        <v>8ed00567</v>
      </c>
      <c r="C1350" s="32">
        <f>IFERROR(__xludf.DUMMYFUNCTION("""COMPUTED_VALUE"""),46112.95350694445)</f>
        <v>46112.95351</v>
      </c>
      <c r="D1350" s="1">
        <f>IFERROR(__xludf.DUMMYFUNCTION("""COMPUTED_VALUE"""),8.0)</f>
        <v>8</v>
      </c>
      <c r="E1350" s="1"/>
      <c r="F1350" s="1"/>
    </row>
    <row r="1351">
      <c r="A1351" s="1" t="str">
        <f>IFERROR(__xludf.DUMMYFUNCTION("""COMPUTED_VALUE"""),"01b4f199")</f>
        <v>01b4f199</v>
      </c>
      <c r="B1351" s="1" t="str">
        <f>IFERROR(__xludf.DUMMYFUNCTION("""COMPUTED_VALUE"""),"0049")</f>
        <v>0049</v>
      </c>
      <c r="C1351" s="32">
        <f>IFERROR(__xludf.DUMMYFUNCTION("""COMPUTED_VALUE"""),46112.953726851854)</f>
        <v>46112.95373</v>
      </c>
      <c r="D1351" s="1">
        <f>IFERROR(__xludf.DUMMYFUNCTION("""COMPUTED_VALUE"""),2.0)</f>
        <v>2</v>
      </c>
      <c r="E1351" s="1"/>
      <c r="F1351" s="1"/>
    </row>
    <row r="1352">
      <c r="A1352" s="1" t="str">
        <f>IFERROR(__xludf.DUMMYFUNCTION("""COMPUTED_VALUE"""),"f0658289")</f>
        <v>f0658289</v>
      </c>
      <c r="B1352" s="1" t="str">
        <f>IFERROR(__xludf.DUMMYFUNCTION("""COMPUTED_VALUE"""),"0064")</f>
        <v>0064</v>
      </c>
      <c r="C1352" s="32">
        <f>IFERROR(__xludf.DUMMYFUNCTION("""COMPUTED_VALUE"""),46112.95392361111)</f>
        <v>46112.95392</v>
      </c>
      <c r="D1352" s="1">
        <f>IFERROR(__xludf.DUMMYFUNCTION("""COMPUTED_VALUE"""),2.0)</f>
        <v>2</v>
      </c>
      <c r="E1352" s="1"/>
      <c r="F1352" s="1"/>
    </row>
    <row r="1353">
      <c r="A1353" s="1" t="str">
        <f>IFERROR(__xludf.DUMMYFUNCTION("""COMPUTED_VALUE"""),"a28c988e")</f>
        <v>a28c988e</v>
      </c>
      <c r="B1353" s="1" t="str">
        <f>IFERROR(__xludf.DUMMYFUNCTION("""COMPUTED_VALUE"""),"0032")</f>
        <v>0032</v>
      </c>
      <c r="C1353" s="32">
        <f>IFERROR(__xludf.DUMMYFUNCTION("""COMPUTED_VALUE"""),46112.95412037037)</f>
        <v>46112.95412</v>
      </c>
      <c r="D1353" s="1">
        <f>IFERROR(__xludf.DUMMYFUNCTION("""COMPUTED_VALUE"""),7.0)</f>
        <v>7</v>
      </c>
      <c r="E1353" s="1"/>
      <c r="F1353" s="1"/>
    </row>
    <row r="1354">
      <c r="A1354" s="1" t="str">
        <f>IFERROR(__xludf.DUMMYFUNCTION("""COMPUTED_VALUE"""),"7b9c7173")</f>
        <v>7b9c7173</v>
      </c>
      <c r="B1354" s="1" t="str">
        <f>IFERROR(__xludf.DUMMYFUNCTION("""COMPUTED_VALUE"""),"0086")</f>
        <v>0086</v>
      </c>
      <c r="C1354" s="32">
        <f>IFERROR(__xludf.DUMMYFUNCTION("""COMPUTED_VALUE"""),46112.954722222225)</f>
        <v>46112.95472</v>
      </c>
      <c r="D1354" s="1">
        <f>IFERROR(__xludf.DUMMYFUNCTION("""COMPUTED_VALUE"""),3.0)</f>
        <v>3</v>
      </c>
      <c r="E1354" s="1"/>
      <c r="F1354" s="1"/>
    </row>
    <row r="1355">
      <c r="A1355" s="1" t="str">
        <f>IFERROR(__xludf.DUMMYFUNCTION("""COMPUTED_VALUE"""),"be2be58d")</f>
        <v>be2be58d</v>
      </c>
      <c r="B1355" s="1" t="str">
        <f>IFERROR(__xludf.DUMMYFUNCTION("""COMPUTED_VALUE"""),"0021")</f>
        <v>0021</v>
      </c>
      <c r="C1355" s="32">
        <f>IFERROR(__xludf.DUMMYFUNCTION("""COMPUTED_VALUE"""),46112.9549537037)</f>
        <v>46112.95495</v>
      </c>
      <c r="D1355" s="1">
        <f>IFERROR(__xludf.DUMMYFUNCTION("""COMPUTED_VALUE"""),5.0)</f>
        <v>5</v>
      </c>
      <c r="E1355" s="1"/>
      <c r="F1355" s="1"/>
    </row>
    <row r="1356">
      <c r="A1356" s="1" t="str">
        <f>IFERROR(__xludf.DUMMYFUNCTION("""COMPUTED_VALUE"""),"60f42ac2")</f>
        <v>60f42ac2</v>
      </c>
      <c r="B1356" s="1" t="str">
        <f>IFERROR(__xludf.DUMMYFUNCTION("""COMPUTED_VALUE"""),"bb4d1bd1")</f>
        <v>bb4d1bd1</v>
      </c>
      <c r="C1356" s="32">
        <f>IFERROR(__xludf.DUMMYFUNCTION("""COMPUTED_VALUE"""),46112.95542824074)</f>
        <v>46112.95543</v>
      </c>
      <c r="D1356" s="1">
        <f>IFERROR(__xludf.DUMMYFUNCTION("""COMPUTED_VALUE"""),2.0)</f>
        <v>2</v>
      </c>
      <c r="E1356" s="1"/>
      <c r="F1356" s="1"/>
    </row>
    <row r="1357">
      <c r="A1357" s="1" t="str">
        <f>IFERROR(__xludf.DUMMYFUNCTION("""COMPUTED_VALUE"""),"7b19bc5d")</f>
        <v>7b19bc5d</v>
      </c>
      <c r="B1357" s="1" t="str">
        <f>IFERROR(__xludf.DUMMYFUNCTION("""COMPUTED_VALUE"""),"83dd14b5")</f>
        <v>83dd14b5</v>
      </c>
      <c r="C1357" s="32">
        <f>IFERROR(__xludf.DUMMYFUNCTION("""COMPUTED_VALUE"""),46112.9555787037)</f>
        <v>46112.95558</v>
      </c>
      <c r="D1357" s="1">
        <f>IFERROR(__xludf.DUMMYFUNCTION("""COMPUTED_VALUE"""),3.0)</f>
        <v>3</v>
      </c>
      <c r="E1357" s="1"/>
      <c r="F1357" s="1"/>
    </row>
    <row r="1358">
      <c r="A1358" s="1" t="str">
        <f>IFERROR(__xludf.DUMMYFUNCTION("""COMPUTED_VALUE"""),"179f8ee6")</f>
        <v>179f8ee6</v>
      </c>
      <c r="B1358" s="1" t="str">
        <f>IFERROR(__xludf.DUMMYFUNCTION("""COMPUTED_VALUE"""),"c099f042")</f>
        <v>c099f042</v>
      </c>
      <c r="C1358" s="32">
        <f>IFERROR(__xludf.DUMMYFUNCTION("""COMPUTED_VALUE"""),46113.46827546296)</f>
        <v>46113.46828</v>
      </c>
      <c r="D1358" s="1">
        <f>IFERROR(__xludf.DUMMYFUNCTION("""COMPUTED_VALUE"""),-14.0)</f>
        <v>-14</v>
      </c>
      <c r="E1358" s="1"/>
      <c r="F1358" s="1"/>
    </row>
    <row r="1359">
      <c r="A1359" s="1" t="str">
        <f>IFERROR(__xludf.DUMMYFUNCTION("""COMPUTED_VALUE"""),"36a1cb8e")</f>
        <v>36a1cb8e</v>
      </c>
      <c r="B1359" s="1" t="str">
        <f>IFERROR(__xludf.DUMMYFUNCTION("""COMPUTED_VALUE"""),"bb6c2490")</f>
        <v>bb6c2490</v>
      </c>
      <c r="C1359" s="32">
        <f>IFERROR(__xludf.DUMMYFUNCTION("""COMPUTED_VALUE"""),46113.46833333333)</f>
        <v>46113.46833</v>
      </c>
      <c r="D1359" s="1">
        <f>IFERROR(__xludf.DUMMYFUNCTION("""COMPUTED_VALUE"""),-14.0)</f>
        <v>-14</v>
      </c>
      <c r="E1359" s="1"/>
      <c r="F1359" s="1"/>
    </row>
    <row r="1360">
      <c r="A1360" s="1" t="str">
        <f>IFERROR(__xludf.DUMMYFUNCTION("""COMPUTED_VALUE"""),"26d11dc6")</f>
        <v>26d11dc6</v>
      </c>
      <c r="B1360" s="1" t="str">
        <f>IFERROR(__xludf.DUMMYFUNCTION("""COMPUTED_VALUE"""),"0001")</f>
        <v>0001</v>
      </c>
      <c r="C1360" s="32">
        <f>IFERROR(__xludf.DUMMYFUNCTION("""COMPUTED_VALUE"""),46113.4684375)</f>
        <v>46113.46844</v>
      </c>
      <c r="D1360" s="1">
        <f>IFERROR(__xludf.DUMMYFUNCTION("""COMPUTED_VALUE"""),-14.0)</f>
        <v>-14</v>
      </c>
      <c r="E1360" s="1"/>
      <c r="F1360" s="1"/>
    </row>
    <row r="1361">
      <c r="A1361" s="1" t="str">
        <f>IFERROR(__xludf.DUMMYFUNCTION("""COMPUTED_VALUE"""),"3939a121")</f>
        <v>3939a121</v>
      </c>
      <c r="B1361" s="1" t="str">
        <f>IFERROR(__xludf.DUMMYFUNCTION("""COMPUTED_VALUE"""),"12b96290")</f>
        <v>12b96290</v>
      </c>
      <c r="C1361" s="32">
        <f>IFERROR(__xludf.DUMMYFUNCTION("""COMPUTED_VALUE"""),46113.46849537037)</f>
        <v>46113.4685</v>
      </c>
      <c r="D1361" s="1">
        <f>IFERROR(__xludf.DUMMYFUNCTION("""COMPUTED_VALUE"""),-7.0)</f>
        <v>-7</v>
      </c>
      <c r="E1361" s="1"/>
      <c r="F1361" s="1"/>
    </row>
    <row r="1362">
      <c r="A1362" s="1" t="str">
        <f>IFERROR(__xludf.DUMMYFUNCTION("""COMPUTED_VALUE"""),"e34f7155")</f>
        <v>e34f7155</v>
      </c>
      <c r="B1362" s="1" t="str">
        <f>IFERROR(__xludf.DUMMYFUNCTION("""COMPUTED_VALUE"""),"0038")</f>
        <v>0038</v>
      </c>
      <c r="C1362" s="32">
        <f>IFERROR(__xludf.DUMMYFUNCTION("""COMPUTED_VALUE"""),46113.46916666667)</f>
        <v>46113.46917</v>
      </c>
      <c r="D1362" s="1">
        <f>IFERROR(__xludf.DUMMYFUNCTION("""COMPUTED_VALUE"""),-3.0)</f>
        <v>-3</v>
      </c>
      <c r="E1362" s="1"/>
      <c r="F1362" s="1"/>
    </row>
    <row r="1363">
      <c r="A1363" s="1" t="str">
        <f>IFERROR(__xludf.DUMMYFUNCTION("""COMPUTED_VALUE"""),"367905a0")</f>
        <v>367905a0</v>
      </c>
      <c r="B1363" s="1" t="str">
        <f>IFERROR(__xludf.DUMMYFUNCTION("""COMPUTED_VALUE"""),"0033")</f>
        <v>0033</v>
      </c>
      <c r="C1363" s="32">
        <f>IFERROR(__xludf.DUMMYFUNCTION("""COMPUTED_VALUE"""),46113.469814814816)</f>
        <v>46113.46981</v>
      </c>
      <c r="D1363" s="1">
        <f>IFERROR(__xludf.DUMMYFUNCTION("""COMPUTED_VALUE"""),-7.0)</f>
        <v>-7</v>
      </c>
      <c r="E1363" s="1"/>
      <c r="F1363" s="1"/>
    </row>
    <row r="1364">
      <c r="A1364" s="1" t="str">
        <f>IFERROR(__xludf.DUMMYFUNCTION("""COMPUTED_VALUE"""),"764bd3b6")</f>
        <v>764bd3b6</v>
      </c>
      <c r="B1364" s="1" t="str">
        <f>IFERROR(__xludf.DUMMYFUNCTION("""COMPUTED_VALUE"""),"0027")</f>
        <v>0027</v>
      </c>
      <c r="C1364" s="32">
        <f>IFERROR(__xludf.DUMMYFUNCTION("""COMPUTED_VALUE"""),46113.47032407407)</f>
        <v>46113.47032</v>
      </c>
      <c r="D1364" s="1">
        <f>IFERROR(__xludf.DUMMYFUNCTION("""COMPUTED_VALUE"""),-10.0)</f>
        <v>-10</v>
      </c>
      <c r="E1364" s="1"/>
      <c r="F1364" s="1"/>
    </row>
    <row r="1365">
      <c r="A1365" s="1" t="str">
        <f>IFERROR(__xludf.DUMMYFUNCTION("""COMPUTED_VALUE"""),"684a2852")</f>
        <v>684a2852</v>
      </c>
      <c r="B1365" s="1" t="str">
        <f>IFERROR(__xludf.DUMMYFUNCTION("""COMPUTED_VALUE"""),"0016")</f>
        <v>0016</v>
      </c>
      <c r="C1365" s="32">
        <f>IFERROR(__xludf.DUMMYFUNCTION("""COMPUTED_VALUE"""),46113.47078703704)</f>
        <v>46113.47079</v>
      </c>
      <c r="D1365" s="1">
        <f>IFERROR(__xludf.DUMMYFUNCTION("""COMPUTED_VALUE"""),-3.0)</f>
        <v>-3</v>
      </c>
      <c r="E1365" s="1"/>
      <c r="F1365" s="1"/>
    </row>
    <row r="1366">
      <c r="A1366" s="1" t="str">
        <f>IFERROR(__xludf.DUMMYFUNCTION("""COMPUTED_VALUE"""),"5f8b7585")</f>
        <v>5f8b7585</v>
      </c>
      <c r="B1366" s="1" t="str">
        <f>IFERROR(__xludf.DUMMYFUNCTION("""COMPUTED_VALUE"""),"d0a21a3b")</f>
        <v>d0a21a3b</v>
      </c>
      <c r="C1366" s="32">
        <f>IFERROR(__xludf.DUMMYFUNCTION("""COMPUTED_VALUE"""),46113.47105324074)</f>
        <v>46113.47105</v>
      </c>
      <c r="D1366" s="1">
        <f>IFERROR(__xludf.DUMMYFUNCTION("""COMPUTED_VALUE"""),-5.0)</f>
        <v>-5</v>
      </c>
      <c r="E1366" s="1"/>
      <c r="F1366" s="1"/>
    </row>
    <row r="1367">
      <c r="A1367" s="1" t="str">
        <f>IFERROR(__xludf.DUMMYFUNCTION("""COMPUTED_VALUE"""),"be96545d")</f>
        <v>be96545d</v>
      </c>
      <c r="B1367" s="1" t="str">
        <f>IFERROR(__xludf.DUMMYFUNCTION("""COMPUTED_VALUE"""),"0021")</f>
        <v>0021</v>
      </c>
      <c r="C1367" s="32">
        <f>IFERROR(__xludf.DUMMYFUNCTION("""COMPUTED_VALUE"""),46113.47142361111)</f>
        <v>46113.47142</v>
      </c>
      <c r="D1367" s="1">
        <f>IFERROR(__xludf.DUMMYFUNCTION("""COMPUTED_VALUE"""),-26.0)</f>
        <v>-26</v>
      </c>
      <c r="E1367" s="1"/>
      <c r="F1367" s="1"/>
    </row>
    <row r="1368">
      <c r="A1368" s="1" t="str">
        <f>IFERROR(__xludf.DUMMYFUNCTION("""COMPUTED_VALUE"""),"90011fdc")</f>
        <v>90011fdc</v>
      </c>
      <c r="B1368" s="1" t="str">
        <f>IFERROR(__xludf.DUMMYFUNCTION("""COMPUTED_VALUE"""),"02d86a9b")</f>
        <v>02d86a9b</v>
      </c>
      <c r="C1368" s="32">
        <f>IFERROR(__xludf.DUMMYFUNCTION("""COMPUTED_VALUE"""),46113.47237268519)</f>
        <v>46113.47237</v>
      </c>
      <c r="D1368" s="1">
        <f>IFERROR(__xludf.DUMMYFUNCTION("""COMPUTED_VALUE"""),-12.0)</f>
        <v>-12</v>
      </c>
      <c r="E1368" s="1"/>
      <c r="F1368" s="1"/>
    </row>
    <row r="1369">
      <c r="A1369" s="1" t="str">
        <f>IFERROR(__xludf.DUMMYFUNCTION("""COMPUTED_VALUE"""),"3e853ec5")</f>
        <v>3e853ec5</v>
      </c>
      <c r="B1369" s="1" t="str">
        <f>IFERROR(__xludf.DUMMYFUNCTION("""COMPUTED_VALUE"""),"0019")</f>
        <v>0019</v>
      </c>
      <c r="C1369" s="32">
        <f>IFERROR(__xludf.DUMMYFUNCTION("""COMPUTED_VALUE"""),46113.47248842593)</f>
        <v>46113.47249</v>
      </c>
      <c r="D1369" s="1">
        <f>IFERROR(__xludf.DUMMYFUNCTION("""COMPUTED_VALUE"""),-12.0)</f>
        <v>-12</v>
      </c>
      <c r="E1369" s="1"/>
      <c r="F1369" s="1"/>
    </row>
    <row r="1370">
      <c r="A1370" s="1" t="str">
        <f>IFERROR(__xludf.DUMMYFUNCTION("""COMPUTED_VALUE"""),"4f49c58e")</f>
        <v>4f49c58e</v>
      </c>
      <c r="B1370" s="1" t="str">
        <f>IFERROR(__xludf.DUMMYFUNCTION("""COMPUTED_VALUE"""),"1b6b5ed6")</f>
        <v>1b6b5ed6</v>
      </c>
      <c r="C1370" s="32">
        <f>IFERROR(__xludf.DUMMYFUNCTION("""COMPUTED_VALUE"""),46113.4734375)</f>
        <v>46113.47344</v>
      </c>
      <c r="D1370" s="1">
        <f>IFERROR(__xludf.DUMMYFUNCTION("""COMPUTED_VALUE"""),-24.0)</f>
        <v>-24</v>
      </c>
      <c r="E1370" s="1"/>
      <c r="F1370" s="1"/>
    </row>
    <row r="1371">
      <c r="A1371" s="1" t="str">
        <f>IFERROR(__xludf.DUMMYFUNCTION("""COMPUTED_VALUE"""),"f4afc6f8")</f>
        <v>f4afc6f8</v>
      </c>
      <c r="B1371" s="1" t="str">
        <f>IFERROR(__xludf.DUMMYFUNCTION("""COMPUTED_VALUE"""),"0064")</f>
        <v>0064</v>
      </c>
      <c r="C1371" s="32">
        <f>IFERROR(__xludf.DUMMYFUNCTION("""COMPUTED_VALUE"""),46113.473657407405)</f>
        <v>46113.47366</v>
      </c>
      <c r="D1371" s="1">
        <f>IFERROR(__xludf.DUMMYFUNCTION("""COMPUTED_VALUE"""),-5.0)</f>
        <v>-5</v>
      </c>
      <c r="E1371" s="1"/>
      <c r="F1371" s="1"/>
    </row>
    <row r="1372">
      <c r="A1372" s="1" t="str">
        <f>IFERROR(__xludf.DUMMYFUNCTION("""COMPUTED_VALUE"""),"885667f3")</f>
        <v>885667f3</v>
      </c>
      <c r="B1372" s="1" t="str">
        <f>IFERROR(__xludf.DUMMYFUNCTION("""COMPUTED_VALUE"""),"cb9e809e")</f>
        <v>cb9e809e</v>
      </c>
      <c r="C1372" s="32">
        <f>IFERROR(__xludf.DUMMYFUNCTION("""COMPUTED_VALUE"""),46113.473958333336)</f>
        <v>46113.47396</v>
      </c>
      <c r="D1372" s="1">
        <f>IFERROR(__xludf.DUMMYFUNCTION("""COMPUTED_VALUE"""),-7.0)</f>
        <v>-7</v>
      </c>
      <c r="E1372" s="1"/>
      <c r="F1372" s="1"/>
    </row>
    <row r="1373">
      <c r="A1373" s="1" t="str">
        <f>IFERROR(__xludf.DUMMYFUNCTION("""COMPUTED_VALUE"""),"3f04f811")</f>
        <v>3f04f811</v>
      </c>
      <c r="B1373" s="1" t="str">
        <f>IFERROR(__xludf.DUMMYFUNCTION("""COMPUTED_VALUE"""),"0f694cb5")</f>
        <v>0f694cb5</v>
      </c>
      <c r="C1373" s="32">
        <f>IFERROR(__xludf.DUMMYFUNCTION("""COMPUTED_VALUE"""),46113.47493055555)</f>
        <v>46113.47493</v>
      </c>
      <c r="D1373" s="1">
        <f>IFERROR(__xludf.DUMMYFUNCTION("""COMPUTED_VALUE"""),-9.0)</f>
        <v>-9</v>
      </c>
      <c r="E1373" s="1"/>
      <c r="F1373" s="1"/>
    </row>
    <row r="1374">
      <c r="A1374" s="1" t="str">
        <f>IFERROR(__xludf.DUMMYFUNCTION("""COMPUTED_VALUE"""),"b52eb515")</f>
        <v>b52eb515</v>
      </c>
      <c r="B1374" s="1" t="str">
        <f>IFERROR(__xludf.DUMMYFUNCTION("""COMPUTED_VALUE"""),"0029")</f>
        <v>0029</v>
      </c>
      <c r="C1374" s="32">
        <f>IFERROR(__xludf.DUMMYFUNCTION("""COMPUTED_VALUE"""),46113.47574074074)</f>
        <v>46113.47574</v>
      </c>
      <c r="D1374" s="1">
        <f>IFERROR(__xludf.DUMMYFUNCTION("""COMPUTED_VALUE"""),-13.0)</f>
        <v>-13</v>
      </c>
      <c r="E1374" s="1"/>
      <c r="F1374" s="1"/>
    </row>
    <row r="1375">
      <c r="A1375" s="1" t="str">
        <f>IFERROR(__xludf.DUMMYFUNCTION("""COMPUTED_VALUE"""),"7dab8796")</f>
        <v>7dab8796</v>
      </c>
      <c r="B1375" s="1" t="str">
        <f>IFERROR(__xludf.DUMMYFUNCTION("""COMPUTED_VALUE"""),"0054")</f>
        <v>0054</v>
      </c>
      <c r="C1375" s="32">
        <f>IFERROR(__xludf.DUMMYFUNCTION("""COMPUTED_VALUE"""),46113.476481481484)</f>
        <v>46113.47648</v>
      </c>
      <c r="D1375" s="1">
        <f>IFERROR(__xludf.DUMMYFUNCTION("""COMPUTED_VALUE"""),-3.0)</f>
        <v>-3</v>
      </c>
      <c r="E1375" s="1"/>
      <c r="F1375" s="1"/>
    </row>
    <row r="1376">
      <c r="A1376" s="1" t="str">
        <f>IFERROR(__xludf.DUMMYFUNCTION("""COMPUTED_VALUE"""),"ac3bd323")</f>
        <v>ac3bd323</v>
      </c>
      <c r="B1376" s="1" t="str">
        <f>IFERROR(__xludf.DUMMYFUNCTION("""COMPUTED_VALUE"""),"0054")</f>
        <v>0054</v>
      </c>
      <c r="C1376" s="32">
        <f>IFERROR(__xludf.DUMMYFUNCTION("""COMPUTED_VALUE"""),46113.476689814815)</f>
        <v>46113.47669</v>
      </c>
      <c r="D1376" s="1">
        <f>IFERROR(__xludf.DUMMYFUNCTION("""COMPUTED_VALUE"""),-1.0)</f>
        <v>-1</v>
      </c>
      <c r="E1376" s="1"/>
      <c r="F1376" s="1"/>
    </row>
    <row r="1377">
      <c r="A1377" s="1" t="str">
        <f>IFERROR(__xludf.DUMMYFUNCTION("""COMPUTED_VALUE"""),"491d480b")</f>
        <v>491d480b</v>
      </c>
      <c r="B1377" s="1" t="str">
        <f>IFERROR(__xludf.DUMMYFUNCTION("""COMPUTED_VALUE"""),"57a5617b")</f>
        <v>57a5617b</v>
      </c>
      <c r="C1377" s="32">
        <f>IFERROR(__xludf.DUMMYFUNCTION("""COMPUTED_VALUE"""),46113.477060185185)</f>
        <v>46113.47706</v>
      </c>
      <c r="D1377" s="1">
        <f>IFERROR(__xludf.DUMMYFUNCTION("""COMPUTED_VALUE"""),-3.0)</f>
        <v>-3</v>
      </c>
      <c r="E1377" s="1"/>
      <c r="F1377" s="1"/>
    </row>
    <row r="1378">
      <c r="A1378" s="1" t="str">
        <f>IFERROR(__xludf.DUMMYFUNCTION("""COMPUTED_VALUE"""),"95483eca")</f>
        <v>95483eca</v>
      </c>
      <c r="B1378" s="1" t="str">
        <f>IFERROR(__xludf.DUMMYFUNCTION("""COMPUTED_VALUE"""),"0005")</f>
        <v>0005</v>
      </c>
      <c r="C1378" s="32">
        <f>IFERROR(__xludf.DUMMYFUNCTION("""COMPUTED_VALUE"""),46113.47777777778)</f>
        <v>46113.47778</v>
      </c>
      <c r="D1378" s="1">
        <f>IFERROR(__xludf.DUMMYFUNCTION("""COMPUTED_VALUE"""),-2.0)</f>
        <v>-2</v>
      </c>
      <c r="E1378" s="1"/>
      <c r="F1378" s="1"/>
    </row>
    <row r="1379">
      <c r="A1379" s="1" t="str">
        <f>IFERROR(__xludf.DUMMYFUNCTION("""COMPUTED_VALUE"""),"5e7c09d3")</f>
        <v>5e7c09d3</v>
      </c>
      <c r="B1379" s="1" t="str">
        <f>IFERROR(__xludf.DUMMYFUNCTION("""COMPUTED_VALUE"""),"0011")</f>
        <v>0011</v>
      </c>
      <c r="C1379" s="32">
        <f>IFERROR(__xludf.DUMMYFUNCTION("""COMPUTED_VALUE"""),46113.47806712963)</f>
        <v>46113.47807</v>
      </c>
      <c r="D1379" s="1">
        <f>IFERROR(__xludf.DUMMYFUNCTION("""COMPUTED_VALUE"""),-7.0)</f>
        <v>-7</v>
      </c>
      <c r="E1379" s="1"/>
      <c r="F1379" s="1"/>
    </row>
    <row r="1380">
      <c r="A1380" s="1" t="str">
        <f>IFERROR(__xludf.DUMMYFUNCTION("""COMPUTED_VALUE"""),"eeff385e")</f>
        <v>eeff385e</v>
      </c>
      <c r="B1380" s="1" t="str">
        <f>IFERROR(__xludf.DUMMYFUNCTION("""COMPUTED_VALUE"""),"0002")</f>
        <v>0002</v>
      </c>
      <c r="C1380" s="32">
        <f>IFERROR(__xludf.DUMMYFUNCTION("""COMPUTED_VALUE"""),46113.478784722225)</f>
        <v>46113.47878</v>
      </c>
      <c r="D1380" s="1">
        <f>IFERROR(__xludf.DUMMYFUNCTION("""COMPUTED_VALUE"""),-60.0)</f>
        <v>-60</v>
      </c>
      <c r="E1380" s="1"/>
      <c r="F1380" s="1"/>
    </row>
    <row r="1381">
      <c r="A1381" s="1" t="str">
        <f>IFERROR(__xludf.DUMMYFUNCTION("""COMPUTED_VALUE"""),"2ddfacd2")</f>
        <v>2ddfacd2</v>
      </c>
      <c r="B1381" s="1" t="str">
        <f>IFERROR(__xludf.DUMMYFUNCTION("""COMPUTED_VALUE"""),"c099f042")</f>
        <v>c099f042</v>
      </c>
      <c r="C1381" s="32">
        <f>IFERROR(__xludf.DUMMYFUNCTION("""COMPUTED_VALUE"""),46113.48391203704)</f>
        <v>46113.48391</v>
      </c>
      <c r="D1381" s="1">
        <f>IFERROR(__xludf.DUMMYFUNCTION("""COMPUTED_VALUE"""),-3.0)</f>
        <v>-3</v>
      </c>
      <c r="E1381" s="1"/>
      <c r="F1381" s="1"/>
    </row>
    <row r="1382">
      <c r="A1382" s="1" t="str">
        <f>IFERROR(__xludf.DUMMYFUNCTION("""COMPUTED_VALUE"""),"b070e2be")</f>
        <v>b070e2be</v>
      </c>
      <c r="B1382" s="1" t="str">
        <f>IFERROR(__xludf.DUMMYFUNCTION("""COMPUTED_VALUE"""),"0001")</f>
        <v>0001</v>
      </c>
      <c r="C1382" s="32">
        <f>IFERROR(__xludf.DUMMYFUNCTION("""COMPUTED_VALUE"""),46113.48401620371)</f>
        <v>46113.48402</v>
      </c>
      <c r="D1382" s="1">
        <f>IFERROR(__xludf.DUMMYFUNCTION("""COMPUTED_VALUE"""),-11.0)</f>
        <v>-11</v>
      </c>
      <c r="E1382" s="1"/>
      <c r="F1382" s="1"/>
    </row>
    <row r="1383">
      <c r="A1383" s="1" t="str">
        <f>IFERROR(__xludf.DUMMYFUNCTION("""COMPUTED_VALUE"""),"9b0648ff")</f>
        <v>9b0648ff</v>
      </c>
      <c r="B1383" s="1" t="str">
        <f>IFERROR(__xludf.DUMMYFUNCTION("""COMPUTED_VALUE"""),"0af806f8")</f>
        <v>0af806f8</v>
      </c>
      <c r="C1383" s="32">
        <f>IFERROR(__xludf.DUMMYFUNCTION("""COMPUTED_VALUE"""),46113.48412037037)</f>
        <v>46113.48412</v>
      </c>
      <c r="D1383" s="1">
        <f>IFERROR(__xludf.DUMMYFUNCTION("""COMPUTED_VALUE"""),-14.0)</f>
        <v>-14</v>
      </c>
      <c r="E1383" s="1"/>
      <c r="F1383" s="1"/>
    </row>
    <row r="1384">
      <c r="A1384" s="1" t="str">
        <f>IFERROR(__xludf.DUMMYFUNCTION("""COMPUTED_VALUE"""),"c36945c8")</f>
        <v>c36945c8</v>
      </c>
      <c r="B1384" s="1" t="str">
        <f>IFERROR(__xludf.DUMMYFUNCTION("""COMPUTED_VALUE"""),"0019")</f>
        <v>0019</v>
      </c>
      <c r="C1384" s="32">
        <f>IFERROR(__xludf.DUMMYFUNCTION("""COMPUTED_VALUE"""),46113.48446759259)</f>
        <v>46113.48447</v>
      </c>
      <c r="D1384" s="1">
        <f>IFERROR(__xludf.DUMMYFUNCTION("""COMPUTED_VALUE"""),-7.0)</f>
        <v>-7</v>
      </c>
      <c r="E1384" s="1"/>
      <c r="F1384" s="1"/>
    </row>
    <row r="1385">
      <c r="A1385" s="1" t="str">
        <f>IFERROR(__xludf.DUMMYFUNCTION("""COMPUTED_VALUE"""),"0e17cc47")</f>
        <v>0e17cc47</v>
      </c>
      <c r="B1385" s="1" t="str">
        <f>IFERROR(__xludf.DUMMYFUNCTION("""COMPUTED_VALUE"""),"0021")</f>
        <v>0021</v>
      </c>
      <c r="C1385" s="32">
        <f>IFERROR(__xludf.DUMMYFUNCTION("""COMPUTED_VALUE"""),46113.484930555554)</f>
        <v>46113.48493</v>
      </c>
      <c r="D1385" s="1">
        <f>IFERROR(__xludf.DUMMYFUNCTION("""COMPUTED_VALUE"""),-10.0)</f>
        <v>-10</v>
      </c>
      <c r="E1385" s="1"/>
      <c r="F1385" s="1"/>
    </row>
    <row r="1386">
      <c r="A1386" s="1" t="str">
        <f>IFERROR(__xludf.DUMMYFUNCTION("""COMPUTED_VALUE"""),"e00665b5")</f>
        <v>e00665b5</v>
      </c>
      <c r="B1386" s="1" t="str">
        <f>IFERROR(__xludf.DUMMYFUNCTION("""COMPUTED_VALUE"""),"bb4d1bd1")</f>
        <v>bb4d1bd1</v>
      </c>
      <c r="C1386" s="32">
        <f>IFERROR(__xludf.DUMMYFUNCTION("""COMPUTED_VALUE"""),46113.485127314816)</f>
        <v>46113.48513</v>
      </c>
      <c r="D1386" s="1">
        <f>IFERROR(__xludf.DUMMYFUNCTION("""COMPUTED_VALUE"""),-5.0)</f>
        <v>-5</v>
      </c>
      <c r="E1386" s="1"/>
      <c r="F1386" s="1"/>
    </row>
    <row r="1387">
      <c r="A1387" s="1" t="str">
        <f>IFERROR(__xludf.DUMMYFUNCTION("""COMPUTED_VALUE"""),"cdb6f66a")</f>
        <v>cdb6f66a</v>
      </c>
      <c r="B1387" s="1" t="str">
        <f>IFERROR(__xludf.DUMMYFUNCTION("""COMPUTED_VALUE"""),"0086")</f>
        <v>0086</v>
      </c>
      <c r="C1387" s="32">
        <f>IFERROR(__xludf.DUMMYFUNCTION("""COMPUTED_VALUE"""),46113.48546296296)</f>
        <v>46113.48546</v>
      </c>
      <c r="D1387" s="1">
        <f>IFERROR(__xludf.DUMMYFUNCTION("""COMPUTED_VALUE"""),-13.0)</f>
        <v>-13</v>
      </c>
      <c r="E1387" s="1"/>
      <c r="F1387" s="1"/>
    </row>
    <row r="1388">
      <c r="A1388" s="1" t="str">
        <f>IFERROR(__xludf.DUMMYFUNCTION("""COMPUTED_VALUE"""),"b41247fb")</f>
        <v>b41247fb</v>
      </c>
      <c r="B1388" s="1" t="str">
        <f>IFERROR(__xludf.DUMMYFUNCTION("""COMPUTED_VALUE"""),"02d86a9b")</f>
        <v>02d86a9b</v>
      </c>
      <c r="C1388" s="32">
        <f>IFERROR(__xludf.DUMMYFUNCTION("""COMPUTED_VALUE"""),46113.48572916666)</f>
        <v>46113.48573</v>
      </c>
      <c r="D1388" s="1">
        <f>IFERROR(__xludf.DUMMYFUNCTION("""COMPUTED_VALUE"""),-5.0)</f>
        <v>-5</v>
      </c>
      <c r="E1388" s="1"/>
      <c r="F1388" s="1"/>
    </row>
    <row r="1389">
      <c r="A1389" s="1" t="str">
        <f>IFERROR(__xludf.DUMMYFUNCTION("""COMPUTED_VALUE"""),"68b5b539")</f>
        <v>68b5b539</v>
      </c>
      <c r="B1389" s="1" t="str">
        <f>IFERROR(__xludf.DUMMYFUNCTION("""COMPUTED_VALUE"""),"0065")</f>
        <v>0065</v>
      </c>
      <c r="C1389" s="32">
        <f>IFERROR(__xludf.DUMMYFUNCTION("""COMPUTED_VALUE"""),46113.48604166666)</f>
        <v>46113.48604</v>
      </c>
      <c r="D1389" s="1">
        <f>IFERROR(__xludf.DUMMYFUNCTION("""COMPUTED_VALUE"""),-2.0)</f>
        <v>-2</v>
      </c>
      <c r="E1389" s="1"/>
      <c r="F1389" s="1"/>
    </row>
    <row r="1390">
      <c r="A1390" s="1" t="str">
        <f>IFERROR(__xludf.DUMMYFUNCTION("""COMPUTED_VALUE"""),"d51b3733")</f>
        <v>d51b3733</v>
      </c>
      <c r="B1390" s="1" t="str">
        <f>IFERROR(__xludf.DUMMYFUNCTION("""COMPUTED_VALUE"""),"cb9e809e")</f>
        <v>cb9e809e</v>
      </c>
      <c r="C1390" s="32">
        <f>IFERROR(__xludf.DUMMYFUNCTION("""COMPUTED_VALUE"""),46113.48731481482)</f>
        <v>46113.48731</v>
      </c>
      <c r="D1390" s="1">
        <f>IFERROR(__xludf.DUMMYFUNCTION("""COMPUTED_VALUE"""),-5.0)</f>
        <v>-5</v>
      </c>
      <c r="E1390" s="1"/>
      <c r="F1390" s="1"/>
    </row>
    <row r="1391">
      <c r="A1391" s="1" t="str">
        <f>IFERROR(__xludf.DUMMYFUNCTION("""COMPUTED_VALUE"""),"8e97eb5b")</f>
        <v>8e97eb5b</v>
      </c>
      <c r="B1391" s="1" t="str">
        <f>IFERROR(__xludf.DUMMYFUNCTION("""COMPUTED_VALUE"""),"0032")</f>
        <v>0032</v>
      </c>
      <c r="C1391" s="32">
        <f>IFERROR(__xludf.DUMMYFUNCTION("""COMPUTED_VALUE"""),46113.487650462965)</f>
        <v>46113.48765</v>
      </c>
      <c r="D1391" s="1">
        <f>IFERROR(__xludf.DUMMYFUNCTION("""COMPUTED_VALUE"""),-3.0)</f>
        <v>-3</v>
      </c>
      <c r="E1391" s="1"/>
      <c r="F1391" s="1"/>
    </row>
    <row r="1392">
      <c r="A1392" s="1" t="str">
        <f>IFERROR(__xludf.DUMMYFUNCTION("""COMPUTED_VALUE"""),"9bd5497d")</f>
        <v>9bd5497d</v>
      </c>
      <c r="B1392" s="1" t="str">
        <f>IFERROR(__xludf.DUMMYFUNCTION("""COMPUTED_VALUE"""),"0064")</f>
        <v>0064</v>
      </c>
      <c r="C1392" s="32">
        <f>IFERROR(__xludf.DUMMYFUNCTION("""COMPUTED_VALUE"""),46113.48773148148)</f>
        <v>46113.48773</v>
      </c>
      <c r="D1392" s="1">
        <f>IFERROR(__xludf.DUMMYFUNCTION("""COMPUTED_VALUE"""),-1.0)</f>
        <v>-1</v>
      </c>
      <c r="E1392" s="1"/>
      <c r="F1392" s="1"/>
    </row>
    <row r="1393">
      <c r="A1393" s="1" t="str">
        <f>IFERROR(__xludf.DUMMYFUNCTION("""COMPUTED_VALUE"""),"6a0ccbf4")</f>
        <v>6a0ccbf4</v>
      </c>
      <c r="B1393" s="1" t="str">
        <f>IFERROR(__xludf.DUMMYFUNCTION("""COMPUTED_VALUE"""),"0029")</f>
        <v>0029</v>
      </c>
      <c r="C1393" s="32">
        <f>IFERROR(__xludf.DUMMYFUNCTION("""COMPUTED_VALUE"""),46113.48818287037)</f>
        <v>46113.48818</v>
      </c>
      <c r="D1393" s="1">
        <f>IFERROR(__xludf.DUMMYFUNCTION("""COMPUTED_VALUE"""),-8.0)</f>
        <v>-8</v>
      </c>
      <c r="E1393" s="1"/>
      <c r="F1393" s="1"/>
    </row>
    <row r="1394">
      <c r="A1394" s="1" t="str">
        <f>IFERROR(__xludf.DUMMYFUNCTION("""COMPUTED_VALUE"""),"2cd9888e")</f>
        <v>2cd9888e</v>
      </c>
      <c r="B1394" s="1" t="str">
        <f>IFERROR(__xludf.DUMMYFUNCTION("""COMPUTED_VALUE"""),"0011")</f>
        <v>0011</v>
      </c>
      <c r="C1394" s="32">
        <f>IFERROR(__xludf.DUMMYFUNCTION("""COMPUTED_VALUE"""),46113.48987268518)</f>
        <v>46113.48987</v>
      </c>
      <c r="D1394" s="1">
        <f>IFERROR(__xludf.DUMMYFUNCTION("""COMPUTED_VALUE"""),-8.0)</f>
        <v>-8</v>
      </c>
      <c r="E1394" s="1"/>
      <c r="F1394" s="1"/>
    </row>
    <row r="1395">
      <c r="A1395" s="1" t="str">
        <f>IFERROR(__xludf.DUMMYFUNCTION("""COMPUTED_VALUE"""),"c689f160")</f>
        <v>c689f160</v>
      </c>
      <c r="B1395" s="1" t="str">
        <f>IFERROR(__xludf.DUMMYFUNCTION("""COMPUTED_VALUE"""),"0054")</f>
        <v>0054</v>
      </c>
      <c r="C1395" s="32">
        <f>IFERROR(__xludf.DUMMYFUNCTION("""COMPUTED_VALUE"""),46113.49)</f>
        <v>46113.49</v>
      </c>
      <c r="D1395" s="1">
        <f>IFERROR(__xludf.DUMMYFUNCTION("""COMPUTED_VALUE"""),-2.0)</f>
        <v>-2</v>
      </c>
      <c r="E1395" s="1"/>
      <c r="F1395" s="1"/>
    </row>
    <row r="1396">
      <c r="A1396" s="1" t="str">
        <f>IFERROR(__xludf.DUMMYFUNCTION("""COMPUTED_VALUE"""),"845d318d")</f>
        <v>845d318d</v>
      </c>
      <c r="B1396" s="1" t="str">
        <f>IFERROR(__xludf.DUMMYFUNCTION("""COMPUTED_VALUE"""),"a3f74383")</f>
        <v>a3f74383</v>
      </c>
      <c r="C1396" s="32">
        <f>IFERROR(__xludf.DUMMYFUNCTION("""COMPUTED_VALUE"""),46113.49008101852)</f>
        <v>46113.49008</v>
      </c>
      <c r="D1396" s="1">
        <f>IFERROR(__xludf.DUMMYFUNCTION("""COMPUTED_VALUE"""),-1.0)</f>
        <v>-1</v>
      </c>
      <c r="E1396" s="1"/>
      <c r="F1396" s="1"/>
    </row>
    <row r="1397">
      <c r="A1397" s="1" t="str">
        <f>IFERROR(__xludf.DUMMYFUNCTION("""COMPUTED_VALUE"""),"7eb58c66")</f>
        <v>7eb58c66</v>
      </c>
      <c r="B1397" s="1" t="str">
        <f>IFERROR(__xludf.DUMMYFUNCTION("""COMPUTED_VALUE"""),"57a5617b")</f>
        <v>57a5617b</v>
      </c>
      <c r="C1397" s="32">
        <f>IFERROR(__xludf.DUMMYFUNCTION("""COMPUTED_VALUE"""),46113.49016203704)</f>
        <v>46113.49016</v>
      </c>
      <c r="D1397" s="1">
        <f>IFERROR(__xludf.DUMMYFUNCTION("""COMPUTED_VALUE"""),-1.0)</f>
        <v>-1</v>
      </c>
      <c r="E1397" s="1"/>
      <c r="F1397" s="1"/>
    </row>
    <row r="1398">
      <c r="A1398" s="1" t="str">
        <f>IFERROR(__xludf.DUMMYFUNCTION("""COMPUTED_VALUE"""),"5896b4a9")</f>
        <v>5896b4a9</v>
      </c>
      <c r="B1398" s="1" t="str">
        <f>IFERROR(__xludf.DUMMYFUNCTION("""COMPUTED_VALUE"""),"0002")</f>
        <v>0002</v>
      </c>
      <c r="C1398" s="32">
        <f>IFERROR(__xludf.DUMMYFUNCTION("""COMPUTED_VALUE"""),46113.490636574075)</f>
        <v>46113.49064</v>
      </c>
      <c r="D1398" s="1">
        <f>IFERROR(__xludf.DUMMYFUNCTION("""COMPUTED_VALUE"""),-60.0)</f>
        <v>-60</v>
      </c>
      <c r="E1398" s="1"/>
      <c r="F1398" s="1"/>
    </row>
    <row r="1399">
      <c r="A1399" s="1" t="str">
        <f>IFERROR(__xludf.DUMMYFUNCTION("""COMPUTED_VALUE"""),"d583be0f")</f>
        <v>d583be0f</v>
      </c>
      <c r="B1399" s="1" t="str">
        <f>IFERROR(__xludf.DUMMYFUNCTION("""COMPUTED_VALUE"""),"0001")</f>
        <v>0001</v>
      </c>
      <c r="C1399" s="32">
        <f>IFERROR(__xludf.DUMMYFUNCTION("""COMPUTED_VALUE"""),46113.49146990741)</f>
        <v>46113.49147</v>
      </c>
      <c r="D1399" s="1">
        <f>IFERROR(__xludf.DUMMYFUNCTION("""COMPUTED_VALUE"""),-8.0)</f>
        <v>-8</v>
      </c>
      <c r="E1399" s="1"/>
      <c r="F1399" s="1"/>
    </row>
    <row r="1400">
      <c r="A1400" s="1" t="str">
        <f>IFERROR(__xludf.DUMMYFUNCTION("""COMPUTED_VALUE"""),"cd8c3762")</f>
        <v>cd8c3762</v>
      </c>
      <c r="B1400" s="1" t="str">
        <f>IFERROR(__xludf.DUMMYFUNCTION("""COMPUTED_VALUE"""),"12b96290")</f>
        <v>12b96290</v>
      </c>
      <c r="C1400" s="32">
        <f>IFERROR(__xludf.DUMMYFUNCTION("""COMPUTED_VALUE"""),46113.49153935185)</f>
        <v>46113.49154</v>
      </c>
      <c r="D1400" s="1">
        <f>IFERROR(__xludf.DUMMYFUNCTION("""COMPUTED_VALUE"""),-2.0)</f>
        <v>-2</v>
      </c>
      <c r="E1400" s="1"/>
      <c r="F1400" s="1"/>
    </row>
    <row r="1401">
      <c r="A1401" s="1" t="str">
        <f>IFERROR(__xludf.DUMMYFUNCTION("""COMPUTED_VALUE"""),"f46ac8d7")</f>
        <v>f46ac8d7</v>
      </c>
      <c r="B1401" s="1" t="str">
        <f>IFERROR(__xludf.DUMMYFUNCTION("""COMPUTED_VALUE"""),"12b96290")</f>
        <v>12b96290</v>
      </c>
      <c r="C1401" s="32">
        <f>IFERROR(__xludf.DUMMYFUNCTION("""COMPUTED_VALUE"""),46113.49340277778)</f>
        <v>46113.4934</v>
      </c>
      <c r="D1401" s="1">
        <f>IFERROR(__xludf.DUMMYFUNCTION("""COMPUTED_VALUE"""),-8.0)</f>
        <v>-8</v>
      </c>
      <c r="E1401" s="1"/>
      <c r="F1401" s="1"/>
    </row>
    <row r="1402">
      <c r="A1402" s="1" t="str">
        <f>IFERROR(__xludf.DUMMYFUNCTION("""COMPUTED_VALUE"""),"98d30f27")</f>
        <v>98d30f27</v>
      </c>
      <c r="B1402" s="1" t="str">
        <f>IFERROR(__xludf.DUMMYFUNCTION("""COMPUTED_VALUE"""),"0af806f8")</f>
        <v>0af806f8</v>
      </c>
      <c r="C1402" s="32">
        <f>IFERROR(__xludf.DUMMYFUNCTION("""COMPUTED_VALUE"""),46113.49346064815)</f>
        <v>46113.49346</v>
      </c>
      <c r="D1402" s="1">
        <f>IFERROR(__xludf.DUMMYFUNCTION("""COMPUTED_VALUE"""),-3.0)</f>
        <v>-3</v>
      </c>
      <c r="E1402" s="1"/>
      <c r="F1402" s="1"/>
    </row>
    <row r="1403">
      <c r="A1403" s="1" t="str">
        <f>IFERROR(__xludf.DUMMYFUNCTION("""COMPUTED_VALUE"""),"9b50dcd0")</f>
        <v>9b50dcd0</v>
      </c>
      <c r="B1403" s="1" t="str">
        <f>IFERROR(__xludf.DUMMYFUNCTION("""COMPUTED_VALUE"""),"bb6c2490")</f>
        <v>bb6c2490</v>
      </c>
      <c r="C1403" s="32">
        <f>IFERROR(__xludf.DUMMYFUNCTION("""COMPUTED_VALUE"""),46113.49353009259)</f>
        <v>46113.49353</v>
      </c>
      <c r="D1403" s="1">
        <f>IFERROR(__xludf.DUMMYFUNCTION("""COMPUTED_VALUE"""),-13.0)</f>
        <v>-13</v>
      </c>
      <c r="E1403" s="1"/>
      <c r="F1403" s="1"/>
    </row>
    <row r="1404">
      <c r="A1404" s="1" t="str">
        <f>IFERROR(__xludf.DUMMYFUNCTION("""COMPUTED_VALUE"""),"540bd501")</f>
        <v>540bd501</v>
      </c>
      <c r="B1404" s="1" t="str">
        <f>IFERROR(__xludf.DUMMYFUNCTION("""COMPUTED_VALUE"""),"0019")</f>
        <v>0019</v>
      </c>
      <c r="C1404" s="32">
        <f>IFERROR(__xludf.DUMMYFUNCTION("""COMPUTED_VALUE"""),46113.493993055556)</f>
        <v>46113.49399</v>
      </c>
      <c r="D1404" s="1">
        <f>IFERROR(__xludf.DUMMYFUNCTION("""COMPUTED_VALUE"""),-24.0)</f>
        <v>-24</v>
      </c>
      <c r="E1404" s="1"/>
      <c r="F1404" s="1"/>
    </row>
    <row r="1405">
      <c r="A1405" s="1" t="str">
        <f>IFERROR(__xludf.DUMMYFUNCTION("""COMPUTED_VALUE"""),"5b7885f4")</f>
        <v>5b7885f4</v>
      </c>
      <c r="B1405" s="1" t="str">
        <f>IFERROR(__xludf.DUMMYFUNCTION("""COMPUTED_VALUE"""),"a19879cf")</f>
        <v>a19879cf</v>
      </c>
      <c r="C1405" s="32">
        <f>IFERROR(__xludf.DUMMYFUNCTION("""COMPUTED_VALUE"""),46113.49424768519)</f>
        <v>46113.49425</v>
      </c>
      <c r="D1405" s="1">
        <f>IFERROR(__xludf.DUMMYFUNCTION("""COMPUTED_VALUE"""),-24.0)</f>
        <v>-24</v>
      </c>
      <c r="E1405" s="1"/>
      <c r="F1405" s="1"/>
    </row>
    <row r="1406">
      <c r="A1406" s="1" t="str">
        <f>IFERROR(__xludf.DUMMYFUNCTION("""COMPUTED_VALUE"""),"a22fcc68")</f>
        <v>a22fcc68</v>
      </c>
      <c r="B1406" s="1" t="str">
        <f>IFERROR(__xludf.DUMMYFUNCTION("""COMPUTED_VALUE"""),"bb4d1bd1")</f>
        <v>bb4d1bd1</v>
      </c>
      <c r="C1406" s="32">
        <f>IFERROR(__xludf.DUMMYFUNCTION("""COMPUTED_VALUE"""),46113.494780092595)</f>
        <v>46113.49478</v>
      </c>
      <c r="D1406" s="1">
        <f>IFERROR(__xludf.DUMMYFUNCTION("""COMPUTED_VALUE"""),-16.0)</f>
        <v>-16</v>
      </c>
      <c r="E1406" s="1"/>
      <c r="F1406" s="1"/>
    </row>
    <row r="1407">
      <c r="A1407" s="1" t="str">
        <f>IFERROR(__xludf.DUMMYFUNCTION("""COMPUTED_VALUE"""),"2c70127c")</f>
        <v>2c70127c</v>
      </c>
      <c r="B1407" s="1" t="str">
        <f>IFERROR(__xludf.DUMMYFUNCTION("""COMPUTED_VALUE"""),"83dd14b5")</f>
        <v>83dd14b5</v>
      </c>
      <c r="C1407" s="32">
        <f>IFERROR(__xludf.DUMMYFUNCTION("""COMPUTED_VALUE"""),46113.49521990741)</f>
        <v>46113.49522</v>
      </c>
      <c r="D1407" s="1">
        <f>IFERROR(__xludf.DUMMYFUNCTION("""COMPUTED_VALUE"""),-24.0)</f>
        <v>-24</v>
      </c>
      <c r="E1407" s="1"/>
      <c r="F1407" s="1"/>
    </row>
    <row r="1408">
      <c r="A1408" s="1" t="str">
        <f>IFERROR(__xludf.DUMMYFUNCTION("""COMPUTED_VALUE"""),"13b72994")</f>
        <v>13b72994</v>
      </c>
      <c r="B1408" s="1" t="str">
        <f>IFERROR(__xludf.DUMMYFUNCTION("""COMPUTED_VALUE"""),"cb9e809e")</f>
        <v>cb9e809e</v>
      </c>
      <c r="C1408" s="32">
        <f>IFERROR(__xludf.DUMMYFUNCTION("""COMPUTED_VALUE"""),46113.495462962965)</f>
        <v>46113.49546</v>
      </c>
      <c r="D1408" s="1">
        <f>IFERROR(__xludf.DUMMYFUNCTION("""COMPUTED_VALUE"""),-7.0)</f>
        <v>-7</v>
      </c>
      <c r="E1408" s="1"/>
      <c r="F1408" s="1"/>
    </row>
    <row r="1409">
      <c r="A1409" s="1" t="str">
        <f>IFERROR(__xludf.DUMMYFUNCTION("""COMPUTED_VALUE"""),"ed90ac72")</f>
        <v>ed90ac72</v>
      </c>
      <c r="B1409" s="1" t="str">
        <f>IFERROR(__xludf.DUMMYFUNCTION("""COMPUTED_VALUE"""),"0049")</f>
        <v>0049</v>
      </c>
      <c r="C1409" s="32">
        <f>IFERROR(__xludf.DUMMYFUNCTION("""COMPUTED_VALUE"""),46113.49582175926)</f>
        <v>46113.49582</v>
      </c>
      <c r="D1409" s="1">
        <f>IFERROR(__xludf.DUMMYFUNCTION("""COMPUTED_VALUE"""),-5.0)</f>
        <v>-5</v>
      </c>
      <c r="E1409" s="1"/>
      <c r="F1409" s="1"/>
    </row>
    <row r="1410">
      <c r="A1410" s="1" t="str">
        <f>IFERROR(__xludf.DUMMYFUNCTION("""COMPUTED_VALUE"""),"be14f16a")</f>
        <v>be14f16a</v>
      </c>
      <c r="B1410" s="1" t="str">
        <f>IFERROR(__xludf.DUMMYFUNCTION("""COMPUTED_VALUE"""),"0032")</f>
        <v>0032</v>
      </c>
      <c r="C1410" s="32">
        <f>IFERROR(__xludf.DUMMYFUNCTION("""COMPUTED_VALUE"""),46113.49626157407)</f>
        <v>46113.49626</v>
      </c>
      <c r="D1410" s="1">
        <f>IFERROR(__xludf.DUMMYFUNCTION("""COMPUTED_VALUE"""),-8.0)</f>
        <v>-8</v>
      </c>
      <c r="E1410" s="1"/>
      <c r="F1410" s="1"/>
    </row>
    <row r="1411">
      <c r="A1411" s="1" t="str">
        <f>IFERROR(__xludf.DUMMYFUNCTION("""COMPUTED_VALUE"""),"7c9c34de")</f>
        <v>7c9c34de</v>
      </c>
      <c r="B1411" s="1" t="str">
        <f>IFERROR(__xludf.DUMMYFUNCTION("""COMPUTED_VALUE"""),"0002")</f>
        <v>0002</v>
      </c>
      <c r="C1411" s="32">
        <f>IFERROR(__xludf.DUMMYFUNCTION("""COMPUTED_VALUE"""),46113.49689814815)</f>
        <v>46113.4969</v>
      </c>
      <c r="D1411" s="1">
        <f>IFERROR(__xludf.DUMMYFUNCTION("""COMPUTED_VALUE"""),-48.0)</f>
        <v>-48</v>
      </c>
      <c r="E1411" s="1"/>
      <c r="F1411" s="1"/>
    </row>
    <row r="1412">
      <c r="A1412" s="1" t="str">
        <f>IFERROR(__xludf.DUMMYFUNCTION("""COMPUTED_VALUE"""),"937cac6a")</f>
        <v>937cac6a</v>
      </c>
      <c r="B1412" s="1" t="str">
        <f>IFERROR(__xludf.DUMMYFUNCTION("""COMPUTED_VALUE"""),"0011")</f>
        <v>0011</v>
      </c>
      <c r="C1412" s="32">
        <f>IFERROR(__xludf.DUMMYFUNCTION("""COMPUTED_VALUE"""),46113.49748842593)</f>
        <v>46113.49749</v>
      </c>
      <c r="D1412" s="1">
        <f>IFERROR(__xludf.DUMMYFUNCTION("""COMPUTED_VALUE"""),-10.0)</f>
        <v>-10</v>
      </c>
      <c r="E1412" s="1"/>
      <c r="F1412" s="1"/>
    </row>
    <row r="1413">
      <c r="A1413" s="1" t="str">
        <f>IFERROR(__xludf.DUMMYFUNCTION("""COMPUTED_VALUE"""),"0d7c2d3b")</f>
        <v>0d7c2d3b</v>
      </c>
      <c r="B1413" s="1" t="str">
        <f>IFERROR(__xludf.DUMMYFUNCTION("""COMPUTED_VALUE"""),"a3f74383")</f>
        <v>a3f74383</v>
      </c>
      <c r="C1413" s="32">
        <f>IFERROR(__xludf.DUMMYFUNCTION("""COMPUTED_VALUE"""),46113.49836805555)</f>
        <v>46113.49837</v>
      </c>
      <c r="D1413" s="1">
        <f>IFERROR(__xludf.DUMMYFUNCTION("""COMPUTED_VALUE"""),-1.0)</f>
        <v>-1</v>
      </c>
      <c r="E1413" s="1"/>
      <c r="F1413" s="1"/>
    </row>
    <row r="1414">
      <c r="A1414" s="1" t="str">
        <f>IFERROR(__xludf.DUMMYFUNCTION("""COMPUTED_VALUE"""),"449fb156")</f>
        <v>449fb156</v>
      </c>
      <c r="B1414" s="1" t="str">
        <f>IFERROR(__xludf.DUMMYFUNCTION("""COMPUTED_VALUE"""),"0054")</f>
        <v>0054</v>
      </c>
      <c r="C1414" s="32">
        <f>IFERROR(__xludf.DUMMYFUNCTION("""COMPUTED_VALUE"""),46113.4984375)</f>
        <v>46113.49844</v>
      </c>
      <c r="D1414" s="1">
        <f>IFERROR(__xludf.DUMMYFUNCTION("""COMPUTED_VALUE"""),-1.0)</f>
        <v>-1</v>
      </c>
      <c r="E1414" s="1"/>
      <c r="F1414" s="1"/>
    </row>
    <row r="1415">
      <c r="A1415" s="1" t="str">
        <f>IFERROR(__xludf.DUMMYFUNCTION("""COMPUTED_VALUE"""),"c238c4f2")</f>
        <v>c238c4f2</v>
      </c>
      <c r="B1415" s="1" t="str">
        <f>IFERROR(__xludf.DUMMYFUNCTION("""COMPUTED_VALUE"""),"0029")</f>
        <v>0029</v>
      </c>
      <c r="C1415" s="32">
        <f>IFERROR(__xludf.DUMMYFUNCTION("""COMPUTED_VALUE"""),46113.49851851852)</f>
        <v>46113.49852</v>
      </c>
      <c r="D1415" s="1">
        <f>IFERROR(__xludf.DUMMYFUNCTION("""COMPUTED_VALUE"""),-2.0)</f>
        <v>-2</v>
      </c>
      <c r="E1415" s="1"/>
      <c r="F1415" s="1"/>
    </row>
    <row r="1416">
      <c r="A1416" s="1" t="str">
        <f>IFERROR(__xludf.DUMMYFUNCTION("""COMPUTED_VALUE"""),"fe222a43")</f>
        <v>fe222a43</v>
      </c>
      <c r="B1416" s="1" t="str">
        <f>IFERROR(__xludf.DUMMYFUNCTION("""COMPUTED_VALUE"""),"0af806f8")</f>
        <v>0af806f8</v>
      </c>
      <c r="C1416" s="32">
        <f>IFERROR(__xludf.DUMMYFUNCTION("""COMPUTED_VALUE"""),46114.46994212963)</f>
        <v>46114.46994</v>
      </c>
      <c r="D1416" s="1">
        <f>IFERROR(__xludf.DUMMYFUNCTION("""COMPUTED_VALUE"""),-7.0)</f>
        <v>-7</v>
      </c>
      <c r="E1416" s="1"/>
      <c r="F1416" s="1"/>
    </row>
    <row r="1417">
      <c r="A1417" s="1" t="str">
        <f>IFERROR(__xludf.DUMMYFUNCTION("""COMPUTED_VALUE"""),"ea5ba3f7")</f>
        <v>ea5ba3f7</v>
      </c>
      <c r="B1417" s="1" t="str">
        <f>IFERROR(__xludf.DUMMYFUNCTION("""COMPUTED_VALUE"""),"c099f042")</f>
        <v>c099f042</v>
      </c>
      <c r="C1417" s="32">
        <f>IFERROR(__xludf.DUMMYFUNCTION("""COMPUTED_VALUE"""),46114.47015046296)</f>
        <v>46114.47015</v>
      </c>
      <c r="D1417" s="1">
        <f>IFERROR(__xludf.DUMMYFUNCTION("""COMPUTED_VALUE"""),-28.0)</f>
        <v>-28</v>
      </c>
      <c r="E1417" s="1"/>
      <c r="F1417" s="1"/>
    </row>
    <row r="1418">
      <c r="A1418" s="1" t="str">
        <f>IFERROR(__xludf.DUMMYFUNCTION("""COMPUTED_VALUE"""),"ceb4a28a")</f>
        <v>ceb4a28a</v>
      </c>
      <c r="B1418" s="1" t="str">
        <f>IFERROR(__xludf.DUMMYFUNCTION("""COMPUTED_VALUE"""),"0001")</f>
        <v>0001</v>
      </c>
      <c r="C1418" s="32">
        <f>IFERROR(__xludf.DUMMYFUNCTION("""COMPUTED_VALUE"""),46114.470555555556)</f>
        <v>46114.47056</v>
      </c>
      <c r="D1418" s="1">
        <f>IFERROR(__xludf.DUMMYFUNCTION("""COMPUTED_VALUE"""),-9.0)</f>
        <v>-9</v>
      </c>
      <c r="E1418" s="1"/>
      <c r="F1418" s="1"/>
    </row>
    <row r="1419">
      <c r="A1419" s="1" t="str">
        <f>IFERROR(__xludf.DUMMYFUNCTION("""COMPUTED_VALUE"""),"93ade897")</f>
        <v>93ade897</v>
      </c>
      <c r="B1419" s="1" t="str">
        <f>IFERROR(__xludf.DUMMYFUNCTION("""COMPUTED_VALUE"""),"bb6c2490")</f>
        <v>bb6c2490</v>
      </c>
      <c r="C1419" s="32">
        <f>IFERROR(__xludf.DUMMYFUNCTION("""COMPUTED_VALUE"""),46114.47081018519)</f>
        <v>46114.47081</v>
      </c>
      <c r="D1419" s="1">
        <f>IFERROR(__xludf.DUMMYFUNCTION("""COMPUTED_VALUE"""),-18.0)</f>
        <v>-18</v>
      </c>
      <c r="E1419" s="1"/>
      <c r="F1419" s="1"/>
    </row>
    <row r="1420">
      <c r="A1420" s="1" t="str">
        <f>IFERROR(__xludf.DUMMYFUNCTION("""COMPUTED_VALUE"""),"1d8c49db")</f>
        <v>1d8c49db</v>
      </c>
      <c r="B1420" s="1" t="str">
        <f>IFERROR(__xludf.DUMMYFUNCTION("""COMPUTED_VALUE"""),"12b96290")</f>
        <v>12b96290</v>
      </c>
      <c r="C1420" s="32">
        <f>IFERROR(__xludf.DUMMYFUNCTION("""COMPUTED_VALUE"""),46114.47100694444)</f>
        <v>46114.47101</v>
      </c>
      <c r="D1420" s="1">
        <f>IFERROR(__xludf.DUMMYFUNCTION("""COMPUTED_VALUE"""),-5.0)</f>
        <v>-5</v>
      </c>
      <c r="E1420" s="1"/>
      <c r="F1420" s="1"/>
    </row>
    <row r="1421">
      <c r="A1421" s="1" t="str">
        <f>IFERROR(__xludf.DUMMYFUNCTION("""COMPUTED_VALUE"""),"4f6b7040")</f>
        <v>4f6b7040</v>
      </c>
      <c r="B1421" s="1" t="str">
        <f>IFERROR(__xludf.DUMMYFUNCTION("""COMPUTED_VALUE"""),"cf6c9481")</f>
        <v>cf6c9481</v>
      </c>
      <c r="C1421" s="32">
        <f>IFERROR(__xludf.DUMMYFUNCTION("""COMPUTED_VALUE"""),46114.47121527778)</f>
        <v>46114.47122</v>
      </c>
      <c r="D1421" s="1">
        <f>IFERROR(__xludf.DUMMYFUNCTION("""COMPUTED_VALUE"""),-3.0)</f>
        <v>-3</v>
      </c>
      <c r="E1421" s="1"/>
      <c r="F1421" s="1"/>
    </row>
    <row r="1422">
      <c r="A1422" s="1" t="str">
        <f>IFERROR(__xludf.DUMMYFUNCTION("""COMPUTED_VALUE"""),"f3113e28")</f>
        <v>f3113e28</v>
      </c>
      <c r="B1422" s="1" t="str">
        <f>IFERROR(__xludf.DUMMYFUNCTION("""COMPUTED_VALUE"""),"0064")</f>
        <v>0064</v>
      </c>
      <c r="C1422" s="32">
        <f>IFERROR(__xludf.DUMMYFUNCTION("""COMPUTED_VALUE"""),46114.471354166664)</f>
        <v>46114.47135</v>
      </c>
      <c r="D1422" s="1">
        <f>IFERROR(__xludf.DUMMYFUNCTION("""COMPUTED_VALUE"""),-3.0)</f>
        <v>-3</v>
      </c>
      <c r="E1422" s="1"/>
      <c r="F1422" s="1"/>
    </row>
    <row r="1423">
      <c r="A1423" s="1" t="str">
        <f>IFERROR(__xludf.DUMMYFUNCTION("""COMPUTED_VALUE"""),"013e077e")</f>
        <v>013e077e</v>
      </c>
      <c r="B1423" s="1" t="str">
        <f>IFERROR(__xludf.DUMMYFUNCTION("""COMPUTED_VALUE"""),"ccaf1c68")</f>
        <v>ccaf1c68</v>
      </c>
      <c r="C1423" s="32">
        <f>IFERROR(__xludf.DUMMYFUNCTION("""COMPUTED_VALUE"""),46114.47353009259)</f>
        <v>46114.47353</v>
      </c>
      <c r="D1423" s="1">
        <f>IFERROR(__xludf.DUMMYFUNCTION("""COMPUTED_VALUE"""),-1.0)</f>
        <v>-1</v>
      </c>
      <c r="E1423" s="1"/>
      <c r="F1423" s="1"/>
    </row>
    <row r="1424">
      <c r="A1424" s="1" t="str">
        <f>IFERROR(__xludf.DUMMYFUNCTION("""COMPUTED_VALUE"""),"81778420")</f>
        <v>81778420</v>
      </c>
      <c r="B1424" s="1" t="str">
        <f>IFERROR(__xludf.DUMMYFUNCTION("""COMPUTED_VALUE"""),"c099f042")</f>
        <v>c099f042</v>
      </c>
      <c r="C1424" s="32">
        <f>IFERROR(__xludf.DUMMYFUNCTION("""COMPUTED_VALUE"""),46114.52422453704)</f>
        <v>46114.52422</v>
      </c>
      <c r="D1424" s="1">
        <f>IFERROR(__xludf.DUMMYFUNCTION("""COMPUTED_VALUE"""),2.0)</f>
        <v>2</v>
      </c>
      <c r="E1424" s="1"/>
      <c r="F1424" s="1"/>
    </row>
    <row r="1425">
      <c r="A1425" s="1" t="str">
        <f>IFERROR(__xludf.DUMMYFUNCTION("""COMPUTED_VALUE"""),"672bdb93")</f>
        <v>672bdb93</v>
      </c>
      <c r="B1425" s="1" t="str">
        <f>IFERROR(__xludf.DUMMYFUNCTION("""COMPUTED_VALUE"""),"0001")</f>
        <v>0001</v>
      </c>
      <c r="C1425" s="32">
        <f>IFERROR(__xludf.DUMMYFUNCTION("""COMPUTED_VALUE"""),46114.52434027778)</f>
        <v>46114.52434</v>
      </c>
      <c r="D1425" s="1">
        <f>IFERROR(__xludf.DUMMYFUNCTION("""COMPUTED_VALUE"""),1.0)</f>
        <v>1</v>
      </c>
      <c r="E1425" s="1"/>
      <c r="F1425" s="1"/>
    </row>
    <row r="1426">
      <c r="A1426" s="1" t="str">
        <f>IFERROR(__xludf.DUMMYFUNCTION("""COMPUTED_VALUE"""),"3798c5f4")</f>
        <v>3798c5f4</v>
      </c>
      <c r="B1426" s="1" t="str">
        <f>IFERROR(__xludf.DUMMYFUNCTION("""COMPUTED_VALUE"""),"0011")</f>
        <v>0011</v>
      </c>
      <c r="C1426" s="32">
        <f>IFERROR(__xludf.DUMMYFUNCTION("""COMPUTED_VALUE"""),46114.60025462963)</f>
        <v>46114.60025</v>
      </c>
      <c r="D1426" s="1">
        <f>IFERROR(__xludf.DUMMYFUNCTION("""COMPUTED_VALUE"""),72.0)</f>
        <v>72</v>
      </c>
      <c r="E1426" s="1" t="str">
        <f>IFERROR(__xludf.DUMMYFUNCTION("""COMPUTED_VALUE"""),"4dee2d99")</f>
        <v>4dee2d99</v>
      </c>
      <c r="F1426" s="1"/>
    </row>
    <row r="1427">
      <c r="A1427" s="1" t="str">
        <f>IFERROR(__xludf.DUMMYFUNCTION("""COMPUTED_VALUE"""),"14105acd")</f>
        <v>14105acd</v>
      </c>
      <c r="B1427" s="1" t="str">
        <f>IFERROR(__xludf.DUMMYFUNCTION("""COMPUTED_VALUE"""),"0021")</f>
        <v>0021</v>
      </c>
      <c r="C1427" s="32">
        <f>IFERROR(__xludf.DUMMYFUNCTION("""COMPUTED_VALUE"""),46114.60037037037)</f>
        <v>46114.60037</v>
      </c>
      <c r="D1427" s="1">
        <f>IFERROR(__xludf.DUMMYFUNCTION("""COMPUTED_VALUE"""),120.0)</f>
        <v>120</v>
      </c>
      <c r="E1427" s="1" t="str">
        <f>IFERROR(__xludf.DUMMYFUNCTION("""COMPUTED_VALUE"""),"4dee2d99")</f>
        <v>4dee2d99</v>
      </c>
      <c r="F1427" s="1"/>
    </row>
    <row r="1428">
      <c r="A1428" s="1" t="str">
        <f>IFERROR(__xludf.DUMMYFUNCTION("""COMPUTED_VALUE"""),"0380deab")</f>
        <v>0380deab</v>
      </c>
      <c r="B1428" s="1" t="str">
        <f>IFERROR(__xludf.DUMMYFUNCTION("""COMPUTED_VALUE"""),"bb6c2490")</f>
        <v>bb6c2490</v>
      </c>
      <c r="C1428" s="32">
        <f>IFERROR(__xludf.DUMMYFUNCTION("""COMPUTED_VALUE"""),46114.60053240741)</f>
        <v>46114.60053</v>
      </c>
      <c r="D1428" s="1">
        <f>IFERROR(__xludf.DUMMYFUNCTION("""COMPUTED_VALUE"""),36.0)</f>
        <v>36</v>
      </c>
      <c r="E1428" s="1" t="str">
        <f>IFERROR(__xludf.DUMMYFUNCTION("""COMPUTED_VALUE"""),"4dee2d99")</f>
        <v>4dee2d99</v>
      </c>
      <c r="F1428" s="1"/>
    </row>
    <row r="1429">
      <c r="A1429" s="1" t="str">
        <f>IFERROR(__xludf.DUMMYFUNCTION("""COMPUTED_VALUE"""),"75d89b86")</f>
        <v>75d89b86</v>
      </c>
      <c r="B1429" s="1" t="str">
        <f>IFERROR(__xludf.DUMMYFUNCTION("""COMPUTED_VALUE"""),"0029")</f>
        <v>0029</v>
      </c>
      <c r="C1429" s="32">
        <f>IFERROR(__xludf.DUMMYFUNCTION("""COMPUTED_VALUE"""),46114.60065972222)</f>
        <v>46114.60066</v>
      </c>
      <c r="D1429" s="1">
        <f>IFERROR(__xludf.DUMMYFUNCTION("""COMPUTED_VALUE"""),96.0)</f>
        <v>96</v>
      </c>
      <c r="E1429" s="1" t="str">
        <f>IFERROR(__xludf.DUMMYFUNCTION("""COMPUTED_VALUE"""),"4dee2d99")</f>
        <v>4dee2d99</v>
      </c>
      <c r="F1429" s="1"/>
    </row>
    <row r="1430">
      <c r="A1430" s="1" t="str">
        <f>IFERROR(__xludf.DUMMYFUNCTION("""COMPUTED_VALUE"""),"a1919165")</f>
        <v>a1919165</v>
      </c>
      <c r="B1430" s="1" t="str">
        <f>IFERROR(__xludf.DUMMYFUNCTION("""COMPUTED_VALUE"""),"0054")</f>
        <v>0054</v>
      </c>
      <c r="C1430" s="32">
        <f>IFERROR(__xludf.DUMMYFUNCTION("""COMPUTED_VALUE"""),46114.60083333333)</f>
        <v>46114.60083</v>
      </c>
      <c r="D1430" s="1">
        <f>IFERROR(__xludf.DUMMYFUNCTION("""COMPUTED_VALUE"""),24.0)</f>
        <v>24</v>
      </c>
      <c r="E1430" s="1" t="str">
        <f>IFERROR(__xludf.DUMMYFUNCTION("""COMPUTED_VALUE"""),"4dee2d99")</f>
        <v>4dee2d99</v>
      </c>
      <c r="F1430" s="1"/>
    </row>
    <row r="1431">
      <c r="A1431" s="1" t="str">
        <f>IFERROR(__xludf.DUMMYFUNCTION("""COMPUTED_VALUE"""),"61cc9ad3")</f>
        <v>61cc9ad3</v>
      </c>
      <c r="B1431" s="1" t="str">
        <f>IFERROR(__xludf.DUMMYFUNCTION("""COMPUTED_VALUE"""),"649eaeb5")</f>
        <v>649eaeb5</v>
      </c>
      <c r="C1431" s="32">
        <f>IFERROR(__xludf.DUMMYFUNCTION("""COMPUTED_VALUE"""),46114.600949074076)</f>
        <v>46114.60095</v>
      </c>
      <c r="D1431" s="1">
        <f>IFERROR(__xludf.DUMMYFUNCTION("""COMPUTED_VALUE"""),48.0)</f>
        <v>48</v>
      </c>
      <c r="E1431" s="1" t="str">
        <f>IFERROR(__xludf.DUMMYFUNCTION("""COMPUTED_VALUE"""),"4dee2d99")</f>
        <v>4dee2d99</v>
      </c>
      <c r="F1431" s="1"/>
    </row>
    <row r="1432">
      <c r="A1432" s="1" t="str">
        <f>IFERROR(__xludf.DUMMYFUNCTION("""COMPUTED_VALUE"""),"cf0e5d9f")</f>
        <v>cf0e5d9f</v>
      </c>
      <c r="B1432" s="1" t="str">
        <f>IFERROR(__xludf.DUMMYFUNCTION("""COMPUTED_VALUE"""),"0001")</f>
        <v>0001</v>
      </c>
      <c r="C1432" s="32">
        <f>IFERROR(__xludf.DUMMYFUNCTION("""COMPUTED_VALUE"""),46114.60104166667)</f>
        <v>46114.60104</v>
      </c>
      <c r="D1432" s="1">
        <f>IFERROR(__xludf.DUMMYFUNCTION("""COMPUTED_VALUE"""),150.0)</f>
        <v>150</v>
      </c>
      <c r="E1432" s="1" t="str">
        <f>IFERROR(__xludf.DUMMYFUNCTION("""COMPUTED_VALUE"""),"4dee2d99")</f>
        <v>4dee2d99</v>
      </c>
      <c r="F1432" s="1"/>
    </row>
    <row r="1433">
      <c r="A1433" s="1" t="str">
        <f>IFERROR(__xludf.DUMMYFUNCTION("""COMPUTED_VALUE"""),"e80397df")</f>
        <v>e80397df</v>
      </c>
      <c r="B1433" s="1" t="str">
        <f>IFERROR(__xludf.DUMMYFUNCTION("""COMPUTED_VALUE"""),"0019")</f>
        <v>0019</v>
      </c>
      <c r="C1433" s="32">
        <f>IFERROR(__xludf.DUMMYFUNCTION("""COMPUTED_VALUE"""),46114.601168981484)</f>
        <v>46114.60117</v>
      </c>
      <c r="D1433" s="1">
        <f>IFERROR(__xludf.DUMMYFUNCTION("""COMPUTED_VALUE"""),48.0)</f>
        <v>48</v>
      </c>
      <c r="E1433" s="1" t="str">
        <f>IFERROR(__xludf.DUMMYFUNCTION("""COMPUTED_VALUE"""),"4dee2d99")</f>
        <v>4dee2d99</v>
      </c>
      <c r="F1433" s="1"/>
    </row>
    <row r="1434">
      <c r="A1434" s="1" t="str">
        <f>IFERROR(__xludf.DUMMYFUNCTION("""COMPUTED_VALUE"""),"089ce95c")</f>
        <v>089ce95c</v>
      </c>
      <c r="B1434" s="1" t="str">
        <f>IFERROR(__xludf.DUMMYFUNCTION("""COMPUTED_VALUE"""),"f998044c")</f>
        <v>f998044c</v>
      </c>
      <c r="C1434" s="32">
        <f>IFERROR(__xludf.DUMMYFUNCTION("""COMPUTED_VALUE"""),46114.6012962963)</f>
        <v>46114.6013</v>
      </c>
      <c r="D1434" s="1">
        <f>IFERROR(__xludf.DUMMYFUNCTION("""COMPUTED_VALUE"""),20.0)</f>
        <v>20</v>
      </c>
      <c r="E1434" s="1" t="str">
        <f>IFERROR(__xludf.DUMMYFUNCTION("""COMPUTED_VALUE"""),"4dee2d99")</f>
        <v>4dee2d99</v>
      </c>
      <c r="F1434" s="1"/>
    </row>
    <row r="1435">
      <c r="A1435" s="1" t="str">
        <f>IFERROR(__xludf.DUMMYFUNCTION("""COMPUTED_VALUE"""),"1ae5c2e6")</f>
        <v>1ae5c2e6</v>
      </c>
      <c r="B1435" s="1" t="str">
        <f>IFERROR(__xludf.DUMMYFUNCTION("""COMPUTED_VALUE"""),"220a28b9")</f>
        <v>220a28b9</v>
      </c>
      <c r="C1435" s="32">
        <f>IFERROR(__xludf.DUMMYFUNCTION("""COMPUTED_VALUE"""),46114.601377314815)</f>
        <v>46114.60138</v>
      </c>
      <c r="D1435" s="1">
        <f>IFERROR(__xludf.DUMMYFUNCTION("""COMPUTED_VALUE"""),12.0)</f>
        <v>12</v>
      </c>
      <c r="E1435" s="1" t="str">
        <f>IFERROR(__xludf.DUMMYFUNCTION("""COMPUTED_VALUE"""),"4dee2d99")</f>
        <v>4dee2d99</v>
      </c>
      <c r="F1435" s="1"/>
    </row>
    <row r="1436">
      <c r="A1436" s="1" t="str">
        <f>IFERROR(__xludf.DUMMYFUNCTION("""COMPUTED_VALUE"""),"35063adc")</f>
        <v>35063adc</v>
      </c>
      <c r="B1436" s="1" t="str">
        <f>IFERROR(__xludf.DUMMYFUNCTION("""COMPUTED_VALUE"""),"cb9e809e")</f>
        <v>cb9e809e</v>
      </c>
      <c r="C1436" s="32">
        <f>IFERROR(__xludf.DUMMYFUNCTION("""COMPUTED_VALUE"""),46114.60152777778)</f>
        <v>46114.60153</v>
      </c>
      <c r="D1436" s="1">
        <f>IFERROR(__xludf.DUMMYFUNCTION("""COMPUTED_VALUE"""),60.0)</f>
        <v>60</v>
      </c>
      <c r="E1436" s="1" t="str">
        <f>IFERROR(__xludf.DUMMYFUNCTION("""COMPUTED_VALUE"""),"c8a65d6e")</f>
        <v>c8a65d6e</v>
      </c>
      <c r="F1436" s="1"/>
    </row>
    <row r="1437">
      <c r="A1437" s="1" t="str">
        <f>IFERROR(__xludf.DUMMYFUNCTION("""COMPUTED_VALUE"""),"f91e4c27")</f>
        <v>f91e4c27</v>
      </c>
      <c r="B1437" s="1" t="str">
        <f>IFERROR(__xludf.DUMMYFUNCTION("""COMPUTED_VALUE"""),"0049")</f>
        <v>0049</v>
      </c>
      <c r="C1437" s="32">
        <f>IFERROR(__xludf.DUMMYFUNCTION("""COMPUTED_VALUE"""),46114.6016087963)</f>
        <v>46114.60161</v>
      </c>
      <c r="D1437" s="1">
        <f>IFERROR(__xludf.DUMMYFUNCTION("""COMPUTED_VALUE"""),48.0)</f>
        <v>48</v>
      </c>
      <c r="E1437" s="1" t="str">
        <f>IFERROR(__xludf.DUMMYFUNCTION("""COMPUTED_VALUE"""),"c8a65d6e")</f>
        <v>c8a65d6e</v>
      </c>
      <c r="F1437" s="1"/>
    </row>
    <row r="1438">
      <c r="A1438" s="1" t="str">
        <f>IFERROR(__xludf.DUMMYFUNCTION("""COMPUTED_VALUE"""),"6f85fe88")</f>
        <v>6f85fe88</v>
      </c>
      <c r="B1438" s="1" t="str">
        <f>IFERROR(__xludf.DUMMYFUNCTION("""COMPUTED_VALUE"""),"27c8f623")</f>
        <v>27c8f623</v>
      </c>
      <c r="C1438" s="32">
        <f>IFERROR(__xludf.DUMMYFUNCTION("""COMPUTED_VALUE"""),46114.601689814815)</f>
        <v>46114.60169</v>
      </c>
      <c r="D1438" s="1">
        <f>IFERROR(__xludf.DUMMYFUNCTION("""COMPUTED_VALUE"""),72.0)</f>
        <v>72</v>
      </c>
      <c r="E1438" s="1" t="str">
        <f>IFERROR(__xludf.DUMMYFUNCTION("""COMPUTED_VALUE"""),"c8a65d6e")</f>
        <v>c8a65d6e</v>
      </c>
      <c r="F1438" s="1"/>
    </row>
    <row r="1439">
      <c r="A1439" s="1" t="str">
        <f>IFERROR(__xludf.DUMMYFUNCTION("""COMPUTED_VALUE"""),"cfdc602c")</f>
        <v>cfdc602c</v>
      </c>
      <c r="B1439" s="1" t="str">
        <f>IFERROR(__xludf.DUMMYFUNCTION("""COMPUTED_VALUE"""),"a19879cf")</f>
        <v>a19879cf</v>
      </c>
      <c r="C1439" s="32">
        <f>IFERROR(__xludf.DUMMYFUNCTION("""COMPUTED_VALUE"""),46114.60177083333)</f>
        <v>46114.60177</v>
      </c>
      <c r="D1439" s="1">
        <f>IFERROR(__xludf.DUMMYFUNCTION("""COMPUTED_VALUE"""),72.0)</f>
        <v>72</v>
      </c>
      <c r="E1439" s="1" t="str">
        <f>IFERROR(__xludf.DUMMYFUNCTION("""COMPUTED_VALUE"""),"c8a65d6e")</f>
        <v>c8a65d6e</v>
      </c>
      <c r="F1439" s="1"/>
    </row>
    <row r="1440">
      <c r="A1440" s="1" t="str">
        <f>IFERROR(__xludf.DUMMYFUNCTION("""COMPUTED_VALUE"""),"fd30a3e5")</f>
        <v>fd30a3e5</v>
      </c>
      <c r="B1440" s="1" t="str">
        <f>IFERROR(__xludf.DUMMYFUNCTION("""COMPUTED_VALUE"""),"bb4d1bd1")</f>
        <v>bb4d1bd1</v>
      </c>
      <c r="C1440" s="32">
        <f>IFERROR(__xludf.DUMMYFUNCTION("""COMPUTED_VALUE"""),46114.601875)</f>
        <v>46114.60188</v>
      </c>
      <c r="D1440" s="1">
        <f>IFERROR(__xludf.DUMMYFUNCTION("""COMPUTED_VALUE"""),96.0)</f>
        <v>96</v>
      </c>
      <c r="E1440" s="1" t="str">
        <f>IFERROR(__xludf.DUMMYFUNCTION("""COMPUTED_VALUE"""),"c8a65d6e")</f>
        <v>c8a65d6e</v>
      </c>
      <c r="F1440" s="1"/>
    </row>
    <row r="1441">
      <c r="A1441" s="1" t="str">
        <f>IFERROR(__xludf.DUMMYFUNCTION("""COMPUTED_VALUE"""),"ceeaed41")</f>
        <v>ceeaed41</v>
      </c>
      <c r="B1441" s="1" t="str">
        <f>IFERROR(__xludf.DUMMYFUNCTION("""COMPUTED_VALUE"""),"0086")</f>
        <v>0086</v>
      </c>
      <c r="C1441" s="32">
        <f>IFERROR(__xludf.DUMMYFUNCTION("""COMPUTED_VALUE"""),46114.60265046296)</f>
        <v>46114.60265</v>
      </c>
      <c r="D1441" s="1">
        <f>IFERROR(__xludf.DUMMYFUNCTION("""COMPUTED_VALUE"""),20.0)</f>
        <v>20</v>
      </c>
      <c r="E1441" s="1" t="str">
        <f>IFERROR(__xludf.DUMMYFUNCTION("""COMPUTED_VALUE"""),"9fead2ae")</f>
        <v>9fead2ae</v>
      </c>
      <c r="F1441" s="1"/>
    </row>
    <row r="1442">
      <c r="A1442" s="1" t="str">
        <f>IFERROR(__xludf.DUMMYFUNCTION("""COMPUTED_VALUE"""),"3dd3c2f4")</f>
        <v>3dd3c2f4</v>
      </c>
      <c r="B1442" s="1" t="str">
        <f>IFERROR(__xludf.DUMMYFUNCTION("""COMPUTED_VALUE"""),"c80ae9f2")</f>
        <v>c80ae9f2</v>
      </c>
      <c r="C1442" s="32">
        <f>IFERROR(__xludf.DUMMYFUNCTION("""COMPUTED_VALUE"""),46114.60273148148)</f>
        <v>46114.60273</v>
      </c>
      <c r="D1442" s="1">
        <f>IFERROR(__xludf.DUMMYFUNCTION("""COMPUTED_VALUE"""),12.0)</f>
        <v>12</v>
      </c>
      <c r="E1442" s="1" t="str">
        <f>IFERROR(__xludf.DUMMYFUNCTION("""COMPUTED_VALUE"""),"9fead2ae")</f>
        <v>9fead2ae</v>
      </c>
      <c r="F1442" s="1"/>
    </row>
    <row r="1443">
      <c r="A1443" s="1" t="str">
        <f>IFERROR(__xludf.DUMMYFUNCTION("""COMPUTED_VALUE"""),"78d28289")</f>
        <v>78d28289</v>
      </c>
      <c r="B1443" s="1" t="str">
        <f>IFERROR(__xludf.DUMMYFUNCTION("""COMPUTED_VALUE"""),"0014")</f>
        <v>0014</v>
      </c>
      <c r="C1443" s="32">
        <f>IFERROR(__xludf.DUMMYFUNCTION("""COMPUTED_VALUE"""),46114.6028125)</f>
        <v>46114.60281</v>
      </c>
      <c r="D1443" s="1">
        <f>IFERROR(__xludf.DUMMYFUNCTION("""COMPUTED_VALUE"""),10.0)</f>
        <v>10</v>
      </c>
      <c r="E1443" s="1" t="str">
        <f>IFERROR(__xludf.DUMMYFUNCTION("""COMPUTED_VALUE"""),"9fead2ae")</f>
        <v>9fead2ae</v>
      </c>
      <c r="F1443" s="1"/>
    </row>
    <row r="1444">
      <c r="A1444" s="1" t="str">
        <f>IFERROR(__xludf.DUMMYFUNCTION("""COMPUTED_VALUE"""),"61771930")</f>
        <v>61771930</v>
      </c>
      <c r="B1444" s="1" t="str">
        <f>IFERROR(__xludf.DUMMYFUNCTION("""COMPUTED_VALUE"""),"0018")</f>
        <v>0018</v>
      </c>
      <c r="C1444" s="32">
        <f>IFERROR(__xludf.DUMMYFUNCTION("""COMPUTED_VALUE"""),46114.60291666666)</f>
        <v>46114.60292</v>
      </c>
      <c r="D1444" s="1">
        <f>IFERROR(__xludf.DUMMYFUNCTION("""COMPUTED_VALUE"""),7.0)</f>
        <v>7</v>
      </c>
      <c r="E1444" s="1" t="str">
        <f>IFERROR(__xludf.DUMMYFUNCTION("""COMPUTED_VALUE"""),"9fead2ae")</f>
        <v>9fead2ae</v>
      </c>
      <c r="F1444" s="1"/>
    </row>
    <row r="1445">
      <c r="A1445" s="1" t="str">
        <f>IFERROR(__xludf.DUMMYFUNCTION("""COMPUTED_VALUE"""),"09025ecc")</f>
        <v>09025ecc</v>
      </c>
      <c r="B1445" s="1" t="str">
        <f>IFERROR(__xludf.DUMMYFUNCTION("""COMPUTED_VALUE"""),"bb6c2490")</f>
        <v>bb6c2490</v>
      </c>
      <c r="C1445" s="32">
        <f>IFERROR(__xludf.DUMMYFUNCTION("""COMPUTED_VALUE"""),46114.60302083333)</f>
        <v>46114.60302</v>
      </c>
      <c r="D1445" s="1">
        <f>IFERROR(__xludf.DUMMYFUNCTION("""COMPUTED_VALUE"""),180.0)</f>
        <v>180</v>
      </c>
      <c r="E1445" s="1" t="str">
        <f>IFERROR(__xludf.DUMMYFUNCTION("""COMPUTED_VALUE"""),"9fead2ae")</f>
        <v>9fead2ae</v>
      </c>
      <c r="F1445" s="1"/>
    </row>
    <row r="1446">
      <c r="A1446" s="1" t="str">
        <f>IFERROR(__xludf.DUMMYFUNCTION("""COMPUTED_VALUE"""),"51dac029")</f>
        <v>51dac029</v>
      </c>
      <c r="B1446" s="1" t="str">
        <f>IFERROR(__xludf.DUMMYFUNCTION("""COMPUTED_VALUE"""),"cf6c9481")</f>
        <v>cf6c9481</v>
      </c>
      <c r="C1446" s="32">
        <f>IFERROR(__xludf.DUMMYFUNCTION("""COMPUTED_VALUE"""),46114.60309027778)</f>
        <v>46114.60309</v>
      </c>
      <c r="D1446" s="1">
        <f>IFERROR(__xludf.DUMMYFUNCTION("""COMPUTED_VALUE"""),10.0)</f>
        <v>10</v>
      </c>
      <c r="E1446" s="1" t="str">
        <f>IFERROR(__xludf.DUMMYFUNCTION("""COMPUTED_VALUE"""),"9fead2ae")</f>
        <v>9fead2ae</v>
      </c>
      <c r="F1446" s="1"/>
    </row>
    <row r="1447">
      <c r="A1447" s="1" t="str">
        <f>IFERROR(__xludf.DUMMYFUNCTION("""COMPUTED_VALUE"""),"88992343")</f>
        <v>88992343</v>
      </c>
      <c r="B1447" s="1" t="str">
        <f>IFERROR(__xludf.DUMMYFUNCTION("""COMPUTED_VALUE"""),"0002")</f>
        <v>0002</v>
      </c>
      <c r="C1447" s="32">
        <f>IFERROR(__xludf.DUMMYFUNCTION("""COMPUTED_VALUE"""),46114.60324074074)</f>
        <v>46114.60324</v>
      </c>
      <c r="D1447" s="1">
        <f>IFERROR(__xludf.DUMMYFUNCTION("""COMPUTED_VALUE"""),720.0)</f>
        <v>720</v>
      </c>
      <c r="E1447" s="1" t="str">
        <f>IFERROR(__xludf.DUMMYFUNCTION("""COMPUTED_VALUE"""),"03ab8e87")</f>
        <v>03ab8e87</v>
      </c>
      <c r="F1447" s="1"/>
    </row>
    <row r="1448">
      <c r="A1448" s="1" t="str">
        <f>IFERROR(__xludf.DUMMYFUNCTION("""COMPUTED_VALUE"""),"0c519568")</f>
        <v>0c519568</v>
      </c>
      <c r="B1448" s="1" t="str">
        <f>IFERROR(__xludf.DUMMYFUNCTION("""COMPUTED_VALUE"""),"bb6c2490")</f>
        <v>bb6c2490</v>
      </c>
      <c r="C1448" s="32">
        <f>IFERROR(__xludf.DUMMYFUNCTION("""COMPUTED_VALUE"""),46115.598761574074)</f>
        <v>46115.59876</v>
      </c>
      <c r="D1448" s="1">
        <f>IFERROR(__xludf.DUMMYFUNCTION("""COMPUTED_VALUE"""),-8.0)</f>
        <v>-8</v>
      </c>
      <c r="E1448" s="1"/>
      <c r="F1448" s="1"/>
    </row>
    <row r="1449">
      <c r="A1449" s="1" t="str">
        <f>IFERROR(__xludf.DUMMYFUNCTION("""COMPUTED_VALUE"""),"82c81558")</f>
        <v>82c81558</v>
      </c>
      <c r="B1449" s="1" t="str">
        <f>IFERROR(__xludf.DUMMYFUNCTION("""COMPUTED_VALUE"""),"c099f042")</f>
        <v>c099f042</v>
      </c>
      <c r="C1449" s="32">
        <f>IFERROR(__xludf.DUMMYFUNCTION("""COMPUTED_VALUE"""),46115.598807870374)</f>
        <v>46115.59881</v>
      </c>
      <c r="D1449" s="1">
        <f>IFERROR(__xludf.DUMMYFUNCTION("""COMPUTED_VALUE"""),-4.0)</f>
        <v>-4</v>
      </c>
      <c r="E1449" s="1"/>
      <c r="F1449" s="1"/>
    </row>
    <row r="1450">
      <c r="A1450" s="1" t="str">
        <f>IFERROR(__xludf.DUMMYFUNCTION("""COMPUTED_VALUE"""),"eccecb41")</f>
        <v>eccecb41</v>
      </c>
      <c r="B1450" s="1" t="str">
        <f>IFERROR(__xludf.DUMMYFUNCTION("""COMPUTED_VALUE"""),"0001")</f>
        <v>0001</v>
      </c>
      <c r="C1450" s="32">
        <f>IFERROR(__xludf.DUMMYFUNCTION("""COMPUTED_VALUE"""),46115.59892361111)</f>
        <v>46115.59892</v>
      </c>
      <c r="D1450" s="1">
        <f>IFERROR(__xludf.DUMMYFUNCTION("""COMPUTED_VALUE"""),-26.0)</f>
        <v>-26</v>
      </c>
      <c r="E1450" s="1"/>
      <c r="F1450" s="1"/>
    </row>
    <row r="1451">
      <c r="A1451" s="1" t="str">
        <f>IFERROR(__xludf.DUMMYFUNCTION("""COMPUTED_VALUE"""),"cdd65410")</f>
        <v>cdd65410</v>
      </c>
      <c r="B1451" s="1" t="str">
        <f>IFERROR(__xludf.DUMMYFUNCTION("""COMPUTED_VALUE"""),"12b96290")</f>
        <v>12b96290</v>
      </c>
      <c r="C1451" s="32">
        <f>IFERROR(__xludf.DUMMYFUNCTION("""COMPUTED_VALUE"""),46115.59912037037)</f>
        <v>46115.59912</v>
      </c>
      <c r="D1451" s="1">
        <f>IFERROR(__xludf.DUMMYFUNCTION("""COMPUTED_VALUE"""),-8.0)</f>
        <v>-8</v>
      </c>
      <c r="E1451" s="1"/>
      <c r="F1451" s="1"/>
    </row>
    <row r="1452">
      <c r="A1452" s="1" t="str">
        <f>IFERROR(__xludf.DUMMYFUNCTION("""COMPUTED_VALUE"""),"b7ca401a")</f>
        <v>b7ca401a</v>
      </c>
      <c r="B1452" s="1" t="str">
        <f>IFERROR(__xludf.DUMMYFUNCTION("""COMPUTED_VALUE"""),"0af806f8")</f>
        <v>0af806f8</v>
      </c>
      <c r="C1452" s="32">
        <f>IFERROR(__xludf.DUMMYFUNCTION("""COMPUTED_VALUE"""),46115.59920138889)</f>
        <v>46115.5992</v>
      </c>
      <c r="D1452" s="1">
        <f>IFERROR(__xludf.DUMMYFUNCTION("""COMPUTED_VALUE"""),-7.0)</f>
        <v>-7</v>
      </c>
      <c r="E1452" s="1"/>
      <c r="F1452" s="1"/>
    </row>
    <row r="1453">
      <c r="A1453" s="1" t="str">
        <f>IFERROR(__xludf.DUMMYFUNCTION("""COMPUTED_VALUE"""),"f6d266d7")</f>
        <v>f6d266d7</v>
      </c>
      <c r="B1453" s="1" t="str">
        <f>IFERROR(__xludf.DUMMYFUNCTION("""COMPUTED_VALUE"""),"0021")</f>
        <v>0021</v>
      </c>
      <c r="C1453" s="32">
        <f>IFERROR(__xludf.DUMMYFUNCTION("""COMPUTED_VALUE"""),46115.59936342593)</f>
        <v>46115.59936</v>
      </c>
      <c r="D1453" s="1">
        <f>IFERROR(__xludf.DUMMYFUNCTION("""COMPUTED_VALUE"""),-4.0)</f>
        <v>-4</v>
      </c>
      <c r="E1453" s="1"/>
      <c r="F1453" s="1"/>
    </row>
    <row r="1454">
      <c r="A1454" s="1" t="str">
        <f>IFERROR(__xludf.DUMMYFUNCTION("""COMPUTED_VALUE"""),"88fc39b4")</f>
        <v>88fc39b4</v>
      </c>
      <c r="B1454" s="1" t="str">
        <f>IFERROR(__xludf.DUMMYFUNCTION("""COMPUTED_VALUE"""),"0086")</f>
        <v>0086</v>
      </c>
      <c r="C1454" s="32">
        <f>IFERROR(__xludf.DUMMYFUNCTION("""COMPUTED_VALUE"""),46115.599444444444)</f>
        <v>46115.59944</v>
      </c>
      <c r="D1454" s="1">
        <f>IFERROR(__xludf.DUMMYFUNCTION("""COMPUTED_VALUE"""),-5.0)</f>
        <v>-5</v>
      </c>
      <c r="E1454" s="1"/>
      <c r="F1454" s="1"/>
    </row>
    <row r="1455">
      <c r="A1455" s="1" t="str">
        <f>IFERROR(__xludf.DUMMYFUNCTION("""COMPUTED_VALUE"""),"3e2a1105")</f>
        <v>3e2a1105</v>
      </c>
      <c r="B1455" s="1" t="str">
        <f>IFERROR(__xludf.DUMMYFUNCTION("""COMPUTED_VALUE"""),"0065")</f>
        <v>0065</v>
      </c>
      <c r="C1455" s="32">
        <f>IFERROR(__xludf.DUMMYFUNCTION("""COMPUTED_VALUE"""),46115.599652777775)</f>
        <v>46115.59965</v>
      </c>
      <c r="D1455" s="1">
        <f>IFERROR(__xludf.DUMMYFUNCTION("""COMPUTED_VALUE"""),-2.0)</f>
        <v>-2</v>
      </c>
      <c r="E1455" s="1"/>
      <c r="F1455" s="1"/>
    </row>
    <row r="1456">
      <c r="A1456" s="1" t="str">
        <f>IFERROR(__xludf.DUMMYFUNCTION("""COMPUTED_VALUE"""),"40133150")</f>
        <v>40133150</v>
      </c>
      <c r="B1456" s="1" t="str">
        <f>IFERROR(__xludf.DUMMYFUNCTION("""COMPUTED_VALUE"""),"cb9e809e")</f>
        <v>cb9e809e</v>
      </c>
      <c r="C1456" s="32">
        <f>IFERROR(__xludf.DUMMYFUNCTION("""COMPUTED_VALUE"""),46115.6)</f>
        <v>46115.6</v>
      </c>
      <c r="D1456" s="1">
        <f>IFERROR(__xludf.DUMMYFUNCTION("""COMPUTED_VALUE"""),-4.0)</f>
        <v>-4</v>
      </c>
      <c r="E1456" s="1"/>
      <c r="F1456" s="1"/>
    </row>
    <row r="1457">
      <c r="A1457" s="1" t="str">
        <f>IFERROR(__xludf.DUMMYFUNCTION("""COMPUTED_VALUE"""),"a913ba84")</f>
        <v>a913ba84</v>
      </c>
      <c r="B1457" s="1" t="str">
        <f>IFERROR(__xludf.DUMMYFUNCTION("""COMPUTED_VALUE"""),"cf6c9481")</f>
        <v>cf6c9481</v>
      </c>
      <c r="C1457" s="32">
        <f>IFERROR(__xludf.DUMMYFUNCTION("""COMPUTED_VALUE"""),46115.60010416667)</f>
        <v>46115.6001</v>
      </c>
      <c r="D1457" s="1">
        <f>IFERROR(__xludf.DUMMYFUNCTION("""COMPUTED_VALUE"""),-6.0)</f>
        <v>-6</v>
      </c>
      <c r="E1457" s="1"/>
      <c r="F1457" s="1"/>
    </row>
    <row r="1458">
      <c r="A1458" s="1" t="str">
        <f>IFERROR(__xludf.DUMMYFUNCTION("""COMPUTED_VALUE"""),"d33616f0")</f>
        <v>d33616f0</v>
      </c>
      <c r="B1458" s="1" t="str">
        <f>IFERROR(__xludf.DUMMYFUNCTION("""COMPUTED_VALUE"""),"0049")</f>
        <v>0049</v>
      </c>
      <c r="C1458" s="32">
        <f>IFERROR(__xludf.DUMMYFUNCTION("""COMPUTED_VALUE"""),46115.600324074076)</f>
        <v>46115.60032</v>
      </c>
      <c r="D1458" s="1">
        <f>IFERROR(__xludf.DUMMYFUNCTION("""COMPUTED_VALUE"""),-14.0)</f>
        <v>-14</v>
      </c>
      <c r="E1458" s="1"/>
      <c r="F1458" s="1"/>
    </row>
    <row r="1459">
      <c r="A1459" s="1" t="str">
        <f>IFERROR(__xludf.DUMMYFUNCTION("""COMPUTED_VALUE"""),"20eb2016")</f>
        <v>20eb2016</v>
      </c>
      <c r="B1459" s="1" t="str">
        <f>IFERROR(__xludf.DUMMYFUNCTION("""COMPUTED_VALUE"""),"0064")</f>
        <v>0064</v>
      </c>
      <c r="C1459" s="32">
        <f>IFERROR(__xludf.DUMMYFUNCTION("""COMPUTED_VALUE"""),46115.60076388889)</f>
        <v>46115.60076</v>
      </c>
      <c r="D1459" s="1">
        <f>IFERROR(__xludf.DUMMYFUNCTION("""COMPUTED_VALUE"""),-2.0)</f>
        <v>-2</v>
      </c>
      <c r="E1459" s="1"/>
      <c r="F1459" s="1"/>
    </row>
    <row r="1460">
      <c r="A1460" s="1" t="str">
        <f>IFERROR(__xludf.DUMMYFUNCTION("""COMPUTED_VALUE"""),"acff1961")</f>
        <v>acff1961</v>
      </c>
      <c r="B1460" s="1" t="str">
        <f>IFERROR(__xludf.DUMMYFUNCTION("""COMPUTED_VALUE"""),"0032")</f>
        <v>0032</v>
      </c>
      <c r="C1460" s="32">
        <f>IFERROR(__xludf.DUMMYFUNCTION("""COMPUTED_VALUE"""),46115.60083333333)</f>
        <v>46115.60083</v>
      </c>
      <c r="D1460" s="1">
        <f>IFERROR(__xludf.DUMMYFUNCTION("""COMPUTED_VALUE"""),-2.0)</f>
        <v>-2</v>
      </c>
      <c r="E1460" s="1"/>
      <c r="F1460" s="1"/>
    </row>
    <row r="1461">
      <c r="A1461" s="1" t="str">
        <f>IFERROR(__xludf.DUMMYFUNCTION("""COMPUTED_VALUE"""),"c5fd4f7e")</f>
        <v>c5fd4f7e</v>
      </c>
      <c r="B1461" s="1" t="str">
        <f>IFERROR(__xludf.DUMMYFUNCTION("""COMPUTED_VALUE"""),"0029")</f>
        <v>0029</v>
      </c>
      <c r="C1461" s="32">
        <f>IFERROR(__xludf.DUMMYFUNCTION("""COMPUTED_VALUE"""),46115.60119212963)</f>
        <v>46115.60119</v>
      </c>
      <c r="D1461" s="1">
        <f>IFERROR(__xludf.DUMMYFUNCTION("""COMPUTED_VALUE"""),-14.0)</f>
        <v>-14</v>
      </c>
      <c r="E1461" s="1"/>
      <c r="F1461" s="1"/>
    </row>
    <row r="1462">
      <c r="A1462" s="1" t="str">
        <f>IFERROR(__xludf.DUMMYFUNCTION("""COMPUTED_VALUE"""),"0c16a82d")</f>
        <v>0c16a82d</v>
      </c>
      <c r="B1462" s="1" t="str">
        <f>IFERROR(__xludf.DUMMYFUNCTION("""COMPUTED_VALUE"""),"a3f74383")</f>
        <v>a3f74383</v>
      </c>
      <c r="C1462" s="32">
        <f>IFERROR(__xludf.DUMMYFUNCTION("""COMPUTED_VALUE"""),46115.60162037037)</f>
        <v>46115.60162</v>
      </c>
      <c r="D1462" s="1">
        <f>IFERROR(__xludf.DUMMYFUNCTION("""COMPUTED_VALUE"""),-3.0)</f>
        <v>-3</v>
      </c>
      <c r="E1462" s="1"/>
      <c r="F1462" s="1"/>
    </row>
    <row r="1463">
      <c r="A1463" s="1" t="str">
        <f>IFERROR(__xludf.DUMMYFUNCTION("""COMPUTED_VALUE"""),"db26922c")</f>
        <v>db26922c</v>
      </c>
      <c r="B1463" s="1" t="str">
        <f>IFERROR(__xludf.DUMMYFUNCTION("""COMPUTED_VALUE"""),"57a5617b")</f>
        <v>57a5617b</v>
      </c>
      <c r="C1463" s="32">
        <f>IFERROR(__xludf.DUMMYFUNCTION("""COMPUTED_VALUE"""),46115.601793981485)</f>
        <v>46115.60179</v>
      </c>
      <c r="D1463" s="1">
        <f>IFERROR(__xludf.DUMMYFUNCTION("""COMPUTED_VALUE"""),-2.0)</f>
        <v>-2</v>
      </c>
      <c r="E1463" s="1"/>
      <c r="F1463" s="1"/>
    </row>
    <row r="1464">
      <c r="A1464" s="1" t="str">
        <f>IFERROR(__xludf.DUMMYFUNCTION("""COMPUTED_VALUE"""),"5b2f3afe")</f>
        <v>5b2f3afe</v>
      </c>
      <c r="B1464" s="1" t="str">
        <f>IFERROR(__xludf.DUMMYFUNCTION("""COMPUTED_VALUE"""),"0054")</f>
        <v>0054</v>
      </c>
      <c r="C1464" s="32">
        <f>IFERROR(__xludf.DUMMYFUNCTION("""COMPUTED_VALUE"""),46115.602060185185)</f>
        <v>46115.60206</v>
      </c>
      <c r="D1464" s="1">
        <f>IFERROR(__xludf.DUMMYFUNCTION("""COMPUTED_VALUE"""),-7.0)</f>
        <v>-7</v>
      </c>
      <c r="E1464" s="1"/>
      <c r="F1464" s="1"/>
    </row>
    <row r="1465">
      <c r="A1465" s="1" t="str">
        <f>IFERROR(__xludf.DUMMYFUNCTION("""COMPUTED_VALUE"""),"396ac9d4")</f>
        <v>396ac9d4</v>
      </c>
      <c r="B1465" s="1" t="str">
        <f>IFERROR(__xludf.DUMMYFUNCTION("""COMPUTED_VALUE"""),"649eaeb5")</f>
        <v>649eaeb5</v>
      </c>
      <c r="C1465" s="32">
        <f>IFERROR(__xludf.DUMMYFUNCTION("""COMPUTED_VALUE"""),46115.60277777778)</f>
        <v>46115.60278</v>
      </c>
      <c r="D1465" s="1">
        <f>IFERROR(__xludf.DUMMYFUNCTION("""COMPUTED_VALUE"""),-4.0)</f>
        <v>-4</v>
      </c>
      <c r="E1465" s="1"/>
      <c r="F1465" s="1"/>
    </row>
    <row r="1466">
      <c r="A1466" s="1" t="str">
        <f>IFERROR(__xludf.DUMMYFUNCTION("""COMPUTED_VALUE"""),"455640b7")</f>
        <v>455640b7</v>
      </c>
      <c r="B1466" s="1" t="str">
        <f>IFERROR(__xludf.DUMMYFUNCTION("""COMPUTED_VALUE"""),"0011")</f>
        <v>0011</v>
      </c>
      <c r="C1466" s="32">
        <f>IFERROR(__xludf.DUMMYFUNCTION("""COMPUTED_VALUE"""),46115.603125)</f>
        <v>46115.60313</v>
      </c>
      <c r="D1466" s="1">
        <f>IFERROR(__xludf.DUMMYFUNCTION("""COMPUTED_VALUE"""),-12.0)</f>
        <v>-12</v>
      </c>
      <c r="E1466" s="1"/>
      <c r="F1466" s="1"/>
    </row>
    <row r="1467">
      <c r="A1467" s="1" t="str">
        <f>IFERROR(__xludf.DUMMYFUNCTION("""COMPUTED_VALUE"""),"0a20011b")</f>
        <v>0a20011b</v>
      </c>
      <c r="B1467" s="1" t="str">
        <f>IFERROR(__xludf.DUMMYFUNCTION("""COMPUTED_VALUE"""),"0002")</f>
        <v>0002</v>
      </c>
      <c r="C1467" s="32">
        <f>IFERROR(__xludf.DUMMYFUNCTION("""COMPUTED_VALUE"""),46115.60324074074)</f>
        <v>46115.60324</v>
      </c>
      <c r="D1467" s="1">
        <f>IFERROR(__xludf.DUMMYFUNCTION("""COMPUTED_VALUE"""),-60.0)</f>
        <v>-60</v>
      </c>
      <c r="E1467" s="1"/>
      <c r="F1467" s="1"/>
    </row>
    <row r="1468">
      <c r="A1468" s="1" t="str">
        <f>IFERROR(__xludf.DUMMYFUNCTION("""COMPUTED_VALUE"""),"03fb5550")</f>
        <v>03fb5550</v>
      </c>
      <c r="B1468" s="1" t="str">
        <f>IFERROR(__xludf.DUMMYFUNCTION("""COMPUTED_VALUE"""),"0011")</f>
        <v>0011</v>
      </c>
      <c r="C1468" s="32">
        <f>IFERROR(__xludf.DUMMYFUNCTION("""COMPUTED_VALUE"""),46115.60359953704)</f>
        <v>46115.6036</v>
      </c>
      <c r="D1468" s="1">
        <f>IFERROR(__xludf.DUMMYFUNCTION("""COMPUTED_VALUE"""),-12.0)</f>
        <v>-12</v>
      </c>
      <c r="E1468" s="1"/>
      <c r="F1468" s="1"/>
    </row>
    <row r="1469">
      <c r="A1469" s="1" t="str">
        <f>IFERROR(__xludf.DUMMYFUNCTION("""COMPUTED_VALUE"""),"a66f953a")</f>
        <v>a66f953a</v>
      </c>
      <c r="B1469" s="1" t="str">
        <f>IFERROR(__xludf.DUMMYFUNCTION("""COMPUTED_VALUE"""),"0002")</f>
        <v>0002</v>
      </c>
      <c r="C1469" s="32">
        <f>IFERROR(__xludf.DUMMYFUNCTION("""COMPUTED_VALUE"""),46115.60508101852)</f>
        <v>46115.60508</v>
      </c>
      <c r="D1469" s="1">
        <f>IFERROR(__xludf.DUMMYFUNCTION("""COMPUTED_VALUE"""),-60.0)</f>
        <v>-60</v>
      </c>
      <c r="E1469" s="1"/>
      <c r="F1469" s="1"/>
    </row>
    <row r="1470">
      <c r="A1470" s="1" t="str">
        <f>IFERROR(__xludf.DUMMYFUNCTION("""COMPUTED_VALUE"""),"ee16710b")</f>
        <v>ee16710b</v>
      </c>
      <c r="B1470" s="1" t="str">
        <f>IFERROR(__xludf.DUMMYFUNCTION("""COMPUTED_VALUE"""),"0018")</f>
        <v>0018</v>
      </c>
      <c r="C1470" s="32">
        <f>IFERROR(__xludf.DUMMYFUNCTION("""COMPUTED_VALUE"""),46115.605162037034)</f>
        <v>46115.60516</v>
      </c>
      <c r="D1470" s="1">
        <f>IFERROR(__xludf.DUMMYFUNCTION("""COMPUTED_VALUE"""),-7.0)</f>
        <v>-7</v>
      </c>
      <c r="E1470" s="1"/>
      <c r="F1470" s="1"/>
    </row>
    <row r="1471">
      <c r="A1471" s="1" t="str">
        <f>IFERROR(__xludf.DUMMYFUNCTION("""COMPUTED_VALUE"""),"882133a6")</f>
        <v>882133a6</v>
      </c>
      <c r="B1471" s="1" t="str">
        <f>IFERROR(__xludf.DUMMYFUNCTION("""COMPUTED_VALUE"""),"0002")</f>
        <v>0002</v>
      </c>
      <c r="C1471" s="32">
        <f>IFERROR(__xludf.DUMMYFUNCTION("""COMPUTED_VALUE"""),46115.607835648145)</f>
        <v>46115.60784</v>
      </c>
      <c r="D1471" s="1">
        <f>IFERROR(__xludf.DUMMYFUNCTION("""COMPUTED_VALUE"""),24.0)</f>
        <v>24</v>
      </c>
      <c r="E1471" s="1"/>
      <c r="F1471" s="1"/>
    </row>
    <row r="1472">
      <c r="A1472" s="1" t="str">
        <f>IFERROR(__xludf.DUMMYFUNCTION("""COMPUTED_VALUE"""),"7cbcc37f")</f>
        <v>7cbcc37f</v>
      </c>
      <c r="B1472" s="1" t="str">
        <f>IFERROR(__xludf.DUMMYFUNCTION("""COMPUTED_VALUE"""),"bb6c2490")</f>
        <v>bb6c2490</v>
      </c>
      <c r="C1472" s="32">
        <f>IFERROR(__xludf.DUMMYFUNCTION("""COMPUTED_VALUE"""),46116.518854166665)</f>
        <v>46116.51885</v>
      </c>
      <c r="D1472" s="1">
        <f>IFERROR(__xludf.DUMMYFUNCTION("""COMPUTED_VALUE"""),-15.0)</f>
        <v>-15</v>
      </c>
      <c r="E1472" s="1"/>
      <c r="F1472" s="1"/>
    </row>
    <row r="1473">
      <c r="A1473" s="1" t="str">
        <f>IFERROR(__xludf.DUMMYFUNCTION("""COMPUTED_VALUE"""),"07eaa702")</f>
        <v>07eaa702</v>
      </c>
      <c r="B1473" s="1" t="str">
        <f>IFERROR(__xludf.DUMMYFUNCTION("""COMPUTED_VALUE"""),"c099f042")</f>
        <v>c099f042</v>
      </c>
      <c r="C1473" s="32">
        <f>IFERROR(__xludf.DUMMYFUNCTION("""COMPUTED_VALUE"""),46116.518912037034)</f>
        <v>46116.51891</v>
      </c>
      <c r="D1473" s="1">
        <f>IFERROR(__xludf.DUMMYFUNCTION("""COMPUTED_VALUE"""),-12.0)</f>
        <v>-12</v>
      </c>
      <c r="E1473" s="1"/>
      <c r="F1473" s="1"/>
    </row>
    <row r="1474">
      <c r="A1474" s="1" t="str">
        <f>IFERROR(__xludf.DUMMYFUNCTION("""COMPUTED_VALUE"""),"08ecce69")</f>
        <v>08ecce69</v>
      </c>
      <c r="B1474" s="1" t="str">
        <f>IFERROR(__xludf.DUMMYFUNCTION("""COMPUTED_VALUE"""),"0001")</f>
        <v>0001</v>
      </c>
      <c r="C1474" s="32">
        <f>IFERROR(__xludf.DUMMYFUNCTION("""COMPUTED_VALUE"""),46116.51903935185)</f>
        <v>46116.51904</v>
      </c>
      <c r="D1474" s="1">
        <f>IFERROR(__xludf.DUMMYFUNCTION("""COMPUTED_VALUE"""),-35.0)</f>
        <v>-35</v>
      </c>
      <c r="E1474" s="1"/>
      <c r="F1474" s="1"/>
    </row>
    <row r="1475">
      <c r="A1475" s="1" t="str">
        <f>IFERROR(__xludf.DUMMYFUNCTION("""COMPUTED_VALUE"""),"8ac3a062")</f>
        <v>8ac3a062</v>
      </c>
      <c r="B1475" s="1" t="str">
        <f>IFERROR(__xludf.DUMMYFUNCTION("""COMPUTED_VALUE"""),"0019")</f>
        <v>0019</v>
      </c>
      <c r="C1475" s="32">
        <f>IFERROR(__xludf.DUMMYFUNCTION("""COMPUTED_VALUE"""),46116.51936342593)</f>
        <v>46116.51936</v>
      </c>
      <c r="D1475" s="1">
        <f>IFERROR(__xludf.DUMMYFUNCTION("""COMPUTED_VALUE"""),-7.0)</f>
        <v>-7</v>
      </c>
      <c r="E1475" s="1"/>
      <c r="F1475" s="1"/>
    </row>
    <row r="1476">
      <c r="A1476" s="1" t="str">
        <f>IFERROR(__xludf.DUMMYFUNCTION("""COMPUTED_VALUE"""),"097df497")</f>
        <v>097df497</v>
      </c>
      <c r="B1476" s="1" t="str">
        <f>IFERROR(__xludf.DUMMYFUNCTION("""COMPUTED_VALUE"""),"bb4d1bd1")</f>
        <v>bb4d1bd1</v>
      </c>
      <c r="C1476" s="32">
        <f>IFERROR(__xludf.DUMMYFUNCTION("""COMPUTED_VALUE"""),46116.52024305556)</f>
        <v>46116.52024</v>
      </c>
      <c r="D1476" s="1">
        <f>IFERROR(__xludf.DUMMYFUNCTION("""COMPUTED_VALUE"""),-24.0)</f>
        <v>-24</v>
      </c>
      <c r="E1476" s="1"/>
      <c r="F1476" s="1"/>
    </row>
    <row r="1477">
      <c r="A1477" s="1" t="str">
        <f>IFERROR(__xludf.DUMMYFUNCTION("""COMPUTED_VALUE"""),"c1738a89")</f>
        <v>c1738a89</v>
      </c>
      <c r="B1477" s="1" t="str">
        <f>IFERROR(__xludf.DUMMYFUNCTION("""COMPUTED_VALUE"""),"a19879cf")</f>
        <v>a19879cf</v>
      </c>
      <c r="C1477" s="32">
        <f>IFERROR(__xludf.DUMMYFUNCTION("""COMPUTED_VALUE"""),46116.52034722222)</f>
        <v>46116.52035</v>
      </c>
      <c r="D1477" s="1">
        <f>IFERROR(__xludf.DUMMYFUNCTION("""COMPUTED_VALUE"""),-10.0)</f>
        <v>-10</v>
      </c>
      <c r="E1477" s="1"/>
      <c r="F1477" s="1"/>
    </row>
    <row r="1478">
      <c r="A1478" s="1" t="str">
        <f>IFERROR(__xludf.DUMMYFUNCTION("""COMPUTED_VALUE"""),"699bf9d6")</f>
        <v>699bf9d6</v>
      </c>
      <c r="B1478" s="1" t="str">
        <f>IFERROR(__xludf.DUMMYFUNCTION("""COMPUTED_VALUE"""),"0086")</f>
        <v>0086</v>
      </c>
      <c r="C1478" s="32">
        <f>IFERROR(__xludf.DUMMYFUNCTION("""COMPUTED_VALUE"""),46116.520625)</f>
        <v>46116.52063</v>
      </c>
      <c r="D1478" s="1">
        <f>IFERROR(__xludf.DUMMYFUNCTION("""COMPUTED_VALUE"""),-25.0)</f>
        <v>-25</v>
      </c>
      <c r="E1478" s="1"/>
      <c r="F1478" s="1"/>
    </row>
    <row r="1479">
      <c r="A1479" s="1" t="str">
        <f>IFERROR(__xludf.DUMMYFUNCTION("""COMPUTED_VALUE"""),"5cecb0b0")</f>
        <v>5cecb0b0</v>
      </c>
      <c r="B1479" s="1" t="str">
        <f>IFERROR(__xludf.DUMMYFUNCTION("""COMPUTED_VALUE"""),"0021")</f>
        <v>0021</v>
      </c>
      <c r="C1479" s="32">
        <f>IFERROR(__xludf.DUMMYFUNCTION("""COMPUTED_VALUE"""),46116.52092592593)</f>
        <v>46116.52093</v>
      </c>
      <c r="D1479" s="1">
        <f>IFERROR(__xludf.DUMMYFUNCTION("""COMPUTED_VALUE"""),-7.0)</f>
        <v>-7</v>
      </c>
      <c r="E1479" s="1"/>
      <c r="F1479" s="1"/>
    </row>
    <row r="1480">
      <c r="A1480" s="1" t="str">
        <f>IFERROR(__xludf.DUMMYFUNCTION("""COMPUTED_VALUE"""),"8e9f204a")</f>
        <v>8e9f204a</v>
      </c>
      <c r="B1480" s="1" t="str">
        <f>IFERROR(__xludf.DUMMYFUNCTION("""COMPUTED_VALUE"""),"83dd14b5")</f>
        <v>83dd14b5</v>
      </c>
      <c r="C1480" s="32">
        <f>IFERROR(__xludf.DUMMYFUNCTION("""COMPUTED_VALUE"""),46116.521157407406)</f>
        <v>46116.52116</v>
      </c>
      <c r="D1480" s="1">
        <f>IFERROR(__xludf.DUMMYFUNCTION("""COMPUTED_VALUE"""),-24.0)</f>
        <v>-24</v>
      </c>
      <c r="E1480" s="1"/>
      <c r="F1480" s="1"/>
    </row>
    <row r="1481">
      <c r="A1481" s="1" t="str">
        <f>IFERROR(__xludf.DUMMYFUNCTION("""COMPUTED_VALUE"""),"6358fe7e")</f>
        <v>6358fe7e</v>
      </c>
      <c r="B1481" s="1" t="str">
        <f>IFERROR(__xludf.DUMMYFUNCTION("""COMPUTED_VALUE"""),"0049")</f>
        <v>0049</v>
      </c>
      <c r="C1481" s="32">
        <f>IFERROR(__xludf.DUMMYFUNCTION("""COMPUTED_VALUE"""),46116.52135416667)</f>
        <v>46116.52135</v>
      </c>
      <c r="D1481" s="1">
        <f>IFERROR(__xludf.DUMMYFUNCTION("""COMPUTED_VALUE"""),-8.0)</f>
        <v>-8</v>
      </c>
      <c r="E1481" s="1"/>
      <c r="F1481" s="1"/>
    </row>
    <row r="1482">
      <c r="A1482" s="1" t="str">
        <f>IFERROR(__xludf.DUMMYFUNCTION("""COMPUTED_VALUE"""),"43364a5c")</f>
        <v>43364a5c</v>
      </c>
      <c r="B1482" s="1" t="str">
        <f>IFERROR(__xludf.DUMMYFUNCTION("""COMPUTED_VALUE"""),"cb9e809e")</f>
        <v>cb9e809e</v>
      </c>
      <c r="C1482" s="32">
        <f>IFERROR(__xludf.DUMMYFUNCTION("""COMPUTED_VALUE"""),46116.521631944444)</f>
        <v>46116.52163</v>
      </c>
      <c r="D1482" s="1">
        <f>IFERROR(__xludf.DUMMYFUNCTION("""COMPUTED_VALUE"""),-8.0)</f>
        <v>-8</v>
      </c>
      <c r="E1482" s="1"/>
      <c r="F1482" s="1"/>
    </row>
    <row r="1483">
      <c r="A1483" s="1" t="str">
        <f>IFERROR(__xludf.DUMMYFUNCTION("""COMPUTED_VALUE"""),"2c1ee38f")</f>
        <v>2c1ee38f</v>
      </c>
      <c r="B1483" s="1" t="str">
        <f>IFERROR(__xludf.DUMMYFUNCTION("""COMPUTED_VALUE"""),"cf6c9481")</f>
        <v>cf6c9481</v>
      </c>
      <c r="C1483" s="32">
        <f>IFERROR(__xludf.DUMMYFUNCTION("""COMPUTED_VALUE"""),46116.522210648145)</f>
        <v>46116.52221</v>
      </c>
      <c r="D1483" s="1">
        <f>IFERROR(__xludf.DUMMYFUNCTION("""COMPUTED_VALUE"""),-5.0)</f>
        <v>-5</v>
      </c>
      <c r="E1483" s="1"/>
      <c r="F1483" s="1"/>
    </row>
    <row r="1484">
      <c r="A1484" s="1" t="str">
        <f>IFERROR(__xludf.DUMMYFUNCTION("""COMPUTED_VALUE"""),"08f7da4c")</f>
        <v>08f7da4c</v>
      </c>
      <c r="B1484" s="1" t="str">
        <f>IFERROR(__xludf.DUMMYFUNCTION("""COMPUTED_VALUE"""),"cb9e809e")</f>
        <v>cb9e809e</v>
      </c>
      <c r="C1484" s="32">
        <f>IFERROR(__xludf.DUMMYFUNCTION("""COMPUTED_VALUE"""),46116.52260416667)</f>
        <v>46116.5226</v>
      </c>
      <c r="D1484" s="1">
        <f>IFERROR(__xludf.DUMMYFUNCTION("""COMPUTED_VALUE"""),-8.0)</f>
        <v>-8</v>
      </c>
      <c r="E1484" s="1"/>
      <c r="F1484" s="1"/>
    </row>
    <row r="1485">
      <c r="A1485" s="1" t="str">
        <f>IFERROR(__xludf.DUMMYFUNCTION("""COMPUTED_VALUE"""),"53d14847")</f>
        <v>53d14847</v>
      </c>
      <c r="B1485" s="1" t="str">
        <f>IFERROR(__xludf.DUMMYFUNCTION("""COMPUTED_VALUE"""),"0032")</f>
        <v>0032</v>
      </c>
      <c r="C1485" s="32">
        <f>IFERROR(__xludf.DUMMYFUNCTION("""COMPUTED_VALUE"""),46116.52337962963)</f>
        <v>46116.52338</v>
      </c>
      <c r="D1485" s="1">
        <f>IFERROR(__xludf.DUMMYFUNCTION("""COMPUTED_VALUE"""),-3.0)</f>
        <v>-3</v>
      </c>
      <c r="E1485" s="1"/>
      <c r="F1485" s="1"/>
    </row>
    <row r="1486">
      <c r="A1486" s="1" t="str">
        <f>IFERROR(__xludf.DUMMYFUNCTION("""COMPUTED_VALUE"""),"09b3a8f3")</f>
        <v>09b3a8f3</v>
      </c>
      <c r="B1486" s="1" t="str">
        <f>IFERROR(__xludf.DUMMYFUNCTION("""COMPUTED_VALUE"""),"0002")</f>
        <v>0002</v>
      </c>
      <c r="C1486" s="32">
        <f>IFERROR(__xludf.DUMMYFUNCTION("""COMPUTED_VALUE"""),46116.52365740741)</f>
        <v>46116.52366</v>
      </c>
      <c r="D1486" s="1">
        <f>IFERROR(__xludf.DUMMYFUNCTION("""COMPUTED_VALUE"""),-60.0)</f>
        <v>-60</v>
      </c>
      <c r="E1486" s="1"/>
      <c r="F1486" s="1"/>
    </row>
    <row r="1487">
      <c r="A1487" s="1" t="str">
        <f>IFERROR(__xludf.DUMMYFUNCTION("""COMPUTED_VALUE"""),"a58354c3")</f>
        <v>a58354c3</v>
      </c>
      <c r="B1487" s="1" t="str">
        <f>IFERROR(__xludf.DUMMYFUNCTION("""COMPUTED_VALUE"""),"0011")</f>
        <v>0011</v>
      </c>
      <c r="C1487" s="32">
        <f>IFERROR(__xludf.DUMMYFUNCTION("""COMPUTED_VALUE"""),46116.523993055554)</f>
        <v>46116.52399</v>
      </c>
      <c r="D1487" s="1">
        <f>IFERROR(__xludf.DUMMYFUNCTION("""COMPUTED_VALUE"""),-1.0)</f>
        <v>-1</v>
      </c>
      <c r="E1487" s="1"/>
      <c r="F1487" s="1"/>
    </row>
    <row r="1488">
      <c r="A1488" s="1" t="str">
        <f>IFERROR(__xludf.DUMMYFUNCTION("""COMPUTED_VALUE"""),"c00d64fc")</f>
        <v>c00d64fc</v>
      </c>
      <c r="B1488" s="1" t="str">
        <f>IFERROR(__xludf.DUMMYFUNCTION("""COMPUTED_VALUE"""),"a3f74383")</f>
        <v>a3f74383</v>
      </c>
      <c r="C1488" s="32">
        <f>IFERROR(__xludf.DUMMYFUNCTION("""COMPUTED_VALUE"""),46116.52425925926)</f>
        <v>46116.52426</v>
      </c>
      <c r="D1488" s="1">
        <f>IFERROR(__xludf.DUMMYFUNCTION("""COMPUTED_VALUE"""),-3.0)</f>
        <v>-3</v>
      </c>
      <c r="E1488" s="1"/>
      <c r="F1488" s="1"/>
    </row>
    <row r="1489">
      <c r="A1489" s="1" t="str">
        <f>IFERROR(__xludf.DUMMYFUNCTION("""COMPUTED_VALUE"""),"274519a9")</f>
        <v>274519a9</v>
      </c>
      <c r="B1489" s="1" t="str">
        <f>IFERROR(__xludf.DUMMYFUNCTION("""COMPUTED_VALUE"""),"0054")</f>
        <v>0054</v>
      </c>
      <c r="C1489" s="32">
        <f>IFERROR(__xludf.DUMMYFUNCTION("""COMPUTED_VALUE"""),46116.524826388886)</f>
        <v>46116.52483</v>
      </c>
      <c r="D1489" s="1">
        <f>IFERROR(__xludf.DUMMYFUNCTION("""COMPUTED_VALUE"""),-2.0)</f>
        <v>-2</v>
      </c>
      <c r="E1489" s="1"/>
      <c r="F1489" s="1"/>
    </row>
    <row r="1490">
      <c r="A1490" s="1" t="str">
        <f>IFERROR(__xludf.DUMMYFUNCTION("""COMPUTED_VALUE"""),"3fe0e3d9")</f>
        <v>3fe0e3d9</v>
      </c>
      <c r="B1490" s="1" t="str">
        <f>IFERROR(__xludf.DUMMYFUNCTION("""COMPUTED_VALUE"""),"0029")</f>
        <v>0029</v>
      </c>
      <c r="C1490" s="32">
        <f>IFERROR(__xludf.DUMMYFUNCTION("""COMPUTED_VALUE"""),46116.52510416666)</f>
        <v>46116.5251</v>
      </c>
      <c r="D1490" s="1">
        <f>IFERROR(__xludf.DUMMYFUNCTION("""COMPUTED_VALUE"""),-7.0)</f>
        <v>-7</v>
      </c>
      <c r="E1490" s="1"/>
      <c r="F1490" s="1"/>
    </row>
    <row r="1491">
      <c r="A1491" s="1" t="str">
        <f>IFERROR(__xludf.DUMMYFUNCTION("""COMPUTED_VALUE"""),"59c9a1d3")</f>
        <v>59c9a1d3</v>
      </c>
      <c r="B1491" s="1" t="str">
        <f>IFERROR(__xludf.DUMMYFUNCTION("""COMPUTED_VALUE"""),"649eaeb5")</f>
        <v>649eaeb5</v>
      </c>
      <c r="C1491" s="32">
        <f>IFERROR(__xludf.DUMMYFUNCTION("""COMPUTED_VALUE"""),46116.5258912037)</f>
        <v>46116.52589</v>
      </c>
      <c r="D1491" s="1">
        <f>IFERROR(__xludf.DUMMYFUNCTION("""COMPUTED_VALUE"""),-6.0)</f>
        <v>-6</v>
      </c>
      <c r="E1491" s="1"/>
      <c r="F1491" s="1"/>
    </row>
    <row r="1492">
      <c r="A1492" s="1" t="str">
        <f>IFERROR(__xludf.DUMMYFUNCTION("""COMPUTED_VALUE"""),"33aaf9b5")</f>
        <v>33aaf9b5</v>
      </c>
      <c r="B1492" s="1" t="str">
        <f>IFERROR(__xludf.DUMMYFUNCTION("""COMPUTED_VALUE"""),"bb6c2490")</f>
        <v>bb6c2490</v>
      </c>
      <c r="C1492" s="32">
        <f>IFERROR(__xludf.DUMMYFUNCTION("""COMPUTED_VALUE"""),46116.52993055555)</f>
        <v>46116.52993</v>
      </c>
      <c r="D1492" s="1">
        <f>IFERROR(__xludf.DUMMYFUNCTION("""COMPUTED_VALUE"""),-14.0)</f>
        <v>-14</v>
      </c>
      <c r="E1492" s="1"/>
      <c r="F1492" s="1"/>
    </row>
    <row r="1493">
      <c r="A1493" s="1" t="str">
        <f>IFERROR(__xludf.DUMMYFUNCTION("""COMPUTED_VALUE"""),"a472c517")</f>
        <v>a472c517</v>
      </c>
      <c r="B1493" s="1" t="str">
        <f>IFERROR(__xludf.DUMMYFUNCTION("""COMPUTED_VALUE"""),"c099f042")</f>
        <v>c099f042</v>
      </c>
      <c r="C1493" s="32">
        <f>IFERROR(__xludf.DUMMYFUNCTION("""COMPUTED_VALUE"""),46116.52998842593)</f>
        <v>46116.52999</v>
      </c>
      <c r="D1493" s="1">
        <f>IFERROR(__xludf.DUMMYFUNCTION("""COMPUTED_VALUE"""),-13.0)</f>
        <v>-13</v>
      </c>
      <c r="E1493" s="1"/>
      <c r="F1493" s="1"/>
    </row>
    <row r="1494">
      <c r="A1494" s="1" t="str">
        <f>IFERROR(__xludf.DUMMYFUNCTION("""COMPUTED_VALUE"""),"ea1e1dfb")</f>
        <v>ea1e1dfb</v>
      </c>
      <c r="B1494" s="1" t="str">
        <f>IFERROR(__xludf.DUMMYFUNCTION("""COMPUTED_VALUE"""),"0001")</f>
        <v>0001</v>
      </c>
      <c r="C1494" s="32">
        <f>IFERROR(__xludf.DUMMYFUNCTION("""COMPUTED_VALUE"""),46116.53019675926)</f>
        <v>46116.5302</v>
      </c>
      <c r="D1494" s="1">
        <f>IFERROR(__xludf.DUMMYFUNCTION("""COMPUTED_VALUE"""),-13.0)</f>
        <v>-13</v>
      </c>
      <c r="E1494" s="1"/>
      <c r="F1494" s="1"/>
    </row>
    <row r="1495">
      <c r="A1495" s="1" t="str">
        <f>IFERROR(__xludf.DUMMYFUNCTION("""COMPUTED_VALUE"""),"016233ea")</f>
        <v>016233ea</v>
      </c>
      <c r="B1495" s="1" t="str">
        <f>IFERROR(__xludf.DUMMYFUNCTION("""COMPUTED_VALUE"""),"0033")</f>
        <v>0033</v>
      </c>
      <c r="C1495" s="32">
        <f>IFERROR(__xludf.DUMMYFUNCTION("""COMPUTED_VALUE"""),46116.56148148148)</f>
        <v>46116.56148</v>
      </c>
      <c r="D1495" s="1">
        <f>IFERROR(__xludf.DUMMYFUNCTION("""COMPUTED_VALUE"""),-3.0)</f>
        <v>-3</v>
      </c>
      <c r="E1495" s="1"/>
      <c r="F1495" s="1"/>
    </row>
    <row r="1496">
      <c r="A1496" s="1" t="str">
        <f>IFERROR(__xludf.DUMMYFUNCTION("""COMPUTED_VALUE"""),"1ac14775")</f>
        <v>1ac14775</v>
      </c>
      <c r="B1496" s="1" t="str">
        <f>IFERROR(__xludf.DUMMYFUNCTION("""COMPUTED_VALUE"""),"0019")</f>
        <v>0019</v>
      </c>
      <c r="C1496" s="32">
        <f>IFERROR(__xludf.DUMMYFUNCTION("""COMPUTED_VALUE"""),46116.56159722222)</f>
        <v>46116.5616</v>
      </c>
      <c r="D1496" s="1">
        <f>IFERROR(__xludf.DUMMYFUNCTION("""COMPUTED_VALUE"""),-4.0)</f>
        <v>-4</v>
      </c>
      <c r="E1496" s="1"/>
      <c r="F1496" s="1"/>
    </row>
    <row r="1497">
      <c r="A1497" s="1" t="str">
        <f>IFERROR(__xludf.DUMMYFUNCTION("""COMPUTED_VALUE"""),"1b8f71ef")</f>
        <v>1b8f71ef</v>
      </c>
      <c r="B1497" s="1" t="str">
        <f>IFERROR(__xludf.DUMMYFUNCTION("""COMPUTED_VALUE"""),"0014")</f>
        <v>0014</v>
      </c>
      <c r="C1497" s="32">
        <f>IFERROR(__xludf.DUMMYFUNCTION("""COMPUTED_VALUE"""),46116.56190972222)</f>
        <v>46116.56191</v>
      </c>
      <c r="D1497" s="1">
        <f>IFERROR(__xludf.DUMMYFUNCTION("""COMPUTED_VALUE"""),-10.0)</f>
        <v>-10</v>
      </c>
      <c r="E1497" s="1"/>
      <c r="F1497" s="1"/>
    </row>
    <row r="1498">
      <c r="A1498" s="1" t="str">
        <f>IFERROR(__xludf.DUMMYFUNCTION("""COMPUTED_VALUE"""),"57499b51")</f>
        <v>57499b51</v>
      </c>
      <c r="B1498" s="1" t="str">
        <f>IFERROR(__xludf.DUMMYFUNCTION("""COMPUTED_VALUE"""),"0038")</f>
        <v>0038</v>
      </c>
      <c r="C1498" s="32">
        <f>IFERROR(__xludf.DUMMYFUNCTION("""COMPUTED_VALUE"""),46116.562476851854)</f>
        <v>46116.56248</v>
      </c>
      <c r="D1498" s="1">
        <f>IFERROR(__xludf.DUMMYFUNCTION("""COMPUTED_VALUE"""),-4.0)</f>
        <v>-4</v>
      </c>
      <c r="E1498" s="1"/>
      <c r="F1498" s="1"/>
    </row>
    <row r="1499">
      <c r="A1499" s="1" t="str">
        <f>IFERROR(__xludf.DUMMYFUNCTION("""COMPUTED_VALUE"""),"569e140a")</f>
        <v>569e140a</v>
      </c>
      <c r="B1499" s="1" t="str">
        <f>IFERROR(__xludf.DUMMYFUNCTION("""COMPUTED_VALUE"""),"0021")</f>
        <v>0021</v>
      </c>
      <c r="C1499" s="32">
        <f>IFERROR(__xludf.DUMMYFUNCTION("""COMPUTED_VALUE"""),46116.5630787037)</f>
        <v>46116.56308</v>
      </c>
      <c r="D1499" s="1">
        <f>IFERROR(__xludf.DUMMYFUNCTION("""COMPUTED_VALUE"""),-18.0)</f>
        <v>-18</v>
      </c>
      <c r="E1499" s="1"/>
      <c r="F1499" s="1"/>
    </row>
    <row r="1500">
      <c r="A1500" s="1" t="str">
        <f>IFERROR(__xludf.DUMMYFUNCTION("""COMPUTED_VALUE"""),"0e1e1725")</f>
        <v>0e1e1725</v>
      </c>
      <c r="B1500" s="1" t="str">
        <f>IFERROR(__xludf.DUMMYFUNCTION("""COMPUTED_VALUE"""),"bb4d1bd1")</f>
        <v>bb4d1bd1</v>
      </c>
      <c r="C1500" s="32">
        <f>IFERROR(__xludf.DUMMYFUNCTION("""COMPUTED_VALUE"""),46116.56431712963)</f>
        <v>46116.56432</v>
      </c>
      <c r="D1500" s="1">
        <f>IFERROR(__xludf.DUMMYFUNCTION("""COMPUTED_VALUE"""),-24.0)</f>
        <v>-24</v>
      </c>
      <c r="E1500" s="1"/>
      <c r="F1500" s="1"/>
    </row>
    <row r="1501">
      <c r="A1501" s="1" t="str">
        <f>IFERROR(__xludf.DUMMYFUNCTION("""COMPUTED_VALUE"""),"afbb1d29")</f>
        <v>afbb1d29</v>
      </c>
      <c r="B1501" s="1" t="str">
        <f>IFERROR(__xludf.DUMMYFUNCTION("""COMPUTED_VALUE"""),"a19879cf")</f>
        <v>a19879cf</v>
      </c>
      <c r="C1501" s="32">
        <f>IFERROR(__xludf.DUMMYFUNCTION("""COMPUTED_VALUE"""),46116.564421296294)</f>
        <v>46116.56442</v>
      </c>
      <c r="D1501" s="1">
        <f>IFERROR(__xludf.DUMMYFUNCTION("""COMPUTED_VALUE"""),-24.0)</f>
        <v>-24</v>
      </c>
      <c r="E1501" s="1"/>
      <c r="F1501" s="1"/>
    </row>
    <row r="1502">
      <c r="A1502" s="1" t="str">
        <f>IFERROR(__xludf.DUMMYFUNCTION("""COMPUTED_VALUE"""),"e9476035")</f>
        <v>e9476035</v>
      </c>
      <c r="B1502" s="1" t="str">
        <f>IFERROR(__xludf.DUMMYFUNCTION("""COMPUTED_VALUE"""),"1b6b5ed6")</f>
        <v>1b6b5ed6</v>
      </c>
      <c r="C1502" s="32">
        <f>IFERROR(__xludf.DUMMYFUNCTION("""COMPUTED_VALUE"""),46116.564571759256)</f>
        <v>46116.56457</v>
      </c>
      <c r="D1502" s="1">
        <f>IFERROR(__xludf.DUMMYFUNCTION("""COMPUTED_VALUE"""),-21.0)</f>
        <v>-21</v>
      </c>
      <c r="E1502" s="1"/>
      <c r="F1502" s="1"/>
    </row>
    <row r="1503">
      <c r="A1503" s="1" t="str">
        <f>IFERROR(__xludf.DUMMYFUNCTION("""COMPUTED_VALUE"""),"4e52042a")</f>
        <v>4e52042a</v>
      </c>
      <c r="B1503" s="1" t="str">
        <f>IFERROR(__xludf.DUMMYFUNCTION("""COMPUTED_VALUE"""),"0064")</f>
        <v>0064</v>
      </c>
      <c r="C1503" s="32">
        <f>IFERROR(__xludf.DUMMYFUNCTION("""COMPUTED_VALUE"""),46116.56496527778)</f>
        <v>46116.56497</v>
      </c>
      <c r="D1503" s="1">
        <f>IFERROR(__xludf.DUMMYFUNCTION("""COMPUTED_VALUE"""),-7.0)</f>
        <v>-7</v>
      </c>
      <c r="E1503" s="1"/>
      <c r="F1503" s="1"/>
    </row>
    <row r="1504">
      <c r="A1504" s="1" t="str">
        <f>IFERROR(__xludf.DUMMYFUNCTION("""COMPUTED_VALUE"""),"a9b5d866")</f>
        <v>a9b5d866</v>
      </c>
      <c r="B1504" s="1" t="str">
        <f>IFERROR(__xludf.DUMMYFUNCTION("""COMPUTED_VALUE"""),"0032")</f>
        <v>0032</v>
      </c>
      <c r="C1504" s="32">
        <f>IFERROR(__xludf.DUMMYFUNCTION("""COMPUTED_VALUE"""),46116.565034722225)</f>
        <v>46116.56503</v>
      </c>
      <c r="D1504" s="1">
        <f>IFERROR(__xludf.DUMMYFUNCTION("""COMPUTED_VALUE"""),-6.0)</f>
        <v>-6</v>
      </c>
      <c r="E1504" s="1"/>
      <c r="F1504" s="1"/>
    </row>
    <row r="1505">
      <c r="A1505" s="1" t="str">
        <f>IFERROR(__xludf.DUMMYFUNCTION("""COMPUTED_VALUE"""),"d4b0294b")</f>
        <v>d4b0294b</v>
      </c>
      <c r="B1505" s="1" t="str">
        <f>IFERROR(__xludf.DUMMYFUNCTION("""COMPUTED_VALUE"""),"78233e6f")</f>
        <v>78233e6f</v>
      </c>
      <c r="C1505" s="32">
        <f>IFERROR(__xludf.DUMMYFUNCTION("""COMPUTED_VALUE"""),46116.565775462965)</f>
        <v>46116.56578</v>
      </c>
      <c r="D1505" s="1">
        <f>IFERROR(__xludf.DUMMYFUNCTION("""COMPUTED_VALUE"""),-2.0)</f>
        <v>-2</v>
      </c>
      <c r="E1505" s="1"/>
      <c r="F1505" s="1"/>
    </row>
    <row r="1506">
      <c r="A1506" s="1" t="str">
        <f>IFERROR(__xludf.DUMMYFUNCTION("""COMPUTED_VALUE"""),"3ff347e2")</f>
        <v>3ff347e2</v>
      </c>
      <c r="B1506" s="1" t="str">
        <f>IFERROR(__xludf.DUMMYFUNCTION("""COMPUTED_VALUE"""),"cb9e809e")</f>
        <v>cb9e809e</v>
      </c>
      <c r="C1506" s="32">
        <f>IFERROR(__xludf.DUMMYFUNCTION("""COMPUTED_VALUE"""),46116.56613425926)</f>
        <v>46116.56613</v>
      </c>
      <c r="D1506" s="1">
        <f>IFERROR(__xludf.DUMMYFUNCTION("""COMPUTED_VALUE"""),-5.0)</f>
        <v>-5</v>
      </c>
      <c r="E1506" s="1"/>
      <c r="F1506" s="1"/>
    </row>
    <row r="1507">
      <c r="A1507" s="1" t="str">
        <f>IFERROR(__xludf.DUMMYFUNCTION("""COMPUTED_VALUE"""),"4e5fbcc7")</f>
        <v>4e5fbcc7</v>
      </c>
      <c r="B1507" s="1" t="str">
        <f>IFERROR(__xludf.DUMMYFUNCTION("""COMPUTED_VALUE"""),"0029")</f>
        <v>0029</v>
      </c>
      <c r="C1507" s="32">
        <f>IFERROR(__xludf.DUMMYFUNCTION("""COMPUTED_VALUE"""),46116.5672337963)</f>
        <v>46116.56723</v>
      </c>
      <c r="D1507" s="1">
        <f>IFERROR(__xludf.DUMMYFUNCTION("""COMPUTED_VALUE"""),-21.0)</f>
        <v>-21</v>
      </c>
      <c r="E1507" s="1"/>
      <c r="F1507" s="1"/>
    </row>
    <row r="1508">
      <c r="A1508" s="1" t="str">
        <f>IFERROR(__xludf.DUMMYFUNCTION("""COMPUTED_VALUE"""),"0406b854")</f>
        <v>0406b854</v>
      </c>
      <c r="B1508" s="1" t="str">
        <f>IFERROR(__xludf.DUMMYFUNCTION("""COMPUTED_VALUE"""),"a3f74383")</f>
        <v>a3f74383</v>
      </c>
      <c r="C1508" s="32">
        <f>IFERROR(__xludf.DUMMYFUNCTION("""COMPUTED_VALUE"""),46116.567395833335)</f>
        <v>46116.5674</v>
      </c>
      <c r="D1508" s="1">
        <f>IFERROR(__xludf.DUMMYFUNCTION("""COMPUTED_VALUE"""),-7.0)</f>
        <v>-7</v>
      </c>
      <c r="E1508" s="1"/>
      <c r="F1508" s="1"/>
    </row>
    <row r="1509">
      <c r="A1509" s="1" t="str">
        <f>IFERROR(__xludf.DUMMYFUNCTION("""COMPUTED_VALUE"""),"dfa8f65c")</f>
        <v>dfa8f65c</v>
      </c>
      <c r="B1509" s="1" t="str">
        <f>IFERROR(__xludf.DUMMYFUNCTION("""COMPUTED_VALUE"""),"0054")</f>
        <v>0054</v>
      </c>
      <c r="C1509" s="32">
        <f>IFERROR(__xludf.DUMMYFUNCTION("""COMPUTED_VALUE"""),46116.5694212963)</f>
        <v>46116.56942</v>
      </c>
      <c r="D1509" s="1">
        <f>IFERROR(__xludf.DUMMYFUNCTION("""COMPUTED_VALUE"""),-7.0)</f>
        <v>-7</v>
      </c>
      <c r="E1509" s="1"/>
      <c r="F1509" s="1"/>
    </row>
    <row r="1510">
      <c r="A1510" s="1" t="str">
        <f>IFERROR(__xludf.DUMMYFUNCTION("""COMPUTED_VALUE"""),"a0711727")</f>
        <v>a0711727</v>
      </c>
      <c r="B1510" s="1" t="str">
        <f>IFERROR(__xludf.DUMMYFUNCTION("""COMPUTED_VALUE"""),"57a5617b")</f>
        <v>57a5617b</v>
      </c>
      <c r="C1510" s="32">
        <f>IFERROR(__xludf.DUMMYFUNCTION("""COMPUTED_VALUE"""),46116.56951388889)</f>
        <v>46116.56951</v>
      </c>
      <c r="D1510" s="1">
        <f>IFERROR(__xludf.DUMMYFUNCTION("""COMPUTED_VALUE"""),-7.0)</f>
        <v>-7</v>
      </c>
      <c r="E1510" s="1"/>
      <c r="F1510" s="1"/>
    </row>
    <row r="1511">
      <c r="A1511" s="1" t="str">
        <f>IFERROR(__xludf.DUMMYFUNCTION("""COMPUTED_VALUE"""),"4f6b54aa")</f>
        <v>4f6b54aa</v>
      </c>
      <c r="B1511" s="1" t="str">
        <f>IFERROR(__xludf.DUMMYFUNCTION("""COMPUTED_VALUE"""),"0f694cb5")</f>
        <v>0f694cb5</v>
      </c>
      <c r="C1511" s="32">
        <f>IFERROR(__xludf.DUMMYFUNCTION("""COMPUTED_VALUE"""),46116.56964120371)</f>
        <v>46116.56964</v>
      </c>
      <c r="D1511" s="1">
        <f>IFERROR(__xludf.DUMMYFUNCTION("""COMPUTED_VALUE"""),-6.0)</f>
        <v>-6</v>
      </c>
      <c r="E1511" s="1"/>
      <c r="F1511" s="1"/>
    </row>
    <row r="1512">
      <c r="A1512" s="1" t="str">
        <f>IFERROR(__xludf.DUMMYFUNCTION("""COMPUTED_VALUE"""),"5b8b1dca")</f>
        <v>5b8b1dca</v>
      </c>
      <c r="B1512" s="1" t="str">
        <f>IFERROR(__xludf.DUMMYFUNCTION("""COMPUTED_VALUE"""),"0036")</f>
        <v>0036</v>
      </c>
      <c r="C1512" s="32">
        <f>IFERROR(__xludf.DUMMYFUNCTION("""COMPUTED_VALUE"""),46116.56979166667)</f>
        <v>46116.56979</v>
      </c>
      <c r="D1512" s="1">
        <f>IFERROR(__xludf.DUMMYFUNCTION("""COMPUTED_VALUE"""),-4.0)</f>
        <v>-4</v>
      </c>
      <c r="E1512" s="1"/>
      <c r="F1512" s="1"/>
    </row>
    <row r="1513">
      <c r="A1513" s="1" t="str">
        <f>IFERROR(__xludf.DUMMYFUNCTION("""COMPUTED_VALUE"""),"ec118c61")</f>
        <v>ec118c61</v>
      </c>
      <c r="B1513" s="1" t="str">
        <f>IFERROR(__xludf.DUMMYFUNCTION("""COMPUTED_VALUE"""),"0011")</f>
        <v>0011</v>
      </c>
      <c r="C1513" s="32">
        <f>IFERROR(__xludf.DUMMYFUNCTION("""COMPUTED_VALUE"""),46116.570706018516)</f>
        <v>46116.57071</v>
      </c>
      <c r="D1513" s="1">
        <f>IFERROR(__xludf.DUMMYFUNCTION("""COMPUTED_VALUE"""),-13.0)</f>
        <v>-13</v>
      </c>
      <c r="E1513" s="1"/>
      <c r="F1513" s="1"/>
    </row>
    <row r="1514">
      <c r="A1514" s="1" t="str">
        <f>IFERROR(__xludf.DUMMYFUNCTION("""COMPUTED_VALUE"""),"a8a16442")</f>
        <v>a8a16442</v>
      </c>
      <c r="B1514" s="1" t="str">
        <f>IFERROR(__xludf.DUMMYFUNCTION("""COMPUTED_VALUE"""),"649eaeb5")</f>
        <v>649eaeb5</v>
      </c>
      <c r="C1514" s="32">
        <f>IFERROR(__xludf.DUMMYFUNCTION("""COMPUTED_VALUE"""),46116.57209490741)</f>
        <v>46116.57209</v>
      </c>
      <c r="D1514" s="1">
        <f>IFERROR(__xludf.DUMMYFUNCTION("""COMPUTED_VALUE"""),-7.0)</f>
        <v>-7</v>
      </c>
      <c r="E1514" s="1"/>
      <c r="F1514" s="1"/>
    </row>
    <row r="1515">
      <c r="A1515" s="1" t="str">
        <f>IFERROR(__xludf.DUMMYFUNCTION("""COMPUTED_VALUE"""),"722e3bbc")</f>
        <v>722e3bbc</v>
      </c>
      <c r="B1515" s="1" t="str">
        <f>IFERROR(__xludf.DUMMYFUNCTION("""COMPUTED_VALUE"""),"0002")</f>
        <v>0002</v>
      </c>
      <c r="C1515" s="32">
        <f>IFERROR(__xludf.DUMMYFUNCTION("""COMPUTED_VALUE"""),46116.57219907407)</f>
        <v>46116.5722</v>
      </c>
      <c r="D1515" s="1">
        <f>IFERROR(__xludf.DUMMYFUNCTION("""COMPUTED_VALUE"""),-24.0)</f>
        <v>-24</v>
      </c>
      <c r="E1515" s="1"/>
      <c r="F1515" s="1"/>
    </row>
    <row r="1516">
      <c r="A1516" s="1" t="str">
        <f>IFERROR(__xludf.DUMMYFUNCTION("""COMPUTED_VALUE"""),"5557a7e0")</f>
        <v>5557a7e0</v>
      </c>
      <c r="B1516" s="1" t="str">
        <f>IFERROR(__xludf.DUMMYFUNCTION("""COMPUTED_VALUE"""),"bb6c2490")</f>
        <v>bb6c2490</v>
      </c>
      <c r="C1516" s="32">
        <f>IFERROR(__xludf.DUMMYFUNCTION("""COMPUTED_VALUE"""),46116.718043981484)</f>
        <v>46116.71804</v>
      </c>
      <c r="D1516" s="1">
        <f>IFERROR(__xludf.DUMMYFUNCTION("""COMPUTED_VALUE"""),-7.0)</f>
        <v>-7</v>
      </c>
      <c r="E1516" s="1"/>
      <c r="F1516" s="1"/>
    </row>
    <row r="1517">
      <c r="A1517" s="1" t="str">
        <f>IFERROR(__xludf.DUMMYFUNCTION("""COMPUTED_VALUE"""),"a4126fc9")</f>
        <v>a4126fc9</v>
      </c>
      <c r="B1517" s="1" t="str">
        <f>IFERROR(__xludf.DUMMYFUNCTION("""COMPUTED_VALUE"""),"0032")</f>
        <v>0032</v>
      </c>
      <c r="C1517" s="32">
        <f>IFERROR(__xludf.DUMMYFUNCTION("""COMPUTED_VALUE"""),46116.71828703704)</f>
        <v>46116.71829</v>
      </c>
      <c r="D1517" s="1">
        <f>IFERROR(__xludf.DUMMYFUNCTION("""COMPUTED_VALUE"""),-3.0)</f>
        <v>-3</v>
      </c>
      <c r="E1517" s="1"/>
      <c r="F1517" s="1"/>
    </row>
    <row r="1518">
      <c r="A1518" s="1" t="str">
        <f>IFERROR(__xludf.DUMMYFUNCTION("""COMPUTED_VALUE"""),"34252477")</f>
        <v>34252477</v>
      </c>
      <c r="B1518" s="1" t="str">
        <f>IFERROR(__xludf.DUMMYFUNCTION("""COMPUTED_VALUE"""),"0011")</f>
        <v>0011</v>
      </c>
      <c r="C1518" s="32">
        <f>IFERROR(__xludf.DUMMYFUNCTION("""COMPUTED_VALUE"""),46116.71837962963)</f>
        <v>46116.71838</v>
      </c>
      <c r="D1518" s="1">
        <f>IFERROR(__xludf.DUMMYFUNCTION("""COMPUTED_VALUE"""),-4.0)</f>
        <v>-4</v>
      </c>
      <c r="E1518" s="1"/>
      <c r="F1518" s="1"/>
    </row>
    <row r="1519">
      <c r="A1519" s="1" t="str">
        <f>IFERROR(__xludf.DUMMYFUNCTION("""COMPUTED_VALUE"""),"3c599d39")</f>
        <v>3c599d39</v>
      </c>
      <c r="B1519" s="1" t="str">
        <f>IFERROR(__xludf.DUMMYFUNCTION("""COMPUTED_VALUE"""),"0002")</f>
        <v>0002</v>
      </c>
      <c r="C1519" s="32">
        <f>IFERROR(__xludf.DUMMYFUNCTION("""COMPUTED_VALUE"""),46116.7184837963)</f>
        <v>46116.71848</v>
      </c>
      <c r="D1519" s="1">
        <f>IFERROR(__xludf.DUMMYFUNCTION("""COMPUTED_VALUE"""),-12.0)</f>
        <v>-12</v>
      </c>
      <c r="E1519" s="1"/>
      <c r="F1519" s="1"/>
    </row>
    <row r="1520">
      <c r="A1520" s="1" t="str">
        <f>IFERROR(__xludf.DUMMYFUNCTION("""COMPUTED_VALUE"""),"9e09e066")</f>
        <v>9e09e066</v>
      </c>
      <c r="B1520" s="1" t="str">
        <f>IFERROR(__xludf.DUMMYFUNCTION("""COMPUTED_VALUE"""),"0018")</f>
        <v>0018</v>
      </c>
      <c r="C1520" s="32">
        <f>IFERROR(__xludf.DUMMYFUNCTION("""COMPUTED_VALUE"""),46116.950324074074)</f>
        <v>46116.95032</v>
      </c>
      <c r="D1520" s="1">
        <f>IFERROR(__xludf.DUMMYFUNCTION("""COMPUTED_VALUE"""),5.0)</f>
        <v>5</v>
      </c>
      <c r="E1520" s="1" t="str">
        <f>IFERROR(__xludf.DUMMYFUNCTION("""COMPUTED_VALUE"""),"a1578cc1")</f>
        <v>a1578cc1</v>
      </c>
      <c r="F1520" s="1"/>
    </row>
    <row r="1521">
      <c r="A1521" s="1" t="str">
        <f>IFERROR(__xludf.DUMMYFUNCTION("""COMPUTED_VALUE"""),"35de78ee")</f>
        <v>35de78ee</v>
      </c>
      <c r="B1521" s="1" t="str">
        <f>IFERROR(__xludf.DUMMYFUNCTION("""COMPUTED_VALUE"""),"0024")</f>
        <v>0024</v>
      </c>
      <c r="C1521" s="32">
        <f>IFERROR(__xludf.DUMMYFUNCTION("""COMPUTED_VALUE"""),46116.951828703706)</f>
        <v>46116.95183</v>
      </c>
      <c r="D1521" s="1">
        <f>IFERROR(__xludf.DUMMYFUNCTION("""COMPUTED_VALUE"""),10.0)</f>
        <v>10</v>
      </c>
      <c r="E1521" s="1" t="str">
        <f>IFERROR(__xludf.DUMMYFUNCTION("""COMPUTED_VALUE"""),"a1578cc1")</f>
        <v>a1578cc1</v>
      </c>
      <c r="F1521" s="1"/>
    </row>
    <row r="1522">
      <c r="A1522" s="1" t="str">
        <f>IFERROR(__xludf.DUMMYFUNCTION("""COMPUTED_VALUE"""),"4a74fd30")</f>
        <v>4a74fd30</v>
      </c>
      <c r="B1522" s="1" t="str">
        <f>IFERROR(__xludf.DUMMYFUNCTION("""COMPUTED_VALUE"""),"0f694cb5")</f>
        <v>0f694cb5</v>
      </c>
      <c r="C1522" s="32">
        <f>IFERROR(__xludf.DUMMYFUNCTION("""COMPUTED_VALUE"""),46116.952673611115)</f>
        <v>46116.95267</v>
      </c>
      <c r="D1522" s="1">
        <f>IFERROR(__xludf.DUMMYFUNCTION("""COMPUTED_VALUE"""),48.0)</f>
        <v>48</v>
      </c>
      <c r="E1522" s="1" t="str">
        <f>IFERROR(__xludf.DUMMYFUNCTION("""COMPUTED_VALUE"""),"fc1fe687")</f>
        <v>fc1fe687</v>
      </c>
      <c r="F1522" s="1"/>
    </row>
    <row r="1523">
      <c r="A1523" s="1" t="str">
        <f>IFERROR(__xludf.DUMMYFUNCTION("""COMPUTED_VALUE"""),"f700b254")</f>
        <v>f700b254</v>
      </c>
      <c r="B1523" s="1" t="str">
        <f>IFERROR(__xludf.DUMMYFUNCTION("""COMPUTED_VALUE"""),"0014")</f>
        <v>0014</v>
      </c>
      <c r="C1523" s="32">
        <f>IFERROR(__xludf.DUMMYFUNCTION("""COMPUTED_VALUE"""),46116.95290509259)</f>
        <v>46116.95291</v>
      </c>
      <c r="D1523" s="1">
        <f>IFERROR(__xludf.DUMMYFUNCTION("""COMPUTED_VALUE"""),30.0)</f>
        <v>30</v>
      </c>
      <c r="E1523" s="1" t="str">
        <f>IFERROR(__xludf.DUMMYFUNCTION("""COMPUTED_VALUE"""),"3c818630")</f>
        <v>3c818630</v>
      </c>
      <c r="F1523" s="1"/>
    </row>
    <row r="1524">
      <c r="A1524" s="1" t="str">
        <f>IFERROR(__xludf.DUMMYFUNCTION("""COMPUTED_VALUE"""),"25f00c6e")</f>
        <v>25f00c6e</v>
      </c>
      <c r="B1524" s="1" t="str">
        <f>IFERROR(__xludf.DUMMYFUNCTION("""COMPUTED_VALUE"""),"0af806f8")</f>
        <v>0af806f8</v>
      </c>
      <c r="C1524" s="32">
        <f>IFERROR(__xludf.DUMMYFUNCTION("""COMPUTED_VALUE"""),46116.95428240741)</f>
        <v>46116.95428</v>
      </c>
      <c r="D1524" s="1">
        <f>IFERROR(__xludf.DUMMYFUNCTION("""COMPUTED_VALUE"""),90.0)</f>
        <v>90</v>
      </c>
      <c r="E1524" s="1" t="str">
        <f>IFERROR(__xludf.DUMMYFUNCTION("""COMPUTED_VALUE"""),"2f593f55")</f>
        <v>2f593f55</v>
      </c>
      <c r="F1524" s="1"/>
    </row>
    <row r="1525">
      <c r="A1525" s="1" t="str">
        <f>IFERROR(__xludf.DUMMYFUNCTION("""COMPUTED_VALUE"""),"1dd60780")</f>
        <v>1dd60780</v>
      </c>
      <c r="B1525" s="1" t="str">
        <f>IFERROR(__xludf.DUMMYFUNCTION("""COMPUTED_VALUE"""),"0001")</f>
        <v>0001</v>
      </c>
      <c r="C1525" s="32">
        <f>IFERROR(__xludf.DUMMYFUNCTION("""COMPUTED_VALUE"""),46116.954560185186)</f>
        <v>46116.95456</v>
      </c>
      <c r="D1525" s="1">
        <f>IFERROR(__xludf.DUMMYFUNCTION("""COMPUTED_VALUE"""),60.0)</f>
        <v>60</v>
      </c>
      <c r="E1525" s="1" t="str">
        <f>IFERROR(__xludf.DUMMYFUNCTION("""COMPUTED_VALUE"""),"2f593f55")</f>
        <v>2f593f55</v>
      </c>
      <c r="F1525" s="1"/>
    </row>
    <row r="1526">
      <c r="A1526" s="1" t="str">
        <f>IFERROR(__xludf.DUMMYFUNCTION("""COMPUTED_VALUE"""),"00c7ac03")</f>
        <v>00c7ac03</v>
      </c>
      <c r="B1526" s="1" t="str">
        <f>IFERROR(__xludf.DUMMYFUNCTION("""COMPUTED_VALUE"""),"0027")</f>
        <v>0027</v>
      </c>
      <c r="C1526" s="32">
        <f>IFERROR(__xludf.DUMMYFUNCTION("""COMPUTED_VALUE"""),46116.95547453704)</f>
        <v>46116.95547</v>
      </c>
      <c r="D1526" s="1">
        <f>IFERROR(__xludf.DUMMYFUNCTION("""COMPUTED_VALUE"""),50.0)</f>
        <v>50</v>
      </c>
      <c r="E1526" s="1" t="str">
        <f>IFERROR(__xludf.DUMMYFUNCTION("""COMPUTED_VALUE"""),"2529f781")</f>
        <v>2529f781</v>
      </c>
      <c r="F1526" s="1"/>
    </row>
    <row r="1527">
      <c r="A1527" s="1" t="str">
        <f>IFERROR(__xludf.DUMMYFUNCTION("""COMPUTED_VALUE"""),"63624acd")</f>
        <v>63624acd</v>
      </c>
      <c r="B1527" s="1" t="str">
        <f>IFERROR(__xludf.DUMMYFUNCTION("""COMPUTED_VALUE"""),"bb6c2490")</f>
        <v>bb6c2490</v>
      </c>
      <c r="C1527" s="32">
        <f>IFERROR(__xludf.DUMMYFUNCTION("""COMPUTED_VALUE"""),46116.955625)</f>
        <v>46116.95563</v>
      </c>
      <c r="D1527" s="1">
        <f>IFERROR(__xludf.DUMMYFUNCTION("""COMPUTED_VALUE"""),-23.0)</f>
        <v>-23</v>
      </c>
      <c r="E1527" s="1"/>
      <c r="F1527" s="1"/>
    </row>
    <row r="1528">
      <c r="A1528" s="1" t="str">
        <f>IFERROR(__xludf.DUMMYFUNCTION("""COMPUTED_VALUE"""),"da52451e")</f>
        <v>da52451e</v>
      </c>
      <c r="B1528" s="1" t="str">
        <f>IFERROR(__xludf.DUMMYFUNCTION("""COMPUTED_VALUE"""),"c099f042")</f>
        <v>c099f042</v>
      </c>
      <c r="C1528" s="32">
        <f>IFERROR(__xludf.DUMMYFUNCTION("""COMPUTED_VALUE"""),46116.95618055556)</f>
        <v>46116.95618</v>
      </c>
      <c r="D1528" s="1">
        <f>IFERROR(__xludf.DUMMYFUNCTION("""COMPUTED_VALUE"""),-18.0)</f>
        <v>-18</v>
      </c>
      <c r="E1528" s="1"/>
      <c r="F1528" s="1"/>
    </row>
    <row r="1529">
      <c r="A1529" s="1" t="str">
        <f>IFERROR(__xludf.DUMMYFUNCTION("""COMPUTED_VALUE"""),"7cecbcc9")</f>
        <v>7cecbcc9</v>
      </c>
      <c r="B1529" s="1" t="str">
        <f>IFERROR(__xludf.DUMMYFUNCTION("""COMPUTED_VALUE"""),"c80ae9f2")</f>
        <v>c80ae9f2</v>
      </c>
      <c r="C1529" s="32">
        <f>IFERROR(__xludf.DUMMYFUNCTION("""COMPUTED_VALUE"""),46116.95630787037)</f>
        <v>46116.95631</v>
      </c>
      <c r="D1529" s="1">
        <f>IFERROR(__xludf.DUMMYFUNCTION("""COMPUTED_VALUE"""),-12.0)</f>
        <v>-12</v>
      </c>
      <c r="E1529" s="1"/>
      <c r="F1529" s="1"/>
    </row>
    <row r="1530">
      <c r="A1530" s="1" t="str">
        <f>IFERROR(__xludf.DUMMYFUNCTION("""COMPUTED_VALUE"""),"2fd6bad9")</f>
        <v>2fd6bad9</v>
      </c>
      <c r="B1530" s="1" t="str">
        <f>IFERROR(__xludf.DUMMYFUNCTION("""COMPUTED_VALUE"""),"0001")</f>
        <v>0001</v>
      </c>
      <c r="C1530" s="32">
        <f>IFERROR(__xludf.DUMMYFUNCTION("""COMPUTED_VALUE"""),46116.95655092593)</f>
        <v>46116.95655</v>
      </c>
      <c r="D1530" s="1">
        <f>IFERROR(__xludf.DUMMYFUNCTION("""COMPUTED_VALUE"""),-15.0)</f>
        <v>-15</v>
      </c>
      <c r="E1530" s="1"/>
      <c r="F1530" s="1"/>
    </row>
    <row r="1531">
      <c r="A1531" s="1" t="str">
        <f>IFERROR(__xludf.DUMMYFUNCTION("""COMPUTED_VALUE"""),"9f33ac5f")</f>
        <v>9f33ac5f</v>
      </c>
      <c r="B1531" s="1" t="str">
        <f>IFERROR(__xludf.DUMMYFUNCTION("""COMPUTED_VALUE"""),"0af806f8")</f>
        <v>0af806f8</v>
      </c>
      <c r="C1531" s="32">
        <f>IFERROR(__xludf.DUMMYFUNCTION("""COMPUTED_VALUE"""),46116.95668981481)</f>
        <v>46116.95669</v>
      </c>
      <c r="D1531" s="1">
        <f>IFERROR(__xludf.DUMMYFUNCTION("""COMPUTED_VALUE"""),-15.0)</f>
        <v>-15</v>
      </c>
      <c r="E1531" s="1"/>
      <c r="F1531" s="1"/>
    </row>
    <row r="1532">
      <c r="A1532" s="1" t="str">
        <f>IFERROR(__xludf.DUMMYFUNCTION("""COMPUTED_VALUE"""),"facb8a68")</f>
        <v>facb8a68</v>
      </c>
      <c r="B1532" s="1" t="str">
        <f>IFERROR(__xludf.DUMMYFUNCTION("""COMPUTED_VALUE"""),"a19879cf")</f>
        <v>a19879cf</v>
      </c>
      <c r="C1532" s="32">
        <f>IFERROR(__xludf.DUMMYFUNCTION("""COMPUTED_VALUE"""),46116.95689814815)</f>
        <v>46116.9569</v>
      </c>
      <c r="D1532" s="1">
        <f>IFERROR(__xludf.DUMMYFUNCTION("""COMPUTED_VALUE"""),-14.0)</f>
        <v>-14</v>
      </c>
      <c r="E1532" s="1"/>
      <c r="F1532" s="1"/>
    </row>
    <row r="1533">
      <c r="A1533" s="1" t="str">
        <f>IFERROR(__xludf.DUMMYFUNCTION("""COMPUTED_VALUE"""),"76252a9e")</f>
        <v>76252a9e</v>
      </c>
      <c r="B1533" s="1" t="str">
        <f>IFERROR(__xludf.DUMMYFUNCTION("""COMPUTED_VALUE"""),"0024")</f>
        <v>0024</v>
      </c>
      <c r="C1533" s="32">
        <f>IFERROR(__xludf.DUMMYFUNCTION("""COMPUTED_VALUE"""),46116.957233796296)</f>
        <v>46116.95723</v>
      </c>
      <c r="D1533" s="1">
        <f>IFERROR(__xludf.DUMMYFUNCTION("""COMPUTED_VALUE"""),-10.0)</f>
        <v>-10</v>
      </c>
      <c r="E1533" s="1"/>
      <c r="F1533" s="1"/>
    </row>
    <row r="1534">
      <c r="A1534" s="1" t="str">
        <f>IFERROR(__xludf.DUMMYFUNCTION("""COMPUTED_VALUE"""),"88cfb5c8")</f>
        <v>88cfb5c8</v>
      </c>
      <c r="B1534" s="1" t="str">
        <f>IFERROR(__xludf.DUMMYFUNCTION("""COMPUTED_VALUE"""),"0049")</f>
        <v>0049</v>
      </c>
      <c r="C1534" s="32">
        <f>IFERROR(__xludf.DUMMYFUNCTION("""COMPUTED_VALUE"""),46116.95755787037)</f>
        <v>46116.95756</v>
      </c>
      <c r="D1534" s="1">
        <f>IFERROR(__xludf.DUMMYFUNCTION("""COMPUTED_VALUE"""),-11.0)</f>
        <v>-11</v>
      </c>
      <c r="E1534" s="1"/>
      <c r="F1534" s="1"/>
    </row>
    <row r="1535">
      <c r="A1535" s="1" t="str">
        <f>IFERROR(__xludf.DUMMYFUNCTION("""COMPUTED_VALUE"""),"45e79ae7")</f>
        <v>45e79ae7</v>
      </c>
      <c r="B1535" s="1" t="str">
        <f>IFERROR(__xludf.DUMMYFUNCTION("""COMPUTED_VALUE"""),"cb9e809e")</f>
        <v>cb9e809e</v>
      </c>
      <c r="C1535" s="32">
        <f>IFERROR(__xludf.DUMMYFUNCTION("""COMPUTED_VALUE"""),46116.957974537036)</f>
        <v>46116.95797</v>
      </c>
      <c r="D1535" s="1">
        <f>IFERROR(__xludf.DUMMYFUNCTION("""COMPUTED_VALUE"""),-4.0)</f>
        <v>-4</v>
      </c>
      <c r="E1535" s="1"/>
      <c r="F1535" s="1"/>
    </row>
    <row r="1536">
      <c r="A1536" s="1" t="str">
        <f>IFERROR(__xludf.DUMMYFUNCTION("""COMPUTED_VALUE"""),"777576ac")</f>
        <v>777576ac</v>
      </c>
      <c r="B1536" s="1" t="str">
        <f>IFERROR(__xludf.DUMMYFUNCTION("""COMPUTED_VALUE"""),"0029")</f>
        <v>0029</v>
      </c>
      <c r="C1536" s="32">
        <f>IFERROR(__xludf.DUMMYFUNCTION("""COMPUTED_VALUE"""),46116.958078703705)</f>
        <v>46116.95808</v>
      </c>
      <c r="D1536" s="1">
        <f>IFERROR(__xludf.DUMMYFUNCTION("""COMPUTED_VALUE"""),-4.0)</f>
        <v>-4</v>
      </c>
      <c r="E1536" s="1"/>
      <c r="F1536" s="1"/>
    </row>
    <row r="1537">
      <c r="A1537" s="1" t="str">
        <f>IFERROR(__xludf.DUMMYFUNCTION("""COMPUTED_VALUE"""),"b7bd8ca8")</f>
        <v>b7bd8ca8</v>
      </c>
      <c r="B1537" s="1" t="str">
        <f>IFERROR(__xludf.DUMMYFUNCTION("""COMPUTED_VALUE"""),"649eaeb5")</f>
        <v>649eaeb5</v>
      </c>
      <c r="C1537" s="32">
        <f>IFERROR(__xludf.DUMMYFUNCTION("""COMPUTED_VALUE"""),46116.95826388889)</f>
        <v>46116.95826</v>
      </c>
      <c r="D1537" s="1">
        <f>IFERROR(__xludf.DUMMYFUNCTION("""COMPUTED_VALUE"""),-5.0)</f>
        <v>-5</v>
      </c>
      <c r="E1537" s="1"/>
      <c r="F1537" s="1"/>
    </row>
    <row r="1538">
      <c r="A1538" s="1" t="str">
        <f>IFERROR(__xludf.DUMMYFUNCTION("""COMPUTED_VALUE"""),"76f77cca")</f>
        <v>76f77cca</v>
      </c>
      <c r="B1538" s="1" t="str">
        <f>IFERROR(__xludf.DUMMYFUNCTION("""COMPUTED_VALUE"""),"0002")</f>
        <v>0002</v>
      </c>
      <c r="C1538" s="32">
        <f>IFERROR(__xludf.DUMMYFUNCTION("""COMPUTED_VALUE"""),46116.95903935185)</f>
        <v>46116.95904</v>
      </c>
      <c r="D1538" s="1">
        <f>IFERROR(__xludf.DUMMYFUNCTION("""COMPUTED_VALUE"""),-12.0)</f>
        <v>-12</v>
      </c>
      <c r="E1538" s="1"/>
      <c r="F1538" s="1"/>
    </row>
    <row r="1539">
      <c r="A1539" s="1" t="str">
        <f>IFERROR(__xludf.DUMMYFUNCTION("""COMPUTED_VALUE"""),"17e244b4")</f>
        <v>17e244b4</v>
      </c>
      <c r="B1539" s="1" t="str">
        <f>IFERROR(__xludf.DUMMYFUNCTION("""COMPUTED_VALUE"""),"0002")</f>
        <v>0002</v>
      </c>
      <c r="C1539" s="32">
        <f>IFERROR(__xludf.DUMMYFUNCTION("""COMPUTED_VALUE"""),46116.959189814814)</f>
        <v>46116.95919</v>
      </c>
      <c r="D1539" s="1">
        <f>IFERROR(__xludf.DUMMYFUNCTION("""COMPUTED_VALUE"""),-60.0)</f>
        <v>-60</v>
      </c>
      <c r="E1539" s="1"/>
      <c r="F1539" s="1"/>
    </row>
    <row r="1540">
      <c r="A1540" s="1" t="str">
        <f>IFERROR(__xludf.DUMMYFUNCTION("""COMPUTED_VALUE"""),"24a3a7ae")</f>
        <v>24a3a7ae</v>
      </c>
      <c r="B1540" s="1" t="str">
        <f>IFERROR(__xludf.DUMMYFUNCTION("""COMPUTED_VALUE"""),"0038")</f>
        <v>0038</v>
      </c>
      <c r="C1540" s="32">
        <f>IFERROR(__xludf.DUMMYFUNCTION("""COMPUTED_VALUE"""),46116.9594212963)</f>
        <v>46116.95942</v>
      </c>
      <c r="D1540" s="1">
        <f>IFERROR(__xludf.DUMMYFUNCTION("""COMPUTED_VALUE"""),-4.0)</f>
        <v>-4</v>
      </c>
      <c r="E1540" s="1"/>
      <c r="F1540" s="1"/>
    </row>
    <row r="1541">
      <c r="A1541" s="1" t="str">
        <f>IFERROR(__xludf.DUMMYFUNCTION("""COMPUTED_VALUE"""),"5a74f358")</f>
        <v>5a74f358</v>
      </c>
      <c r="B1541" s="1" t="str">
        <f>IFERROR(__xludf.DUMMYFUNCTION("""COMPUTED_VALUE"""),"0018")</f>
        <v>0018</v>
      </c>
      <c r="C1541" s="32">
        <f>IFERROR(__xludf.DUMMYFUNCTION("""COMPUTED_VALUE"""),46116.95958333334)</f>
        <v>46116.95958</v>
      </c>
      <c r="D1541" s="1">
        <f>IFERROR(__xludf.DUMMYFUNCTION("""COMPUTED_VALUE"""),-5.0)</f>
        <v>-5</v>
      </c>
      <c r="E1541" s="1"/>
      <c r="F1541" s="1"/>
    </row>
    <row r="1542">
      <c r="A1542" s="1" t="str">
        <f>IFERROR(__xludf.DUMMYFUNCTION("""COMPUTED_VALUE"""),"f646b44b")</f>
        <v>f646b44b</v>
      </c>
      <c r="B1542" s="1" t="str">
        <f>IFERROR(__xludf.DUMMYFUNCTION("""COMPUTED_VALUE"""),"0019")</f>
        <v>0019</v>
      </c>
      <c r="C1542" s="32">
        <f>IFERROR(__xludf.DUMMYFUNCTION("""COMPUTED_VALUE"""),46116.95995370371)</f>
        <v>46116.95995</v>
      </c>
      <c r="D1542" s="1">
        <f>IFERROR(__xludf.DUMMYFUNCTION("""COMPUTED_VALUE"""),-12.0)</f>
        <v>-12</v>
      </c>
      <c r="E1542" s="1"/>
      <c r="F1542" s="1"/>
    </row>
    <row r="1543">
      <c r="A1543" s="1" t="str">
        <f>IFERROR(__xludf.DUMMYFUNCTION("""COMPUTED_VALUE"""),"122bce63")</f>
        <v>122bce63</v>
      </c>
      <c r="B1543" s="1" t="str">
        <f>IFERROR(__xludf.DUMMYFUNCTION("""COMPUTED_VALUE"""),"bb4d1bd1")</f>
        <v>bb4d1bd1</v>
      </c>
      <c r="C1543" s="32">
        <f>IFERROR(__xludf.DUMMYFUNCTION("""COMPUTED_VALUE"""),46116.960185185184)</f>
        <v>46116.96019</v>
      </c>
      <c r="D1543" s="1">
        <f>IFERROR(__xludf.DUMMYFUNCTION("""COMPUTED_VALUE"""),-12.0)</f>
        <v>-12</v>
      </c>
      <c r="E1543" s="1"/>
      <c r="F1543" s="1"/>
    </row>
    <row r="1544">
      <c r="A1544" s="1" t="str">
        <f>IFERROR(__xludf.DUMMYFUNCTION("""COMPUTED_VALUE"""),"2a4480be")</f>
        <v>2a4480be</v>
      </c>
      <c r="B1544" s="1" t="str">
        <f>IFERROR(__xludf.DUMMYFUNCTION("""COMPUTED_VALUE"""),"27c8f623")</f>
        <v>27c8f623</v>
      </c>
      <c r="C1544" s="32">
        <f>IFERROR(__xludf.DUMMYFUNCTION("""COMPUTED_VALUE"""),46116.96047453704)</f>
        <v>46116.96047</v>
      </c>
      <c r="D1544" s="1">
        <f>IFERROR(__xludf.DUMMYFUNCTION("""COMPUTED_VALUE"""),-10.0)</f>
        <v>-10</v>
      </c>
      <c r="E1544" s="1"/>
      <c r="F1544" s="1"/>
    </row>
    <row r="1545">
      <c r="A1545" s="1" t="str">
        <f>IFERROR(__xludf.DUMMYFUNCTION("""COMPUTED_VALUE"""),"b0f26aa2")</f>
        <v>b0f26aa2</v>
      </c>
      <c r="B1545" s="1" t="str">
        <f>IFERROR(__xludf.DUMMYFUNCTION("""COMPUTED_VALUE"""),"02d86a9b")</f>
        <v>02d86a9b</v>
      </c>
      <c r="C1545" s="32">
        <f>IFERROR(__xludf.DUMMYFUNCTION("""COMPUTED_VALUE"""),46116.960648148146)</f>
        <v>46116.96065</v>
      </c>
      <c r="D1545" s="1">
        <f>IFERROR(__xludf.DUMMYFUNCTION("""COMPUTED_VALUE"""),-6.0)</f>
        <v>-6</v>
      </c>
      <c r="E1545" s="1"/>
      <c r="F1545" s="1"/>
    </row>
    <row r="1546">
      <c r="A1546" s="1" t="str">
        <f>IFERROR(__xludf.DUMMYFUNCTION("""COMPUTED_VALUE"""),"300cb345")</f>
        <v>300cb345</v>
      </c>
      <c r="B1546" s="1" t="str">
        <f>IFERROR(__xludf.DUMMYFUNCTION("""COMPUTED_VALUE"""),"0014")</f>
        <v>0014</v>
      </c>
      <c r="C1546" s="32">
        <f>IFERROR(__xludf.DUMMYFUNCTION("""COMPUTED_VALUE"""),46116.96078703704)</f>
        <v>46116.96079</v>
      </c>
      <c r="D1546" s="1">
        <f>IFERROR(__xludf.DUMMYFUNCTION("""COMPUTED_VALUE"""),-10.0)</f>
        <v>-10</v>
      </c>
      <c r="E1546" s="1"/>
      <c r="F1546" s="1"/>
    </row>
    <row r="1547">
      <c r="A1547" s="1" t="str">
        <f>IFERROR(__xludf.DUMMYFUNCTION("""COMPUTED_VALUE"""),"00f3e9b5")</f>
        <v>00f3e9b5</v>
      </c>
      <c r="B1547" s="1" t="str">
        <f>IFERROR(__xludf.DUMMYFUNCTION("""COMPUTED_VALUE"""),"0032")</f>
        <v>0032</v>
      </c>
      <c r="C1547" s="32">
        <f>IFERROR(__xludf.DUMMYFUNCTION("""COMPUTED_VALUE"""),46116.96141203704)</f>
        <v>46116.96141</v>
      </c>
      <c r="D1547" s="1">
        <f>IFERROR(__xludf.DUMMYFUNCTION("""COMPUTED_VALUE"""),-12.0)</f>
        <v>-12</v>
      </c>
      <c r="E1547" s="1"/>
      <c r="F1547" s="1"/>
    </row>
    <row r="1548">
      <c r="A1548" s="1" t="str">
        <f>IFERROR(__xludf.DUMMYFUNCTION("""COMPUTED_VALUE"""),"203bf7a8")</f>
        <v>203bf7a8</v>
      </c>
      <c r="B1548" s="1" t="str">
        <f>IFERROR(__xludf.DUMMYFUNCTION("""COMPUTED_VALUE"""),"0064")</f>
        <v>0064</v>
      </c>
      <c r="C1548" s="32">
        <f>IFERROR(__xludf.DUMMYFUNCTION("""COMPUTED_VALUE"""),46116.961597222224)</f>
        <v>46116.9616</v>
      </c>
      <c r="D1548" s="1">
        <f>IFERROR(__xludf.DUMMYFUNCTION("""COMPUTED_VALUE"""),-12.0)</f>
        <v>-12</v>
      </c>
      <c r="E1548" s="1"/>
      <c r="F1548" s="1"/>
    </row>
    <row r="1549">
      <c r="A1549" s="1" t="str">
        <f>IFERROR(__xludf.DUMMYFUNCTION("""COMPUTED_VALUE"""),"2fcd66ea")</f>
        <v>2fcd66ea</v>
      </c>
      <c r="B1549" s="1" t="str">
        <f>IFERROR(__xludf.DUMMYFUNCTION("""COMPUTED_VALUE"""),"cf6c9481")</f>
        <v>cf6c9481</v>
      </c>
      <c r="C1549" s="32">
        <f>IFERROR(__xludf.DUMMYFUNCTION("""COMPUTED_VALUE"""),46116.96175925926)</f>
        <v>46116.96176</v>
      </c>
      <c r="D1549" s="1">
        <f>IFERROR(__xludf.DUMMYFUNCTION("""COMPUTED_VALUE"""),-6.0)</f>
        <v>-6</v>
      </c>
      <c r="E1549" s="1"/>
      <c r="F1549" s="1"/>
    </row>
    <row r="1550">
      <c r="A1550" s="1" t="str">
        <f>IFERROR(__xludf.DUMMYFUNCTION("""COMPUTED_VALUE"""),"dbc7c5a9")</f>
        <v>dbc7c5a9</v>
      </c>
      <c r="B1550" s="1" t="str">
        <f>IFERROR(__xludf.DUMMYFUNCTION("""COMPUTED_VALUE"""),"cb9e809e")</f>
        <v>cb9e809e</v>
      </c>
      <c r="C1550" s="32">
        <f>IFERROR(__xludf.DUMMYFUNCTION("""COMPUTED_VALUE"""),46116.96189814815)</f>
        <v>46116.9619</v>
      </c>
      <c r="D1550" s="1">
        <f>IFERROR(__xludf.DUMMYFUNCTION("""COMPUTED_VALUE"""),-12.0)</f>
        <v>-12</v>
      </c>
      <c r="E1550" s="1"/>
      <c r="F1550" s="1"/>
    </row>
    <row r="1551">
      <c r="A1551" s="1" t="str">
        <f>IFERROR(__xludf.DUMMYFUNCTION("""COMPUTED_VALUE"""),"aeb3646d")</f>
        <v>aeb3646d</v>
      </c>
      <c r="B1551" s="1" t="str">
        <f>IFERROR(__xludf.DUMMYFUNCTION("""COMPUTED_VALUE"""),"0029")</f>
        <v>0029</v>
      </c>
      <c r="C1551" s="32">
        <f>IFERROR(__xludf.DUMMYFUNCTION("""COMPUTED_VALUE"""),46116.962175925924)</f>
        <v>46116.96218</v>
      </c>
      <c r="D1551" s="1">
        <f>IFERROR(__xludf.DUMMYFUNCTION("""COMPUTED_VALUE"""),-6.0)</f>
        <v>-6</v>
      </c>
      <c r="E1551" s="1"/>
      <c r="F1551" s="1"/>
    </row>
    <row r="1552">
      <c r="A1552" s="1" t="str">
        <f>IFERROR(__xludf.DUMMYFUNCTION("""COMPUTED_VALUE"""),"c49c5961")</f>
        <v>c49c5961</v>
      </c>
      <c r="B1552" s="1" t="str">
        <f>IFERROR(__xludf.DUMMYFUNCTION("""COMPUTED_VALUE"""),"0054")</f>
        <v>0054</v>
      </c>
      <c r="C1552" s="32">
        <f>IFERROR(__xludf.DUMMYFUNCTION("""COMPUTED_VALUE"""),46116.96226851852)</f>
        <v>46116.96227</v>
      </c>
      <c r="D1552" s="1">
        <f>IFERROR(__xludf.DUMMYFUNCTION("""COMPUTED_VALUE"""),-6.0)</f>
        <v>-6</v>
      </c>
      <c r="E1552" s="1"/>
      <c r="F1552" s="1"/>
    </row>
    <row r="1553">
      <c r="A1553" s="1" t="str">
        <f>IFERROR(__xludf.DUMMYFUNCTION("""COMPUTED_VALUE"""),"71e0949d")</f>
        <v>71e0949d</v>
      </c>
      <c r="B1553" s="1" t="str">
        <f>IFERROR(__xludf.DUMMYFUNCTION("""COMPUTED_VALUE"""),"a3f74383")</f>
        <v>a3f74383</v>
      </c>
      <c r="C1553" s="32">
        <f>IFERROR(__xludf.DUMMYFUNCTION("""COMPUTED_VALUE"""),46116.96238425926)</f>
        <v>46116.96238</v>
      </c>
      <c r="D1553" s="1">
        <f>IFERROR(__xludf.DUMMYFUNCTION("""COMPUTED_VALUE"""),-6.0)</f>
        <v>-6</v>
      </c>
      <c r="E1553" s="1"/>
      <c r="F1553" s="1"/>
    </row>
    <row r="1554">
      <c r="A1554" s="1" t="str">
        <f>IFERROR(__xludf.DUMMYFUNCTION("""COMPUTED_VALUE"""),"340dce88")</f>
        <v>340dce88</v>
      </c>
      <c r="B1554" s="1" t="str">
        <f>IFERROR(__xludf.DUMMYFUNCTION("""COMPUTED_VALUE"""),"649eaeb5")</f>
        <v>649eaeb5</v>
      </c>
      <c r="C1554" s="32">
        <f>IFERROR(__xludf.DUMMYFUNCTION("""COMPUTED_VALUE"""),46116.96252314815)</f>
        <v>46116.96252</v>
      </c>
      <c r="D1554" s="1">
        <f>IFERROR(__xludf.DUMMYFUNCTION("""COMPUTED_VALUE"""),-6.0)</f>
        <v>-6</v>
      </c>
      <c r="E1554" s="1"/>
      <c r="F1554" s="1"/>
    </row>
    <row r="1555">
      <c r="A1555" s="1" t="str">
        <f>IFERROR(__xludf.DUMMYFUNCTION("""COMPUTED_VALUE"""),"834f953b")</f>
        <v>834f953b</v>
      </c>
      <c r="B1555" s="1" t="str">
        <f>IFERROR(__xludf.DUMMYFUNCTION("""COMPUTED_VALUE"""),"0011")</f>
        <v>0011</v>
      </c>
      <c r="C1555" s="32">
        <f>IFERROR(__xludf.DUMMYFUNCTION("""COMPUTED_VALUE"""),46116.96265046296)</f>
        <v>46116.96265</v>
      </c>
      <c r="D1555" s="1">
        <f>IFERROR(__xludf.DUMMYFUNCTION("""COMPUTED_VALUE"""),-20.0)</f>
        <v>-20</v>
      </c>
      <c r="E1555" s="1"/>
      <c r="F1555" s="1"/>
    </row>
    <row r="1556">
      <c r="A1556" s="1" t="str">
        <f>IFERROR(__xludf.DUMMYFUNCTION("""COMPUTED_VALUE"""),"8f4645b2")</f>
        <v>8f4645b2</v>
      </c>
      <c r="B1556" s="1" t="str">
        <f>IFERROR(__xludf.DUMMYFUNCTION("""COMPUTED_VALUE"""),"0021")</f>
        <v>0021</v>
      </c>
      <c r="C1556" s="32">
        <f>IFERROR(__xludf.DUMMYFUNCTION("""COMPUTED_VALUE"""),46116.96392361111)</f>
        <v>46116.96392</v>
      </c>
      <c r="D1556" s="1">
        <f>IFERROR(__xludf.DUMMYFUNCTION("""COMPUTED_VALUE"""),-12.0)</f>
        <v>-12</v>
      </c>
      <c r="E1556" s="1"/>
      <c r="F1556" s="1"/>
    </row>
    <row r="1557">
      <c r="A1557" s="1" t="str">
        <f>IFERROR(__xludf.DUMMYFUNCTION("""COMPUTED_VALUE"""),"5c6feb51")</f>
        <v>5c6feb51</v>
      </c>
      <c r="B1557" s="1" t="str">
        <f>IFERROR(__xludf.DUMMYFUNCTION("""COMPUTED_VALUE"""),"0063")</f>
        <v>0063</v>
      </c>
      <c r="C1557" s="32">
        <f>IFERROR(__xludf.DUMMYFUNCTION("""COMPUTED_VALUE"""),46116.96503472222)</f>
        <v>46116.96503</v>
      </c>
      <c r="D1557" s="1">
        <f>IFERROR(__xludf.DUMMYFUNCTION("""COMPUTED_VALUE"""),20.0)</f>
        <v>20</v>
      </c>
      <c r="E1557" s="1" t="str">
        <f>IFERROR(__xludf.DUMMYFUNCTION("""COMPUTED_VALUE"""),"9fead2ae")</f>
        <v>9fead2ae</v>
      </c>
      <c r="F1557" s="1"/>
    </row>
    <row r="1558">
      <c r="A1558" s="1" t="str">
        <f>IFERROR(__xludf.DUMMYFUNCTION("""COMPUTED_VALUE"""),"a5f45173")</f>
        <v>a5f45173</v>
      </c>
      <c r="B1558" s="1" t="str">
        <f>IFERROR(__xludf.DUMMYFUNCTION("""COMPUTED_VALUE"""),"0063")</f>
        <v>0063</v>
      </c>
      <c r="C1558" s="32">
        <f>IFERROR(__xludf.DUMMYFUNCTION("""COMPUTED_VALUE"""),46116.96538194444)</f>
        <v>46116.96538</v>
      </c>
      <c r="D1558" s="1">
        <f>IFERROR(__xludf.DUMMYFUNCTION("""COMPUTED_VALUE"""),-13.0)</f>
        <v>-13</v>
      </c>
      <c r="E1558" s="1"/>
      <c r="F1558" s="1"/>
    </row>
    <row r="1559">
      <c r="A1559" s="1" t="str">
        <f>IFERROR(__xludf.DUMMYFUNCTION("""COMPUTED_VALUE"""),"4df6b933")</f>
        <v>4df6b933</v>
      </c>
      <c r="B1559" s="1" t="str">
        <f>IFERROR(__xludf.DUMMYFUNCTION("""COMPUTED_VALUE"""),"0001")</f>
        <v>0001</v>
      </c>
      <c r="C1559" s="32">
        <f>IFERROR(__xludf.DUMMYFUNCTION("""COMPUTED_VALUE"""),46117.59408564815)</f>
        <v>46117.59409</v>
      </c>
      <c r="D1559" s="1">
        <f>IFERROR(__xludf.DUMMYFUNCTION("""COMPUTED_VALUE"""),-20.0)</f>
        <v>-20</v>
      </c>
      <c r="E1559" s="1"/>
      <c r="F1559" s="1"/>
    </row>
    <row r="1560">
      <c r="A1560" s="1" t="str">
        <f>IFERROR(__xludf.DUMMYFUNCTION("""COMPUTED_VALUE"""),"ef29a9f3")</f>
        <v>ef29a9f3</v>
      </c>
      <c r="B1560" s="1" t="str">
        <f>IFERROR(__xludf.DUMMYFUNCTION("""COMPUTED_VALUE"""),"0af806f8")</f>
        <v>0af806f8</v>
      </c>
      <c r="C1560" s="32">
        <f>IFERROR(__xludf.DUMMYFUNCTION("""COMPUTED_VALUE"""),46117.594143518516)</f>
        <v>46117.59414</v>
      </c>
      <c r="D1560" s="1">
        <f>IFERROR(__xludf.DUMMYFUNCTION("""COMPUTED_VALUE"""),-15.0)</f>
        <v>-15</v>
      </c>
      <c r="E1560" s="1"/>
      <c r="F1560" s="1"/>
    </row>
    <row r="1561">
      <c r="A1561" s="1" t="str">
        <f>IFERROR(__xludf.DUMMYFUNCTION("""COMPUTED_VALUE"""),"aec4b6cd")</f>
        <v>aec4b6cd</v>
      </c>
      <c r="B1561" s="1" t="str">
        <f>IFERROR(__xludf.DUMMYFUNCTION("""COMPUTED_VALUE"""),"c099f042")</f>
        <v>c099f042</v>
      </c>
      <c r="C1561" s="32">
        <f>IFERROR(__xludf.DUMMYFUNCTION("""COMPUTED_VALUE"""),46117.594201388885)</f>
        <v>46117.5942</v>
      </c>
      <c r="D1561" s="1">
        <f>IFERROR(__xludf.DUMMYFUNCTION("""COMPUTED_VALUE"""),-14.0)</f>
        <v>-14</v>
      </c>
      <c r="E1561" s="1"/>
      <c r="F1561" s="1"/>
    </row>
    <row r="1562">
      <c r="A1562" s="1" t="str">
        <f>IFERROR(__xludf.DUMMYFUNCTION("""COMPUTED_VALUE"""),"66041963")</f>
        <v>66041963</v>
      </c>
      <c r="B1562" s="1" t="str">
        <f>IFERROR(__xludf.DUMMYFUNCTION("""COMPUTED_VALUE"""),"bb6c2490")</f>
        <v>bb6c2490</v>
      </c>
      <c r="C1562" s="32">
        <f>IFERROR(__xludf.DUMMYFUNCTION("""COMPUTED_VALUE"""),46117.59427083333)</f>
        <v>46117.59427</v>
      </c>
      <c r="D1562" s="1">
        <f>IFERROR(__xludf.DUMMYFUNCTION("""COMPUTED_VALUE"""),-7.0)</f>
        <v>-7</v>
      </c>
      <c r="E1562" s="1"/>
      <c r="F1562" s="1"/>
    </row>
    <row r="1563">
      <c r="A1563" s="1" t="str">
        <f>IFERROR(__xludf.DUMMYFUNCTION("""COMPUTED_VALUE"""),"14adf90f")</f>
        <v>14adf90f</v>
      </c>
      <c r="B1563" s="1" t="str">
        <f>IFERROR(__xludf.DUMMYFUNCTION("""COMPUTED_VALUE"""),"a19879cf")</f>
        <v>a19879cf</v>
      </c>
      <c r="C1563" s="32">
        <f>IFERROR(__xludf.DUMMYFUNCTION("""COMPUTED_VALUE"""),46117.59581018519)</f>
        <v>46117.59581</v>
      </c>
      <c r="D1563" s="1">
        <f>IFERROR(__xludf.DUMMYFUNCTION("""COMPUTED_VALUE"""),-24.0)</f>
        <v>-24</v>
      </c>
      <c r="E1563" s="1"/>
      <c r="F1563" s="1"/>
    </row>
    <row r="1564">
      <c r="A1564" s="1" t="str">
        <f>IFERROR(__xludf.DUMMYFUNCTION("""COMPUTED_VALUE"""),"ca1a5760")</f>
        <v>ca1a5760</v>
      </c>
      <c r="B1564" s="1" t="str">
        <f>IFERROR(__xludf.DUMMYFUNCTION("""COMPUTED_VALUE"""),"27c8f623")</f>
        <v>27c8f623</v>
      </c>
      <c r="C1564" s="32">
        <f>IFERROR(__xludf.DUMMYFUNCTION("""COMPUTED_VALUE"""),46117.59591435185)</f>
        <v>46117.59591</v>
      </c>
      <c r="D1564" s="1">
        <f>IFERROR(__xludf.DUMMYFUNCTION("""COMPUTED_VALUE"""),-6.0)</f>
        <v>-6</v>
      </c>
      <c r="E1564" s="1"/>
      <c r="F1564" s="1"/>
    </row>
    <row r="1565">
      <c r="A1565" s="1" t="str">
        <f>IFERROR(__xludf.DUMMYFUNCTION("""COMPUTED_VALUE"""),"4ae93711")</f>
        <v>4ae93711</v>
      </c>
      <c r="B1565" s="1" t="str">
        <f>IFERROR(__xludf.DUMMYFUNCTION("""COMPUTED_VALUE"""),"02d86a9b")</f>
        <v>02d86a9b</v>
      </c>
      <c r="C1565" s="32">
        <f>IFERROR(__xludf.DUMMYFUNCTION("""COMPUTED_VALUE"""),46117.596030092594)</f>
        <v>46117.59603</v>
      </c>
      <c r="D1565" s="1">
        <f>IFERROR(__xludf.DUMMYFUNCTION("""COMPUTED_VALUE"""),-6.0)</f>
        <v>-6</v>
      </c>
      <c r="E1565" s="1"/>
      <c r="F1565" s="1"/>
    </row>
    <row r="1566">
      <c r="A1566" s="1" t="str">
        <f>IFERROR(__xludf.DUMMYFUNCTION("""COMPUTED_VALUE"""),"b08dc162")</f>
        <v>b08dc162</v>
      </c>
      <c r="B1566" s="1" t="str">
        <f>IFERROR(__xludf.DUMMYFUNCTION("""COMPUTED_VALUE"""),"cb9e809e")</f>
        <v>cb9e809e</v>
      </c>
      <c r="C1566" s="32">
        <f>IFERROR(__xludf.DUMMYFUNCTION("""COMPUTED_VALUE"""),46117.59712962963)</f>
        <v>46117.59713</v>
      </c>
      <c r="D1566" s="1">
        <f>IFERROR(__xludf.DUMMYFUNCTION("""COMPUTED_VALUE"""),-14.0)</f>
        <v>-14</v>
      </c>
      <c r="E1566" s="1"/>
      <c r="F1566" s="1"/>
    </row>
    <row r="1567">
      <c r="A1567" s="1" t="str">
        <f>IFERROR(__xludf.DUMMYFUNCTION("""COMPUTED_VALUE"""),"583f9be2")</f>
        <v>583f9be2</v>
      </c>
      <c r="B1567" s="1" t="str">
        <f>IFERROR(__xludf.DUMMYFUNCTION("""COMPUTED_VALUE"""),"0049")</f>
        <v>0049</v>
      </c>
      <c r="C1567" s="32">
        <f>IFERROR(__xludf.DUMMYFUNCTION("""COMPUTED_VALUE"""),46117.59778935185)</f>
        <v>46117.59779</v>
      </c>
      <c r="D1567" s="1">
        <f>IFERROR(__xludf.DUMMYFUNCTION("""COMPUTED_VALUE"""),-8.0)</f>
        <v>-8</v>
      </c>
      <c r="E1567" s="1"/>
      <c r="F1567" s="1"/>
    </row>
    <row r="1568">
      <c r="A1568" s="1" t="str">
        <f>IFERROR(__xludf.DUMMYFUNCTION("""COMPUTED_VALUE"""),"cff3bc13")</f>
        <v>cff3bc13</v>
      </c>
      <c r="B1568" s="1" t="str">
        <f>IFERROR(__xludf.DUMMYFUNCTION("""COMPUTED_VALUE"""),"0029")</f>
        <v>0029</v>
      </c>
      <c r="C1568" s="32">
        <f>IFERROR(__xludf.DUMMYFUNCTION("""COMPUTED_VALUE"""),46117.598344907405)</f>
        <v>46117.59834</v>
      </c>
      <c r="D1568" s="1">
        <f>IFERROR(__xludf.DUMMYFUNCTION("""COMPUTED_VALUE"""),-11.0)</f>
        <v>-11</v>
      </c>
      <c r="E1568" s="1"/>
      <c r="F1568" s="1"/>
    </row>
    <row r="1569">
      <c r="A1569" s="1" t="str">
        <f>IFERROR(__xludf.DUMMYFUNCTION("""COMPUTED_VALUE"""),"d7e85abb")</f>
        <v>d7e85abb</v>
      </c>
      <c r="B1569" s="1" t="str">
        <f>IFERROR(__xludf.DUMMYFUNCTION("""COMPUTED_VALUE"""),"0054")</f>
        <v>0054</v>
      </c>
      <c r="C1569" s="32">
        <f>IFERROR(__xludf.DUMMYFUNCTION("""COMPUTED_VALUE"""),46117.598912037036)</f>
        <v>46117.59891</v>
      </c>
      <c r="D1569" s="1">
        <f>IFERROR(__xludf.DUMMYFUNCTION("""COMPUTED_VALUE"""),-7.0)</f>
        <v>-7</v>
      </c>
      <c r="E1569" s="1"/>
      <c r="F1569" s="1"/>
    </row>
    <row r="1570">
      <c r="A1570" s="1" t="str">
        <f>IFERROR(__xludf.DUMMYFUNCTION("""COMPUTED_VALUE"""),"9d3bd6b4")</f>
        <v>9d3bd6b4</v>
      </c>
      <c r="B1570" s="1" t="str">
        <f>IFERROR(__xludf.DUMMYFUNCTION("""COMPUTED_VALUE"""),"649eaeb5")</f>
        <v>649eaeb5</v>
      </c>
      <c r="C1570" s="32">
        <f>IFERROR(__xludf.DUMMYFUNCTION("""COMPUTED_VALUE"""),46117.59903935185)</f>
        <v>46117.59904</v>
      </c>
      <c r="D1570" s="1">
        <f>IFERROR(__xludf.DUMMYFUNCTION("""COMPUTED_VALUE"""),-3.0)</f>
        <v>-3</v>
      </c>
      <c r="E1570" s="1"/>
      <c r="F1570" s="1"/>
    </row>
    <row r="1571">
      <c r="A1571" s="1" t="str">
        <f>IFERROR(__xludf.DUMMYFUNCTION("""COMPUTED_VALUE"""),"05fbc0ee")</f>
        <v>05fbc0ee</v>
      </c>
      <c r="B1571" s="1" t="str">
        <f>IFERROR(__xludf.DUMMYFUNCTION("""COMPUTED_VALUE"""),"a3f74383")</f>
        <v>a3f74383</v>
      </c>
      <c r="C1571" s="32">
        <f>IFERROR(__xludf.DUMMYFUNCTION("""COMPUTED_VALUE"""),46117.599641203706)</f>
        <v>46117.59964</v>
      </c>
      <c r="D1571" s="1">
        <f>IFERROR(__xludf.DUMMYFUNCTION("""COMPUTED_VALUE"""),-1.0)</f>
        <v>-1</v>
      </c>
      <c r="E1571" s="1"/>
      <c r="F1571" s="1"/>
    </row>
    <row r="1572">
      <c r="A1572" s="1" t="str">
        <f>IFERROR(__xludf.DUMMYFUNCTION("""COMPUTED_VALUE"""),"3e21d412")</f>
        <v>3e21d412</v>
      </c>
      <c r="B1572" s="1" t="str">
        <f>IFERROR(__xludf.DUMMYFUNCTION("""COMPUTED_VALUE"""),"57a5617b")</f>
        <v>57a5617b</v>
      </c>
      <c r="C1572" s="32">
        <f>IFERROR(__xludf.DUMMYFUNCTION("""COMPUTED_VALUE"""),46117.59974537037)</f>
        <v>46117.59975</v>
      </c>
      <c r="D1572" s="1">
        <f>IFERROR(__xludf.DUMMYFUNCTION("""COMPUTED_VALUE"""),-1.0)</f>
        <v>-1</v>
      </c>
      <c r="E1572" s="1"/>
      <c r="F1572" s="1"/>
    </row>
    <row r="1573">
      <c r="A1573" s="1" t="str">
        <f>IFERROR(__xludf.DUMMYFUNCTION("""COMPUTED_VALUE"""),"2bcd1ca2")</f>
        <v>2bcd1ca2</v>
      </c>
      <c r="B1573" s="1" t="str">
        <f>IFERROR(__xludf.DUMMYFUNCTION("""COMPUTED_VALUE"""),"0002")</f>
        <v>0002</v>
      </c>
      <c r="C1573" s="32">
        <f>IFERROR(__xludf.DUMMYFUNCTION("""COMPUTED_VALUE"""),46117.60030092593)</f>
        <v>46117.6003</v>
      </c>
      <c r="D1573" s="1">
        <f>IFERROR(__xludf.DUMMYFUNCTION("""COMPUTED_VALUE"""),-60.0)</f>
        <v>-60</v>
      </c>
      <c r="E1573" s="1"/>
      <c r="F1573" s="1"/>
    </row>
    <row r="1574">
      <c r="A1574" s="1" t="str">
        <f>IFERROR(__xludf.DUMMYFUNCTION("""COMPUTED_VALUE"""),"2dec145d")</f>
        <v>2dec145d</v>
      </c>
      <c r="B1574" s="1" t="str">
        <f>IFERROR(__xludf.DUMMYFUNCTION("""COMPUTED_VALUE"""),"83dd14b5")</f>
        <v>83dd14b5</v>
      </c>
      <c r="C1574" s="32">
        <f>IFERROR(__xludf.DUMMYFUNCTION("""COMPUTED_VALUE"""),46117.60197916667)</f>
        <v>46117.60198</v>
      </c>
      <c r="D1574" s="1">
        <f>IFERROR(__xludf.DUMMYFUNCTION("""COMPUTED_VALUE"""),-6.0)</f>
        <v>-6</v>
      </c>
      <c r="E1574" s="1"/>
      <c r="F1574" s="1"/>
    </row>
    <row r="1575">
      <c r="A1575" s="1" t="str">
        <f>IFERROR(__xludf.DUMMYFUNCTION("""COMPUTED_VALUE"""),"9b1886f0")</f>
        <v>9b1886f0</v>
      </c>
      <c r="B1575" s="1" t="str">
        <f>IFERROR(__xludf.DUMMYFUNCTION("""COMPUTED_VALUE"""),"0086")</f>
        <v>0086</v>
      </c>
      <c r="C1575" s="32">
        <f>IFERROR(__xludf.DUMMYFUNCTION("""COMPUTED_VALUE"""),46117.60234953704)</f>
        <v>46117.60235</v>
      </c>
      <c r="D1575" s="1">
        <f>IFERROR(__xludf.DUMMYFUNCTION("""COMPUTED_VALUE"""),-10.0)</f>
        <v>-10</v>
      </c>
      <c r="E1575" s="1"/>
      <c r="F1575" s="1"/>
    </row>
    <row r="1576">
      <c r="A1576" s="1" t="str">
        <f>IFERROR(__xludf.DUMMYFUNCTION("""COMPUTED_VALUE"""),"b1b68c83")</f>
        <v>b1b68c83</v>
      </c>
      <c r="B1576" s="1" t="str">
        <f>IFERROR(__xludf.DUMMYFUNCTION("""COMPUTED_VALUE"""),"0011")</f>
        <v>0011</v>
      </c>
      <c r="C1576" s="32">
        <f>IFERROR(__xludf.DUMMYFUNCTION("""COMPUTED_VALUE"""),46117.60265046296)</f>
        <v>46117.60265</v>
      </c>
      <c r="D1576" s="1">
        <f>IFERROR(__xludf.DUMMYFUNCTION("""COMPUTED_VALUE"""),2.0)</f>
        <v>2</v>
      </c>
      <c r="E1576" s="1"/>
      <c r="F1576" s="1"/>
    </row>
    <row r="1577">
      <c r="A1577" s="1" t="str">
        <f>IFERROR(__xludf.DUMMYFUNCTION("""COMPUTED_VALUE"""),"bbe7b463")</f>
        <v>bbe7b463</v>
      </c>
      <c r="B1577" s="1" t="str">
        <f>IFERROR(__xludf.DUMMYFUNCTION("""COMPUTED_VALUE"""),"0064")</f>
        <v>0064</v>
      </c>
      <c r="C1577" s="32">
        <f>IFERROR(__xludf.DUMMYFUNCTION("""COMPUTED_VALUE"""),46117.60292824074)</f>
        <v>46117.60293</v>
      </c>
      <c r="D1577" s="1">
        <f>IFERROR(__xludf.DUMMYFUNCTION("""COMPUTED_VALUE"""),3.0)</f>
        <v>3</v>
      </c>
      <c r="E1577" s="1"/>
      <c r="F1577" s="1"/>
    </row>
    <row r="1578">
      <c r="A1578" s="1" t="str">
        <f>IFERROR(__xludf.DUMMYFUNCTION("""COMPUTED_VALUE"""),"6ff565f7")</f>
        <v>6ff565f7</v>
      </c>
      <c r="B1578" s="1" t="str">
        <f>IFERROR(__xludf.DUMMYFUNCTION("""COMPUTED_VALUE"""),"649eaeb5")</f>
        <v>649eaeb5</v>
      </c>
      <c r="C1578" s="32">
        <f>IFERROR(__xludf.DUMMYFUNCTION("""COMPUTED_VALUE"""),46117.60300925926)</f>
        <v>46117.60301</v>
      </c>
      <c r="D1578" s="1">
        <f>IFERROR(__xludf.DUMMYFUNCTION("""COMPUTED_VALUE"""),1.0)</f>
        <v>1</v>
      </c>
      <c r="E1578" s="1"/>
      <c r="F1578" s="1"/>
    </row>
    <row r="1579">
      <c r="A1579" s="1" t="str">
        <f>IFERROR(__xludf.DUMMYFUNCTION("""COMPUTED_VALUE"""),"3324e3fd")</f>
        <v>3324e3fd</v>
      </c>
      <c r="B1579" s="1" t="str">
        <f>IFERROR(__xludf.DUMMYFUNCTION("""COMPUTED_VALUE"""),"0054")</f>
        <v>0054</v>
      </c>
      <c r="C1579" s="32">
        <f>IFERROR(__xludf.DUMMYFUNCTION("""COMPUTED_VALUE"""),46117.60319444445)</f>
        <v>46117.60319</v>
      </c>
      <c r="D1579" s="1">
        <f>IFERROR(__xludf.DUMMYFUNCTION("""COMPUTED_VALUE"""),2.0)</f>
        <v>2</v>
      </c>
      <c r="E1579" s="1"/>
      <c r="F1579" s="1"/>
    </row>
    <row r="1580">
      <c r="A1580" s="1" t="str">
        <f>IFERROR(__xludf.DUMMYFUNCTION("""COMPUTED_VALUE"""),"350a26f9")</f>
        <v>350a26f9</v>
      </c>
      <c r="B1580" s="1" t="str">
        <f>IFERROR(__xludf.DUMMYFUNCTION("""COMPUTED_VALUE"""),"bb4d1bd1")</f>
        <v>bb4d1bd1</v>
      </c>
      <c r="C1580" s="32">
        <f>IFERROR(__xludf.DUMMYFUNCTION("""COMPUTED_VALUE"""),46117.60335648148)</f>
        <v>46117.60336</v>
      </c>
      <c r="D1580" s="1">
        <f>IFERROR(__xludf.DUMMYFUNCTION("""COMPUTED_VALUE"""),1.0)</f>
        <v>1</v>
      </c>
      <c r="E1580" s="1"/>
      <c r="F1580" s="1"/>
    </row>
    <row r="1581">
      <c r="A1581" s="1" t="str">
        <f>IFERROR(__xludf.DUMMYFUNCTION("""COMPUTED_VALUE"""),"1b04a6ad")</f>
        <v>1b04a6ad</v>
      </c>
      <c r="B1581" s="1" t="str">
        <f>IFERROR(__xludf.DUMMYFUNCTION("""COMPUTED_VALUE"""),"bb6c2490")</f>
        <v>bb6c2490</v>
      </c>
      <c r="C1581" s="32">
        <f>IFERROR(__xludf.DUMMYFUNCTION("""COMPUTED_VALUE"""),46118.73606481482)</f>
        <v>46118.73606</v>
      </c>
      <c r="D1581" s="1">
        <f>IFERROR(__xludf.DUMMYFUNCTION("""COMPUTED_VALUE"""),-10.0)</f>
        <v>-10</v>
      </c>
      <c r="E1581" s="1"/>
      <c r="F1581" s="1"/>
    </row>
    <row r="1582">
      <c r="A1582" s="1" t="str">
        <f>IFERROR(__xludf.DUMMYFUNCTION("""COMPUTED_VALUE"""),"eb780776")</f>
        <v>eb780776</v>
      </c>
      <c r="B1582" s="1" t="str">
        <f>IFERROR(__xludf.DUMMYFUNCTION("""COMPUTED_VALUE"""),"0027")</f>
        <v>0027</v>
      </c>
      <c r="C1582" s="32">
        <f>IFERROR(__xludf.DUMMYFUNCTION("""COMPUTED_VALUE"""),46118.73678240741)</f>
        <v>46118.73678</v>
      </c>
      <c r="D1582" s="1">
        <f>IFERROR(__xludf.DUMMYFUNCTION("""COMPUTED_VALUE"""),-10.0)</f>
        <v>-10</v>
      </c>
      <c r="E1582" s="1"/>
      <c r="F1582" s="1"/>
    </row>
    <row r="1583">
      <c r="A1583" s="1" t="str">
        <f>IFERROR(__xludf.DUMMYFUNCTION("""COMPUTED_VALUE"""),"67035adb")</f>
        <v>67035adb</v>
      </c>
      <c r="B1583" s="1" t="str">
        <f>IFERROR(__xludf.DUMMYFUNCTION("""COMPUTED_VALUE"""),"c099f042")</f>
        <v>c099f042</v>
      </c>
      <c r="C1583" s="32">
        <f>IFERROR(__xludf.DUMMYFUNCTION("""COMPUTED_VALUE"""),46118.736909722225)</f>
        <v>46118.73691</v>
      </c>
      <c r="D1583" s="1">
        <f>IFERROR(__xludf.DUMMYFUNCTION("""COMPUTED_VALUE"""),-2.0)</f>
        <v>-2</v>
      </c>
      <c r="E1583" s="1"/>
      <c r="F1583" s="1"/>
    </row>
    <row r="1584">
      <c r="A1584" s="1" t="str">
        <f>IFERROR(__xludf.DUMMYFUNCTION("""COMPUTED_VALUE"""),"541edf83")</f>
        <v>541edf83</v>
      </c>
      <c r="B1584" s="1" t="str">
        <f>IFERROR(__xludf.DUMMYFUNCTION("""COMPUTED_VALUE"""),"0001")</f>
        <v>0001</v>
      </c>
      <c r="C1584" s="32">
        <f>IFERROR(__xludf.DUMMYFUNCTION("""COMPUTED_VALUE"""),46118.737025462964)</f>
        <v>46118.73703</v>
      </c>
      <c r="D1584" s="1">
        <f>IFERROR(__xludf.DUMMYFUNCTION("""COMPUTED_VALUE"""),-3.0)</f>
        <v>-3</v>
      </c>
      <c r="E1584" s="1"/>
      <c r="F1584" s="1"/>
    </row>
    <row r="1585">
      <c r="A1585" s="1" t="str">
        <f>IFERROR(__xludf.DUMMYFUNCTION("""COMPUTED_VALUE"""),"f33f4e4b")</f>
        <v>f33f4e4b</v>
      </c>
      <c r="B1585" s="1" t="str">
        <f>IFERROR(__xludf.DUMMYFUNCTION("""COMPUTED_VALUE"""),"0af806f8")</f>
        <v>0af806f8</v>
      </c>
      <c r="C1585" s="32">
        <f>IFERROR(__xludf.DUMMYFUNCTION("""COMPUTED_VALUE"""),46118.737129629626)</f>
        <v>46118.73713</v>
      </c>
      <c r="D1585" s="1">
        <f>IFERROR(__xludf.DUMMYFUNCTION("""COMPUTED_VALUE"""),-7.0)</f>
        <v>-7</v>
      </c>
      <c r="E1585" s="1"/>
      <c r="F1585" s="1"/>
    </row>
    <row r="1586">
      <c r="A1586" s="1" t="str">
        <f>IFERROR(__xludf.DUMMYFUNCTION("""COMPUTED_VALUE"""),"4ba7c0ac")</f>
        <v>4ba7c0ac</v>
      </c>
      <c r="B1586" s="1" t="str">
        <f>IFERROR(__xludf.DUMMYFUNCTION("""COMPUTED_VALUE"""),"0021")</f>
        <v>0021</v>
      </c>
      <c r="C1586" s="32">
        <f>IFERROR(__xludf.DUMMYFUNCTION("""COMPUTED_VALUE"""),46118.73726851852)</f>
        <v>46118.73727</v>
      </c>
      <c r="D1586" s="1">
        <f>IFERROR(__xludf.DUMMYFUNCTION("""COMPUTED_VALUE"""),-5.0)</f>
        <v>-5</v>
      </c>
      <c r="E1586" s="1"/>
      <c r="F1586" s="1"/>
    </row>
    <row r="1587">
      <c r="A1587" s="1" t="str">
        <f>IFERROR(__xludf.DUMMYFUNCTION("""COMPUTED_VALUE"""),"823da304")</f>
        <v>823da304</v>
      </c>
      <c r="B1587" s="1" t="str">
        <f>IFERROR(__xludf.DUMMYFUNCTION("""COMPUTED_VALUE"""),"cf6c9481")</f>
        <v>cf6c9481</v>
      </c>
      <c r="C1587" s="32">
        <f>IFERROR(__xludf.DUMMYFUNCTION("""COMPUTED_VALUE"""),46118.73747685185)</f>
        <v>46118.73748</v>
      </c>
      <c r="D1587" s="1">
        <f>IFERROR(__xludf.DUMMYFUNCTION("""COMPUTED_VALUE"""),-5.0)</f>
        <v>-5</v>
      </c>
      <c r="E1587" s="1"/>
      <c r="F1587" s="1"/>
    </row>
    <row r="1588">
      <c r="A1588" s="1" t="str">
        <f>IFERROR(__xludf.DUMMYFUNCTION("""COMPUTED_VALUE"""),"25d021c3")</f>
        <v>25d021c3</v>
      </c>
      <c r="B1588" s="1" t="str">
        <f>IFERROR(__xludf.DUMMYFUNCTION("""COMPUTED_VALUE"""),"1b6b5ed6")</f>
        <v>1b6b5ed6</v>
      </c>
      <c r="C1588" s="32">
        <f>IFERROR(__xludf.DUMMYFUNCTION("""COMPUTED_VALUE"""),46118.737604166665)</f>
        <v>46118.7376</v>
      </c>
      <c r="D1588" s="1">
        <f>IFERROR(__xludf.DUMMYFUNCTION("""COMPUTED_VALUE"""),-6.0)</f>
        <v>-6</v>
      </c>
      <c r="E1588" s="1"/>
      <c r="F1588" s="1"/>
    </row>
    <row r="1589">
      <c r="A1589" s="1" t="str">
        <f>IFERROR(__xludf.DUMMYFUNCTION("""COMPUTED_VALUE"""),"1df78856")</f>
        <v>1df78856</v>
      </c>
      <c r="B1589" s="1" t="str">
        <f>IFERROR(__xludf.DUMMYFUNCTION("""COMPUTED_VALUE"""),"0027")</f>
        <v>0027</v>
      </c>
      <c r="C1589" s="32">
        <f>IFERROR(__xludf.DUMMYFUNCTION("""COMPUTED_VALUE"""),46118.737962962965)</f>
        <v>46118.73796</v>
      </c>
      <c r="D1589" s="1">
        <f>IFERROR(__xludf.DUMMYFUNCTION("""COMPUTED_VALUE"""),-11.0)</f>
        <v>-11</v>
      </c>
      <c r="E1589" s="1"/>
      <c r="F1589" s="1"/>
    </row>
    <row r="1590">
      <c r="A1590" s="1" t="str">
        <f>IFERROR(__xludf.DUMMYFUNCTION("""COMPUTED_VALUE"""),"c83d485e")</f>
        <v>c83d485e</v>
      </c>
      <c r="B1590" s="1" t="str">
        <f>IFERROR(__xludf.DUMMYFUNCTION("""COMPUTED_VALUE"""),"f998044c")</f>
        <v>f998044c</v>
      </c>
      <c r="C1590" s="32">
        <f>IFERROR(__xludf.DUMMYFUNCTION("""COMPUTED_VALUE"""),46118.80236111111)</f>
        <v>46118.80236</v>
      </c>
      <c r="D1590" s="1">
        <f>IFERROR(__xludf.DUMMYFUNCTION("""COMPUTED_VALUE"""),-13.0)</f>
        <v>-13</v>
      </c>
      <c r="E1590" s="1"/>
      <c r="F1590" s="1"/>
    </row>
    <row r="1591">
      <c r="A1591" s="1" t="str">
        <f>IFERROR(__xludf.DUMMYFUNCTION("""COMPUTED_VALUE"""),"f8af55d9")</f>
        <v>f8af55d9</v>
      </c>
      <c r="B1591" s="1" t="str">
        <f>IFERROR(__xludf.DUMMYFUNCTION("""COMPUTED_VALUE"""),"bb6c2490")</f>
        <v>bb6c2490</v>
      </c>
      <c r="C1591" s="32">
        <f>IFERROR(__xludf.DUMMYFUNCTION("""COMPUTED_VALUE"""),46119.0799537037)</f>
        <v>46119.07995</v>
      </c>
      <c r="D1591" s="1">
        <f>IFERROR(__xludf.DUMMYFUNCTION("""COMPUTED_VALUE"""),-21.0)</f>
        <v>-21</v>
      </c>
      <c r="E1591" s="1"/>
      <c r="F1591" s="1"/>
    </row>
    <row r="1592">
      <c r="A1592" s="1" t="str">
        <f>IFERROR(__xludf.DUMMYFUNCTION("""COMPUTED_VALUE"""),"0b47813b")</f>
        <v>0b47813b</v>
      </c>
      <c r="B1592" s="1" t="str">
        <f>IFERROR(__xludf.DUMMYFUNCTION("""COMPUTED_VALUE"""),"0af806f8")</f>
        <v>0af806f8</v>
      </c>
      <c r="C1592" s="32">
        <f>IFERROR(__xludf.DUMMYFUNCTION("""COMPUTED_VALUE"""),46119.08011574074)</f>
        <v>46119.08012</v>
      </c>
      <c r="D1592" s="1">
        <f>IFERROR(__xludf.DUMMYFUNCTION("""COMPUTED_VALUE"""),-5.0)</f>
        <v>-5</v>
      </c>
      <c r="E1592" s="1"/>
      <c r="F1592" s="1"/>
    </row>
    <row r="1593">
      <c r="A1593" s="1" t="str">
        <f>IFERROR(__xludf.DUMMYFUNCTION("""COMPUTED_VALUE"""),"436db4ed")</f>
        <v>436db4ed</v>
      </c>
      <c r="B1593" s="1" t="str">
        <f>IFERROR(__xludf.DUMMYFUNCTION("""COMPUTED_VALUE"""),"c099f042")</f>
        <v>c099f042</v>
      </c>
      <c r="C1593" s="32">
        <f>IFERROR(__xludf.DUMMYFUNCTION("""COMPUTED_VALUE"""),46119.080196759256)</f>
        <v>46119.0802</v>
      </c>
      <c r="D1593" s="1">
        <f>IFERROR(__xludf.DUMMYFUNCTION("""COMPUTED_VALUE"""),-3.0)</f>
        <v>-3</v>
      </c>
      <c r="E1593" s="1"/>
      <c r="F1593" s="1"/>
    </row>
    <row r="1594">
      <c r="A1594" s="1" t="str">
        <f>IFERROR(__xludf.DUMMYFUNCTION("""COMPUTED_VALUE"""),"7588c1ba")</f>
        <v>7588c1ba</v>
      </c>
      <c r="B1594" s="1" t="str">
        <f>IFERROR(__xludf.DUMMYFUNCTION("""COMPUTED_VALUE"""),"0033")</f>
        <v>0033</v>
      </c>
      <c r="C1594" s="32">
        <f>IFERROR(__xludf.DUMMYFUNCTION("""COMPUTED_VALUE"""),46119.080300925925)</f>
        <v>46119.0803</v>
      </c>
      <c r="D1594" s="1">
        <f>IFERROR(__xludf.DUMMYFUNCTION("""COMPUTED_VALUE"""),-5.0)</f>
        <v>-5</v>
      </c>
      <c r="E1594" s="1"/>
      <c r="F1594" s="1"/>
    </row>
    <row r="1595">
      <c r="A1595" s="1" t="str">
        <f>IFERROR(__xludf.DUMMYFUNCTION("""COMPUTED_VALUE"""),"e92936e1")</f>
        <v>e92936e1</v>
      </c>
      <c r="B1595" s="1" t="str">
        <f>IFERROR(__xludf.DUMMYFUNCTION("""COMPUTED_VALUE"""),"ed187a9e")</f>
        <v>ed187a9e</v>
      </c>
      <c r="C1595" s="32">
        <f>IFERROR(__xludf.DUMMYFUNCTION("""COMPUTED_VALUE"""),46119.08053240741)</f>
        <v>46119.08053</v>
      </c>
      <c r="D1595" s="1">
        <f>IFERROR(__xludf.DUMMYFUNCTION("""COMPUTED_VALUE"""),-14.0)</f>
        <v>-14</v>
      </c>
      <c r="E1595" s="1"/>
      <c r="F1595" s="1"/>
    </row>
    <row r="1596">
      <c r="A1596" s="1" t="str">
        <f>IFERROR(__xludf.DUMMYFUNCTION("""COMPUTED_VALUE"""),"601ae669")</f>
        <v>601ae669</v>
      </c>
      <c r="B1596" s="1" t="str">
        <f>IFERROR(__xludf.DUMMYFUNCTION("""COMPUTED_VALUE"""),"a19879cf")</f>
        <v>a19879cf</v>
      </c>
      <c r="C1596" s="32">
        <f>IFERROR(__xludf.DUMMYFUNCTION("""COMPUTED_VALUE"""),46119.08076388889)</f>
        <v>46119.08076</v>
      </c>
      <c r="D1596" s="1">
        <f>IFERROR(__xludf.DUMMYFUNCTION("""COMPUTED_VALUE"""),-5.0)</f>
        <v>-5</v>
      </c>
      <c r="E1596" s="1"/>
      <c r="F1596" s="1"/>
    </row>
    <row r="1597">
      <c r="A1597" s="1" t="str">
        <f>IFERROR(__xludf.DUMMYFUNCTION("""COMPUTED_VALUE"""),"6831b891")</f>
        <v>6831b891</v>
      </c>
      <c r="B1597" s="1" t="str">
        <f>IFERROR(__xludf.DUMMYFUNCTION("""COMPUTED_VALUE"""),"0064")</f>
        <v>0064</v>
      </c>
      <c r="C1597" s="32">
        <f>IFERROR(__xludf.DUMMYFUNCTION("""COMPUTED_VALUE"""),46119.08086805556)</f>
        <v>46119.08087</v>
      </c>
      <c r="D1597" s="1">
        <f>IFERROR(__xludf.DUMMYFUNCTION("""COMPUTED_VALUE"""),-6.0)</f>
        <v>-6</v>
      </c>
      <c r="E1597" s="1"/>
      <c r="F1597" s="1"/>
    </row>
    <row r="1598">
      <c r="A1598" s="1" t="str">
        <f>IFERROR(__xludf.DUMMYFUNCTION("""COMPUTED_VALUE"""),"e1245e04")</f>
        <v>e1245e04</v>
      </c>
      <c r="B1598" s="1" t="str">
        <f>IFERROR(__xludf.DUMMYFUNCTION("""COMPUTED_VALUE"""),"0032")</f>
        <v>0032</v>
      </c>
      <c r="C1598" s="32">
        <f>IFERROR(__xludf.DUMMYFUNCTION("""COMPUTED_VALUE"""),46119.08101851852)</f>
        <v>46119.08102</v>
      </c>
      <c r="D1598" s="1">
        <f>IFERROR(__xludf.DUMMYFUNCTION("""COMPUTED_VALUE"""),-4.0)</f>
        <v>-4</v>
      </c>
      <c r="E1598" s="1"/>
      <c r="F1598" s="1"/>
    </row>
    <row r="1599">
      <c r="A1599" s="1" t="str">
        <f>IFERROR(__xludf.DUMMYFUNCTION("""COMPUTED_VALUE"""),"47bfe812")</f>
        <v>47bfe812</v>
      </c>
      <c r="B1599" s="1" t="str">
        <f>IFERROR(__xludf.DUMMYFUNCTION("""COMPUTED_VALUE"""),"1b6b5ed6")</f>
        <v>1b6b5ed6</v>
      </c>
      <c r="C1599" s="32">
        <f>IFERROR(__xludf.DUMMYFUNCTION("""COMPUTED_VALUE"""),46119.081145833334)</f>
        <v>46119.08115</v>
      </c>
      <c r="D1599" s="1">
        <f>IFERROR(__xludf.DUMMYFUNCTION("""COMPUTED_VALUE"""),-5.0)</f>
        <v>-5</v>
      </c>
      <c r="E1599" s="1"/>
      <c r="F1599" s="1"/>
    </row>
    <row r="1600">
      <c r="A1600" s="1" t="str">
        <f>IFERROR(__xludf.DUMMYFUNCTION("""COMPUTED_VALUE"""),"1231a42f")</f>
        <v>1231a42f</v>
      </c>
      <c r="B1600" s="1" t="str">
        <f>IFERROR(__xludf.DUMMYFUNCTION("""COMPUTED_VALUE"""),"0011")</f>
        <v>0011</v>
      </c>
      <c r="C1600" s="32">
        <f>IFERROR(__xludf.DUMMYFUNCTION("""COMPUTED_VALUE"""),46119.08127314815)</f>
        <v>46119.08127</v>
      </c>
      <c r="D1600" s="1">
        <f>IFERROR(__xludf.DUMMYFUNCTION("""COMPUTED_VALUE"""),-3.0)</f>
        <v>-3</v>
      </c>
      <c r="E1600" s="1"/>
      <c r="F1600" s="1"/>
    </row>
    <row r="1601">
      <c r="A1601" s="1" t="str">
        <f>IFERROR(__xludf.DUMMYFUNCTION("""COMPUTED_VALUE"""),"0f8490c4")</f>
        <v>0f8490c4</v>
      </c>
      <c r="B1601" s="1" t="str">
        <f>IFERROR(__xludf.DUMMYFUNCTION("""COMPUTED_VALUE"""),"0002")</f>
        <v>0002</v>
      </c>
      <c r="C1601" s="32">
        <f>IFERROR(__xludf.DUMMYFUNCTION("""COMPUTED_VALUE"""),46119.081400462965)</f>
        <v>46119.0814</v>
      </c>
      <c r="D1601" s="1">
        <f>IFERROR(__xludf.DUMMYFUNCTION("""COMPUTED_VALUE"""),-12.0)</f>
        <v>-12</v>
      </c>
      <c r="E1601" s="1"/>
      <c r="F1601" s="1"/>
    </row>
    <row r="1602">
      <c r="A1602" s="1" t="str">
        <f>IFERROR(__xludf.DUMMYFUNCTION("""COMPUTED_VALUE"""),"d5fd7bf2")</f>
        <v>d5fd7bf2</v>
      </c>
      <c r="B1602" s="1" t="str">
        <f>IFERROR(__xludf.DUMMYFUNCTION("""COMPUTED_VALUE"""),"ed187a9e")</f>
        <v>ed187a9e</v>
      </c>
      <c r="C1602" s="32">
        <f>IFERROR(__xludf.DUMMYFUNCTION("""COMPUTED_VALUE"""),46119.081979166665)</f>
        <v>46119.08198</v>
      </c>
      <c r="D1602" s="1">
        <f>IFERROR(__xludf.DUMMYFUNCTION("""COMPUTED_VALUE"""),24.0)</f>
        <v>24</v>
      </c>
      <c r="E1602" s="1" t="str">
        <f>IFERROR(__xludf.DUMMYFUNCTION("""COMPUTED_VALUE"""),"cabe7632")</f>
        <v>cabe7632</v>
      </c>
      <c r="F1602" s="1"/>
    </row>
    <row r="1603">
      <c r="A1603" s="1" t="str">
        <f>IFERROR(__xludf.DUMMYFUNCTION("""COMPUTED_VALUE"""),"31e898fa")</f>
        <v>31e898fa</v>
      </c>
      <c r="B1603" s="1" t="str">
        <f>IFERROR(__xludf.DUMMYFUNCTION("""COMPUTED_VALUE"""),"0033")</f>
        <v>0033</v>
      </c>
      <c r="C1603" s="32">
        <f>IFERROR(__xludf.DUMMYFUNCTION("""COMPUTED_VALUE"""),46119.08771990741)</f>
        <v>46119.08772</v>
      </c>
      <c r="D1603" s="1">
        <f>IFERROR(__xludf.DUMMYFUNCTION("""COMPUTED_VALUE"""),24.0)</f>
        <v>24</v>
      </c>
      <c r="E1603" s="1" t="str">
        <f>IFERROR(__xludf.DUMMYFUNCTION("""COMPUTED_VALUE"""),"cabe7632")</f>
        <v>cabe7632</v>
      </c>
      <c r="F1603" s="1"/>
    </row>
    <row r="1604">
      <c r="A1604" s="1" t="str">
        <f>IFERROR(__xludf.DUMMYFUNCTION("""COMPUTED_VALUE"""),"f52c8805")</f>
        <v>f52c8805</v>
      </c>
      <c r="B1604" s="1" t="str">
        <f>IFERROR(__xludf.DUMMYFUNCTION("""COMPUTED_VALUE"""),"0086")</f>
        <v>0086</v>
      </c>
      <c r="C1604" s="32">
        <f>IFERROR(__xludf.DUMMYFUNCTION("""COMPUTED_VALUE"""),46119.402349537035)</f>
        <v>46119.40235</v>
      </c>
      <c r="D1604" s="1">
        <f>IFERROR(__xludf.DUMMYFUNCTION("""COMPUTED_VALUE"""),40.0)</f>
        <v>40</v>
      </c>
      <c r="E1604" s="1" t="str">
        <f>IFERROR(__xludf.DUMMYFUNCTION("""COMPUTED_VALUE"""),"a1578cc1")</f>
        <v>a1578cc1</v>
      </c>
      <c r="F1604" s="1"/>
    </row>
    <row r="1605">
      <c r="A1605" s="1" t="str">
        <f>IFERROR(__xludf.DUMMYFUNCTION("""COMPUTED_VALUE"""),"a215e37d")</f>
        <v>a215e37d</v>
      </c>
      <c r="B1605" s="1" t="str">
        <f>IFERROR(__xludf.DUMMYFUNCTION("""COMPUTED_VALUE"""),"220a28b9")</f>
        <v>220a28b9</v>
      </c>
      <c r="C1605" s="32">
        <f>IFERROR(__xludf.DUMMYFUNCTION("""COMPUTED_VALUE"""),46119.40253472222)</f>
        <v>46119.40253</v>
      </c>
      <c r="D1605" s="1">
        <f>IFERROR(__xludf.DUMMYFUNCTION("""COMPUTED_VALUE"""),-12.0)</f>
        <v>-12</v>
      </c>
      <c r="E1605" s="1"/>
      <c r="F1605" s="1"/>
    </row>
    <row r="1606">
      <c r="A1606" s="1" t="str">
        <f>IFERROR(__xludf.DUMMYFUNCTION("""COMPUTED_VALUE"""),"2bad1eb0")</f>
        <v>2bad1eb0</v>
      </c>
      <c r="B1606" s="1" t="str">
        <f>IFERROR(__xludf.DUMMYFUNCTION("""COMPUTED_VALUE"""),"0001")</f>
        <v>0001</v>
      </c>
      <c r="C1606" s="32">
        <f>IFERROR(__xludf.DUMMYFUNCTION("""COMPUTED_VALUE"""),46119.40273148148)</f>
        <v>46119.40273</v>
      </c>
      <c r="D1606" s="1">
        <f>IFERROR(__xludf.DUMMYFUNCTION("""COMPUTED_VALUE"""),-14.0)</f>
        <v>-14</v>
      </c>
      <c r="E1606" s="1"/>
      <c r="F1606" s="1"/>
    </row>
    <row r="1607">
      <c r="A1607" s="1" t="str">
        <f>IFERROR(__xludf.DUMMYFUNCTION("""COMPUTED_VALUE"""),"b29be453")</f>
        <v>b29be453</v>
      </c>
      <c r="B1607" s="1" t="str">
        <f>IFERROR(__xludf.DUMMYFUNCTION("""COMPUTED_VALUE"""),"0af806f8")</f>
        <v>0af806f8</v>
      </c>
      <c r="C1607" s="32">
        <f>IFERROR(__xludf.DUMMYFUNCTION("""COMPUTED_VALUE"""),46119.40284722222)</f>
        <v>46119.40285</v>
      </c>
      <c r="D1607" s="1">
        <f>IFERROR(__xludf.DUMMYFUNCTION("""COMPUTED_VALUE"""),-6.0)</f>
        <v>-6</v>
      </c>
      <c r="E1607" s="1"/>
      <c r="F1607" s="1"/>
    </row>
    <row r="1608">
      <c r="A1608" s="1" t="str">
        <f>IFERROR(__xludf.DUMMYFUNCTION("""COMPUTED_VALUE"""),"7f7227c7")</f>
        <v>7f7227c7</v>
      </c>
      <c r="B1608" s="1" t="str">
        <f>IFERROR(__xludf.DUMMYFUNCTION("""COMPUTED_VALUE"""),"c099f042")</f>
        <v>c099f042</v>
      </c>
      <c r="C1608" s="32">
        <f>IFERROR(__xludf.DUMMYFUNCTION("""COMPUTED_VALUE"""),46119.402962962966)</f>
        <v>46119.40296</v>
      </c>
      <c r="D1608" s="1">
        <f>IFERROR(__xludf.DUMMYFUNCTION("""COMPUTED_VALUE"""),-14.0)</f>
        <v>-14</v>
      </c>
      <c r="E1608" s="1"/>
      <c r="F1608" s="1"/>
    </row>
    <row r="1609">
      <c r="A1609" s="1" t="str">
        <f>IFERROR(__xludf.DUMMYFUNCTION("""COMPUTED_VALUE"""),"d3b307f2")</f>
        <v>d3b307f2</v>
      </c>
      <c r="B1609" s="1" t="str">
        <f>IFERROR(__xludf.DUMMYFUNCTION("""COMPUTED_VALUE"""),"bb6c2490")</f>
        <v>bb6c2490</v>
      </c>
      <c r="C1609" s="32">
        <f>IFERROR(__xludf.DUMMYFUNCTION("""COMPUTED_VALUE"""),46119.403182870374)</f>
        <v>46119.40318</v>
      </c>
      <c r="D1609" s="1">
        <f>IFERROR(__xludf.DUMMYFUNCTION("""COMPUTED_VALUE"""),-14.0)</f>
        <v>-14</v>
      </c>
      <c r="E1609" s="1"/>
      <c r="F1609" s="1"/>
    </row>
    <row r="1610">
      <c r="A1610" s="1" t="str">
        <f>IFERROR(__xludf.DUMMYFUNCTION("""COMPUTED_VALUE"""),"afce513f")</f>
        <v>afce513f</v>
      </c>
      <c r="B1610" s="1" t="str">
        <f>IFERROR(__xludf.DUMMYFUNCTION("""COMPUTED_VALUE"""),"0033")</f>
        <v>0033</v>
      </c>
      <c r="C1610" s="32">
        <f>IFERROR(__xludf.DUMMYFUNCTION("""COMPUTED_VALUE"""),46119.40351851852)</f>
        <v>46119.40352</v>
      </c>
      <c r="D1610" s="1">
        <f>IFERROR(__xludf.DUMMYFUNCTION("""COMPUTED_VALUE"""),-2.0)</f>
        <v>-2</v>
      </c>
      <c r="E1610" s="1"/>
      <c r="F1610" s="1"/>
    </row>
    <row r="1611">
      <c r="A1611" s="1" t="str">
        <f>IFERROR(__xludf.DUMMYFUNCTION("""COMPUTED_VALUE"""),"ebd3af05")</f>
        <v>ebd3af05</v>
      </c>
      <c r="B1611" s="1" t="str">
        <f>IFERROR(__xludf.DUMMYFUNCTION("""COMPUTED_VALUE"""),"0063")</f>
        <v>0063</v>
      </c>
      <c r="C1611" s="32">
        <f>IFERROR(__xludf.DUMMYFUNCTION("""COMPUTED_VALUE"""),46119.40366898148)</f>
        <v>46119.40367</v>
      </c>
      <c r="D1611" s="1">
        <f>IFERROR(__xludf.DUMMYFUNCTION("""COMPUTED_VALUE"""),-7.0)</f>
        <v>-7</v>
      </c>
      <c r="E1611" s="1"/>
      <c r="F1611" s="1"/>
    </row>
    <row r="1612">
      <c r="A1612" s="1" t="str">
        <f>IFERROR(__xludf.DUMMYFUNCTION("""COMPUTED_VALUE"""),"2ddcc53b")</f>
        <v>2ddcc53b</v>
      </c>
      <c r="B1612" s="1" t="str">
        <f>IFERROR(__xludf.DUMMYFUNCTION("""COMPUTED_VALUE"""),"0027")</f>
        <v>0027</v>
      </c>
      <c r="C1612" s="32">
        <f>IFERROR(__xludf.DUMMYFUNCTION("""COMPUTED_VALUE"""),46119.4037962963)</f>
        <v>46119.4038</v>
      </c>
      <c r="D1612" s="1">
        <f>IFERROR(__xludf.DUMMYFUNCTION("""COMPUTED_VALUE"""),-5.0)</f>
        <v>-5</v>
      </c>
      <c r="E1612" s="1"/>
      <c r="F1612" s="1"/>
    </row>
    <row r="1613">
      <c r="A1613" s="1" t="str">
        <f>IFERROR(__xludf.DUMMYFUNCTION("""COMPUTED_VALUE"""),"bd3f5109")</f>
        <v>bd3f5109</v>
      </c>
      <c r="B1613" s="1" t="str">
        <f>IFERROR(__xludf.DUMMYFUNCTION("""COMPUTED_VALUE"""),"0014")</f>
        <v>0014</v>
      </c>
      <c r="C1613" s="32">
        <f>IFERROR(__xludf.DUMMYFUNCTION("""COMPUTED_VALUE"""),46119.40392361111)</f>
        <v>46119.40392</v>
      </c>
      <c r="D1613" s="1">
        <f>IFERROR(__xludf.DUMMYFUNCTION("""COMPUTED_VALUE"""),-7.0)</f>
        <v>-7</v>
      </c>
      <c r="E1613" s="1"/>
      <c r="F1613" s="1"/>
    </row>
    <row r="1614">
      <c r="A1614" s="1" t="str">
        <f>IFERROR(__xludf.DUMMYFUNCTION("""COMPUTED_VALUE"""),"39eca676")</f>
        <v>39eca676</v>
      </c>
      <c r="B1614" s="1" t="str">
        <f>IFERROR(__xludf.DUMMYFUNCTION("""COMPUTED_VALUE"""),"0019")</f>
        <v>0019</v>
      </c>
      <c r="C1614" s="32">
        <f>IFERROR(__xludf.DUMMYFUNCTION("""COMPUTED_VALUE"""),46119.40405092593)</f>
        <v>46119.40405</v>
      </c>
      <c r="D1614" s="1">
        <f>IFERROR(__xludf.DUMMYFUNCTION("""COMPUTED_VALUE"""),-6.0)</f>
        <v>-6</v>
      </c>
      <c r="E1614" s="1"/>
      <c r="F1614" s="1"/>
    </row>
    <row r="1615">
      <c r="A1615" s="1" t="str">
        <f>IFERROR(__xludf.DUMMYFUNCTION("""COMPUTED_VALUE"""),"458dc502")</f>
        <v>458dc502</v>
      </c>
      <c r="B1615" s="1" t="str">
        <f>IFERROR(__xludf.DUMMYFUNCTION("""COMPUTED_VALUE"""),"a19879cf")</f>
        <v>a19879cf</v>
      </c>
      <c r="C1615" s="32">
        <f>IFERROR(__xludf.DUMMYFUNCTION("""COMPUTED_VALUE"""),46119.40420138889)</f>
        <v>46119.4042</v>
      </c>
      <c r="D1615" s="1">
        <f>IFERROR(__xludf.DUMMYFUNCTION("""COMPUTED_VALUE"""),-14.0)</f>
        <v>-14</v>
      </c>
      <c r="E1615" s="1"/>
      <c r="F1615" s="1"/>
    </row>
    <row r="1616">
      <c r="A1616" s="1" t="str">
        <f>IFERROR(__xludf.DUMMYFUNCTION("""COMPUTED_VALUE"""),"24fa01d6")</f>
        <v>24fa01d6</v>
      </c>
      <c r="B1616" s="1" t="str">
        <f>IFERROR(__xludf.DUMMYFUNCTION("""COMPUTED_VALUE"""),"0086")</f>
        <v>0086</v>
      </c>
      <c r="C1616" s="32">
        <f>IFERROR(__xludf.DUMMYFUNCTION("""COMPUTED_VALUE"""),46119.40430555555)</f>
        <v>46119.40431</v>
      </c>
      <c r="D1616" s="1">
        <f>IFERROR(__xludf.DUMMYFUNCTION("""COMPUTED_VALUE"""),-10.0)</f>
        <v>-10</v>
      </c>
      <c r="E1616" s="1"/>
      <c r="F1616" s="1"/>
    </row>
    <row r="1617">
      <c r="A1617" s="1" t="str">
        <f>IFERROR(__xludf.DUMMYFUNCTION("""COMPUTED_VALUE"""),"88cfeda1")</f>
        <v>88cfeda1</v>
      </c>
      <c r="B1617" s="1" t="str">
        <f>IFERROR(__xludf.DUMMYFUNCTION("""COMPUTED_VALUE"""),"1b6b5ed6")</f>
        <v>1b6b5ed6</v>
      </c>
      <c r="C1617" s="32">
        <f>IFERROR(__xludf.DUMMYFUNCTION("""COMPUTED_VALUE"""),46119.40447916667)</f>
        <v>46119.40448</v>
      </c>
      <c r="D1617" s="1">
        <f>IFERROR(__xludf.DUMMYFUNCTION("""COMPUTED_VALUE"""),-16.0)</f>
        <v>-16</v>
      </c>
      <c r="E1617" s="1"/>
      <c r="F1617" s="1"/>
    </row>
    <row r="1618">
      <c r="A1618" s="1" t="str">
        <f>IFERROR(__xludf.DUMMYFUNCTION("""COMPUTED_VALUE"""),"b5e38bf1")</f>
        <v>b5e38bf1</v>
      </c>
      <c r="B1618" s="1" t="str">
        <f>IFERROR(__xludf.DUMMYFUNCTION("""COMPUTED_VALUE"""),"0f694cb5")</f>
        <v>0f694cb5</v>
      </c>
      <c r="C1618" s="32">
        <f>IFERROR(__xludf.DUMMYFUNCTION("""COMPUTED_VALUE"""),46119.404652777775)</f>
        <v>46119.40465</v>
      </c>
      <c r="D1618" s="1">
        <f>IFERROR(__xludf.DUMMYFUNCTION("""COMPUTED_VALUE"""),-8.0)</f>
        <v>-8</v>
      </c>
      <c r="E1618" s="1"/>
      <c r="F1618" s="1"/>
    </row>
    <row r="1619">
      <c r="A1619" s="1" t="str">
        <f>IFERROR(__xludf.DUMMYFUNCTION("""COMPUTED_VALUE"""),"d466f510")</f>
        <v>d466f510</v>
      </c>
      <c r="B1619" s="1" t="str">
        <f>IFERROR(__xludf.DUMMYFUNCTION("""COMPUTED_VALUE"""),"cb9e809e")</f>
        <v>cb9e809e</v>
      </c>
      <c r="C1619" s="32">
        <f>IFERROR(__xludf.DUMMYFUNCTION("""COMPUTED_VALUE"""),46119.40479166667)</f>
        <v>46119.40479</v>
      </c>
      <c r="D1619" s="1">
        <f>IFERROR(__xludf.DUMMYFUNCTION("""COMPUTED_VALUE"""),-6.0)</f>
        <v>-6</v>
      </c>
      <c r="E1619" s="1"/>
      <c r="F1619" s="1"/>
    </row>
    <row r="1620">
      <c r="A1620" s="1" t="str">
        <f>IFERROR(__xludf.DUMMYFUNCTION("""COMPUTED_VALUE"""),"4c10d780")</f>
        <v>4c10d780</v>
      </c>
      <c r="B1620" s="1" t="str">
        <f>IFERROR(__xludf.DUMMYFUNCTION("""COMPUTED_VALUE"""),"0064")</f>
        <v>0064</v>
      </c>
      <c r="C1620" s="32">
        <f>IFERROR(__xludf.DUMMYFUNCTION("""COMPUTED_VALUE"""),46119.40494212963)</f>
        <v>46119.40494</v>
      </c>
      <c r="D1620" s="1">
        <f>IFERROR(__xludf.DUMMYFUNCTION("""COMPUTED_VALUE"""),-3.0)</f>
        <v>-3</v>
      </c>
      <c r="E1620" s="1"/>
      <c r="F1620" s="1"/>
    </row>
    <row r="1621">
      <c r="A1621" s="1" t="str">
        <f>IFERROR(__xludf.DUMMYFUNCTION("""COMPUTED_VALUE"""),"f6481b40")</f>
        <v>f6481b40</v>
      </c>
      <c r="B1621" s="1" t="str">
        <f>IFERROR(__xludf.DUMMYFUNCTION("""COMPUTED_VALUE"""),"0032")</f>
        <v>0032</v>
      </c>
      <c r="C1621" s="32">
        <f>IFERROR(__xludf.DUMMYFUNCTION("""COMPUTED_VALUE"""),46119.405069444445)</f>
        <v>46119.40507</v>
      </c>
      <c r="D1621" s="1">
        <f>IFERROR(__xludf.DUMMYFUNCTION("""COMPUTED_VALUE"""),-7.0)</f>
        <v>-7</v>
      </c>
      <c r="E1621" s="1"/>
      <c r="F1621" s="1"/>
    </row>
    <row r="1622">
      <c r="A1622" s="1" t="str">
        <f>IFERROR(__xludf.DUMMYFUNCTION("""COMPUTED_VALUE"""),"22c17347")</f>
        <v>22c17347</v>
      </c>
      <c r="B1622" s="1" t="str">
        <f>IFERROR(__xludf.DUMMYFUNCTION("""COMPUTED_VALUE"""),"0029")</f>
        <v>0029</v>
      </c>
      <c r="C1622" s="32">
        <f>IFERROR(__xludf.DUMMYFUNCTION("""COMPUTED_VALUE"""),46119.40519675926)</f>
        <v>46119.4052</v>
      </c>
      <c r="D1622" s="1">
        <f>IFERROR(__xludf.DUMMYFUNCTION("""COMPUTED_VALUE"""),-13.0)</f>
        <v>-13</v>
      </c>
      <c r="E1622" s="1"/>
      <c r="F1622" s="1"/>
    </row>
    <row r="1623">
      <c r="A1623" s="1" t="str">
        <f>IFERROR(__xludf.DUMMYFUNCTION("""COMPUTED_VALUE"""),"2c81bcc2")</f>
        <v>2c81bcc2</v>
      </c>
      <c r="B1623" s="1" t="str">
        <f>IFERROR(__xludf.DUMMYFUNCTION("""COMPUTED_VALUE"""),"0011")</f>
        <v>0011</v>
      </c>
      <c r="C1623" s="32">
        <f>IFERROR(__xludf.DUMMYFUNCTION("""COMPUTED_VALUE"""),46119.4053587963)</f>
        <v>46119.40536</v>
      </c>
      <c r="D1623" s="1">
        <f>IFERROR(__xludf.DUMMYFUNCTION("""COMPUTED_VALUE"""),-9.0)</f>
        <v>-9</v>
      </c>
      <c r="E1623" s="1"/>
      <c r="F1623" s="1"/>
    </row>
    <row r="1624">
      <c r="A1624" s="1" t="str">
        <f>IFERROR(__xludf.DUMMYFUNCTION("""COMPUTED_VALUE"""),"169f7682")</f>
        <v>169f7682</v>
      </c>
      <c r="B1624" s="1" t="str">
        <f>IFERROR(__xludf.DUMMYFUNCTION("""COMPUTED_VALUE"""),"0002")</f>
        <v>0002</v>
      </c>
      <c r="C1624" s="32">
        <f>IFERROR(__xludf.DUMMYFUNCTION("""COMPUTED_VALUE"""),46119.40552083333)</f>
        <v>46119.40552</v>
      </c>
      <c r="D1624" s="1">
        <f>IFERROR(__xludf.DUMMYFUNCTION("""COMPUTED_VALUE"""),-48.0)</f>
        <v>-48</v>
      </c>
      <c r="E1624" s="1"/>
      <c r="F1624" s="1"/>
    </row>
    <row r="1625">
      <c r="A1625" s="1" t="str">
        <f>IFERROR(__xludf.DUMMYFUNCTION("""COMPUTED_VALUE"""),"ca1d6828")</f>
        <v>ca1d6828</v>
      </c>
      <c r="B1625" s="1" t="str">
        <f>IFERROR(__xludf.DUMMYFUNCTION("""COMPUTED_VALUE"""),"52149040")</f>
        <v>52149040</v>
      </c>
      <c r="C1625" s="32">
        <f>IFERROR(__xludf.DUMMYFUNCTION("""COMPUTED_VALUE"""),46119.7631712963)</f>
        <v>46119.76317</v>
      </c>
      <c r="D1625" s="1">
        <f>IFERROR(__xludf.DUMMYFUNCTION("""COMPUTED_VALUE"""),50.0)</f>
        <v>50</v>
      </c>
      <c r="E1625" s="1" t="str">
        <f>IFERROR(__xludf.DUMMYFUNCTION("""COMPUTED_VALUE"""),"c2901ad0")</f>
        <v>c2901ad0</v>
      </c>
      <c r="F1625" s="1"/>
    </row>
    <row r="1626">
      <c r="A1626" s="1" t="str">
        <f>IFERROR(__xludf.DUMMYFUNCTION("""COMPUTED_VALUE"""),"d256a5ff")</f>
        <v>d256a5ff</v>
      </c>
      <c r="B1626" s="1" t="str">
        <f>IFERROR(__xludf.DUMMYFUNCTION("""COMPUTED_VALUE"""),"0086")</f>
        <v>0086</v>
      </c>
      <c r="C1626" s="32">
        <f>IFERROR(__xludf.DUMMYFUNCTION("""COMPUTED_VALUE"""),46119.95993055555)</f>
        <v>46119.95993</v>
      </c>
      <c r="D1626" s="1">
        <f>IFERROR(__xludf.DUMMYFUNCTION("""COMPUTED_VALUE"""),40.0)</f>
        <v>40</v>
      </c>
      <c r="E1626" s="1" t="str">
        <f>IFERROR(__xludf.DUMMYFUNCTION("""COMPUTED_VALUE"""),"9f636573")</f>
        <v>9f636573</v>
      </c>
      <c r="F1626" s="1"/>
    </row>
    <row r="1627">
      <c r="A1627" s="1" t="str">
        <f>IFERROR(__xludf.DUMMYFUNCTION("""COMPUTED_VALUE"""),"9ec5e7b2")</f>
        <v>9ec5e7b2</v>
      </c>
      <c r="B1627" s="1" t="str">
        <f>IFERROR(__xludf.DUMMYFUNCTION("""COMPUTED_VALUE"""),"c80ae9f2")</f>
        <v>c80ae9f2</v>
      </c>
      <c r="C1627" s="32">
        <f>IFERROR(__xludf.DUMMYFUNCTION("""COMPUTED_VALUE"""),46119.960011574076)</f>
        <v>46119.96001</v>
      </c>
      <c r="D1627" s="1">
        <f>IFERROR(__xludf.DUMMYFUNCTION("""COMPUTED_VALUE"""),12.0)</f>
        <v>12</v>
      </c>
      <c r="E1627" s="1" t="str">
        <f>IFERROR(__xludf.DUMMYFUNCTION("""COMPUTED_VALUE"""),"9f636573")</f>
        <v>9f636573</v>
      </c>
      <c r="F1627" s="1"/>
    </row>
    <row r="1628">
      <c r="A1628" s="1" t="str">
        <f>IFERROR(__xludf.DUMMYFUNCTION("""COMPUTED_VALUE"""),"85bbe0cc")</f>
        <v>85bbe0cc</v>
      </c>
      <c r="B1628" s="1" t="str">
        <f>IFERROR(__xludf.DUMMYFUNCTION("""COMPUTED_VALUE"""),"0038")</f>
        <v>0038</v>
      </c>
      <c r="C1628" s="32">
        <f>IFERROR(__xludf.DUMMYFUNCTION("""COMPUTED_VALUE"""),46119.96008101852)</f>
        <v>46119.96008</v>
      </c>
      <c r="D1628" s="1">
        <f>IFERROR(__xludf.DUMMYFUNCTION("""COMPUTED_VALUE"""),16.0)</f>
        <v>16</v>
      </c>
      <c r="E1628" s="1" t="str">
        <f>IFERROR(__xludf.DUMMYFUNCTION("""COMPUTED_VALUE"""),"9f636573")</f>
        <v>9f636573</v>
      </c>
      <c r="F1628" s="1"/>
    </row>
    <row r="1629">
      <c r="A1629" s="1" t="str">
        <f>IFERROR(__xludf.DUMMYFUNCTION("""COMPUTED_VALUE"""),"107236ee")</f>
        <v>107236ee</v>
      </c>
      <c r="B1629" s="1" t="str">
        <f>IFERROR(__xludf.DUMMYFUNCTION("""COMPUTED_VALUE"""),"c099f042")</f>
        <v>c099f042</v>
      </c>
      <c r="C1629" s="32">
        <f>IFERROR(__xludf.DUMMYFUNCTION("""COMPUTED_VALUE"""),46120.39318287037)</f>
        <v>46120.39318</v>
      </c>
      <c r="D1629" s="1">
        <f>IFERROR(__xludf.DUMMYFUNCTION("""COMPUTED_VALUE"""),-23.0)</f>
        <v>-23</v>
      </c>
      <c r="E1629" s="1"/>
      <c r="F1629" s="1"/>
    </row>
    <row r="1630">
      <c r="A1630" s="1" t="str">
        <f>IFERROR(__xludf.DUMMYFUNCTION("""COMPUTED_VALUE"""),"2bc66d12")</f>
        <v>2bc66d12</v>
      </c>
      <c r="B1630" s="1" t="str">
        <f>IFERROR(__xludf.DUMMYFUNCTION("""COMPUTED_VALUE"""),"0001")</f>
        <v>0001</v>
      </c>
      <c r="C1630" s="32">
        <f>IFERROR(__xludf.DUMMYFUNCTION("""COMPUTED_VALUE"""),46120.39334490741)</f>
        <v>46120.39334</v>
      </c>
      <c r="D1630" s="1">
        <f>IFERROR(__xludf.DUMMYFUNCTION("""COMPUTED_VALUE"""),-14.0)</f>
        <v>-14</v>
      </c>
      <c r="E1630" s="1"/>
      <c r="F1630" s="1"/>
    </row>
    <row r="1631">
      <c r="A1631" s="1" t="str">
        <f>IFERROR(__xludf.DUMMYFUNCTION("""COMPUTED_VALUE"""),"45b9238d")</f>
        <v>45b9238d</v>
      </c>
      <c r="B1631" s="1" t="str">
        <f>IFERROR(__xludf.DUMMYFUNCTION("""COMPUTED_VALUE"""),"0af806f8")</f>
        <v>0af806f8</v>
      </c>
      <c r="C1631" s="32">
        <f>IFERROR(__xludf.DUMMYFUNCTION("""COMPUTED_VALUE"""),46120.39341435185)</f>
        <v>46120.39341</v>
      </c>
      <c r="D1631" s="1">
        <f>IFERROR(__xludf.DUMMYFUNCTION("""COMPUTED_VALUE"""),-6.0)</f>
        <v>-6</v>
      </c>
      <c r="E1631" s="1"/>
      <c r="F1631" s="1"/>
    </row>
    <row r="1632">
      <c r="A1632" s="1" t="str">
        <f>IFERROR(__xludf.DUMMYFUNCTION("""COMPUTED_VALUE"""),"e69147b8")</f>
        <v>e69147b8</v>
      </c>
      <c r="B1632" s="1" t="str">
        <f>IFERROR(__xludf.DUMMYFUNCTION("""COMPUTED_VALUE"""),"0032")</f>
        <v>0032</v>
      </c>
      <c r="C1632" s="32">
        <f>IFERROR(__xludf.DUMMYFUNCTION("""COMPUTED_VALUE"""),46120.3940625)</f>
        <v>46120.39406</v>
      </c>
      <c r="D1632" s="1">
        <f>IFERROR(__xludf.DUMMYFUNCTION("""COMPUTED_VALUE"""),-22.0)</f>
        <v>-22</v>
      </c>
      <c r="E1632" s="1"/>
      <c r="F1632" s="1"/>
    </row>
    <row r="1633">
      <c r="A1633" s="1" t="str">
        <f>IFERROR(__xludf.DUMMYFUNCTION("""COMPUTED_VALUE"""),"3a50b80c")</f>
        <v>3a50b80c</v>
      </c>
      <c r="B1633" s="1" t="str">
        <f>IFERROR(__xludf.DUMMYFUNCTION("""COMPUTED_VALUE"""),"9d0be7b3")</f>
        <v>9d0be7b3</v>
      </c>
      <c r="C1633" s="32">
        <f>IFERROR(__xludf.DUMMYFUNCTION("""COMPUTED_VALUE"""),46120.39418981481)</f>
        <v>46120.39419</v>
      </c>
      <c r="D1633" s="1">
        <f>IFERROR(__xludf.DUMMYFUNCTION("""COMPUTED_VALUE"""),-13.0)</f>
        <v>-13</v>
      </c>
      <c r="E1633" s="1"/>
      <c r="F1633" s="1"/>
    </row>
    <row r="1634">
      <c r="A1634" s="1" t="str">
        <f>IFERROR(__xludf.DUMMYFUNCTION("""COMPUTED_VALUE"""),"5ece5c9b")</f>
        <v>5ece5c9b</v>
      </c>
      <c r="B1634" s="1" t="str">
        <f>IFERROR(__xludf.DUMMYFUNCTION("""COMPUTED_VALUE"""),"bb6c2490")</f>
        <v>bb6c2490</v>
      </c>
      <c r="C1634" s="32">
        <f>IFERROR(__xludf.DUMMYFUNCTION("""COMPUTED_VALUE"""),46120.39474537037)</f>
        <v>46120.39475</v>
      </c>
      <c r="D1634" s="1">
        <f>IFERROR(__xludf.DUMMYFUNCTION("""COMPUTED_VALUE"""),-17.0)</f>
        <v>-17</v>
      </c>
      <c r="E1634" s="1"/>
      <c r="F1634" s="1"/>
    </row>
    <row r="1635">
      <c r="A1635" s="1" t="str">
        <f>IFERROR(__xludf.DUMMYFUNCTION("""COMPUTED_VALUE"""),"7ca5fa94")</f>
        <v>7ca5fa94</v>
      </c>
      <c r="B1635" s="1" t="str">
        <f>IFERROR(__xludf.DUMMYFUNCTION("""COMPUTED_VALUE"""),"0038")</f>
        <v>0038</v>
      </c>
      <c r="C1635" s="32">
        <f>IFERROR(__xludf.DUMMYFUNCTION("""COMPUTED_VALUE"""),46120.39494212963)</f>
        <v>46120.39494</v>
      </c>
      <c r="D1635" s="1">
        <f>IFERROR(__xludf.DUMMYFUNCTION("""COMPUTED_VALUE"""),-6.0)</f>
        <v>-6</v>
      </c>
      <c r="E1635" s="1"/>
      <c r="F1635" s="1"/>
    </row>
    <row r="1636">
      <c r="A1636" s="1" t="str">
        <f>IFERROR(__xludf.DUMMYFUNCTION("""COMPUTED_VALUE"""),"3a11f10f")</f>
        <v>3a11f10f</v>
      </c>
      <c r="B1636" s="1" t="str">
        <f>IFERROR(__xludf.DUMMYFUNCTION("""COMPUTED_VALUE"""),"0021")</f>
        <v>0021</v>
      </c>
      <c r="C1636" s="32">
        <f>IFERROR(__xludf.DUMMYFUNCTION("""COMPUTED_VALUE"""),46120.39524305556)</f>
        <v>46120.39524</v>
      </c>
      <c r="D1636" s="1">
        <f>IFERROR(__xludf.DUMMYFUNCTION("""COMPUTED_VALUE"""),-10.0)</f>
        <v>-10</v>
      </c>
      <c r="E1636" s="1"/>
      <c r="F1636" s="1"/>
    </row>
    <row r="1637">
      <c r="A1637" s="1" t="str">
        <f>IFERROR(__xludf.DUMMYFUNCTION("""COMPUTED_VALUE"""),"504216be")</f>
        <v>504216be</v>
      </c>
      <c r="B1637" s="1" t="str">
        <f>IFERROR(__xludf.DUMMYFUNCTION("""COMPUTED_VALUE"""),"f998044c")</f>
        <v>f998044c</v>
      </c>
      <c r="C1637" s="32">
        <f>IFERROR(__xludf.DUMMYFUNCTION("""COMPUTED_VALUE"""),46120.39538194444)</f>
        <v>46120.39538</v>
      </c>
      <c r="D1637" s="1">
        <f>IFERROR(__xludf.DUMMYFUNCTION("""COMPUTED_VALUE"""),-3.0)</f>
        <v>-3</v>
      </c>
      <c r="E1637" s="1"/>
      <c r="F1637" s="1"/>
    </row>
    <row r="1638">
      <c r="A1638" s="1" t="str">
        <f>IFERROR(__xludf.DUMMYFUNCTION("""COMPUTED_VALUE"""),"21e449c4")</f>
        <v>21e449c4</v>
      </c>
      <c r="B1638" s="1" t="str">
        <f>IFERROR(__xludf.DUMMYFUNCTION("""COMPUTED_VALUE"""),"cb9e809e")</f>
        <v>cb9e809e</v>
      </c>
      <c r="C1638" s="32">
        <f>IFERROR(__xludf.DUMMYFUNCTION("""COMPUTED_VALUE"""),46120.395520833335)</f>
        <v>46120.39552</v>
      </c>
      <c r="D1638" s="1">
        <f>IFERROR(__xludf.DUMMYFUNCTION("""COMPUTED_VALUE"""),-19.0)</f>
        <v>-19</v>
      </c>
      <c r="E1638" s="1"/>
      <c r="F1638" s="1"/>
    </row>
    <row r="1639">
      <c r="A1639" s="1" t="str">
        <f>IFERROR(__xludf.DUMMYFUNCTION("""COMPUTED_VALUE"""),"9cdba85d")</f>
        <v>9cdba85d</v>
      </c>
      <c r="B1639" s="1" t="str">
        <f>IFERROR(__xludf.DUMMYFUNCTION("""COMPUTED_VALUE"""),"0002")</f>
        <v>0002</v>
      </c>
      <c r="C1639" s="32">
        <f>IFERROR(__xludf.DUMMYFUNCTION("""COMPUTED_VALUE"""),46120.39587962963)</f>
        <v>46120.39588</v>
      </c>
      <c r="D1639" s="1">
        <f>IFERROR(__xludf.DUMMYFUNCTION("""COMPUTED_VALUE"""),-48.0)</f>
        <v>-48</v>
      </c>
      <c r="E1639" s="1"/>
      <c r="F1639" s="1"/>
    </row>
    <row r="1640">
      <c r="A1640" s="1" t="str">
        <f>IFERROR(__xludf.DUMMYFUNCTION("""COMPUTED_VALUE"""),"6843ff59")</f>
        <v>6843ff59</v>
      </c>
      <c r="B1640" s="1" t="str">
        <f>IFERROR(__xludf.DUMMYFUNCTION("""COMPUTED_VALUE"""),"0011")</f>
        <v>0011</v>
      </c>
      <c r="C1640" s="32">
        <f>IFERROR(__xludf.DUMMYFUNCTION("""COMPUTED_VALUE"""),46120.39637731481)</f>
        <v>46120.39638</v>
      </c>
      <c r="D1640" s="1">
        <f>IFERROR(__xludf.DUMMYFUNCTION("""COMPUTED_VALUE"""),-6.0)</f>
        <v>-6</v>
      </c>
      <c r="E1640" s="1"/>
      <c r="F1640" s="1"/>
    </row>
    <row r="1641">
      <c r="A1641" s="1" t="str">
        <f>IFERROR(__xludf.DUMMYFUNCTION("""COMPUTED_VALUE"""),"586d055d")</f>
        <v>586d055d</v>
      </c>
      <c r="B1641" s="1" t="str">
        <f>IFERROR(__xludf.DUMMYFUNCTION("""COMPUTED_VALUE"""),"ed187a9e")</f>
        <v>ed187a9e</v>
      </c>
      <c r="C1641" s="32">
        <f>IFERROR(__xludf.DUMMYFUNCTION("""COMPUTED_VALUE"""),46120.39650462963)</f>
        <v>46120.3965</v>
      </c>
      <c r="D1641" s="1">
        <f>IFERROR(__xludf.DUMMYFUNCTION("""COMPUTED_VALUE"""),-10.0)</f>
        <v>-10</v>
      </c>
      <c r="E1641" s="1"/>
      <c r="F1641" s="1"/>
    </row>
    <row r="1642">
      <c r="A1642" s="1" t="str">
        <f>IFERROR(__xludf.DUMMYFUNCTION("""COMPUTED_VALUE"""),"3b6ba4bb")</f>
        <v>3b6ba4bb</v>
      </c>
      <c r="B1642" s="1" t="str">
        <f>IFERROR(__xludf.DUMMYFUNCTION("""COMPUTED_VALUE"""),"cf6c9481")</f>
        <v>cf6c9481</v>
      </c>
      <c r="C1642" s="32">
        <f>IFERROR(__xludf.DUMMYFUNCTION("""COMPUTED_VALUE"""),46120.39664351852)</f>
        <v>46120.39664</v>
      </c>
      <c r="D1642" s="1">
        <f>IFERROR(__xludf.DUMMYFUNCTION("""COMPUTED_VALUE"""),-6.0)</f>
        <v>-6</v>
      </c>
      <c r="E1642" s="1"/>
      <c r="F1642" s="1"/>
    </row>
    <row r="1643">
      <c r="A1643" s="1" t="str">
        <f>IFERROR(__xludf.DUMMYFUNCTION("""COMPUTED_VALUE"""),"f616459d")</f>
        <v>f616459d</v>
      </c>
      <c r="B1643" s="1" t="str">
        <f>IFERROR(__xludf.DUMMYFUNCTION("""COMPUTED_VALUE"""),"bb6c2490")</f>
        <v>bb6c2490</v>
      </c>
      <c r="C1643" s="32">
        <f>IFERROR(__xludf.DUMMYFUNCTION("""COMPUTED_VALUE"""),46120.39701388889)</f>
        <v>46120.39701</v>
      </c>
      <c r="D1643" s="1">
        <f>IFERROR(__xludf.DUMMYFUNCTION("""COMPUTED_VALUE"""),-7.0)</f>
        <v>-7</v>
      </c>
      <c r="E1643" s="1"/>
      <c r="F1643" s="1"/>
    </row>
    <row r="1644">
      <c r="A1644" s="1" t="str">
        <f>IFERROR(__xludf.DUMMYFUNCTION("""COMPUTED_VALUE"""),"0921a3dc")</f>
        <v>0921a3dc</v>
      </c>
      <c r="B1644" s="1" t="str">
        <f>IFERROR(__xludf.DUMMYFUNCTION("""COMPUTED_VALUE"""),"cf6c9481")</f>
        <v>cf6c9481</v>
      </c>
      <c r="C1644" s="32">
        <f>IFERROR(__xludf.DUMMYFUNCTION("""COMPUTED_VALUE"""),46120.39724537037)</f>
        <v>46120.39725</v>
      </c>
      <c r="D1644" s="1">
        <f>IFERROR(__xludf.DUMMYFUNCTION("""COMPUTED_VALUE"""),-5.0)</f>
        <v>-5</v>
      </c>
      <c r="E1644" s="1"/>
      <c r="F1644" s="1"/>
    </row>
    <row r="1645">
      <c r="A1645" s="1" t="str">
        <f>IFERROR(__xludf.DUMMYFUNCTION("""COMPUTED_VALUE"""),"4346cab3")</f>
        <v>4346cab3</v>
      </c>
      <c r="B1645" s="1" t="str">
        <f>IFERROR(__xludf.DUMMYFUNCTION("""COMPUTED_VALUE"""),"12b96290")</f>
        <v>12b96290</v>
      </c>
      <c r="C1645" s="32">
        <f>IFERROR(__xludf.DUMMYFUNCTION("""COMPUTED_VALUE"""),46120.39739583333)</f>
        <v>46120.3974</v>
      </c>
      <c r="D1645" s="1">
        <f>IFERROR(__xludf.DUMMYFUNCTION("""COMPUTED_VALUE"""),-5.0)</f>
        <v>-5</v>
      </c>
      <c r="E1645" s="1"/>
      <c r="F1645" s="1"/>
    </row>
    <row r="1646">
      <c r="A1646" s="1" t="str">
        <f>IFERROR(__xludf.DUMMYFUNCTION("""COMPUTED_VALUE"""),"153b9630")</f>
        <v>153b9630</v>
      </c>
      <c r="B1646" s="1" t="str">
        <f>IFERROR(__xludf.DUMMYFUNCTION("""COMPUTED_VALUE"""),"c80ae9f2")</f>
        <v>c80ae9f2</v>
      </c>
      <c r="C1646" s="32">
        <f>IFERROR(__xludf.DUMMYFUNCTION("""COMPUTED_VALUE"""),46120.39796296296)</f>
        <v>46120.39796</v>
      </c>
      <c r="D1646" s="1">
        <f>IFERROR(__xludf.DUMMYFUNCTION("""COMPUTED_VALUE"""),-12.0)</f>
        <v>-12</v>
      </c>
      <c r="E1646" s="1"/>
      <c r="F1646" s="1"/>
    </row>
    <row r="1647">
      <c r="A1647" s="1" t="str">
        <f>IFERROR(__xludf.DUMMYFUNCTION("""COMPUTED_VALUE"""),"6e0a80f4")</f>
        <v>6e0a80f4</v>
      </c>
      <c r="B1647" s="1" t="str">
        <f>IFERROR(__xludf.DUMMYFUNCTION("""COMPUTED_VALUE"""),"bb6c2490")</f>
        <v>bb6c2490</v>
      </c>
      <c r="C1647" s="32">
        <f>IFERROR(__xludf.DUMMYFUNCTION("""COMPUTED_VALUE"""),46120.54802083333)</f>
        <v>46120.54802</v>
      </c>
      <c r="D1647" s="1">
        <f>IFERROR(__xludf.DUMMYFUNCTION("""COMPUTED_VALUE"""),-4.0)</f>
        <v>-4</v>
      </c>
      <c r="E1647" s="1"/>
      <c r="F1647" s="1"/>
    </row>
    <row r="1648">
      <c r="A1648" s="1" t="str">
        <f>IFERROR(__xludf.DUMMYFUNCTION("""COMPUTED_VALUE"""),"734ba9d9")</f>
        <v>734ba9d9</v>
      </c>
      <c r="B1648" s="1" t="str">
        <f>IFERROR(__xludf.DUMMYFUNCTION("""COMPUTED_VALUE"""),"0001")</f>
        <v>0001</v>
      </c>
      <c r="C1648" s="32">
        <f>IFERROR(__xludf.DUMMYFUNCTION("""COMPUTED_VALUE"""),46120.54814814815)</f>
        <v>46120.54815</v>
      </c>
      <c r="D1648" s="1">
        <f>IFERROR(__xludf.DUMMYFUNCTION("""COMPUTED_VALUE"""),-12.0)</f>
        <v>-12</v>
      </c>
      <c r="E1648" s="1"/>
      <c r="F1648" s="1"/>
    </row>
    <row r="1649">
      <c r="A1649" s="1" t="str">
        <f>IFERROR(__xludf.DUMMYFUNCTION("""COMPUTED_VALUE"""),"0fd3ded9")</f>
        <v>0fd3ded9</v>
      </c>
      <c r="B1649" s="1" t="str">
        <f>IFERROR(__xludf.DUMMYFUNCTION("""COMPUTED_VALUE"""),"0af806f8")</f>
        <v>0af806f8</v>
      </c>
      <c r="C1649" s="32">
        <f>IFERROR(__xludf.DUMMYFUNCTION("""COMPUTED_VALUE"""),46120.54834490741)</f>
        <v>46120.54834</v>
      </c>
      <c r="D1649" s="1">
        <f>IFERROR(__xludf.DUMMYFUNCTION("""COMPUTED_VALUE"""),-15.0)</f>
        <v>-15</v>
      </c>
      <c r="E1649" s="1"/>
      <c r="F1649" s="1"/>
    </row>
    <row r="1650">
      <c r="A1650" s="1" t="str">
        <f>IFERROR(__xludf.DUMMYFUNCTION("""COMPUTED_VALUE"""),"79a3e0b4")</f>
        <v>79a3e0b4</v>
      </c>
      <c r="B1650" s="1" t="str">
        <f>IFERROR(__xludf.DUMMYFUNCTION("""COMPUTED_VALUE"""),"0af806f8")</f>
        <v>0af806f8</v>
      </c>
      <c r="C1650" s="32">
        <f>IFERROR(__xludf.DUMMYFUNCTION("""COMPUTED_VALUE"""),46120.54846064815)</f>
        <v>46120.54846</v>
      </c>
      <c r="D1650" s="1">
        <f>IFERROR(__xludf.DUMMYFUNCTION("""COMPUTED_VALUE"""),-7.0)</f>
        <v>-7</v>
      </c>
      <c r="E1650" s="1"/>
      <c r="F1650" s="1"/>
    </row>
    <row r="1651">
      <c r="A1651" s="1" t="str">
        <f>IFERROR(__xludf.DUMMYFUNCTION("""COMPUTED_VALUE"""),"7a5de039")</f>
        <v>7a5de039</v>
      </c>
      <c r="B1651" s="1" t="str">
        <f>IFERROR(__xludf.DUMMYFUNCTION("""COMPUTED_VALUE"""),"0af806f8")</f>
        <v>0af806f8</v>
      </c>
      <c r="C1651" s="32">
        <f>IFERROR(__xludf.DUMMYFUNCTION("""COMPUTED_VALUE"""),46120.54855324074)</f>
        <v>46120.54855</v>
      </c>
      <c r="D1651" s="1">
        <f>IFERROR(__xludf.DUMMYFUNCTION("""COMPUTED_VALUE"""),-5.0)</f>
        <v>-5</v>
      </c>
      <c r="E1651" s="1"/>
      <c r="F1651" s="1"/>
    </row>
    <row r="1652">
      <c r="A1652" s="1" t="str">
        <f>IFERROR(__xludf.DUMMYFUNCTION("""COMPUTED_VALUE"""),"2533ac18")</f>
        <v>2533ac18</v>
      </c>
      <c r="B1652" s="1" t="str">
        <f>IFERROR(__xludf.DUMMYFUNCTION("""COMPUTED_VALUE"""),"0019")</f>
        <v>0019</v>
      </c>
      <c r="C1652" s="32">
        <f>IFERROR(__xludf.DUMMYFUNCTION("""COMPUTED_VALUE"""),46120.550046296295)</f>
        <v>46120.55005</v>
      </c>
      <c r="D1652" s="1">
        <f>IFERROR(__xludf.DUMMYFUNCTION("""COMPUTED_VALUE"""),-10.0)</f>
        <v>-10</v>
      </c>
      <c r="E1652" s="1"/>
      <c r="F1652" s="1"/>
    </row>
    <row r="1653">
      <c r="A1653" s="1" t="str">
        <f>IFERROR(__xludf.DUMMYFUNCTION("""COMPUTED_VALUE"""),"8c1da97f")</f>
        <v>8c1da97f</v>
      </c>
      <c r="B1653" s="1" t="str">
        <f>IFERROR(__xludf.DUMMYFUNCTION("""COMPUTED_VALUE"""),"27c8f623")</f>
        <v>27c8f623</v>
      </c>
      <c r="C1653" s="32">
        <f>IFERROR(__xludf.DUMMYFUNCTION("""COMPUTED_VALUE"""),46120.55065972222)</f>
        <v>46120.55066</v>
      </c>
      <c r="D1653" s="1">
        <f>IFERROR(__xludf.DUMMYFUNCTION("""COMPUTED_VALUE"""),-3.0)</f>
        <v>-3</v>
      </c>
      <c r="E1653" s="1"/>
      <c r="F1653" s="1"/>
    </row>
    <row r="1654">
      <c r="A1654" s="1" t="str">
        <f>IFERROR(__xludf.DUMMYFUNCTION("""COMPUTED_VALUE"""),"268d9aa7")</f>
        <v>268d9aa7</v>
      </c>
      <c r="B1654" s="1" t="str">
        <f>IFERROR(__xludf.DUMMYFUNCTION("""COMPUTED_VALUE"""),"a19879cf")</f>
        <v>a19879cf</v>
      </c>
      <c r="C1654" s="32">
        <f>IFERROR(__xludf.DUMMYFUNCTION("""COMPUTED_VALUE"""),46120.550787037035)</f>
        <v>46120.55079</v>
      </c>
      <c r="D1654" s="1">
        <f>IFERROR(__xludf.DUMMYFUNCTION("""COMPUTED_VALUE"""),-2.0)</f>
        <v>-2</v>
      </c>
      <c r="E1654" s="1"/>
      <c r="F1654" s="1"/>
    </row>
    <row r="1655">
      <c r="A1655" s="1" t="str">
        <f>IFERROR(__xludf.DUMMYFUNCTION("""COMPUTED_VALUE"""),"cb38a06e")</f>
        <v>cb38a06e</v>
      </c>
      <c r="B1655" s="1" t="str">
        <f>IFERROR(__xludf.DUMMYFUNCTION("""COMPUTED_VALUE"""),"83dd14b5")</f>
        <v>83dd14b5</v>
      </c>
      <c r="C1655" s="32">
        <f>IFERROR(__xludf.DUMMYFUNCTION("""COMPUTED_VALUE"""),46120.551030092596)</f>
        <v>46120.55103</v>
      </c>
      <c r="D1655" s="1">
        <f>IFERROR(__xludf.DUMMYFUNCTION("""COMPUTED_VALUE"""),-12.0)</f>
        <v>-12</v>
      </c>
      <c r="E1655" s="1"/>
      <c r="F1655" s="1"/>
    </row>
    <row r="1656">
      <c r="A1656" s="1" t="str">
        <f>IFERROR(__xludf.DUMMYFUNCTION("""COMPUTED_VALUE"""),"a865d6df")</f>
        <v>a865d6df</v>
      </c>
      <c r="B1656" s="1" t="str">
        <f>IFERROR(__xludf.DUMMYFUNCTION("""COMPUTED_VALUE"""),"0049")</f>
        <v>0049</v>
      </c>
      <c r="C1656" s="32">
        <f>IFERROR(__xludf.DUMMYFUNCTION("""COMPUTED_VALUE"""),46120.55175925926)</f>
        <v>46120.55176</v>
      </c>
      <c r="D1656" s="1">
        <f>IFERROR(__xludf.DUMMYFUNCTION("""COMPUTED_VALUE"""),-7.0)</f>
        <v>-7</v>
      </c>
      <c r="E1656" s="1"/>
      <c r="F1656" s="1"/>
    </row>
    <row r="1657">
      <c r="A1657" s="1" t="str">
        <f>IFERROR(__xludf.DUMMYFUNCTION("""COMPUTED_VALUE"""),"bc626b44")</f>
        <v>bc626b44</v>
      </c>
      <c r="B1657" s="1" t="str">
        <f>IFERROR(__xludf.DUMMYFUNCTION("""COMPUTED_VALUE"""),"0029")</f>
        <v>0029</v>
      </c>
      <c r="C1657" s="32">
        <f>IFERROR(__xludf.DUMMYFUNCTION("""COMPUTED_VALUE"""),46120.552094907405)</f>
        <v>46120.55209</v>
      </c>
      <c r="D1657" s="1">
        <f>IFERROR(__xludf.DUMMYFUNCTION("""COMPUTED_VALUE"""),-15.0)</f>
        <v>-15</v>
      </c>
      <c r="E1657" s="1"/>
      <c r="F1657" s="1"/>
    </row>
    <row r="1658">
      <c r="A1658" s="1" t="str">
        <f>IFERROR(__xludf.DUMMYFUNCTION("""COMPUTED_VALUE"""),"93f7f7f1")</f>
        <v>93f7f7f1</v>
      </c>
      <c r="B1658" s="1" t="str">
        <f>IFERROR(__xludf.DUMMYFUNCTION("""COMPUTED_VALUE"""),"0011")</f>
        <v>0011</v>
      </c>
      <c r="C1658" s="32">
        <f>IFERROR(__xludf.DUMMYFUNCTION("""COMPUTED_VALUE"""),46120.552708333336)</f>
        <v>46120.55271</v>
      </c>
      <c r="D1658" s="1">
        <f>IFERROR(__xludf.DUMMYFUNCTION("""COMPUTED_VALUE"""),-13.0)</f>
        <v>-13</v>
      </c>
      <c r="E1658" s="1"/>
      <c r="F1658" s="1"/>
    </row>
    <row r="1659">
      <c r="A1659" s="33">
        <f>IFERROR(__xludf.DUMMYFUNCTION("""COMPUTED_VALUE"""),-575258.0)</f>
        <v>-575258</v>
      </c>
      <c r="B1659" s="1" t="str">
        <f>IFERROR(__xludf.DUMMYFUNCTION("""COMPUTED_VALUE"""),"649eaeb5")</f>
        <v>649eaeb5</v>
      </c>
      <c r="C1659" s="32">
        <f>IFERROR(__xludf.DUMMYFUNCTION("""COMPUTED_VALUE"""),46120.55354166667)</f>
        <v>46120.55354</v>
      </c>
      <c r="D1659" s="1">
        <f>IFERROR(__xludf.DUMMYFUNCTION("""COMPUTED_VALUE"""),-2.0)</f>
        <v>-2</v>
      </c>
      <c r="E1659" s="1"/>
      <c r="F1659" s="1"/>
    </row>
    <row r="1660">
      <c r="A1660" s="1" t="str">
        <f>IFERROR(__xludf.DUMMYFUNCTION("""COMPUTED_VALUE"""),"aabd98ab")</f>
        <v>aabd98ab</v>
      </c>
      <c r="B1660" s="1" t="str">
        <f>IFERROR(__xludf.DUMMYFUNCTION("""COMPUTED_VALUE"""),"0002")</f>
        <v>0002</v>
      </c>
      <c r="C1660" s="32">
        <f>IFERROR(__xludf.DUMMYFUNCTION("""COMPUTED_VALUE"""),46120.55391203704)</f>
        <v>46120.55391</v>
      </c>
      <c r="D1660" s="1">
        <f>IFERROR(__xludf.DUMMYFUNCTION("""COMPUTED_VALUE"""),-60.0)</f>
        <v>-60</v>
      </c>
      <c r="E1660" s="1"/>
      <c r="F1660" s="1"/>
    </row>
    <row r="1661">
      <c r="A1661" s="1" t="str">
        <f>IFERROR(__xludf.DUMMYFUNCTION("""COMPUTED_VALUE"""),"2500541b")</f>
        <v>2500541b</v>
      </c>
      <c r="B1661" s="1" t="str">
        <f>IFERROR(__xludf.DUMMYFUNCTION("""COMPUTED_VALUE"""),"0021")</f>
        <v>0021</v>
      </c>
      <c r="C1661" s="32">
        <f>IFERROR(__xludf.DUMMYFUNCTION("""COMPUTED_VALUE"""),46120.555752314816)</f>
        <v>46120.55575</v>
      </c>
      <c r="D1661" s="1">
        <f>IFERROR(__xludf.DUMMYFUNCTION("""COMPUTED_VALUE"""),-6.0)</f>
        <v>-6</v>
      </c>
      <c r="E1661" s="1"/>
      <c r="F1661" s="1"/>
    </row>
    <row r="1662">
      <c r="A1662" s="1" t="str">
        <f>IFERROR(__xludf.DUMMYFUNCTION("""COMPUTED_VALUE"""),"80a8a4ac")</f>
        <v>80a8a4ac</v>
      </c>
      <c r="B1662" s="1" t="str">
        <f>IFERROR(__xludf.DUMMYFUNCTION("""COMPUTED_VALUE"""),"8ed00567")</f>
        <v>8ed00567</v>
      </c>
      <c r="C1662" s="32">
        <f>IFERROR(__xludf.DUMMYFUNCTION("""COMPUTED_VALUE"""),46120.55648148148)</f>
        <v>46120.55648</v>
      </c>
      <c r="D1662" s="1">
        <f>IFERROR(__xludf.DUMMYFUNCTION("""COMPUTED_VALUE"""),-7.0)</f>
        <v>-7</v>
      </c>
      <c r="E1662" s="1"/>
      <c r="F1662" s="1"/>
    </row>
    <row r="1663">
      <c r="A1663" s="1" t="str">
        <f>IFERROR(__xludf.DUMMYFUNCTION("""COMPUTED_VALUE"""),"14a29ba3")</f>
        <v>14a29ba3</v>
      </c>
      <c r="B1663" s="1" t="str">
        <f>IFERROR(__xludf.DUMMYFUNCTION("""COMPUTED_VALUE"""),"cb9e809e")</f>
        <v>cb9e809e</v>
      </c>
      <c r="C1663" s="32">
        <f>IFERROR(__xludf.DUMMYFUNCTION("""COMPUTED_VALUE"""),46120.65825231482)</f>
        <v>46120.65825</v>
      </c>
      <c r="D1663" s="1">
        <f>IFERROR(__xludf.DUMMYFUNCTION("""COMPUTED_VALUE"""),24.0)</f>
        <v>24</v>
      </c>
      <c r="E1663" s="1" t="str">
        <f>IFERROR(__xludf.DUMMYFUNCTION("""COMPUTED_VALUE"""),"683bf08a")</f>
        <v>683bf08a</v>
      </c>
      <c r="F1663" s="1"/>
    </row>
    <row r="1664">
      <c r="A1664" s="1" t="str">
        <f>IFERROR(__xludf.DUMMYFUNCTION("""COMPUTED_VALUE"""),"69dab94f")</f>
        <v>69dab94f</v>
      </c>
      <c r="B1664" s="1" t="str">
        <f>IFERROR(__xludf.DUMMYFUNCTION("""COMPUTED_VALUE"""),"cb9e809e")</f>
        <v>cb9e809e</v>
      </c>
      <c r="C1664" s="32">
        <f>IFERROR(__xludf.DUMMYFUNCTION("""COMPUTED_VALUE"""),46120.65834490741)</f>
        <v>46120.65834</v>
      </c>
      <c r="D1664" s="1">
        <f>IFERROR(__xludf.DUMMYFUNCTION("""COMPUTED_VALUE"""),-12.0)</f>
        <v>-12</v>
      </c>
      <c r="E1664" s="1"/>
      <c r="F1664" s="1"/>
    </row>
    <row r="1665">
      <c r="A1665" s="1" t="str">
        <f>IFERROR(__xludf.DUMMYFUNCTION("""COMPUTED_VALUE"""),"af652b63")</f>
        <v>af652b63</v>
      </c>
      <c r="B1665" s="1" t="str">
        <f>IFERROR(__xludf.DUMMYFUNCTION("""COMPUTED_VALUE"""),"3945efc9")</f>
        <v>3945efc9</v>
      </c>
      <c r="C1665" s="32">
        <f>IFERROR(__xludf.DUMMYFUNCTION("""COMPUTED_VALUE"""),46120.78512731481)</f>
        <v>46120.78513</v>
      </c>
      <c r="D1665" s="1">
        <f>IFERROR(__xludf.DUMMYFUNCTION("""COMPUTED_VALUE"""),-4.0)</f>
        <v>-4</v>
      </c>
      <c r="E1665" s="1"/>
      <c r="F1665" s="1"/>
    </row>
    <row r="1666">
      <c r="A1666" s="1" t="str">
        <f>IFERROR(__xludf.DUMMYFUNCTION("""COMPUTED_VALUE"""),"e7b2a996")</f>
        <v>e7b2a996</v>
      </c>
      <c r="B1666" s="1" t="str">
        <f>IFERROR(__xludf.DUMMYFUNCTION("""COMPUTED_VALUE"""),"ed187a9e")</f>
        <v>ed187a9e</v>
      </c>
      <c r="C1666" s="32">
        <f>IFERROR(__xludf.DUMMYFUNCTION("""COMPUTED_VALUE"""),46120.81489583333)</f>
        <v>46120.8149</v>
      </c>
      <c r="D1666" s="1">
        <f>IFERROR(__xludf.DUMMYFUNCTION("""COMPUTED_VALUE"""),6.0)</f>
        <v>6</v>
      </c>
      <c r="E1666" s="1"/>
      <c r="F1666" s="1"/>
    </row>
    <row r="1667">
      <c r="A1667" s="1" t="str">
        <f>IFERROR(__xludf.DUMMYFUNCTION("""COMPUTED_VALUE"""),"9243be49")</f>
        <v>9243be49</v>
      </c>
      <c r="B1667" s="1" t="str">
        <f>IFERROR(__xludf.DUMMYFUNCTION("""COMPUTED_VALUE"""),"0064")</f>
        <v>0064</v>
      </c>
      <c r="C1667" s="32">
        <f>IFERROR(__xludf.DUMMYFUNCTION("""COMPUTED_VALUE"""),46120.815046296295)</f>
        <v>46120.81505</v>
      </c>
      <c r="D1667" s="1">
        <f>IFERROR(__xludf.DUMMYFUNCTION("""COMPUTED_VALUE"""),15.0)</f>
        <v>15</v>
      </c>
      <c r="E1667" s="1"/>
      <c r="F1667" s="1"/>
    </row>
    <row r="1668">
      <c r="A1668" s="1" t="str">
        <f>IFERROR(__xludf.DUMMYFUNCTION("""COMPUTED_VALUE"""),"ad8c8562")</f>
        <v>ad8c8562</v>
      </c>
      <c r="B1668" s="1" t="str">
        <f>IFERROR(__xludf.DUMMYFUNCTION("""COMPUTED_VALUE"""),"0032")</f>
        <v>0032</v>
      </c>
      <c r="C1668" s="32">
        <f>IFERROR(__xludf.DUMMYFUNCTION("""COMPUTED_VALUE"""),46120.81532407407)</f>
        <v>46120.81532</v>
      </c>
      <c r="D1668" s="1">
        <f>IFERROR(__xludf.DUMMYFUNCTION("""COMPUTED_VALUE"""),-13.0)</f>
        <v>-13</v>
      </c>
      <c r="E1668" s="1"/>
      <c r="F1668" s="1"/>
    </row>
    <row r="1669">
      <c r="A1669" s="1" t="str">
        <f>IFERROR(__xludf.DUMMYFUNCTION("""COMPUTED_VALUE"""),"8a7d0255")</f>
        <v>8a7d0255</v>
      </c>
      <c r="B1669" s="1" t="str">
        <f>IFERROR(__xludf.DUMMYFUNCTION("""COMPUTED_VALUE"""),"1b6b5ed6")</f>
        <v>1b6b5ed6</v>
      </c>
      <c r="C1669" s="32">
        <f>IFERROR(__xludf.DUMMYFUNCTION("""COMPUTED_VALUE"""),46120.815787037034)</f>
        <v>46120.81579</v>
      </c>
      <c r="D1669" s="1">
        <f>IFERROR(__xludf.DUMMYFUNCTION("""COMPUTED_VALUE"""),-29.0)</f>
        <v>-29</v>
      </c>
      <c r="E1669" s="1"/>
      <c r="F1669" s="1"/>
    </row>
    <row r="1670">
      <c r="A1670" s="1" t="str">
        <f>IFERROR(__xludf.DUMMYFUNCTION("""COMPUTED_VALUE"""),"18a50e33")</f>
        <v>18a50e33</v>
      </c>
      <c r="B1670" s="1" t="str">
        <f>IFERROR(__xludf.DUMMYFUNCTION("""COMPUTED_VALUE"""),"0086")</f>
        <v>0086</v>
      </c>
      <c r="C1670" s="32">
        <f>IFERROR(__xludf.DUMMYFUNCTION("""COMPUTED_VALUE"""),46120.81690972222)</f>
        <v>46120.81691</v>
      </c>
      <c r="D1670" s="1">
        <f>IFERROR(__xludf.DUMMYFUNCTION("""COMPUTED_VALUE"""),-40.0)</f>
        <v>-40</v>
      </c>
      <c r="E1670" s="1"/>
      <c r="F1670" s="1"/>
    </row>
    <row r="1671">
      <c r="A1671" s="1" t="str">
        <f>IFERROR(__xludf.DUMMYFUNCTION("""COMPUTED_VALUE"""),"bff0291f")</f>
        <v>bff0291f</v>
      </c>
      <c r="B1671" s="1" t="str">
        <f>IFERROR(__xludf.DUMMYFUNCTION("""COMPUTED_VALUE"""),"0049")</f>
        <v>0049</v>
      </c>
      <c r="C1671" s="32">
        <f>IFERROR(__xludf.DUMMYFUNCTION("""COMPUTED_VALUE"""),46121.50983796296)</f>
        <v>46121.50984</v>
      </c>
      <c r="D1671" s="1">
        <f>IFERROR(__xludf.DUMMYFUNCTION("""COMPUTED_VALUE"""),24.0)</f>
        <v>24</v>
      </c>
      <c r="E1671" s="1" t="str">
        <f>IFERROR(__xludf.DUMMYFUNCTION("""COMPUTED_VALUE"""),"c1e1d389")</f>
        <v>c1e1d389</v>
      </c>
      <c r="F1671" s="1"/>
    </row>
    <row r="1672">
      <c r="A1672" s="1" t="str">
        <f>IFERROR(__xludf.DUMMYFUNCTION("""COMPUTED_VALUE"""),"e17ed48e")</f>
        <v>e17ed48e</v>
      </c>
      <c r="B1672" s="1" t="str">
        <f>IFERROR(__xludf.DUMMYFUNCTION("""COMPUTED_VALUE"""),"cb9e809e")</f>
        <v>cb9e809e</v>
      </c>
      <c r="C1672" s="32">
        <f>IFERROR(__xludf.DUMMYFUNCTION("""COMPUTED_VALUE"""),46121.66375)</f>
        <v>46121.66375</v>
      </c>
      <c r="D1672" s="1">
        <f>IFERROR(__xludf.DUMMYFUNCTION("""COMPUTED_VALUE"""),60.0)</f>
        <v>60</v>
      </c>
      <c r="E1672" s="1" t="str">
        <f>IFERROR(__xludf.DUMMYFUNCTION("""COMPUTED_VALUE"""),"c1e1d389")</f>
        <v>c1e1d389</v>
      </c>
      <c r="F1672" s="1"/>
    </row>
    <row r="1673">
      <c r="A1673" s="1" t="str">
        <f>IFERROR(__xludf.DUMMYFUNCTION("""COMPUTED_VALUE"""),"a12c89eb")</f>
        <v>a12c89eb</v>
      </c>
      <c r="B1673" s="1" t="str">
        <f>IFERROR(__xludf.DUMMYFUNCTION("""COMPUTED_VALUE"""),"0064")</f>
        <v>0064</v>
      </c>
      <c r="C1673" s="32">
        <f>IFERROR(__xludf.DUMMYFUNCTION("""COMPUTED_VALUE"""),46121.6637962963)</f>
        <v>46121.6638</v>
      </c>
      <c r="D1673" s="1">
        <f>IFERROR(__xludf.DUMMYFUNCTION("""COMPUTED_VALUE"""),27.0)</f>
        <v>27</v>
      </c>
      <c r="E1673" s="1" t="str">
        <f>IFERROR(__xludf.DUMMYFUNCTION("""COMPUTED_VALUE"""),"c1e1d389")</f>
        <v>c1e1d389</v>
      </c>
      <c r="F1673" s="1"/>
    </row>
    <row r="1674">
      <c r="A1674" s="1" t="str">
        <f>IFERROR(__xludf.DUMMYFUNCTION("""COMPUTED_VALUE"""),"5bdc625c")</f>
        <v>5bdc625c</v>
      </c>
      <c r="B1674" s="1" t="str">
        <f>IFERROR(__xludf.DUMMYFUNCTION("""COMPUTED_VALUE"""),"0032")</f>
        <v>0032</v>
      </c>
      <c r="C1674" s="32">
        <f>IFERROR(__xludf.DUMMYFUNCTION("""COMPUTED_VALUE"""),46121.66385416667)</f>
        <v>46121.66385</v>
      </c>
      <c r="D1674" s="1">
        <f>IFERROR(__xludf.DUMMYFUNCTION("""COMPUTED_VALUE"""),54.0)</f>
        <v>54</v>
      </c>
      <c r="E1674" s="1" t="str">
        <f>IFERROR(__xludf.DUMMYFUNCTION("""COMPUTED_VALUE"""),"c1e1d389")</f>
        <v>c1e1d389</v>
      </c>
      <c r="F1674" s="1"/>
    </row>
    <row r="1675">
      <c r="A1675" s="1" t="str">
        <f>IFERROR(__xludf.DUMMYFUNCTION("""COMPUTED_VALUE"""),"3463d99c")</f>
        <v>3463d99c</v>
      </c>
      <c r="B1675" s="1" t="str">
        <f>IFERROR(__xludf.DUMMYFUNCTION("""COMPUTED_VALUE"""),"0001")</f>
        <v>0001</v>
      </c>
      <c r="C1675" s="32">
        <f>IFERROR(__xludf.DUMMYFUNCTION("""COMPUTED_VALUE"""),46121.67388888889)</f>
        <v>46121.67389</v>
      </c>
      <c r="D1675" s="1">
        <f>IFERROR(__xludf.DUMMYFUNCTION("""COMPUTED_VALUE"""),-20.0)</f>
        <v>-20</v>
      </c>
      <c r="E1675" s="1"/>
      <c r="F1675" s="1"/>
    </row>
    <row r="1676">
      <c r="A1676" s="1" t="str">
        <f>IFERROR(__xludf.DUMMYFUNCTION("""COMPUTED_VALUE"""),"6fc77fba")</f>
        <v>6fc77fba</v>
      </c>
      <c r="B1676" s="1" t="str">
        <f>IFERROR(__xludf.DUMMYFUNCTION("""COMPUTED_VALUE"""),"0af806f8")</f>
        <v>0af806f8</v>
      </c>
      <c r="C1676" s="32">
        <f>IFERROR(__xludf.DUMMYFUNCTION("""COMPUTED_VALUE"""),46121.6740162037)</f>
        <v>46121.67402</v>
      </c>
      <c r="D1676" s="1">
        <f>IFERROR(__xludf.DUMMYFUNCTION("""COMPUTED_VALUE"""),-3.0)</f>
        <v>-3</v>
      </c>
      <c r="E1676" s="1"/>
      <c r="F1676" s="1"/>
    </row>
    <row r="1677">
      <c r="A1677" s="1" t="str">
        <f>IFERROR(__xludf.DUMMYFUNCTION("""COMPUTED_VALUE"""),"7b8a6ee1")</f>
        <v>7b8a6ee1</v>
      </c>
      <c r="B1677" s="1" t="str">
        <f>IFERROR(__xludf.DUMMYFUNCTION("""COMPUTED_VALUE"""),"bb6c2490")</f>
        <v>bb6c2490</v>
      </c>
      <c r="C1677" s="32">
        <f>IFERROR(__xludf.DUMMYFUNCTION("""COMPUTED_VALUE"""),46121.674212962964)</f>
        <v>46121.67421</v>
      </c>
      <c r="D1677" s="1">
        <f>IFERROR(__xludf.DUMMYFUNCTION("""COMPUTED_VALUE"""),-21.0)</f>
        <v>-21</v>
      </c>
      <c r="E1677" s="1"/>
      <c r="F1677" s="1"/>
    </row>
    <row r="1678">
      <c r="A1678" s="1" t="str">
        <f>IFERROR(__xludf.DUMMYFUNCTION("""COMPUTED_VALUE"""),"cfe3f81e")</f>
        <v>cfe3f81e</v>
      </c>
      <c r="B1678" s="1" t="str">
        <f>IFERROR(__xludf.DUMMYFUNCTION("""COMPUTED_VALUE"""),"0019")</f>
        <v>0019</v>
      </c>
      <c r="C1678" s="32">
        <f>IFERROR(__xludf.DUMMYFUNCTION("""COMPUTED_VALUE"""),46121.675578703704)</f>
        <v>46121.67558</v>
      </c>
      <c r="D1678" s="1">
        <f>IFERROR(__xludf.DUMMYFUNCTION("""COMPUTED_VALUE"""),-6.0)</f>
        <v>-6</v>
      </c>
      <c r="E1678" s="1"/>
      <c r="F1678" s="1"/>
    </row>
    <row r="1679">
      <c r="A1679" s="1" t="str">
        <f>IFERROR(__xludf.DUMMYFUNCTION("""COMPUTED_VALUE"""),"2bd9a004")</f>
        <v>2bd9a004</v>
      </c>
      <c r="B1679" s="1" t="str">
        <f>IFERROR(__xludf.DUMMYFUNCTION("""COMPUTED_VALUE"""),"27c8f623")</f>
        <v>27c8f623</v>
      </c>
      <c r="C1679" s="32">
        <f>IFERROR(__xludf.DUMMYFUNCTION("""COMPUTED_VALUE"""),46121.676724537036)</f>
        <v>46121.67672</v>
      </c>
      <c r="D1679" s="1">
        <f>IFERROR(__xludf.DUMMYFUNCTION("""COMPUTED_VALUE"""),-9.0)</f>
        <v>-9</v>
      </c>
      <c r="E1679" s="1"/>
      <c r="F1679" s="1"/>
    </row>
    <row r="1680">
      <c r="A1680" s="1" t="str">
        <f>IFERROR(__xludf.DUMMYFUNCTION("""COMPUTED_VALUE"""),"d9431ce0")</f>
        <v>d9431ce0</v>
      </c>
      <c r="B1680" s="1" t="str">
        <f>IFERROR(__xludf.DUMMYFUNCTION("""COMPUTED_VALUE"""),"a19879cf")</f>
        <v>a19879cf</v>
      </c>
      <c r="C1680" s="32">
        <f>IFERROR(__xludf.DUMMYFUNCTION("""COMPUTED_VALUE"""),46121.676828703705)</f>
        <v>46121.67683</v>
      </c>
      <c r="D1680" s="1">
        <f>IFERROR(__xludf.DUMMYFUNCTION("""COMPUTED_VALUE"""),-20.0)</f>
        <v>-20</v>
      </c>
      <c r="E1680" s="1"/>
      <c r="F1680" s="1"/>
    </row>
    <row r="1681">
      <c r="A1681" s="1" t="str">
        <f>IFERROR(__xludf.DUMMYFUNCTION("""COMPUTED_VALUE"""),"0a928e58")</f>
        <v>0a928e58</v>
      </c>
      <c r="B1681" s="1" t="str">
        <f>IFERROR(__xludf.DUMMYFUNCTION("""COMPUTED_VALUE"""),"0086")</f>
        <v>0086</v>
      </c>
      <c r="C1681" s="32">
        <f>IFERROR(__xludf.DUMMYFUNCTION("""COMPUTED_VALUE"""),46121.67699074074)</f>
        <v>46121.67699</v>
      </c>
      <c r="D1681" s="1">
        <f>IFERROR(__xludf.DUMMYFUNCTION("""COMPUTED_VALUE"""),-16.0)</f>
        <v>-16</v>
      </c>
      <c r="E1681" s="1"/>
      <c r="F1681" s="1"/>
    </row>
    <row r="1682">
      <c r="A1682" s="1" t="str">
        <f>IFERROR(__xludf.DUMMYFUNCTION("""COMPUTED_VALUE"""),"0345453c")</f>
        <v>0345453c</v>
      </c>
      <c r="B1682" s="1" t="str">
        <f>IFERROR(__xludf.DUMMYFUNCTION("""COMPUTED_VALUE"""),"83dd14b5")</f>
        <v>83dd14b5</v>
      </c>
      <c r="C1682" s="32">
        <f>IFERROR(__xludf.DUMMYFUNCTION("""COMPUTED_VALUE"""),46121.67760416667)</f>
        <v>46121.6776</v>
      </c>
      <c r="D1682" s="1">
        <f>IFERROR(__xludf.DUMMYFUNCTION("""COMPUTED_VALUE"""),-19.0)</f>
        <v>-19</v>
      </c>
      <c r="E1682" s="1"/>
      <c r="F1682" s="1"/>
    </row>
    <row r="1683">
      <c r="A1683" s="1" t="str">
        <f>IFERROR(__xludf.DUMMYFUNCTION("""COMPUTED_VALUE"""),"7df67415")</f>
        <v>7df67415</v>
      </c>
      <c r="B1683" s="1" t="str">
        <f>IFERROR(__xludf.DUMMYFUNCTION("""COMPUTED_VALUE"""),"cb9e809e")</f>
        <v>cb9e809e</v>
      </c>
      <c r="C1683" s="32">
        <f>IFERROR(__xludf.DUMMYFUNCTION("""COMPUTED_VALUE"""),46121.67835648148)</f>
        <v>46121.67836</v>
      </c>
      <c r="D1683" s="1">
        <f>IFERROR(__xludf.DUMMYFUNCTION("""COMPUTED_VALUE"""),-12.0)</f>
        <v>-12</v>
      </c>
      <c r="E1683" s="1"/>
      <c r="F1683" s="1"/>
    </row>
    <row r="1684">
      <c r="A1684" s="1" t="str">
        <f>IFERROR(__xludf.DUMMYFUNCTION("""COMPUTED_VALUE"""),"ae35185f")</f>
        <v>ae35185f</v>
      </c>
      <c r="B1684" s="1" t="str">
        <f>IFERROR(__xludf.DUMMYFUNCTION("""COMPUTED_VALUE"""),"0049")</f>
        <v>0049</v>
      </c>
      <c r="C1684" s="32">
        <f>IFERROR(__xludf.DUMMYFUNCTION("""COMPUTED_VALUE"""),46121.67849537037)</f>
        <v>46121.6785</v>
      </c>
      <c r="D1684" s="1">
        <f>IFERROR(__xludf.DUMMYFUNCTION("""COMPUTED_VALUE"""),-8.0)</f>
        <v>-8</v>
      </c>
      <c r="E1684" s="1"/>
      <c r="F1684" s="1"/>
    </row>
    <row r="1685">
      <c r="A1685" s="1" t="str">
        <f>IFERROR(__xludf.DUMMYFUNCTION("""COMPUTED_VALUE"""),"a8726fd8")</f>
        <v>a8726fd8</v>
      </c>
      <c r="B1685" s="1" t="str">
        <f>IFERROR(__xludf.DUMMYFUNCTION("""COMPUTED_VALUE"""),"cf6c9481")</f>
        <v>cf6c9481</v>
      </c>
      <c r="C1685" s="32">
        <f>IFERROR(__xludf.DUMMYFUNCTION("""COMPUTED_VALUE"""),46121.67891203704)</f>
        <v>46121.67891</v>
      </c>
      <c r="D1685" s="1">
        <f>IFERROR(__xludf.DUMMYFUNCTION("""COMPUTED_VALUE"""),-4.0)</f>
        <v>-4</v>
      </c>
      <c r="E1685" s="1"/>
      <c r="F1685" s="1"/>
    </row>
    <row r="1686">
      <c r="A1686" s="1" t="str">
        <f>IFERROR(__xludf.DUMMYFUNCTION("""COMPUTED_VALUE"""),"82a72e78")</f>
        <v>82a72e78</v>
      </c>
      <c r="B1686" s="1" t="str">
        <f>IFERROR(__xludf.DUMMYFUNCTION("""COMPUTED_VALUE"""),"0032")</f>
        <v>0032</v>
      </c>
      <c r="C1686" s="32">
        <f>IFERROR(__xludf.DUMMYFUNCTION("""COMPUTED_VALUE"""),46121.67915509259)</f>
        <v>46121.67916</v>
      </c>
      <c r="D1686" s="1">
        <f>IFERROR(__xludf.DUMMYFUNCTION("""COMPUTED_VALUE"""),-9.0)</f>
        <v>-9</v>
      </c>
      <c r="E1686" s="1"/>
      <c r="F1686" s="1"/>
    </row>
    <row r="1687">
      <c r="A1687" s="1" t="str">
        <f>IFERROR(__xludf.DUMMYFUNCTION("""COMPUTED_VALUE"""),"a27ce0e7")</f>
        <v>a27ce0e7</v>
      </c>
      <c r="B1687" s="1" t="str">
        <f>IFERROR(__xludf.DUMMYFUNCTION("""COMPUTED_VALUE"""),"0002")</f>
        <v>0002</v>
      </c>
      <c r="C1687" s="32">
        <f>IFERROR(__xludf.DUMMYFUNCTION("""COMPUTED_VALUE"""),46121.67967592592)</f>
        <v>46121.67968</v>
      </c>
      <c r="D1687" s="1">
        <f>IFERROR(__xludf.DUMMYFUNCTION("""COMPUTED_VALUE"""),-51.0)</f>
        <v>-51</v>
      </c>
      <c r="E1687" s="1"/>
      <c r="F1687" s="1"/>
    </row>
    <row r="1688">
      <c r="A1688" s="1" t="str">
        <f>IFERROR(__xludf.DUMMYFUNCTION("""COMPUTED_VALUE"""),"d7a97d46")</f>
        <v>d7a97d46</v>
      </c>
      <c r="B1688" s="1" t="str">
        <f>IFERROR(__xludf.DUMMYFUNCTION("""COMPUTED_VALUE"""),"0002")</f>
        <v>0002</v>
      </c>
      <c r="C1688" s="32">
        <f>IFERROR(__xludf.DUMMYFUNCTION("""COMPUTED_VALUE"""),46121.68009259259)</f>
        <v>46121.68009</v>
      </c>
      <c r="D1688" s="1">
        <f>IFERROR(__xludf.DUMMYFUNCTION("""COMPUTED_VALUE"""),-1.0)</f>
        <v>-1</v>
      </c>
      <c r="E1688" s="1"/>
      <c r="F1688" s="1"/>
    </row>
    <row r="1689">
      <c r="A1689" s="1" t="str">
        <f>IFERROR(__xludf.DUMMYFUNCTION("""COMPUTED_VALUE"""),"e1a74b6d")</f>
        <v>e1a74b6d</v>
      </c>
      <c r="B1689" s="1" t="str">
        <f>IFERROR(__xludf.DUMMYFUNCTION("""COMPUTED_VALUE"""),"0011")</f>
        <v>0011</v>
      </c>
      <c r="C1689" s="32">
        <f>IFERROR(__xludf.DUMMYFUNCTION("""COMPUTED_VALUE"""),46121.680300925924)</f>
        <v>46121.6803</v>
      </c>
      <c r="D1689" s="1">
        <f>IFERROR(__xludf.DUMMYFUNCTION("""COMPUTED_VALUE"""),-13.0)</f>
        <v>-13</v>
      </c>
      <c r="E1689" s="1"/>
      <c r="F1689" s="1"/>
    </row>
    <row r="1690">
      <c r="A1690" s="1" t="str">
        <f>IFERROR(__xludf.DUMMYFUNCTION("""COMPUTED_VALUE"""),"a35d8155")</f>
        <v>a35d8155</v>
      </c>
      <c r="B1690" s="1" t="str">
        <f>IFERROR(__xludf.DUMMYFUNCTION("""COMPUTED_VALUE"""),"0054")</f>
        <v>0054</v>
      </c>
      <c r="C1690" s="32">
        <f>IFERROR(__xludf.DUMMYFUNCTION("""COMPUTED_VALUE"""),46121.680810185186)</f>
        <v>46121.68081</v>
      </c>
      <c r="D1690" s="1">
        <f>IFERROR(__xludf.DUMMYFUNCTION("""COMPUTED_VALUE"""),-4.0)</f>
        <v>-4</v>
      </c>
      <c r="E1690" s="1"/>
      <c r="F1690" s="1"/>
    </row>
    <row r="1691">
      <c r="A1691" s="1" t="str">
        <f>IFERROR(__xludf.DUMMYFUNCTION("""COMPUTED_VALUE"""),"8286f4fc")</f>
        <v>8286f4fc</v>
      </c>
      <c r="B1691" s="1" t="str">
        <f>IFERROR(__xludf.DUMMYFUNCTION("""COMPUTED_VALUE"""),"0029")</f>
        <v>0029</v>
      </c>
      <c r="C1691" s="32">
        <f>IFERROR(__xludf.DUMMYFUNCTION("""COMPUTED_VALUE"""),46121.68125)</f>
        <v>46121.68125</v>
      </c>
      <c r="D1691" s="1">
        <f>IFERROR(__xludf.DUMMYFUNCTION("""COMPUTED_VALUE"""),-6.0)</f>
        <v>-6</v>
      </c>
      <c r="E1691" s="1"/>
      <c r="F1691" s="1"/>
    </row>
    <row r="1692">
      <c r="A1692" s="1" t="str">
        <f>IFERROR(__xludf.DUMMYFUNCTION("""COMPUTED_VALUE"""),"053b4baa")</f>
        <v>053b4baa</v>
      </c>
      <c r="B1692" s="1" t="str">
        <f>IFERROR(__xludf.DUMMYFUNCTION("""COMPUTED_VALUE"""),"649eaeb5")</f>
        <v>649eaeb5</v>
      </c>
      <c r="C1692" s="32">
        <f>IFERROR(__xludf.DUMMYFUNCTION("""COMPUTED_VALUE"""),46121.68158564815)</f>
        <v>46121.68159</v>
      </c>
      <c r="D1692" s="1">
        <f>IFERROR(__xludf.DUMMYFUNCTION("""COMPUTED_VALUE"""),-4.0)</f>
        <v>-4</v>
      </c>
      <c r="E1692" s="1"/>
      <c r="F1692" s="1"/>
    </row>
    <row r="1693">
      <c r="A1693" s="1" t="str">
        <f>IFERROR(__xludf.DUMMYFUNCTION("""COMPUTED_VALUE"""),"c5095f79")</f>
        <v>c5095f79</v>
      </c>
      <c r="B1693" s="1" t="str">
        <f>IFERROR(__xludf.DUMMYFUNCTION("""COMPUTED_VALUE"""),"bb6c2490")</f>
        <v>bb6c2490</v>
      </c>
      <c r="C1693" s="32">
        <f>IFERROR(__xludf.DUMMYFUNCTION("""COMPUTED_VALUE"""),46121.69094907407)</f>
        <v>46121.69095</v>
      </c>
      <c r="D1693" s="1">
        <f>IFERROR(__xludf.DUMMYFUNCTION("""COMPUTED_VALUE"""),-20.0)</f>
        <v>-20</v>
      </c>
      <c r="E1693" s="1"/>
      <c r="F1693" s="1"/>
    </row>
    <row r="1694">
      <c r="A1694" s="1" t="str">
        <f>IFERROR(__xludf.DUMMYFUNCTION("""COMPUTED_VALUE"""),"b661bb0b")</f>
        <v>b661bb0b</v>
      </c>
      <c r="B1694" s="1" t="str">
        <f>IFERROR(__xludf.DUMMYFUNCTION("""COMPUTED_VALUE"""),"0af806f8")</f>
        <v>0af806f8</v>
      </c>
      <c r="C1694" s="32">
        <f>IFERROR(__xludf.DUMMYFUNCTION("""COMPUTED_VALUE"""),46121.69119212963)</f>
        <v>46121.69119</v>
      </c>
      <c r="D1694" s="1">
        <f>IFERROR(__xludf.DUMMYFUNCTION("""COMPUTED_VALUE"""),-5.0)</f>
        <v>-5</v>
      </c>
      <c r="E1694" s="1"/>
      <c r="F1694" s="1"/>
    </row>
    <row r="1695">
      <c r="A1695" s="1" t="str">
        <f>IFERROR(__xludf.DUMMYFUNCTION("""COMPUTED_VALUE"""),"902938fc")</f>
        <v>902938fc</v>
      </c>
      <c r="B1695" s="1" t="str">
        <f>IFERROR(__xludf.DUMMYFUNCTION("""COMPUTED_VALUE"""),"0001")</f>
        <v>0001</v>
      </c>
      <c r="C1695" s="32">
        <f>IFERROR(__xludf.DUMMYFUNCTION("""COMPUTED_VALUE"""),46121.69131944444)</f>
        <v>46121.69132</v>
      </c>
      <c r="D1695" s="1">
        <f>IFERROR(__xludf.DUMMYFUNCTION("""COMPUTED_VALUE"""),-12.0)</f>
        <v>-12</v>
      </c>
      <c r="E1695" s="1"/>
      <c r="F1695" s="1"/>
    </row>
    <row r="1696">
      <c r="A1696" s="1" t="str">
        <f>IFERROR(__xludf.DUMMYFUNCTION("""COMPUTED_VALUE"""),"5f4fe1ac")</f>
        <v>5f4fe1ac</v>
      </c>
      <c r="B1696" s="1" t="str">
        <f>IFERROR(__xludf.DUMMYFUNCTION("""COMPUTED_VALUE"""),"0038")</f>
        <v>0038</v>
      </c>
      <c r="C1696" s="32">
        <f>IFERROR(__xludf.DUMMYFUNCTION("""COMPUTED_VALUE"""),46121.69148148148)</f>
        <v>46121.69148</v>
      </c>
      <c r="D1696" s="1">
        <f>IFERROR(__xludf.DUMMYFUNCTION("""COMPUTED_VALUE"""),-2.0)</f>
        <v>-2</v>
      </c>
      <c r="E1696" s="1"/>
      <c r="F1696" s="1"/>
    </row>
    <row r="1697">
      <c r="A1697" s="1" t="str">
        <f>IFERROR(__xludf.DUMMYFUNCTION("""COMPUTED_VALUE"""),"fa8cce20")</f>
        <v>fa8cce20</v>
      </c>
      <c r="B1697" s="1" t="str">
        <f>IFERROR(__xludf.DUMMYFUNCTION("""COMPUTED_VALUE"""),"0033")</f>
        <v>0033</v>
      </c>
      <c r="C1697" s="32">
        <f>IFERROR(__xludf.DUMMYFUNCTION("""COMPUTED_VALUE"""),46121.691608796296)</f>
        <v>46121.69161</v>
      </c>
      <c r="D1697" s="1">
        <f>IFERROR(__xludf.DUMMYFUNCTION("""COMPUTED_VALUE"""),-6.0)</f>
        <v>-6</v>
      </c>
      <c r="E1697" s="1"/>
      <c r="F1697" s="1"/>
    </row>
    <row r="1698">
      <c r="A1698" s="1" t="str">
        <f>IFERROR(__xludf.DUMMYFUNCTION("""COMPUTED_VALUE"""),"9f96bb21")</f>
        <v>9f96bb21</v>
      </c>
      <c r="B1698" s="1" t="str">
        <f>IFERROR(__xludf.DUMMYFUNCTION("""COMPUTED_VALUE"""),"cb9e809e")</f>
        <v>cb9e809e</v>
      </c>
      <c r="C1698" s="32">
        <f>IFERROR(__xludf.DUMMYFUNCTION("""COMPUTED_VALUE"""),46121.691828703704)</f>
        <v>46121.69183</v>
      </c>
      <c r="D1698" s="1">
        <f>IFERROR(__xludf.DUMMYFUNCTION("""COMPUTED_VALUE"""),-10.0)</f>
        <v>-10</v>
      </c>
      <c r="E1698" s="1"/>
      <c r="F1698" s="1"/>
    </row>
    <row r="1699">
      <c r="A1699" s="1" t="str">
        <f>IFERROR(__xludf.DUMMYFUNCTION("""COMPUTED_VALUE"""),"245e5e90")</f>
        <v>245e5e90</v>
      </c>
      <c r="B1699" s="1" t="str">
        <f>IFERROR(__xludf.DUMMYFUNCTION("""COMPUTED_VALUE"""),"cf6c9481")</f>
        <v>cf6c9481</v>
      </c>
      <c r="C1699" s="32">
        <f>IFERROR(__xludf.DUMMYFUNCTION("""COMPUTED_VALUE"""),46121.69207175926)</f>
        <v>46121.69207</v>
      </c>
      <c r="D1699" s="1">
        <f>IFERROR(__xludf.DUMMYFUNCTION("""COMPUTED_VALUE"""),-1.0)</f>
        <v>-1</v>
      </c>
      <c r="E1699" s="1"/>
      <c r="F1699" s="1"/>
    </row>
    <row r="1700">
      <c r="A1700" s="1" t="str">
        <f>IFERROR(__xludf.DUMMYFUNCTION("""COMPUTED_VALUE"""),"fdfbf110")</f>
        <v>fdfbf110</v>
      </c>
      <c r="B1700" s="1" t="str">
        <f>IFERROR(__xludf.DUMMYFUNCTION("""COMPUTED_VALUE"""),"0049")</f>
        <v>0049</v>
      </c>
      <c r="C1700" s="32">
        <f>IFERROR(__xludf.DUMMYFUNCTION("""COMPUTED_VALUE"""),46121.69298611111)</f>
        <v>46121.69299</v>
      </c>
      <c r="D1700" s="1">
        <f>IFERROR(__xludf.DUMMYFUNCTION("""COMPUTED_VALUE"""),-3.0)</f>
        <v>-3</v>
      </c>
      <c r="E1700" s="1"/>
      <c r="F1700" s="1"/>
    </row>
    <row r="1701">
      <c r="A1701" s="1" t="str">
        <f>IFERROR(__xludf.DUMMYFUNCTION("""COMPUTED_VALUE"""),"c37ce83a")</f>
        <v>c37ce83a</v>
      </c>
      <c r="B1701" s="1" t="str">
        <f>IFERROR(__xludf.DUMMYFUNCTION("""COMPUTED_VALUE"""),"0029")</f>
        <v>0029</v>
      </c>
      <c r="C1701" s="32">
        <f>IFERROR(__xludf.DUMMYFUNCTION("""COMPUTED_VALUE"""),46121.693090277775)</f>
        <v>46121.69309</v>
      </c>
      <c r="D1701" s="1">
        <f>IFERROR(__xludf.DUMMYFUNCTION("""COMPUTED_VALUE"""),-3.0)</f>
        <v>-3</v>
      </c>
      <c r="E1701" s="1"/>
      <c r="F1701" s="1"/>
    </row>
    <row r="1702">
      <c r="A1702" s="1" t="str">
        <f>IFERROR(__xludf.DUMMYFUNCTION("""COMPUTED_VALUE"""),"8d4a791c")</f>
        <v>8d4a791c</v>
      </c>
      <c r="B1702" s="1" t="str">
        <f>IFERROR(__xludf.DUMMYFUNCTION("""COMPUTED_VALUE"""),"649eaeb5")</f>
        <v>649eaeb5</v>
      </c>
      <c r="C1702" s="32">
        <f>IFERROR(__xludf.DUMMYFUNCTION("""COMPUTED_VALUE"""),46121.69322916667)</f>
        <v>46121.69323</v>
      </c>
      <c r="D1702" s="1">
        <f>IFERROR(__xludf.DUMMYFUNCTION("""COMPUTED_VALUE"""),-4.0)</f>
        <v>-4</v>
      </c>
      <c r="E1702" s="1"/>
      <c r="F1702" s="1"/>
    </row>
    <row r="1703">
      <c r="A1703" s="1" t="str">
        <f>IFERROR(__xludf.DUMMYFUNCTION("""COMPUTED_VALUE"""),"5c909d90")</f>
        <v>5c909d90</v>
      </c>
      <c r="B1703" s="1" t="str">
        <f>IFERROR(__xludf.DUMMYFUNCTION("""COMPUTED_VALUE"""),"0005")</f>
        <v>0005</v>
      </c>
      <c r="C1703" s="32">
        <f>IFERROR(__xludf.DUMMYFUNCTION("""COMPUTED_VALUE"""),46121.693333333336)</f>
        <v>46121.69333</v>
      </c>
      <c r="D1703" s="1">
        <f>IFERROR(__xludf.DUMMYFUNCTION("""COMPUTED_VALUE"""),-8.0)</f>
        <v>-8</v>
      </c>
      <c r="E1703" s="1"/>
      <c r="F1703" s="1"/>
    </row>
    <row r="1704">
      <c r="A1704" s="1" t="str">
        <f>IFERROR(__xludf.DUMMYFUNCTION("""COMPUTED_VALUE"""),"5482ce87")</f>
        <v>5482ce87</v>
      </c>
      <c r="B1704" s="1" t="str">
        <f>IFERROR(__xludf.DUMMYFUNCTION("""COMPUTED_VALUE"""),"0032")</f>
        <v>0032</v>
      </c>
      <c r="C1704" s="32">
        <f>IFERROR(__xludf.DUMMYFUNCTION("""COMPUTED_VALUE"""),46121.693460648145)</f>
        <v>46121.69346</v>
      </c>
      <c r="D1704" s="1">
        <f>IFERROR(__xludf.DUMMYFUNCTION("""COMPUTED_VALUE"""),-9.0)</f>
        <v>-9</v>
      </c>
      <c r="E1704" s="1"/>
      <c r="F1704" s="1"/>
    </row>
    <row r="1705">
      <c r="A1705" s="1" t="str">
        <f>IFERROR(__xludf.DUMMYFUNCTION("""COMPUTED_VALUE"""),"5ea24016")</f>
        <v>5ea24016</v>
      </c>
      <c r="B1705" s="1" t="str">
        <f>IFERROR(__xludf.DUMMYFUNCTION("""COMPUTED_VALUE"""),"1b6b5ed6")</f>
        <v>1b6b5ed6</v>
      </c>
      <c r="C1705" s="32">
        <f>IFERROR(__xludf.DUMMYFUNCTION("""COMPUTED_VALUE"""),46121.69358796296)</f>
        <v>46121.69359</v>
      </c>
      <c r="D1705" s="1">
        <f>IFERROR(__xludf.DUMMYFUNCTION("""COMPUTED_VALUE"""),-11.0)</f>
        <v>-11</v>
      </c>
      <c r="E1705" s="1"/>
      <c r="F1705" s="1"/>
    </row>
    <row r="1706">
      <c r="A1706" s="1" t="str">
        <f>IFERROR(__xludf.DUMMYFUNCTION("""COMPUTED_VALUE"""),"1ddaf202")</f>
        <v>1ddaf202</v>
      </c>
      <c r="B1706" s="1" t="str">
        <f>IFERROR(__xludf.DUMMYFUNCTION("""COMPUTED_VALUE"""),"a3f74383")</f>
        <v>a3f74383</v>
      </c>
      <c r="C1706" s="32">
        <f>IFERROR(__xludf.DUMMYFUNCTION("""COMPUTED_VALUE"""),46121.69373842593)</f>
        <v>46121.69374</v>
      </c>
      <c r="D1706" s="1">
        <f>IFERROR(__xludf.DUMMYFUNCTION("""COMPUTED_VALUE"""),-3.0)</f>
        <v>-3</v>
      </c>
      <c r="E1706" s="1"/>
      <c r="F1706" s="1"/>
    </row>
    <row r="1707">
      <c r="A1707" s="1" t="str">
        <f>IFERROR(__xludf.DUMMYFUNCTION("""COMPUTED_VALUE"""),"ae34de07")</f>
        <v>ae34de07</v>
      </c>
      <c r="B1707" s="1" t="str">
        <f>IFERROR(__xludf.DUMMYFUNCTION("""COMPUTED_VALUE"""),"0064")</f>
        <v>0064</v>
      </c>
      <c r="C1707" s="32">
        <f>IFERROR(__xludf.DUMMYFUNCTION("""COMPUTED_VALUE"""),46121.69395833334)</f>
        <v>46121.69396</v>
      </c>
      <c r="D1707" s="1">
        <f>IFERROR(__xludf.DUMMYFUNCTION("""COMPUTED_VALUE"""),-3.0)</f>
        <v>-3</v>
      </c>
      <c r="E1707" s="1"/>
      <c r="F1707" s="1"/>
    </row>
    <row r="1708">
      <c r="A1708" s="1" t="str">
        <f>IFERROR(__xludf.DUMMYFUNCTION("""COMPUTED_VALUE"""),"a027665b")</f>
        <v>a027665b</v>
      </c>
      <c r="B1708" s="1" t="str">
        <f>IFERROR(__xludf.DUMMYFUNCTION("""COMPUTED_VALUE"""),"bb6c2490")</f>
        <v>bb6c2490</v>
      </c>
      <c r="C1708" s="32">
        <f>IFERROR(__xludf.DUMMYFUNCTION("""COMPUTED_VALUE"""),46121.694074074076)</f>
        <v>46121.69407</v>
      </c>
      <c r="D1708" s="1">
        <f>IFERROR(__xludf.DUMMYFUNCTION("""COMPUTED_VALUE"""),-12.0)</f>
        <v>-12</v>
      </c>
      <c r="E1708" s="1"/>
      <c r="F1708" s="1"/>
    </row>
    <row r="1709">
      <c r="A1709" s="1" t="str">
        <f>IFERROR(__xludf.DUMMYFUNCTION("""COMPUTED_VALUE"""),"221bbb46")</f>
        <v>221bbb46</v>
      </c>
      <c r="B1709" s="1" t="str">
        <f>IFERROR(__xludf.DUMMYFUNCTION("""COMPUTED_VALUE"""),"bb6c2490")</f>
        <v>bb6c2490</v>
      </c>
      <c r="C1709" s="32">
        <f>IFERROR(__xludf.DUMMYFUNCTION("""COMPUTED_VALUE"""),46121.69431712963)</f>
        <v>46121.69432</v>
      </c>
      <c r="D1709" s="1">
        <f>IFERROR(__xludf.DUMMYFUNCTION("""COMPUTED_VALUE"""),-12.0)</f>
        <v>-12</v>
      </c>
      <c r="E1709" s="1"/>
      <c r="F1709" s="1"/>
    </row>
    <row r="1710">
      <c r="A1710" s="1" t="str">
        <f>IFERROR(__xludf.DUMMYFUNCTION("""COMPUTED_VALUE"""),"fabece3f")</f>
        <v>fabece3f</v>
      </c>
      <c r="B1710" s="1" t="str">
        <f>IFERROR(__xludf.DUMMYFUNCTION("""COMPUTED_VALUE"""),"0033")</f>
        <v>0033</v>
      </c>
      <c r="C1710" s="32">
        <f>IFERROR(__xludf.DUMMYFUNCTION("""COMPUTED_VALUE"""),46121.69445601852)</f>
        <v>46121.69446</v>
      </c>
      <c r="D1710" s="1">
        <f>IFERROR(__xludf.DUMMYFUNCTION("""COMPUTED_VALUE"""),-6.0)</f>
        <v>-6</v>
      </c>
      <c r="E1710" s="1"/>
      <c r="F1710" s="1"/>
    </row>
    <row r="1711">
      <c r="A1711" s="1" t="str">
        <f>IFERROR(__xludf.DUMMYFUNCTION("""COMPUTED_VALUE"""),"2b805c9a")</f>
        <v>2b805c9a</v>
      </c>
      <c r="B1711" s="1" t="str">
        <f>IFERROR(__xludf.DUMMYFUNCTION("""COMPUTED_VALUE"""),"0001")</f>
        <v>0001</v>
      </c>
      <c r="C1711" s="32">
        <f>IFERROR(__xludf.DUMMYFUNCTION("""COMPUTED_VALUE"""),46121.69459490741)</f>
        <v>46121.69459</v>
      </c>
      <c r="D1711" s="1">
        <f>IFERROR(__xludf.DUMMYFUNCTION("""COMPUTED_VALUE"""),-3.0)</f>
        <v>-3</v>
      </c>
      <c r="E1711" s="1"/>
      <c r="F1711" s="1"/>
    </row>
    <row r="1712">
      <c r="A1712" s="1" t="str">
        <f>IFERROR(__xludf.DUMMYFUNCTION("""COMPUTED_VALUE"""),"8de850d1")</f>
        <v>8de850d1</v>
      </c>
      <c r="B1712" s="1" t="str">
        <f>IFERROR(__xludf.DUMMYFUNCTION("""COMPUTED_VALUE"""),"0032")</f>
        <v>0032</v>
      </c>
      <c r="C1712" s="32">
        <f>IFERROR(__xludf.DUMMYFUNCTION("""COMPUTED_VALUE"""),46121.694756944446)</f>
        <v>46121.69476</v>
      </c>
      <c r="D1712" s="1">
        <f>IFERROR(__xludf.DUMMYFUNCTION("""COMPUTED_VALUE"""),-4.0)</f>
        <v>-4</v>
      </c>
      <c r="E1712" s="1"/>
      <c r="F1712" s="1"/>
    </row>
    <row r="1713">
      <c r="A1713" s="1" t="str">
        <f>IFERROR(__xludf.DUMMYFUNCTION("""COMPUTED_VALUE"""),"c655d147")</f>
        <v>c655d147</v>
      </c>
      <c r="B1713" s="1" t="str">
        <f>IFERROR(__xludf.DUMMYFUNCTION("""COMPUTED_VALUE"""),"cf6c9481")</f>
        <v>cf6c9481</v>
      </c>
      <c r="C1713" s="32">
        <f>IFERROR(__xludf.DUMMYFUNCTION("""COMPUTED_VALUE"""),46121.69494212963)</f>
        <v>46121.69494</v>
      </c>
      <c r="D1713" s="1">
        <f>IFERROR(__xludf.DUMMYFUNCTION("""COMPUTED_VALUE"""),-6.0)</f>
        <v>-6</v>
      </c>
      <c r="E1713" s="1"/>
      <c r="F1713" s="1"/>
    </row>
    <row r="1714">
      <c r="A1714" s="1" t="str">
        <f>IFERROR(__xludf.DUMMYFUNCTION("""COMPUTED_VALUE"""),"685416cf")</f>
        <v>685416cf</v>
      </c>
      <c r="B1714" s="1" t="str">
        <f>IFERROR(__xludf.DUMMYFUNCTION("""COMPUTED_VALUE"""),"0011")</f>
        <v>0011</v>
      </c>
      <c r="C1714" s="32">
        <f>IFERROR(__xludf.DUMMYFUNCTION("""COMPUTED_VALUE"""),46121.69510416667)</f>
        <v>46121.6951</v>
      </c>
      <c r="D1714" s="1">
        <f>IFERROR(__xludf.DUMMYFUNCTION("""COMPUTED_VALUE"""),-3.0)</f>
        <v>-3</v>
      </c>
      <c r="E1714" s="1"/>
      <c r="F1714" s="1"/>
    </row>
    <row r="1715">
      <c r="A1715" s="1" t="str">
        <f>IFERROR(__xludf.DUMMYFUNCTION("""COMPUTED_VALUE"""),"11dab5a6")</f>
        <v>11dab5a6</v>
      </c>
      <c r="B1715" s="1" t="str">
        <f>IFERROR(__xludf.DUMMYFUNCTION("""COMPUTED_VALUE"""),"0002")</f>
        <v>0002</v>
      </c>
      <c r="C1715" s="32">
        <f>IFERROR(__xludf.DUMMYFUNCTION("""COMPUTED_VALUE"""),46121.69525462963)</f>
        <v>46121.69525</v>
      </c>
      <c r="D1715" s="1">
        <f>IFERROR(__xludf.DUMMYFUNCTION("""COMPUTED_VALUE"""),-36.0)</f>
        <v>-36</v>
      </c>
      <c r="E1715" s="1"/>
      <c r="F1715" s="1"/>
    </row>
    <row r="1716">
      <c r="A1716" s="1" t="str">
        <f>IFERROR(__xludf.DUMMYFUNCTION("""COMPUTED_VALUE"""),"7263777e")</f>
        <v>7263777e</v>
      </c>
      <c r="B1716" s="1" t="str">
        <f>IFERROR(__xludf.DUMMYFUNCTION("""COMPUTED_VALUE"""),"0016")</f>
        <v>0016</v>
      </c>
      <c r="C1716" s="32">
        <f>IFERROR(__xludf.DUMMYFUNCTION("""COMPUTED_VALUE"""),46121.74453703704)</f>
        <v>46121.74454</v>
      </c>
      <c r="D1716" s="1">
        <f>IFERROR(__xludf.DUMMYFUNCTION("""COMPUTED_VALUE"""),-2.0)</f>
        <v>-2</v>
      </c>
      <c r="E1716" s="1"/>
      <c r="F1716" s="1"/>
    </row>
    <row r="1717">
      <c r="A1717" s="1" t="str">
        <f>IFERROR(__xludf.DUMMYFUNCTION("""COMPUTED_VALUE"""),"64c0b671")</f>
        <v>64c0b671</v>
      </c>
      <c r="B1717" s="1" t="str">
        <f>IFERROR(__xludf.DUMMYFUNCTION("""COMPUTED_VALUE"""),"f2959682")</f>
        <v>f2959682</v>
      </c>
      <c r="C1717" s="32">
        <f>IFERROR(__xludf.DUMMYFUNCTION("""COMPUTED_VALUE"""),46121.74475694444)</f>
        <v>46121.74476</v>
      </c>
      <c r="D1717" s="1">
        <f>IFERROR(__xludf.DUMMYFUNCTION("""COMPUTED_VALUE"""),-153.0)</f>
        <v>-153</v>
      </c>
      <c r="E1717" s="1"/>
      <c r="F1717" s="1"/>
    </row>
    <row r="1718">
      <c r="A1718" s="1" t="str">
        <f>IFERROR(__xludf.DUMMYFUNCTION("""COMPUTED_VALUE"""),"a6783b22")</f>
        <v>a6783b22</v>
      </c>
      <c r="B1718" s="1" t="str">
        <f>IFERROR(__xludf.DUMMYFUNCTION("""COMPUTED_VALUE"""),"cc35c9db")</f>
        <v>cc35c9db</v>
      </c>
      <c r="C1718" s="32">
        <f>IFERROR(__xludf.DUMMYFUNCTION("""COMPUTED_VALUE"""),46121.745983796296)</f>
        <v>46121.74598</v>
      </c>
      <c r="D1718" s="1">
        <f>IFERROR(__xludf.DUMMYFUNCTION("""COMPUTED_VALUE"""),-2.0)</f>
        <v>-2</v>
      </c>
      <c r="E1718" s="1"/>
      <c r="F1718" s="1"/>
    </row>
    <row r="1719">
      <c r="A1719" s="1" t="str">
        <f>IFERROR(__xludf.DUMMYFUNCTION("""COMPUTED_VALUE"""),"f7d21729")</f>
        <v>f7d21729</v>
      </c>
      <c r="B1719" s="1" t="str">
        <f>IFERROR(__xludf.DUMMYFUNCTION("""COMPUTED_VALUE"""),"02d86a9b")</f>
        <v>02d86a9b</v>
      </c>
      <c r="C1719" s="32">
        <f>IFERROR(__xludf.DUMMYFUNCTION("""COMPUTED_VALUE"""),46121.80363425926)</f>
        <v>46121.80363</v>
      </c>
      <c r="D1719" s="1">
        <f>IFERROR(__xludf.DUMMYFUNCTION("""COMPUTED_VALUE"""),-14.0)</f>
        <v>-14</v>
      </c>
      <c r="E1719" s="1"/>
      <c r="F1719" s="1"/>
    </row>
    <row r="1720">
      <c r="A1720" s="1" t="str">
        <f>IFERROR(__xludf.DUMMYFUNCTION("""COMPUTED_VALUE"""),"34c518e1")</f>
        <v>34c518e1</v>
      </c>
      <c r="B1720" s="1" t="str">
        <f>IFERROR(__xludf.DUMMYFUNCTION("""COMPUTED_VALUE"""),"bb4d1bd1")</f>
        <v>bb4d1bd1</v>
      </c>
      <c r="C1720" s="32">
        <f>IFERROR(__xludf.DUMMYFUNCTION("""COMPUTED_VALUE"""),46121.803715277776)</f>
        <v>46121.80372</v>
      </c>
      <c r="D1720" s="1">
        <f>IFERROR(__xludf.DUMMYFUNCTION("""COMPUTED_VALUE"""),-50.0)</f>
        <v>-50</v>
      </c>
      <c r="E1720" s="1"/>
      <c r="F1720" s="1"/>
    </row>
    <row r="1721">
      <c r="A1721" s="1" t="str">
        <f>IFERROR(__xludf.DUMMYFUNCTION("""COMPUTED_VALUE"""),"6f4753a5")</f>
        <v>6f4753a5</v>
      </c>
      <c r="B1721" s="1" t="str">
        <f>IFERROR(__xludf.DUMMYFUNCTION("""COMPUTED_VALUE"""),"a19879cf")</f>
        <v>a19879cf</v>
      </c>
      <c r="C1721" s="32">
        <f>IFERROR(__xludf.DUMMYFUNCTION("""COMPUTED_VALUE"""),46121.83777777778)</f>
        <v>46121.83778</v>
      </c>
      <c r="D1721" s="1">
        <f>IFERROR(__xludf.DUMMYFUNCTION("""COMPUTED_VALUE"""),-37.0)</f>
        <v>-37</v>
      </c>
      <c r="E1721" s="1"/>
      <c r="F1721" s="1"/>
    </row>
    <row r="1722">
      <c r="A1722" s="1" t="str">
        <f>IFERROR(__xludf.DUMMYFUNCTION("""COMPUTED_VALUE"""),"abf63fb2")</f>
        <v>abf63fb2</v>
      </c>
      <c r="B1722" s="1" t="str">
        <f>IFERROR(__xludf.DUMMYFUNCTION("""COMPUTED_VALUE"""),"bb4d1bd1")</f>
        <v>bb4d1bd1</v>
      </c>
      <c r="C1722" s="32">
        <f>IFERROR(__xludf.DUMMYFUNCTION("""COMPUTED_VALUE"""),46121.83820601852)</f>
        <v>46121.83821</v>
      </c>
      <c r="D1722" s="1">
        <f>IFERROR(__xludf.DUMMYFUNCTION("""COMPUTED_VALUE"""),2.0)</f>
        <v>2</v>
      </c>
      <c r="E1722" s="1"/>
      <c r="F1722" s="1"/>
    </row>
    <row r="1723">
      <c r="A1723" s="1" t="str">
        <f>IFERROR(__xludf.DUMMYFUNCTION("""COMPUTED_VALUE"""),"afe16928")</f>
        <v>afe16928</v>
      </c>
      <c r="B1723" s="1" t="str">
        <f>IFERROR(__xludf.DUMMYFUNCTION("""COMPUTED_VALUE"""),"cf6c9481")</f>
        <v>cf6c9481</v>
      </c>
      <c r="C1723" s="32">
        <f>IFERROR(__xludf.DUMMYFUNCTION("""COMPUTED_VALUE"""),46121.84986111111)</f>
        <v>46121.84986</v>
      </c>
      <c r="D1723" s="1">
        <f>IFERROR(__xludf.DUMMYFUNCTION("""COMPUTED_VALUE"""),20.0)</f>
        <v>20</v>
      </c>
      <c r="E1723" s="1" t="str">
        <f>IFERROR(__xludf.DUMMYFUNCTION("""COMPUTED_VALUE"""),"557cdc68")</f>
        <v>557cdc68</v>
      </c>
      <c r="F1723" s="1"/>
    </row>
    <row r="1724">
      <c r="A1724" s="1" t="str">
        <f>IFERROR(__xludf.DUMMYFUNCTION("""COMPUTED_VALUE"""),"70f0940b")</f>
        <v>70f0940b</v>
      </c>
      <c r="B1724" s="1" t="str">
        <f>IFERROR(__xludf.DUMMYFUNCTION("""COMPUTED_VALUE"""),"bb4d1bd1")</f>
        <v>bb4d1bd1</v>
      </c>
      <c r="C1724" s="32">
        <f>IFERROR(__xludf.DUMMYFUNCTION("""COMPUTED_VALUE"""),46121.85003472222)</f>
        <v>46121.85003</v>
      </c>
      <c r="D1724" s="1">
        <f>IFERROR(__xludf.DUMMYFUNCTION("""COMPUTED_VALUE"""),48.0)</f>
        <v>48</v>
      </c>
      <c r="E1724" s="1" t="str">
        <f>IFERROR(__xludf.DUMMYFUNCTION("""COMPUTED_VALUE"""),"557cdc68")</f>
        <v>557cdc68</v>
      </c>
      <c r="F1724" s="1"/>
    </row>
    <row r="1725">
      <c r="A1725" s="1" t="str">
        <f>IFERROR(__xludf.DUMMYFUNCTION("""COMPUTED_VALUE"""),"892bdb1a")</f>
        <v>892bdb1a</v>
      </c>
      <c r="B1725" s="1" t="str">
        <f>IFERROR(__xludf.DUMMYFUNCTION("""COMPUTED_VALUE"""),"0024")</f>
        <v>0024</v>
      </c>
      <c r="C1725" s="32">
        <f>IFERROR(__xludf.DUMMYFUNCTION("""COMPUTED_VALUE"""),46121.85010416667)</f>
        <v>46121.8501</v>
      </c>
      <c r="D1725" s="1">
        <f>IFERROR(__xludf.DUMMYFUNCTION("""COMPUTED_VALUE"""),10.0)</f>
        <v>10</v>
      </c>
      <c r="E1725" s="1" t="str">
        <f>IFERROR(__xludf.DUMMYFUNCTION("""COMPUTED_VALUE"""),"557cdc68")</f>
        <v>557cdc68</v>
      </c>
      <c r="F1725" s="1"/>
    </row>
    <row r="1726">
      <c r="A1726" s="1" t="str">
        <f>IFERROR(__xludf.DUMMYFUNCTION("""COMPUTED_VALUE"""),"07178b3b")</f>
        <v>07178b3b</v>
      </c>
      <c r="B1726" s="1" t="str">
        <f>IFERROR(__xludf.DUMMYFUNCTION("""COMPUTED_VALUE"""),"0011")</f>
        <v>0011</v>
      </c>
      <c r="C1726" s="32">
        <f>IFERROR(__xludf.DUMMYFUNCTION("""COMPUTED_VALUE"""),46121.87332175926)</f>
        <v>46121.87332</v>
      </c>
      <c r="D1726" s="1">
        <f>IFERROR(__xludf.DUMMYFUNCTION("""COMPUTED_VALUE"""),24.0)</f>
        <v>24</v>
      </c>
      <c r="E1726" s="1" t="str">
        <f>IFERROR(__xludf.DUMMYFUNCTION("""COMPUTED_VALUE"""),"d97919fb")</f>
        <v>d97919fb</v>
      </c>
      <c r="F1726" s="1"/>
    </row>
    <row r="1727">
      <c r="A1727" s="1" t="str">
        <f>IFERROR(__xludf.DUMMYFUNCTION("""COMPUTED_VALUE"""),"22959558")</f>
        <v>22959558</v>
      </c>
      <c r="B1727" s="1" t="str">
        <f>IFERROR(__xludf.DUMMYFUNCTION("""COMPUTED_VALUE"""),"02d86a9b")</f>
        <v>02d86a9b</v>
      </c>
      <c r="C1727" s="32">
        <f>IFERROR(__xludf.DUMMYFUNCTION("""COMPUTED_VALUE"""),46121.87336805555)</f>
        <v>46121.87337</v>
      </c>
      <c r="D1727" s="1">
        <f>IFERROR(__xludf.DUMMYFUNCTION("""COMPUTED_VALUE"""),24.0)</f>
        <v>24</v>
      </c>
      <c r="E1727" s="1" t="str">
        <f>IFERROR(__xludf.DUMMYFUNCTION("""COMPUTED_VALUE"""),"d97919fb")</f>
        <v>d97919fb</v>
      </c>
      <c r="F1727" s="1"/>
    </row>
    <row r="1728">
      <c r="A1728" s="1" t="str">
        <f>IFERROR(__xludf.DUMMYFUNCTION("""COMPUTED_VALUE"""),"d76f64ef")</f>
        <v>d76f64ef</v>
      </c>
      <c r="B1728" s="1" t="str">
        <f>IFERROR(__xludf.DUMMYFUNCTION("""COMPUTED_VALUE"""),"0032")</f>
        <v>0032</v>
      </c>
      <c r="C1728" s="32">
        <f>IFERROR(__xludf.DUMMYFUNCTION("""COMPUTED_VALUE"""),46121.87342592593)</f>
        <v>46121.87343</v>
      </c>
      <c r="D1728" s="1">
        <f>IFERROR(__xludf.DUMMYFUNCTION("""COMPUTED_VALUE"""),54.0)</f>
        <v>54</v>
      </c>
      <c r="E1728" s="1" t="str">
        <f>IFERROR(__xludf.DUMMYFUNCTION("""COMPUTED_VALUE"""),"d97919fb")</f>
        <v>d97919fb</v>
      </c>
      <c r="F1728" s="1"/>
    </row>
    <row r="1729">
      <c r="A1729" s="1" t="str">
        <f>IFERROR(__xludf.DUMMYFUNCTION("""COMPUTED_VALUE"""),"eb696268")</f>
        <v>eb696268</v>
      </c>
      <c r="B1729" s="1" t="str">
        <f>IFERROR(__xludf.DUMMYFUNCTION("""COMPUTED_VALUE"""),"1b6b5ed6")</f>
        <v>1b6b5ed6</v>
      </c>
      <c r="C1729" s="32">
        <f>IFERROR(__xludf.DUMMYFUNCTION("""COMPUTED_VALUE"""),46121.87347222222)</f>
        <v>46121.87347</v>
      </c>
      <c r="D1729" s="1">
        <f>IFERROR(__xludf.DUMMYFUNCTION("""COMPUTED_VALUE"""),120.0)</f>
        <v>120</v>
      </c>
      <c r="E1729" s="1" t="str">
        <f>IFERROR(__xludf.DUMMYFUNCTION("""COMPUTED_VALUE"""),"d97919fb")</f>
        <v>d97919fb</v>
      </c>
      <c r="F1729" s="1"/>
    </row>
    <row r="1730">
      <c r="A1730" s="1" t="str">
        <f>IFERROR(__xludf.DUMMYFUNCTION("""COMPUTED_VALUE"""),"30dd0674")</f>
        <v>30dd0674</v>
      </c>
      <c r="B1730" s="1" t="str">
        <f>IFERROR(__xludf.DUMMYFUNCTION("""COMPUTED_VALUE"""),"70bdbe11")</f>
        <v>70bdbe11</v>
      </c>
      <c r="C1730" s="32">
        <f>IFERROR(__xludf.DUMMYFUNCTION("""COMPUTED_VALUE"""),46121.87351851852)</f>
        <v>46121.87352</v>
      </c>
      <c r="D1730" s="1">
        <f>IFERROR(__xludf.DUMMYFUNCTION("""COMPUTED_VALUE"""),24.0)</f>
        <v>24</v>
      </c>
      <c r="E1730" s="1" t="str">
        <f>IFERROR(__xludf.DUMMYFUNCTION("""COMPUTED_VALUE"""),"d97919fb")</f>
        <v>d97919fb</v>
      </c>
      <c r="F1730" s="1"/>
    </row>
    <row r="1731">
      <c r="A1731" s="1" t="str">
        <f>IFERROR(__xludf.DUMMYFUNCTION("""COMPUTED_VALUE"""),"747b2516")</f>
        <v>747b2516</v>
      </c>
      <c r="B1731" s="1" t="str">
        <f>IFERROR(__xludf.DUMMYFUNCTION("""COMPUTED_VALUE"""),"0029")</f>
        <v>0029</v>
      </c>
      <c r="C1731" s="32">
        <f>IFERROR(__xludf.DUMMYFUNCTION("""COMPUTED_VALUE"""),46121.87357638889)</f>
        <v>46121.87358</v>
      </c>
      <c r="D1731" s="1">
        <f>IFERROR(__xludf.DUMMYFUNCTION("""COMPUTED_VALUE"""),48.0)</f>
        <v>48</v>
      </c>
      <c r="E1731" s="1" t="str">
        <f>IFERROR(__xludf.DUMMYFUNCTION("""COMPUTED_VALUE"""),"d97919fb")</f>
        <v>d97919fb</v>
      </c>
      <c r="F1731" s="1"/>
    </row>
    <row r="1732">
      <c r="A1732" s="1" t="str">
        <f>IFERROR(__xludf.DUMMYFUNCTION("""COMPUTED_VALUE"""),"c6b9a1b0")</f>
        <v>c6b9a1b0</v>
      </c>
      <c r="B1732" s="1" t="str">
        <f>IFERROR(__xludf.DUMMYFUNCTION("""COMPUTED_VALUE"""),"406a1fee")</f>
        <v>406a1fee</v>
      </c>
      <c r="C1732" s="32">
        <f>IFERROR(__xludf.DUMMYFUNCTION("""COMPUTED_VALUE"""),46121.87364583334)</f>
        <v>46121.87365</v>
      </c>
      <c r="D1732" s="1">
        <f>IFERROR(__xludf.DUMMYFUNCTION("""COMPUTED_VALUE"""),48.0)</f>
        <v>48</v>
      </c>
      <c r="E1732" s="1" t="str">
        <f>IFERROR(__xludf.DUMMYFUNCTION("""COMPUTED_VALUE"""),"d97919fb")</f>
        <v>d97919fb</v>
      </c>
      <c r="F1732" s="1"/>
    </row>
    <row r="1733">
      <c r="A1733" s="1" t="str">
        <f>IFERROR(__xludf.DUMMYFUNCTION("""COMPUTED_VALUE"""),"e7db26c3")</f>
        <v>e7db26c3</v>
      </c>
      <c r="B1733" s="1" t="str">
        <f>IFERROR(__xludf.DUMMYFUNCTION("""COMPUTED_VALUE"""),"0001")</f>
        <v>0001</v>
      </c>
      <c r="C1733" s="32">
        <f>IFERROR(__xludf.DUMMYFUNCTION("""COMPUTED_VALUE"""),46122.01366898148)</f>
        <v>46122.01367</v>
      </c>
      <c r="D1733" s="1">
        <f>IFERROR(__xludf.DUMMYFUNCTION("""COMPUTED_VALUE"""),-28.0)</f>
        <v>-28</v>
      </c>
      <c r="E1733" s="1"/>
      <c r="F1733" s="1"/>
    </row>
    <row r="1734">
      <c r="A1734" s="1" t="str">
        <f>IFERROR(__xludf.DUMMYFUNCTION("""COMPUTED_VALUE"""),"91484ad2")</f>
        <v>91484ad2</v>
      </c>
      <c r="B1734" s="1" t="str">
        <f>IFERROR(__xludf.DUMMYFUNCTION("""COMPUTED_VALUE"""),"0033")</f>
        <v>0033</v>
      </c>
      <c r="C1734" s="32">
        <f>IFERROR(__xludf.DUMMYFUNCTION("""COMPUTED_VALUE"""),46122.01416666667)</f>
        <v>46122.01417</v>
      </c>
      <c r="D1734" s="1">
        <f>IFERROR(__xludf.DUMMYFUNCTION("""COMPUTED_VALUE"""),-7.0)</f>
        <v>-7</v>
      </c>
      <c r="E1734" s="1"/>
      <c r="F1734" s="1"/>
    </row>
    <row r="1735">
      <c r="A1735" s="1" t="str">
        <f>IFERROR(__xludf.DUMMYFUNCTION("""COMPUTED_VALUE"""),"5225cad4")</f>
        <v>5225cad4</v>
      </c>
      <c r="B1735" s="1" t="str">
        <f>IFERROR(__xludf.DUMMYFUNCTION("""COMPUTED_VALUE"""),"0070")</f>
        <v>0070</v>
      </c>
      <c r="C1735" s="32">
        <f>IFERROR(__xludf.DUMMYFUNCTION("""COMPUTED_VALUE"""),46122.015127314815)</f>
        <v>46122.01513</v>
      </c>
      <c r="D1735" s="1">
        <f>IFERROR(__xludf.DUMMYFUNCTION("""COMPUTED_VALUE"""),-7.0)</f>
        <v>-7</v>
      </c>
      <c r="E1735" s="1"/>
      <c r="F1735" s="1"/>
    </row>
    <row r="1736">
      <c r="A1736" s="1" t="str">
        <f>IFERROR(__xludf.DUMMYFUNCTION("""COMPUTED_VALUE"""),"4b7c72fe")</f>
        <v>4b7c72fe</v>
      </c>
      <c r="B1736" s="1" t="str">
        <f>IFERROR(__xludf.DUMMYFUNCTION("""COMPUTED_VALUE"""),"0070")</f>
        <v>0070</v>
      </c>
      <c r="C1736" s="32">
        <f>IFERROR(__xludf.DUMMYFUNCTION("""COMPUTED_VALUE"""),46122.01550925926)</f>
        <v>46122.01551</v>
      </c>
      <c r="D1736" s="1">
        <f>IFERROR(__xludf.DUMMYFUNCTION("""COMPUTED_VALUE"""),2.0)</f>
        <v>2</v>
      </c>
      <c r="E1736" s="1"/>
      <c r="F1736" s="1"/>
    </row>
    <row r="1737">
      <c r="A1737" s="1" t="str">
        <f>IFERROR(__xludf.DUMMYFUNCTION("""COMPUTED_VALUE"""),"9710ac53")</f>
        <v>9710ac53</v>
      </c>
      <c r="B1737" s="1" t="str">
        <f>IFERROR(__xludf.DUMMYFUNCTION("""COMPUTED_VALUE"""),"0038")</f>
        <v>0038</v>
      </c>
      <c r="C1737" s="32">
        <f>IFERROR(__xludf.DUMMYFUNCTION("""COMPUTED_VALUE"""),46122.01571759259)</f>
        <v>46122.01572</v>
      </c>
      <c r="D1737" s="1">
        <f>IFERROR(__xludf.DUMMYFUNCTION("""COMPUTED_VALUE"""),-6.0)</f>
        <v>-6</v>
      </c>
      <c r="E1737" s="1"/>
      <c r="F1737" s="1"/>
    </row>
    <row r="1738">
      <c r="A1738" s="1" t="str">
        <f>IFERROR(__xludf.DUMMYFUNCTION("""COMPUTED_VALUE"""),"a7d71ab5")</f>
        <v>a7d71ab5</v>
      </c>
      <c r="B1738" s="1" t="str">
        <f>IFERROR(__xludf.DUMMYFUNCTION("""COMPUTED_VALUE"""),"0014")</f>
        <v>0014</v>
      </c>
      <c r="C1738" s="32">
        <f>IFERROR(__xludf.DUMMYFUNCTION("""COMPUTED_VALUE"""),46122.01702546296)</f>
        <v>46122.01703</v>
      </c>
      <c r="D1738" s="1">
        <f>IFERROR(__xludf.DUMMYFUNCTION("""COMPUTED_VALUE"""),-10.0)</f>
        <v>-10</v>
      </c>
      <c r="E1738" s="1"/>
      <c r="F1738" s="1"/>
    </row>
    <row r="1739">
      <c r="A1739" s="1" t="str">
        <f>IFERROR(__xludf.DUMMYFUNCTION("""COMPUTED_VALUE"""),"5fa9094f")</f>
        <v>5fa9094f</v>
      </c>
      <c r="B1739" s="1" t="str">
        <f>IFERROR(__xludf.DUMMYFUNCTION("""COMPUTED_VALUE"""),"bb4d1bd1")</f>
        <v>bb4d1bd1</v>
      </c>
      <c r="C1739" s="32">
        <f>IFERROR(__xludf.DUMMYFUNCTION("""COMPUTED_VALUE"""),46122.01868055556)</f>
        <v>46122.01868</v>
      </c>
      <c r="D1739" s="1">
        <f>IFERROR(__xludf.DUMMYFUNCTION("""COMPUTED_VALUE"""),-10.0)</f>
        <v>-10</v>
      </c>
      <c r="E1739" s="1"/>
      <c r="F1739" s="1"/>
    </row>
    <row r="1740">
      <c r="A1740" s="1" t="str">
        <f>IFERROR(__xludf.DUMMYFUNCTION("""COMPUTED_VALUE"""),"175177c1")</f>
        <v>175177c1</v>
      </c>
      <c r="B1740" s="1" t="str">
        <f>IFERROR(__xludf.DUMMYFUNCTION("""COMPUTED_VALUE"""),"0027")</f>
        <v>0027</v>
      </c>
      <c r="C1740" s="32">
        <f>IFERROR(__xludf.DUMMYFUNCTION("""COMPUTED_VALUE"""),46122.01907407407)</f>
        <v>46122.01907</v>
      </c>
      <c r="D1740" s="1">
        <f>IFERROR(__xludf.DUMMYFUNCTION("""COMPUTED_VALUE"""),-15.0)</f>
        <v>-15</v>
      </c>
      <c r="E1740" s="1"/>
      <c r="F1740" s="1"/>
    </row>
    <row r="1741">
      <c r="A1741" s="1" t="str">
        <f>IFERROR(__xludf.DUMMYFUNCTION("""COMPUTED_VALUE"""),"c36481af")</f>
        <v>c36481af</v>
      </c>
      <c r="B1741" s="1" t="str">
        <f>IFERROR(__xludf.DUMMYFUNCTION("""COMPUTED_VALUE"""),"0021")</f>
        <v>0021</v>
      </c>
      <c r="C1741" s="32">
        <f>IFERROR(__xludf.DUMMYFUNCTION("""COMPUTED_VALUE"""),46122.02005787037)</f>
        <v>46122.02006</v>
      </c>
      <c r="D1741" s="1">
        <f>IFERROR(__xludf.DUMMYFUNCTION("""COMPUTED_VALUE"""),-22.0)</f>
        <v>-22</v>
      </c>
      <c r="E1741" s="1"/>
      <c r="F1741" s="1"/>
    </row>
    <row r="1742">
      <c r="A1742" s="1" t="str">
        <f>IFERROR(__xludf.DUMMYFUNCTION("""COMPUTED_VALUE"""),"c827d12c")</f>
        <v>c827d12c</v>
      </c>
      <c r="B1742" s="1" t="str">
        <f>IFERROR(__xludf.DUMMYFUNCTION("""COMPUTED_VALUE"""),"a19879cf")</f>
        <v>a19879cf</v>
      </c>
      <c r="C1742" s="32">
        <f>IFERROR(__xludf.DUMMYFUNCTION("""COMPUTED_VALUE"""),46122.020578703705)</f>
        <v>46122.02058</v>
      </c>
      <c r="D1742" s="1">
        <f>IFERROR(__xludf.DUMMYFUNCTION("""COMPUTED_VALUE"""),-8.0)</f>
        <v>-8</v>
      </c>
      <c r="E1742" s="1"/>
      <c r="F1742" s="1"/>
    </row>
    <row r="1743">
      <c r="A1743" s="1" t="str">
        <f>IFERROR(__xludf.DUMMYFUNCTION("""COMPUTED_VALUE"""),"3f4224f3")</f>
        <v>3f4224f3</v>
      </c>
      <c r="B1743" s="1" t="str">
        <f>IFERROR(__xludf.DUMMYFUNCTION("""COMPUTED_VALUE"""),"02d86a9b")</f>
        <v>02d86a9b</v>
      </c>
      <c r="C1743" s="32">
        <f>IFERROR(__xludf.DUMMYFUNCTION("""COMPUTED_VALUE"""),46122.02113425926)</f>
        <v>46122.02113</v>
      </c>
      <c r="D1743" s="1">
        <f>IFERROR(__xludf.DUMMYFUNCTION("""COMPUTED_VALUE"""),-24.0)</f>
        <v>-24</v>
      </c>
      <c r="E1743" s="1"/>
      <c r="F1743" s="1"/>
    </row>
    <row r="1744">
      <c r="A1744" s="1" t="str">
        <f>IFERROR(__xludf.DUMMYFUNCTION("""COMPUTED_VALUE"""),"e0d20a55")</f>
        <v>e0d20a55</v>
      </c>
      <c r="B1744" s="1" t="str">
        <f>IFERROR(__xludf.DUMMYFUNCTION("""COMPUTED_VALUE"""),"1b6b5ed6")</f>
        <v>1b6b5ed6</v>
      </c>
      <c r="C1744" s="32">
        <f>IFERROR(__xludf.DUMMYFUNCTION("""COMPUTED_VALUE"""),46122.02141203704)</f>
        <v>46122.02141</v>
      </c>
      <c r="D1744" s="1">
        <f>IFERROR(__xludf.DUMMYFUNCTION("""COMPUTED_VALUE"""),-21.0)</f>
        <v>-21</v>
      </c>
      <c r="E1744" s="1"/>
      <c r="F1744" s="1"/>
    </row>
    <row r="1745">
      <c r="A1745" s="1" t="str">
        <f>IFERROR(__xludf.DUMMYFUNCTION("""COMPUTED_VALUE"""),"d05406fb")</f>
        <v>d05406fb</v>
      </c>
      <c r="B1745" s="1" t="str">
        <f>IFERROR(__xludf.DUMMYFUNCTION("""COMPUTED_VALUE"""),"0064")</f>
        <v>0064</v>
      </c>
      <c r="C1745" s="32">
        <f>IFERROR(__xludf.DUMMYFUNCTION("""COMPUTED_VALUE"""),46122.021875)</f>
        <v>46122.02188</v>
      </c>
      <c r="D1745" s="1">
        <f>IFERROR(__xludf.DUMMYFUNCTION("""COMPUTED_VALUE"""),-4.0)</f>
        <v>-4</v>
      </c>
      <c r="E1745" s="1"/>
      <c r="F1745" s="1"/>
    </row>
    <row r="1746">
      <c r="A1746" s="1" t="str">
        <f>IFERROR(__xludf.DUMMYFUNCTION("""COMPUTED_VALUE"""),"e3584473")</f>
        <v>e3584473</v>
      </c>
      <c r="B1746" s="1" t="str">
        <f>IFERROR(__xludf.DUMMYFUNCTION("""COMPUTED_VALUE"""),"0032")</f>
        <v>0032</v>
      </c>
      <c r="C1746" s="32">
        <f>IFERROR(__xludf.DUMMYFUNCTION("""COMPUTED_VALUE"""),46122.02217592593)</f>
        <v>46122.02218</v>
      </c>
      <c r="D1746" s="1">
        <f>IFERROR(__xludf.DUMMYFUNCTION("""COMPUTED_VALUE"""),-1.0)</f>
        <v>-1</v>
      </c>
      <c r="E1746" s="1"/>
      <c r="F1746" s="1"/>
    </row>
    <row r="1747">
      <c r="A1747" s="1" t="str">
        <f>IFERROR(__xludf.DUMMYFUNCTION("""COMPUTED_VALUE"""),"505050cc")</f>
        <v>505050cc</v>
      </c>
      <c r="B1747" s="1" t="str">
        <f>IFERROR(__xludf.DUMMYFUNCTION("""COMPUTED_VALUE"""),"cb9e809e")</f>
        <v>cb9e809e</v>
      </c>
      <c r="C1747" s="32">
        <f>IFERROR(__xludf.DUMMYFUNCTION("""COMPUTED_VALUE"""),46122.022361111114)</f>
        <v>46122.02236</v>
      </c>
      <c r="D1747" s="1">
        <f>IFERROR(__xludf.DUMMYFUNCTION("""COMPUTED_VALUE"""),-14.0)</f>
        <v>-14</v>
      </c>
      <c r="E1747" s="1"/>
      <c r="F1747" s="1"/>
    </row>
    <row r="1748">
      <c r="A1748" s="1" t="str">
        <f>IFERROR(__xludf.DUMMYFUNCTION("""COMPUTED_VALUE"""),"fd306559")</f>
        <v>fd306559</v>
      </c>
      <c r="B1748" s="1" t="str">
        <f>IFERROR(__xludf.DUMMYFUNCTION("""COMPUTED_VALUE"""),"70bdbe11")</f>
        <v>70bdbe11</v>
      </c>
      <c r="C1748" s="32">
        <f>IFERROR(__xludf.DUMMYFUNCTION("""COMPUTED_VALUE"""),46122.024143518516)</f>
        <v>46122.02414</v>
      </c>
      <c r="D1748" s="1">
        <f>IFERROR(__xludf.DUMMYFUNCTION("""COMPUTED_VALUE"""),-7.0)</f>
        <v>-7</v>
      </c>
      <c r="E1748" s="1"/>
      <c r="F1748" s="1"/>
    </row>
    <row r="1749">
      <c r="A1749" s="1" t="str">
        <f>IFERROR(__xludf.DUMMYFUNCTION("""COMPUTED_VALUE"""),"eab92288")</f>
        <v>eab92288</v>
      </c>
      <c r="B1749" s="1" t="str">
        <f>IFERROR(__xludf.DUMMYFUNCTION("""COMPUTED_VALUE"""),"649eaeb5")</f>
        <v>649eaeb5</v>
      </c>
      <c r="C1749" s="32">
        <f>IFERROR(__xludf.DUMMYFUNCTION("""COMPUTED_VALUE"""),46122.024363425924)</f>
        <v>46122.02436</v>
      </c>
      <c r="D1749" s="1">
        <f>IFERROR(__xludf.DUMMYFUNCTION("""COMPUTED_VALUE"""),-2.0)</f>
        <v>-2</v>
      </c>
      <c r="E1749" s="1"/>
      <c r="F1749" s="1"/>
    </row>
    <row r="1750">
      <c r="A1750" s="1" t="str">
        <f>IFERROR(__xludf.DUMMYFUNCTION("""COMPUTED_VALUE"""),"359a5fc1")</f>
        <v>359a5fc1</v>
      </c>
      <c r="B1750" s="1" t="str">
        <f>IFERROR(__xludf.DUMMYFUNCTION("""COMPUTED_VALUE"""),"0029")</f>
        <v>0029</v>
      </c>
      <c r="C1750" s="32">
        <f>IFERROR(__xludf.DUMMYFUNCTION("""COMPUTED_VALUE"""),46122.0252662037)</f>
        <v>46122.02527</v>
      </c>
      <c r="D1750" s="1">
        <f>IFERROR(__xludf.DUMMYFUNCTION("""COMPUTED_VALUE"""),-21.0)</f>
        <v>-21</v>
      </c>
      <c r="E1750" s="1"/>
      <c r="F1750" s="1"/>
    </row>
    <row r="1751">
      <c r="A1751" s="1" t="str">
        <f>IFERROR(__xludf.DUMMYFUNCTION("""COMPUTED_VALUE"""),"e05719f5")</f>
        <v>e05719f5</v>
      </c>
      <c r="B1751" s="1" t="str">
        <f>IFERROR(__xludf.DUMMYFUNCTION("""COMPUTED_VALUE"""),"a3f74383")</f>
        <v>a3f74383</v>
      </c>
      <c r="C1751" s="32">
        <f>IFERROR(__xludf.DUMMYFUNCTION("""COMPUTED_VALUE"""),46122.02578703704)</f>
        <v>46122.02579</v>
      </c>
      <c r="D1751" s="1">
        <f>IFERROR(__xludf.DUMMYFUNCTION("""COMPUTED_VALUE"""),-7.0)</f>
        <v>-7</v>
      </c>
      <c r="E1751" s="1"/>
      <c r="F1751" s="1"/>
    </row>
    <row r="1752">
      <c r="A1752" s="1" t="str">
        <f>IFERROR(__xludf.DUMMYFUNCTION("""COMPUTED_VALUE"""),"c68c66b3")</f>
        <v>c68c66b3</v>
      </c>
      <c r="B1752" s="1" t="str">
        <f>IFERROR(__xludf.DUMMYFUNCTION("""COMPUTED_VALUE"""),"0054")</f>
        <v>0054</v>
      </c>
      <c r="C1752" s="32">
        <f>IFERROR(__xludf.DUMMYFUNCTION("""COMPUTED_VALUE"""),46122.026041666664)</f>
        <v>46122.02604</v>
      </c>
      <c r="D1752" s="1">
        <f>IFERROR(__xludf.DUMMYFUNCTION("""COMPUTED_VALUE"""),-7.0)</f>
        <v>-7</v>
      </c>
      <c r="E1752" s="1"/>
      <c r="F1752" s="1"/>
    </row>
    <row r="1753">
      <c r="A1753" s="1" t="str">
        <f>IFERROR(__xludf.DUMMYFUNCTION("""COMPUTED_VALUE"""),"974a0f07")</f>
        <v>974a0f07</v>
      </c>
      <c r="B1753" s="1" t="str">
        <f>IFERROR(__xludf.DUMMYFUNCTION("""COMPUTED_VALUE"""),"406a1fee")</f>
        <v>406a1fee</v>
      </c>
      <c r="C1753" s="32">
        <f>IFERROR(__xludf.DUMMYFUNCTION("""COMPUTED_VALUE"""),46122.02616898148)</f>
        <v>46122.02617</v>
      </c>
      <c r="D1753" s="1">
        <f>IFERROR(__xludf.DUMMYFUNCTION("""COMPUTED_VALUE"""),-6.0)</f>
        <v>-6</v>
      </c>
      <c r="E1753" s="1"/>
      <c r="F1753" s="1"/>
    </row>
    <row r="1754">
      <c r="A1754" s="1" t="str">
        <f>IFERROR(__xludf.DUMMYFUNCTION("""COMPUTED_VALUE"""),"67430551")</f>
        <v>67430551</v>
      </c>
      <c r="B1754" s="1" t="str">
        <f>IFERROR(__xludf.DUMMYFUNCTION("""COMPUTED_VALUE"""),"0f694cb5")</f>
        <v>0f694cb5</v>
      </c>
      <c r="C1754" s="32">
        <f>IFERROR(__xludf.DUMMYFUNCTION("""COMPUTED_VALUE"""),46122.028125)</f>
        <v>46122.02813</v>
      </c>
      <c r="D1754" s="1">
        <f>IFERROR(__xludf.DUMMYFUNCTION("""COMPUTED_VALUE"""),-4.0)</f>
        <v>-4</v>
      </c>
      <c r="E1754" s="1"/>
      <c r="F1754" s="1"/>
    </row>
    <row r="1755">
      <c r="A1755" s="1" t="str">
        <f>IFERROR(__xludf.DUMMYFUNCTION("""COMPUTED_VALUE"""),"fa622f0e")</f>
        <v>fa622f0e</v>
      </c>
      <c r="B1755" s="1" t="str">
        <f>IFERROR(__xludf.DUMMYFUNCTION("""COMPUTED_VALUE"""),"0011")</f>
        <v>0011</v>
      </c>
      <c r="C1755" s="32">
        <f>IFERROR(__xludf.DUMMYFUNCTION("""COMPUTED_VALUE"""),46122.0284837963)</f>
        <v>46122.02848</v>
      </c>
      <c r="D1755" s="1">
        <f>IFERROR(__xludf.DUMMYFUNCTION("""COMPUTED_VALUE"""),-16.0)</f>
        <v>-16</v>
      </c>
      <c r="E1755" s="1"/>
      <c r="F1755" s="1"/>
    </row>
    <row r="1756">
      <c r="A1756" s="1" t="str">
        <f>IFERROR(__xludf.DUMMYFUNCTION("""COMPUTED_VALUE"""),"c123b8e3")</f>
        <v>c123b8e3</v>
      </c>
      <c r="B1756" s="1" t="str">
        <f>IFERROR(__xludf.DUMMYFUNCTION("""COMPUTED_VALUE"""),"0002")</f>
        <v>0002</v>
      </c>
      <c r="C1756" s="32">
        <f>IFERROR(__xludf.DUMMYFUNCTION("""COMPUTED_VALUE"""),46122.02961805555)</f>
        <v>46122.02962</v>
      </c>
      <c r="D1756" s="1">
        <f>IFERROR(__xludf.DUMMYFUNCTION("""COMPUTED_VALUE"""),-60.0)</f>
        <v>-60</v>
      </c>
      <c r="E1756" s="1"/>
      <c r="F1756" s="1"/>
    </row>
    <row r="1757">
      <c r="A1757" s="1" t="str">
        <f>IFERROR(__xludf.DUMMYFUNCTION("""COMPUTED_VALUE"""),"65da4827")</f>
        <v>65da4827</v>
      </c>
      <c r="B1757" s="1" t="str">
        <f>IFERROR(__xludf.DUMMYFUNCTION("""COMPUTED_VALUE"""),"0001")</f>
        <v>0001</v>
      </c>
      <c r="C1757" s="32">
        <f>IFERROR(__xludf.DUMMYFUNCTION("""COMPUTED_VALUE"""),46122.590995370374)</f>
        <v>46122.591</v>
      </c>
      <c r="D1757" s="1">
        <f>IFERROR(__xludf.DUMMYFUNCTION("""COMPUTED_VALUE"""),-48.0)</f>
        <v>-48</v>
      </c>
      <c r="E1757" s="1"/>
      <c r="F1757" s="1"/>
    </row>
    <row r="1758">
      <c r="A1758" s="1" t="str">
        <f>IFERROR(__xludf.DUMMYFUNCTION("""COMPUTED_VALUE"""),"128e31c5")</f>
        <v>128e31c5</v>
      </c>
      <c r="B1758" s="1" t="str">
        <f>IFERROR(__xludf.DUMMYFUNCTION("""COMPUTED_VALUE"""),"0af806f8")</f>
        <v>0af806f8</v>
      </c>
      <c r="C1758" s="32">
        <f>IFERROR(__xludf.DUMMYFUNCTION("""COMPUTED_VALUE"""),46122.5915625)</f>
        <v>46122.59156</v>
      </c>
      <c r="D1758" s="1">
        <f>IFERROR(__xludf.DUMMYFUNCTION("""COMPUTED_VALUE"""),-15.0)</f>
        <v>-15</v>
      </c>
      <c r="E1758" s="1"/>
      <c r="F1758" s="1"/>
    </row>
    <row r="1759">
      <c r="A1759" s="1" t="str">
        <f>IFERROR(__xludf.DUMMYFUNCTION("""COMPUTED_VALUE"""),"c9ae30c0")</f>
        <v>c9ae30c0</v>
      </c>
      <c r="B1759" s="1" t="str">
        <f>IFERROR(__xludf.DUMMYFUNCTION("""COMPUTED_VALUE"""),"27c8f623")</f>
        <v>27c8f623</v>
      </c>
      <c r="C1759" s="32">
        <f>IFERROR(__xludf.DUMMYFUNCTION("""COMPUTED_VALUE"""),46122.59328703704)</f>
        <v>46122.59329</v>
      </c>
      <c r="D1759" s="1">
        <f>IFERROR(__xludf.DUMMYFUNCTION("""COMPUTED_VALUE"""),-24.0)</f>
        <v>-24</v>
      </c>
      <c r="E1759" s="1"/>
      <c r="F1759" s="1"/>
    </row>
    <row r="1760">
      <c r="A1760" s="1" t="str">
        <f>IFERROR(__xludf.DUMMYFUNCTION("""COMPUTED_VALUE"""),"e0984836")</f>
        <v>e0984836</v>
      </c>
      <c r="B1760" s="1" t="str">
        <f>IFERROR(__xludf.DUMMYFUNCTION("""COMPUTED_VALUE"""),"bb4d1bd1")</f>
        <v>bb4d1bd1</v>
      </c>
      <c r="C1760" s="32">
        <f>IFERROR(__xludf.DUMMYFUNCTION("""COMPUTED_VALUE"""),46122.59337962963)</f>
        <v>46122.59338</v>
      </c>
      <c r="D1760" s="1">
        <f>IFERROR(__xludf.DUMMYFUNCTION("""COMPUTED_VALUE"""),-24.0)</f>
        <v>-24</v>
      </c>
      <c r="E1760" s="1"/>
      <c r="F1760" s="1"/>
    </row>
    <row r="1761">
      <c r="A1761" s="1" t="str">
        <f>IFERROR(__xludf.DUMMYFUNCTION("""COMPUTED_VALUE"""),"89afedc7")</f>
        <v>89afedc7</v>
      </c>
      <c r="B1761" s="1" t="str">
        <f>IFERROR(__xludf.DUMMYFUNCTION("""COMPUTED_VALUE"""),"0021")</f>
        <v>0021</v>
      </c>
      <c r="C1761" s="32">
        <f>IFERROR(__xludf.DUMMYFUNCTION("""COMPUTED_VALUE"""),46122.59364583333)</f>
        <v>46122.59365</v>
      </c>
      <c r="D1761" s="1">
        <f>IFERROR(__xludf.DUMMYFUNCTION("""COMPUTED_VALUE"""),-5.0)</f>
        <v>-5</v>
      </c>
      <c r="E1761" s="1"/>
      <c r="F1761" s="1"/>
    </row>
    <row r="1762">
      <c r="A1762" s="1" t="str">
        <f>IFERROR(__xludf.DUMMYFUNCTION("""COMPUTED_VALUE"""),"a649c35d")</f>
        <v>a649c35d</v>
      </c>
      <c r="B1762" s="1" t="str">
        <f>IFERROR(__xludf.DUMMYFUNCTION("""COMPUTED_VALUE"""),"83dd14b5")</f>
        <v>83dd14b5</v>
      </c>
      <c r="C1762" s="32">
        <f>IFERROR(__xludf.DUMMYFUNCTION("""COMPUTED_VALUE"""),46122.59391203704)</f>
        <v>46122.59391</v>
      </c>
      <c r="D1762" s="1">
        <f>IFERROR(__xludf.DUMMYFUNCTION("""COMPUTED_VALUE"""),-12.0)</f>
        <v>-12</v>
      </c>
      <c r="E1762" s="1"/>
      <c r="F1762" s="1"/>
    </row>
    <row r="1763">
      <c r="A1763" s="1" t="str">
        <f>IFERROR(__xludf.DUMMYFUNCTION("""COMPUTED_VALUE"""),"ce290f78")</f>
        <v>ce290f78</v>
      </c>
      <c r="B1763" s="1" t="str">
        <f>IFERROR(__xludf.DUMMYFUNCTION("""COMPUTED_VALUE"""),"cb9e809e")</f>
        <v>cb9e809e</v>
      </c>
      <c r="C1763" s="32">
        <f>IFERROR(__xludf.DUMMYFUNCTION("""COMPUTED_VALUE"""),46122.594826388886)</f>
        <v>46122.59483</v>
      </c>
      <c r="D1763" s="1">
        <f>IFERROR(__xludf.DUMMYFUNCTION("""COMPUTED_VALUE"""),-12.0)</f>
        <v>-12</v>
      </c>
      <c r="E1763" s="1"/>
      <c r="F1763" s="1"/>
    </row>
    <row r="1764">
      <c r="A1764" s="1" t="str">
        <f>IFERROR(__xludf.DUMMYFUNCTION("""COMPUTED_VALUE"""),"7370711e")</f>
        <v>7370711e</v>
      </c>
      <c r="B1764" s="1" t="str">
        <f>IFERROR(__xludf.DUMMYFUNCTION("""COMPUTED_VALUE"""),"0049")</f>
        <v>0049</v>
      </c>
      <c r="C1764" s="32">
        <f>IFERROR(__xludf.DUMMYFUNCTION("""COMPUTED_VALUE"""),46122.59559027778)</f>
        <v>46122.59559</v>
      </c>
      <c r="D1764" s="1">
        <f>IFERROR(__xludf.DUMMYFUNCTION("""COMPUTED_VALUE"""),-13.0)</f>
        <v>-13</v>
      </c>
      <c r="E1764" s="1"/>
      <c r="F1764" s="1"/>
    </row>
    <row r="1765">
      <c r="A1765" s="1" t="str">
        <f>IFERROR(__xludf.DUMMYFUNCTION("""COMPUTED_VALUE"""),"4bba7eea")</f>
        <v>4bba7eea</v>
      </c>
      <c r="B1765" s="1" t="str">
        <f>IFERROR(__xludf.DUMMYFUNCTION("""COMPUTED_VALUE"""),"0064")</f>
        <v>0064</v>
      </c>
      <c r="C1765" s="32">
        <f>IFERROR(__xludf.DUMMYFUNCTION("""COMPUTED_VALUE"""),46122.596296296295)</f>
        <v>46122.5963</v>
      </c>
      <c r="D1765" s="1">
        <f>IFERROR(__xludf.DUMMYFUNCTION("""COMPUTED_VALUE"""),-6.0)</f>
        <v>-6</v>
      </c>
      <c r="E1765" s="1"/>
      <c r="F1765" s="1"/>
    </row>
    <row r="1766">
      <c r="A1766" s="1" t="str">
        <f>IFERROR(__xludf.DUMMYFUNCTION("""COMPUTED_VALUE"""),"3a211676")</f>
        <v>3a211676</v>
      </c>
      <c r="B1766" s="1" t="str">
        <f>IFERROR(__xludf.DUMMYFUNCTION("""COMPUTED_VALUE"""),"0032")</f>
        <v>0032</v>
      </c>
      <c r="C1766" s="32">
        <f>IFERROR(__xludf.DUMMYFUNCTION("""COMPUTED_VALUE"""),46122.59641203703)</f>
        <v>46122.59641</v>
      </c>
      <c r="D1766" s="1">
        <f>IFERROR(__xludf.DUMMYFUNCTION("""COMPUTED_VALUE"""),-4.0)</f>
        <v>-4</v>
      </c>
      <c r="E1766" s="1"/>
      <c r="F1766" s="1"/>
    </row>
    <row r="1767">
      <c r="A1767" s="1" t="str">
        <f>IFERROR(__xludf.DUMMYFUNCTION("""COMPUTED_VALUE"""),"4b943b65")</f>
        <v>4b943b65</v>
      </c>
      <c r="B1767" s="1" t="str">
        <f>IFERROR(__xludf.DUMMYFUNCTION("""COMPUTED_VALUE"""),"0029")</f>
        <v>0029</v>
      </c>
      <c r="C1767" s="32">
        <f>IFERROR(__xludf.DUMMYFUNCTION("""COMPUTED_VALUE"""),46122.596967592595)</f>
        <v>46122.59697</v>
      </c>
      <c r="D1767" s="1">
        <f>IFERROR(__xludf.DUMMYFUNCTION("""COMPUTED_VALUE"""),-14.0)</f>
        <v>-14</v>
      </c>
      <c r="E1767" s="1"/>
      <c r="F1767" s="1"/>
    </row>
    <row r="1768">
      <c r="A1768" s="1" t="str">
        <f>IFERROR(__xludf.DUMMYFUNCTION("""COMPUTED_VALUE"""),"a32bd564")</f>
        <v>a32bd564</v>
      </c>
      <c r="B1768" s="1" t="str">
        <f>IFERROR(__xludf.DUMMYFUNCTION("""COMPUTED_VALUE"""),"a3f74383")</f>
        <v>a3f74383</v>
      </c>
      <c r="C1768" s="32">
        <f>IFERROR(__xludf.DUMMYFUNCTION("""COMPUTED_VALUE"""),46122.59715277778)</f>
        <v>46122.59715</v>
      </c>
      <c r="D1768" s="1">
        <f>IFERROR(__xludf.DUMMYFUNCTION("""COMPUTED_VALUE"""),-5.0)</f>
        <v>-5</v>
      </c>
      <c r="E1768" s="1"/>
      <c r="F1768" s="1"/>
    </row>
    <row r="1769">
      <c r="A1769" s="1" t="str">
        <f>IFERROR(__xludf.DUMMYFUNCTION("""COMPUTED_VALUE"""),"f45b4f52")</f>
        <v>f45b4f52</v>
      </c>
      <c r="B1769" s="1" t="str">
        <f>IFERROR(__xludf.DUMMYFUNCTION("""COMPUTED_VALUE"""),"406a1fee")</f>
        <v>406a1fee</v>
      </c>
      <c r="C1769" s="32">
        <f>IFERROR(__xludf.DUMMYFUNCTION("""COMPUTED_VALUE"""),46122.59762731481)</f>
        <v>46122.59763</v>
      </c>
      <c r="D1769" s="1">
        <f>IFERROR(__xludf.DUMMYFUNCTION("""COMPUTED_VALUE"""),-3.0)</f>
        <v>-3</v>
      </c>
      <c r="E1769" s="1"/>
      <c r="F1769" s="1"/>
    </row>
    <row r="1770">
      <c r="A1770" s="1" t="str">
        <f>IFERROR(__xludf.DUMMYFUNCTION("""COMPUTED_VALUE"""),"f0e5343b")</f>
        <v>f0e5343b</v>
      </c>
      <c r="B1770" s="1" t="str">
        <f>IFERROR(__xludf.DUMMYFUNCTION("""COMPUTED_VALUE"""),"0054")</f>
        <v>0054</v>
      </c>
      <c r="C1770" s="32">
        <f>IFERROR(__xludf.DUMMYFUNCTION("""COMPUTED_VALUE"""),46122.59804398148)</f>
        <v>46122.59804</v>
      </c>
      <c r="D1770" s="1">
        <f>IFERROR(__xludf.DUMMYFUNCTION("""COMPUTED_VALUE"""),-7.0)</f>
        <v>-7</v>
      </c>
      <c r="E1770" s="1"/>
      <c r="F1770" s="1"/>
    </row>
    <row r="1771">
      <c r="A1771" s="1" t="str">
        <f>IFERROR(__xludf.DUMMYFUNCTION("""COMPUTED_VALUE"""),"651a49e5")</f>
        <v>651a49e5</v>
      </c>
      <c r="B1771" s="1" t="str">
        <f>IFERROR(__xludf.DUMMYFUNCTION("""COMPUTED_VALUE"""),"649eaeb5")</f>
        <v>649eaeb5</v>
      </c>
      <c r="C1771" s="32">
        <f>IFERROR(__xludf.DUMMYFUNCTION("""COMPUTED_VALUE"""),46122.59884259259)</f>
        <v>46122.59884</v>
      </c>
      <c r="D1771" s="1">
        <f>IFERROR(__xludf.DUMMYFUNCTION("""COMPUTED_VALUE"""),-3.0)</f>
        <v>-3</v>
      </c>
      <c r="E1771" s="1"/>
      <c r="F1771" s="1"/>
    </row>
    <row r="1772">
      <c r="A1772" s="1" t="str">
        <f>IFERROR(__xludf.DUMMYFUNCTION("""COMPUTED_VALUE"""),"dbcc379b")</f>
        <v>dbcc379b</v>
      </c>
      <c r="B1772" s="1" t="str">
        <f>IFERROR(__xludf.DUMMYFUNCTION("""COMPUTED_VALUE"""),"0011")</f>
        <v>0011</v>
      </c>
      <c r="C1772" s="32">
        <f>IFERROR(__xludf.DUMMYFUNCTION("""COMPUTED_VALUE"""),46122.59936342593)</f>
        <v>46122.59936</v>
      </c>
      <c r="D1772" s="1">
        <f>IFERROR(__xludf.DUMMYFUNCTION("""COMPUTED_VALUE"""),-14.0)</f>
        <v>-14</v>
      </c>
      <c r="E1772" s="1"/>
      <c r="F1772" s="1"/>
    </row>
    <row r="1773">
      <c r="A1773" s="1" t="str">
        <f>IFERROR(__xludf.DUMMYFUNCTION("""COMPUTED_VALUE"""),"acbeade9")</f>
        <v>acbeade9</v>
      </c>
      <c r="B1773" s="1" t="str">
        <f>IFERROR(__xludf.DUMMYFUNCTION("""COMPUTED_VALUE"""),"0002")</f>
        <v>0002</v>
      </c>
      <c r="C1773" s="32">
        <f>IFERROR(__xludf.DUMMYFUNCTION("""COMPUTED_VALUE"""),46122.60019675926)</f>
        <v>46122.6002</v>
      </c>
      <c r="D1773" s="1">
        <f>IFERROR(__xludf.DUMMYFUNCTION("""COMPUTED_VALUE"""),-60.0)</f>
        <v>-60</v>
      </c>
      <c r="E1773" s="1"/>
      <c r="F1773" s="1"/>
    </row>
    <row r="1774">
      <c r="A1774" s="1" t="str">
        <f>IFERROR(__xludf.DUMMYFUNCTION("""COMPUTED_VALUE"""),"96d7d586")</f>
        <v>96d7d586</v>
      </c>
      <c r="B1774" s="1" t="str">
        <f>IFERROR(__xludf.DUMMYFUNCTION("""COMPUTED_VALUE"""),"bb6c2490")</f>
        <v>bb6c2490</v>
      </c>
      <c r="C1774" s="32">
        <f>IFERROR(__xludf.DUMMYFUNCTION("""COMPUTED_VALUE"""),46123.74855324074)</f>
        <v>46123.74855</v>
      </c>
      <c r="D1774" s="1">
        <f>IFERROR(__xludf.DUMMYFUNCTION("""COMPUTED_VALUE"""),-17.0)</f>
        <v>-17</v>
      </c>
      <c r="E1774" s="1"/>
      <c r="F1774" s="1"/>
    </row>
    <row r="1775">
      <c r="A1775" s="1" t="str">
        <f>IFERROR(__xludf.DUMMYFUNCTION("""COMPUTED_VALUE"""),"21f8b20d")</f>
        <v>21f8b20d</v>
      </c>
      <c r="B1775" s="1" t="str">
        <f>IFERROR(__xludf.DUMMYFUNCTION("""COMPUTED_VALUE"""),"0033")</f>
        <v>0033</v>
      </c>
      <c r="C1775" s="32">
        <f>IFERROR(__xludf.DUMMYFUNCTION("""COMPUTED_VALUE"""),46123.75113425926)</f>
        <v>46123.75113</v>
      </c>
      <c r="D1775" s="1">
        <f>IFERROR(__xludf.DUMMYFUNCTION("""COMPUTED_VALUE"""),24.0)</f>
        <v>24</v>
      </c>
      <c r="E1775" s="1" t="str">
        <f>IFERROR(__xludf.DUMMYFUNCTION("""COMPUTED_VALUE"""),"e4b28613")</f>
        <v>e4b28613</v>
      </c>
      <c r="F1775" s="1"/>
    </row>
    <row r="1776">
      <c r="A1776" s="1" t="str">
        <f>IFERROR(__xludf.DUMMYFUNCTION("""COMPUTED_VALUE"""),"0fcb6eb3")</f>
        <v>0fcb6eb3</v>
      </c>
      <c r="B1776" s="1" t="str">
        <f>IFERROR(__xludf.DUMMYFUNCTION("""COMPUTED_VALUE"""),"0af806f8")</f>
        <v>0af806f8</v>
      </c>
      <c r="C1776" s="32">
        <f>IFERROR(__xludf.DUMMYFUNCTION("""COMPUTED_VALUE"""),46123.751238425924)</f>
        <v>46123.75124</v>
      </c>
      <c r="D1776" s="1">
        <f>IFERROR(__xludf.DUMMYFUNCTION("""COMPUTED_VALUE"""),60.0)</f>
        <v>60</v>
      </c>
      <c r="E1776" s="1" t="str">
        <f>IFERROR(__xludf.DUMMYFUNCTION("""COMPUTED_VALUE"""),"e4b28613")</f>
        <v>e4b28613</v>
      </c>
      <c r="F1776" s="1"/>
    </row>
    <row r="1777">
      <c r="A1777" s="1" t="str">
        <f>IFERROR(__xludf.DUMMYFUNCTION("""COMPUTED_VALUE"""),"13c36d50")</f>
        <v>13c36d50</v>
      </c>
      <c r="B1777" s="1" t="str">
        <f>IFERROR(__xludf.DUMMYFUNCTION("""COMPUTED_VALUE"""),"0001")</f>
        <v>0001</v>
      </c>
      <c r="C1777" s="32">
        <f>IFERROR(__xludf.DUMMYFUNCTION("""COMPUTED_VALUE"""),46123.75130787037)</f>
        <v>46123.75131</v>
      </c>
      <c r="D1777" s="1">
        <f>IFERROR(__xludf.DUMMYFUNCTION("""COMPUTED_VALUE"""),90.0)</f>
        <v>90</v>
      </c>
      <c r="E1777" s="1" t="str">
        <f>IFERROR(__xludf.DUMMYFUNCTION("""COMPUTED_VALUE"""),"e4b28613")</f>
        <v>e4b28613</v>
      </c>
      <c r="F1777" s="1"/>
    </row>
    <row r="1778">
      <c r="A1778" s="1" t="str">
        <f>IFERROR(__xludf.DUMMYFUNCTION("""COMPUTED_VALUE"""),"2c174e9b")</f>
        <v>2c174e9b</v>
      </c>
      <c r="B1778" s="1" t="str">
        <f>IFERROR(__xludf.DUMMYFUNCTION("""COMPUTED_VALUE"""),"0086")</f>
        <v>0086</v>
      </c>
      <c r="C1778" s="32">
        <f>IFERROR(__xludf.DUMMYFUNCTION("""COMPUTED_VALUE"""),46123.759791666664)</f>
        <v>46123.75979</v>
      </c>
      <c r="D1778" s="1">
        <f>IFERROR(__xludf.DUMMYFUNCTION("""COMPUTED_VALUE"""),-4.0)</f>
        <v>-4</v>
      </c>
      <c r="E1778" s="1"/>
      <c r="F1778" s="1"/>
    </row>
    <row r="1779">
      <c r="A1779" s="1" t="str">
        <f>IFERROR(__xludf.DUMMYFUNCTION("""COMPUTED_VALUE"""),"61a0a26c")</f>
        <v>61a0a26c</v>
      </c>
      <c r="B1779" s="1" t="str">
        <f>IFERROR(__xludf.DUMMYFUNCTION("""COMPUTED_VALUE"""),"e28d366b")</f>
        <v>e28d366b</v>
      </c>
      <c r="C1779" s="32">
        <f>IFERROR(__xludf.DUMMYFUNCTION("""COMPUTED_VALUE"""),46123.76021990741)</f>
        <v>46123.76022</v>
      </c>
      <c r="D1779" s="1">
        <f>IFERROR(__xludf.DUMMYFUNCTION("""COMPUTED_VALUE"""),-5.0)</f>
        <v>-5</v>
      </c>
      <c r="E1779" s="1"/>
      <c r="F1779" s="1"/>
    </row>
    <row r="1780">
      <c r="A1780" s="1" t="str">
        <f>IFERROR(__xludf.DUMMYFUNCTION("""COMPUTED_VALUE"""),"7a53ef1f")</f>
        <v>7a53ef1f</v>
      </c>
      <c r="B1780" s="1" t="str">
        <f>IFERROR(__xludf.DUMMYFUNCTION("""COMPUTED_VALUE"""),"0001")</f>
        <v>0001</v>
      </c>
      <c r="C1780" s="32">
        <f>IFERROR(__xludf.DUMMYFUNCTION("""COMPUTED_VALUE"""),46123.76032407407)</f>
        <v>46123.76032</v>
      </c>
      <c r="D1780" s="1">
        <f>IFERROR(__xludf.DUMMYFUNCTION("""COMPUTED_VALUE"""),-30.0)</f>
        <v>-30</v>
      </c>
      <c r="E1780" s="1"/>
      <c r="F1780" s="1"/>
    </row>
    <row r="1781">
      <c r="A1781" s="1" t="str">
        <f>IFERROR(__xludf.DUMMYFUNCTION("""COMPUTED_VALUE"""),"19bf0ed2")</f>
        <v>19bf0ed2</v>
      </c>
      <c r="B1781" s="1" t="str">
        <f>IFERROR(__xludf.DUMMYFUNCTION("""COMPUTED_VALUE"""),"0af806f8")</f>
        <v>0af806f8</v>
      </c>
      <c r="C1781" s="32">
        <f>IFERROR(__xludf.DUMMYFUNCTION("""COMPUTED_VALUE"""),46123.76053240741)</f>
        <v>46123.76053</v>
      </c>
      <c r="D1781" s="1">
        <f>IFERROR(__xludf.DUMMYFUNCTION("""COMPUTED_VALUE"""),-30.0)</f>
        <v>-30</v>
      </c>
      <c r="E1781" s="1"/>
      <c r="F1781" s="1"/>
    </row>
    <row r="1782">
      <c r="A1782" s="1" t="str">
        <f>IFERROR(__xludf.DUMMYFUNCTION("""COMPUTED_VALUE"""),"01d543d3")</f>
        <v>01d543d3</v>
      </c>
      <c r="B1782" s="1" t="str">
        <f>IFERROR(__xludf.DUMMYFUNCTION("""COMPUTED_VALUE"""),"bb4d1bd1")</f>
        <v>bb4d1bd1</v>
      </c>
      <c r="C1782" s="32">
        <f>IFERROR(__xludf.DUMMYFUNCTION("""COMPUTED_VALUE"""),46123.760833333334)</f>
        <v>46123.76083</v>
      </c>
      <c r="D1782" s="1">
        <f>IFERROR(__xludf.DUMMYFUNCTION("""COMPUTED_VALUE"""),-10.0)</f>
        <v>-10</v>
      </c>
      <c r="E1782" s="1"/>
      <c r="F1782" s="1"/>
    </row>
    <row r="1783">
      <c r="A1783" s="1" t="str">
        <f>IFERROR(__xludf.DUMMYFUNCTION("""COMPUTED_VALUE"""),"32fb295f")</f>
        <v>32fb295f</v>
      </c>
      <c r="B1783" s="1" t="str">
        <f>IFERROR(__xludf.DUMMYFUNCTION("""COMPUTED_VALUE"""),"0014")</f>
        <v>0014</v>
      </c>
      <c r="C1783" s="32">
        <f>IFERROR(__xludf.DUMMYFUNCTION("""COMPUTED_VALUE"""),46123.76096064815)</f>
        <v>46123.76096</v>
      </c>
      <c r="D1783" s="1">
        <f>IFERROR(__xludf.DUMMYFUNCTION("""COMPUTED_VALUE"""),-7.0)</f>
        <v>-7</v>
      </c>
      <c r="E1783" s="1"/>
      <c r="F1783" s="1"/>
    </row>
    <row r="1784">
      <c r="A1784" s="1" t="str">
        <f>IFERROR(__xludf.DUMMYFUNCTION("""COMPUTED_VALUE"""),"e4213893")</f>
        <v>e4213893</v>
      </c>
      <c r="B1784" s="1" t="str">
        <f>IFERROR(__xludf.DUMMYFUNCTION("""COMPUTED_VALUE"""),"70bdbe11")</f>
        <v>70bdbe11</v>
      </c>
      <c r="C1784" s="32">
        <f>IFERROR(__xludf.DUMMYFUNCTION("""COMPUTED_VALUE"""),46123.76122685185)</f>
        <v>46123.76123</v>
      </c>
      <c r="D1784" s="1">
        <f>IFERROR(__xludf.DUMMYFUNCTION("""COMPUTED_VALUE"""),-4.0)</f>
        <v>-4</v>
      </c>
      <c r="E1784" s="1"/>
      <c r="F1784" s="1"/>
    </row>
    <row r="1785">
      <c r="A1785" s="1" t="str">
        <f>IFERROR(__xludf.DUMMYFUNCTION("""COMPUTED_VALUE"""),"1d105116")</f>
        <v>1d105116</v>
      </c>
      <c r="B1785" s="1" t="str">
        <f>IFERROR(__xludf.DUMMYFUNCTION("""COMPUTED_VALUE"""),"cf6c9481")</f>
        <v>cf6c9481</v>
      </c>
      <c r="C1785" s="32">
        <f>IFERROR(__xludf.DUMMYFUNCTION("""COMPUTED_VALUE"""),46123.761342592596)</f>
        <v>46123.76134</v>
      </c>
      <c r="D1785" s="1">
        <f>IFERROR(__xludf.DUMMYFUNCTION("""COMPUTED_VALUE"""),-3.0)</f>
        <v>-3</v>
      </c>
      <c r="E1785" s="1"/>
      <c r="F1785" s="1"/>
    </row>
    <row r="1786">
      <c r="A1786" s="1" t="str">
        <f>IFERROR(__xludf.DUMMYFUNCTION("""COMPUTED_VALUE"""),"7acee2f1")</f>
        <v>7acee2f1</v>
      </c>
      <c r="B1786" s="1" t="str">
        <f>IFERROR(__xludf.DUMMYFUNCTION("""COMPUTED_VALUE"""),"0032")</f>
        <v>0032</v>
      </c>
      <c r="C1786" s="32">
        <f>IFERROR(__xludf.DUMMYFUNCTION("""COMPUTED_VALUE"""),46123.761469907404)</f>
        <v>46123.76147</v>
      </c>
      <c r="D1786" s="1">
        <f>IFERROR(__xludf.DUMMYFUNCTION("""COMPUTED_VALUE"""),-11.0)</f>
        <v>-11</v>
      </c>
      <c r="E1786" s="1"/>
      <c r="F1786" s="1"/>
    </row>
    <row r="1787">
      <c r="A1787" s="1" t="str">
        <f>IFERROR(__xludf.DUMMYFUNCTION("""COMPUTED_VALUE"""),"fe2536f1")</f>
        <v>fe2536f1</v>
      </c>
      <c r="B1787" s="1" t="str">
        <f>IFERROR(__xludf.DUMMYFUNCTION("""COMPUTED_VALUE"""),"83dd14b5")</f>
        <v>83dd14b5</v>
      </c>
      <c r="C1787" s="32">
        <f>IFERROR(__xludf.DUMMYFUNCTION("""COMPUTED_VALUE"""),46123.761712962965)</f>
        <v>46123.76171</v>
      </c>
      <c r="D1787" s="1">
        <f>IFERROR(__xludf.DUMMYFUNCTION("""COMPUTED_VALUE"""),-11.0)</f>
        <v>-11</v>
      </c>
      <c r="E1787" s="1"/>
      <c r="F1787" s="1"/>
    </row>
    <row r="1788">
      <c r="A1788" s="1" t="str">
        <f>IFERROR(__xludf.DUMMYFUNCTION("""COMPUTED_VALUE"""),"98267135")</f>
        <v>98267135</v>
      </c>
      <c r="B1788" s="1" t="str">
        <f>IFERROR(__xludf.DUMMYFUNCTION("""COMPUTED_VALUE"""),"0002")</f>
        <v>0002</v>
      </c>
      <c r="C1788" s="32">
        <f>IFERROR(__xludf.DUMMYFUNCTION("""COMPUTED_VALUE"""),46123.76186342593)</f>
        <v>46123.76186</v>
      </c>
      <c r="D1788" s="1">
        <f>IFERROR(__xludf.DUMMYFUNCTION("""COMPUTED_VALUE"""),-37.0)</f>
        <v>-37</v>
      </c>
      <c r="E1788" s="1"/>
      <c r="F1788" s="1"/>
    </row>
    <row r="1789">
      <c r="A1789" s="1" t="str">
        <f>IFERROR(__xludf.DUMMYFUNCTION("""COMPUTED_VALUE"""),"d2b8d187")</f>
        <v>d2b8d187</v>
      </c>
      <c r="B1789" s="1" t="str">
        <f>IFERROR(__xludf.DUMMYFUNCTION("""COMPUTED_VALUE"""),"0033")</f>
        <v>0033</v>
      </c>
      <c r="C1789" s="32">
        <f>IFERROR(__xludf.DUMMYFUNCTION("""COMPUTED_VALUE"""),46123.76201388889)</f>
        <v>46123.76201</v>
      </c>
      <c r="D1789" s="1">
        <f>IFERROR(__xludf.DUMMYFUNCTION("""COMPUTED_VALUE"""),-6.0)</f>
        <v>-6</v>
      </c>
      <c r="E1789" s="1"/>
      <c r="F1789" s="1"/>
    </row>
    <row r="1790">
      <c r="A1790" s="1" t="str">
        <f>IFERROR(__xludf.DUMMYFUNCTION("""COMPUTED_VALUE"""),"9c959d2a")</f>
        <v>9c959d2a</v>
      </c>
      <c r="B1790" s="1" t="str">
        <f>IFERROR(__xludf.DUMMYFUNCTION("""COMPUTED_VALUE"""),"0024")</f>
        <v>0024</v>
      </c>
      <c r="C1790" s="32">
        <f>IFERROR(__xludf.DUMMYFUNCTION("""COMPUTED_VALUE"""),46123.7621875)</f>
        <v>46123.76219</v>
      </c>
      <c r="D1790" s="1">
        <f>IFERROR(__xludf.DUMMYFUNCTION("""COMPUTED_VALUE"""),-10.0)</f>
        <v>-10</v>
      </c>
      <c r="E1790" s="1"/>
      <c r="F1790" s="1"/>
    </row>
    <row r="1791">
      <c r="A1791" s="1" t="str">
        <f>IFERROR(__xludf.DUMMYFUNCTION("""COMPUTED_VALUE"""),"88797feb")</f>
        <v>88797feb</v>
      </c>
      <c r="B1791" s="1" t="str">
        <f>IFERROR(__xludf.DUMMYFUNCTION("""COMPUTED_VALUE"""),"0027")</f>
        <v>0027</v>
      </c>
      <c r="C1791" s="32">
        <f>IFERROR(__xludf.DUMMYFUNCTION("""COMPUTED_VALUE"""),46123.76230324074)</f>
        <v>46123.7623</v>
      </c>
      <c r="D1791" s="1">
        <f>IFERROR(__xludf.DUMMYFUNCTION("""COMPUTED_VALUE"""),-5.0)</f>
        <v>-5</v>
      </c>
      <c r="E1791" s="1"/>
      <c r="F1791" s="1"/>
    </row>
    <row r="1792">
      <c r="A1792" s="1" t="str">
        <f>IFERROR(__xludf.DUMMYFUNCTION("""COMPUTED_VALUE"""),"94b39195")</f>
        <v>94b39195</v>
      </c>
      <c r="B1792" s="1" t="str">
        <f>IFERROR(__xludf.DUMMYFUNCTION("""COMPUTED_VALUE"""),"cb9e809e")</f>
        <v>cb9e809e</v>
      </c>
      <c r="C1792" s="32">
        <f>IFERROR(__xludf.DUMMYFUNCTION("""COMPUTED_VALUE"""),46123.76252314815)</f>
        <v>46123.76252</v>
      </c>
      <c r="D1792" s="1">
        <f>IFERROR(__xludf.DUMMYFUNCTION("""COMPUTED_VALUE"""),-8.0)</f>
        <v>-8</v>
      </c>
      <c r="E1792" s="1"/>
      <c r="F1792" s="1"/>
    </row>
    <row r="1793">
      <c r="A1793" s="1" t="str">
        <f>IFERROR(__xludf.DUMMYFUNCTION("""COMPUTED_VALUE"""),"54241d2f")</f>
        <v>54241d2f</v>
      </c>
      <c r="B1793" s="1" t="str">
        <f>IFERROR(__xludf.DUMMYFUNCTION("""COMPUTED_VALUE"""),"cf6c9481")</f>
        <v>cf6c9481</v>
      </c>
      <c r="C1793" s="32">
        <f>IFERROR(__xludf.DUMMYFUNCTION("""COMPUTED_VALUE"""),46123.76261574074)</f>
        <v>46123.76262</v>
      </c>
      <c r="D1793" s="1">
        <f>IFERROR(__xludf.DUMMYFUNCTION("""COMPUTED_VALUE"""),-3.0)</f>
        <v>-3</v>
      </c>
      <c r="E1793" s="1"/>
      <c r="F1793" s="1"/>
    </row>
    <row r="1794">
      <c r="A1794" s="1" t="str">
        <f>IFERROR(__xludf.DUMMYFUNCTION("""COMPUTED_VALUE"""),"b8bba1fe")</f>
        <v>b8bba1fe</v>
      </c>
      <c r="B1794" s="1" t="str">
        <f>IFERROR(__xludf.DUMMYFUNCTION("""COMPUTED_VALUE"""),"0011")</f>
        <v>0011</v>
      </c>
      <c r="C1794" s="32">
        <f>IFERROR(__xludf.DUMMYFUNCTION("""COMPUTED_VALUE"""),46123.76273148148)</f>
        <v>46123.76273</v>
      </c>
      <c r="D1794" s="1">
        <f>IFERROR(__xludf.DUMMYFUNCTION("""COMPUTED_VALUE"""),-10.0)</f>
        <v>-10</v>
      </c>
      <c r="E1794" s="1"/>
      <c r="F1794" s="1"/>
    </row>
    <row r="1795">
      <c r="A1795" s="1" t="str">
        <f>IFERROR(__xludf.DUMMYFUNCTION("""COMPUTED_VALUE"""),"ff95e5e0")</f>
        <v>ff95e5e0</v>
      </c>
      <c r="B1795" s="1" t="str">
        <f>IFERROR(__xludf.DUMMYFUNCTION("""COMPUTED_VALUE"""),"ed187a9e")</f>
        <v>ed187a9e</v>
      </c>
      <c r="C1795" s="32">
        <f>IFERROR(__xludf.DUMMYFUNCTION("""COMPUTED_VALUE"""),46123.762870370374)</f>
        <v>46123.76287</v>
      </c>
      <c r="D1795" s="1">
        <f>IFERROR(__xludf.DUMMYFUNCTION("""COMPUTED_VALUE"""),-6.0)</f>
        <v>-6</v>
      </c>
      <c r="E1795" s="1"/>
      <c r="F1795" s="1"/>
    </row>
    <row r="1796">
      <c r="A1796" s="1" t="str">
        <f>IFERROR(__xludf.DUMMYFUNCTION("""COMPUTED_VALUE"""),"ae4496ce")</f>
        <v>ae4496ce</v>
      </c>
      <c r="B1796" s="1" t="str">
        <f>IFERROR(__xludf.DUMMYFUNCTION("""COMPUTED_VALUE"""),"0001")</f>
        <v>0001</v>
      </c>
      <c r="C1796" s="32">
        <f>IFERROR(__xludf.DUMMYFUNCTION("""COMPUTED_VALUE"""),46123.79981481482)</f>
        <v>46123.79981</v>
      </c>
      <c r="D1796" s="1">
        <f>IFERROR(__xludf.DUMMYFUNCTION("""COMPUTED_VALUE"""),15.0)</f>
        <v>15</v>
      </c>
      <c r="E1796" s="1"/>
      <c r="F1796" s="1"/>
    </row>
    <row r="1797">
      <c r="A1797" s="1" t="str">
        <f>IFERROR(__xludf.DUMMYFUNCTION("""COMPUTED_VALUE"""),"d8ce324a")</f>
        <v>d8ce324a</v>
      </c>
      <c r="B1797" s="1" t="str">
        <f>IFERROR(__xludf.DUMMYFUNCTION("""COMPUTED_VALUE"""),"0001")</f>
        <v>0001</v>
      </c>
      <c r="C1797" s="32">
        <f>IFERROR(__xludf.DUMMYFUNCTION("""COMPUTED_VALUE"""),46123.808645833335)</f>
        <v>46123.80865</v>
      </c>
      <c r="D1797" s="1">
        <f>IFERROR(__xludf.DUMMYFUNCTION("""COMPUTED_VALUE"""),9.0)</f>
        <v>9</v>
      </c>
      <c r="E1797" s="1"/>
      <c r="F1797" s="1"/>
    </row>
    <row r="1798">
      <c r="A1798" s="1" t="str">
        <f>IFERROR(__xludf.DUMMYFUNCTION("""COMPUTED_VALUE"""),"a1d3a147")</f>
        <v>a1d3a147</v>
      </c>
      <c r="B1798" s="1" t="str">
        <f>IFERROR(__xludf.DUMMYFUNCTION("""COMPUTED_VALUE"""),"eda833ca")</f>
        <v>eda833ca</v>
      </c>
      <c r="C1798" s="32">
        <f>IFERROR(__xludf.DUMMYFUNCTION("""COMPUTED_VALUE"""),46123.83146990741)</f>
        <v>46123.83147</v>
      </c>
      <c r="D1798" s="1">
        <f>IFERROR(__xludf.DUMMYFUNCTION("""COMPUTED_VALUE"""),108.0)</f>
        <v>108</v>
      </c>
      <c r="E1798" s="1" t="str">
        <f>IFERROR(__xludf.DUMMYFUNCTION("""COMPUTED_VALUE"""),"49752fc8")</f>
        <v>49752fc8</v>
      </c>
      <c r="F1798" s="1"/>
    </row>
    <row r="1799">
      <c r="A1799" s="1" t="str">
        <f>IFERROR(__xludf.DUMMYFUNCTION("""COMPUTED_VALUE"""),"2b10d935")</f>
        <v>2b10d935</v>
      </c>
      <c r="B1799" s="1" t="str">
        <f>IFERROR(__xludf.DUMMYFUNCTION("""COMPUTED_VALUE"""),"f30d8158")</f>
        <v>f30d8158</v>
      </c>
      <c r="C1799" s="32">
        <f>IFERROR(__xludf.DUMMYFUNCTION("""COMPUTED_VALUE"""),46123.83153935185)</f>
        <v>46123.83154</v>
      </c>
      <c r="D1799" s="1">
        <f>IFERROR(__xludf.DUMMYFUNCTION("""COMPUTED_VALUE"""),30.0)</f>
        <v>30</v>
      </c>
      <c r="E1799" s="1" t="str">
        <f>IFERROR(__xludf.DUMMYFUNCTION("""COMPUTED_VALUE"""),"49752fc8")</f>
        <v>49752fc8</v>
      </c>
      <c r="F1799" s="1"/>
    </row>
    <row r="1800">
      <c r="A1800" s="1" t="str">
        <f>IFERROR(__xludf.DUMMYFUNCTION("""COMPUTED_VALUE"""),"3d357621")</f>
        <v>3d357621</v>
      </c>
      <c r="B1800" s="1" t="str">
        <f>IFERROR(__xludf.DUMMYFUNCTION("""COMPUTED_VALUE"""),"0014")</f>
        <v>0014</v>
      </c>
      <c r="C1800" s="32">
        <f>IFERROR(__xludf.DUMMYFUNCTION("""COMPUTED_VALUE"""),46123.834178240744)</f>
        <v>46123.83418</v>
      </c>
      <c r="D1800" s="1">
        <f>IFERROR(__xludf.DUMMYFUNCTION("""COMPUTED_VALUE"""),30.0)</f>
        <v>30</v>
      </c>
      <c r="E1800" s="1" t="str">
        <f>IFERROR(__xludf.DUMMYFUNCTION("""COMPUTED_VALUE"""),"80a016cc")</f>
        <v>80a016cc</v>
      </c>
      <c r="F1800" s="1"/>
    </row>
    <row r="1801">
      <c r="A1801" s="1" t="str">
        <f>IFERROR(__xludf.DUMMYFUNCTION("""COMPUTED_VALUE"""),"bb70d13c")</f>
        <v>bb70d13c</v>
      </c>
      <c r="B1801" s="1" t="str">
        <f>IFERROR(__xludf.DUMMYFUNCTION("""COMPUTED_VALUE"""),"a19879cf")</f>
        <v>a19879cf</v>
      </c>
      <c r="C1801" s="32">
        <f>IFERROR(__xludf.DUMMYFUNCTION("""COMPUTED_VALUE"""),46123.834328703706)</f>
        <v>46123.83433</v>
      </c>
      <c r="D1801" s="1">
        <f>IFERROR(__xludf.DUMMYFUNCTION("""COMPUTED_VALUE"""),48.0)</f>
        <v>48</v>
      </c>
      <c r="E1801" s="1" t="str">
        <f>IFERROR(__xludf.DUMMYFUNCTION("""COMPUTED_VALUE"""),"80a016cc")</f>
        <v>80a016cc</v>
      </c>
      <c r="F1801" s="1"/>
    </row>
    <row r="1802">
      <c r="A1802" s="1" t="str">
        <f>IFERROR(__xludf.DUMMYFUNCTION("""COMPUTED_VALUE"""),"23c4dc49")</f>
        <v>23c4dc49</v>
      </c>
      <c r="B1802" s="1" t="str">
        <f>IFERROR(__xludf.DUMMYFUNCTION("""COMPUTED_VALUE"""),"02d86a9b")</f>
        <v>02d86a9b</v>
      </c>
      <c r="C1802" s="32">
        <f>IFERROR(__xludf.DUMMYFUNCTION("""COMPUTED_VALUE"""),46123.834398148145)</f>
        <v>46123.8344</v>
      </c>
      <c r="D1802" s="1">
        <f>IFERROR(__xludf.DUMMYFUNCTION("""COMPUTED_VALUE"""),24.0)</f>
        <v>24</v>
      </c>
      <c r="E1802" s="1" t="str">
        <f>IFERROR(__xludf.DUMMYFUNCTION("""COMPUTED_VALUE"""),"80a016cc")</f>
        <v>80a016cc</v>
      </c>
      <c r="F1802" s="1"/>
    </row>
    <row r="1803">
      <c r="A1803" s="1" t="str">
        <f>IFERROR(__xludf.DUMMYFUNCTION("""COMPUTED_VALUE"""),"a60c6c04")</f>
        <v>a60c6c04</v>
      </c>
      <c r="B1803" s="1" t="str">
        <f>IFERROR(__xludf.DUMMYFUNCTION("""COMPUTED_VALUE"""),"bb4d1bd1")</f>
        <v>bb4d1bd1</v>
      </c>
      <c r="C1803" s="32">
        <f>IFERROR(__xludf.DUMMYFUNCTION("""COMPUTED_VALUE"""),46123.834444444445)</f>
        <v>46123.83444</v>
      </c>
      <c r="D1803" s="1">
        <f>IFERROR(__xludf.DUMMYFUNCTION("""COMPUTED_VALUE"""),24.0)</f>
        <v>24</v>
      </c>
      <c r="E1803" s="1" t="str">
        <f>IFERROR(__xludf.DUMMYFUNCTION("""COMPUTED_VALUE"""),"80a016cc")</f>
        <v>80a016cc</v>
      </c>
      <c r="F1803" s="1"/>
    </row>
    <row r="1804">
      <c r="A1804" s="1" t="str">
        <f>IFERROR(__xludf.DUMMYFUNCTION("""COMPUTED_VALUE"""),"0d5aeec8")</f>
        <v>0d5aeec8</v>
      </c>
      <c r="B1804" s="1" t="str">
        <f>IFERROR(__xludf.DUMMYFUNCTION("""COMPUTED_VALUE"""),"0038")</f>
        <v>0038</v>
      </c>
      <c r="C1804" s="32">
        <f>IFERROR(__xludf.DUMMYFUNCTION("""COMPUTED_VALUE"""),46123.83451388889)</f>
        <v>46123.83451</v>
      </c>
      <c r="D1804" s="1">
        <f>IFERROR(__xludf.DUMMYFUNCTION("""COMPUTED_VALUE"""),18.0)</f>
        <v>18</v>
      </c>
      <c r="E1804" s="1" t="str">
        <f>IFERROR(__xludf.DUMMYFUNCTION("""COMPUTED_VALUE"""),"80a016cc")</f>
        <v>80a016cc</v>
      </c>
      <c r="F1804" s="1"/>
    </row>
    <row r="1805">
      <c r="A1805" s="1" t="str">
        <f>IFERROR(__xludf.DUMMYFUNCTION("""COMPUTED_VALUE"""),"ba6431f0")</f>
        <v>ba6431f0</v>
      </c>
      <c r="B1805" s="1" t="str">
        <f>IFERROR(__xludf.DUMMYFUNCTION("""COMPUTED_VALUE"""),"0032")</f>
        <v>0032</v>
      </c>
      <c r="C1805" s="32">
        <f>IFERROR(__xludf.DUMMYFUNCTION("""COMPUTED_VALUE"""),46123.83457175926)</f>
        <v>46123.83457</v>
      </c>
      <c r="D1805" s="1">
        <f>IFERROR(__xludf.DUMMYFUNCTION("""COMPUTED_VALUE"""),54.0)</f>
        <v>54</v>
      </c>
      <c r="E1805" s="1" t="str">
        <f>IFERROR(__xludf.DUMMYFUNCTION("""COMPUTED_VALUE"""),"80a016cc")</f>
        <v>80a016cc</v>
      </c>
      <c r="F1805" s="1"/>
    </row>
    <row r="1806">
      <c r="A1806" s="1" t="str">
        <f>IFERROR(__xludf.DUMMYFUNCTION("""COMPUTED_VALUE"""),"d233828e")</f>
        <v>d233828e</v>
      </c>
      <c r="B1806" s="1" t="str">
        <f>IFERROR(__xludf.DUMMYFUNCTION("""COMPUTED_VALUE"""),"0064")</f>
        <v>0064</v>
      </c>
      <c r="C1806" s="32">
        <f>IFERROR(__xludf.DUMMYFUNCTION("""COMPUTED_VALUE"""),46123.834641203706)</f>
        <v>46123.83464</v>
      </c>
      <c r="D1806" s="1">
        <f>IFERROR(__xludf.DUMMYFUNCTION("""COMPUTED_VALUE"""),54.0)</f>
        <v>54</v>
      </c>
      <c r="E1806" s="1" t="str">
        <f>IFERROR(__xludf.DUMMYFUNCTION("""COMPUTED_VALUE"""),"80a016cc")</f>
        <v>80a016cc</v>
      </c>
      <c r="F1806" s="1"/>
    </row>
    <row r="1807">
      <c r="A1807" s="1" t="str">
        <f>IFERROR(__xludf.DUMMYFUNCTION("""COMPUTED_VALUE"""),"afde14c4")</f>
        <v>afde14c4</v>
      </c>
      <c r="B1807" s="1" t="str">
        <f>IFERROR(__xludf.DUMMYFUNCTION("""COMPUTED_VALUE"""),"220a28b9")</f>
        <v>220a28b9</v>
      </c>
      <c r="C1807" s="32">
        <f>IFERROR(__xludf.DUMMYFUNCTION("""COMPUTED_VALUE"""),46123.834699074076)</f>
        <v>46123.8347</v>
      </c>
      <c r="D1807" s="1">
        <f>IFERROR(__xludf.DUMMYFUNCTION("""COMPUTED_VALUE"""),12.0)</f>
        <v>12</v>
      </c>
      <c r="E1807" s="1" t="str">
        <f>IFERROR(__xludf.DUMMYFUNCTION("""COMPUTED_VALUE"""),"80a016cc")</f>
        <v>80a016cc</v>
      </c>
      <c r="F1807" s="1"/>
    </row>
    <row r="1808">
      <c r="A1808" s="1" t="str">
        <f>IFERROR(__xludf.DUMMYFUNCTION("""COMPUTED_VALUE"""),"0357d895")</f>
        <v>0357d895</v>
      </c>
      <c r="B1808" s="1" t="str">
        <f>IFERROR(__xludf.DUMMYFUNCTION("""COMPUTED_VALUE"""),"0011")</f>
        <v>0011</v>
      </c>
      <c r="C1808" s="32">
        <f>IFERROR(__xludf.DUMMYFUNCTION("""COMPUTED_VALUE"""),46123.834756944445)</f>
        <v>46123.83476</v>
      </c>
      <c r="D1808" s="1">
        <f>IFERROR(__xludf.DUMMYFUNCTION("""COMPUTED_VALUE"""),48.0)</f>
        <v>48</v>
      </c>
      <c r="E1808" s="1" t="str">
        <f>IFERROR(__xludf.DUMMYFUNCTION("""COMPUTED_VALUE"""),"80a016cc")</f>
        <v>80a016cc</v>
      </c>
      <c r="F1808" s="1"/>
    </row>
    <row r="1809">
      <c r="A1809" s="1" t="str">
        <f>IFERROR(__xludf.DUMMYFUNCTION("""COMPUTED_VALUE"""),"ee8a61ee")</f>
        <v>ee8a61ee</v>
      </c>
      <c r="B1809" s="1" t="str">
        <f>IFERROR(__xludf.DUMMYFUNCTION("""COMPUTED_VALUE"""),"ed187a9e")</f>
        <v>ed187a9e</v>
      </c>
      <c r="C1809" s="32">
        <f>IFERROR(__xludf.DUMMYFUNCTION("""COMPUTED_VALUE"""),46123.83482638889)</f>
        <v>46123.83483</v>
      </c>
      <c r="D1809" s="1">
        <f>IFERROR(__xludf.DUMMYFUNCTION("""COMPUTED_VALUE"""),0.0)</f>
        <v>0</v>
      </c>
      <c r="E1809" s="1" t="str">
        <f>IFERROR(__xludf.DUMMYFUNCTION("""COMPUTED_VALUE"""),"80a016cc")</f>
        <v>80a016cc</v>
      </c>
      <c r="F1809" s="1"/>
    </row>
    <row r="1810">
      <c r="A1810" s="1" t="str">
        <f>IFERROR(__xludf.DUMMYFUNCTION("""COMPUTED_VALUE"""),"eded2a53")</f>
        <v>eded2a53</v>
      </c>
      <c r="B1810" s="1" t="str">
        <f>IFERROR(__xludf.DUMMYFUNCTION("""COMPUTED_VALUE"""),"70bdbe11")</f>
        <v>70bdbe11</v>
      </c>
      <c r="C1810" s="32">
        <f>IFERROR(__xludf.DUMMYFUNCTION("""COMPUTED_VALUE"""),46123.83488425926)</f>
        <v>46123.83488</v>
      </c>
      <c r="D1810" s="1">
        <f>IFERROR(__xludf.DUMMYFUNCTION("""COMPUTED_VALUE"""),24.0)</f>
        <v>24</v>
      </c>
      <c r="E1810" s="1" t="str">
        <f>IFERROR(__xludf.DUMMYFUNCTION("""COMPUTED_VALUE"""),"80a016cc")</f>
        <v>80a016cc</v>
      </c>
      <c r="F1810" s="1"/>
    </row>
    <row r="1811">
      <c r="A1811" s="1" t="str">
        <f>IFERROR(__xludf.DUMMYFUNCTION("""COMPUTED_VALUE"""),"d62f9c62")</f>
        <v>d62f9c62</v>
      </c>
      <c r="B1811" s="1" t="str">
        <f>IFERROR(__xludf.DUMMYFUNCTION("""COMPUTED_VALUE"""),"c099f042")</f>
        <v>c099f042</v>
      </c>
      <c r="C1811" s="32">
        <f>IFERROR(__xludf.DUMMYFUNCTION("""COMPUTED_VALUE"""),46123.83546296296)</f>
        <v>46123.83546</v>
      </c>
      <c r="D1811" s="1">
        <f>IFERROR(__xludf.DUMMYFUNCTION("""COMPUTED_VALUE"""),80.0)</f>
        <v>80</v>
      </c>
      <c r="E1811" s="1" t="str">
        <f>IFERROR(__xludf.DUMMYFUNCTION("""COMPUTED_VALUE"""),"fbd37e83")</f>
        <v>fbd37e83</v>
      </c>
      <c r="F1811" s="1"/>
    </row>
    <row r="1812">
      <c r="A1812" s="1" t="str">
        <f>IFERROR(__xludf.DUMMYFUNCTION("""COMPUTED_VALUE"""),"f75b383b")</f>
        <v>f75b383b</v>
      </c>
      <c r="B1812" s="1" t="str">
        <f>IFERROR(__xludf.DUMMYFUNCTION("""COMPUTED_VALUE"""),"0021")</f>
        <v>0021</v>
      </c>
      <c r="C1812" s="32">
        <f>IFERROR(__xludf.DUMMYFUNCTION("""COMPUTED_VALUE"""),46123.83550925926)</f>
        <v>46123.83551</v>
      </c>
      <c r="D1812" s="1">
        <f>IFERROR(__xludf.DUMMYFUNCTION("""COMPUTED_VALUE"""),48.0)</f>
        <v>48</v>
      </c>
      <c r="E1812" s="1" t="str">
        <f>IFERROR(__xludf.DUMMYFUNCTION("""COMPUTED_VALUE"""),"fbd37e83")</f>
        <v>fbd37e83</v>
      </c>
      <c r="F1812" s="1"/>
    </row>
    <row r="1813">
      <c r="A1813" s="1" t="str">
        <f>IFERROR(__xludf.DUMMYFUNCTION("""COMPUTED_VALUE"""),"04a3abac")</f>
        <v>04a3abac</v>
      </c>
      <c r="B1813" s="1" t="str">
        <f>IFERROR(__xludf.DUMMYFUNCTION("""COMPUTED_VALUE"""),"b3204174")</f>
        <v>b3204174</v>
      </c>
      <c r="C1813" s="32">
        <f>IFERROR(__xludf.DUMMYFUNCTION("""COMPUTED_VALUE"""),46123.83557870371)</f>
        <v>46123.83558</v>
      </c>
      <c r="D1813" s="1">
        <f>IFERROR(__xludf.DUMMYFUNCTION("""COMPUTED_VALUE"""),48.0)</f>
        <v>48</v>
      </c>
      <c r="E1813" s="1" t="str">
        <f>IFERROR(__xludf.DUMMYFUNCTION("""COMPUTED_VALUE"""),"fbd37e83")</f>
        <v>fbd37e83</v>
      </c>
      <c r="F1813" s="1"/>
    </row>
    <row r="1814">
      <c r="A1814" s="1" t="str">
        <f>IFERROR(__xludf.DUMMYFUNCTION("""COMPUTED_VALUE"""),"0d5a82d1")</f>
        <v>0d5a82d1</v>
      </c>
      <c r="B1814" s="1" t="str">
        <f>IFERROR(__xludf.DUMMYFUNCTION("""COMPUTED_VALUE"""),"0049")</f>
        <v>0049</v>
      </c>
      <c r="C1814" s="32">
        <f>IFERROR(__xludf.DUMMYFUNCTION("""COMPUTED_VALUE"""),46123.835960648146)</f>
        <v>46123.83596</v>
      </c>
      <c r="D1814" s="1">
        <f>IFERROR(__xludf.DUMMYFUNCTION("""COMPUTED_VALUE"""),48.0)</f>
        <v>48</v>
      </c>
      <c r="E1814" s="1" t="str">
        <f>IFERROR(__xludf.DUMMYFUNCTION("""COMPUTED_VALUE"""),"56c2e6a0")</f>
        <v>56c2e6a0</v>
      </c>
      <c r="F1814" s="1"/>
    </row>
    <row r="1815">
      <c r="A1815" s="1" t="str">
        <f>IFERROR(__xludf.DUMMYFUNCTION("""COMPUTED_VALUE"""),"8487bdd9")</f>
        <v>8487bdd9</v>
      </c>
      <c r="B1815" s="1" t="str">
        <f>IFERROR(__xludf.DUMMYFUNCTION("""COMPUTED_VALUE"""),"cb9e809e")</f>
        <v>cb9e809e</v>
      </c>
      <c r="C1815" s="32">
        <f>IFERROR(__xludf.DUMMYFUNCTION("""COMPUTED_VALUE"""),46123.83603009259)</f>
        <v>46123.83603</v>
      </c>
      <c r="D1815" s="1">
        <f>IFERROR(__xludf.DUMMYFUNCTION("""COMPUTED_VALUE"""),60.0)</f>
        <v>60</v>
      </c>
      <c r="E1815" s="1" t="str">
        <f>IFERROR(__xludf.DUMMYFUNCTION("""COMPUTED_VALUE"""),"56c2e6a0")</f>
        <v>56c2e6a0</v>
      </c>
      <c r="F1815" s="1"/>
    </row>
    <row r="1816">
      <c r="A1816" s="1" t="str">
        <f>IFERROR(__xludf.DUMMYFUNCTION("""COMPUTED_VALUE"""),"8a132589")</f>
        <v>8a132589</v>
      </c>
      <c r="B1816" s="1" t="str">
        <f>IFERROR(__xludf.DUMMYFUNCTION("""COMPUTED_VALUE"""),"eda833ca")</f>
        <v>eda833ca</v>
      </c>
      <c r="C1816" s="32">
        <f>IFERROR(__xludf.DUMMYFUNCTION("""COMPUTED_VALUE"""),46124.09085648148)</f>
        <v>46124.09086</v>
      </c>
      <c r="D1816" s="1">
        <f>IFERROR(__xludf.DUMMYFUNCTION("""COMPUTED_VALUE"""),-41.0)</f>
        <v>-41</v>
      </c>
      <c r="E1816" s="1"/>
      <c r="F1816" s="1"/>
    </row>
    <row r="1817">
      <c r="A1817" s="1" t="str">
        <f>IFERROR(__xludf.DUMMYFUNCTION("""COMPUTED_VALUE"""),"c9022355")</f>
        <v>c9022355</v>
      </c>
      <c r="B1817" s="1" t="str">
        <f>IFERROR(__xludf.DUMMYFUNCTION("""COMPUTED_VALUE"""),"c099f042")</f>
        <v>c099f042</v>
      </c>
      <c r="C1817" s="32">
        <f>IFERROR(__xludf.DUMMYFUNCTION("""COMPUTED_VALUE"""),46124.09172453704)</f>
        <v>46124.09172</v>
      </c>
      <c r="D1817" s="1">
        <f>IFERROR(__xludf.DUMMYFUNCTION("""COMPUTED_VALUE"""),-25.0)</f>
        <v>-25</v>
      </c>
      <c r="E1817" s="1"/>
      <c r="F1817" s="1"/>
    </row>
    <row r="1818">
      <c r="A1818" s="1" t="str">
        <f>IFERROR(__xludf.DUMMYFUNCTION("""COMPUTED_VALUE"""),"0a3587fc")</f>
        <v>0a3587fc</v>
      </c>
      <c r="B1818" s="1" t="str">
        <f>IFERROR(__xludf.DUMMYFUNCTION("""COMPUTED_VALUE"""),"0001")</f>
        <v>0001</v>
      </c>
      <c r="C1818" s="32">
        <f>IFERROR(__xludf.DUMMYFUNCTION("""COMPUTED_VALUE"""),46124.09212962963)</f>
        <v>46124.09213</v>
      </c>
      <c r="D1818" s="1">
        <f>IFERROR(__xludf.DUMMYFUNCTION("""COMPUTED_VALUE"""),-20.0)</f>
        <v>-20</v>
      </c>
      <c r="E1818" s="1"/>
      <c r="F1818" s="1"/>
    </row>
    <row r="1819">
      <c r="A1819" s="1" t="str">
        <f>IFERROR(__xludf.DUMMYFUNCTION("""COMPUTED_VALUE"""),"3a76d87b")</f>
        <v>3a76d87b</v>
      </c>
      <c r="B1819" s="1" t="str">
        <f>IFERROR(__xludf.DUMMYFUNCTION("""COMPUTED_VALUE"""),"0014")</f>
        <v>0014</v>
      </c>
      <c r="C1819" s="32">
        <f>IFERROR(__xludf.DUMMYFUNCTION("""COMPUTED_VALUE"""),46124.092314814814)</f>
        <v>46124.09231</v>
      </c>
      <c r="D1819" s="1">
        <f>IFERROR(__xludf.DUMMYFUNCTION("""COMPUTED_VALUE"""),-9.0)</f>
        <v>-9</v>
      </c>
      <c r="E1819" s="1"/>
      <c r="F1819" s="1"/>
    </row>
    <row r="1820">
      <c r="A1820" s="1" t="str">
        <f>IFERROR(__xludf.DUMMYFUNCTION("""COMPUTED_VALUE"""),"5bd85235")</f>
        <v>5bd85235</v>
      </c>
      <c r="B1820" s="1" t="str">
        <f>IFERROR(__xludf.DUMMYFUNCTION("""COMPUTED_VALUE"""),"02d86a9b")</f>
        <v>02d86a9b</v>
      </c>
      <c r="C1820" s="32">
        <f>IFERROR(__xludf.DUMMYFUNCTION("""COMPUTED_VALUE"""),46124.09261574074)</f>
        <v>46124.09262</v>
      </c>
      <c r="D1820" s="1">
        <f>IFERROR(__xludf.DUMMYFUNCTION("""COMPUTED_VALUE"""),-7.0)</f>
        <v>-7</v>
      </c>
      <c r="E1820" s="1"/>
      <c r="F1820" s="1"/>
    </row>
    <row r="1821">
      <c r="A1821" s="1" t="str">
        <f>IFERROR(__xludf.DUMMYFUNCTION("""COMPUTED_VALUE"""),"c743fd76")</f>
        <v>c743fd76</v>
      </c>
      <c r="B1821" s="1" t="str">
        <f>IFERROR(__xludf.DUMMYFUNCTION("""COMPUTED_VALUE"""),"a19879cf")</f>
        <v>a19879cf</v>
      </c>
      <c r="C1821" s="32">
        <f>IFERROR(__xludf.DUMMYFUNCTION("""COMPUTED_VALUE"""),46124.09284722222)</f>
        <v>46124.09285</v>
      </c>
      <c r="D1821" s="1">
        <f>IFERROR(__xludf.DUMMYFUNCTION("""COMPUTED_VALUE"""),-7.0)</f>
        <v>-7</v>
      </c>
      <c r="E1821" s="1"/>
      <c r="F1821" s="1"/>
    </row>
    <row r="1822">
      <c r="A1822" s="1" t="str">
        <f>IFERROR(__xludf.DUMMYFUNCTION("""COMPUTED_VALUE"""),"ab03d3ec")</f>
        <v>ab03d3ec</v>
      </c>
      <c r="B1822" s="1" t="str">
        <f>IFERROR(__xludf.DUMMYFUNCTION("""COMPUTED_VALUE"""),"0021")</f>
        <v>0021</v>
      </c>
      <c r="C1822" s="32">
        <f>IFERROR(__xludf.DUMMYFUNCTION("""COMPUTED_VALUE"""),46124.09297453704)</f>
        <v>46124.09297</v>
      </c>
      <c r="D1822" s="1">
        <f>IFERROR(__xludf.DUMMYFUNCTION("""COMPUTED_VALUE"""),-5.0)</f>
        <v>-5</v>
      </c>
      <c r="E1822" s="1"/>
      <c r="F1822" s="1"/>
    </row>
    <row r="1823">
      <c r="A1823" s="1" t="str">
        <f>IFERROR(__xludf.DUMMYFUNCTION("""COMPUTED_VALUE"""),"bd7b72cd")</f>
        <v>bd7b72cd</v>
      </c>
      <c r="B1823" s="1" t="str">
        <f>IFERROR(__xludf.DUMMYFUNCTION("""COMPUTED_VALUE"""),"0049")</f>
        <v>0049</v>
      </c>
      <c r="C1823" s="32">
        <f>IFERROR(__xludf.DUMMYFUNCTION("""COMPUTED_VALUE"""),46124.09310185185)</f>
        <v>46124.0931</v>
      </c>
      <c r="D1823" s="1">
        <f>IFERROR(__xludf.DUMMYFUNCTION("""COMPUTED_VALUE"""),-6.0)</f>
        <v>-6</v>
      </c>
      <c r="E1823" s="1"/>
      <c r="F1823" s="1"/>
    </row>
    <row r="1824">
      <c r="A1824" s="1" t="str">
        <f>IFERROR(__xludf.DUMMYFUNCTION("""COMPUTED_VALUE"""),"6b3d63ad")</f>
        <v>6b3d63ad</v>
      </c>
      <c r="B1824" s="1" t="str">
        <f>IFERROR(__xludf.DUMMYFUNCTION("""COMPUTED_VALUE"""),"cb9e809e")</f>
        <v>cb9e809e</v>
      </c>
      <c r="C1824" s="32">
        <f>IFERROR(__xludf.DUMMYFUNCTION("""COMPUTED_VALUE"""),46124.093310185184)</f>
        <v>46124.09331</v>
      </c>
      <c r="D1824" s="1">
        <f>IFERROR(__xludf.DUMMYFUNCTION("""COMPUTED_VALUE"""),-4.0)</f>
        <v>-4</v>
      </c>
      <c r="E1824" s="1"/>
      <c r="F1824" s="1"/>
    </row>
    <row r="1825">
      <c r="A1825" s="1" t="str">
        <f>IFERROR(__xludf.DUMMYFUNCTION("""COMPUTED_VALUE"""),"10a188a2")</f>
        <v>10a188a2</v>
      </c>
      <c r="B1825" s="1" t="str">
        <f>IFERROR(__xludf.DUMMYFUNCTION("""COMPUTED_VALUE"""),"0029")</f>
        <v>0029</v>
      </c>
      <c r="C1825" s="32">
        <f>IFERROR(__xludf.DUMMYFUNCTION("""COMPUTED_VALUE"""),46124.09341435185)</f>
        <v>46124.09341</v>
      </c>
      <c r="D1825" s="1">
        <f>IFERROR(__xludf.DUMMYFUNCTION("""COMPUTED_VALUE"""),-7.0)</f>
        <v>-7</v>
      </c>
      <c r="E1825" s="1"/>
      <c r="F1825" s="1"/>
    </row>
    <row r="1826">
      <c r="A1826" s="1" t="str">
        <f>IFERROR(__xludf.DUMMYFUNCTION("""COMPUTED_VALUE"""),"6b06d267")</f>
        <v>6b06d267</v>
      </c>
      <c r="B1826" s="1" t="str">
        <f>IFERROR(__xludf.DUMMYFUNCTION("""COMPUTED_VALUE"""),"406a1fee")</f>
        <v>406a1fee</v>
      </c>
      <c r="C1826" s="32">
        <f>IFERROR(__xludf.DUMMYFUNCTION("""COMPUTED_VALUE"""),46124.093506944446)</f>
        <v>46124.09351</v>
      </c>
      <c r="D1826" s="1">
        <f>IFERROR(__xludf.DUMMYFUNCTION("""COMPUTED_VALUE"""),-7.0)</f>
        <v>-7</v>
      </c>
      <c r="E1826" s="1"/>
      <c r="F1826" s="1"/>
    </row>
    <row r="1827">
      <c r="A1827" s="1" t="str">
        <f>IFERROR(__xludf.DUMMYFUNCTION("""COMPUTED_VALUE"""),"cb9cff71")</f>
        <v>cb9cff71</v>
      </c>
      <c r="B1827" s="1" t="str">
        <f>IFERROR(__xludf.DUMMYFUNCTION("""COMPUTED_VALUE"""),"70bdbe11")</f>
        <v>70bdbe11</v>
      </c>
      <c r="C1827" s="32">
        <f>IFERROR(__xludf.DUMMYFUNCTION("""COMPUTED_VALUE"""),46124.093622685185)</f>
        <v>46124.09362</v>
      </c>
      <c r="D1827" s="1">
        <f>IFERROR(__xludf.DUMMYFUNCTION("""COMPUTED_VALUE"""),-7.0)</f>
        <v>-7</v>
      </c>
      <c r="E1827" s="1"/>
      <c r="F1827" s="1"/>
    </row>
    <row r="1828">
      <c r="A1828" s="1" t="str">
        <f>IFERROR(__xludf.DUMMYFUNCTION("""COMPUTED_VALUE"""),"5e3e0f13")</f>
        <v>5e3e0f13</v>
      </c>
      <c r="B1828" s="1" t="str">
        <f>IFERROR(__xludf.DUMMYFUNCTION("""COMPUTED_VALUE"""),"0f694cb5")</f>
        <v>0f694cb5</v>
      </c>
      <c r="C1828" s="32">
        <f>IFERROR(__xludf.DUMMYFUNCTION("""COMPUTED_VALUE"""),46124.093726851854)</f>
        <v>46124.09373</v>
      </c>
      <c r="D1828" s="1">
        <f>IFERROR(__xludf.DUMMYFUNCTION("""COMPUTED_VALUE"""),-4.0)</f>
        <v>-4</v>
      </c>
      <c r="E1828" s="1"/>
      <c r="F1828" s="1"/>
    </row>
    <row r="1829">
      <c r="A1829" s="1" t="str">
        <f>IFERROR(__xludf.DUMMYFUNCTION("""COMPUTED_VALUE"""),"6c6942bb")</f>
        <v>6c6942bb</v>
      </c>
      <c r="B1829" s="1" t="str">
        <f>IFERROR(__xludf.DUMMYFUNCTION("""COMPUTED_VALUE"""),"83dd14b5")</f>
        <v>83dd14b5</v>
      </c>
      <c r="C1829" s="32">
        <f>IFERROR(__xludf.DUMMYFUNCTION("""COMPUTED_VALUE"""),46124.093831018516)</f>
        <v>46124.09383</v>
      </c>
      <c r="D1829" s="1">
        <f>IFERROR(__xludf.DUMMYFUNCTION("""COMPUTED_VALUE"""),-10.0)</f>
        <v>-10</v>
      </c>
      <c r="E1829" s="1"/>
      <c r="F1829" s="1"/>
    </row>
    <row r="1830">
      <c r="A1830" s="1" t="str">
        <f>IFERROR(__xludf.DUMMYFUNCTION("""COMPUTED_VALUE"""),"2597be08")</f>
        <v>2597be08</v>
      </c>
      <c r="B1830" s="1" t="str">
        <f>IFERROR(__xludf.DUMMYFUNCTION("""COMPUTED_VALUE"""),"0011")</f>
        <v>0011</v>
      </c>
      <c r="C1830" s="32">
        <f>IFERROR(__xludf.DUMMYFUNCTION("""COMPUTED_VALUE"""),46124.093935185185)</f>
        <v>46124.09394</v>
      </c>
      <c r="D1830" s="1">
        <f>IFERROR(__xludf.DUMMYFUNCTION("""COMPUTED_VALUE"""),-8.0)</f>
        <v>-8</v>
      </c>
      <c r="E1830" s="1"/>
      <c r="F1830" s="1"/>
    </row>
    <row r="1831">
      <c r="A1831" s="1" t="str">
        <f>IFERROR(__xludf.DUMMYFUNCTION("""COMPUTED_VALUE"""),"bf446451")</f>
        <v>bf446451</v>
      </c>
      <c r="B1831" s="1" t="str">
        <f>IFERROR(__xludf.DUMMYFUNCTION("""COMPUTED_VALUE"""),"0032")</f>
        <v>0032</v>
      </c>
      <c r="C1831" s="32">
        <f>IFERROR(__xludf.DUMMYFUNCTION("""COMPUTED_VALUE"""),46124.09405092592)</f>
        <v>46124.09405</v>
      </c>
      <c r="D1831" s="1">
        <f>IFERROR(__xludf.DUMMYFUNCTION("""COMPUTED_VALUE"""),-6.0)</f>
        <v>-6</v>
      </c>
      <c r="E1831" s="1"/>
      <c r="F1831" s="1"/>
    </row>
    <row r="1832">
      <c r="A1832" s="1" t="str">
        <f>IFERROR(__xludf.DUMMYFUNCTION("""COMPUTED_VALUE"""),"aed03a51")</f>
        <v>aed03a51</v>
      </c>
      <c r="B1832" s="1" t="str">
        <f>IFERROR(__xludf.DUMMYFUNCTION("""COMPUTED_VALUE"""),"0064")</f>
        <v>0064</v>
      </c>
      <c r="C1832" s="32">
        <f>IFERROR(__xludf.DUMMYFUNCTION("""COMPUTED_VALUE"""),46124.094201388885)</f>
        <v>46124.0942</v>
      </c>
      <c r="D1832" s="1">
        <f>IFERROR(__xludf.DUMMYFUNCTION("""COMPUTED_VALUE"""),-8.0)</f>
        <v>-8</v>
      </c>
      <c r="E1832" s="1"/>
      <c r="F1832" s="1"/>
    </row>
    <row r="1833">
      <c r="A1833" s="1" t="str">
        <f>IFERROR(__xludf.DUMMYFUNCTION("""COMPUTED_VALUE"""),"0099c07d")</f>
        <v>0099c07d</v>
      </c>
      <c r="B1833" s="1" t="str">
        <f>IFERROR(__xludf.DUMMYFUNCTION("""COMPUTED_VALUE"""),"0002")</f>
        <v>0002</v>
      </c>
      <c r="C1833" s="32">
        <f>IFERROR(__xludf.DUMMYFUNCTION("""COMPUTED_VALUE"""),46124.09431712963)</f>
        <v>46124.09432</v>
      </c>
      <c r="D1833" s="1">
        <f>IFERROR(__xludf.DUMMYFUNCTION("""COMPUTED_VALUE"""),-36.0)</f>
        <v>-36</v>
      </c>
      <c r="E1833" s="1"/>
      <c r="F1833" s="1"/>
    </row>
    <row r="1834">
      <c r="A1834" s="1" t="str">
        <f>IFERROR(__xludf.DUMMYFUNCTION("""COMPUTED_VALUE"""),"1a8d6075")</f>
        <v>1a8d6075</v>
      </c>
      <c r="B1834" s="1" t="str">
        <f>IFERROR(__xludf.DUMMYFUNCTION("""COMPUTED_VALUE"""),"0002")</f>
        <v>0002</v>
      </c>
      <c r="C1834" s="32">
        <f>IFERROR(__xludf.DUMMYFUNCTION("""COMPUTED_VALUE"""),46124.09484953704)</f>
        <v>46124.09485</v>
      </c>
      <c r="D1834" s="1">
        <f>IFERROR(__xludf.DUMMYFUNCTION("""COMPUTED_VALUE"""),120.0)</f>
        <v>120</v>
      </c>
      <c r="E1834" s="1" t="str">
        <f>IFERROR(__xludf.DUMMYFUNCTION("""COMPUTED_VALUE"""),"8efceb90")</f>
        <v>8efceb90</v>
      </c>
      <c r="F1834" s="1"/>
    </row>
    <row r="1835">
      <c r="A1835" s="1" t="str">
        <f>IFERROR(__xludf.DUMMYFUNCTION("""COMPUTED_VALUE"""),"32852628")</f>
        <v>32852628</v>
      </c>
      <c r="B1835" s="1" t="str">
        <f>IFERROR(__xludf.DUMMYFUNCTION("""COMPUTED_VALUE"""),"02d86a9b")</f>
        <v>02d86a9b</v>
      </c>
      <c r="C1835" s="32">
        <f>IFERROR(__xludf.DUMMYFUNCTION("""COMPUTED_VALUE"""),46124.55403935185)</f>
        <v>46124.55404</v>
      </c>
      <c r="D1835" s="1">
        <f>IFERROR(__xludf.DUMMYFUNCTION("""COMPUTED_VALUE"""),-17.0)</f>
        <v>-17</v>
      </c>
      <c r="E1835" s="1"/>
      <c r="F1835" s="1"/>
    </row>
    <row r="1836">
      <c r="A1836" s="1" t="str">
        <f>IFERROR(__xludf.DUMMYFUNCTION("""COMPUTED_VALUE"""),"b8e7c4b7")</f>
        <v>b8e7c4b7</v>
      </c>
      <c r="B1836" s="1" t="str">
        <f>IFERROR(__xludf.DUMMYFUNCTION("""COMPUTED_VALUE"""),"a19879cf")</f>
        <v>a19879cf</v>
      </c>
      <c r="C1836" s="32">
        <f>IFERROR(__xludf.DUMMYFUNCTION("""COMPUTED_VALUE"""),46124.554444444446)</f>
        <v>46124.55444</v>
      </c>
      <c r="D1836" s="1">
        <f>IFERROR(__xludf.DUMMYFUNCTION("""COMPUTED_VALUE"""),-15.0)</f>
        <v>-15</v>
      </c>
      <c r="E1836" s="1"/>
      <c r="F1836" s="1"/>
    </row>
    <row r="1837">
      <c r="A1837" s="1" t="str">
        <f>IFERROR(__xludf.DUMMYFUNCTION("""COMPUTED_VALUE"""),"4cf7b888")</f>
        <v>4cf7b888</v>
      </c>
      <c r="B1837" s="1" t="str">
        <f>IFERROR(__xludf.DUMMYFUNCTION("""COMPUTED_VALUE"""),"a19879cf")</f>
        <v>a19879cf</v>
      </c>
      <c r="C1837" s="32">
        <f>IFERROR(__xludf.DUMMYFUNCTION("""COMPUTED_VALUE"""),46124.554756944446)</f>
        <v>46124.55476</v>
      </c>
      <c r="D1837" s="1">
        <f>IFERROR(__xludf.DUMMYFUNCTION("""COMPUTED_VALUE"""),-2.0)</f>
        <v>-2</v>
      </c>
      <c r="E1837" s="1"/>
      <c r="F1837" s="1"/>
    </row>
    <row r="1838">
      <c r="A1838" s="1" t="str">
        <f>IFERROR(__xludf.DUMMYFUNCTION("""COMPUTED_VALUE"""),"23de2421")</f>
        <v>23de2421</v>
      </c>
      <c r="B1838" s="1" t="str">
        <f>IFERROR(__xludf.DUMMYFUNCTION("""COMPUTED_VALUE"""),"0038")</f>
        <v>0038</v>
      </c>
      <c r="C1838" s="32">
        <f>IFERROR(__xludf.DUMMYFUNCTION("""COMPUTED_VALUE"""),46124.55484953704)</f>
        <v>46124.55485</v>
      </c>
      <c r="D1838" s="1">
        <f>IFERROR(__xludf.DUMMYFUNCTION("""COMPUTED_VALUE"""),-6.0)</f>
        <v>-6</v>
      </c>
      <c r="E1838" s="1"/>
      <c r="F1838" s="1"/>
    </row>
    <row r="1839">
      <c r="A1839" s="1" t="str">
        <f>IFERROR(__xludf.DUMMYFUNCTION("""COMPUTED_VALUE"""),"fe6081ee")</f>
        <v>fe6081ee</v>
      </c>
      <c r="B1839" s="1" t="str">
        <f>IFERROR(__xludf.DUMMYFUNCTION("""COMPUTED_VALUE"""),"0001")</f>
        <v>0001</v>
      </c>
      <c r="C1839" s="32">
        <f>IFERROR(__xludf.DUMMYFUNCTION("""COMPUTED_VALUE"""),46124.55486111111)</f>
        <v>46124.55486</v>
      </c>
      <c r="D1839" s="1">
        <f>IFERROR(__xludf.DUMMYFUNCTION("""COMPUTED_VALUE"""),-30.0)</f>
        <v>-30</v>
      </c>
      <c r="E1839" s="1"/>
      <c r="F1839" s="1"/>
    </row>
    <row r="1840">
      <c r="A1840" s="1" t="str">
        <f>IFERROR(__xludf.DUMMYFUNCTION("""COMPUTED_VALUE"""),"12c59b5b")</f>
        <v>12c59b5b</v>
      </c>
      <c r="B1840" s="1" t="str">
        <f>IFERROR(__xludf.DUMMYFUNCTION("""COMPUTED_VALUE"""),"c099f042")</f>
        <v>c099f042</v>
      </c>
      <c r="C1840" s="32">
        <f>IFERROR(__xludf.DUMMYFUNCTION("""COMPUTED_VALUE"""),46124.55490740741)</f>
        <v>46124.55491</v>
      </c>
      <c r="D1840" s="1">
        <f>IFERROR(__xludf.DUMMYFUNCTION("""COMPUTED_VALUE"""),-14.0)</f>
        <v>-14</v>
      </c>
      <c r="E1840" s="1"/>
      <c r="F1840" s="1"/>
    </row>
    <row r="1841">
      <c r="A1841" s="1" t="str">
        <f>IFERROR(__xludf.DUMMYFUNCTION("""COMPUTED_VALUE"""),"a2911315")</f>
        <v>a2911315</v>
      </c>
      <c r="B1841" s="1" t="str">
        <f>IFERROR(__xludf.DUMMYFUNCTION("""COMPUTED_VALUE"""),"f30d8158")</f>
        <v>f30d8158</v>
      </c>
      <c r="C1841" s="32">
        <f>IFERROR(__xludf.DUMMYFUNCTION("""COMPUTED_VALUE"""),46124.554976851854)</f>
        <v>46124.55498</v>
      </c>
      <c r="D1841" s="1">
        <f>IFERROR(__xludf.DUMMYFUNCTION("""COMPUTED_VALUE"""),-7.0)</f>
        <v>-7</v>
      </c>
      <c r="E1841" s="1"/>
      <c r="F1841" s="1"/>
    </row>
    <row r="1842">
      <c r="A1842" s="1" t="str">
        <f>IFERROR(__xludf.DUMMYFUNCTION("""COMPUTED_VALUE"""),"6f173821")</f>
        <v>6f173821</v>
      </c>
      <c r="B1842" s="1" t="str">
        <f>IFERROR(__xludf.DUMMYFUNCTION("""COMPUTED_VALUE"""),"0033")</f>
        <v>0033</v>
      </c>
      <c r="C1842" s="32">
        <f>IFERROR(__xludf.DUMMYFUNCTION("""COMPUTED_VALUE"""),46124.555081018516)</f>
        <v>46124.55508</v>
      </c>
      <c r="D1842" s="1">
        <f>IFERROR(__xludf.DUMMYFUNCTION("""COMPUTED_VALUE"""),-6.0)</f>
        <v>-6</v>
      </c>
      <c r="E1842" s="1"/>
      <c r="F1842" s="1"/>
    </row>
    <row r="1843">
      <c r="A1843" s="1" t="str">
        <f>IFERROR(__xludf.DUMMYFUNCTION("""COMPUTED_VALUE"""),"3a0cdf31")</f>
        <v>3a0cdf31</v>
      </c>
      <c r="B1843" s="1" t="str">
        <f>IFERROR(__xludf.DUMMYFUNCTION("""COMPUTED_VALUE"""),"0019")</f>
        <v>0019</v>
      </c>
      <c r="C1843" s="32">
        <f>IFERROR(__xludf.DUMMYFUNCTION("""COMPUTED_VALUE"""),46124.55527777778)</f>
        <v>46124.55528</v>
      </c>
      <c r="D1843" s="1">
        <f>IFERROR(__xludf.DUMMYFUNCTION("""COMPUTED_VALUE"""),-5.0)</f>
        <v>-5</v>
      </c>
      <c r="E1843" s="1"/>
      <c r="F1843" s="1"/>
    </row>
    <row r="1844">
      <c r="A1844" s="1" t="str">
        <f>IFERROR(__xludf.DUMMYFUNCTION("""COMPUTED_VALUE"""),"1f024716")</f>
        <v>1f024716</v>
      </c>
      <c r="B1844" s="1" t="str">
        <f>IFERROR(__xludf.DUMMYFUNCTION("""COMPUTED_VALUE"""),"eda833ca")</f>
        <v>eda833ca</v>
      </c>
      <c r="C1844" s="32">
        <f>IFERROR(__xludf.DUMMYFUNCTION("""COMPUTED_VALUE"""),46124.55532407408)</f>
        <v>46124.55532</v>
      </c>
      <c r="D1844" s="1">
        <f>IFERROR(__xludf.DUMMYFUNCTION("""COMPUTED_VALUE"""),-4.0)</f>
        <v>-4</v>
      </c>
      <c r="E1844" s="1"/>
      <c r="F1844" s="1"/>
    </row>
    <row r="1845">
      <c r="A1845" s="1" t="str">
        <f>IFERROR(__xludf.DUMMYFUNCTION("""COMPUTED_VALUE"""),"7d36ab05")</f>
        <v>7d36ab05</v>
      </c>
      <c r="B1845" s="1" t="str">
        <f>IFERROR(__xludf.DUMMYFUNCTION("""COMPUTED_VALUE"""),"0021")</f>
        <v>0021</v>
      </c>
      <c r="C1845" s="32">
        <f>IFERROR(__xludf.DUMMYFUNCTION("""COMPUTED_VALUE"""),46124.55552083333)</f>
        <v>46124.55552</v>
      </c>
      <c r="D1845" s="1">
        <f>IFERROR(__xludf.DUMMYFUNCTION("""COMPUTED_VALUE"""),-12.0)</f>
        <v>-12</v>
      </c>
      <c r="E1845" s="1"/>
      <c r="F1845" s="1"/>
    </row>
    <row r="1846">
      <c r="A1846" s="1" t="str">
        <f>IFERROR(__xludf.DUMMYFUNCTION("""COMPUTED_VALUE"""),"ab8927a9")</f>
        <v>ab8927a9</v>
      </c>
      <c r="B1846" s="1" t="str">
        <f>IFERROR(__xludf.DUMMYFUNCTION("""COMPUTED_VALUE"""),"83dd14b5")</f>
        <v>83dd14b5</v>
      </c>
      <c r="C1846" s="32">
        <f>IFERROR(__xludf.DUMMYFUNCTION("""COMPUTED_VALUE"""),46124.55564814815)</f>
        <v>46124.55565</v>
      </c>
      <c r="D1846" s="1">
        <f>IFERROR(__xludf.DUMMYFUNCTION("""COMPUTED_VALUE"""),-12.0)</f>
        <v>-12</v>
      </c>
      <c r="E1846" s="1"/>
      <c r="F1846" s="1"/>
    </row>
    <row r="1847">
      <c r="A1847" s="1" t="str">
        <f>IFERROR(__xludf.DUMMYFUNCTION("""COMPUTED_VALUE"""),"9ef35540")</f>
        <v>9ef35540</v>
      </c>
      <c r="B1847" s="1" t="str">
        <f>IFERROR(__xludf.DUMMYFUNCTION("""COMPUTED_VALUE"""),"cb9e809e")</f>
        <v>cb9e809e</v>
      </c>
      <c r="C1847" s="32">
        <f>IFERROR(__xludf.DUMMYFUNCTION("""COMPUTED_VALUE"""),46124.55564814815)</f>
        <v>46124.55565</v>
      </c>
      <c r="D1847" s="1">
        <f>IFERROR(__xludf.DUMMYFUNCTION("""COMPUTED_VALUE"""),-6.0)</f>
        <v>-6</v>
      </c>
      <c r="E1847" s="1"/>
      <c r="F1847" s="1"/>
    </row>
    <row r="1848">
      <c r="A1848" s="1" t="str">
        <f>IFERROR(__xludf.DUMMYFUNCTION("""COMPUTED_VALUE"""),"d895533e")</f>
        <v>d895533e</v>
      </c>
      <c r="B1848" s="1" t="str">
        <f>IFERROR(__xludf.DUMMYFUNCTION("""COMPUTED_VALUE"""),"0032")</f>
        <v>0032</v>
      </c>
      <c r="C1848" s="32">
        <f>IFERROR(__xludf.DUMMYFUNCTION("""COMPUTED_VALUE"""),46124.555914351855)</f>
        <v>46124.55591</v>
      </c>
      <c r="D1848" s="1">
        <f>IFERROR(__xludf.DUMMYFUNCTION("""COMPUTED_VALUE"""),-7.0)</f>
        <v>-7</v>
      </c>
      <c r="E1848" s="1"/>
      <c r="F1848" s="1"/>
    </row>
    <row r="1849">
      <c r="A1849" s="1" t="str">
        <f>IFERROR(__xludf.DUMMYFUNCTION("""COMPUTED_VALUE"""),"3a5c16b2")</f>
        <v>3a5c16b2</v>
      </c>
      <c r="B1849" s="1" t="str">
        <f>IFERROR(__xludf.DUMMYFUNCTION("""COMPUTED_VALUE"""),"0029")</f>
        <v>0029</v>
      </c>
      <c r="C1849" s="32">
        <f>IFERROR(__xludf.DUMMYFUNCTION("""COMPUTED_VALUE"""),46124.55605324074)</f>
        <v>46124.55605</v>
      </c>
      <c r="D1849" s="1">
        <f>IFERROR(__xludf.DUMMYFUNCTION("""COMPUTED_VALUE"""),-6.0)</f>
        <v>-6</v>
      </c>
      <c r="E1849" s="1"/>
      <c r="F1849" s="1"/>
    </row>
    <row r="1850">
      <c r="A1850" s="1" t="str">
        <f>IFERROR(__xludf.DUMMYFUNCTION("""COMPUTED_VALUE"""),"4bba92ee")</f>
        <v>4bba92ee</v>
      </c>
      <c r="B1850" s="1" t="str">
        <f>IFERROR(__xludf.DUMMYFUNCTION("""COMPUTED_VALUE"""),"406a1fee")</f>
        <v>406a1fee</v>
      </c>
      <c r="C1850" s="32">
        <f>IFERROR(__xludf.DUMMYFUNCTION("""COMPUTED_VALUE"""),46124.55614583333)</f>
        <v>46124.55615</v>
      </c>
      <c r="D1850" s="1">
        <f>IFERROR(__xludf.DUMMYFUNCTION("""COMPUTED_VALUE"""),-7.0)</f>
        <v>-7</v>
      </c>
      <c r="E1850" s="1"/>
      <c r="F1850" s="1"/>
    </row>
    <row r="1851">
      <c r="A1851" s="1" t="str">
        <f>IFERROR(__xludf.DUMMYFUNCTION("""COMPUTED_VALUE"""),"2acac43a")</f>
        <v>2acac43a</v>
      </c>
      <c r="B1851" s="1" t="str">
        <f>IFERROR(__xludf.DUMMYFUNCTION("""COMPUTED_VALUE"""),"0011")</f>
        <v>0011</v>
      </c>
      <c r="C1851" s="32">
        <f>IFERROR(__xludf.DUMMYFUNCTION("""COMPUTED_VALUE"""),46124.556284722225)</f>
        <v>46124.55628</v>
      </c>
      <c r="D1851" s="1">
        <f>IFERROR(__xludf.DUMMYFUNCTION("""COMPUTED_VALUE"""),-7.0)</f>
        <v>-7</v>
      </c>
      <c r="E1851" s="1"/>
      <c r="F1851" s="1"/>
    </row>
    <row r="1852">
      <c r="A1852" s="1" t="str">
        <f>IFERROR(__xludf.DUMMYFUNCTION("""COMPUTED_VALUE"""),"a7a6c292")</f>
        <v>a7a6c292</v>
      </c>
      <c r="B1852" s="1" t="str">
        <f>IFERROR(__xludf.DUMMYFUNCTION("""COMPUTED_VALUE"""),"0082")</f>
        <v>0082</v>
      </c>
      <c r="C1852" s="32">
        <f>IFERROR(__xludf.DUMMYFUNCTION("""COMPUTED_VALUE"""),46124.556435185186)</f>
        <v>46124.55644</v>
      </c>
      <c r="D1852" s="1">
        <f>IFERROR(__xludf.DUMMYFUNCTION("""COMPUTED_VALUE"""),-21.0)</f>
        <v>-21</v>
      </c>
      <c r="E1852" s="1"/>
      <c r="F1852" s="1"/>
    </row>
    <row r="1853">
      <c r="A1853" s="1" t="str">
        <f>IFERROR(__xludf.DUMMYFUNCTION("""COMPUTED_VALUE"""),"cee9dc77")</f>
        <v>cee9dc77</v>
      </c>
      <c r="B1853" s="1" t="str">
        <f>IFERROR(__xludf.DUMMYFUNCTION("""COMPUTED_VALUE"""),"cb9e809e")</f>
        <v>cb9e809e</v>
      </c>
      <c r="C1853" s="32">
        <f>IFERROR(__xludf.DUMMYFUNCTION("""COMPUTED_VALUE"""),46124.556435185186)</f>
        <v>46124.55644</v>
      </c>
      <c r="D1853" s="1">
        <f>IFERROR(__xludf.DUMMYFUNCTION("""COMPUTED_VALUE"""),-5.0)</f>
        <v>-5</v>
      </c>
      <c r="E1853" s="1"/>
      <c r="F1853" s="1"/>
    </row>
    <row r="1854">
      <c r="A1854" s="1" t="str">
        <f>IFERROR(__xludf.DUMMYFUNCTION("""COMPUTED_VALUE"""),"b36196a8")</f>
        <v>b36196a8</v>
      </c>
      <c r="B1854" s="1" t="str">
        <f>IFERROR(__xludf.DUMMYFUNCTION("""COMPUTED_VALUE"""),"0002")</f>
        <v>0002</v>
      </c>
      <c r="C1854" s="32">
        <f>IFERROR(__xludf.DUMMYFUNCTION("""COMPUTED_VALUE"""),46124.556539351855)</f>
        <v>46124.55654</v>
      </c>
      <c r="D1854" s="1">
        <f>IFERROR(__xludf.DUMMYFUNCTION("""COMPUTED_VALUE"""),-60.0)</f>
        <v>-60</v>
      </c>
      <c r="E1854" s="1"/>
      <c r="F1854" s="1"/>
    </row>
    <row r="1855">
      <c r="A1855" s="1" t="str">
        <f>IFERROR(__xludf.DUMMYFUNCTION("""COMPUTED_VALUE"""),"0c5e279c")</f>
        <v>0c5e279c</v>
      </c>
      <c r="B1855" s="1" t="str">
        <f>IFERROR(__xludf.DUMMYFUNCTION("""COMPUTED_VALUE"""),"0049")</f>
        <v>0049</v>
      </c>
      <c r="C1855" s="32">
        <f>IFERROR(__xludf.DUMMYFUNCTION("""COMPUTED_VALUE"""),46124.55677083333)</f>
        <v>46124.55677</v>
      </c>
      <c r="D1855" s="1">
        <f>IFERROR(__xludf.DUMMYFUNCTION("""COMPUTED_VALUE"""),-8.0)</f>
        <v>-8</v>
      </c>
      <c r="E1855" s="1"/>
      <c r="F1855" s="1"/>
    </row>
    <row r="1856">
      <c r="A1856" s="1" t="str">
        <f>IFERROR(__xludf.DUMMYFUNCTION("""COMPUTED_VALUE"""),"76c7d538")</f>
        <v>76c7d538</v>
      </c>
      <c r="B1856" s="1" t="str">
        <f>IFERROR(__xludf.DUMMYFUNCTION("""COMPUTED_VALUE"""),"0064")</f>
        <v>0064</v>
      </c>
      <c r="C1856" s="32">
        <f>IFERROR(__xludf.DUMMYFUNCTION("""COMPUTED_VALUE"""),46124.55730324074)</f>
        <v>46124.5573</v>
      </c>
      <c r="D1856" s="1">
        <f>IFERROR(__xludf.DUMMYFUNCTION("""COMPUTED_VALUE"""),-1.0)</f>
        <v>-1</v>
      </c>
      <c r="E1856" s="1"/>
      <c r="F1856" s="1"/>
    </row>
    <row r="1857">
      <c r="A1857" s="1" t="str">
        <f>IFERROR(__xludf.DUMMYFUNCTION("""COMPUTED_VALUE"""),"ae48eb73")</f>
        <v>ae48eb73</v>
      </c>
      <c r="B1857" s="1" t="str">
        <f>IFERROR(__xludf.DUMMYFUNCTION("""COMPUTED_VALUE"""),"0032")</f>
        <v>0032</v>
      </c>
      <c r="C1857" s="32">
        <f>IFERROR(__xludf.DUMMYFUNCTION("""COMPUTED_VALUE"""),46124.557291666664)</f>
        <v>46124.55729</v>
      </c>
      <c r="D1857" s="1">
        <f>IFERROR(__xludf.DUMMYFUNCTION("""COMPUTED_VALUE"""),-16.0)</f>
        <v>-16</v>
      </c>
      <c r="E1857" s="1"/>
      <c r="F1857" s="1"/>
    </row>
    <row r="1858">
      <c r="A1858" s="1" t="str">
        <f>IFERROR(__xludf.DUMMYFUNCTION("""COMPUTED_VALUE"""),"f11c4c8e")</f>
        <v>f11c4c8e</v>
      </c>
      <c r="B1858" s="1" t="str">
        <f>IFERROR(__xludf.DUMMYFUNCTION("""COMPUTED_VALUE"""),"0032")</f>
        <v>0032</v>
      </c>
      <c r="C1858" s="32">
        <f>IFERROR(__xludf.DUMMYFUNCTION("""COMPUTED_VALUE"""),46124.557442129626)</f>
        <v>46124.55744</v>
      </c>
      <c r="D1858" s="1">
        <f>IFERROR(__xludf.DUMMYFUNCTION("""COMPUTED_VALUE"""),-5.0)</f>
        <v>-5</v>
      </c>
      <c r="E1858" s="1"/>
      <c r="F1858" s="1"/>
    </row>
    <row r="1859">
      <c r="A1859" s="1" t="str">
        <f>IFERROR(__xludf.DUMMYFUNCTION("""COMPUTED_VALUE"""),"605a38a8")</f>
        <v>605a38a8</v>
      </c>
      <c r="B1859" s="1" t="str">
        <f>IFERROR(__xludf.DUMMYFUNCTION("""COMPUTED_VALUE"""),"0064")</f>
        <v>0064</v>
      </c>
      <c r="C1859" s="32">
        <f>IFERROR(__xludf.DUMMYFUNCTION("""COMPUTED_VALUE"""),46124.55743055556)</f>
        <v>46124.55743</v>
      </c>
      <c r="D1859" s="1">
        <f>IFERROR(__xludf.DUMMYFUNCTION("""COMPUTED_VALUE"""),-14.0)</f>
        <v>-14</v>
      </c>
      <c r="E1859" s="1"/>
      <c r="F1859" s="1"/>
    </row>
    <row r="1860">
      <c r="A1860" s="1" t="str">
        <f>IFERROR(__xludf.DUMMYFUNCTION("""COMPUTED_VALUE"""),"04d8027b")</f>
        <v>04d8027b</v>
      </c>
      <c r="B1860" s="1" t="str">
        <f>IFERROR(__xludf.DUMMYFUNCTION("""COMPUTED_VALUE"""),"0029")</f>
        <v>0029</v>
      </c>
      <c r="C1860" s="32">
        <f>IFERROR(__xludf.DUMMYFUNCTION("""COMPUTED_VALUE"""),46124.557800925926)</f>
        <v>46124.5578</v>
      </c>
      <c r="D1860" s="1">
        <f>IFERROR(__xludf.DUMMYFUNCTION("""COMPUTED_VALUE"""),-9.0)</f>
        <v>-9</v>
      </c>
      <c r="E1860" s="1"/>
      <c r="F1860" s="1"/>
    </row>
    <row r="1861">
      <c r="A1861" s="1" t="str">
        <f>IFERROR(__xludf.DUMMYFUNCTION("""COMPUTED_VALUE"""),"96db0078")</f>
        <v>96db0078</v>
      </c>
      <c r="B1861" s="1" t="str">
        <f>IFERROR(__xludf.DUMMYFUNCTION("""COMPUTED_VALUE"""),"a3f74383")</f>
        <v>a3f74383</v>
      </c>
      <c r="C1861" s="32">
        <f>IFERROR(__xludf.DUMMYFUNCTION("""COMPUTED_VALUE"""),46124.557962962965)</f>
        <v>46124.55796</v>
      </c>
      <c r="D1861" s="1">
        <f>IFERROR(__xludf.DUMMYFUNCTION("""COMPUTED_VALUE"""),-2.0)</f>
        <v>-2</v>
      </c>
      <c r="E1861" s="1"/>
      <c r="F1861" s="1"/>
    </row>
    <row r="1862">
      <c r="A1862" s="1" t="str">
        <f>IFERROR(__xludf.DUMMYFUNCTION("""COMPUTED_VALUE"""),"271ade23")</f>
        <v>271ade23</v>
      </c>
      <c r="B1862" s="1" t="str">
        <f>IFERROR(__xludf.DUMMYFUNCTION("""COMPUTED_VALUE"""),"406a1fee")</f>
        <v>406a1fee</v>
      </c>
      <c r="C1862" s="32">
        <f>IFERROR(__xludf.DUMMYFUNCTION("""COMPUTED_VALUE"""),46124.5584375)</f>
        <v>46124.55844</v>
      </c>
      <c r="D1862" s="1">
        <f>IFERROR(__xludf.DUMMYFUNCTION("""COMPUTED_VALUE"""),-2.0)</f>
        <v>-2</v>
      </c>
      <c r="E1862" s="1"/>
      <c r="F1862" s="1"/>
    </row>
    <row r="1863">
      <c r="A1863" s="1" t="str">
        <f>IFERROR(__xludf.DUMMYFUNCTION("""COMPUTED_VALUE"""),"6c97d3a1")</f>
        <v>6c97d3a1</v>
      </c>
      <c r="B1863" s="1" t="str">
        <f>IFERROR(__xludf.DUMMYFUNCTION("""COMPUTED_VALUE"""),"0054")</f>
        <v>0054</v>
      </c>
      <c r="C1863" s="32">
        <f>IFERROR(__xludf.DUMMYFUNCTION("""COMPUTED_VALUE"""),46124.558530092596)</f>
        <v>46124.55853</v>
      </c>
      <c r="D1863" s="1">
        <f>IFERROR(__xludf.DUMMYFUNCTION("""COMPUTED_VALUE"""),-8.0)</f>
        <v>-8</v>
      </c>
      <c r="E1863" s="1"/>
      <c r="F1863" s="1"/>
    </row>
    <row r="1864">
      <c r="A1864" s="1" t="str">
        <f>IFERROR(__xludf.DUMMYFUNCTION("""COMPUTED_VALUE"""),"9521abea")</f>
        <v>9521abea</v>
      </c>
      <c r="B1864" s="1" t="str">
        <f>IFERROR(__xludf.DUMMYFUNCTION("""COMPUTED_VALUE"""),"0011")</f>
        <v>0011</v>
      </c>
      <c r="C1864" s="32">
        <f>IFERROR(__xludf.DUMMYFUNCTION("""COMPUTED_VALUE"""),46124.55934027778)</f>
        <v>46124.55934</v>
      </c>
      <c r="D1864" s="1">
        <f>IFERROR(__xludf.DUMMYFUNCTION("""COMPUTED_VALUE"""),-10.0)</f>
        <v>-10</v>
      </c>
      <c r="E1864" s="1"/>
      <c r="F1864" s="1"/>
    </row>
    <row r="1865">
      <c r="A1865" s="1" t="str">
        <f>IFERROR(__xludf.DUMMYFUNCTION("""COMPUTED_VALUE"""),"98470125")</f>
        <v>98470125</v>
      </c>
      <c r="B1865" s="1" t="str">
        <f>IFERROR(__xludf.DUMMYFUNCTION("""COMPUTED_VALUE"""),"0002")</f>
        <v>0002</v>
      </c>
      <c r="C1865" s="32">
        <f>IFERROR(__xludf.DUMMYFUNCTION("""COMPUTED_VALUE"""),46124.560520833336)</f>
        <v>46124.56052</v>
      </c>
      <c r="D1865" s="1">
        <f>IFERROR(__xludf.DUMMYFUNCTION("""COMPUTED_VALUE"""),-24.0)</f>
        <v>-24</v>
      </c>
      <c r="E1865" s="1"/>
      <c r="F1865" s="1"/>
    </row>
    <row r="1866">
      <c r="A1866" s="1" t="str">
        <f>IFERROR(__xludf.DUMMYFUNCTION("""COMPUTED_VALUE"""),"f93353da")</f>
        <v>f93353da</v>
      </c>
      <c r="B1866" s="1" t="str">
        <f>IFERROR(__xludf.DUMMYFUNCTION("""COMPUTED_VALUE"""),"0001")</f>
        <v>0001</v>
      </c>
      <c r="C1866" s="32">
        <f>IFERROR(__xludf.DUMMYFUNCTION("""COMPUTED_VALUE"""),46124.56574074074)</f>
        <v>46124.56574</v>
      </c>
      <c r="D1866" s="1">
        <f>IFERROR(__xludf.DUMMYFUNCTION("""COMPUTED_VALUE"""),-34.0)</f>
        <v>-34</v>
      </c>
      <c r="E1866" s="1"/>
      <c r="F1866" s="1"/>
    </row>
    <row r="1867">
      <c r="A1867" s="1" t="str">
        <f>IFERROR(__xludf.DUMMYFUNCTION("""COMPUTED_VALUE"""),"a0b5c945")</f>
        <v>a0b5c945</v>
      </c>
      <c r="B1867" s="1" t="str">
        <f>IFERROR(__xludf.DUMMYFUNCTION("""COMPUTED_VALUE"""),"c099f042")</f>
        <v>c099f042</v>
      </c>
      <c r="C1867" s="32">
        <f>IFERROR(__xludf.DUMMYFUNCTION("""COMPUTED_VALUE"""),46124.56599537037)</f>
        <v>46124.566</v>
      </c>
      <c r="D1867" s="1">
        <f>IFERROR(__xludf.DUMMYFUNCTION("""COMPUTED_VALUE"""),-14.0)</f>
        <v>-14</v>
      </c>
      <c r="E1867" s="1"/>
      <c r="F1867" s="1"/>
    </row>
    <row r="1868">
      <c r="A1868" s="1" t="str">
        <f>IFERROR(__xludf.DUMMYFUNCTION("""COMPUTED_VALUE"""),"35a969b7")</f>
        <v>35a969b7</v>
      </c>
      <c r="B1868" s="1" t="str">
        <f>IFERROR(__xludf.DUMMYFUNCTION("""COMPUTED_VALUE"""),"bb4d1bd1")</f>
        <v>bb4d1bd1</v>
      </c>
      <c r="C1868" s="32">
        <f>IFERROR(__xludf.DUMMYFUNCTION("""COMPUTED_VALUE"""),46124.566099537034)</f>
        <v>46124.5661</v>
      </c>
      <c r="D1868" s="1">
        <f>IFERROR(__xludf.DUMMYFUNCTION("""COMPUTED_VALUE"""),-7.0)</f>
        <v>-7</v>
      </c>
      <c r="E1868" s="1"/>
      <c r="F1868" s="1"/>
    </row>
    <row r="1869">
      <c r="A1869" s="1" t="str">
        <f>IFERROR(__xludf.DUMMYFUNCTION("""COMPUTED_VALUE"""),"b9ec9a22")</f>
        <v>b9ec9a22</v>
      </c>
      <c r="B1869" s="1" t="str">
        <f>IFERROR(__xludf.DUMMYFUNCTION("""COMPUTED_VALUE"""),"27c8f623")</f>
        <v>27c8f623</v>
      </c>
      <c r="C1869" s="32">
        <f>IFERROR(__xludf.DUMMYFUNCTION("""COMPUTED_VALUE"""),46124.56618055556)</f>
        <v>46124.56618</v>
      </c>
      <c r="D1869" s="1">
        <f>IFERROR(__xludf.DUMMYFUNCTION("""COMPUTED_VALUE"""),-7.0)</f>
        <v>-7</v>
      </c>
      <c r="E1869" s="1"/>
      <c r="F1869" s="1"/>
    </row>
    <row r="1870">
      <c r="A1870" s="1" t="str">
        <f>IFERROR(__xludf.DUMMYFUNCTION("""COMPUTED_VALUE"""),"400a8ccd")</f>
        <v>400a8ccd</v>
      </c>
      <c r="B1870" s="1" t="str">
        <f>IFERROR(__xludf.DUMMYFUNCTION("""COMPUTED_VALUE"""),"a19879cf")</f>
        <v>a19879cf</v>
      </c>
      <c r="C1870" s="32">
        <f>IFERROR(__xludf.DUMMYFUNCTION("""COMPUTED_VALUE"""),46124.566296296296)</f>
        <v>46124.5663</v>
      </c>
      <c r="D1870" s="1">
        <f>IFERROR(__xludf.DUMMYFUNCTION("""COMPUTED_VALUE"""),-7.0)</f>
        <v>-7</v>
      </c>
      <c r="E1870" s="1"/>
      <c r="F1870" s="1"/>
    </row>
    <row r="1871">
      <c r="A1871" s="1" t="str">
        <f>IFERROR(__xludf.DUMMYFUNCTION("""COMPUTED_VALUE"""),"c613e630")</f>
        <v>c613e630</v>
      </c>
      <c r="B1871" s="1" t="str">
        <f>IFERROR(__xludf.DUMMYFUNCTION("""COMPUTED_VALUE"""),"0021")</f>
        <v>0021</v>
      </c>
      <c r="C1871" s="32">
        <f>IFERROR(__xludf.DUMMYFUNCTION("""COMPUTED_VALUE"""),46124.566608796296)</f>
        <v>46124.56661</v>
      </c>
      <c r="D1871" s="1">
        <f>IFERROR(__xludf.DUMMYFUNCTION("""COMPUTED_VALUE"""),-9.0)</f>
        <v>-9</v>
      </c>
      <c r="E1871" s="1"/>
      <c r="F1871" s="1"/>
    </row>
    <row r="1872">
      <c r="A1872" s="1" t="str">
        <f>IFERROR(__xludf.DUMMYFUNCTION("""COMPUTED_VALUE"""),"d5bb2e2b")</f>
        <v>d5bb2e2b</v>
      </c>
      <c r="B1872" s="1" t="str">
        <f>IFERROR(__xludf.DUMMYFUNCTION("""COMPUTED_VALUE"""),"83dd14b5")</f>
        <v>83dd14b5</v>
      </c>
      <c r="C1872" s="32">
        <f>IFERROR(__xludf.DUMMYFUNCTION("""COMPUTED_VALUE"""),46124.567141203705)</f>
        <v>46124.56714</v>
      </c>
      <c r="D1872" s="1">
        <f>IFERROR(__xludf.DUMMYFUNCTION("""COMPUTED_VALUE"""),-24.0)</f>
        <v>-24</v>
      </c>
      <c r="E1872" s="1"/>
      <c r="F1872" s="1"/>
    </row>
    <row r="1873">
      <c r="A1873" s="1" t="str">
        <f>IFERROR(__xludf.DUMMYFUNCTION("""COMPUTED_VALUE"""),"912e0f84")</f>
        <v>912e0f84</v>
      </c>
      <c r="B1873" s="1" t="str">
        <f>IFERROR(__xludf.DUMMYFUNCTION("""COMPUTED_VALUE"""),"cb9e809e")</f>
        <v>cb9e809e</v>
      </c>
      <c r="C1873" s="32">
        <f>IFERROR(__xludf.DUMMYFUNCTION("""COMPUTED_VALUE"""),46124.567291666666)</f>
        <v>46124.56729</v>
      </c>
      <c r="D1873" s="1">
        <f>IFERROR(__xludf.DUMMYFUNCTION("""COMPUTED_VALUE"""),-14.0)</f>
        <v>-14</v>
      </c>
      <c r="E1873" s="1"/>
      <c r="F1873" s="1"/>
    </row>
    <row r="1874">
      <c r="A1874" s="1" t="str">
        <f>IFERROR(__xludf.DUMMYFUNCTION("""COMPUTED_VALUE"""),"adf95a01")</f>
        <v>adf95a01</v>
      </c>
      <c r="B1874" s="1" t="str">
        <f>IFERROR(__xludf.DUMMYFUNCTION("""COMPUTED_VALUE"""),"0049")</f>
        <v>0049</v>
      </c>
      <c r="C1874" s="32">
        <f>IFERROR(__xludf.DUMMYFUNCTION("""COMPUTED_VALUE"""),46124.56778935185)</f>
        <v>46124.56779</v>
      </c>
      <c r="D1874" s="1">
        <f>IFERROR(__xludf.DUMMYFUNCTION("""COMPUTED_VALUE"""),-6.0)</f>
        <v>-6</v>
      </c>
      <c r="E1874" s="1"/>
      <c r="F1874" s="1"/>
    </row>
    <row r="1875">
      <c r="A1875" s="1" t="str">
        <f>IFERROR(__xludf.DUMMYFUNCTION("""COMPUTED_VALUE"""),"3a73d059")</f>
        <v>3a73d059</v>
      </c>
      <c r="B1875" s="1" t="str">
        <f>IFERROR(__xludf.DUMMYFUNCTION("""COMPUTED_VALUE"""),"0032")</f>
        <v>0032</v>
      </c>
      <c r="C1875" s="32">
        <f>IFERROR(__xludf.DUMMYFUNCTION("""COMPUTED_VALUE"""),46124.568333333336)</f>
        <v>46124.56833</v>
      </c>
      <c r="D1875" s="1">
        <f>IFERROR(__xludf.DUMMYFUNCTION("""COMPUTED_VALUE"""),-3.0)</f>
        <v>-3</v>
      </c>
      <c r="E1875" s="1"/>
      <c r="F1875" s="1"/>
    </row>
    <row r="1876">
      <c r="A1876" s="1" t="str">
        <f>IFERROR(__xludf.DUMMYFUNCTION("""COMPUTED_VALUE"""),"c811b765")</f>
        <v>c811b765</v>
      </c>
      <c r="B1876" s="1" t="str">
        <f>IFERROR(__xludf.DUMMYFUNCTION("""COMPUTED_VALUE"""),"0011")</f>
        <v>0011</v>
      </c>
      <c r="C1876" s="32">
        <f>IFERROR(__xludf.DUMMYFUNCTION("""COMPUTED_VALUE"""),46124.56861111111)</f>
        <v>46124.56861</v>
      </c>
      <c r="D1876" s="1">
        <f>IFERROR(__xludf.DUMMYFUNCTION("""COMPUTED_VALUE"""),-5.0)</f>
        <v>-5</v>
      </c>
      <c r="E1876" s="1"/>
      <c r="F1876" s="1"/>
    </row>
    <row r="1877">
      <c r="A1877" s="1" t="str">
        <f>IFERROR(__xludf.DUMMYFUNCTION("""COMPUTED_VALUE"""),"f20bfe0b")</f>
        <v>f20bfe0b</v>
      </c>
      <c r="B1877" s="1" t="str">
        <f>IFERROR(__xludf.DUMMYFUNCTION("""COMPUTED_VALUE"""),"0054")</f>
        <v>0054</v>
      </c>
      <c r="C1877" s="32">
        <f>IFERROR(__xludf.DUMMYFUNCTION("""COMPUTED_VALUE"""),46124.56896990741)</f>
        <v>46124.56897</v>
      </c>
      <c r="D1877" s="1">
        <f>IFERROR(__xludf.DUMMYFUNCTION("""COMPUTED_VALUE"""),-3.0)</f>
        <v>-3</v>
      </c>
      <c r="E1877" s="1"/>
      <c r="F1877" s="1"/>
    </row>
    <row r="1878">
      <c r="A1878" s="1" t="str">
        <f>IFERROR(__xludf.DUMMYFUNCTION("""COMPUTED_VALUE"""),"42777bc0")</f>
        <v>42777bc0</v>
      </c>
      <c r="B1878" s="1" t="str">
        <f>IFERROR(__xludf.DUMMYFUNCTION("""COMPUTED_VALUE"""),"406a1fee")</f>
        <v>406a1fee</v>
      </c>
      <c r="C1878" s="32">
        <f>IFERROR(__xludf.DUMMYFUNCTION("""COMPUTED_VALUE"""),46124.569074074076)</f>
        <v>46124.56907</v>
      </c>
      <c r="D1878" s="1">
        <f>IFERROR(__xludf.DUMMYFUNCTION("""COMPUTED_VALUE"""),-3.0)</f>
        <v>-3</v>
      </c>
      <c r="E1878" s="1"/>
      <c r="F1878" s="1"/>
    </row>
    <row r="1879">
      <c r="A1879" s="1" t="str">
        <f>IFERROR(__xludf.DUMMYFUNCTION("""COMPUTED_VALUE"""),"e7a28075")</f>
        <v>e7a28075</v>
      </c>
      <c r="B1879" s="1" t="str">
        <f>IFERROR(__xludf.DUMMYFUNCTION("""COMPUTED_VALUE"""),"a3f74383")</f>
        <v>a3f74383</v>
      </c>
      <c r="C1879" s="32">
        <f>IFERROR(__xludf.DUMMYFUNCTION("""COMPUTED_VALUE"""),46124.569386574076)</f>
        <v>46124.56939</v>
      </c>
      <c r="D1879" s="1">
        <f>IFERROR(__xludf.DUMMYFUNCTION("""COMPUTED_VALUE"""),-5.0)</f>
        <v>-5</v>
      </c>
      <c r="E1879" s="1"/>
      <c r="F1879" s="1"/>
    </row>
    <row r="1880">
      <c r="A1880" s="1" t="str">
        <f>IFERROR(__xludf.DUMMYFUNCTION("""COMPUTED_VALUE"""),"f23e4cd0")</f>
        <v>f23e4cd0</v>
      </c>
      <c r="B1880" s="1" t="str">
        <f>IFERROR(__xludf.DUMMYFUNCTION("""COMPUTED_VALUE"""),"0029")</f>
        <v>0029</v>
      </c>
      <c r="C1880" s="32">
        <f>IFERROR(__xludf.DUMMYFUNCTION("""COMPUTED_VALUE"""),46124.569861111115)</f>
        <v>46124.56986</v>
      </c>
      <c r="D1880" s="1">
        <f>IFERROR(__xludf.DUMMYFUNCTION("""COMPUTED_VALUE"""),-2.0)</f>
        <v>-2</v>
      </c>
      <c r="E1880" s="1"/>
      <c r="F1880" s="1"/>
    </row>
    <row r="1881">
      <c r="A1881" s="1" t="str">
        <f>IFERROR(__xludf.DUMMYFUNCTION("""COMPUTED_VALUE"""),"5fe68b20")</f>
        <v>5fe68b20</v>
      </c>
      <c r="B1881" s="1" t="str">
        <f>IFERROR(__xludf.DUMMYFUNCTION("""COMPUTED_VALUE"""),"70bdbe11")</f>
        <v>70bdbe11</v>
      </c>
      <c r="C1881" s="32">
        <f>IFERROR(__xludf.DUMMYFUNCTION("""COMPUTED_VALUE"""),46124.57047453704)</f>
        <v>46124.57047</v>
      </c>
      <c r="D1881" s="1">
        <f>IFERROR(__xludf.DUMMYFUNCTION("""COMPUTED_VALUE"""),-1.0)</f>
        <v>-1</v>
      </c>
      <c r="E1881" s="1"/>
      <c r="F1881" s="1"/>
    </row>
    <row r="1882">
      <c r="A1882" s="1" t="str">
        <f>IFERROR(__xludf.DUMMYFUNCTION("""COMPUTED_VALUE"""),"f6909d32")</f>
        <v>f6909d32</v>
      </c>
      <c r="B1882" s="1" t="str">
        <f>IFERROR(__xludf.DUMMYFUNCTION("""COMPUTED_VALUE"""),"70bdbe11")</f>
        <v>70bdbe11</v>
      </c>
      <c r="C1882" s="32">
        <f>IFERROR(__xludf.DUMMYFUNCTION("""COMPUTED_VALUE"""),46124.57053240741)</f>
        <v>46124.57053</v>
      </c>
      <c r="D1882" s="1">
        <f>IFERROR(__xludf.DUMMYFUNCTION("""COMPUTED_VALUE"""),-1.0)</f>
        <v>-1</v>
      </c>
      <c r="E1882" s="1"/>
      <c r="F1882" s="1"/>
    </row>
    <row r="1883">
      <c r="A1883" s="1" t="str">
        <f>IFERROR(__xludf.DUMMYFUNCTION("""COMPUTED_VALUE"""),"b6424b0d")</f>
        <v>b6424b0d</v>
      </c>
      <c r="B1883" s="1" t="str">
        <f>IFERROR(__xludf.DUMMYFUNCTION("""COMPUTED_VALUE"""),"ed187a9e")</f>
        <v>ed187a9e</v>
      </c>
      <c r="C1883" s="32">
        <f>IFERROR(__xludf.DUMMYFUNCTION("""COMPUTED_VALUE"""),46124.77076388889)</f>
        <v>46124.77076</v>
      </c>
      <c r="D1883" s="1">
        <f>IFERROR(__xludf.DUMMYFUNCTION("""COMPUTED_VALUE"""),24.0)</f>
        <v>24</v>
      </c>
      <c r="E1883" s="1"/>
      <c r="F1883" s="1"/>
    </row>
    <row r="1884">
      <c r="A1884" s="1" t="str">
        <f>IFERROR(__xludf.DUMMYFUNCTION("""COMPUTED_VALUE"""),"81b95fd8")</f>
        <v>81b95fd8</v>
      </c>
      <c r="B1884" s="1" t="str">
        <f>IFERROR(__xludf.DUMMYFUNCTION("""COMPUTED_VALUE"""),"0001")</f>
        <v>0001</v>
      </c>
      <c r="C1884" s="32">
        <f>IFERROR(__xludf.DUMMYFUNCTION("""COMPUTED_VALUE"""),46124.88653935185)</f>
        <v>46124.88654</v>
      </c>
      <c r="D1884" s="1">
        <f>IFERROR(__xludf.DUMMYFUNCTION("""COMPUTED_VALUE"""),6.0)</f>
        <v>6</v>
      </c>
      <c r="E1884" s="1"/>
      <c r="F1884" s="1"/>
    </row>
    <row r="1885">
      <c r="A1885" s="1" t="str">
        <f>IFERROR(__xludf.DUMMYFUNCTION("""COMPUTED_VALUE"""),"744730b5")</f>
        <v>744730b5</v>
      </c>
      <c r="B1885" s="1" t="str">
        <f>IFERROR(__xludf.DUMMYFUNCTION("""COMPUTED_VALUE"""),"0af806f8")</f>
        <v>0af806f8</v>
      </c>
      <c r="C1885" s="32">
        <f>IFERROR(__xludf.DUMMYFUNCTION("""COMPUTED_VALUE"""),46124.88663194444)</f>
        <v>46124.88663</v>
      </c>
      <c r="D1885" s="1">
        <f>IFERROR(__xludf.DUMMYFUNCTION("""COMPUTED_VALUE"""),-16.0)</f>
        <v>-16</v>
      </c>
      <c r="E1885" s="1"/>
      <c r="F1885" s="1"/>
    </row>
    <row r="1886">
      <c r="A1886" s="1" t="str">
        <f>IFERROR(__xludf.DUMMYFUNCTION("""COMPUTED_VALUE"""),"f9107fad")</f>
        <v>f9107fad</v>
      </c>
      <c r="B1886" s="1" t="str">
        <f>IFERROR(__xludf.DUMMYFUNCTION("""COMPUTED_VALUE"""),"c099f042")</f>
        <v>c099f042</v>
      </c>
      <c r="C1886" s="32">
        <f>IFERROR(__xludf.DUMMYFUNCTION("""COMPUTED_VALUE"""),46125.85229166667)</f>
        <v>46125.85229</v>
      </c>
      <c r="D1886" s="1">
        <f>IFERROR(__xludf.DUMMYFUNCTION("""COMPUTED_VALUE"""),-27.0)</f>
        <v>-27</v>
      </c>
      <c r="E1886" s="1"/>
      <c r="F1886" s="1"/>
    </row>
    <row r="1887">
      <c r="A1887" s="1" t="str">
        <f>IFERROR(__xludf.DUMMYFUNCTION("""COMPUTED_VALUE"""),"c43512a1")</f>
        <v>c43512a1</v>
      </c>
      <c r="B1887" s="1" t="str">
        <f>IFERROR(__xludf.DUMMYFUNCTION("""COMPUTED_VALUE"""),"0001")</f>
        <v>0001</v>
      </c>
      <c r="C1887" s="32">
        <f>IFERROR(__xludf.DUMMYFUNCTION("""COMPUTED_VALUE"""),46125.85322916666)</f>
        <v>46125.85323</v>
      </c>
      <c r="D1887" s="1">
        <f>IFERROR(__xludf.DUMMYFUNCTION("""COMPUTED_VALUE"""),5.0)</f>
        <v>5</v>
      </c>
      <c r="E1887" s="1"/>
      <c r="F1887" s="1"/>
    </row>
    <row r="1888">
      <c r="A1888" s="1" t="str">
        <f>IFERROR(__xludf.DUMMYFUNCTION("""COMPUTED_VALUE"""),"27f513b4")</f>
        <v>27f513b4</v>
      </c>
      <c r="B1888" s="1" t="str">
        <f>IFERROR(__xludf.DUMMYFUNCTION("""COMPUTED_VALUE"""),"12b96290")</f>
        <v>12b96290</v>
      </c>
      <c r="C1888" s="32">
        <f>IFERROR(__xludf.DUMMYFUNCTION("""COMPUTED_VALUE"""),46125.853425925925)</f>
        <v>46125.85343</v>
      </c>
      <c r="D1888" s="1">
        <f>IFERROR(__xludf.DUMMYFUNCTION("""COMPUTED_VALUE"""),5.0)</f>
        <v>5</v>
      </c>
      <c r="E1888" s="1"/>
      <c r="F1888" s="1"/>
    </row>
    <row r="1889">
      <c r="A1889" s="1" t="str">
        <f>IFERROR(__xludf.DUMMYFUNCTION("""COMPUTED_VALUE"""),"bf3c83e2")</f>
        <v>bf3c83e2</v>
      </c>
      <c r="B1889" s="1" t="str">
        <f>IFERROR(__xludf.DUMMYFUNCTION("""COMPUTED_VALUE"""),"0014")</f>
        <v>0014</v>
      </c>
      <c r="C1889" s="32">
        <f>IFERROR(__xludf.DUMMYFUNCTION("""COMPUTED_VALUE"""),46125.85398148148)</f>
        <v>46125.85398</v>
      </c>
      <c r="D1889" s="1">
        <f>IFERROR(__xludf.DUMMYFUNCTION("""COMPUTED_VALUE"""),-12.0)</f>
        <v>-12</v>
      </c>
      <c r="E1889" s="1"/>
      <c r="F1889" s="1"/>
    </row>
    <row r="1890">
      <c r="A1890" s="1" t="str">
        <f>IFERROR(__xludf.DUMMYFUNCTION("""COMPUTED_VALUE"""),"bfe80959")</f>
        <v>bfe80959</v>
      </c>
      <c r="B1890" s="1" t="str">
        <f>IFERROR(__xludf.DUMMYFUNCTION("""COMPUTED_VALUE"""),"220a28b9")</f>
        <v>220a28b9</v>
      </c>
      <c r="C1890" s="32">
        <f>IFERROR(__xludf.DUMMYFUNCTION("""COMPUTED_VALUE"""),46125.85414351852)</f>
        <v>46125.85414</v>
      </c>
      <c r="D1890" s="1">
        <f>IFERROR(__xludf.DUMMYFUNCTION("""COMPUTED_VALUE"""),-12.0)</f>
        <v>-12</v>
      </c>
      <c r="E1890" s="1"/>
      <c r="F1890" s="1"/>
    </row>
    <row r="1891">
      <c r="A1891" s="1" t="str">
        <f>IFERROR(__xludf.DUMMYFUNCTION("""COMPUTED_VALUE"""),"7d71b1a9")</f>
        <v>7d71b1a9</v>
      </c>
      <c r="B1891" s="1" t="str">
        <f>IFERROR(__xludf.DUMMYFUNCTION("""COMPUTED_VALUE"""),"0032")</f>
        <v>0032</v>
      </c>
      <c r="C1891" s="32">
        <f>IFERROR(__xludf.DUMMYFUNCTION("""COMPUTED_VALUE"""),46125.854780092595)</f>
        <v>46125.85478</v>
      </c>
      <c r="D1891" s="1">
        <f>IFERROR(__xludf.DUMMYFUNCTION("""COMPUTED_VALUE"""),-17.0)</f>
        <v>-17</v>
      </c>
      <c r="E1891" s="1"/>
      <c r="F1891" s="1"/>
    </row>
    <row r="1892">
      <c r="A1892" s="1" t="str">
        <f>IFERROR(__xludf.DUMMYFUNCTION("""COMPUTED_VALUE"""),"7dbcc9a5")</f>
        <v>7dbcc9a5</v>
      </c>
      <c r="B1892" s="1" t="str">
        <f>IFERROR(__xludf.DUMMYFUNCTION("""COMPUTED_VALUE"""),"0064")</f>
        <v>0064</v>
      </c>
      <c r="C1892" s="32">
        <f>IFERROR(__xludf.DUMMYFUNCTION("""COMPUTED_VALUE"""),46125.85513888889)</f>
        <v>46125.85514</v>
      </c>
      <c r="D1892" s="1">
        <f>IFERROR(__xludf.DUMMYFUNCTION("""COMPUTED_VALUE"""),-50.0)</f>
        <v>-50</v>
      </c>
      <c r="E1892" s="1"/>
      <c r="F1892" s="1"/>
    </row>
    <row r="1893">
      <c r="A1893" s="1" t="str">
        <f>IFERROR(__xludf.DUMMYFUNCTION("""COMPUTED_VALUE"""),"63543be6")</f>
        <v>63543be6</v>
      </c>
      <c r="B1893" s="1" t="str">
        <f>IFERROR(__xludf.DUMMYFUNCTION("""COMPUTED_VALUE"""),"cb9e809e")</f>
        <v>cb9e809e</v>
      </c>
      <c r="C1893" s="32">
        <f>IFERROR(__xludf.DUMMYFUNCTION("""COMPUTED_VALUE"""),46125.85533564815)</f>
        <v>46125.85534</v>
      </c>
      <c r="D1893" s="1">
        <f>IFERROR(__xludf.DUMMYFUNCTION("""COMPUTED_VALUE"""),-6.0)</f>
        <v>-6</v>
      </c>
      <c r="E1893" s="1"/>
      <c r="F1893" s="1"/>
    </row>
    <row r="1894">
      <c r="A1894" s="1" t="str">
        <f>IFERROR(__xludf.DUMMYFUNCTION("""COMPUTED_VALUE"""),"bf1c554e")</f>
        <v>bf1c554e</v>
      </c>
      <c r="B1894" s="1" t="str">
        <f>IFERROR(__xludf.DUMMYFUNCTION("""COMPUTED_VALUE"""),"0033")</f>
        <v>0033</v>
      </c>
      <c r="C1894" s="32">
        <f>IFERROR(__xludf.DUMMYFUNCTION("""COMPUTED_VALUE"""),46125.85582175926)</f>
        <v>46125.85582</v>
      </c>
      <c r="D1894" s="1">
        <f>IFERROR(__xludf.DUMMYFUNCTION("""COMPUTED_VALUE"""),-15.0)</f>
        <v>-15</v>
      </c>
      <c r="E1894" s="1"/>
      <c r="F1894" s="1"/>
    </row>
    <row r="1895">
      <c r="A1895" s="1" t="str">
        <f>IFERROR(__xludf.DUMMYFUNCTION("""COMPUTED_VALUE"""),"0c6754cc")</f>
        <v>0c6754cc</v>
      </c>
      <c r="B1895" s="1" t="str">
        <f>IFERROR(__xludf.DUMMYFUNCTION("""COMPUTED_VALUE"""),"0011")</f>
        <v>0011</v>
      </c>
      <c r="C1895" s="32">
        <f>IFERROR(__xludf.DUMMYFUNCTION("""COMPUTED_VALUE"""),46125.85619212963)</f>
        <v>46125.85619</v>
      </c>
      <c r="D1895" s="1">
        <f>IFERROR(__xludf.DUMMYFUNCTION("""COMPUTED_VALUE"""),-37.0)</f>
        <v>-37</v>
      </c>
      <c r="E1895" s="1"/>
      <c r="F1895" s="1"/>
    </row>
    <row r="1896">
      <c r="A1896" s="1" t="str">
        <f>IFERROR(__xludf.DUMMYFUNCTION("""COMPUTED_VALUE"""),"a53bda4b")</f>
        <v>a53bda4b</v>
      </c>
      <c r="B1896" s="1" t="str">
        <f>IFERROR(__xludf.DUMMYFUNCTION("""COMPUTED_VALUE"""),"ed187a9e")</f>
        <v>ed187a9e</v>
      </c>
      <c r="C1896" s="32">
        <f>IFERROR(__xludf.DUMMYFUNCTION("""COMPUTED_VALUE"""),46125.856400462966)</f>
        <v>46125.8564</v>
      </c>
      <c r="D1896" s="1">
        <f>IFERROR(__xludf.DUMMYFUNCTION("""COMPUTED_VALUE"""),-12.0)</f>
        <v>-12</v>
      </c>
      <c r="E1896" s="1"/>
      <c r="F1896" s="1"/>
    </row>
    <row r="1897">
      <c r="A1897" s="1" t="str">
        <f>IFERROR(__xludf.DUMMYFUNCTION("""COMPUTED_VALUE"""),"3efa6ad7")</f>
        <v>3efa6ad7</v>
      </c>
      <c r="B1897" s="1" t="str">
        <f>IFERROR(__xludf.DUMMYFUNCTION("""COMPUTED_VALUE"""),"70bdbe11")</f>
        <v>70bdbe11</v>
      </c>
      <c r="C1897" s="32">
        <f>IFERROR(__xludf.DUMMYFUNCTION("""COMPUTED_VALUE"""),46125.85664351852)</f>
        <v>46125.85664</v>
      </c>
      <c r="D1897" s="1">
        <f>IFERROR(__xludf.DUMMYFUNCTION("""COMPUTED_VALUE"""),-12.0)</f>
        <v>-12</v>
      </c>
      <c r="E1897" s="1"/>
      <c r="F1897" s="1"/>
    </row>
    <row r="1898">
      <c r="A1898" s="1" t="str">
        <f>IFERROR(__xludf.DUMMYFUNCTION("""COMPUTED_VALUE"""),"e06bef05")</f>
        <v>e06bef05</v>
      </c>
      <c r="B1898" s="1" t="str">
        <f>IFERROR(__xludf.DUMMYFUNCTION("""COMPUTED_VALUE"""),"70bdbe11")</f>
        <v>70bdbe11</v>
      </c>
      <c r="C1898" s="32">
        <f>IFERROR(__xludf.DUMMYFUNCTION("""COMPUTED_VALUE"""),46125.85674768518)</f>
        <v>46125.85675</v>
      </c>
      <c r="D1898" s="1">
        <f>IFERROR(__xludf.DUMMYFUNCTION("""COMPUTED_VALUE"""),3.0)</f>
        <v>3</v>
      </c>
      <c r="E1898" s="1"/>
      <c r="F1898" s="1"/>
    </row>
    <row r="1899">
      <c r="A1899" s="1" t="str">
        <f>IFERROR(__xludf.DUMMYFUNCTION("""COMPUTED_VALUE"""),"4dec39d5")</f>
        <v>4dec39d5</v>
      </c>
      <c r="B1899" s="1" t="str">
        <f>IFERROR(__xludf.DUMMYFUNCTION("""COMPUTED_VALUE"""),"0029")</f>
        <v>0029</v>
      </c>
      <c r="C1899" s="32">
        <f>IFERROR(__xludf.DUMMYFUNCTION("""COMPUTED_VALUE"""),46125.85695601852)</f>
        <v>46125.85696</v>
      </c>
      <c r="D1899" s="1">
        <f>IFERROR(__xludf.DUMMYFUNCTION("""COMPUTED_VALUE"""),-3.0)</f>
        <v>-3</v>
      </c>
      <c r="E1899" s="1"/>
      <c r="F1899" s="1"/>
    </row>
    <row r="1900">
      <c r="A1900" s="1" t="str">
        <f>IFERROR(__xludf.DUMMYFUNCTION("""COMPUTED_VALUE"""),"5d7c66d8")</f>
        <v>5d7c66d8</v>
      </c>
      <c r="B1900" s="1" t="str">
        <f>IFERROR(__xludf.DUMMYFUNCTION("""COMPUTED_VALUE"""),"83dd14b5")</f>
        <v>83dd14b5</v>
      </c>
      <c r="C1900" s="32">
        <f>IFERROR(__xludf.DUMMYFUNCTION("""COMPUTED_VALUE"""),46125.85765046296)</f>
        <v>46125.85765</v>
      </c>
      <c r="D1900" s="1">
        <f>IFERROR(__xludf.DUMMYFUNCTION("""COMPUTED_VALUE"""),-75.0)</f>
        <v>-75</v>
      </c>
      <c r="E1900" s="1"/>
      <c r="F1900" s="1"/>
    </row>
    <row r="1901">
      <c r="A1901" s="1" t="str">
        <f>IFERROR(__xludf.DUMMYFUNCTION("""COMPUTED_VALUE"""),"dacd6c0c")</f>
        <v>dacd6c0c</v>
      </c>
      <c r="B1901" s="1" t="str">
        <f>IFERROR(__xludf.DUMMYFUNCTION("""COMPUTED_VALUE"""),"83dd14b5")</f>
        <v>83dd14b5</v>
      </c>
      <c r="C1901" s="32">
        <f>IFERROR(__xludf.DUMMYFUNCTION("""COMPUTED_VALUE"""),46125.85787037037)</f>
        <v>46125.85787</v>
      </c>
      <c r="D1901" s="1">
        <f>IFERROR(__xludf.DUMMYFUNCTION("""COMPUTED_VALUE"""),16.0)</f>
        <v>16</v>
      </c>
      <c r="E1901" s="1"/>
      <c r="F1901" s="1"/>
    </row>
    <row r="1902">
      <c r="A1902" s="1" t="str">
        <f>IFERROR(__xludf.DUMMYFUNCTION("""COMPUTED_VALUE"""),"2895ed81")</f>
        <v>2895ed81</v>
      </c>
      <c r="B1902" s="1" t="str">
        <f>IFERROR(__xludf.DUMMYFUNCTION("""COMPUTED_VALUE"""),"0001")</f>
        <v>0001</v>
      </c>
      <c r="C1902" s="32">
        <f>IFERROR(__xludf.DUMMYFUNCTION("""COMPUTED_VALUE"""),46127.01081018519)</f>
        <v>46127.01081</v>
      </c>
      <c r="D1902" s="1">
        <f>IFERROR(__xludf.DUMMYFUNCTION("""COMPUTED_VALUE"""),-18.0)</f>
        <v>-18</v>
      </c>
      <c r="E1902" s="1"/>
      <c r="F1902" s="1"/>
    </row>
    <row r="1903">
      <c r="A1903" s="1" t="str">
        <f>IFERROR(__xludf.DUMMYFUNCTION("""COMPUTED_VALUE"""),"07efaf5f")</f>
        <v>07efaf5f</v>
      </c>
      <c r="B1903" s="1" t="str">
        <f>IFERROR(__xludf.DUMMYFUNCTION("""COMPUTED_VALUE"""),"12b96290")</f>
        <v>12b96290</v>
      </c>
      <c r="C1903" s="32">
        <f>IFERROR(__xludf.DUMMYFUNCTION("""COMPUTED_VALUE"""),46127.01096064815)</f>
        <v>46127.01096</v>
      </c>
      <c r="D1903" s="1">
        <f>IFERROR(__xludf.DUMMYFUNCTION("""COMPUTED_VALUE"""),-8.0)</f>
        <v>-8</v>
      </c>
      <c r="E1903" s="1"/>
      <c r="F1903" s="1"/>
    </row>
    <row r="1904">
      <c r="A1904" s="1" t="str">
        <f>IFERROR(__xludf.DUMMYFUNCTION("""COMPUTED_VALUE"""),"c284cda9")</f>
        <v>c284cda9</v>
      </c>
      <c r="B1904" s="1" t="str">
        <f>IFERROR(__xludf.DUMMYFUNCTION("""COMPUTED_VALUE"""),"c099f042")</f>
        <v>c099f042</v>
      </c>
      <c r="C1904" s="32">
        <f>IFERROR(__xludf.DUMMYFUNCTION("""COMPUTED_VALUE"""),46127.01106481482)</f>
        <v>46127.01106</v>
      </c>
      <c r="D1904" s="1">
        <f>IFERROR(__xludf.DUMMYFUNCTION("""COMPUTED_VALUE"""),-7.0)</f>
        <v>-7</v>
      </c>
      <c r="E1904" s="1"/>
      <c r="F1904" s="1"/>
    </row>
    <row r="1905">
      <c r="A1905" s="1" t="str">
        <f>IFERROR(__xludf.DUMMYFUNCTION("""COMPUTED_VALUE"""),"001a3366")</f>
        <v>001a3366</v>
      </c>
      <c r="B1905" s="1" t="str">
        <f>IFERROR(__xludf.DUMMYFUNCTION("""COMPUTED_VALUE"""),"bb6c2490")</f>
        <v>bb6c2490</v>
      </c>
      <c r="C1905" s="32">
        <f>IFERROR(__xludf.DUMMYFUNCTION("""COMPUTED_VALUE"""),46127.01195601852)</f>
        <v>46127.01196</v>
      </c>
      <c r="D1905" s="1">
        <f>IFERROR(__xludf.DUMMYFUNCTION("""COMPUTED_VALUE"""),-14.0)</f>
        <v>-14</v>
      </c>
      <c r="E1905" s="1"/>
      <c r="F1905" s="1"/>
    </row>
    <row r="1906">
      <c r="A1906" s="1" t="str">
        <f>IFERROR(__xludf.DUMMYFUNCTION("""COMPUTED_VALUE"""),"651ec853")</f>
        <v>651ec853</v>
      </c>
      <c r="B1906" s="1" t="str">
        <f>IFERROR(__xludf.DUMMYFUNCTION("""COMPUTED_VALUE"""),"0038")</f>
        <v>0038</v>
      </c>
      <c r="C1906" s="32">
        <f>IFERROR(__xludf.DUMMYFUNCTION("""COMPUTED_VALUE"""),46127.01253472222)</f>
        <v>46127.01253</v>
      </c>
      <c r="D1906" s="1">
        <f>IFERROR(__xludf.DUMMYFUNCTION("""COMPUTED_VALUE"""),-6.0)</f>
        <v>-6</v>
      </c>
      <c r="E1906" s="1"/>
      <c r="F1906" s="1"/>
    </row>
    <row r="1907">
      <c r="A1907" s="1" t="str">
        <f>IFERROR(__xludf.DUMMYFUNCTION("""COMPUTED_VALUE"""),"407d8877")</f>
        <v>407d8877</v>
      </c>
      <c r="B1907" s="1" t="str">
        <f>IFERROR(__xludf.DUMMYFUNCTION("""COMPUTED_VALUE"""),"0033")</f>
        <v>0033</v>
      </c>
      <c r="C1907" s="32">
        <f>IFERROR(__xludf.DUMMYFUNCTION("""COMPUTED_VALUE"""),46127.01274305556)</f>
        <v>46127.01274</v>
      </c>
      <c r="D1907" s="1">
        <f>IFERROR(__xludf.DUMMYFUNCTION("""COMPUTED_VALUE"""),-3.0)</f>
        <v>-3</v>
      </c>
      <c r="E1907" s="1"/>
      <c r="F1907" s="1"/>
    </row>
    <row r="1908">
      <c r="A1908" s="1" t="str">
        <f>IFERROR(__xludf.DUMMYFUNCTION("""COMPUTED_VALUE"""),"9081bbac")</f>
        <v>9081bbac</v>
      </c>
      <c r="B1908" s="1" t="str">
        <f>IFERROR(__xludf.DUMMYFUNCTION("""COMPUTED_VALUE"""),"bb4d1bd1")</f>
        <v>bb4d1bd1</v>
      </c>
      <c r="C1908" s="32">
        <f>IFERROR(__xludf.DUMMYFUNCTION("""COMPUTED_VALUE"""),46127.01421296296)</f>
        <v>46127.01421</v>
      </c>
      <c r="D1908" s="1">
        <f>IFERROR(__xludf.DUMMYFUNCTION("""COMPUTED_VALUE"""),-15.0)</f>
        <v>-15</v>
      </c>
      <c r="E1908" s="1"/>
      <c r="F1908" s="1"/>
    </row>
    <row r="1909">
      <c r="A1909" s="1" t="str">
        <f>IFERROR(__xludf.DUMMYFUNCTION("""COMPUTED_VALUE"""),"1a0d3aae")</f>
        <v>1a0d3aae</v>
      </c>
      <c r="B1909" s="1" t="str">
        <f>IFERROR(__xludf.DUMMYFUNCTION("""COMPUTED_VALUE"""),"02d86a9b")</f>
        <v>02d86a9b</v>
      </c>
      <c r="C1909" s="32">
        <f>IFERROR(__xludf.DUMMYFUNCTION("""COMPUTED_VALUE"""),46127.01436342593)</f>
        <v>46127.01436</v>
      </c>
      <c r="D1909" s="1">
        <f>IFERROR(__xludf.DUMMYFUNCTION("""COMPUTED_VALUE"""),-24.0)</f>
        <v>-24</v>
      </c>
      <c r="E1909" s="1"/>
      <c r="F1909" s="1"/>
    </row>
    <row r="1910">
      <c r="A1910" s="1" t="str">
        <f>IFERROR(__xludf.DUMMYFUNCTION("""COMPUTED_VALUE"""),"d480b5c8")</f>
        <v>d480b5c8</v>
      </c>
      <c r="B1910" s="1" t="str">
        <f>IFERROR(__xludf.DUMMYFUNCTION("""COMPUTED_VALUE"""),"1b6b5ed6")</f>
        <v>1b6b5ed6</v>
      </c>
      <c r="C1910" s="32">
        <f>IFERROR(__xludf.DUMMYFUNCTION("""COMPUTED_VALUE"""),46127.014710648145)</f>
        <v>46127.01471</v>
      </c>
      <c r="D1910" s="1">
        <f>IFERROR(__xludf.DUMMYFUNCTION("""COMPUTED_VALUE"""),-12.0)</f>
        <v>-12</v>
      </c>
      <c r="E1910" s="1"/>
      <c r="F1910" s="1"/>
    </row>
    <row r="1911">
      <c r="A1911" s="1" t="str">
        <f>IFERROR(__xludf.DUMMYFUNCTION("""COMPUTED_VALUE"""),"9a576427")</f>
        <v>9a576427</v>
      </c>
      <c r="B1911" s="1" t="str">
        <f>IFERROR(__xludf.DUMMYFUNCTION("""COMPUTED_VALUE"""),"0064")</f>
        <v>0064</v>
      </c>
      <c r="C1911" s="32">
        <f>IFERROR(__xludf.DUMMYFUNCTION("""COMPUTED_VALUE"""),46127.015497685185)</f>
        <v>46127.0155</v>
      </c>
      <c r="D1911" s="1">
        <f>IFERROR(__xludf.DUMMYFUNCTION("""COMPUTED_VALUE"""),-5.0)</f>
        <v>-5</v>
      </c>
      <c r="E1911" s="1"/>
      <c r="F1911" s="1"/>
    </row>
    <row r="1912">
      <c r="A1912" s="1" t="str">
        <f>IFERROR(__xludf.DUMMYFUNCTION("""COMPUTED_VALUE"""),"3d392c79")</f>
        <v>3d392c79</v>
      </c>
      <c r="B1912" s="1" t="str">
        <f>IFERROR(__xludf.DUMMYFUNCTION("""COMPUTED_VALUE"""),"0032")</f>
        <v>0032</v>
      </c>
      <c r="C1912" s="32">
        <f>IFERROR(__xludf.DUMMYFUNCTION("""COMPUTED_VALUE"""),46127.01571759259)</f>
        <v>46127.01572</v>
      </c>
      <c r="D1912" s="1">
        <f>IFERROR(__xludf.DUMMYFUNCTION("""COMPUTED_VALUE"""),-5.0)</f>
        <v>-5</v>
      </c>
      <c r="E1912" s="1"/>
      <c r="F1912" s="1"/>
    </row>
    <row r="1913">
      <c r="A1913" s="1" t="str">
        <f>IFERROR(__xludf.DUMMYFUNCTION("""COMPUTED_VALUE"""),"befe95ec")</f>
        <v>befe95ec</v>
      </c>
      <c r="B1913" s="1" t="str">
        <f>IFERROR(__xludf.DUMMYFUNCTION("""COMPUTED_VALUE"""),"cb9e809e")</f>
        <v>cb9e809e</v>
      </c>
      <c r="C1913" s="32">
        <f>IFERROR(__xludf.DUMMYFUNCTION("""COMPUTED_VALUE"""),46127.01599537037)</f>
        <v>46127.016</v>
      </c>
      <c r="D1913" s="1">
        <f>IFERROR(__xludf.DUMMYFUNCTION("""COMPUTED_VALUE"""),-7.0)</f>
        <v>-7</v>
      </c>
      <c r="E1913" s="1"/>
      <c r="F1913" s="1"/>
    </row>
    <row r="1914">
      <c r="A1914" s="1" t="str">
        <f>IFERROR(__xludf.DUMMYFUNCTION("""COMPUTED_VALUE"""),"a96f99fe")</f>
        <v>a96f99fe</v>
      </c>
      <c r="B1914" s="1" t="str">
        <f>IFERROR(__xludf.DUMMYFUNCTION("""COMPUTED_VALUE"""),"0029")</f>
        <v>0029</v>
      </c>
      <c r="C1914" s="32">
        <f>IFERROR(__xludf.DUMMYFUNCTION("""COMPUTED_VALUE"""),46127.01763888889)</f>
        <v>46127.01764</v>
      </c>
      <c r="D1914" s="1">
        <f>IFERROR(__xludf.DUMMYFUNCTION("""COMPUTED_VALUE"""),-21.0)</f>
        <v>-21</v>
      </c>
      <c r="E1914" s="1"/>
      <c r="F1914" s="1"/>
    </row>
    <row r="1915">
      <c r="A1915" s="1" t="str">
        <f>IFERROR(__xludf.DUMMYFUNCTION("""COMPUTED_VALUE"""),"02e9eeee")</f>
        <v>02e9eeee</v>
      </c>
      <c r="B1915" s="1" t="str">
        <f>IFERROR(__xludf.DUMMYFUNCTION("""COMPUTED_VALUE"""),"a3f74383")</f>
        <v>a3f74383</v>
      </c>
      <c r="C1915" s="32">
        <f>IFERROR(__xludf.DUMMYFUNCTION("""COMPUTED_VALUE"""),46127.0177662037)</f>
        <v>46127.01777</v>
      </c>
      <c r="D1915" s="1">
        <f>IFERROR(__xludf.DUMMYFUNCTION("""COMPUTED_VALUE"""),-6.0)</f>
        <v>-6</v>
      </c>
      <c r="E1915" s="1"/>
      <c r="F1915" s="1"/>
    </row>
    <row r="1916">
      <c r="A1916" s="1" t="str">
        <f>IFERROR(__xludf.DUMMYFUNCTION("""COMPUTED_VALUE"""),"e3990c78")</f>
        <v>e3990c78</v>
      </c>
      <c r="B1916" s="1" t="str">
        <f>IFERROR(__xludf.DUMMYFUNCTION("""COMPUTED_VALUE"""),"406a1fee")</f>
        <v>406a1fee</v>
      </c>
      <c r="C1916" s="32">
        <f>IFERROR(__xludf.DUMMYFUNCTION("""COMPUTED_VALUE"""),46127.01836805556)</f>
        <v>46127.01837</v>
      </c>
      <c r="D1916" s="1">
        <f>IFERROR(__xludf.DUMMYFUNCTION("""COMPUTED_VALUE"""),-3.0)</f>
        <v>-3</v>
      </c>
      <c r="E1916" s="1"/>
      <c r="F1916" s="1"/>
    </row>
    <row r="1917">
      <c r="A1917" s="1" t="str">
        <f>IFERROR(__xludf.DUMMYFUNCTION("""COMPUTED_VALUE"""),"cbb4c55c")</f>
        <v>cbb4c55c</v>
      </c>
      <c r="B1917" s="1" t="str">
        <f>IFERROR(__xludf.DUMMYFUNCTION("""COMPUTED_VALUE"""),"0029")</f>
        <v>0029</v>
      </c>
      <c r="C1917" s="32">
        <f>IFERROR(__xludf.DUMMYFUNCTION("""COMPUTED_VALUE"""),46127.01956018519)</f>
        <v>46127.01956</v>
      </c>
      <c r="D1917" s="1">
        <f>IFERROR(__xludf.DUMMYFUNCTION("""COMPUTED_VALUE"""),-6.0)</f>
        <v>-6</v>
      </c>
      <c r="E1917" s="1"/>
      <c r="F1917" s="1"/>
    </row>
    <row r="1918">
      <c r="A1918" s="1" t="str">
        <f>IFERROR(__xludf.DUMMYFUNCTION("""COMPUTED_VALUE"""),"b44099e3")</f>
        <v>b44099e3</v>
      </c>
      <c r="B1918" s="1" t="str">
        <f>IFERROR(__xludf.DUMMYFUNCTION("""COMPUTED_VALUE"""),"0f694cb5")</f>
        <v>0f694cb5</v>
      </c>
      <c r="C1918" s="32">
        <f>IFERROR(__xludf.DUMMYFUNCTION("""COMPUTED_VALUE"""),46127.02023148148)</f>
        <v>46127.02023</v>
      </c>
      <c r="D1918" s="1">
        <f>IFERROR(__xludf.DUMMYFUNCTION("""COMPUTED_VALUE"""),-5.0)</f>
        <v>-5</v>
      </c>
      <c r="E1918" s="1"/>
      <c r="F1918" s="1"/>
    </row>
    <row r="1919">
      <c r="A1919" s="1" t="str">
        <f>IFERROR(__xludf.DUMMYFUNCTION("""COMPUTED_VALUE"""),"c7d022c4")</f>
        <v>c7d022c4</v>
      </c>
      <c r="B1919" s="1" t="str">
        <f>IFERROR(__xludf.DUMMYFUNCTION("""COMPUTED_VALUE"""),"0011")</f>
        <v>0011</v>
      </c>
      <c r="C1919" s="32">
        <f>IFERROR(__xludf.DUMMYFUNCTION("""COMPUTED_VALUE"""),46127.02082175926)</f>
        <v>46127.02082</v>
      </c>
      <c r="D1919" s="1">
        <f>IFERROR(__xludf.DUMMYFUNCTION("""COMPUTED_VALUE"""),-16.0)</f>
        <v>-16</v>
      </c>
      <c r="E1919" s="1"/>
      <c r="F1919" s="1"/>
    </row>
    <row r="1920">
      <c r="A1920" s="1" t="str">
        <f>IFERROR(__xludf.DUMMYFUNCTION("""COMPUTED_VALUE"""),"040c0eab")</f>
        <v>040c0eab</v>
      </c>
      <c r="B1920" s="1" t="str">
        <f>IFERROR(__xludf.DUMMYFUNCTION("""COMPUTED_VALUE"""),"0002")</f>
        <v>0002</v>
      </c>
      <c r="C1920" s="32">
        <f>IFERROR(__xludf.DUMMYFUNCTION("""COMPUTED_VALUE"""),46127.0215625)</f>
        <v>46127.02156</v>
      </c>
      <c r="D1920" s="1">
        <f>IFERROR(__xludf.DUMMYFUNCTION("""COMPUTED_VALUE"""),-60.0)</f>
        <v>-60</v>
      </c>
      <c r="E1920" s="1"/>
      <c r="F1920" s="1"/>
    </row>
    <row r="1921">
      <c r="A1921" s="1" t="str">
        <f>IFERROR(__xludf.DUMMYFUNCTION("""COMPUTED_VALUE"""),"af19280b")</f>
        <v>af19280b</v>
      </c>
      <c r="B1921" s="1" t="str">
        <f>IFERROR(__xludf.DUMMYFUNCTION("""COMPUTED_VALUE"""),"0014")</f>
        <v>0014</v>
      </c>
      <c r="C1921" s="32">
        <f>IFERROR(__xludf.DUMMYFUNCTION("""COMPUTED_VALUE"""),46127.02746527778)</f>
        <v>46127.02747</v>
      </c>
      <c r="D1921" s="1">
        <f>IFERROR(__xludf.DUMMYFUNCTION("""COMPUTED_VALUE"""),30.0)</f>
        <v>30</v>
      </c>
      <c r="E1921" s="1" t="str">
        <f>IFERROR(__xludf.DUMMYFUNCTION("""COMPUTED_VALUE"""),"042b4059")</f>
        <v>042b4059</v>
      </c>
      <c r="F1921" s="1"/>
    </row>
    <row r="1922">
      <c r="A1922" s="1" t="str">
        <f>IFERROR(__xludf.DUMMYFUNCTION("""COMPUTED_VALUE"""),"f0dfda6d")</f>
        <v>f0dfda6d</v>
      </c>
      <c r="B1922" s="1" t="str">
        <f>IFERROR(__xludf.DUMMYFUNCTION("""COMPUTED_VALUE"""),"0011")</f>
        <v>0011</v>
      </c>
      <c r="C1922" s="32">
        <f>IFERROR(__xludf.DUMMYFUNCTION("""COMPUTED_VALUE"""),46127.0275)</f>
        <v>46127.0275</v>
      </c>
      <c r="D1922" s="1">
        <f>IFERROR(__xludf.DUMMYFUNCTION("""COMPUTED_VALUE"""),48.0)</f>
        <v>48</v>
      </c>
      <c r="E1922" s="1" t="str">
        <f>IFERROR(__xludf.DUMMYFUNCTION("""COMPUTED_VALUE"""),"042b4059")</f>
        <v>042b4059</v>
      </c>
      <c r="F1922" s="1"/>
    </row>
    <row r="1923">
      <c r="A1923" s="1" t="str">
        <f>IFERROR(__xludf.DUMMYFUNCTION("""COMPUTED_VALUE"""),"ef6c033d")</f>
        <v>ef6c033d</v>
      </c>
      <c r="B1923" s="1" t="str">
        <f>IFERROR(__xludf.DUMMYFUNCTION("""COMPUTED_VALUE"""),"bb6c2490")</f>
        <v>bb6c2490</v>
      </c>
      <c r="C1923" s="32">
        <f>IFERROR(__xludf.DUMMYFUNCTION("""COMPUTED_VALUE"""),46127.027546296296)</f>
        <v>46127.02755</v>
      </c>
      <c r="D1923" s="1">
        <f>IFERROR(__xludf.DUMMYFUNCTION("""COMPUTED_VALUE"""),144.0)</f>
        <v>144</v>
      </c>
      <c r="E1923" s="1" t="str">
        <f>IFERROR(__xludf.DUMMYFUNCTION("""COMPUTED_VALUE"""),"042b4059")</f>
        <v>042b4059</v>
      </c>
      <c r="F1923" s="1"/>
    </row>
    <row r="1924">
      <c r="A1924" s="1" t="str">
        <f>IFERROR(__xludf.DUMMYFUNCTION("""COMPUTED_VALUE"""),"806f3914")</f>
        <v>806f3914</v>
      </c>
      <c r="B1924" s="1" t="str">
        <f>IFERROR(__xludf.DUMMYFUNCTION("""COMPUTED_VALUE"""),"0001")</f>
        <v>0001</v>
      </c>
      <c r="C1924" s="32">
        <f>IFERROR(__xludf.DUMMYFUNCTION("""COMPUTED_VALUE"""),46127.027592592596)</f>
        <v>46127.02759</v>
      </c>
      <c r="D1924" s="1">
        <f>IFERROR(__xludf.DUMMYFUNCTION("""COMPUTED_VALUE"""),30.0)</f>
        <v>30</v>
      </c>
      <c r="E1924" s="1" t="str">
        <f>IFERROR(__xludf.DUMMYFUNCTION("""COMPUTED_VALUE"""),"042b4059")</f>
        <v>042b4059</v>
      </c>
      <c r="F1924" s="1"/>
    </row>
    <row r="1925">
      <c r="A1925" s="1" t="str">
        <f>IFERROR(__xludf.DUMMYFUNCTION("""COMPUTED_VALUE"""),"6d69be52")</f>
        <v>6d69be52</v>
      </c>
      <c r="B1925" s="1" t="str">
        <f>IFERROR(__xludf.DUMMYFUNCTION("""COMPUTED_VALUE"""),"12b96290")</f>
        <v>12b96290</v>
      </c>
      <c r="C1925" s="32">
        <f>IFERROR(__xludf.DUMMYFUNCTION("""COMPUTED_VALUE"""),46127.02763888889)</f>
        <v>46127.02764</v>
      </c>
      <c r="D1925" s="1">
        <f>IFERROR(__xludf.DUMMYFUNCTION("""COMPUTED_VALUE"""),30.0)</f>
        <v>30</v>
      </c>
      <c r="E1925" s="1" t="str">
        <f>IFERROR(__xludf.DUMMYFUNCTION("""COMPUTED_VALUE"""),"042b4059")</f>
        <v>042b4059</v>
      </c>
      <c r="F1925" s="1"/>
    </row>
    <row r="1926">
      <c r="A1926" s="1" t="str">
        <f>IFERROR(__xludf.DUMMYFUNCTION("""COMPUTED_VALUE"""),"66af2cb6")</f>
        <v>66af2cb6</v>
      </c>
      <c r="B1926" s="1" t="str">
        <f>IFERROR(__xludf.DUMMYFUNCTION("""COMPUTED_VALUE"""),"a19879cf")</f>
        <v>a19879cf</v>
      </c>
      <c r="C1926" s="32">
        <f>IFERROR(__xludf.DUMMYFUNCTION("""COMPUTED_VALUE"""),46127.02767361111)</f>
        <v>46127.02767</v>
      </c>
      <c r="D1926" s="1">
        <f>IFERROR(__xludf.DUMMYFUNCTION("""COMPUTED_VALUE"""),48.0)</f>
        <v>48</v>
      </c>
      <c r="E1926" s="1" t="str">
        <f>IFERROR(__xludf.DUMMYFUNCTION("""COMPUTED_VALUE"""),"042b4059")</f>
        <v>042b4059</v>
      </c>
      <c r="F1926" s="1"/>
    </row>
    <row r="1927">
      <c r="A1927" s="1" t="str">
        <f>IFERROR(__xludf.DUMMYFUNCTION("""COMPUTED_VALUE"""),"119068c3")</f>
        <v>119068c3</v>
      </c>
      <c r="B1927" s="1" t="str">
        <f>IFERROR(__xludf.DUMMYFUNCTION("""COMPUTED_VALUE"""),"02d86a9b")</f>
        <v>02d86a9b</v>
      </c>
      <c r="C1927" s="32">
        <f>IFERROR(__xludf.DUMMYFUNCTION("""COMPUTED_VALUE"""),46127.027719907404)</f>
        <v>46127.02772</v>
      </c>
      <c r="D1927" s="1">
        <f>IFERROR(__xludf.DUMMYFUNCTION("""COMPUTED_VALUE"""),24.0)</f>
        <v>24</v>
      </c>
      <c r="E1927" s="1" t="str">
        <f>IFERROR(__xludf.DUMMYFUNCTION("""COMPUTED_VALUE"""),"042b4059")</f>
        <v>042b4059</v>
      </c>
      <c r="F1927" s="1"/>
    </row>
    <row r="1928">
      <c r="A1928" s="1" t="str">
        <f>IFERROR(__xludf.DUMMYFUNCTION("""COMPUTED_VALUE"""),"d90f41ad")</f>
        <v>d90f41ad</v>
      </c>
      <c r="B1928" s="1" t="str">
        <f>IFERROR(__xludf.DUMMYFUNCTION("""COMPUTED_VALUE"""),"bb4d1bd1")</f>
        <v>bb4d1bd1</v>
      </c>
      <c r="C1928" s="32">
        <f>IFERROR(__xludf.DUMMYFUNCTION("""COMPUTED_VALUE"""),46127.027766203704)</f>
        <v>46127.02777</v>
      </c>
      <c r="D1928" s="1">
        <f>IFERROR(__xludf.DUMMYFUNCTION("""COMPUTED_VALUE"""),24.0)</f>
        <v>24</v>
      </c>
      <c r="E1928" s="1" t="str">
        <f>IFERROR(__xludf.DUMMYFUNCTION("""COMPUTED_VALUE"""),"042b4059")</f>
        <v>042b4059</v>
      </c>
      <c r="F1928" s="1"/>
    </row>
    <row r="1929">
      <c r="A1929" s="1" t="str">
        <f>IFERROR(__xludf.DUMMYFUNCTION("""COMPUTED_VALUE"""),"8937f288")</f>
        <v>8937f288</v>
      </c>
      <c r="B1929" s="1" t="str">
        <f>IFERROR(__xludf.DUMMYFUNCTION("""COMPUTED_VALUE"""),"0029")</f>
        <v>0029</v>
      </c>
      <c r="C1929" s="32">
        <f>IFERROR(__xludf.DUMMYFUNCTION("""COMPUTED_VALUE"""),46127.02780092593)</f>
        <v>46127.0278</v>
      </c>
      <c r="D1929" s="1">
        <f>IFERROR(__xludf.DUMMYFUNCTION("""COMPUTED_VALUE"""),48.0)</f>
        <v>48</v>
      </c>
      <c r="E1929" s="1" t="str">
        <f>IFERROR(__xludf.DUMMYFUNCTION("""COMPUTED_VALUE"""),"042b4059")</f>
        <v>042b4059</v>
      </c>
      <c r="F1929" s="1"/>
    </row>
    <row r="1930">
      <c r="A1930" s="1" t="str">
        <f>IFERROR(__xludf.DUMMYFUNCTION("""COMPUTED_VALUE"""),"302c41ca")</f>
        <v>302c41ca</v>
      </c>
      <c r="B1930" s="1" t="str">
        <f>IFERROR(__xludf.DUMMYFUNCTION("""COMPUTED_VALUE"""),"c099f042")</f>
        <v>c099f042</v>
      </c>
      <c r="C1930" s="32">
        <f>IFERROR(__xludf.DUMMYFUNCTION("""COMPUTED_VALUE"""),46127.02821759259)</f>
        <v>46127.02822</v>
      </c>
      <c r="D1930" s="1">
        <f>IFERROR(__xludf.DUMMYFUNCTION("""COMPUTED_VALUE"""),120.0)</f>
        <v>120</v>
      </c>
      <c r="E1930" s="1" t="str">
        <f>IFERROR(__xludf.DUMMYFUNCTION("""COMPUTED_VALUE"""),"60491f07")</f>
        <v>60491f07</v>
      </c>
      <c r="F1930" s="1"/>
    </row>
    <row r="1931">
      <c r="A1931" s="1" t="str">
        <f>IFERROR(__xludf.DUMMYFUNCTION("""COMPUTED_VALUE"""),"8dd95e6f")</f>
        <v>8dd95e6f</v>
      </c>
      <c r="B1931" s="1" t="str">
        <f>IFERROR(__xludf.DUMMYFUNCTION("""COMPUTED_VALUE"""),"0002")</f>
        <v>0002</v>
      </c>
      <c r="C1931" s="32">
        <f>IFERROR(__xludf.DUMMYFUNCTION("""COMPUTED_VALUE"""),46127.02887731481)</f>
        <v>46127.02888</v>
      </c>
      <c r="D1931" s="1">
        <f>IFERROR(__xludf.DUMMYFUNCTION("""COMPUTED_VALUE"""),240.0)</f>
        <v>240</v>
      </c>
      <c r="E1931" s="1" t="str">
        <f>IFERROR(__xludf.DUMMYFUNCTION("""COMPUTED_VALUE"""),"05b7d2e6")</f>
        <v>05b7d2e6</v>
      </c>
      <c r="F1931" s="1"/>
    </row>
    <row r="1932">
      <c r="A1932" s="1" t="str">
        <f>IFERROR(__xludf.DUMMYFUNCTION("""COMPUTED_VALUE"""),"961db9bb")</f>
        <v>961db9bb</v>
      </c>
      <c r="B1932" s="1" t="str">
        <f>IFERROR(__xludf.DUMMYFUNCTION("""COMPUTED_VALUE"""),"0027")</f>
        <v>0027</v>
      </c>
      <c r="C1932" s="32">
        <f>IFERROR(__xludf.DUMMYFUNCTION("""COMPUTED_VALUE"""),46127.539189814815)</f>
        <v>46127.53919</v>
      </c>
      <c r="D1932" s="1">
        <f>IFERROR(__xludf.DUMMYFUNCTION("""COMPUTED_VALUE"""),-4.0)</f>
        <v>-4</v>
      </c>
      <c r="E1932" s="1"/>
      <c r="F1932" s="1"/>
    </row>
    <row r="1933">
      <c r="A1933" s="1" t="str">
        <f>IFERROR(__xludf.DUMMYFUNCTION("""COMPUTED_VALUE"""),"4dcaad1c")</f>
        <v>4dcaad1c</v>
      </c>
      <c r="B1933" s="1" t="str">
        <f>IFERROR(__xludf.DUMMYFUNCTION("""COMPUTED_VALUE"""),"0014")</f>
        <v>0014</v>
      </c>
      <c r="C1933" s="32">
        <f>IFERROR(__xludf.DUMMYFUNCTION("""COMPUTED_VALUE"""),46127.539351851854)</f>
        <v>46127.53935</v>
      </c>
      <c r="D1933" s="1">
        <f>IFERROR(__xludf.DUMMYFUNCTION("""COMPUTED_VALUE"""),-9.0)</f>
        <v>-9</v>
      </c>
      <c r="E1933" s="1"/>
      <c r="F1933" s="1"/>
    </row>
    <row r="1934">
      <c r="A1934" s="1" t="str">
        <f>IFERROR(__xludf.DUMMYFUNCTION("""COMPUTED_VALUE"""),"6d4dc929")</f>
        <v>6d4dc929</v>
      </c>
      <c r="B1934" s="1" t="str">
        <f>IFERROR(__xludf.DUMMYFUNCTION("""COMPUTED_VALUE"""),"bb6c2490")</f>
        <v>bb6c2490</v>
      </c>
      <c r="C1934" s="32">
        <f>IFERROR(__xludf.DUMMYFUNCTION("""COMPUTED_VALUE"""),46127.670902777776)</f>
        <v>46127.6709</v>
      </c>
      <c r="D1934" s="1">
        <f>IFERROR(__xludf.DUMMYFUNCTION("""COMPUTED_VALUE"""),-37.0)</f>
        <v>-37</v>
      </c>
      <c r="E1934" s="1"/>
      <c r="F1934" s="1"/>
    </row>
    <row r="1935">
      <c r="A1935" s="1" t="str">
        <f>IFERROR(__xludf.DUMMYFUNCTION("""COMPUTED_VALUE"""),"8709659f")</f>
        <v>8709659f</v>
      </c>
      <c r="B1935" s="1" t="str">
        <f>IFERROR(__xludf.DUMMYFUNCTION("""COMPUTED_VALUE"""),"c099f042")</f>
        <v>c099f042</v>
      </c>
      <c r="C1935" s="32">
        <f>IFERROR(__xludf.DUMMYFUNCTION("""COMPUTED_VALUE"""),46127.67103009259)</f>
        <v>46127.67103</v>
      </c>
      <c r="D1935" s="1">
        <f>IFERROR(__xludf.DUMMYFUNCTION("""COMPUTED_VALUE"""),-15.0)</f>
        <v>-15</v>
      </c>
      <c r="E1935" s="1"/>
      <c r="F1935" s="1"/>
    </row>
    <row r="1936">
      <c r="A1936" s="1" t="str">
        <f>IFERROR(__xludf.DUMMYFUNCTION("""COMPUTED_VALUE"""),"fe102dca")</f>
        <v>fe102dca</v>
      </c>
      <c r="B1936" s="1" t="str">
        <f>IFERROR(__xludf.DUMMYFUNCTION("""COMPUTED_VALUE"""),"0001")</f>
        <v>0001</v>
      </c>
      <c r="C1936" s="32">
        <f>IFERROR(__xludf.DUMMYFUNCTION("""COMPUTED_VALUE"""),46127.67128472222)</f>
        <v>46127.67128</v>
      </c>
      <c r="D1936" s="1">
        <f>IFERROR(__xludf.DUMMYFUNCTION("""COMPUTED_VALUE"""),-17.0)</f>
        <v>-17</v>
      </c>
      <c r="E1936" s="1"/>
      <c r="F1936" s="1"/>
    </row>
    <row r="1937">
      <c r="A1937" s="1" t="str">
        <f>IFERROR(__xludf.DUMMYFUNCTION("""COMPUTED_VALUE"""),"8c48440e")</f>
        <v>8c48440e</v>
      </c>
      <c r="B1937" s="1" t="str">
        <f>IFERROR(__xludf.DUMMYFUNCTION("""COMPUTED_VALUE"""),"12b96290")</f>
        <v>12b96290</v>
      </c>
      <c r="C1937" s="32">
        <f>IFERROR(__xludf.DUMMYFUNCTION("""COMPUTED_VALUE"""),46127.67188657408)</f>
        <v>46127.67189</v>
      </c>
      <c r="D1937" s="1">
        <f>IFERROR(__xludf.DUMMYFUNCTION("""COMPUTED_VALUE"""),-2.0)</f>
        <v>-2</v>
      </c>
      <c r="E1937" s="1"/>
      <c r="F1937" s="1"/>
    </row>
    <row r="1938">
      <c r="A1938" s="1" t="str">
        <f>IFERROR(__xludf.DUMMYFUNCTION("""COMPUTED_VALUE"""),"c7defdf4")</f>
        <v>c7defdf4</v>
      </c>
      <c r="B1938" s="1" t="str">
        <f>IFERROR(__xludf.DUMMYFUNCTION("""COMPUTED_VALUE"""),"a19879cf")</f>
        <v>a19879cf</v>
      </c>
      <c r="C1938" s="32">
        <f>IFERROR(__xludf.DUMMYFUNCTION("""COMPUTED_VALUE"""),46127.672268518516)</f>
        <v>46127.67227</v>
      </c>
      <c r="D1938" s="1">
        <f>IFERROR(__xludf.DUMMYFUNCTION("""COMPUTED_VALUE"""),-15.0)</f>
        <v>-15</v>
      </c>
      <c r="E1938" s="1"/>
      <c r="F1938" s="1"/>
    </row>
    <row r="1939">
      <c r="A1939" s="1" t="str">
        <f>IFERROR(__xludf.DUMMYFUNCTION("""COMPUTED_VALUE"""),"16bda186")</f>
        <v>16bda186</v>
      </c>
      <c r="B1939" s="1" t="str">
        <f>IFERROR(__xludf.DUMMYFUNCTION("""COMPUTED_VALUE"""),"0021")</f>
        <v>0021</v>
      </c>
      <c r="C1939" s="32">
        <f>IFERROR(__xludf.DUMMYFUNCTION("""COMPUTED_VALUE"""),46127.67251157408)</f>
        <v>46127.67251</v>
      </c>
      <c r="D1939" s="1">
        <f>IFERROR(__xludf.DUMMYFUNCTION("""COMPUTED_VALUE"""),-8.0)</f>
        <v>-8</v>
      </c>
      <c r="E1939" s="1"/>
      <c r="F1939" s="1"/>
    </row>
    <row r="1940">
      <c r="A1940" s="1" t="str">
        <f>IFERROR(__xludf.DUMMYFUNCTION("""COMPUTED_VALUE"""),"f974a08a")</f>
        <v>f974a08a</v>
      </c>
      <c r="B1940" s="1" t="str">
        <f>IFERROR(__xludf.DUMMYFUNCTION("""COMPUTED_VALUE"""),"bb4d1bd1")</f>
        <v>bb4d1bd1</v>
      </c>
      <c r="C1940" s="32">
        <f>IFERROR(__xludf.DUMMYFUNCTION("""COMPUTED_VALUE"""),46127.67269675926)</f>
        <v>46127.6727</v>
      </c>
      <c r="D1940" s="1">
        <f>IFERROR(__xludf.DUMMYFUNCTION("""COMPUTED_VALUE"""),-8.0)</f>
        <v>-8</v>
      </c>
      <c r="E1940" s="1"/>
      <c r="F1940" s="1"/>
    </row>
    <row r="1941">
      <c r="A1941" s="1" t="str">
        <f>IFERROR(__xludf.DUMMYFUNCTION("""COMPUTED_VALUE"""),"ed9b8e0f")</f>
        <v>ed9b8e0f</v>
      </c>
      <c r="B1941" s="1" t="str">
        <f>IFERROR(__xludf.DUMMYFUNCTION("""COMPUTED_VALUE"""),"cb9e809e")</f>
        <v>cb9e809e</v>
      </c>
      <c r="C1941" s="32">
        <f>IFERROR(__xludf.DUMMYFUNCTION("""COMPUTED_VALUE"""),46127.67291666667)</f>
        <v>46127.67292</v>
      </c>
      <c r="D1941" s="1">
        <f>IFERROR(__xludf.DUMMYFUNCTION("""COMPUTED_VALUE"""),-5.0)</f>
        <v>-5</v>
      </c>
      <c r="E1941" s="1"/>
      <c r="F1941" s="1"/>
    </row>
    <row r="1942">
      <c r="A1942" s="1" t="str">
        <f>IFERROR(__xludf.DUMMYFUNCTION("""COMPUTED_VALUE"""),"61648428")</f>
        <v>61648428</v>
      </c>
      <c r="B1942" s="1" t="str">
        <f>IFERROR(__xludf.DUMMYFUNCTION("""COMPUTED_VALUE"""),"cf6c9481")</f>
        <v>cf6c9481</v>
      </c>
      <c r="C1942" s="32">
        <f>IFERROR(__xludf.DUMMYFUNCTION("""COMPUTED_VALUE"""),46127.67324074074)</f>
        <v>46127.67324</v>
      </c>
      <c r="D1942" s="1">
        <f>IFERROR(__xludf.DUMMYFUNCTION("""COMPUTED_VALUE"""),-6.0)</f>
        <v>-6</v>
      </c>
      <c r="E1942" s="1"/>
      <c r="F1942" s="1"/>
    </row>
    <row r="1943">
      <c r="A1943" s="1" t="str">
        <f>IFERROR(__xludf.DUMMYFUNCTION("""COMPUTED_VALUE"""),"5b2494d9")</f>
        <v>5b2494d9</v>
      </c>
      <c r="B1943" s="1" t="str">
        <f>IFERROR(__xludf.DUMMYFUNCTION("""COMPUTED_VALUE"""),"70bdbe11")</f>
        <v>70bdbe11</v>
      </c>
      <c r="C1943" s="32">
        <f>IFERROR(__xludf.DUMMYFUNCTION("""COMPUTED_VALUE"""),46127.67351851852)</f>
        <v>46127.67352</v>
      </c>
      <c r="D1943" s="1">
        <f>IFERROR(__xludf.DUMMYFUNCTION("""COMPUTED_VALUE"""),-9.0)</f>
        <v>-9</v>
      </c>
      <c r="E1943" s="1"/>
      <c r="F1943" s="1"/>
    </row>
    <row r="1944">
      <c r="A1944" s="1" t="str">
        <f>IFERROR(__xludf.DUMMYFUNCTION("""COMPUTED_VALUE"""),"a498bb8f")</f>
        <v>a498bb8f</v>
      </c>
      <c r="B1944" s="1" t="str">
        <f>IFERROR(__xludf.DUMMYFUNCTION("""COMPUTED_VALUE"""),"0029")</f>
        <v>0029</v>
      </c>
      <c r="C1944" s="32">
        <f>IFERROR(__xludf.DUMMYFUNCTION("""COMPUTED_VALUE"""),46127.673738425925)</f>
        <v>46127.67374</v>
      </c>
      <c r="D1944" s="1">
        <f>IFERROR(__xludf.DUMMYFUNCTION("""COMPUTED_VALUE"""),-13.0)</f>
        <v>-13</v>
      </c>
      <c r="E1944" s="1"/>
      <c r="F1944" s="1"/>
    </row>
    <row r="1945">
      <c r="A1945" s="1" t="str">
        <f>IFERROR(__xludf.DUMMYFUNCTION("""COMPUTED_VALUE"""),"bd858a7f")</f>
        <v>bd858a7f</v>
      </c>
      <c r="B1945" s="1" t="str">
        <f>IFERROR(__xludf.DUMMYFUNCTION("""COMPUTED_VALUE"""),"0032")</f>
        <v>0032</v>
      </c>
      <c r="C1945" s="32">
        <f>IFERROR(__xludf.DUMMYFUNCTION("""COMPUTED_VALUE"""),46127.6740162037)</f>
        <v>46127.67402</v>
      </c>
      <c r="D1945" s="1">
        <f>IFERROR(__xludf.DUMMYFUNCTION("""COMPUTED_VALUE"""),-17.0)</f>
        <v>-17</v>
      </c>
      <c r="E1945" s="1"/>
      <c r="F1945" s="1"/>
    </row>
    <row r="1946">
      <c r="A1946" s="1" t="str">
        <f>IFERROR(__xludf.DUMMYFUNCTION("""COMPUTED_VALUE"""),"1a5e6b6b")</f>
        <v>1a5e6b6b</v>
      </c>
      <c r="B1946" s="1" t="str">
        <f>IFERROR(__xludf.DUMMYFUNCTION("""COMPUTED_VALUE"""),"0064")</f>
        <v>0064</v>
      </c>
      <c r="C1946" s="32">
        <f>IFERROR(__xludf.DUMMYFUNCTION("""COMPUTED_VALUE"""),46127.67424768519)</f>
        <v>46127.67425</v>
      </c>
      <c r="D1946" s="1">
        <f>IFERROR(__xludf.DUMMYFUNCTION("""COMPUTED_VALUE"""),-10.0)</f>
        <v>-10</v>
      </c>
      <c r="E1946" s="1"/>
      <c r="F1946" s="1"/>
    </row>
    <row r="1947">
      <c r="A1947" s="1" t="str">
        <f>IFERROR(__xludf.DUMMYFUNCTION("""COMPUTED_VALUE"""),"a1152e2f")</f>
        <v>a1152e2f</v>
      </c>
      <c r="B1947" s="1" t="str">
        <f>IFERROR(__xludf.DUMMYFUNCTION("""COMPUTED_VALUE"""),"0011")</f>
        <v>0011</v>
      </c>
      <c r="C1947" s="32">
        <f>IFERROR(__xludf.DUMMYFUNCTION("""COMPUTED_VALUE"""),46127.67443287037)</f>
        <v>46127.67443</v>
      </c>
      <c r="D1947" s="1">
        <f>IFERROR(__xludf.DUMMYFUNCTION("""COMPUTED_VALUE"""),-4.0)</f>
        <v>-4</v>
      </c>
      <c r="E1947" s="1"/>
      <c r="F1947" s="1"/>
    </row>
    <row r="1948">
      <c r="A1948" s="1" t="str">
        <f>IFERROR(__xludf.DUMMYFUNCTION("""COMPUTED_VALUE"""),"b626f79b")</f>
        <v>b626f79b</v>
      </c>
      <c r="B1948" s="1" t="str">
        <f>IFERROR(__xludf.DUMMYFUNCTION("""COMPUTED_VALUE"""),"83dd14b5")</f>
        <v>83dd14b5</v>
      </c>
      <c r="C1948" s="32">
        <f>IFERROR(__xludf.DUMMYFUNCTION("""COMPUTED_VALUE"""),46127.67481481482)</f>
        <v>46127.67481</v>
      </c>
      <c r="D1948" s="1">
        <f>IFERROR(__xludf.DUMMYFUNCTION("""COMPUTED_VALUE"""),-7.0)</f>
        <v>-7</v>
      </c>
      <c r="E1948" s="1"/>
      <c r="F1948" s="1"/>
    </row>
    <row r="1949">
      <c r="A1949" s="1" t="str">
        <f>IFERROR(__xludf.DUMMYFUNCTION("""COMPUTED_VALUE"""),"462c3795")</f>
        <v>462c3795</v>
      </c>
      <c r="B1949" s="1" t="str">
        <f>IFERROR(__xludf.DUMMYFUNCTION("""COMPUTED_VALUE"""),"c099f042")</f>
        <v>c099f042</v>
      </c>
      <c r="C1949" s="32">
        <f>IFERROR(__xludf.DUMMYFUNCTION("""COMPUTED_VALUE"""),46127.943819444445)</f>
        <v>46127.94382</v>
      </c>
      <c r="D1949" s="1">
        <f>IFERROR(__xludf.DUMMYFUNCTION("""COMPUTED_VALUE"""),-4.0)</f>
        <v>-4</v>
      </c>
      <c r="E1949" s="1"/>
      <c r="F1949" s="1"/>
    </row>
    <row r="1950">
      <c r="A1950" s="1" t="str">
        <f>IFERROR(__xludf.DUMMYFUNCTION("""COMPUTED_VALUE"""),"80e206e5")</f>
        <v>80e206e5</v>
      </c>
      <c r="B1950" s="1" t="str">
        <f>IFERROR(__xludf.DUMMYFUNCTION("""COMPUTED_VALUE"""),"12b96290")</f>
        <v>12b96290</v>
      </c>
      <c r="C1950" s="32">
        <f>IFERROR(__xludf.DUMMYFUNCTION("""COMPUTED_VALUE"""),46127.94388888889)</f>
        <v>46127.94389</v>
      </c>
      <c r="D1950" s="1">
        <f>IFERROR(__xludf.DUMMYFUNCTION("""COMPUTED_VALUE"""),-7.0)</f>
        <v>-7</v>
      </c>
      <c r="E1950" s="1"/>
      <c r="F1950" s="1"/>
    </row>
    <row r="1951">
      <c r="A1951" s="1" t="str">
        <f>IFERROR(__xludf.DUMMYFUNCTION("""COMPUTED_VALUE"""),"18cb07a0")</f>
        <v>18cb07a0</v>
      </c>
      <c r="B1951" s="1" t="str">
        <f>IFERROR(__xludf.DUMMYFUNCTION("""COMPUTED_VALUE"""),"0001")</f>
        <v>0001</v>
      </c>
      <c r="C1951" s="32">
        <f>IFERROR(__xludf.DUMMYFUNCTION("""COMPUTED_VALUE"""),46127.94395833334)</f>
        <v>46127.94396</v>
      </c>
      <c r="D1951" s="1">
        <f>IFERROR(__xludf.DUMMYFUNCTION("""COMPUTED_VALUE"""),-7.0)</f>
        <v>-7</v>
      </c>
      <c r="E1951" s="1"/>
      <c r="F1951" s="1"/>
    </row>
    <row r="1952">
      <c r="A1952" s="1" t="str">
        <f>IFERROR(__xludf.DUMMYFUNCTION("""COMPUTED_VALUE"""),"464700af")</f>
        <v>464700af</v>
      </c>
      <c r="B1952" s="1" t="str">
        <f>IFERROR(__xludf.DUMMYFUNCTION("""COMPUTED_VALUE"""),"eda833ca")</f>
        <v>eda833ca</v>
      </c>
      <c r="C1952" s="32">
        <f>IFERROR(__xludf.DUMMYFUNCTION("""COMPUTED_VALUE"""),46127.94405092593)</f>
        <v>46127.94405</v>
      </c>
      <c r="D1952" s="1">
        <f>IFERROR(__xludf.DUMMYFUNCTION("""COMPUTED_VALUE"""),-19.0)</f>
        <v>-19</v>
      </c>
      <c r="E1952" s="1"/>
      <c r="F1952" s="1"/>
    </row>
    <row r="1953">
      <c r="A1953" s="1" t="str">
        <f>IFERROR(__xludf.DUMMYFUNCTION("""COMPUTED_VALUE"""),"9c4d2280")</f>
        <v>9c4d2280</v>
      </c>
      <c r="B1953" s="1" t="str">
        <f>IFERROR(__xludf.DUMMYFUNCTION("""COMPUTED_VALUE"""),"0019")</f>
        <v>0019</v>
      </c>
      <c r="C1953" s="32">
        <f>IFERROR(__xludf.DUMMYFUNCTION("""COMPUTED_VALUE"""),46127.94484953704)</f>
        <v>46127.94485</v>
      </c>
      <c r="D1953" s="1">
        <f>IFERROR(__xludf.DUMMYFUNCTION("""COMPUTED_VALUE"""),-20.0)</f>
        <v>-20</v>
      </c>
      <c r="E1953" s="1"/>
      <c r="F1953" s="1"/>
    </row>
    <row r="1954">
      <c r="A1954" s="1" t="str">
        <f>IFERROR(__xludf.DUMMYFUNCTION("""COMPUTED_VALUE"""),"c3d815fb")</f>
        <v>c3d815fb</v>
      </c>
      <c r="B1954" s="1" t="str">
        <f>IFERROR(__xludf.DUMMYFUNCTION("""COMPUTED_VALUE"""),"02d86a9b")</f>
        <v>02d86a9b</v>
      </c>
      <c r="C1954" s="32">
        <f>IFERROR(__xludf.DUMMYFUNCTION("""COMPUTED_VALUE"""),46127.94511574074)</f>
        <v>46127.94512</v>
      </c>
      <c r="D1954" s="1">
        <f>IFERROR(__xludf.DUMMYFUNCTION("""COMPUTED_VALUE"""),-24.0)</f>
        <v>-24</v>
      </c>
      <c r="E1954" s="1"/>
      <c r="F1954" s="1"/>
    </row>
    <row r="1955">
      <c r="A1955" s="1" t="str">
        <f>IFERROR(__xludf.DUMMYFUNCTION("""COMPUTED_VALUE"""),"f0b1289d")</f>
        <v>f0b1289d</v>
      </c>
      <c r="B1955" s="1" t="str">
        <f>IFERROR(__xludf.DUMMYFUNCTION("""COMPUTED_VALUE"""),"bb4d1bd1")</f>
        <v>bb4d1bd1</v>
      </c>
      <c r="C1955" s="32">
        <f>IFERROR(__xludf.DUMMYFUNCTION("""COMPUTED_VALUE"""),46127.94542824074)</f>
        <v>46127.94543</v>
      </c>
      <c r="D1955" s="1">
        <f>IFERROR(__xludf.DUMMYFUNCTION("""COMPUTED_VALUE"""),0.0)</f>
        <v>0</v>
      </c>
      <c r="E1955" s="1"/>
      <c r="F1955" s="1"/>
    </row>
    <row r="1956">
      <c r="A1956" s="1" t="str">
        <f>IFERROR(__xludf.DUMMYFUNCTION("""COMPUTED_VALUE"""),"5522ca5b")</f>
        <v>5522ca5b</v>
      </c>
      <c r="B1956" s="1" t="str">
        <f>IFERROR(__xludf.DUMMYFUNCTION("""COMPUTED_VALUE"""),"bb4d1bd1")</f>
        <v>bb4d1bd1</v>
      </c>
      <c r="C1956" s="32">
        <f>IFERROR(__xludf.DUMMYFUNCTION("""COMPUTED_VALUE"""),46127.945763888885)</f>
        <v>46127.94576</v>
      </c>
      <c r="D1956" s="1">
        <f>IFERROR(__xludf.DUMMYFUNCTION("""COMPUTED_VALUE"""),-24.0)</f>
        <v>-24</v>
      </c>
      <c r="E1956" s="1"/>
      <c r="F1956" s="1"/>
    </row>
    <row r="1957">
      <c r="A1957" s="1" t="str">
        <f>IFERROR(__xludf.DUMMYFUNCTION("""COMPUTED_VALUE"""),"e930dfb7")</f>
        <v>e930dfb7</v>
      </c>
      <c r="B1957" s="1" t="str">
        <f>IFERROR(__xludf.DUMMYFUNCTION("""COMPUTED_VALUE"""),"a19879cf")</f>
        <v>a19879cf</v>
      </c>
      <c r="C1957" s="32">
        <f>IFERROR(__xludf.DUMMYFUNCTION("""COMPUTED_VALUE"""),46127.94658564815)</f>
        <v>46127.94659</v>
      </c>
      <c r="D1957" s="1">
        <f>IFERROR(__xludf.DUMMYFUNCTION("""COMPUTED_VALUE"""),-7.0)</f>
        <v>-7</v>
      </c>
      <c r="E1957" s="1"/>
      <c r="F1957" s="1"/>
    </row>
    <row r="1958">
      <c r="A1958" s="1" t="str">
        <f>IFERROR(__xludf.DUMMYFUNCTION("""COMPUTED_VALUE"""),"803ca507")</f>
        <v>803ca507</v>
      </c>
      <c r="B1958" s="1" t="str">
        <f>IFERROR(__xludf.DUMMYFUNCTION("""COMPUTED_VALUE"""),"0014")</f>
        <v>0014</v>
      </c>
      <c r="C1958" s="32">
        <f>IFERROR(__xludf.DUMMYFUNCTION("""COMPUTED_VALUE"""),46127.94684027778)</f>
        <v>46127.94684</v>
      </c>
      <c r="D1958" s="1">
        <f>IFERROR(__xludf.DUMMYFUNCTION("""COMPUTED_VALUE"""),-16.0)</f>
        <v>-16</v>
      </c>
      <c r="E1958" s="1"/>
      <c r="F1958" s="1"/>
    </row>
    <row r="1959">
      <c r="A1959" s="1" t="str">
        <f>IFERROR(__xludf.DUMMYFUNCTION("""COMPUTED_VALUE"""),"32843686")</f>
        <v>32843686</v>
      </c>
      <c r="B1959" s="1" t="str">
        <f>IFERROR(__xludf.DUMMYFUNCTION("""COMPUTED_VALUE"""),"0021")</f>
        <v>0021</v>
      </c>
      <c r="C1959" s="32">
        <f>IFERROR(__xludf.DUMMYFUNCTION("""COMPUTED_VALUE"""),46127.94708333333)</f>
        <v>46127.94708</v>
      </c>
      <c r="D1959" s="1">
        <f>IFERROR(__xludf.DUMMYFUNCTION("""COMPUTED_VALUE"""),-27.0)</f>
        <v>-27</v>
      </c>
      <c r="E1959" s="1"/>
      <c r="F1959" s="1"/>
    </row>
    <row r="1960">
      <c r="A1960" s="1" t="str">
        <f>IFERROR(__xludf.DUMMYFUNCTION("""COMPUTED_VALUE"""),"301e0a30")</f>
        <v>301e0a30</v>
      </c>
      <c r="B1960" s="1" t="str">
        <f>IFERROR(__xludf.DUMMYFUNCTION("""COMPUTED_VALUE"""),"1b6b5ed6")</f>
        <v>1b6b5ed6</v>
      </c>
      <c r="C1960" s="32">
        <f>IFERROR(__xludf.DUMMYFUNCTION("""COMPUTED_VALUE"""),46127.948067129626)</f>
        <v>46127.94807</v>
      </c>
      <c r="D1960" s="1">
        <f>IFERROR(__xludf.DUMMYFUNCTION("""COMPUTED_VALUE"""),-24.0)</f>
        <v>-24</v>
      </c>
      <c r="E1960" s="1"/>
      <c r="F1960" s="1"/>
    </row>
    <row r="1961">
      <c r="A1961" s="1" t="str">
        <f>IFERROR(__xludf.DUMMYFUNCTION("""COMPUTED_VALUE"""),"b5d6ec6a")</f>
        <v>b5d6ec6a</v>
      </c>
      <c r="B1961" s="1" t="str">
        <f>IFERROR(__xludf.DUMMYFUNCTION("""COMPUTED_VALUE"""),"0032")</f>
        <v>0032</v>
      </c>
      <c r="C1961" s="32">
        <f>IFERROR(__xludf.DUMMYFUNCTION("""COMPUTED_VALUE"""),46127.948275462964)</f>
        <v>46127.94828</v>
      </c>
      <c r="D1961" s="1">
        <f>IFERROR(__xludf.DUMMYFUNCTION("""COMPUTED_VALUE"""),-4.0)</f>
        <v>-4</v>
      </c>
      <c r="E1961" s="1"/>
      <c r="F1961" s="1"/>
    </row>
    <row r="1962">
      <c r="A1962" s="1" t="str">
        <f>IFERROR(__xludf.DUMMYFUNCTION("""COMPUTED_VALUE"""),"5a48d163")</f>
        <v>5a48d163</v>
      </c>
      <c r="B1962" s="1" t="str">
        <f>IFERROR(__xludf.DUMMYFUNCTION("""COMPUTED_VALUE"""),"0064")</f>
        <v>0064</v>
      </c>
      <c r="C1962" s="32">
        <f>IFERROR(__xludf.DUMMYFUNCTION("""COMPUTED_VALUE"""),46127.94868055556)</f>
        <v>46127.94868</v>
      </c>
      <c r="D1962" s="1">
        <f>IFERROR(__xludf.DUMMYFUNCTION("""COMPUTED_VALUE"""),-5.0)</f>
        <v>-5</v>
      </c>
      <c r="E1962" s="1"/>
      <c r="F1962" s="1"/>
    </row>
    <row r="1963">
      <c r="A1963" s="1" t="str">
        <f>IFERROR(__xludf.DUMMYFUNCTION("""COMPUTED_VALUE"""),"1129bf32")</f>
        <v>1129bf32</v>
      </c>
      <c r="B1963" s="1" t="str">
        <f>IFERROR(__xludf.DUMMYFUNCTION("""COMPUTED_VALUE"""),"0f694cb5")</f>
        <v>0f694cb5</v>
      </c>
      <c r="C1963" s="32">
        <f>IFERROR(__xludf.DUMMYFUNCTION("""COMPUTED_VALUE"""),46127.949421296296)</f>
        <v>46127.94942</v>
      </c>
      <c r="D1963" s="1">
        <f>IFERROR(__xludf.DUMMYFUNCTION("""COMPUTED_VALUE"""),-12.0)</f>
        <v>-12</v>
      </c>
      <c r="E1963" s="1"/>
      <c r="F1963" s="1"/>
    </row>
    <row r="1964">
      <c r="A1964" s="1" t="str">
        <f>IFERROR(__xludf.DUMMYFUNCTION("""COMPUTED_VALUE"""),"23911792")</f>
        <v>23911792</v>
      </c>
      <c r="B1964" s="1" t="str">
        <f>IFERROR(__xludf.DUMMYFUNCTION("""COMPUTED_VALUE"""),"cb9e809e")</f>
        <v>cb9e809e</v>
      </c>
      <c r="C1964" s="32">
        <f>IFERROR(__xludf.DUMMYFUNCTION("""COMPUTED_VALUE"""),46127.94960648148)</f>
        <v>46127.94961</v>
      </c>
      <c r="D1964" s="1">
        <f>IFERROR(__xludf.DUMMYFUNCTION("""COMPUTED_VALUE"""),-4.0)</f>
        <v>-4</v>
      </c>
      <c r="E1964" s="1"/>
      <c r="F1964" s="1"/>
    </row>
    <row r="1965">
      <c r="A1965" s="1" t="str">
        <f>IFERROR(__xludf.DUMMYFUNCTION("""COMPUTED_VALUE"""),"58f48fe1")</f>
        <v>58f48fe1</v>
      </c>
      <c r="B1965" s="1" t="str">
        <f>IFERROR(__xludf.DUMMYFUNCTION("""COMPUTED_VALUE"""),"cf6c9481")</f>
        <v>cf6c9481</v>
      </c>
      <c r="C1965" s="32">
        <f>IFERROR(__xludf.DUMMYFUNCTION("""COMPUTED_VALUE"""),46127.95028935185)</f>
        <v>46127.95029</v>
      </c>
      <c r="D1965" s="1">
        <f>IFERROR(__xludf.DUMMYFUNCTION("""COMPUTED_VALUE"""),30.0)</f>
        <v>30</v>
      </c>
      <c r="E1965" s="1" t="str">
        <f>IFERROR(__xludf.DUMMYFUNCTION("""COMPUTED_VALUE"""),"7f904a80")</f>
        <v>7f904a80</v>
      </c>
      <c r="F1965" s="1"/>
    </row>
    <row r="1966">
      <c r="A1966" s="1" t="str">
        <f>IFERROR(__xludf.DUMMYFUNCTION("""COMPUTED_VALUE"""),"b585d2fa")</f>
        <v>b585d2fa</v>
      </c>
      <c r="B1966" s="1" t="str">
        <f>IFERROR(__xludf.DUMMYFUNCTION("""COMPUTED_VALUE"""),"ed187a9e")</f>
        <v>ed187a9e</v>
      </c>
      <c r="C1966" s="32">
        <f>IFERROR(__xludf.DUMMYFUNCTION("""COMPUTED_VALUE"""),46127.950578703705)</f>
        <v>46127.95058</v>
      </c>
      <c r="D1966" s="1">
        <f>IFERROR(__xludf.DUMMYFUNCTION("""COMPUTED_VALUE"""),-10.0)</f>
        <v>-10</v>
      </c>
      <c r="E1966" s="1"/>
      <c r="F1966" s="1"/>
    </row>
    <row r="1967">
      <c r="A1967" s="1" t="str">
        <f>IFERROR(__xludf.DUMMYFUNCTION("""COMPUTED_VALUE"""),"57238063")</f>
        <v>57238063</v>
      </c>
      <c r="B1967" s="1" t="str">
        <f>IFERROR(__xludf.DUMMYFUNCTION("""COMPUTED_VALUE"""),"cf6c9481")</f>
        <v>cf6c9481</v>
      </c>
      <c r="C1967" s="32">
        <f>IFERROR(__xludf.DUMMYFUNCTION("""COMPUTED_VALUE"""),46127.953101851854)</f>
        <v>46127.9531</v>
      </c>
      <c r="D1967" s="1">
        <f>IFERROR(__xludf.DUMMYFUNCTION("""COMPUTED_VALUE"""),-12.0)</f>
        <v>-12</v>
      </c>
      <c r="E1967" s="1"/>
      <c r="F1967" s="1"/>
    </row>
    <row r="1968">
      <c r="A1968" s="1" t="str">
        <f>IFERROR(__xludf.DUMMYFUNCTION("""COMPUTED_VALUE"""),"6550b08d")</f>
        <v>6550b08d</v>
      </c>
      <c r="B1968" s="1" t="str">
        <f>IFERROR(__xludf.DUMMYFUNCTION("""COMPUTED_VALUE"""),"0029")</f>
        <v>0029</v>
      </c>
      <c r="C1968" s="32">
        <f>IFERROR(__xludf.DUMMYFUNCTION("""COMPUTED_VALUE"""),46127.953252314815)</f>
        <v>46127.95325</v>
      </c>
      <c r="D1968" s="1">
        <f>IFERROR(__xludf.DUMMYFUNCTION("""COMPUTED_VALUE"""),-19.0)</f>
        <v>-19</v>
      </c>
      <c r="E1968" s="1"/>
      <c r="F1968" s="1"/>
    </row>
    <row r="1969">
      <c r="A1969" s="1" t="str">
        <f>IFERROR(__xludf.DUMMYFUNCTION("""COMPUTED_VALUE"""),"1e9a023e")</f>
        <v>1e9a023e</v>
      </c>
      <c r="B1969" s="1" t="str">
        <f>IFERROR(__xludf.DUMMYFUNCTION("""COMPUTED_VALUE"""),"406a1fee")</f>
        <v>406a1fee</v>
      </c>
      <c r="C1969" s="32">
        <f>IFERROR(__xludf.DUMMYFUNCTION("""COMPUTED_VALUE"""),46127.95377314815)</f>
        <v>46127.95377</v>
      </c>
      <c r="D1969" s="1">
        <f>IFERROR(__xludf.DUMMYFUNCTION("""COMPUTED_VALUE"""),-4.0)</f>
        <v>-4</v>
      </c>
      <c r="E1969" s="1"/>
      <c r="F1969" s="1"/>
    </row>
    <row r="1970">
      <c r="A1970" s="1" t="str">
        <f>IFERROR(__xludf.DUMMYFUNCTION("""COMPUTED_VALUE"""),"b113601c")</f>
        <v>b113601c</v>
      </c>
      <c r="B1970" s="1" t="str">
        <f>IFERROR(__xludf.DUMMYFUNCTION("""COMPUTED_VALUE"""),"649eaeb5")</f>
        <v>649eaeb5</v>
      </c>
      <c r="C1970" s="32">
        <f>IFERROR(__xludf.DUMMYFUNCTION("""COMPUTED_VALUE"""),46127.954351851855)</f>
        <v>46127.95435</v>
      </c>
      <c r="D1970" s="1">
        <f>IFERROR(__xludf.DUMMYFUNCTION("""COMPUTED_VALUE"""),-1.0)</f>
        <v>-1</v>
      </c>
      <c r="E1970" s="1"/>
      <c r="F1970" s="1"/>
    </row>
    <row r="1971">
      <c r="A1971" s="1" t="str">
        <f>IFERROR(__xludf.DUMMYFUNCTION("""COMPUTED_VALUE"""),"1f149b61")</f>
        <v>1f149b61</v>
      </c>
      <c r="B1971" s="1" t="str">
        <f>IFERROR(__xludf.DUMMYFUNCTION("""COMPUTED_VALUE"""),"a3f74383")</f>
        <v>a3f74383</v>
      </c>
      <c r="C1971" s="32">
        <f>IFERROR(__xludf.DUMMYFUNCTION("""COMPUTED_VALUE"""),46127.954675925925)</f>
        <v>46127.95468</v>
      </c>
      <c r="D1971" s="1">
        <f>IFERROR(__xludf.DUMMYFUNCTION("""COMPUTED_VALUE"""),-3.0)</f>
        <v>-3</v>
      </c>
      <c r="E1971" s="1"/>
      <c r="F1971" s="1"/>
    </row>
    <row r="1972">
      <c r="A1972" s="1" t="str">
        <f>IFERROR(__xludf.DUMMYFUNCTION("""COMPUTED_VALUE"""),"a8ddc50a")</f>
        <v>a8ddc50a</v>
      </c>
      <c r="B1972" s="1" t="str">
        <f>IFERROR(__xludf.DUMMYFUNCTION("""COMPUTED_VALUE"""),"57a5617b")</f>
        <v>57a5617b</v>
      </c>
      <c r="C1972" s="32">
        <f>IFERROR(__xludf.DUMMYFUNCTION("""COMPUTED_VALUE"""),46127.95533564815)</f>
        <v>46127.95534</v>
      </c>
      <c r="D1972" s="1">
        <f>IFERROR(__xludf.DUMMYFUNCTION("""COMPUTED_VALUE"""),-4.0)</f>
        <v>-4</v>
      </c>
      <c r="E1972" s="1"/>
      <c r="F1972" s="1"/>
    </row>
    <row r="1973">
      <c r="A1973" s="1" t="str">
        <f>IFERROR(__xludf.DUMMYFUNCTION("""COMPUTED_VALUE"""),"8153e9da")</f>
        <v>8153e9da</v>
      </c>
      <c r="B1973" s="1" t="str">
        <f>IFERROR(__xludf.DUMMYFUNCTION("""COMPUTED_VALUE"""),"0011")</f>
        <v>0011</v>
      </c>
      <c r="C1973" s="32">
        <f>IFERROR(__xludf.DUMMYFUNCTION("""COMPUTED_VALUE"""),46127.956030092595)</f>
        <v>46127.95603</v>
      </c>
      <c r="D1973" s="1">
        <f>IFERROR(__xludf.DUMMYFUNCTION("""COMPUTED_VALUE"""),-21.0)</f>
        <v>-21</v>
      </c>
      <c r="E1973" s="1"/>
      <c r="F1973" s="1"/>
    </row>
    <row r="1974">
      <c r="A1974" s="1" t="str">
        <f>IFERROR(__xludf.DUMMYFUNCTION("""COMPUTED_VALUE"""),"9d054e86")</f>
        <v>9d054e86</v>
      </c>
      <c r="B1974" s="1" t="str">
        <f>IFERROR(__xludf.DUMMYFUNCTION("""COMPUTED_VALUE"""),"0002")</f>
        <v>0002</v>
      </c>
      <c r="C1974" s="32">
        <f>IFERROR(__xludf.DUMMYFUNCTION("""COMPUTED_VALUE"""),46127.95741898148)</f>
        <v>46127.95742</v>
      </c>
      <c r="D1974" s="1">
        <f>IFERROR(__xludf.DUMMYFUNCTION("""COMPUTED_VALUE"""),-12.0)</f>
        <v>-12</v>
      </c>
      <c r="E1974" s="1"/>
      <c r="F1974" s="1"/>
    </row>
    <row r="1975">
      <c r="A1975" s="1" t="str">
        <f>IFERROR(__xludf.DUMMYFUNCTION("""COMPUTED_VALUE"""),"9c51c43f")</f>
        <v>9c51c43f</v>
      </c>
      <c r="B1975" s="1" t="str">
        <f>IFERROR(__xludf.DUMMYFUNCTION("""COMPUTED_VALUE"""),"bb6c2490")</f>
        <v>bb6c2490</v>
      </c>
      <c r="C1975" s="32">
        <f>IFERROR(__xludf.DUMMYFUNCTION("""COMPUTED_VALUE"""),46127.965787037036)</f>
        <v>46127.96579</v>
      </c>
      <c r="D1975" s="1">
        <f>IFERROR(__xludf.DUMMYFUNCTION("""COMPUTED_VALUE"""),-33.0)</f>
        <v>-33</v>
      </c>
      <c r="E1975" s="1"/>
      <c r="F1975" s="1"/>
    </row>
    <row r="1976">
      <c r="A1976" s="1" t="str">
        <f>IFERROR(__xludf.DUMMYFUNCTION("""COMPUTED_VALUE"""),"a9df71b0")</f>
        <v>a9df71b0</v>
      </c>
      <c r="B1976" s="1" t="str">
        <f>IFERROR(__xludf.DUMMYFUNCTION("""COMPUTED_VALUE"""),"c099f042")</f>
        <v>c099f042</v>
      </c>
      <c r="C1976" s="32">
        <f>IFERROR(__xludf.DUMMYFUNCTION("""COMPUTED_VALUE"""),46127.967939814815)</f>
        <v>46127.96794</v>
      </c>
      <c r="D1976" s="1">
        <f>IFERROR(__xludf.DUMMYFUNCTION("""COMPUTED_VALUE"""),-9.0)</f>
        <v>-9</v>
      </c>
      <c r="E1976" s="1"/>
      <c r="F1976" s="1"/>
    </row>
    <row r="1977">
      <c r="A1977" s="1" t="str">
        <f>IFERROR(__xludf.DUMMYFUNCTION("""COMPUTED_VALUE"""),"3c86ba49")</f>
        <v>3c86ba49</v>
      </c>
      <c r="B1977" s="1" t="str">
        <f>IFERROR(__xludf.DUMMYFUNCTION("""COMPUTED_VALUE"""),"c099f042")</f>
        <v>c099f042</v>
      </c>
      <c r="C1977" s="32">
        <f>IFERROR(__xludf.DUMMYFUNCTION("""COMPUTED_VALUE"""),46127.96821759259)</f>
        <v>46127.96822</v>
      </c>
      <c r="D1977" s="1">
        <f>IFERROR(__xludf.DUMMYFUNCTION("""COMPUTED_VALUE"""),-21.0)</f>
        <v>-21</v>
      </c>
      <c r="E1977" s="1"/>
      <c r="F1977" s="1"/>
    </row>
    <row r="1978">
      <c r="A1978" s="1" t="str">
        <f>IFERROR(__xludf.DUMMYFUNCTION("""COMPUTED_VALUE"""),"8f0e7765")</f>
        <v>8f0e7765</v>
      </c>
      <c r="B1978" s="1" t="str">
        <f>IFERROR(__xludf.DUMMYFUNCTION("""COMPUTED_VALUE"""),"0001")</f>
        <v>0001</v>
      </c>
      <c r="C1978" s="32">
        <f>IFERROR(__xludf.DUMMYFUNCTION("""COMPUTED_VALUE"""),46127.96833333333)</f>
        <v>46127.96833</v>
      </c>
      <c r="D1978" s="1">
        <f>IFERROR(__xludf.DUMMYFUNCTION("""COMPUTED_VALUE"""),-32.0)</f>
        <v>-32</v>
      </c>
      <c r="E1978" s="1"/>
      <c r="F1978" s="1"/>
    </row>
    <row r="1979">
      <c r="A1979" s="1" t="str">
        <f>IFERROR(__xludf.DUMMYFUNCTION("""COMPUTED_VALUE"""),"0de08821")</f>
        <v>0de08821</v>
      </c>
      <c r="B1979" s="1" t="str">
        <f>IFERROR(__xludf.DUMMYFUNCTION("""COMPUTED_VALUE"""),"02d86a9b")</f>
        <v>02d86a9b</v>
      </c>
      <c r="C1979" s="32">
        <f>IFERROR(__xludf.DUMMYFUNCTION("""COMPUTED_VALUE"""),46127.968773148146)</f>
        <v>46127.96877</v>
      </c>
      <c r="D1979" s="1">
        <f>IFERROR(__xludf.DUMMYFUNCTION("""COMPUTED_VALUE"""),-24.0)</f>
        <v>-24</v>
      </c>
      <c r="E1979" s="1"/>
      <c r="F1979" s="1"/>
    </row>
    <row r="1980">
      <c r="A1980" s="1" t="str">
        <f>IFERROR(__xludf.DUMMYFUNCTION("""COMPUTED_VALUE"""),"fff5482b")</f>
        <v>fff5482b</v>
      </c>
      <c r="B1980" s="1" t="str">
        <f>IFERROR(__xludf.DUMMYFUNCTION("""COMPUTED_VALUE"""),"bb4d1bd1")</f>
        <v>bb4d1bd1</v>
      </c>
      <c r="C1980" s="32">
        <f>IFERROR(__xludf.DUMMYFUNCTION("""COMPUTED_VALUE"""),46127.96892361111)</f>
        <v>46127.96892</v>
      </c>
      <c r="D1980" s="1">
        <f>IFERROR(__xludf.DUMMYFUNCTION("""COMPUTED_VALUE"""),-15.0)</f>
        <v>-15</v>
      </c>
      <c r="E1980" s="1"/>
      <c r="F1980" s="1"/>
    </row>
    <row r="1981">
      <c r="A1981" s="1" t="str">
        <f>IFERROR(__xludf.DUMMYFUNCTION("""COMPUTED_VALUE"""),"53dcdcfe")</f>
        <v>53dcdcfe</v>
      </c>
      <c r="B1981" s="1" t="str">
        <f>IFERROR(__xludf.DUMMYFUNCTION("""COMPUTED_VALUE"""),"0014")</f>
        <v>0014</v>
      </c>
      <c r="C1981" s="32">
        <f>IFERROR(__xludf.DUMMYFUNCTION("""COMPUTED_VALUE"""),46127.969189814816)</f>
        <v>46127.96919</v>
      </c>
      <c r="D1981" s="1">
        <f>IFERROR(__xludf.DUMMYFUNCTION("""COMPUTED_VALUE"""),-30.0)</f>
        <v>-30</v>
      </c>
      <c r="E1981" s="1"/>
      <c r="F1981" s="1"/>
    </row>
    <row r="1982">
      <c r="A1982" s="1" t="str">
        <f>IFERROR(__xludf.DUMMYFUNCTION("""COMPUTED_VALUE"""),"33bb79b7")</f>
        <v>33bb79b7</v>
      </c>
      <c r="B1982" s="1" t="str">
        <f>IFERROR(__xludf.DUMMYFUNCTION("""COMPUTED_VALUE"""),"cb9e809e")</f>
        <v>cb9e809e</v>
      </c>
      <c r="C1982" s="32">
        <f>IFERROR(__xludf.DUMMYFUNCTION("""COMPUTED_VALUE"""),46127.969351851854)</f>
        <v>46127.96935</v>
      </c>
      <c r="D1982" s="1">
        <f>IFERROR(__xludf.DUMMYFUNCTION("""COMPUTED_VALUE"""),-14.0)</f>
        <v>-14</v>
      </c>
      <c r="E1982" s="1"/>
      <c r="F1982" s="1"/>
    </row>
    <row r="1983">
      <c r="A1983" s="1" t="str">
        <f>IFERROR(__xludf.DUMMYFUNCTION("""COMPUTED_VALUE"""),"af84f471")</f>
        <v>af84f471</v>
      </c>
      <c r="B1983" s="1" t="str">
        <f>IFERROR(__xludf.DUMMYFUNCTION("""COMPUTED_VALUE"""),"cf6c9481")</f>
        <v>cf6c9481</v>
      </c>
      <c r="C1983" s="32">
        <f>IFERROR(__xludf.DUMMYFUNCTION("""COMPUTED_VALUE"""),46127.969976851855)</f>
        <v>46127.96998</v>
      </c>
      <c r="D1983" s="1">
        <f>IFERROR(__xludf.DUMMYFUNCTION("""COMPUTED_VALUE"""),-18.0)</f>
        <v>-18</v>
      </c>
      <c r="E1983" s="1"/>
      <c r="F1983" s="1"/>
    </row>
    <row r="1984">
      <c r="A1984" s="1" t="str">
        <f>IFERROR(__xludf.DUMMYFUNCTION("""COMPUTED_VALUE"""),"de4f089d")</f>
        <v>de4f089d</v>
      </c>
      <c r="B1984" s="1" t="str">
        <f>IFERROR(__xludf.DUMMYFUNCTION("""COMPUTED_VALUE"""),"0032")</f>
        <v>0032</v>
      </c>
      <c r="C1984" s="32">
        <f>IFERROR(__xludf.DUMMYFUNCTION("""COMPUTED_VALUE"""),46127.97016203704)</f>
        <v>46127.97016</v>
      </c>
      <c r="D1984" s="1">
        <f>IFERROR(__xludf.DUMMYFUNCTION("""COMPUTED_VALUE"""),-13.0)</f>
        <v>-13</v>
      </c>
      <c r="E1984" s="1"/>
      <c r="F1984" s="1"/>
    </row>
    <row r="1985">
      <c r="A1985" s="1" t="str">
        <f>IFERROR(__xludf.DUMMYFUNCTION("""COMPUTED_VALUE"""),"40667fb8")</f>
        <v>40667fb8</v>
      </c>
      <c r="B1985" s="1" t="str">
        <f>IFERROR(__xludf.DUMMYFUNCTION("""COMPUTED_VALUE"""),"0064")</f>
        <v>0064</v>
      </c>
      <c r="C1985" s="32">
        <f>IFERROR(__xludf.DUMMYFUNCTION("""COMPUTED_VALUE"""),46127.970300925925)</f>
        <v>46127.9703</v>
      </c>
      <c r="D1985" s="1">
        <f>IFERROR(__xludf.DUMMYFUNCTION("""COMPUTED_VALUE"""),-16.0)</f>
        <v>-16</v>
      </c>
      <c r="E1985" s="1"/>
      <c r="F1985" s="1"/>
    </row>
    <row r="1986">
      <c r="A1986" s="1" t="str">
        <f>IFERROR(__xludf.DUMMYFUNCTION("""COMPUTED_VALUE"""),"20888760")</f>
        <v>20888760</v>
      </c>
      <c r="B1986" s="1" t="str">
        <f>IFERROR(__xludf.DUMMYFUNCTION("""COMPUTED_VALUE"""),"0001")</f>
        <v>0001</v>
      </c>
      <c r="C1986" s="32">
        <f>IFERROR(__xludf.DUMMYFUNCTION("""COMPUTED_VALUE"""),46128.05752314815)</f>
        <v>46128.05752</v>
      </c>
      <c r="D1986" s="1">
        <f>IFERROR(__xludf.DUMMYFUNCTION("""COMPUTED_VALUE"""),60.0)</f>
        <v>60</v>
      </c>
      <c r="E1986" s="1" t="str">
        <f>IFERROR(__xludf.DUMMYFUNCTION("""COMPUTED_VALUE"""),"b0a218ab")</f>
        <v>b0a218ab</v>
      </c>
      <c r="F1986" s="1"/>
    </row>
    <row r="1987">
      <c r="A1987" s="1" t="str">
        <f>IFERROR(__xludf.DUMMYFUNCTION("""COMPUTED_VALUE"""),"45976595")</f>
        <v>45976595</v>
      </c>
      <c r="B1987" s="1" t="str">
        <f>IFERROR(__xludf.DUMMYFUNCTION("""COMPUTED_VALUE"""),"12b96290")</f>
        <v>12b96290</v>
      </c>
      <c r="C1987" s="32">
        <f>IFERROR(__xludf.DUMMYFUNCTION("""COMPUTED_VALUE"""),46128.05758101852)</f>
        <v>46128.05758</v>
      </c>
      <c r="D1987" s="1">
        <f>IFERROR(__xludf.DUMMYFUNCTION("""COMPUTED_VALUE"""),30.0)</f>
        <v>30</v>
      </c>
      <c r="E1987" s="1" t="str">
        <f>IFERROR(__xludf.DUMMYFUNCTION("""COMPUTED_VALUE"""),"b0a218ab")</f>
        <v>b0a218ab</v>
      </c>
      <c r="F1987" s="1"/>
    </row>
    <row r="1988">
      <c r="A1988" s="1" t="str">
        <f>IFERROR(__xludf.DUMMYFUNCTION("""COMPUTED_VALUE"""),"bce51b1c")</f>
        <v>bce51b1c</v>
      </c>
      <c r="B1988" s="1" t="str">
        <f>IFERROR(__xludf.DUMMYFUNCTION("""COMPUTED_VALUE"""),"0014")</f>
        <v>0014</v>
      </c>
      <c r="C1988" s="32">
        <f>IFERROR(__xludf.DUMMYFUNCTION("""COMPUTED_VALUE"""),46128.05767361111)</f>
        <v>46128.05767</v>
      </c>
      <c r="D1988" s="1">
        <f>IFERROR(__xludf.DUMMYFUNCTION("""COMPUTED_VALUE"""),15.0)</f>
        <v>15</v>
      </c>
      <c r="E1988" s="1" t="str">
        <f>IFERROR(__xludf.DUMMYFUNCTION("""COMPUTED_VALUE"""),"b0a218ab")</f>
        <v>b0a218ab</v>
      </c>
      <c r="F1988" s="1"/>
    </row>
    <row r="1989">
      <c r="A1989" s="1" t="str">
        <f>IFERROR(__xludf.DUMMYFUNCTION("""COMPUTED_VALUE"""),"c4d8e385")</f>
        <v>c4d8e385</v>
      </c>
      <c r="B1989" s="1" t="str">
        <f>IFERROR(__xludf.DUMMYFUNCTION("""COMPUTED_VALUE"""),"02d86a9b")</f>
        <v>02d86a9b</v>
      </c>
      <c r="C1989" s="32">
        <f>IFERROR(__xludf.DUMMYFUNCTION("""COMPUTED_VALUE"""),46128.05771990741)</f>
        <v>46128.05772</v>
      </c>
      <c r="D1989" s="1">
        <f>IFERROR(__xludf.DUMMYFUNCTION("""COMPUTED_VALUE"""),72.0)</f>
        <v>72</v>
      </c>
      <c r="E1989" s="1" t="str">
        <f>IFERROR(__xludf.DUMMYFUNCTION("""COMPUTED_VALUE"""),"b0a218ab")</f>
        <v>b0a218ab</v>
      </c>
      <c r="F1989" s="1"/>
    </row>
    <row r="1990">
      <c r="A1990" s="1" t="str">
        <f>IFERROR(__xludf.DUMMYFUNCTION("""COMPUTED_VALUE"""),"59765dd9")</f>
        <v>59765dd9</v>
      </c>
      <c r="B1990" s="1" t="str">
        <f>IFERROR(__xludf.DUMMYFUNCTION("""COMPUTED_VALUE"""),"bb4d1bd1")</f>
        <v>bb4d1bd1</v>
      </c>
      <c r="C1990" s="32">
        <f>IFERROR(__xludf.DUMMYFUNCTION("""COMPUTED_VALUE"""),46128.05778935185)</f>
        <v>46128.05779</v>
      </c>
      <c r="D1990" s="1">
        <f>IFERROR(__xludf.DUMMYFUNCTION("""COMPUTED_VALUE"""),72.0)</f>
        <v>72</v>
      </c>
      <c r="E1990" s="1" t="str">
        <f>IFERROR(__xludf.DUMMYFUNCTION("""COMPUTED_VALUE"""),"b0a218ab")</f>
        <v>b0a218ab</v>
      </c>
      <c r="F1990" s="1"/>
    </row>
    <row r="1991">
      <c r="A1991" s="1" t="str">
        <f>IFERROR(__xludf.DUMMYFUNCTION("""COMPUTED_VALUE"""),"38cc74b0")</f>
        <v>38cc74b0</v>
      </c>
      <c r="B1991" s="1" t="str">
        <f>IFERROR(__xludf.DUMMYFUNCTION("""COMPUTED_VALUE"""),"0011")</f>
        <v>0011</v>
      </c>
      <c r="C1991" s="32">
        <f>IFERROR(__xludf.DUMMYFUNCTION("""COMPUTED_VALUE"""),46128.05783564815)</f>
        <v>46128.05784</v>
      </c>
      <c r="D1991" s="1">
        <f>IFERROR(__xludf.DUMMYFUNCTION("""COMPUTED_VALUE"""),48.0)</f>
        <v>48</v>
      </c>
      <c r="E1991" s="1" t="str">
        <f>IFERROR(__xludf.DUMMYFUNCTION("""COMPUTED_VALUE"""),"b0a218ab")</f>
        <v>b0a218ab</v>
      </c>
      <c r="F1991" s="1"/>
    </row>
    <row r="1992">
      <c r="A1992" s="1" t="str">
        <f>IFERROR(__xludf.DUMMYFUNCTION("""COMPUTED_VALUE"""),"cc2fbd44")</f>
        <v>cc2fbd44</v>
      </c>
      <c r="B1992" s="1" t="str">
        <f>IFERROR(__xludf.DUMMYFUNCTION("""COMPUTED_VALUE"""),"0029")</f>
        <v>0029</v>
      </c>
      <c r="C1992" s="32">
        <f>IFERROR(__xludf.DUMMYFUNCTION("""COMPUTED_VALUE"""),46128.05789351852)</f>
        <v>46128.05789</v>
      </c>
      <c r="D1992" s="1">
        <f>IFERROR(__xludf.DUMMYFUNCTION("""COMPUTED_VALUE"""),0.0)</f>
        <v>0</v>
      </c>
      <c r="E1992" s="1" t="str">
        <f>IFERROR(__xludf.DUMMYFUNCTION("""COMPUTED_VALUE"""),"b0a218ab")</f>
        <v>b0a218ab</v>
      </c>
      <c r="F1992" s="1"/>
    </row>
    <row r="1993">
      <c r="A1993" s="1" t="str">
        <f>IFERROR(__xludf.DUMMYFUNCTION("""COMPUTED_VALUE"""),"c9220b8f")</f>
        <v>c9220b8f</v>
      </c>
      <c r="B1993" s="1" t="str">
        <f>IFERROR(__xludf.DUMMYFUNCTION("""COMPUTED_VALUE"""),"0002")</f>
        <v>0002</v>
      </c>
      <c r="C1993" s="32">
        <f>IFERROR(__xludf.DUMMYFUNCTION("""COMPUTED_VALUE"""),46128.12126157407)</f>
        <v>46128.12126</v>
      </c>
      <c r="D1993" s="1">
        <f>IFERROR(__xludf.DUMMYFUNCTION("""COMPUTED_VALUE"""),-168.0)</f>
        <v>-168</v>
      </c>
      <c r="E1993" s="1"/>
      <c r="F1993" s="1"/>
    </row>
    <row r="1994">
      <c r="A1994" s="1" t="str">
        <f>IFERROR(__xludf.DUMMYFUNCTION("""COMPUTED_VALUE"""),"82196811")</f>
        <v>82196811</v>
      </c>
      <c r="B1994" s="1" t="str">
        <f>IFERROR(__xludf.DUMMYFUNCTION("""COMPUTED_VALUE"""),"561399a6")</f>
        <v>561399a6</v>
      </c>
      <c r="C1994" s="32">
        <f>IFERROR(__xludf.DUMMYFUNCTION("""COMPUTED_VALUE"""),46128.12149305556)</f>
        <v>46128.12149</v>
      </c>
      <c r="D1994" s="1">
        <f>IFERROR(__xludf.DUMMYFUNCTION("""COMPUTED_VALUE"""),-21.0)</f>
        <v>-21</v>
      </c>
      <c r="E1994" s="1"/>
      <c r="F1994" s="1"/>
    </row>
    <row r="1995">
      <c r="A1995" s="1" t="str">
        <f>IFERROR(__xludf.DUMMYFUNCTION("""COMPUTED_VALUE"""),"a1ee756b")</f>
        <v>a1ee756b</v>
      </c>
      <c r="B1995" s="1" t="str">
        <f>IFERROR(__xludf.DUMMYFUNCTION("""COMPUTED_VALUE"""),"70bdbe11")</f>
        <v>70bdbe11</v>
      </c>
      <c r="C1995" s="32">
        <f>IFERROR(__xludf.DUMMYFUNCTION("""COMPUTED_VALUE"""),46128.12212962963)</f>
        <v>46128.12213</v>
      </c>
      <c r="D1995" s="1">
        <f>IFERROR(__xludf.DUMMYFUNCTION("""COMPUTED_VALUE"""),-10.0)</f>
        <v>-10</v>
      </c>
      <c r="E1995" s="1"/>
      <c r="F1995" s="1"/>
    </row>
    <row r="1996">
      <c r="A1996" s="1" t="str">
        <f>IFERROR(__xludf.DUMMYFUNCTION("""COMPUTED_VALUE"""),"5867454e")</f>
        <v>5867454e</v>
      </c>
      <c r="B1996" s="1" t="str">
        <f>IFERROR(__xludf.DUMMYFUNCTION("""COMPUTED_VALUE"""),"f998044c")</f>
        <v>f998044c</v>
      </c>
      <c r="C1996" s="32">
        <f>IFERROR(__xludf.DUMMYFUNCTION("""COMPUTED_VALUE"""),46128.12258101852)</f>
        <v>46128.12258</v>
      </c>
      <c r="D1996" s="1">
        <f>IFERROR(__xludf.DUMMYFUNCTION("""COMPUTED_VALUE"""),-4.0)</f>
        <v>-4</v>
      </c>
      <c r="E1996" s="1"/>
      <c r="F1996" s="1"/>
    </row>
    <row r="1997">
      <c r="A1997" s="1" t="str">
        <f>IFERROR(__xludf.DUMMYFUNCTION("""COMPUTED_VALUE"""),"a5fc9825")</f>
        <v>a5fc9825</v>
      </c>
      <c r="B1997" s="1" t="str">
        <f>IFERROR(__xludf.DUMMYFUNCTION("""COMPUTED_VALUE"""),"c099f042")</f>
        <v>c099f042</v>
      </c>
      <c r="C1997" s="32">
        <f>IFERROR(__xludf.DUMMYFUNCTION("""COMPUTED_VALUE"""),46128.755578703705)</f>
        <v>46128.75558</v>
      </c>
      <c r="D1997" s="1">
        <f>IFERROR(__xludf.DUMMYFUNCTION("""COMPUTED_VALUE"""),-12.0)</f>
        <v>-12</v>
      </c>
      <c r="E1997" s="1"/>
      <c r="F1997" s="1"/>
    </row>
    <row r="1998">
      <c r="A1998" s="1" t="str">
        <f>IFERROR(__xludf.DUMMYFUNCTION("""COMPUTED_VALUE"""),"70234aac")</f>
        <v>70234aac</v>
      </c>
      <c r="B1998" s="1" t="str">
        <f>IFERROR(__xludf.DUMMYFUNCTION("""COMPUTED_VALUE"""),"eda833ca")</f>
        <v>eda833ca</v>
      </c>
      <c r="C1998" s="32">
        <f>IFERROR(__xludf.DUMMYFUNCTION("""COMPUTED_VALUE"""),46128.75576388889)</f>
        <v>46128.75576</v>
      </c>
      <c r="D1998" s="1">
        <f>IFERROR(__xludf.DUMMYFUNCTION("""COMPUTED_VALUE"""),-17.0)</f>
        <v>-17</v>
      </c>
      <c r="E1998" s="1"/>
      <c r="F1998" s="1"/>
    </row>
    <row r="1999">
      <c r="A1999" s="1" t="str">
        <f>IFERROR(__xludf.DUMMYFUNCTION("""COMPUTED_VALUE"""),"23a500db")</f>
        <v>23a500db</v>
      </c>
      <c r="B1999" s="1" t="str">
        <f>IFERROR(__xludf.DUMMYFUNCTION("""COMPUTED_VALUE"""),"bb6c2490")</f>
        <v>bb6c2490</v>
      </c>
      <c r="C1999" s="32">
        <f>IFERROR(__xludf.DUMMYFUNCTION("""COMPUTED_VALUE"""),46128.7559837963)</f>
        <v>46128.75598</v>
      </c>
      <c r="D1999" s="1">
        <f>IFERROR(__xludf.DUMMYFUNCTION("""COMPUTED_VALUE"""),-7.0)</f>
        <v>-7</v>
      </c>
      <c r="E1999" s="1"/>
      <c r="F1999" s="1"/>
    </row>
    <row r="2000">
      <c r="A2000" s="1" t="str">
        <f>IFERROR(__xludf.DUMMYFUNCTION("""COMPUTED_VALUE"""),"2c08c8a9")</f>
        <v>2c08c8a9</v>
      </c>
      <c r="B2000" s="1" t="str">
        <f>IFERROR(__xludf.DUMMYFUNCTION("""COMPUTED_VALUE"""),"12b96290")</f>
        <v>12b96290</v>
      </c>
      <c r="C2000" s="32">
        <f>IFERROR(__xludf.DUMMYFUNCTION("""COMPUTED_VALUE"""),46128.75608796296)</f>
        <v>46128.75609</v>
      </c>
      <c r="D2000" s="1">
        <f>IFERROR(__xludf.DUMMYFUNCTION("""COMPUTED_VALUE"""),-15.0)</f>
        <v>-15</v>
      </c>
      <c r="E2000" s="1"/>
      <c r="F2000" s="1"/>
    </row>
    <row r="2001">
      <c r="A2001" s="1" t="str">
        <f>IFERROR(__xludf.DUMMYFUNCTION("""COMPUTED_VALUE"""),"9502b73e")</f>
        <v>9502b73e</v>
      </c>
      <c r="B2001" s="1" t="str">
        <f>IFERROR(__xludf.DUMMYFUNCTION("""COMPUTED_VALUE"""),"0001")</f>
        <v>0001</v>
      </c>
      <c r="C2001" s="32">
        <f>IFERROR(__xludf.DUMMYFUNCTION("""COMPUTED_VALUE"""),46128.75614583334)</f>
        <v>46128.75615</v>
      </c>
      <c r="D2001" s="1">
        <f>IFERROR(__xludf.DUMMYFUNCTION("""COMPUTED_VALUE"""),-3.0)</f>
        <v>-3</v>
      </c>
      <c r="E2001" s="1"/>
      <c r="F2001" s="1"/>
    </row>
    <row r="2002">
      <c r="A2002" s="1" t="str">
        <f>IFERROR(__xludf.DUMMYFUNCTION("""COMPUTED_VALUE"""),"be7d37f1")</f>
        <v>be7d37f1</v>
      </c>
      <c r="B2002" s="1" t="str">
        <f>IFERROR(__xludf.DUMMYFUNCTION("""COMPUTED_VALUE"""),"0019")</f>
        <v>0019</v>
      </c>
      <c r="C2002" s="32">
        <f>IFERROR(__xludf.DUMMYFUNCTION("""COMPUTED_VALUE"""),46128.75667824074)</f>
        <v>46128.75668</v>
      </c>
      <c r="D2002" s="1">
        <f>IFERROR(__xludf.DUMMYFUNCTION("""COMPUTED_VALUE"""),-11.0)</f>
        <v>-11</v>
      </c>
      <c r="E2002" s="1"/>
      <c r="F2002" s="1"/>
    </row>
    <row r="2003">
      <c r="A2003" s="1" t="str">
        <f>IFERROR(__xludf.DUMMYFUNCTION("""COMPUTED_VALUE"""),"6c5d17d1")</f>
        <v>6c5d17d1</v>
      </c>
      <c r="B2003" s="1" t="str">
        <f>IFERROR(__xludf.DUMMYFUNCTION("""COMPUTED_VALUE"""),"bb4d1bd1")</f>
        <v>bb4d1bd1</v>
      </c>
      <c r="C2003" s="32">
        <f>IFERROR(__xludf.DUMMYFUNCTION("""COMPUTED_VALUE"""),46128.756886574076)</f>
        <v>46128.75689</v>
      </c>
      <c r="D2003" s="1">
        <f>IFERROR(__xludf.DUMMYFUNCTION("""COMPUTED_VALUE"""),-5.0)</f>
        <v>-5</v>
      </c>
      <c r="E2003" s="1"/>
      <c r="F2003" s="1"/>
    </row>
    <row r="2004">
      <c r="A2004" s="1" t="str">
        <f>IFERROR(__xludf.DUMMYFUNCTION("""COMPUTED_VALUE"""),"0fa6dd1e")</f>
        <v>0fa6dd1e</v>
      </c>
      <c r="B2004" s="1" t="str">
        <f>IFERROR(__xludf.DUMMYFUNCTION("""COMPUTED_VALUE"""),"a19879cf")</f>
        <v>a19879cf</v>
      </c>
      <c r="C2004" s="32">
        <f>IFERROR(__xludf.DUMMYFUNCTION("""COMPUTED_VALUE"""),46128.757152777776)</f>
        <v>46128.75715</v>
      </c>
      <c r="D2004" s="1">
        <f>IFERROR(__xludf.DUMMYFUNCTION("""COMPUTED_VALUE"""),-13.0)</f>
        <v>-13</v>
      </c>
      <c r="E2004" s="1"/>
      <c r="F2004" s="1"/>
    </row>
    <row r="2005">
      <c r="A2005" s="1" t="str">
        <f>IFERROR(__xludf.DUMMYFUNCTION("""COMPUTED_VALUE"""),"22c35175")</f>
        <v>22c35175</v>
      </c>
      <c r="B2005" s="1" t="str">
        <f>IFERROR(__xludf.DUMMYFUNCTION("""COMPUTED_VALUE"""),"0021")</f>
        <v>0021</v>
      </c>
      <c r="C2005" s="32">
        <f>IFERROR(__xludf.DUMMYFUNCTION("""COMPUTED_VALUE"""),46128.75747685185)</f>
        <v>46128.75748</v>
      </c>
      <c r="D2005" s="1">
        <f>IFERROR(__xludf.DUMMYFUNCTION("""COMPUTED_VALUE"""),-6.0)</f>
        <v>-6</v>
      </c>
      <c r="E2005" s="1"/>
      <c r="F2005" s="1"/>
    </row>
    <row r="2006">
      <c r="A2006" s="1" t="str">
        <f>IFERROR(__xludf.DUMMYFUNCTION("""COMPUTED_VALUE"""),"9e4ec846")</f>
        <v>9e4ec846</v>
      </c>
      <c r="B2006" s="1" t="str">
        <f>IFERROR(__xludf.DUMMYFUNCTION("""COMPUTED_VALUE"""),"bb4d1bd1")</f>
        <v>bb4d1bd1</v>
      </c>
      <c r="C2006" s="32">
        <f>IFERROR(__xludf.DUMMYFUNCTION("""COMPUTED_VALUE"""),46128.75800925926)</f>
        <v>46128.75801</v>
      </c>
      <c r="D2006" s="1">
        <f>IFERROR(__xludf.DUMMYFUNCTION("""COMPUTED_VALUE"""),-2.0)</f>
        <v>-2</v>
      </c>
      <c r="E2006" s="1"/>
      <c r="F2006" s="1"/>
    </row>
    <row r="2007">
      <c r="A2007" s="1" t="str">
        <f>IFERROR(__xludf.DUMMYFUNCTION("""COMPUTED_VALUE"""),"9133d969")</f>
        <v>9133d969</v>
      </c>
      <c r="B2007" s="1" t="str">
        <f>IFERROR(__xludf.DUMMYFUNCTION("""COMPUTED_VALUE"""),"27c8f623")</f>
        <v>27c8f623</v>
      </c>
      <c r="C2007" s="32">
        <f>IFERROR(__xludf.DUMMYFUNCTION("""COMPUTED_VALUE"""),46128.75815972222)</f>
        <v>46128.75816</v>
      </c>
      <c r="D2007" s="1">
        <f>IFERROR(__xludf.DUMMYFUNCTION("""COMPUTED_VALUE"""),-12.0)</f>
        <v>-12</v>
      </c>
      <c r="E2007" s="1"/>
      <c r="F2007" s="1"/>
    </row>
    <row r="2008">
      <c r="A2008" s="1" t="str">
        <f>IFERROR(__xludf.DUMMYFUNCTION("""COMPUTED_VALUE"""),"345baf24")</f>
        <v>345baf24</v>
      </c>
      <c r="B2008" s="1" t="str">
        <f>IFERROR(__xludf.DUMMYFUNCTION("""COMPUTED_VALUE"""),"e9e2a383")</f>
        <v>e9e2a383</v>
      </c>
      <c r="C2008" s="32">
        <f>IFERROR(__xludf.DUMMYFUNCTION("""COMPUTED_VALUE"""),46128.75886574074)</f>
        <v>46128.75887</v>
      </c>
      <c r="D2008" s="1">
        <f>IFERROR(__xludf.DUMMYFUNCTION("""COMPUTED_VALUE"""),-5.0)</f>
        <v>-5</v>
      </c>
      <c r="E2008" s="1"/>
      <c r="F2008" s="1"/>
    </row>
    <row r="2009">
      <c r="A2009" s="1" t="str">
        <f>IFERROR(__xludf.DUMMYFUNCTION("""COMPUTED_VALUE"""),"3c267b50")</f>
        <v>3c267b50</v>
      </c>
      <c r="B2009" s="1" t="str">
        <f>IFERROR(__xludf.DUMMYFUNCTION("""COMPUTED_VALUE"""),"83dd14b5")</f>
        <v>83dd14b5</v>
      </c>
      <c r="C2009" s="32">
        <f>IFERROR(__xludf.DUMMYFUNCTION("""COMPUTED_VALUE"""),46128.75908564815)</f>
        <v>46128.75909</v>
      </c>
      <c r="D2009" s="1">
        <f>IFERROR(__xludf.DUMMYFUNCTION("""COMPUTED_VALUE"""),-6.0)</f>
        <v>-6</v>
      </c>
      <c r="E2009" s="1"/>
      <c r="F2009" s="1"/>
    </row>
    <row r="2010">
      <c r="A2010" s="1" t="str">
        <f>IFERROR(__xludf.DUMMYFUNCTION("""COMPUTED_VALUE"""),"6a7bbd29")</f>
        <v>6a7bbd29</v>
      </c>
      <c r="B2010" s="1" t="str">
        <f>IFERROR(__xludf.DUMMYFUNCTION("""COMPUTED_VALUE"""),"cb9e809e")</f>
        <v>cb9e809e</v>
      </c>
      <c r="C2010" s="32">
        <f>IFERROR(__xludf.DUMMYFUNCTION("""COMPUTED_VALUE"""),46128.75950231482)</f>
        <v>46128.7595</v>
      </c>
      <c r="D2010" s="1">
        <f>IFERROR(__xludf.DUMMYFUNCTION("""COMPUTED_VALUE"""),-3.0)</f>
        <v>-3</v>
      </c>
      <c r="E2010" s="1"/>
      <c r="F2010" s="1"/>
    </row>
    <row r="2011">
      <c r="A2011" s="1" t="str">
        <f>IFERROR(__xludf.DUMMYFUNCTION("""COMPUTED_VALUE"""),"7568fa1b")</f>
        <v>7568fa1b</v>
      </c>
      <c r="B2011" s="1" t="str">
        <f>IFERROR(__xludf.DUMMYFUNCTION("""COMPUTED_VALUE"""),"cf6c9481")</f>
        <v>cf6c9481</v>
      </c>
      <c r="C2011" s="32">
        <f>IFERROR(__xludf.DUMMYFUNCTION("""COMPUTED_VALUE"""),46128.760625)</f>
        <v>46128.76063</v>
      </c>
      <c r="D2011" s="1">
        <f>IFERROR(__xludf.DUMMYFUNCTION("""COMPUTED_VALUE"""),-2.0)</f>
        <v>-2</v>
      </c>
      <c r="E2011" s="1"/>
      <c r="F2011" s="1"/>
    </row>
    <row r="2012">
      <c r="A2012" s="1" t="str">
        <f>IFERROR(__xludf.DUMMYFUNCTION("""COMPUTED_VALUE"""),"dea5de91")</f>
        <v>dea5de91</v>
      </c>
      <c r="B2012" s="1" t="str">
        <f>IFERROR(__xludf.DUMMYFUNCTION("""COMPUTED_VALUE"""),"0049")</f>
        <v>0049</v>
      </c>
      <c r="C2012" s="32">
        <f>IFERROR(__xludf.DUMMYFUNCTION("""COMPUTED_VALUE"""),46128.760787037034)</f>
        <v>46128.76079</v>
      </c>
      <c r="D2012" s="1">
        <f>IFERROR(__xludf.DUMMYFUNCTION("""COMPUTED_VALUE"""),-11.0)</f>
        <v>-11</v>
      </c>
      <c r="E2012" s="1"/>
      <c r="F2012" s="1"/>
    </row>
    <row r="2013">
      <c r="A2013" s="1" t="str">
        <f>IFERROR(__xludf.DUMMYFUNCTION("""COMPUTED_VALUE"""),"2b6cf369")</f>
        <v>2b6cf369</v>
      </c>
      <c r="B2013" s="1" t="str">
        <f>IFERROR(__xludf.DUMMYFUNCTION("""COMPUTED_VALUE"""),"0064")</f>
        <v>0064</v>
      </c>
      <c r="C2013" s="32">
        <f>IFERROR(__xludf.DUMMYFUNCTION("""COMPUTED_VALUE"""),46128.761145833334)</f>
        <v>46128.76115</v>
      </c>
      <c r="D2013" s="1">
        <f>IFERROR(__xludf.DUMMYFUNCTION("""COMPUTED_VALUE"""),-1.0)</f>
        <v>-1</v>
      </c>
      <c r="E2013" s="1"/>
      <c r="F2013" s="1"/>
    </row>
    <row r="2014">
      <c r="A2014" s="1" t="str">
        <f>IFERROR(__xludf.DUMMYFUNCTION("""COMPUTED_VALUE"""),"fba04fc4")</f>
        <v>fba04fc4</v>
      </c>
      <c r="B2014" s="1" t="str">
        <f>IFERROR(__xludf.DUMMYFUNCTION("""COMPUTED_VALUE"""),"0032")</f>
        <v>0032</v>
      </c>
      <c r="C2014" s="32">
        <f>IFERROR(__xludf.DUMMYFUNCTION("""COMPUTED_VALUE"""),46128.76128472222)</f>
        <v>46128.76128</v>
      </c>
      <c r="D2014" s="1">
        <f>IFERROR(__xludf.DUMMYFUNCTION("""COMPUTED_VALUE"""),-1.0)</f>
        <v>-1</v>
      </c>
      <c r="E2014" s="1"/>
      <c r="F2014" s="1"/>
    </row>
    <row r="2015">
      <c r="A2015" s="1" t="str">
        <f>IFERROR(__xludf.DUMMYFUNCTION("""COMPUTED_VALUE"""),"de22425b")</f>
        <v>de22425b</v>
      </c>
      <c r="B2015" s="1" t="str">
        <f>IFERROR(__xludf.DUMMYFUNCTION("""COMPUTED_VALUE"""),"0029")</f>
        <v>0029</v>
      </c>
      <c r="C2015" s="32">
        <f>IFERROR(__xludf.DUMMYFUNCTION("""COMPUTED_VALUE"""),46128.76155092593)</f>
        <v>46128.76155</v>
      </c>
      <c r="D2015" s="1">
        <f>IFERROR(__xludf.DUMMYFUNCTION("""COMPUTED_VALUE"""),-16.0)</f>
        <v>-16</v>
      </c>
      <c r="E2015" s="1"/>
      <c r="F2015" s="1"/>
    </row>
    <row r="2016">
      <c r="A2016" s="1" t="str">
        <f>IFERROR(__xludf.DUMMYFUNCTION("""COMPUTED_VALUE"""),"a48efbd3")</f>
        <v>a48efbd3</v>
      </c>
      <c r="B2016" s="1" t="str">
        <f>IFERROR(__xludf.DUMMYFUNCTION("""COMPUTED_VALUE"""),"a3f74383")</f>
        <v>a3f74383</v>
      </c>
      <c r="C2016" s="32">
        <f>IFERROR(__xludf.DUMMYFUNCTION("""COMPUTED_VALUE"""),46128.76248842593)</f>
        <v>46128.76249</v>
      </c>
      <c r="D2016" s="1">
        <f>IFERROR(__xludf.DUMMYFUNCTION("""COMPUTED_VALUE"""),-1.0)</f>
        <v>-1</v>
      </c>
      <c r="E2016" s="1"/>
      <c r="F2016" s="1"/>
    </row>
    <row r="2017">
      <c r="A2017" s="1" t="str">
        <f>IFERROR(__xludf.DUMMYFUNCTION("""COMPUTED_VALUE"""),"bf4bdb81")</f>
        <v>bf4bdb81</v>
      </c>
      <c r="B2017" s="1" t="str">
        <f>IFERROR(__xludf.DUMMYFUNCTION("""COMPUTED_VALUE"""),"0053")</f>
        <v>0053</v>
      </c>
      <c r="C2017" s="32">
        <f>IFERROR(__xludf.DUMMYFUNCTION("""COMPUTED_VALUE"""),46128.76258101852)</f>
        <v>46128.76258</v>
      </c>
      <c r="D2017" s="1">
        <f>IFERROR(__xludf.DUMMYFUNCTION("""COMPUTED_VALUE"""),-5.0)</f>
        <v>-5</v>
      </c>
      <c r="E2017" s="1"/>
      <c r="F2017" s="1"/>
    </row>
    <row r="2018">
      <c r="A2018" s="1" t="str">
        <f>IFERROR(__xludf.DUMMYFUNCTION("""COMPUTED_VALUE"""),"bbb0c0c4")</f>
        <v>bbb0c0c4</v>
      </c>
      <c r="B2018" s="1" t="str">
        <f>IFERROR(__xludf.DUMMYFUNCTION("""COMPUTED_VALUE"""),"0011")</f>
        <v>0011</v>
      </c>
      <c r="C2018" s="32">
        <f>IFERROR(__xludf.DUMMYFUNCTION("""COMPUTED_VALUE"""),46128.76273148148)</f>
        <v>46128.76273</v>
      </c>
      <c r="D2018" s="1">
        <f>IFERROR(__xludf.DUMMYFUNCTION("""COMPUTED_VALUE"""),-16.0)</f>
        <v>-16</v>
      </c>
      <c r="E2018" s="1"/>
      <c r="F2018" s="1"/>
    </row>
    <row r="2019">
      <c r="A2019" s="1" t="str">
        <f>IFERROR(__xludf.DUMMYFUNCTION("""COMPUTED_VALUE"""),"a35ab778")</f>
        <v>a35ab778</v>
      </c>
      <c r="B2019" s="1" t="str">
        <f>IFERROR(__xludf.DUMMYFUNCTION("""COMPUTED_VALUE"""),"c099f042")</f>
        <v>c099f042</v>
      </c>
      <c r="C2019" s="32">
        <f>IFERROR(__xludf.DUMMYFUNCTION("""COMPUTED_VALUE"""),46129.7025)</f>
        <v>46129.7025</v>
      </c>
      <c r="D2019" s="1">
        <f>IFERROR(__xludf.DUMMYFUNCTION("""COMPUTED_VALUE"""),-9.0)</f>
        <v>-9</v>
      </c>
      <c r="E2019" s="1"/>
      <c r="F2019" s="1"/>
    </row>
    <row r="2020">
      <c r="A2020" s="1" t="str">
        <f>IFERROR(__xludf.DUMMYFUNCTION("""COMPUTED_VALUE"""),"4a0e83d4")</f>
        <v>4a0e83d4</v>
      </c>
      <c r="B2020" s="1" t="str">
        <f>IFERROR(__xludf.DUMMYFUNCTION("""COMPUTED_VALUE"""),"bb6c2490")</f>
        <v>bb6c2490</v>
      </c>
      <c r="C2020" s="32">
        <f>IFERROR(__xludf.DUMMYFUNCTION("""COMPUTED_VALUE"""),46129.70265046296)</f>
        <v>46129.70265</v>
      </c>
      <c r="D2020" s="1">
        <f>IFERROR(__xludf.DUMMYFUNCTION("""COMPUTED_VALUE"""),-5.0)</f>
        <v>-5</v>
      </c>
      <c r="E2020" s="1"/>
      <c r="F2020" s="1"/>
    </row>
    <row r="2021">
      <c r="A2021" s="1" t="str">
        <f>IFERROR(__xludf.DUMMYFUNCTION("""COMPUTED_VALUE"""),"0d5b18be")</f>
        <v>0d5b18be</v>
      </c>
      <c r="B2021" s="1" t="str">
        <f>IFERROR(__xludf.DUMMYFUNCTION("""COMPUTED_VALUE"""),"12b96290")</f>
        <v>12b96290</v>
      </c>
      <c r="C2021" s="32">
        <f>IFERROR(__xludf.DUMMYFUNCTION("""COMPUTED_VALUE"""),46129.70300925926)</f>
        <v>46129.70301</v>
      </c>
      <c r="D2021" s="1">
        <f>IFERROR(__xludf.DUMMYFUNCTION("""COMPUTED_VALUE"""),-13.0)</f>
        <v>-13</v>
      </c>
      <c r="E2021" s="1"/>
      <c r="F2021" s="1"/>
    </row>
    <row r="2022">
      <c r="A2022" s="1" t="str">
        <f>IFERROR(__xludf.DUMMYFUNCTION("""COMPUTED_VALUE"""),"4c2900c7")</f>
        <v>4c2900c7</v>
      </c>
      <c r="B2022" s="1" t="str">
        <f>IFERROR(__xludf.DUMMYFUNCTION("""COMPUTED_VALUE"""),"0001")</f>
        <v>0001</v>
      </c>
      <c r="C2022" s="32">
        <f>IFERROR(__xludf.DUMMYFUNCTION("""COMPUTED_VALUE"""),46129.703194444446)</f>
        <v>46129.70319</v>
      </c>
      <c r="D2022" s="1">
        <f>IFERROR(__xludf.DUMMYFUNCTION("""COMPUTED_VALUE"""),-20.0)</f>
        <v>-20</v>
      </c>
      <c r="E2022" s="1"/>
      <c r="F2022" s="1"/>
    </row>
    <row r="2023">
      <c r="A2023" s="1" t="str">
        <f>IFERROR(__xludf.DUMMYFUNCTION("""COMPUTED_VALUE"""),"863c00d2")</f>
        <v>863c00d2</v>
      </c>
      <c r="B2023" s="1" t="str">
        <f>IFERROR(__xludf.DUMMYFUNCTION("""COMPUTED_VALUE"""),"a19879cf")</f>
        <v>a19879cf</v>
      </c>
      <c r="C2023" s="32">
        <f>IFERROR(__xludf.DUMMYFUNCTION("""COMPUTED_VALUE"""),46129.705509259256)</f>
        <v>46129.70551</v>
      </c>
      <c r="D2023" s="1">
        <f>IFERROR(__xludf.DUMMYFUNCTION("""COMPUTED_VALUE"""),-24.0)</f>
        <v>-24</v>
      </c>
      <c r="E2023" s="1"/>
      <c r="F2023" s="1"/>
    </row>
    <row r="2024">
      <c r="A2024" s="1" t="str">
        <f>IFERROR(__xludf.DUMMYFUNCTION("""COMPUTED_VALUE"""),"40f90f45")</f>
        <v>40f90f45</v>
      </c>
      <c r="B2024" s="1" t="str">
        <f>IFERROR(__xludf.DUMMYFUNCTION("""COMPUTED_VALUE"""),"02d86a9b")</f>
        <v>02d86a9b</v>
      </c>
      <c r="C2024" s="32">
        <f>IFERROR(__xludf.DUMMYFUNCTION("""COMPUTED_VALUE"""),46129.705613425926)</f>
        <v>46129.70561</v>
      </c>
      <c r="D2024" s="1">
        <f>IFERROR(__xludf.DUMMYFUNCTION("""COMPUTED_VALUE"""),-24.0)</f>
        <v>-24</v>
      </c>
      <c r="E2024" s="1"/>
      <c r="F2024" s="1"/>
    </row>
    <row r="2025">
      <c r="A2025" s="1" t="str">
        <f>IFERROR(__xludf.DUMMYFUNCTION("""COMPUTED_VALUE"""),"f7c982ef")</f>
        <v>f7c982ef</v>
      </c>
      <c r="B2025" s="1" t="str">
        <f>IFERROR(__xludf.DUMMYFUNCTION("""COMPUTED_VALUE"""),"83dd14b5")</f>
        <v>83dd14b5</v>
      </c>
      <c r="C2025" s="32">
        <f>IFERROR(__xludf.DUMMYFUNCTION("""COMPUTED_VALUE"""),46129.70574074074)</f>
        <v>46129.70574</v>
      </c>
      <c r="D2025" s="1">
        <f>IFERROR(__xludf.DUMMYFUNCTION("""COMPUTED_VALUE"""),-24.0)</f>
        <v>-24</v>
      </c>
      <c r="E2025" s="1"/>
      <c r="F2025" s="1"/>
    </row>
    <row r="2026">
      <c r="A2026" s="1" t="str">
        <f>IFERROR(__xludf.DUMMYFUNCTION("""COMPUTED_VALUE"""),"34bd5d0e")</f>
        <v>34bd5d0e</v>
      </c>
      <c r="B2026" s="1" t="str">
        <f>IFERROR(__xludf.DUMMYFUNCTION("""COMPUTED_VALUE"""),"0049")</f>
        <v>0049</v>
      </c>
      <c r="C2026" s="32">
        <f>IFERROR(__xludf.DUMMYFUNCTION("""COMPUTED_VALUE"""),46129.70600694444)</f>
        <v>46129.70601</v>
      </c>
      <c r="D2026" s="1">
        <f>IFERROR(__xludf.DUMMYFUNCTION("""COMPUTED_VALUE"""),-6.0)</f>
        <v>-6</v>
      </c>
      <c r="E2026" s="1"/>
      <c r="F2026" s="1"/>
    </row>
    <row r="2027">
      <c r="A2027" s="1" t="str">
        <f>IFERROR(__xludf.DUMMYFUNCTION("""COMPUTED_VALUE"""),"84b69f12")</f>
        <v>84b69f12</v>
      </c>
      <c r="B2027" s="1" t="str">
        <f>IFERROR(__xludf.DUMMYFUNCTION("""COMPUTED_VALUE"""),"0032")</f>
        <v>0032</v>
      </c>
      <c r="C2027" s="32">
        <f>IFERROR(__xludf.DUMMYFUNCTION("""COMPUTED_VALUE"""),46129.70642361111)</f>
        <v>46129.70642</v>
      </c>
      <c r="D2027" s="1">
        <f>IFERROR(__xludf.DUMMYFUNCTION("""COMPUTED_VALUE"""),-6.0)</f>
        <v>-6</v>
      </c>
      <c r="E2027" s="1"/>
      <c r="F2027" s="1"/>
    </row>
    <row r="2028">
      <c r="A2028" s="1" t="str">
        <f>IFERROR(__xludf.DUMMYFUNCTION("""COMPUTED_VALUE"""),"fc51c179")</f>
        <v>fc51c179</v>
      </c>
      <c r="B2028" s="1" t="str">
        <f>IFERROR(__xludf.DUMMYFUNCTION("""COMPUTED_VALUE"""),"0029")</f>
        <v>0029</v>
      </c>
      <c r="C2028" s="32">
        <f>IFERROR(__xludf.DUMMYFUNCTION("""COMPUTED_VALUE"""),46129.70675925926)</f>
        <v>46129.70676</v>
      </c>
      <c r="D2028" s="1">
        <f>IFERROR(__xludf.DUMMYFUNCTION("""COMPUTED_VALUE"""),-5.0)</f>
        <v>-5</v>
      </c>
      <c r="E2028" s="1"/>
      <c r="F2028" s="1"/>
    </row>
    <row r="2029">
      <c r="A2029" s="1" t="str">
        <f>IFERROR(__xludf.DUMMYFUNCTION("""COMPUTED_VALUE"""),"9f27f3b4")</f>
        <v>9f27f3b4</v>
      </c>
      <c r="B2029" s="1" t="str">
        <f>IFERROR(__xludf.DUMMYFUNCTION("""COMPUTED_VALUE"""),"cf6c9481")</f>
        <v>cf6c9481</v>
      </c>
      <c r="C2029" s="32">
        <f>IFERROR(__xludf.DUMMYFUNCTION("""COMPUTED_VALUE"""),46129.75203703704)</f>
        <v>46129.75204</v>
      </c>
      <c r="D2029" s="1">
        <f>IFERROR(__xludf.DUMMYFUNCTION("""COMPUTED_VALUE"""),-7.0)</f>
        <v>-7</v>
      </c>
      <c r="E2029" s="1"/>
      <c r="F2029" s="1"/>
    </row>
    <row r="2030">
      <c r="A2030" s="1" t="str">
        <f>IFERROR(__xludf.DUMMYFUNCTION("""COMPUTED_VALUE"""),"e39ec6de")</f>
        <v>e39ec6de</v>
      </c>
      <c r="B2030" s="1" t="str">
        <f>IFERROR(__xludf.DUMMYFUNCTION("""COMPUTED_VALUE"""),"0038")</f>
        <v>0038</v>
      </c>
      <c r="C2030" s="32">
        <f>IFERROR(__xludf.DUMMYFUNCTION("""COMPUTED_VALUE"""),46129.75550925926)</f>
        <v>46129.75551</v>
      </c>
      <c r="D2030" s="1">
        <f>IFERROR(__xludf.DUMMYFUNCTION("""COMPUTED_VALUE"""),-13.0)</f>
        <v>-13</v>
      </c>
      <c r="E2030" s="1"/>
      <c r="F2030" s="1"/>
    </row>
    <row r="2031">
      <c r="A2031" s="1" t="str">
        <f>IFERROR(__xludf.DUMMYFUNCTION("""COMPUTED_VALUE"""),"17456a66")</f>
        <v>17456a66</v>
      </c>
      <c r="B2031" s="1" t="str">
        <f>IFERROR(__xludf.DUMMYFUNCTION("""COMPUTED_VALUE"""),"0021")</f>
        <v>0021</v>
      </c>
      <c r="C2031" s="32">
        <f>IFERROR(__xludf.DUMMYFUNCTION("""COMPUTED_VALUE"""),46129.757199074076)</f>
        <v>46129.7572</v>
      </c>
      <c r="D2031" s="1">
        <f>IFERROR(__xludf.DUMMYFUNCTION("""COMPUTED_VALUE"""),-20.0)</f>
        <v>-20</v>
      </c>
      <c r="E2031" s="1"/>
      <c r="F2031" s="1"/>
    </row>
    <row r="2032">
      <c r="A2032" s="1" t="str">
        <f>IFERROR(__xludf.DUMMYFUNCTION("""COMPUTED_VALUE"""),"bf36dbb1")</f>
        <v>bf36dbb1</v>
      </c>
      <c r="B2032" s="1" t="str">
        <f>IFERROR(__xludf.DUMMYFUNCTION("""COMPUTED_VALUE"""),"0019")</f>
        <v>0019</v>
      </c>
      <c r="C2032" s="32">
        <f>IFERROR(__xludf.DUMMYFUNCTION("""COMPUTED_VALUE"""),46129.76259259259)</f>
        <v>46129.76259</v>
      </c>
      <c r="D2032" s="1">
        <f>IFERROR(__xludf.DUMMYFUNCTION("""COMPUTED_VALUE"""),4.0)</f>
        <v>4</v>
      </c>
      <c r="E2032" s="1"/>
      <c r="F2032" s="1"/>
    </row>
    <row r="2033">
      <c r="A2033" s="1" t="str">
        <f>IFERROR(__xludf.DUMMYFUNCTION("""COMPUTED_VALUE"""),"3a4fc62b")</f>
        <v>3a4fc62b</v>
      </c>
      <c r="B2033" s="1" t="str">
        <f>IFERROR(__xludf.DUMMYFUNCTION("""COMPUTED_VALUE"""),"bb6c2490")</f>
        <v>bb6c2490</v>
      </c>
      <c r="C2033" s="32">
        <f>IFERROR(__xludf.DUMMYFUNCTION("""COMPUTED_VALUE"""),46130.55180555556)</f>
        <v>46130.55181</v>
      </c>
      <c r="D2033" s="1">
        <f>IFERROR(__xludf.DUMMYFUNCTION("""COMPUTED_VALUE"""),-30.0)</f>
        <v>-30</v>
      </c>
      <c r="E2033" s="1"/>
      <c r="F2033" s="1"/>
    </row>
    <row r="2034">
      <c r="A2034" s="1" t="str">
        <f>IFERROR(__xludf.DUMMYFUNCTION("""COMPUTED_VALUE"""),"e95ba772")</f>
        <v>e95ba772</v>
      </c>
      <c r="B2034" s="1" t="str">
        <f>IFERROR(__xludf.DUMMYFUNCTION("""COMPUTED_VALUE"""),"c099f042")</f>
        <v>c099f042</v>
      </c>
      <c r="C2034" s="32">
        <f>IFERROR(__xludf.DUMMYFUNCTION("""COMPUTED_VALUE"""),46130.684699074074)</f>
        <v>46130.6847</v>
      </c>
      <c r="D2034" s="1">
        <f>IFERROR(__xludf.DUMMYFUNCTION("""COMPUTED_VALUE"""),-19.0)</f>
        <v>-19</v>
      </c>
      <c r="E2034" s="1"/>
      <c r="F2034" s="1"/>
    </row>
    <row r="2035">
      <c r="A2035" s="1" t="str">
        <f>IFERROR(__xludf.DUMMYFUNCTION("""COMPUTED_VALUE"""),"d39a4832")</f>
        <v>d39a4832</v>
      </c>
      <c r="B2035" s="1" t="str">
        <f>IFERROR(__xludf.DUMMYFUNCTION("""COMPUTED_VALUE"""),"12b96290")</f>
        <v>12b96290</v>
      </c>
      <c r="C2035" s="32">
        <f>IFERROR(__xludf.DUMMYFUNCTION("""COMPUTED_VALUE"""),46130.68491898148)</f>
        <v>46130.68492</v>
      </c>
      <c r="D2035" s="1">
        <f>IFERROR(__xludf.DUMMYFUNCTION("""COMPUTED_VALUE"""),-20.0)</f>
        <v>-20</v>
      </c>
      <c r="E2035" s="1"/>
      <c r="F2035" s="1"/>
    </row>
    <row r="2036">
      <c r="A2036" s="1" t="str">
        <f>IFERROR(__xludf.DUMMYFUNCTION("""COMPUTED_VALUE"""),"6c4901db")</f>
        <v>6c4901db</v>
      </c>
      <c r="B2036" s="1" t="str">
        <f>IFERROR(__xludf.DUMMYFUNCTION("""COMPUTED_VALUE"""),"0001")</f>
        <v>0001</v>
      </c>
      <c r="C2036" s="32">
        <f>IFERROR(__xludf.DUMMYFUNCTION("""COMPUTED_VALUE"""),46130.68497685185)</f>
        <v>46130.68498</v>
      </c>
      <c r="D2036" s="1">
        <f>IFERROR(__xludf.DUMMYFUNCTION("""COMPUTED_VALUE"""),-30.0)</f>
        <v>-30</v>
      </c>
      <c r="E2036" s="1"/>
      <c r="F2036" s="1"/>
    </row>
    <row r="2037">
      <c r="A2037" s="1" t="str">
        <f>IFERROR(__xludf.DUMMYFUNCTION("""COMPUTED_VALUE"""),"d3771497")</f>
        <v>d3771497</v>
      </c>
      <c r="B2037" s="1" t="str">
        <f>IFERROR(__xludf.DUMMYFUNCTION("""COMPUTED_VALUE"""),"f30d8158")</f>
        <v>f30d8158</v>
      </c>
      <c r="C2037" s="32">
        <f>IFERROR(__xludf.DUMMYFUNCTION("""COMPUTED_VALUE"""),46130.685162037036)</f>
        <v>46130.68516</v>
      </c>
      <c r="D2037" s="1">
        <f>IFERROR(__xludf.DUMMYFUNCTION("""COMPUTED_VALUE"""),-6.0)</f>
        <v>-6</v>
      </c>
      <c r="E2037" s="1"/>
      <c r="F2037" s="1"/>
    </row>
    <row r="2038">
      <c r="A2038" s="1" t="str">
        <f>IFERROR(__xludf.DUMMYFUNCTION("""COMPUTED_VALUE"""),"d98e373d")</f>
        <v>d98e373d</v>
      </c>
      <c r="B2038" s="1" t="str">
        <f>IFERROR(__xludf.DUMMYFUNCTION("""COMPUTED_VALUE"""),"0033")</f>
        <v>0033</v>
      </c>
      <c r="C2038" s="32">
        <f>IFERROR(__xludf.DUMMYFUNCTION("""COMPUTED_VALUE"""),46130.68537037037)</f>
        <v>46130.68537</v>
      </c>
      <c r="D2038" s="1">
        <f>IFERROR(__xludf.DUMMYFUNCTION("""COMPUTED_VALUE"""),5.0)</f>
        <v>5</v>
      </c>
      <c r="E2038" s="1"/>
      <c r="F2038" s="1"/>
    </row>
    <row r="2039">
      <c r="A2039" s="1" t="str">
        <f>IFERROR(__xludf.DUMMYFUNCTION("""COMPUTED_VALUE"""),"fa574f8e")</f>
        <v>fa574f8e</v>
      </c>
      <c r="B2039" s="1" t="str">
        <f>IFERROR(__xludf.DUMMYFUNCTION("""COMPUTED_VALUE"""),"a19879cf")</f>
        <v>a19879cf</v>
      </c>
      <c r="C2039" s="32">
        <f>IFERROR(__xludf.DUMMYFUNCTION("""COMPUTED_VALUE"""),46130.685740740744)</f>
        <v>46130.68574</v>
      </c>
      <c r="D2039" s="1">
        <f>IFERROR(__xludf.DUMMYFUNCTION("""COMPUTED_VALUE"""),-6.0)</f>
        <v>-6</v>
      </c>
      <c r="E2039" s="1"/>
      <c r="F2039" s="1"/>
    </row>
    <row r="2040">
      <c r="A2040" s="1" t="str">
        <f>IFERROR(__xludf.DUMMYFUNCTION("""COMPUTED_VALUE"""),"a41ccc21")</f>
        <v>a41ccc21</v>
      </c>
      <c r="B2040" s="1" t="str">
        <f>IFERROR(__xludf.DUMMYFUNCTION("""COMPUTED_VALUE"""),"bb4d1bd1")</f>
        <v>bb4d1bd1</v>
      </c>
      <c r="C2040" s="32">
        <f>IFERROR(__xludf.DUMMYFUNCTION("""COMPUTED_VALUE"""),46130.68587962963)</f>
        <v>46130.68588</v>
      </c>
      <c r="D2040" s="1">
        <f>IFERROR(__xludf.DUMMYFUNCTION("""COMPUTED_VALUE"""),-8.0)</f>
        <v>-8</v>
      </c>
      <c r="E2040" s="1"/>
      <c r="F2040" s="1"/>
    </row>
    <row r="2041">
      <c r="A2041" s="1" t="str">
        <f>IFERROR(__xludf.DUMMYFUNCTION("""COMPUTED_VALUE"""),"83bb9bba")</f>
        <v>83bb9bba</v>
      </c>
      <c r="B2041" s="1" t="str">
        <f>IFERROR(__xludf.DUMMYFUNCTION("""COMPUTED_VALUE"""),"0014")</f>
        <v>0014</v>
      </c>
      <c r="C2041" s="32">
        <f>IFERROR(__xludf.DUMMYFUNCTION("""COMPUTED_VALUE"""),46130.68605324074)</f>
        <v>46130.68605</v>
      </c>
      <c r="D2041" s="1">
        <f>IFERROR(__xludf.DUMMYFUNCTION("""COMPUTED_VALUE"""),1.0)</f>
        <v>1</v>
      </c>
      <c r="E2041" s="1"/>
      <c r="F2041" s="1"/>
    </row>
    <row r="2042">
      <c r="A2042" s="1" t="str">
        <f>IFERROR(__xludf.DUMMYFUNCTION("""COMPUTED_VALUE"""),"22b05fa2")</f>
        <v>22b05fa2</v>
      </c>
      <c r="B2042" s="1" t="str">
        <f>IFERROR(__xludf.DUMMYFUNCTION("""COMPUTED_VALUE"""),"0024")</f>
        <v>0024</v>
      </c>
      <c r="C2042" s="32">
        <f>IFERROR(__xludf.DUMMYFUNCTION("""COMPUTED_VALUE"""),46130.68614583334)</f>
        <v>46130.68615</v>
      </c>
      <c r="D2042" s="1">
        <f>IFERROR(__xludf.DUMMYFUNCTION("""COMPUTED_VALUE"""),-10.0)</f>
        <v>-10</v>
      </c>
      <c r="E2042" s="1"/>
      <c r="F2042" s="1"/>
    </row>
    <row r="2043">
      <c r="A2043" s="1" t="str">
        <f>IFERROR(__xludf.DUMMYFUNCTION("""COMPUTED_VALUE"""),"af683070")</f>
        <v>af683070</v>
      </c>
      <c r="B2043" s="1" t="str">
        <f>IFERROR(__xludf.DUMMYFUNCTION("""COMPUTED_VALUE"""),"0032")</f>
        <v>0032</v>
      </c>
      <c r="C2043" s="32">
        <f>IFERROR(__xludf.DUMMYFUNCTION("""COMPUTED_VALUE"""),46130.68636574074)</f>
        <v>46130.68637</v>
      </c>
      <c r="D2043" s="1">
        <f>IFERROR(__xludf.DUMMYFUNCTION("""COMPUTED_VALUE"""),-6.0)</f>
        <v>-6</v>
      </c>
      <c r="E2043" s="1"/>
      <c r="F2043" s="1"/>
    </row>
    <row r="2044">
      <c r="A2044" s="1" t="str">
        <f>IFERROR(__xludf.DUMMYFUNCTION("""COMPUTED_VALUE"""),"5ec9bda2")</f>
        <v>5ec9bda2</v>
      </c>
      <c r="B2044" s="1" t="str">
        <f>IFERROR(__xludf.DUMMYFUNCTION("""COMPUTED_VALUE"""),"0064")</f>
        <v>0064</v>
      </c>
      <c r="C2044" s="32">
        <f>IFERROR(__xludf.DUMMYFUNCTION("""COMPUTED_VALUE"""),46130.6865625)</f>
        <v>46130.68656</v>
      </c>
      <c r="D2044" s="1">
        <f>IFERROR(__xludf.DUMMYFUNCTION("""COMPUTED_VALUE"""),-11.0)</f>
        <v>-11</v>
      </c>
      <c r="E2044" s="1"/>
      <c r="F2044" s="1"/>
    </row>
    <row r="2045">
      <c r="A2045" s="1" t="str">
        <f>IFERROR(__xludf.DUMMYFUNCTION("""COMPUTED_VALUE"""),"83e1dbae")</f>
        <v>83e1dbae</v>
      </c>
      <c r="B2045" s="1" t="str">
        <f>IFERROR(__xludf.DUMMYFUNCTION("""COMPUTED_VALUE"""),"0011")</f>
        <v>0011</v>
      </c>
      <c r="C2045" s="32">
        <f>IFERROR(__xludf.DUMMYFUNCTION("""COMPUTED_VALUE"""),46130.68667824074)</f>
        <v>46130.68668</v>
      </c>
      <c r="D2045" s="1">
        <f>IFERROR(__xludf.DUMMYFUNCTION("""COMPUTED_VALUE"""),-5.0)</f>
        <v>-5</v>
      </c>
      <c r="E2045" s="1"/>
      <c r="F2045" s="1"/>
    </row>
    <row r="2046">
      <c r="A2046" s="1" t="str">
        <f>IFERROR(__xludf.DUMMYFUNCTION("""COMPUTED_VALUE"""),"f5bf1316")</f>
        <v>f5bf1316</v>
      </c>
      <c r="B2046" s="1" t="str">
        <f>IFERROR(__xludf.DUMMYFUNCTION("""COMPUTED_VALUE"""),"0001")</f>
        <v>0001</v>
      </c>
      <c r="C2046" s="32">
        <f>IFERROR(__xludf.DUMMYFUNCTION("""COMPUTED_VALUE"""),46130.687997685185)</f>
        <v>46130.688</v>
      </c>
      <c r="D2046" s="1">
        <f>IFERROR(__xludf.DUMMYFUNCTION("""COMPUTED_VALUE"""),30.0)</f>
        <v>30</v>
      </c>
      <c r="E2046" s="1" t="str">
        <f>IFERROR(__xludf.DUMMYFUNCTION("""COMPUTED_VALUE"""),"3f2a94d8")</f>
        <v>3f2a94d8</v>
      </c>
      <c r="F2046" s="1"/>
    </row>
    <row r="2047">
      <c r="A2047" s="1" t="str">
        <f>IFERROR(__xludf.DUMMYFUNCTION("""COMPUTED_VALUE"""),"9d5d595e")</f>
        <v>9d5d595e</v>
      </c>
      <c r="B2047" s="1" t="str">
        <f>IFERROR(__xludf.DUMMYFUNCTION("""COMPUTED_VALUE"""),"0049")</f>
        <v>0049</v>
      </c>
      <c r="C2047" s="32">
        <f>IFERROR(__xludf.DUMMYFUNCTION("""COMPUTED_VALUE"""),46130.688043981485)</f>
        <v>46130.68804</v>
      </c>
      <c r="D2047" s="1">
        <f>IFERROR(__xludf.DUMMYFUNCTION("""COMPUTED_VALUE"""),24.0)</f>
        <v>24</v>
      </c>
      <c r="E2047" s="1" t="str">
        <f>IFERROR(__xludf.DUMMYFUNCTION("""COMPUTED_VALUE"""),"3f2a94d8")</f>
        <v>3f2a94d8</v>
      </c>
      <c r="F2047" s="1"/>
    </row>
    <row r="2048">
      <c r="A2048" s="1" t="str">
        <f>IFERROR(__xludf.DUMMYFUNCTION("""COMPUTED_VALUE"""),"c774449c")</f>
        <v>c774449c</v>
      </c>
      <c r="B2048" s="1" t="str">
        <f>IFERROR(__xludf.DUMMYFUNCTION("""COMPUTED_VALUE"""),"0064")</f>
        <v>0064</v>
      </c>
      <c r="C2048" s="32">
        <f>IFERROR(__xludf.DUMMYFUNCTION("""COMPUTED_VALUE"""),46130.68809027778)</f>
        <v>46130.68809</v>
      </c>
      <c r="D2048" s="1">
        <f>IFERROR(__xludf.DUMMYFUNCTION("""COMPUTED_VALUE"""),54.0)</f>
        <v>54</v>
      </c>
      <c r="E2048" s="1" t="str">
        <f>IFERROR(__xludf.DUMMYFUNCTION("""COMPUTED_VALUE"""),"3f2a94d8")</f>
        <v>3f2a94d8</v>
      </c>
      <c r="F2048" s="1"/>
    </row>
    <row r="2049">
      <c r="A2049" s="1" t="str">
        <f>IFERROR(__xludf.DUMMYFUNCTION("""COMPUTED_VALUE"""),"d0e12f3a")</f>
        <v>d0e12f3a</v>
      </c>
      <c r="B2049" s="1" t="str">
        <f>IFERROR(__xludf.DUMMYFUNCTION("""COMPUTED_VALUE"""),"0032")</f>
        <v>0032</v>
      </c>
      <c r="C2049" s="32">
        <f>IFERROR(__xludf.DUMMYFUNCTION("""COMPUTED_VALUE"""),46130.68813657408)</f>
        <v>46130.68814</v>
      </c>
      <c r="D2049" s="1">
        <f>IFERROR(__xludf.DUMMYFUNCTION("""COMPUTED_VALUE"""),54.0)</f>
        <v>54</v>
      </c>
      <c r="E2049" s="1" t="str">
        <f>IFERROR(__xludf.DUMMYFUNCTION("""COMPUTED_VALUE"""),"3f2a94d8")</f>
        <v>3f2a94d8</v>
      </c>
      <c r="F2049" s="1"/>
    </row>
    <row r="2050">
      <c r="A2050" s="1" t="str">
        <f>IFERROR(__xludf.DUMMYFUNCTION("""COMPUTED_VALUE"""),"7eacacfb")</f>
        <v>7eacacfb</v>
      </c>
      <c r="B2050" s="1" t="str">
        <f>IFERROR(__xludf.DUMMYFUNCTION("""COMPUTED_VALUE"""),"0024")</f>
        <v>0024</v>
      </c>
      <c r="C2050" s="32">
        <f>IFERROR(__xludf.DUMMYFUNCTION("""COMPUTED_VALUE"""),46130.68818287037)</f>
        <v>46130.68818</v>
      </c>
      <c r="D2050" s="1">
        <f>IFERROR(__xludf.DUMMYFUNCTION("""COMPUTED_VALUE"""),10.0)</f>
        <v>10</v>
      </c>
      <c r="E2050" s="1" t="str">
        <f>IFERROR(__xludf.DUMMYFUNCTION("""COMPUTED_VALUE"""),"3f2a94d8")</f>
        <v>3f2a94d8</v>
      </c>
      <c r="F2050" s="1"/>
    </row>
    <row r="2051">
      <c r="A2051" s="1" t="str">
        <f>IFERROR(__xludf.DUMMYFUNCTION("""COMPUTED_VALUE"""),"11ad5a4a")</f>
        <v>11ad5a4a</v>
      </c>
      <c r="B2051" s="1" t="str">
        <f>IFERROR(__xludf.DUMMYFUNCTION("""COMPUTED_VALUE"""),"0001")</f>
        <v>0001</v>
      </c>
      <c r="C2051" s="32">
        <f>IFERROR(__xludf.DUMMYFUNCTION("""COMPUTED_VALUE"""),46130.68840277778)</f>
        <v>46130.6884</v>
      </c>
      <c r="D2051" s="1">
        <f>IFERROR(__xludf.DUMMYFUNCTION("""COMPUTED_VALUE"""),2.0)</f>
        <v>2</v>
      </c>
      <c r="E2051" s="1"/>
      <c r="F2051" s="1"/>
    </row>
    <row r="2052">
      <c r="A2052" s="1" t="str">
        <f>IFERROR(__xludf.DUMMYFUNCTION("""COMPUTED_VALUE"""),"bc0cc702")</f>
        <v>bc0cc702</v>
      </c>
      <c r="B2052" s="1" t="str">
        <f>IFERROR(__xludf.DUMMYFUNCTION("""COMPUTED_VALUE"""),"0029")</f>
        <v>0029</v>
      </c>
      <c r="C2052" s="32">
        <f>IFERROR(__xludf.DUMMYFUNCTION("""COMPUTED_VALUE"""),46130.732824074075)</f>
        <v>46130.73282</v>
      </c>
      <c r="D2052" s="1">
        <f>IFERROR(__xludf.DUMMYFUNCTION("""COMPUTED_VALUE"""),72.0)</f>
        <v>72</v>
      </c>
      <c r="E2052" s="1"/>
      <c r="F2052" s="1"/>
    </row>
    <row r="2053">
      <c r="A2053" s="1" t="str">
        <f>IFERROR(__xludf.DUMMYFUNCTION("""COMPUTED_VALUE"""),"2eded986")</f>
        <v>2eded986</v>
      </c>
      <c r="B2053" s="1" t="str">
        <f>IFERROR(__xludf.DUMMYFUNCTION("""COMPUTED_VALUE"""),"a19879cf")</f>
        <v>a19879cf</v>
      </c>
      <c r="C2053" s="32">
        <f>IFERROR(__xludf.DUMMYFUNCTION("""COMPUTED_VALUE"""),46130.801712962966)</f>
        <v>46130.80171</v>
      </c>
      <c r="D2053" s="1">
        <f>IFERROR(__xludf.DUMMYFUNCTION("""COMPUTED_VALUE"""),29.0)</f>
        <v>29</v>
      </c>
      <c r="E2053" s="1"/>
      <c r="F2053" s="1"/>
    </row>
    <row r="2054">
      <c r="A2054" s="1" t="str">
        <f>IFERROR(__xludf.DUMMYFUNCTION("""COMPUTED_VALUE"""),"2d65e155")</f>
        <v>2d65e155</v>
      </c>
      <c r="B2054" s="1" t="str">
        <f>IFERROR(__xludf.DUMMYFUNCTION("""COMPUTED_VALUE"""),"02d86a9b")</f>
        <v>02d86a9b</v>
      </c>
      <c r="C2054" s="32">
        <f>IFERROR(__xludf.DUMMYFUNCTION("""COMPUTED_VALUE"""),46130.80243055556)</f>
        <v>46130.80243</v>
      </c>
      <c r="D2054" s="1">
        <f>IFERROR(__xludf.DUMMYFUNCTION("""COMPUTED_VALUE"""),14.0)</f>
        <v>14</v>
      </c>
      <c r="E2054" s="1"/>
      <c r="F2054" s="1"/>
    </row>
    <row r="2055">
      <c r="A2055" s="1" t="str">
        <f>IFERROR(__xludf.DUMMYFUNCTION("""COMPUTED_VALUE"""),"d5c211b4")</f>
        <v>d5c211b4</v>
      </c>
      <c r="B2055" s="1" t="str">
        <f>IFERROR(__xludf.DUMMYFUNCTION("""COMPUTED_VALUE"""),"0001")</f>
        <v>0001</v>
      </c>
      <c r="C2055" s="32">
        <f>IFERROR(__xludf.DUMMYFUNCTION("""COMPUTED_VALUE"""),46130.807280092595)</f>
        <v>46130.80728</v>
      </c>
      <c r="D2055" s="1">
        <f>IFERROR(__xludf.DUMMYFUNCTION("""COMPUTED_VALUE"""),330.0)</f>
        <v>330</v>
      </c>
      <c r="E2055" s="1" t="str">
        <f>IFERROR(__xludf.DUMMYFUNCTION("""COMPUTED_VALUE"""),"e78fc3c9")</f>
        <v>e78fc3c9</v>
      </c>
      <c r="F2055" s="1"/>
    </row>
    <row r="2056">
      <c r="A2056" s="1" t="str">
        <f>IFERROR(__xludf.DUMMYFUNCTION("""COMPUTED_VALUE"""),"6729976d")</f>
        <v>6729976d</v>
      </c>
      <c r="B2056" s="1" t="str">
        <f>IFERROR(__xludf.DUMMYFUNCTION("""COMPUTED_VALUE"""),"12b96290")</f>
        <v>12b96290</v>
      </c>
      <c r="C2056" s="32">
        <f>IFERROR(__xludf.DUMMYFUNCTION("""COMPUTED_VALUE"""),46130.80732638889)</f>
        <v>46130.80733</v>
      </c>
      <c r="D2056" s="1">
        <f>IFERROR(__xludf.DUMMYFUNCTION("""COMPUTED_VALUE"""),105.0)</f>
        <v>105</v>
      </c>
      <c r="E2056" s="1" t="str">
        <f>IFERROR(__xludf.DUMMYFUNCTION("""COMPUTED_VALUE"""),"e78fc3c9")</f>
        <v>e78fc3c9</v>
      </c>
      <c r="F2056" s="1"/>
    </row>
    <row r="2057">
      <c r="A2057" s="1" t="str">
        <f>IFERROR(__xludf.DUMMYFUNCTION("""COMPUTED_VALUE"""),"a1678e6d")</f>
        <v>a1678e6d</v>
      </c>
      <c r="B2057" s="1" t="str">
        <f>IFERROR(__xludf.DUMMYFUNCTION("""COMPUTED_VALUE"""),"0027")</f>
        <v>0027</v>
      </c>
      <c r="C2057" s="32">
        <f>IFERROR(__xludf.DUMMYFUNCTION("""COMPUTED_VALUE"""),46130.81055555555)</f>
        <v>46130.81056</v>
      </c>
      <c r="D2057" s="1">
        <f>IFERROR(__xludf.DUMMYFUNCTION("""COMPUTED_VALUE"""),25.0)</f>
        <v>25</v>
      </c>
      <c r="E2057" s="1" t="str">
        <f>IFERROR(__xludf.DUMMYFUNCTION("""COMPUTED_VALUE"""),"ead44bd8")</f>
        <v>ead44bd8</v>
      </c>
      <c r="F2057" s="1"/>
    </row>
    <row r="2058">
      <c r="A2058" s="1" t="str">
        <f>IFERROR(__xludf.DUMMYFUNCTION("""COMPUTED_VALUE"""),"4429cb9f")</f>
        <v>4429cb9f</v>
      </c>
      <c r="B2058" s="1" t="str">
        <f>IFERROR(__xludf.DUMMYFUNCTION("""COMPUTED_VALUE"""),"0029")</f>
        <v>0029</v>
      </c>
      <c r="C2058" s="32">
        <f>IFERROR(__xludf.DUMMYFUNCTION("""COMPUTED_VALUE"""),46130.810590277775)</f>
        <v>46130.81059</v>
      </c>
      <c r="D2058" s="1">
        <f>IFERROR(__xludf.DUMMYFUNCTION("""COMPUTED_VALUE"""),24.0)</f>
        <v>24</v>
      </c>
      <c r="E2058" s="1" t="str">
        <f>IFERROR(__xludf.DUMMYFUNCTION("""COMPUTED_VALUE"""),"ead44bd8")</f>
        <v>ead44bd8</v>
      </c>
      <c r="F2058" s="1"/>
    </row>
    <row r="2059">
      <c r="A2059" s="1" t="str">
        <f>IFERROR(__xludf.DUMMYFUNCTION("""COMPUTED_VALUE"""),"5a6956be")</f>
        <v>5a6956be</v>
      </c>
      <c r="B2059" s="1" t="str">
        <f>IFERROR(__xludf.DUMMYFUNCTION("""COMPUTED_VALUE"""),"70bdbe11")</f>
        <v>70bdbe11</v>
      </c>
      <c r="C2059" s="32">
        <f>IFERROR(__xludf.DUMMYFUNCTION("""COMPUTED_VALUE"""),46130.810636574075)</f>
        <v>46130.81064</v>
      </c>
      <c r="D2059" s="1">
        <f>IFERROR(__xludf.DUMMYFUNCTION("""COMPUTED_VALUE"""),48.0)</f>
        <v>48</v>
      </c>
      <c r="E2059" s="1" t="str">
        <f>IFERROR(__xludf.DUMMYFUNCTION("""COMPUTED_VALUE"""),"ead44bd8")</f>
        <v>ead44bd8</v>
      </c>
      <c r="F2059" s="1"/>
    </row>
    <row r="2060">
      <c r="A2060" s="1" t="str">
        <f>IFERROR(__xludf.DUMMYFUNCTION("""COMPUTED_VALUE"""),"e4a41b8a")</f>
        <v>e4a41b8a</v>
      </c>
      <c r="B2060" s="1" t="str">
        <f>IFERROR(__xludf.DUMMYFUNCTION("""COMPUTED_VALUE"""),"0014")</f>
        <v>0014</v>
      </c>
      <c r="C2060" s="32">
        <f>IFERROR(__xludf.DUMMYFUNCTION("""COMPUTED_VALUE"""),46130.81068287037)</f>
        <v>46130.81068</v>
      </c>
      <c r="D2060" s="1">
        <f>IFERROR(__xludf.DUMMYFUNCTION("""COMPUTED_VALUE"""),30.0)</f>
        <v>30</v>
      </c>
      <c r="E2060" s="1" t="str">
        <f>IFERROR(__xludf.DUMMYFUNCTION("""COMPUTED_VALUE"""),"ead44bd8")</f>
        <v>ead44bd8</v>
      </c>
      <c r="F2060" s="1"/>
    </row>
    <row r="2061">
      <c r="A2061" s="1" t="str">
        <f>IFERROR(__xludf.DUMMYFUNCTION("""COMPUTED_VALUE"""),"64a2acbe")</f>
        <v>64a2acbe</v>
      </c>
      <c r="B2061" s="1" t="str">
        <f>IFERROR(__xludf.DUMMYFUNCTION("""COMPUTED_VALUE"""),"bb6c2490")</f>
        <v>bb6c2490</v>
      </c>
      <c r="C2061" s="32">
        <f>IFERROR(__xludf.DUMMYFUNCTION("""COMPUTED_VALUE"""),46130.81072916667)</f>
        <v>46130.81073</v>
      </c>
      <c r="D2061" s="1">
        <f>IFERROR(__xludf.DUMMYFUNCTION("""COMPUTED_VALUE"""),54.0)</f>
        <v>54</v>
      </c>
      <c r="E2061" s="1" t="str">
        <f>IFERROR(__xludf.DUMMYFUNCTION("""COMPUTED_VALUE"""),"ead44bd8")</f>
        <v>ead44bd8</v>
      </c>
      <c r="F2061" s="1"/>
    </row>
    <row r="2062">
      <c r="A2062" s="1" t="str">
        <f>IFERROR(__xludf.DUMMYFUNCTION("""COMPUTED_VALUE"""),"335ae1df")</f>
        <v>335ae1df</v>
      </c>
      <c r="B2062" s="1" t="str">
        <f>IFERROR(__xludf.DUMMYFUNCTION("""COMPUTED_VALUE"""),"a19879cf")</f>
        <v>a19879cf</v>
      </c>
      <c r="C2062" s="32">
        <f>IFERROR(__xludf.DUMMYFUNCTION("""COMPUTED_VALUE"""),46130.81077546296)</f>
        <v>46130.81078</v>
      </c>
      <c r="D2062" s="1">
        <f>IFERROR(__xludf.DUMMYFUNCTION("""COMPUTED_VALUE"""),72.0)</f>
        <v>72</v>
      </c>
      <c r="E2062" s="1" t="str">
        <f>IFERROR(__xludf.DUMMYFUNCTION("""COMPUTED_VALUE"""),"ead44bd8")</f>
        <v>ead44bd8</v>
      </c>
      <c r="F2062" s="1"/>
    </row>
    <row r="2063">
      <c r="A2063" s="1" t="str">
        <f>IFERROR(__xludf.DUMMYFUNCTION("""COMPUTED_VALUE"""),"dde5efd9")</f>
        <v>dde5efd9</v>
      </c>
      <c r="B2063" s="1" t="str">
        <f>IFERROR(__xludf.DUMMYFUNCTION("""COMPUTED_VALUE"""),"bb4d1bd1")</f>
        <v>bb4d1bd1</v>
      </c>
      <c r="C2063" s="32">
        <f>IFERROR(__xludf.DUMMYFUNCTION("""COMPUTED_VALUE"""),46130.81083333334)</f>
        <v>46130.81083</v>
      </c>
      <c r="D2063" s="1">
        <f>IFERROR(__xludf.DUMMYFUNCTION("""COMPUTED_VALUE"""),72.0)</f>
        <v>72</v>
      </c>
      <c r="E2063" s="1" t="str">
        <f>IFERROR(__xludf.DUMMYFUNCTION("""COMPUTED_VALUE"""),"ead44bd8")</f>
        <v>ead44bd8</v>
      </c>
      <c r="F2063" s="1"/>
    </row>
    <row r="2064">
      <c r="A2064" s="1" t="str">
        <f>IFERROR(__xludf.DUMMYFUNCTION("""COMPUTED_VALUE"""),"d8d76d75")</f>
        <v>d8d76d75</v>
      </c>
      <c r="B2064" s="1" t="str">
        <f>IFERROR(__xludf.DUMMYFUNCTION("""COMPUTED_VALUE"""),"02d86a9b")</f>
        <v>02d86a9b</v>
      </c>
      <c r="C2064" s="32">
        <f>IFERROR(__xludf.DUMMYFUNCTION("""COMPUTED_VALUE"""),46130.81087962963)</f>
        <v>46130.81088</v>
      </c>
      <c r="D2064" s="1">
        <f>IFERROR(__xludf.DUMMYFUNCTION("""COMPUTED_VALUE"""),96.0)</f>
        <v>96</v>
      </c>
      <c r="E2064" s="1" t="str">
        <f>IFERROR(__xludf.DUMMYFUNCTION("""COMPUTED_VALUE"""),"ead44bd8")</f>
        <v>ead44bd8</v>
      </c>
      <c r="F2064" s="1"/>
    </row>
    <row r="2065">
      <c r="A2065" s="1" t="str">
        <f>IFERROR(__xludf.DUMMYFUNCTION("""COMPUTED_VALUE"""),"758c7e66")</f>
        <v>758c7e66</v>
      </c>
      <c r="B2065" s="1" t="str">
        <f>IFERROR(__xludf.DUMMYFUNCTION("""COMPUTED_VALUE"""),"cf6c9481")</f>
        <v>cf6c9481</v>
      </c>
      <c r="C2065" s="32">
        <f>IFERROR(__xludf.DUMMYFUNCTION("""COMPUTED_VALUE"""),46130.81114583334)</f>
        <v>46130.81115</v>
      </c>
      <c r="D2065" s="1">
        <f>IFERROR(__xludf.DUMMYFUNCTION("""COMPUTED_VALUE"""),30.0)</f>
        <v>30</v>
      </c>
      <c r="E2065" s="1" t="str">
        <f>IFERROR(__xludf.DUMMYFUNCTION("""COMPUTED_VALUE"""),"691f5194")</f>
        <v>691f5194</v>
      </c>
      <c r="F2065" s="1"/>
    </row>
    <row r="2066">
      <c r="A2066" s="1" t="str">
        <f>IFERROR(__xludf.DUMMYFUNCTION("""COMPUTED_VALUE"""),"7444d325")</f>
        <v>7444d325</v>
      </c>
      <c r="B2066" s="1" t="str">
        <f>IFERROR(__xludf.DUMMYFUNCTION("""COMPUTED_VALUE"""),"bb6c2490")</f>
        <v>bb6c2490</v>
      </c>
      <c r="C2066" s="32">
        <f>IFERROR(__xludf.DUMMYFUNCTION("""COMPUTED_VALUE"""),46131.54917824074)</f>
        <v>46131.54918</v>
      </c>
      <c r="D2066" s="1">
        <f>IFERROR(__xludf.DUMMYFUNCTION("""COMPUTED_VALUE"""),-23.0)</f>
        <v>-23</v>
      </c>
      <c r="E2066" s="1"/>
      <c r="F2066" s="1"/>
    </row>
    <row r="2067">
      <c r="A2067" s="1" t="str">
        <f>IFERROR(__xludf.DUMMYFUNCTION("""COMPUTED_VALUE"""),"78034a12")</f>
        <v>78034a12</v>
      </c>
      <c r="B2067" s="1" t="str">
        <f>IFERROR(__xludf.DUMMYFUNCTION("""COMPUTED_VALUE"""),"a19879cf")</f>
        <v>a19879cf</v>
      </c>
      <c r="C2067" s="32">
        <f>IFERROR(__xludf.DUMMYFUNCTION("""COMPUTED_VALUE"""),46131.549375)</f>
        <v>46131.54938</v>
      </c>
      <c r="D2067" s="1">
        <f>IFERROR(__xludf.DUMMYFUNCTION("""COMPUTED_VALUE"""),-31.0)</f>
        <v>-31</v>
      </c>
      <c r="E2067" s="1"/>
      <c r="F2067" s="1"/>
    </row>
    <row r="2068">
      <c r="A2068" s="1" t="str">
        <f>IFERROR(__xludf.DUMMYFUNCTION("""COMPUTED_VALUE"""),"a78a1587")</f>
        <v>a78a1587</v>
      </c>
      <c r="B2068" s="1" t="str">
        <f>IFERROR(__xludf.DUMMYFUNCTION("""COMPUTED_VALUE"""),"0001")</f>
        <v>0001</v>
      </c>
      <c r="C2068" s="32">
        <f>IFERROR(__xludf.DUMMYFUNCTION("""COMPUTED_VALUE"""),46131.54958333333)</f>
        <v>46131.54958</v>
      </c>
      <c r="D2068" s="1">
        <f>IFERROR(__xludf.DUMMYFUNCTION("""COMPUTED_VALUE"""),-18.0)</f>
        <v>-18</v>
      </c>
      <c r="E2068" s="1"/>
      <c r="F2068" s="1"/>
    </row>
    <row r="2069">
      <c r="A2069" s="1" t="str">
        <f>IFERROR(__xludf.DUMMYFUNCTION("""COMPUTED_VALUE"""),"964d5bc3")</f>
        <v>964d5bc3</v>
      </c>
      <c r="B2069" s="1" t="str">
        <f>IFERROR(__xludf.DUMMYFUNCTION("""COMPUTED_VALUE"""),"0027")</f>
        <v>0027</v>
      </c>
      <c r="C2069" s="32">
        <f>IFERROR(__xludf.DUMMYFUNCTION("""COMPUTED_VALUE"""),46131.54974537037)</f>
        <v>46131.54975</v>
      </c>
      <c r="D2069" s="1">
        <f>IFERROR(__xludf.DUMMYFUNCTION("""COMPUTED_VALUE"""),-20.0)</f>
        <v>-20</v>
      </c>
      <c r="E2069" s="1"/>
      <c r="F2069" s="1"/>
    </row>
    <row r="2070">
      <c r="A2070" s="1" t="str">
        <f>IFERROR(__xludf.DUMMYFUNCTION("""COMPUTED_VALUE"""),"f83527d7")</f>
        <v>f83527d7</v>
      </c>
      <c r="B2070" s="1" t="str">
        <f>IFERROR(__xludf.DUMMYFUNCTION("""COMPUTED_VALUE"""),"83dd14b5")</f>
        <v>83dd14b5</v>
      </c>
      <c r="C2070" s="32">
        <f>IFERROR(__xludf.DUMMYFUNCTION("""COMPUTED_VALUE"""),46131.54988425926)</f>
        <v>46131.54988</v>
      </c>
      <c r="D2070" s="1">
        <f>IFERROR(__xludf.DUMMYFUNCTION("""COMPUTED_VALUE"""),-28.0)</f>
        <v>-28</v>
      </c>
      <c r="E2070" s="1"/>
      <c r="F2070" s="1"/>
    </row>
    <row r="2071">
      <c r="A2071" s="1" t="str">
        <f>IFERROR(__xludf.DUMMYFUNCTION("""COMPUTED_VALUE"""),"f2a23619")</f>
        <v>f2a23619</v>
      </c>
      <c r="B2071" s="1" t="str">
        <f>IFERROR(__xludf.DUMMYFUNCTION("""COMPUTED_VALUE"""),"12b96290")</f>
        <v>12b96290</v>
      </c>
      <c r="C2071" s="32">
        <f>IFERROR(__xludf.DUMMYFUNCTION("""COMPUTED_VALUE"""),46131.550046296295)</f>
        <v>46131.55005</v>
      </c>
      <c r="D2071" s="1">
        <f>IFERROR(__xludf.DUMMYFUNCTION("""COMPUTED_VALUE"""),-28.0)</f>
        <v>-28</v>
      </c>
      <c r="E2071" s="1"/>
      <c r="F2071" s="1"/>
    </row>
    <row r="2072">
      <c r="A2072" s="1" t="str">
        <f>IFERROR(__xludf.DUMMYFUNCTION("""COMPUTED_VALUE"""),"c07d5648")</f>
        <v>c07d5648</v>
      </c>
      <c r="B2072" s="1" t="str">
        <f>IFERROR(__xludf.DUMMYFUNCTION("""COMPUTED_VALUE"""),"0014")</f>
        <v>0014</v>
      </c>
      <c r="C2072" s="32">
        <f>IFERROR(__xludf.DUMMYFUNCTION("""COMPUTED_VALUE"""),46131.550162037034)</f>
        <v>46131.55016</v>
      </c>
      <c r="D2072" s="1">
        <f>IFERROR(__xludf.DUMMYFUNCTION("""COMPUTED_VALUE"""),-6.0)</f>
        <v>-6</v>
      </c>
      <c r="E2072" s="1"/>
      <c r="F2072" s="1"/>
    </row>
    <row r="2073">
      <c r="A2073" s="1" t="str">
        <f>IFERROR(__xludf.DUMMYFUNCTION("""COMPUTED_VALUE"""),"6c8ae733")</f>
        <v>6c8ae733</v>
      </c>
      <c r="B2073" s="1" t="str">
        <f>IFERROR(__xludf.DUMMYFUNCTION("""COMPUTED_VALUE"""),"0049")</f>
        <v>0049</v>
      </c>
      <c r="C2073" s="32">
        <f>IFERROR(__xludf.DUMMYFUNCTION("""COMPUTED_VALUE"""),46131.55032407407)</f>
        <v>46131.55032</v>
      </c>
      <c r="D2073" s="1">
        <f>IFERROR(__xludf.DUMMYFUNCTION("""COMPUTED_VALUE"""),-11.0)</f>
        <v>-11</v>
      </c>
      <c r="E2073" s="1"/>
      <c r="F2073" s="1"/>
    </row>
    <row r="2074">
      <c r="A2074" s="1" t="str">
        <f>IFERROR(__xludf.DUMMYFUNCTION("""COMPUTED_VALUE"""),"e3c01564")</f>
        <v>e3c01564</v>
      </c>
      <c r="B2074" s="1" t="str">
        <f>IFERROR(__xludf.DUMMYFUNCTION("""COMPUTED_VALUE"""),"70bdbe11")</f>
        <v>70bdbe11</v>
      </c>
      <c r="C2074" s="32">
        <f>IFERROR(__xludf.DUMMYFUNCTION("""COMPUTED_VALUE"""),46131.55043981481)</f>
        <v>46131.55044</v>
      </c>
      <c r="D2074" s="1">
        <f>IFERROR(__xludf.DUMMYFUNCTION("""COMPUTED_VALUE"""),-11.0)</f>
        <v>-11</v>
      </c>
      <c r="E2074" s="1"/>
      <c r="F2074" s="1"/>
    </row>
    <row r="2075">
      <c r="A2075" s="1" t="str">
        <f>IFERROR(__xludf.DUMMYFUNCTION("""COMPUTED_VALUE"""),"644b542c")</f>
        <v>644b542c</v>
      </c>
      <c r="B2075" s="1" t="str">
        <f>IFERROR(__xludf.DUMMYFUNCTION("""COMPUTED_VALUE"""),"cf6c9481")</f>
        <v>cf6c9481</v>
      </c>
      <c r="C2075" s="32">
        <f>IFERROR(__xludf.DUMMYFUNCTION("""COMPUTED_VALUE"""),46131.55055555556)</f>
        <v>46131.55056</v>
      </c>
      <c r="D2075" s="1">
        <f>IFERROR(__xludf.DUMMYFUNCTION("""COMPUTED_VALUE"""),-9.0)</f>
        <v>-9</v>
      </c>
      <c r="E2075" s="1"/>
      <c r="F2075" s="1"/>
    </row>
    <row r="2076">
      <c r="A2076" s="1" t="str">
        <f>IFERROR(__xludf.DUMMYFUNCTION("""COMPUTED_VALUE"""),"1bafa5e5")</f>
        <v>1bafa5e5</v>
      </c>
      <c r="B2076" s="1" t="str">
        <f>IFERROR(__xludf.DUMMYFUNCTION("""COMPUTED_VALUE"""),"0029")</f>
        <v>0029</v>
      </c>
      <c r="C2076" s="32">
        <f>IFERROR(__xludf.DUMMYFUNCTION("""COMPUTED_VALUE"""),46131.550671296296)</f>
        <v>46131.55067</v>
      </c>
      <c r="D2076" s="1">
        <f>IFERROR(__xludf.DUMMYFUNCTION("""COMPUTED_VALUE"""),-9.0)</f>
        <v>-9</v>
      </c>
      <c r="E2076" s="1"/>
      <c r="F2076" s="1"/>
    </row>
    <row r="2077">
      <c r="A2077" s="1" t="str">
        <f>IFERROR(__xludf.DUMMYFUNCTION("""COMPUTED_VALUE"""),"98b7ab36")</f>
        <v>98b7ab36</v>
      </c>
      <c r="B2077" s="1" t="str">
        <f>IFERROR(__xludf.DUMMYFUNCTION("""COMPUTED_VALUE"""),"c099f042")</f>
        <v>c099f042</v>
      </c>
      <c r="C2077" s="32">
        <f>IFERROR(__xludf.DUMMYFUNCTION("""COMPUTED_VALUE"""),46131.550775462965)</f>
        <v>46131.55078</v>
      </c>
      <c r="D2077" s="1">
        <f>IFERROR(__xludf.DUMMYFUNCTION("""COMPUTED_VALUE"""),-7.0)</f>
        <v>-7</v>
      </c>
      <c r="E2077" s="1"/>
      <c r="F2077" s="1"/>
    </row>
    <row r="2078">
      <c r="A2078" s="1" t="str">
        <f>IFERROR(__xludf.DUMMYFUNCTION("""COMPUTED_VALUE"""),"a4d34664")</f>
        <v>a4d34664</v>
      </c>
      <c r="B2078" s="1" t="str">
        <f>IFERROR(__xludf.DUMMYFUNCTION("""COMPUTED_VALUE"""),"0064")</f>
        <v>0064</v>
      </c>
      <c r="C2078" s="32">
        <f>IFERROR(__xludf.DUMMYFUNCTION("""COMPUTED_VALUE"""),46131.55094907407)</f>
        <v>46131.55095</v>
      </c>
      <c r="D2078" s="1">
        <f>IFERROR(__xludf.DUMMYFUNCTION("""COMPUTED_VALUE"""),-11.0)</f>
        <v>-11</v>
      </c>
      <c r="E2078" s="1"/>
      <c r="F2078" s="1"/>
    </row>
    <row r="2079">
      <c r="A2079" s="1" t="str">
        <f>IFERROR(__xludf.DUMMYFUNCTION("""COMPUTED_VALUE"""),"d091004d")</f>
        <v>d091004d</v>
      </c>
      <c r="B2079" s="1" t="str">
        <f>IFERROR(__xludf.DUMMYFUNCTION("""COMPUTED_VALUE"""),"0032")</f>
        <v>0032</v>
      </c>
      <c r="C2079" s="32">
        <f>IFERROR(__xludf.DUMMYFUNCTION("""COMPUTED_VALUE"""),46131.551087962966)</f>
        <v>46131.55109</v>
      </c>
      <c r="D2079" s="1">
        <f>IFERROR(__xludf.DUMMYFUNCTION("""COMPUTED_VALUE"""),-7.0)</f>
        <v>-7</v>
      </c>
      <c r="E2079" s="1"/>
      <c r="F2079" s="1"/>
    </row>
    <row r="2080">
      <c r="A2080" s="1" t="str">
        <f>IFERROR(__xludf.DUMMYFUNCTION("""COMPUTED_VALUE"""),"9e33b3da")</f>
        <v>9e33b3da</v>
      </c>
      <c r="B2080" s="1" t="str">
        <f>IFERROR(__xludf.DUMMYFUNCTION("""COMPUTED_VALUE"""),"0002")</f>
        <v>0002</v>
      </c>
      <c r="C2080" s="32">
        <f>IFERROR(__xludf.DUMMYFUNCTION("""COMPUTED_VALUE"""),46131.5512962963)</f>
        <v>46131.5513</v>
      </c>
      <c r="D2080" s="1">
        <f>IFERROR(__xludf.DUMMYFUNCTION("""COMPUTED_VALUE"""),-60.0)</f>
        <v>-60</v>
      </c>
      <c r="E2080" s="1"/>
      <c r="F2080" s="1"/>
    </row>
    <row r="2081">
      <c r="A2081" s="1" t="str">
        <f>IFERROR(__xludf.DUMMYFUNCTION("""COMPUTED_VALUE"""),"27fc91df")</f>
        <v>27fc91df</v>
      </c>
      <c r="B2081" s="1" t="str">
        <f>IFERROR(__xludf.DUMMYFUNCTION("""COMPUTED_VALUE"""),"0011")</f>
        <v>0011</v>
      </c>
      <c r="C2081" s="32">
        <f>IFERROR(__xludf.DUMMYFUNCTION("""COMPUTED_VALUE"""),46131.551712962966)</f>
        <v>46131.55171</v>
      </c>
      <c r="D2081" s="1">
        <f>IFERROR(__xludf.DUMMYFUNCTION("""COMPUTED_VALUE"""),-9.0)</f>
        <v>-9</v>
      </c>
      <c r="E2081" s="1"/>
      <c r="F2081" s="1"/>
    </row>
    <row r="2082">
      <c r="A2082" s="1" t="str">
        <f>IFERROR(__xludf.DUMMYFUNCTION("""COMPUTED_VALUE"""),"99afb8e8")</f>
        <v>99afb8e8</v>
      </c>
      <c r="B2082" s="1" t="str">
        <f>IFERROR(__xludf.DUMMYFUNCTION("""COMPUTED_VALUE"""),"02d86a9b")</f>
        <v>02d86a9b</v>
      </c>
      <c r="C2082" s="32">
        <f>IFERROR(__xludf.DUMMYFUNCTION("""COMPUTED_VALUE"""),46131.55186342593)</f>
        <v>46131.55186</v>
      </c>
      <c r="D2082" s="1">
        <f>IFERROR(__xludf.DUMMYFUNCTION("""COMPUTED_VALUE"""),-16.0)</f>
        <v>-16</v>
      </c>
      <c r="E2082" s="1"/>
      <c r="F2082" s="1"/>
    </row>
    <row r="2083">
      <c r="A2083" s="1" t="str">
        <f>IFERROR(__xludf.DUMMYFUNCTION("""COMPUTED_VALUE"""),"9ffc1fc4")</f>
        <v>9ffc1fc4</v>
      </c>
      <c r="B2083" s="1" t="str">
        <f>IFERROR(__xludf.DUMMYFUNCTION("""COMPUTED_VALUE"""),"bb4d1bd1")</f>
        <v>bb4d1bd1</v>
      </c>
      <c r="C2083" s="32">
        <f>IFERROR(__xludf.DUMMYFUNCTION("""COMPUTED_VALUE"""),46131.55199074074)</f>
        <v>46131.55199</v>
      </c>
      <c r="D2083" s="1">
        <f>IFERROR(__xludf.DUMMYFUNCTION("""COMPUTED_VALUE"""),-10.0)</f>
        <v>-10</v>
      </c>
      <c r="E2083" s="1"/>
      <c r="F2083" s="1"/>
    </row>
    <row r="2084">
      <c r="A2084" s="1" t="str">
        <f>IFERROR(__xludf.DUMMYFUNCTION("""COMPUTED_VALUE"""),"6b513ee2")</f>
        <v>6b513ee2</v>
      </c>
      <c r="B2084" s="1" t="str">
        <f>IFERROR(__xludf.DUMMYFUNCTION("""COMPUTED_VALUE"""),"ed187a9e")</f>
        <v>ed187a9e</v>
      </c>
      <c r="C2084" s="32">
        <f>IFERROR(__xludf.DUMMYFUNCTION("""COMPUTED_VALUE"""),46131.55212962963)</f>
        <v>46131.55213</v>
      </c>
      <c r="D2084" s="1">
        <f>IFERROR(__xludf.DUMMYFUNCTION("""COMPUTED_VALUE"""),-2.0)</f>
        <v>-2</v>
      </c>
      <c r="E2084" s="1"/>
      <c r="F2084" s="1"/>
    </row>
    <row r="2085">
      <c r="A2085" s="1" t="str">
        <f>IFERROR(__xludf.DUMMYFUNCTION("""COMPUTED_VALUE"""),"9dd37edf")</f>
        <v>9dd37edf</v>
      </c>
      <c r="B2085" s="1" t="str">
        <f>IFERROR(__xludf.DUMMYFUNCTION("""COMPUTED_VALUE"""),"bb4d1bd1")</f>
        <v>bb4d1bd1</v>
      </c>
      <c r="C2085" s="32">
        <f>IFERROR(__xludf.DUMMYFUNCTION("""COMPUTED_VALUE"""),46131.68053240741)</f>
        <v>46131.68053</v>
      </c>
      <c r="D2085" s="1">
        <f>IFERROR(__xludf.DUMMYFUNCTION("""COMPUTED_VALUE"""),-16.0)</f>
        <v>-16</v>
      </c>
      <c r="E2085" s="1"/>
      <c r="F2085" s="1"/>
    </row>
    <row r="2086">
      <c r="A2086" s="1" t="str">
        <f>IFERROR(__xludf.DUMMYFUNCTION("""COMPUTED_VALUE"""),"16765249")</f>
        <v>16765249</v>
      </c>
      <c r="B2086" s="1" t="str">
        <f>IFERROR(__xludf.DUMMYFUNCTION("""COMPUTED_VALUE"""),"a19879cf")</f>
        <v>a19879cf</v>
      </c>
      <c r="C2086" s="32">
        <f>IFERROR(__xludf.DUMMYFUNCTION("""COMPUTED_VALUE"""),46131.68063657408)</f>
        <v>46131.68064</v>
      </c>
      <c r="D2086" s="1">
        <f>IFERROR(__xludf.DUMMYFUNCTION("""COMPUTED_VALUE"""),-13.0)</f>
        <v>-13</v>
      </c>
      <c r="E2086" s="1"/>
      <c r="F2086" s="1"/>
    </row>
    <row r="2087">
      <c r="A2087" s="1" t="str">
        <f>IFERROR(__xludf.DUMMYFUNCTION("""COMPUTED_VALUE"""),"ba5a4e50")</f>
        <v>ba5a4e50</v>
      </c>
      <c r="B2087" s="1" t="str">
        <f>IFERROR(__xludf.DUMMYFUNCTION("""COMPUTED_VALUE"""),"02d86a9b")</f>
        <v>02d86a9b</v>
      </c>
      <c r="C2087" s="32">
        <f>IFERROR(__xludf.DUMMYFUNCTION("""COMPUTED_VALUE"""),46131.681180555555)</f>
        <v>46131.68118</v>
      </c>
      <c r="D2087" s="1">
        <f>IFERROR(__xludf.DUMMYFUNCTION("""COMPUTED_VALUE"""),-24.0)</f>
        <v>-24</v>
      </c>
      <c r="E2087" s="1"/>
      <c r="F2087" s="1"/>
    </row>
    <row r="2088">
      <c r="A2088" s="1" t="str">
        <f>IFERROR(__xludf.DUMMYFUNCTION("""COMPUTED_VALUE"""),"06047d4a")</f>
        <v>06047d4a</v>
      </c>
      <c r="B2088" s="1" t="str">
        <f>IFERROR(__xludf.DUMMYFUNCTION("""COMPUTED_VALUE"""),"12b96290")</f>
        <v>12b96290</v>
      </c>
      <c r="C2088" s="32">
        <f>IFERROR(__xludf.DUMMYFUNCTION("""COMPUTED_VALUE"""),46131.68158564815)</f>
        <v>46131.68159</v>
      </c>
      <c r="D2088" s="1">
        <f>IFERROR(__xludf.DUMMYFUNCTION("""COMPUTED_VALUE"""),-15.0)</f>
        <v>-15</v>
      </c>
      <c r="E2088" s="1"/>
      <c r="F2088" s="1"/>
    </row>
    <row r="2089">
      <c r="A2089" s="1" t="str">
        <f>IFERROR(__xludf.DUMMYFUNCTION("""COMPUTED_VALUE"""),"6c4543e2")</f>
        <v>6c4543e2</v>
      </c>
      <c r="B2089" s="1" t="str">
        <f>IFERROR(__xludf.DUMMYFUNCTION("""COMPUTED_VALUE"""),"0001")</f>
        <v>0001</v>
      </c>
      <c r="C2089" s="32">
        <f>IFERROR(__xludf.DUMMYFUNCTION("""COMPUTED_VALUE"""),46131.68171296296)</f>
        <v>46131.68171</v>
      </c>
      <c r="D2089" s="1">
        <f>IFERROR(__xludf.DUMMYFUNCTION("""COMPUTED_VALUE"""),-18.0)</f>
        <v>-18</v>
      </c>
      <c r="E2089" s="1"/>
      <c r="F2089" s="1"/>
    </row>
    <row r="2090">
      <c r="A2090" s="1" t="str">
        <f>IFERROR(__xludf.DUMMYFUNCTION("""COMPUTED_VALUE"""),"2ecb4d88")</f>
        <v>2ecb4d88</v>
      </c>
      <c r="B2090" s="1" t="str">
        <f>IFERROR(__xludf.DUMMYFUNCTION("""COMPUTED_VALUE"""),"bb6c2490")</f>
        <v>bb6c2490</v>
      </c>
      <c r="C2090" s="32">
        <f>IFERROR(__xludf.DUMMYFUNCTION("""COMPUTED_VALUE"""),46131.681875)</f>
        <v>46131.68188</v>
      </c>
      <c r="D2090" s="1">
        <f>IFERROR(__xludf.DUMMYFUNCTION("""COMPUTED_VALUE"""),-14.0)</f>
        <v>-14</v>
      </c>
      <c r="E2090" s="1"/>
      <c r="F2090" s="1"/>
    </row>
    <row r="2091">
      <c r="A2091" s="1" t="str">
        <f>IFERROR(__xludf.DUMMYFUNCTION("""COMPUTED_VALUE"""),"a08f9dd2")</f>
        <v>a08f9dd2</v>
      </c>
      <c r="B2091" s="1" t="str">
        <f>IFERROR(__xludf.DUMMYFUNCTION("""COMPUTED_VALUE"""),"eda833ca")</f>
        <v>eda833ca</v>
      </c>
      <c r="C2091" s="32">
        <f>IFERROR(__xludf.DUMMYFUNCTION("""COMPUTED_VALUE"""),46131.681967592594)</f>
        <v>46131.68197</v>
      </c>
      <c r="D2091" s="1">
        <f>IFERROR(__xludf.DUMMYFUNCTION("""COMPUTED_VALUE"""),-7.0)</f>
        <v>-7</v>
      </c>
      <c r="E2091" s="1"/>
      <c r="F2091" s="1"/>
    </row>
    <row r="2092">
      <c r="A2092" s="1" t="str">
        <f>IFERROR(__xludf.DUMMYFUNCTION("""COMPUTED_VALUE"""),"c1bf985f")</f>
        <v>c1bf985f</v>
      </c>
      <c r="B2092" s="1" t="str">
        <f>IFERROR(__xludf.DUMMYFUNCTION("""COMPUTED_VALUE"""),"c099f042")</f>
        <v>c099f042</v>
      </c>
      <c r="C2092" s="32">
        <f>IFERROR(__xludf.DUMMYFUNCTION("""COMPUTED_VALUE"""),46131.68201388889)</f>
        <v>46131.68201</v>
      </c>
      <c r="D2092" s="1">
        <f>IFERROR(__xludf.DUMMYFUNCTION("""COMPUTED_VALUE"""),-14.0)</f>
        <v>-14</v>
      </c>
      <c r="E2092" s="1"/>
      <c r="F2092" s="1"/>
    </row>
    <row r="2093">
      <c r="A2093" s="1" t="str">
        <f>IFERROR(__xludf.DUMMYFUNCTION("""COMPUTED_VALUE"""),"c59952d0")</f>
        <v>c59952d0</v>
      </c>
      <c r="B2093" s="1" t="str">
        <f>IFERROR(__xludf.DUMMYFUNCTION("""COMPUTED_VALUE"""),"83dd14b5")</f>
        <v>83dd14b5</v>
      </c>
      <c r="C2093" s="32">
        <f>IFERROR(__xludf.DUMMYFUNCTION("""COMPUTED_VALUE"""),46131.68226851852)</f>
        <v>46131.68227</v>
      </c>
      <c r="D2093" s="1">
        <f>IFERROR(__xludf.DUMMYFUNCTION("""COMPUTED_VALUE"""),-6.0)</f>
        <v>-6</v>
      </c>
      <c r="E2093" s="1"/>
      <c r="F2093" s="1"/>
    </row>
    <row r="2094">
      <c r="A2094" s="1" t="str">
        <f>IFERROR(__xludf.DUMMYFUNCTION("""COMPUTED_VALUE"""),"8442ba81")</f>
        <v>8442ba81</v>
      </c>
      <c r="B2094" s="1" t="str">
        <f>IFERROR(__xludf.DUMMYFUNCTION("""COMPUTED_VALUE"""),"cb9e809e")</f>
        <v>cb9e809e</v>
      </c>
      <c r="C2094" s="32">
        <f>IFERROR(__xludf.DUMMYFUNCTION("""COMPUTED_VALUE"""),46131.68315972222)</f>
        <v>46131.68316</v>
      </c>
      <c r="D2094" s="1">
        <f>IFERROR(__xludf.DUMMYFUNCTION("""COMPUTED_VALUE"""),-6.0)</f>
        <v>-6</v>
      </c>
      <c r="E2094" s="1"/>
      <c r="F2094" s="1"/>
    </row>
    <row r="2095">
      <c r="A2095" s="1" t="str">
        <f>IFERROR(__xludf.DUMMYFUNCTION("""COMPUTED_VALUE"""),"fe0ff6a8")</f>
        <v>fe0ff6a8</v>
      </c>
      <c r="B2095" s="1" t="str">
        <f>IFERROR(__xludf.DUMMYFUNCTION("""COMPUTED_VALUE"""),"0049")</f>
        <v>0049</v>
      </c>
      <c r="C2095" s="32">
        <f>IFERROR(__xludf.DUMMYFUNCTION("""COMPUTED_VALUE"""),46131.68325231481)</f>
        <v>46131.68325</v>
      </c>
      <c r="D2095" s="1">
        <f>IFERROR(__xludf.DUMMYFUNCTION("""COMPUTED_VALUE"""),-13.0)</f>
        <v>-13</v>
      </c>
      <c r="E2095" s="1"/>
      <c r="F2095" s="1"/>
    </row>
    <row r="2096">
      <c r="A2096" s="1" t="str">
        <f>IFERROR(__xludf.DUMMYFUNCTION("""COMPUTED_VALUE"""),"60fc38f5")</f>
        <v>60fc38f5</v>
      </c>
      <c r="B2096" s="1" t="str">
        <f>IFERROR(__xludf.DUMMYFUNCTION("""COMPUTED_VALUE"""),"0064")</f>
        <v>0064</v>
      </c>
      <c r="C2096" s="32">
        <f>IFERROR(__xludf.DUMMYFUNCTION("""COMPUTED_VALUE"""),46131.68388888889)</f>
        <v>46131.68389</v>
      </c>
      <c r="D2096" s="1">
        <f>IFERROR(__xludf.DUMMYFUNCTION("""COMPUTED_VALUE"""),-4.0)</f>
        <v>-4</v>
      </c>
      <c r="E2096" s="1"/>
      <c r="F2096" s="1"/>
    </row>
    <row r="2097">
      <c r="A2097" s="1" t="str">
        <f>IFERROR(__xludf.DUMMYFUNCTION("""COMPUTED_VALUE"""),"c5083f85")</f>
        <v>c5083f85</v>
      </c>
      <c r="B2097" s="1" t="str">
        <f>IFERROR(__xludf.DUMMYFUNCTION("""COMPUTED_VALUE"""),"0029")</f>
        <v>0029</v>
      </c>
      <c r="C2097" s="32">
        <f>IFERROR(__xludf.DUMMYFUNCTION("""COMPUTED_VALUE"""),46131.68415509259)</f>
        <v>46131.68416</v>
      </c>
      <c r="D2097" s="1">
        <f>IFERROR(__xludf.DUMMYFUNCTION("""COMPUTED_VALUE"""),-13.0)</f>
        <v>-13</v>
      </c>
      <c r="E2097" s="1"/>
      <c r="F2097" s="1"/>
    </row>
    <row r="2098">
      <c r="A2098" s="1" t="str">
        <f>IFERROR(__xludf.DUMMYFUNCTION("""COMPUTED_VALUE"""),"db7f46a5")</f>
        <v>db7f46a5</v>
      </c>
      <c r="B2098" s="1" t="str">
        <f>IFERROR(__xludf.DUMMYFUNCTION("""COMPUTED_VALUE"""),"406a1fee")</f>
        <v>406a1fee</v>
      </c>
      <c r="C2098" s="32">
        <f>IFERROR(__xludf.DUMMYFUNCTION("""COMPUTED_VALUE"""),46131.68457175926)</f>
        <v>46131.68457</v>
      </c>
      <c r="D2098" s="1">
        <f>IFERROR(__xludf.DUMMYFUNCTION("""COMPUTED_VALUE"""),-7.0)</f>
        <v>-7</v>
      </c>
      <c r="E2098" s="1"/>
      <c r="F2098" s="1"/>
    </row>
    <row r="2099">
      <c r="A2099" s="1" t="str">
        <f>IFERROR(__xludf.DUMMYFUNCTION("""COMPUTED_VALUE"""),"d596424c")</f>
        <v>d596424c</v>
      </c>
      <c r="B2099" s="1" t="str">
        <f>IFERROR(__xludf.DUMMYFUNCTION("""COMPUTED_VALUE"""),"70bdbe11")</f>
        <v>70bdbe11</v>
      </c>
      <c r="C2099" s="32">
        <f>IFERROR(__xludf.DUMMYFUNCTION("""COMPUTED_VALUE"""),46131.68519675926)</f>
        <v>46131.6852</v>
      </c>
      <c r="D2099" s="1">
        <f>IFERROR(__xludf.DUMMYFUNCTION("""COMPUTED_VALUE"""),-4.0)</f>
        <v>-4</v>
      </c>
      <c r="E2099" s="1"/>
      <c r="F2099" s="1"/>
    </row>
    <row r="2100">
      <c r="A2100" s="1" t="str">
        <f>IFERROR(__xludf.DUMMYFUNCTION("""COMPUTED_VALUE"""),"05a61d24")</f>
        <v>05a61d24</v>
      </c>
      <c r="B2100" s="1" t="str">
        <f>IFERROR(__xludf.DUMMYFUNCTION("""COMPUTED_VALUE"""),"0011")</f>
        <v>0011</v>
      </c>
      <c r="C2100" s="32">
        <f>IFERROR(__xludf.DUMMYFUNCTION("""COMPUTED_VALUE"""),46131.685625)</f>
        <v>46131.68563</v>
      </c>
      <c r="D2100" s="1">
        <f>IFERROR(__xludf.DUMMYFUNCTION("""COMPUTED_VALUE"""),-24.0)</f>
        <v>-24</v>
      </c>
      <c r="E2100" s="1"/>
      <c r="F2100" s="1"/>
    </row>
    <row r="2101">
      <c r="A2101" s="1" t="str">
        <f>IFERROR(__xludf.DUMMYFUNCTION("""COMPUTED_VALUE"""),"bac32e2d")</f>
        <v>bac32e2d</v>
      </c>
      <c r="B2101" s="1" t="str">
        <f>IFERROR(__xludf.DUMMYFUNCTION("""COMPUTED_VALUE"""),"c099f042")</f>
        <v>c099f042</v>
      </c>
      <c r="C2101" s="32">
        <f>IFERROR(__xludf.DUMMYFUNCTION("""COMPUTED_VALUE"""),46131.687893518516)</f>
        <v>46131.68789</v>
      </c>
      <c r="D2101" s="1">
        <f>IFERROR(__xludf.DUMMYFUNCTION("""COMPUTED_VALUE"""),-6.0)</f>
        <v>-6</v>
      </c>
      <c r="E2101" s="1"/>
      <c r="F2101" s="1"/>
    </row>
    <row r="2102">
      <c r="A2102" s="1" t="str">
        <f>IFERROR(__xludf.DUMMYFUNCTION("""COMPUTED_VALUE"""),"3a9d5a27")</f>
        <v>3a9d5a27</v>
      </c>
      <c r="B2102" s="1" t="str">
        <f>IFERROR(__xludf.DUMMYFUNCTION("""COMPUTED_VALUE"""),"0001")</f>
        <v>0001</v>
      </c>
      <c r="C2102" s="32">
        <f>IFERROR(__xludf.DUMMYFUNCTION("""COMPUTED_VALUE"""),46131.68803240741)</f>
        <v>46131.68803</v>
      </c>
      <c r="D2102" s="1">
        <f>IFERROR(__xludf.DUMMYFUNCTION("""COMPUTED_VALUE"""),-15.0)</f>
        <v>-15</v>
      </c>
      <c r="E2102" s="1"/>
      <c r="F2102" s="1"/>
    </row>
    <row r="2103">
      <c r="A2103" s="1" t="str">
        <f>IFERROR(__xludf.DUMMYFUNCTION("""COMPUTED_VALUE"""),"fe99d839")</f>
        <v>fe99d839</v>
      </c>
      <c r="B2103" s="1" t="str">
        <f>IFERROR(__xludf.DUMMYFUNCTION("""COMPUTED_VALUE"""),"12b96290")</f>
        <v>12b96290</v>
      </c>
      <c r="C2103" s="32">
        <f>IFERROR(__xludf.DUMMYFUNCTION("""COMPUTED_VALUE"""),46131.688101851854)</f>
        <v>46131.6881</v>
      </c>
      <c r="D2103" s="1">
        <f>IFERROR(__xludf.DUMMYFUNCTION("""COMPUTED_VALUE"""),-15.0)</f>
        <v>-15</v>
      </c>
      <c r="E2103" s="1"/>
      <c r="F2103" s="1"/>
    </row>
    <row r="2104">
      <c r="A2104" s="1" t="str">
        <f>IFERROR(__xludf.DUMMYFUNCTION("""COMPUTED_VALUE"""),"cef885e2")</f>
        <v>cef885e2</v>
      </c>
      <c r="B2104" s="1" t="str">
        <f>IFERROR(__xludf.DUMMYFUNCTION("""COMPUTED_VALUE"""),"eda833ca")</f>
        <v>eda833ca</v>
      </c>
      <c r="C2104" s="32">
        <f>IFERROR(__xludf.DUMMYFUNCTION("""COMPUTED_VALUE"""),46131.68822916667)</f>
        <v>46131.68823</v>
      </c>
      <c r="D2104" s="1">
        <f>IFERROR(__xludf.DUMMYFUNCTION("""COMPUTED_VALUE"""),-7.0)</f>
        <v>-7</v>
      </c>
      <c r="E2104" s="1"/>
      <c r="F2104" s="1"/>
    </row>
    <row r="2105">
      <c r="A2105" s="1" t="str">
        <f>IFERROR(__xludf.DUMMYFUNCTION("""COMPUTED_VALUE"""),"0c6178b9")</f>
        <v>0c6178b9</v>
      </c>
      <c r="B2105" s="1" t="str">
        <f>IFERROR(__xludf.DUMMYFUNCTION("""COMPUTED_VALUE"""),"bb6c2490")</f>
        <v>bb6c2490</v>
      </c>
      <c r="C2105" s="32">
        <f>IFERROR(__xludf.DUMMYFUNCTION("""COMPUTED_VALUE"""),46131.68828703704)</f>
        <v>46131.68829</v>
      </c>
      <c r="D2105" s="1">
        <f>IFERROR(__xludf.DUMMYFUNCTION("""COMPUTED_VALUE"""),-7.0)</f>
        <v>-7</v>
      </c>
      <c r="E2105" s="1"/>
      <c r="F2105" s="1"/>
    </row>
    <row r="2106">
      <c r="A2106" s="1" t="str">
        <f>IFERROR(__xludf.DUMMYFUNCTION("""COMPUTED_VALUE"""),"ff5b2ce2")</f>
        <v>ff5b2ce2</v>
      </c>
      <c r="B2106" s="1" t="str">
        <f>IFERROR(__xludf.DUMMYFUNCTION("""COMPUTED_VALUE"""),"a19879cf")</f>
        <v>a19879cf</v>
      </c>
      <c r="C2106" s="32">
        <f>IFERROR(__xludf.DUMMYFUNCTION("""COMPUTED_VALUE"""),46131.68895833333)</f>
        <v>46131.68896</v>
      </c>
      <c r="D2106" s="1">
        <f>IFERROR(__xludf.DUMMYFUNCTION("""COMPUTED_VALUE"""),-9.0)</f>
        <v>-9</v>
      </c>
      <c r="E2106" s="1"/>
      <c r="F2106" s="1"/>
    </row>
    <row r="2107">
      <c r="A2107" s="1" t="str">
        <f>IFERROR(__xludf.DUMMYFUNCTION("""COMPUTED_VALUE"""),"fbba11ee")</f>
        <v>fbba11ee</v>
      </c>
      <c r="B2107" s="1" t="str">
        <f>IFERROR(__xludf.DUMMYFUNCTION("""COMPUTED_VALUE"""),"83dd14b5")</f>
        <v>83dd14b5</v>
      </c>
      <c r="C2107" s="32">
        <f>IFERROR(__xludf.DUMMYFUNCTION("""COMPUTED_VALUE"""),46131.689050925925)</f>
        <v>46131.68905</v>
      </c>
      <c r="D2107" s="1">
        <f>IFERROR(__xludf.DUMMYFUNCTION("""COMPUTED_VALUE"""),-24.0)</f>
        <v>-24</v>
      </c>
      <c r="E2107" s="1"/>
      <c r="F2107" s="1"/>
    </row>
    <row r="2108">
      <c r="A2108" s="1" t="str">
        <f>IFERROR(__xludf.DUMMYFUNCTION("""COMPUTED_VALUE"""),"a86cbbec")</f>
        <v>a86cbbec</v>
      </c>
      <c r="B2108" s="1" t="str">
        <f>IFERROR(__xludf.DUMMYFUNCTION("""COMPUTED_VALUE"""),"cf6c9481")</f>
        <v>cf6c9481</v>
      </c>
      <c r="C2108" s="32">
        <f>IFERROR(__xludf.DUMMYFUNCTION("""COMPUTED_VALUE"""),46131.68927083333)</f>
        <v>46131.68927</v>
      </c>
      <c r="D2108" s="1">
        <f>IFERROR(__xludf.DUMMYFUNCTION("""COMPUTED_VALUE"""),-15.0)</f>
        <v>-15</v>
      </c>
      <c r="E2108" s="1"/>
      <c r="F2108" s="1"/>
    </row>
    <row r="2109">
      <c r="A2109" s="1" t="str">
        <f>IFERROR(__xludf.DUMMYFUNCTION("""COMPUTED_VALUE"""),"f6897938")</f>
        <v>f6897938</v>
      </c>
      <c r="B2109" s="1" t="str">
        <f>IFERROR(__xludf.DUMMYFUNCTION("""COMPUTED_VALUE"""),"0011")</f>
        <v>0011</v>
      </c>
      <c r="C2109" s="32">
        <f>IFERROR(__xludf.DUMMYFUNCTION("""COMPUTED_VALUE"""),46131.69012731482)</f>
        <v>46131.69013</v>
      </c>
      <c r="D2109" s="1">
        <f>IFERROR(__xludf.DUMMYFUNCTION("""COMPUTED_VALUE"""),-10.0)</f>
        <v>-10</v>
      </c>
      <c r="E2109" s="1"/>
      <c r="F2109" s="1"/>
    </row>
    <row r="2110">
      <c r="A2110" s="1" t="str">
        <f>IFERROR(__xludf.DUMMYFUNCTION("""COMPUTED_VALUE"""),"ce326530")</f>
        <v>ce326530</v>
      </c>
      <c r="B2110" s="1" t="str">
        <f>IFERROR(__xludf.DUMMYFUNCTION("""COMPUTED_VALUE"""),"0029")</f>
        <v>0029</v>
      </c>
      <c r="C2110" s="32">
        <f>IFERROR(__xludf.DUMMYFUNCTION("""COMPUTED_VALUE"""),46131.69065972222)</f>
        <v>46131.69066</v>
      </c>
      <c r="D2110" s="1">
        <f>IFERROR(__xludf.DUMMYFUNCTION("""COMPUTED_VALUE"""),-9.0)</f>
        <v>-9</v>
      </c>
      <c r="E2110" s="1"/>
      <c r="F2110" s="1"/>
    </row>
    <row r="2111">
      <c r="A2111" s="1" t="str">
        <f>IFERROR(__xludf.DUMMYFUNCTION("""COMPUTED_VALUE"""),"1559db4f")</f>
        <v>1559db4f</v>
      </c>
      <c r="B2111" s="1" t="str">
        <f>IFERROR(__xludf.DUMMYFUNCTION("""COMPUTED_VALUE"""),"0053")</f>
        <v>0053</v>
      </c>
      <c r="C2111" s="32">
        <f>IFERROR(__xludf.DUMMYFUNCTION("""COMPUTED_VALUE"""),46131.69138888889)</f>
        <v>46131.69139</v>
      </c>
      <c r="D2111" s="1">
        <f>IFERROR(__xludf.DUMMYFUNCTION("""COMPUTED_VALUE"""),-4.0)</f>
        <v>-4</v>
      </c>
      <c r="E2111" s="1"/>
      <c r="F2111" s="1"/>
    </row>
    <row r="2112">
      <c r="A2112" s="1" t="str">
        <f>IFERROR(__xludf.DUMMYFUNCTION("""COMPUTED_VALUE"""),"61f235b3")</f>
        <v>61f235b3</v>
      </c>
      <c r="B2112" s="1" t="str">
        <f>IFERROR(__xludf.DUMMYFUNCTION("""COMPUTED_VALUE"""),"406a1fee")</f>
        <v>406a1fee</v>
      </c>
      <c r="C2112" s="32">
        <f>IFERROR(__xludf.DUMMYFUNCTION("""COMPUTED_VALUE"""),46131.691666666666)</f>
        <v>46131.69167</v>
      </c>
      <c r="D2112" s="1">
        <f>IFERROR(__xludf.DUMMYFUNCTION("""COMPUTED_VALUE"""),-5.0)</f>
        <v>-5</v>
      </c>
      <c r="E2112" s="1"/>
      <c r="F2112" s="1"/>
    </row>
    <row r="2113">
      <c r="A2113" s="1" t="str">
        <f>IFERROR(__xludf.DUMMYFUNCTION("""COMPUTED_VALUE"""),"0fc06e69")</f>
        <v>0fc06e69</v>
      </c>
      <c r="B2113" s="1" t="str">
        <f>IFERROR(__xludf.DUMMYFUNCTION("""COMPUTED_VALUE"""),"70bdbe11")</f>
        <v>70bdbe11</v>
      </c>
      <c r="C2113" s="32">
        <f>IFERROR(__xludf.DUMMYFUNCTION("""COMPUTED_VALUE"""),46131.69204861111)</f>
        <v>46131.69205</v>
      </c>
      <c r="D2113" s="1">
        <f>IFERROR(__xludf.DUMMYFUNCTION("""COMPUTED_VALUE"""),-7.0)</f>
        <v>-7</v>
      </c>
      <c r="E2113" s="1"/>
      <c r="F2113" s="1"/>
    </row>
    <row r="2114">
      <c r="A2114" s="1" t="str">
        <f>IFERROR(__xludf.DUMMYFUNCTION("""COMPUTED_VALUE"""),"9de1e6ed")</f>
        <v>9de1e6ed</v>
      </c>
      <c r="B2114" s="1" t="str">
        <f>IFERROR(__xludf.DUMMYFUNCTION("""COMPUTED_VALUE"""),"cf6c9481")</f>
        <v>cf6c9481</v>
      </c>
      <c r="C2114" s="32">
        <f>IFERROR(__xludf.DUMMYFUNCTION("""COMPUTED_VALUE"""),46131.77956018518)</f>
        <v>46131.77956</v>
      </c>
      <c r="D2114" s="1">
        <f>IFERROR(__xludf.DUMMYFUNCTION("""COMPUTED_VALUE"""),1.0)</f>
        <v>1</v>
      </c>
      <c r="E2114" s="1"/>
      <c r="F2114" s="1"/>
    </row>
    <row r="2115">
      <c r="A2115" s="1" t="str">
        <f>IFERROR(__xludf.DUMMYFUNCTION("""COMPUTED_VALUE"""),"22ff77cb")</f>
        <v>22ff77cb</v>
      </c>
      <c r="B2115" s="1" t="str">
        <f>IFERROR(__xludf.DUMMYFUNCTION("""COMPUTED_VALUE"""),"0021")</f>
        <v>0021</v>
      </c>
      <c r="C2115" s="32">
        <f>IFERROR(__xludf.DUMMYFUNCTION("""COMPUTED_VALUE"""),46131.779861111114)</f>
        <v>46131.77986</v>
      </c>
      <c r="D2115" s="1">
        <f>IFERROR(__xludf.DUMMYFUNCTION("""COMPUTED_VALUE"""),14.0)</f>
        <v>14</v>
      </c>
      <c r="E2115" s="1"/>
      <c r="F2115" s="1"/>
    </row>
    <row r="2116">
      <c r="A2116" s="1" t="str">
        <f>IFERROR(__xludf.DUMMYFUNCTION("""COMPUTED_VALUE"""),"41ae6d80")</f>
        <v>41ae6d80</v>
      </c>
      <c r="B2116" s="1" t="str">
        <f>IFERROR(__xludf.DUMMYFUNCTION("""COMPUTED_VALUE"""),"0002")</f>
        <v>0002</v>
      </c>
      <c r="C2116" s="32">
        <f>IFERROR(__xludf.DUMMYFUNCTION("""COMPUTED_VALUE"""),46131.944398148145)</f>
        <v>46131.9444</v>
      </c>
      <c r="D2116" s="1">
        <f>IFERROR(__xludf.DUMMYFUNCTION("""COMPUTED_VALUE"""),1188.0)</f>
        <v>1188</v>
      </c>
      <c r="E2116" s="1" t="str">
        <f>IFERROR(__xludf.DUMMYFUNCTION("""COMPUTED_VALUE"""),"37093ad1")</f>
        <v>37093ad1</v>
      </c>
      <c r="F2116" s="1"/>
    </row>
    <row r="2117">
      <c r="A2117" s="1" t="str">
        <f>IFERROR(__xludf.DUMMYFUNCTION("""COMPUTED_VALUE"""),"4d007568")</f>
        <v>4d007568</v>
      </c>
      <c r="B2117" s="1" t="str">
        <f>IFERROR(__xludf.DUMMYFUNCTION("""COMPUTED_VALUE"""),"bb6c2490")</f>
        <v>bb6c2490</v>
      </c>
      <c r="C2117" s="32">
        <f>IFERROR(__xludf.DUMMYFUNCTION("""COMPUTED_VALUE"""),46131.9447337963)</f>
        <v>46131.94473</v>
      </c>
      <c r="D2117" s="1">
        <f>IFERROR(__xludf.DUMMYFUNCTION("""COMPUTED_VALUE"""),-40.0)</f>
        <v>-40</v>
      </c>
      <c r="E2117" s="1"/>
      <c r="F2117" s="1"/>
    </row>
    <row r="2118">
      <c r="A2118" s="1" t="str">
        <f>IFERROR(__xludf.DUMMYFUNCTION("""COMPUTED_VALUE"""),"39eaa81c")</f>
        <v>39eaa81c</v>
      </c>
      <c r="B2118" s="1" t="str">
        <f>IFERROR(__xludf.DUMMYFUNCTION("""COMPUTED_VALUE"""),"0001")</f>
        <v>0001</v>
      </c>
      <c r="C2118" s="32">
        <f>IFERROR(__xludf.DUMMYFUNCTION("""COMPUTED_VALUE"""),46131.945185185185)</f>
        <v>46131.94519</v>
      </c>
      <c r="D2118" s="1">
        <f>IFERROR(__xludf.DUMMYFUNCTION("""COMPUTED_VALUE"""),-15.0)</f>
        <v>-15</v>
      </c>
      <c r="E2118" s="1"/>
      <c r="F2118" s="1"/>
    </row>
    <row r="2119">
      <c r="A2119" s="1" t="str">
        <f>IFERROR(__xludf.DUMMYFUNCTION("""COMPUTED_VALUE"""),"259640b0")</f>
        <v>259640b0</v>
      </c>
      <c r="B2119" s="1" t="str">
        <f>IFERROR(__xludf.DUMMYFUNCTION("""COMPUTED_VALUE"""),"12b96290")</f>
        <v>12b96290</v>
      </c>
      <c r="C2119" s="32">
        <f>IFERROR(__xludf.DUMMYFUNCTION("""COMPUTED_VALUE"""),46131.94527777778)</f>
        <v>46131.94528</v>
      </c>
      <c r="D2119" s="1">
        <f>IFERROR(__xludf.DUMMYFUNCTION("""COMPUTED_VALUE"""),-14.0)</f>
        <v>-14</v>
      </c>
      <c r="E2119" s="1"/>
      <c r="F2119" s="1"/>
    </row>
    <row r="2120">
      <c r="A2120" s="1" t="str">
        <f>IFERROR(__xludf.DUMMYFUNCTION("""COMPUTED_VALUE"""),"66374d2e")</f>
        <v>66374d2e</v>
      </c>
      <c r="B2120" s="1" t="str">
        <f>IFERROR(__xludf.DUMMYFUNCTION("""COMPUTED_VALUE"""),"a19879cf")</f>
        <v>a19879cf</v>
      </c>
      <c r="C2120" s="32">
        <f>IFERROR(__xludf.DUMMYFUNCTION("""COMPUTED_VALUE"""),46131.94550925926)</f>
        <v>46131.94551</v>
      </c>
      <c r="D2120" s="1">
        <f>IFERROR(__xludf.DUMMYFUNCTION("""COMPUTED_VALUE"""),-20.0)</f>
        <v>-20</v>
      </c>
      <c r="E2120" s="1"/>
      <c r="F2120" s="1"/>
    </row>
    <row r="2121">
      <c r="A2121" s="1" t="str">
        <f>IFERROR(__xludf.DUMMYFUNCTION("""COMPUTED_VALUE"""),"683f5f62")</f>
        <v>683f5f62</v>
      </c>
      <c r="B2121" s="1" t="str">
        <f>IFERROR(__xludf.DUMMYFUNCTION("""COMPUTED_VALUE"""),"02d86a9b")</f>
        <v>02d86a9b</v>
      </c>
      <c r="C2121" s="32">
        <f>IFERROR(__xludf.DUMMYFUNCTION("""COMPUTED_VALUE"""),46131.94564814815)</f>
        <v>46131.94565</v>
      </c>
      <c r="D2121" s="1">
        <f>IFERROR(__xludf.DUMMYFUNCTION("""COMPUTED_VALUE"""),-16.0)</f>
        <v>-16</v>
      </c>
      <c r="E2121" s="1"/>
      <c r="F2121" s="1"/>
    </row>
    <row r="2122">
      <c r="A2122" s="1" t="str">
        <f>IFERROR(__xludf.DUMMYFUNCTION("""COMPUTED_VALUE"""),"766fdf14")</f>
        <v>766fdf14</v>
      </c>
      <c r="B2122" s="1" t="str">
        <f>IFERROR(__xludf.DUMMYFUNCTION("""COMPUTED_VALUE"""),"02d86a9b")</f>
        <v>02d86a9b</v>
      </c>
      <c r="C2122" s="32">
        <f>IFERROR(__xludf.DUMMYFUNCTION("""COMPUTED_VALUE"""),46131.945972222224)</f>
        <v>46131.94597</v>
      </c>
      <c r="D2122" s="1">
        <f>IFERROR(__xludf.DUMMYFUNCTION("""COMPUTED_VALUE"""),-10.0)</f>
        <v>-10</v>
      </c>
      <c r="E2122" s="1"/>
      <c r="F2122" s="1"/>
    </row>
    <row r="2123">
      <c r="A2123" s="1" t="str">
        <f>IFERROR(__xludf.DUMMYFUNCTION("""COMPUTED_VALUE"""),"e4d9bcd9")</f>
        <v>e4d9bcd9</v>
      </c>
      <c r="B2123" s="1" t="str">
        <f>IFERROR(__xludf.DUMMYFUNCTION("""COMPUTED_VALUE"""),"0029")</f>
        <v>0029</v>
      </c>
      <c r="C2123" s="32">
        <f>IFERROR(__xludf.DUMMYFUNCTION("""COMPUTED_VALUE"""),46131.94609953704)</f>
        <v>46131.9461</v>
      </c>
      <c r="D2123" s="1">
        <f>IFERROR(__xludf.DUMMYFUNCTION("""COMPUTED_VALUE"""),-5.0)</f>
        <v>-5</v>
      </c>
      <c r="E2123" s="1"/>
      <c r="F2123" s="1"/>
    </row>
    <row r="2124">
      <c r="A2124" s="1" t="str">
        <f>IFERROR(__xludf.DUMMYFUNCTION("""COMPUTED_VALUE"""),"21f23fdb")</f>
        <v>21f23fdb</v>
      </c>
      <c r="B2124" s="1" t="str">
        <f>IFERROR(__xludf.DUMMYFUNCTION("""COMPUTED_VALUE"""),"70bdbe11")</f>
        <v>70bdbe11</v>
      </c>
      <c r="C2124" s="32">
        <f>IFERROR(__xludf.DUMMYFUNCTION("""COMPUTED_VALUE"""),46131.946238425924)</f>
        <v>46131.94624</v>
      </c>
      <c r="D2124" s="1">
        <f>IFERROR(__xludf.DUMMYFUNCTION("""COMPUTED_VALUE"""),-2.0)</f>
        <v>-2</v>
      </c>
      <c r="E2124" s="1"/>
      <c r="F2124" s="1"/>
    </row>
    <row r="2125">
      <c r="A2125" s="1" t="str">
        <f>IFERROR(__xludf.DUMMYFUNCTION("""COMPUTED_VALUE"""),"8056082a")</f>
        <v>8056082a</v>
      </c>
      <c r="B2125" s="1" t="str">
        <f>IFERROR(__xludf.DUMMYFUNCTION("""COMPUTED_VALUE"""),"0032")</f>
        <v>0032</v>
      </c>
      <c r="C2125" s="32">
        <f>IFERROR(__xludf.DUMMYFUNCTION("""COMPUTED_VALUE"""),46131.94636574074)</f>
        <v>46131.94637</v>
      </c>
      <c r="D2125" s="1">
        <f>IFERROR(__xludf.DUMMYFUNCTION("""COMPUTED_VALUE"""),-6.0)</f>
        <v>-6</v>
      </c>
      <c r="E2125" s="1"/>
      <c r="F2125" s="1"/>
    </row>
    <row r="2126">
      <c r="A2126" s="1" t="str">
        <f>IFERROR(__xludf.DUMMYFUNCTION("""COMPUTED_VALUE"""),"d694fb8e")</f>
        <v>d694fb8e</v>
      </c>
      <c r="B2126" s="1" t="str">
        <f>IFERROR(__xludf.DUMMYFUNCTION("""COMPUTED_VALUE"""),"0002")</f>
        <v>0002</v>
      </c>
      <c r="C2126" s="32">
        <f>IFERROR(__xludf.DUMMYFUNCTION("""COMPUTED_VALUE"""),46131.94684027778)</f>
        <v>46131.94684</v>
      </c>
      <c r="D2126" s="1">
        <f>IFERROR(__xludf.DUMMYFUNCTION("""COMPUTED_VALUE"""),-120.0)</f>
        <v>-120</v>
      </c>
      <c r="E2126" s="1"/>
      <c r="F2126" s="1"/>
    </row>
    <row r="2127">
      <c r="A2127" s="1" t="str">
        <f>IFERROR(__xludf.DUMMYFUNCTION("""COMPUTED_VALUE"""),"02ca28af")</f>
        <v>02ca28af</v>
      </c>
      <c r="B2127" s="1" t="str">
        <f>IFERROR(__xludf.DUMMYFUNCTION("""COMPUTED_VALUE"""),"0002")</f>
        <v>0002</v>
      </c>
      <c r="C2127" s="32">
        <f>IFERROR(__xludf.DUMMYFUNCTION("""COMPUTED_VALUE"""),46131.94788194444)</f>
        <v>46131.94788</v>
      </c>
      <c r="D2127" s="1">
        <f>IFERROR(__xludf.DUMMYFUNCTION("""COMPUTED_VALUE"""),60.0)</f>
        <v>60</v>
      </c>
      <c r="E2127" s="1" t="str">
        <f>IFERROR(__xludf.DUMMYFUNCTION("""COMPUTED_VALUE"""),"94b7eba6")</f>
        <v>94b7eba6</v>
      </c>
      <c r="F2127" s="1"/>
    </row>
    <row r="2128">
      <c r="A2128" s="1" t="str">
        <f>IFERROR(__xludf.DUMMYFUNCTION("""COMPUTED_VALUE"""),"ae246dcd")</f>
        <v>ae246dcd</v>
      </c>
      <c r="B2128" s="1" t="str">
        <f>IFERROR(__xludf.DUMMYFUNCTION("""COMPUTED_VALUE"""),"0f694cb5")</f>
        <v>0f694cb5</v>
      </c>
      <c r="C2128" s="32">
        <f>IFERROR(__xludf.DUMMYFUNCTION("""COMPUTED_VALUE"""),46131.96077546296)</f>
        <v>46131.96078</v>
      </c>
      <c r="D2128" s="1">
        <f>IFERROR(__xludf.DUMMYFUNCTION("""COMPUTED_VALUE"""),-15.0)</f>
        <v>-15</v>
      </c>
      <c r="E2128" s="1"/>
      <c r="F2128" s="1"/>
    </row>
    <row r="2129">
      <c r="A2129" s="1" t="str">
        <f>IFERROR(__xludf.DUMMYFUNCTION("""COMPUTED_VALUE"""),"56bef437")</f>
        <v>56bef437</v>
      </c>
      <c r="B2129" s="1" t="str">
        <f>IFERROR(__xludf.DUMMYFUNCTION("""COMPUTED_VALUE"""),"0011")</f>
        <v>0011</v>
      </c>
      <c r="C2129" s="32">
        <f>IFERROR(__xludf.DUMMYFUNCTION("""COMPUTED_VALUE"""),46131.96097222222)</f>
        <v>46131.96097</v>
      </c>
      <c r="D2129" s="1">
        <f>IFERROR(__xludf.DUMMYFUNCTION("""COMPUTED_VALUE"""),-6.0)</f>
        <v>-6</v>
      </c>
      <c r="E2129" s="1"/>
      <c r="F2129" s="1"/>
    </row>
    <row r="2130">
      <c r="A2130" s="1" t="str">
        <f>IFERROR(__xludf.DUMMYFUNCTION("""COMPUTED_VALUE"""),"00261c72")</f>
        <v>00261c72</v>
      </c>
      <c r="B2130" s="1" t="str">
        <f>IFERROR(__xludf.DUMMYFUNCTION("""COMPUTED_VALUE"""),"1b6b5ed6")</f>
        <v>1b6b5ed6</v>
      </c>
      <c r="C2130" s="32">
        <f>IFERROR(__xludf.DUMMYFUNCTION("""COMPUTED_VALUE"""),46131.962592592594)</f>
        <v>46131.96259</v>
      </c>
      <c r="D2130" s="1">
        <f>IFERROR(__xludf.DUMMYFUNCTION("""COMPUTED_VALUE"""),-10.0)</f>
        <v>-10</v>
      </c>
      <c r="E2130" s="1"/>
      <c r="F2130" s="1"/>
    </row>
    <row r="2131">
      <c r="A2131" s="1" t="str">
        <f>IFERROR(__xludf.DUMMYFUNCTION("""COMPUTED_VALUE"""),"8e4e39ba")</f>
        <v>8e4e39ba</v>
      </c>
      <c r="B2131" s="1" t="str">
        <f>IFERROR(__xludf.DUMMYFUNCTION("""COMPUTED_VALUE"""),"bb6c2490")</f>
        <v>bb6c2490</v>
      </c>
      <c r="C2131" s="32">
        <f>IFERROR(__xludf.DUMMYFUNCTION("""COMPUTED_VALUE"""),46131.97083333333)</f>
        <v>46131.97083</v>
      </c>
      <c r="D2131" s="1">
        <f>IFERROR(__xludf.DUMMYFUNCTION("""COMPUTED_VALUE"""),-14.0)</f>
        <v>-14</v>
      </c>
      <c r="E2131" s="1"/>
      <c r="F2131" s="1"/>
    </row>
    <row r="2132">
      <c r="A2132" s="1" t="str">
        <f>IFERROR(__xludf.DUMMYFUNCTION("""COMPUTED_VALUE"""),"9394602b")</f>
        <v>9394602b</v>
      </c>
      <c r="B2132" s="1" t="str">
        <f>IFERROR(__xludf.DUMMYFUNCTION("""COMPUTED_VALUE"""),"eda833ca")</f>
        <v>eda833ca</v>
      </c>
      <c r="C2132" s="32">
        <f>IFERROR(__xludf.DUMMYFUNCTION("""COMPUTED_VALUE"""),46131.971180555556)</f>
        <v>46131.97118</v>
      </c>
      <c r="D2132" s="1">
        <f>IFERROR(__xludf.DUMMYFUNCTION("""COMPUTED_VALUE"""),-6.0)</f>
        <v>-6</v>
      </c>
      <c r="E2132" s="1"/>
      <c r="F2132" s="1"/>
    </row>
    <row r="2133">
      <c r="A2133" s="1" t="str">
        <f>IFERROR(__xludf.DUMMYFUNCTION("""COMPUTED_VALUE"""),"e9afe8f7")</f>
        <v>e9afe8f7</v>
      </c>
      <c r="B2133" s="1" t="str">
        <f>IFERROR(__xludf.DUMMYFUNCTION("""COMPUTED_VALUE"""),"f30d8158")</f>
        <v>f30d8158</v>
      </c>
      <c r="C2133" s="32">
        <f>IFERROR(__xludf.DUMMYFUNCTION("""COMPUTED_VALUE"""),46131.971342592595)</f>
        <v>46131.97134</v>
      </c>
      <c r="D2133" s="1">
        <f>IFERROR(__xludf.DUMMYFUNCTION("""COMPUTED_VALUE"""),-7.0)</f>
        <v>-7</v>
      </c>
      <c r="E2133" s="1"/>
      <c r="F2133" s="1"/>
    </row>
    <row r="2134">
      <c r="A2134" s="1" t="str">
        <f>IFERROR(__xludf.DUMMYFUNCTION("""COMPUTED_VALUE"""),"80acec91")</f>
        <v>80acec91</v>
      </c>
      <c r="B2134" s="1" t="str">
        <f>IFERROR(__xludf.DUMMYFUNCTION("""COMPUTED_VALUE"""),"0033")</f>
        <v>0033</v>
      </c>
      <c r="C2134" s="32">
        <f>IFERROR(__xludf.DUMMYFUNCTION("""COMPUTED_VALUE"""),46131.97143518519)</f>
        <v>46131.97144</v>
      </c>
      <c r="D2134" s="1">
        <f>IFERROR(__xludf.DUMMYFUNCTION("""COMPUTED_VALUE"""),-3.0)</f>
        <v>-3</v>
      </c>
      <c r="E2134" s="1"/>
      <c r="F2134" s="1"/>
    </row>
    <row r="2135">
      <c r="A2135" s="1" t="str">
        <f>IFERROR(__xludf.DUMMYFUNCTION("""COMPUTED_VALUE"""),"8e64f5a0")</f>
        <v>8e64f5a0</v>
      </c>
      <c r="B2135" s="1" t="str">
        <f>IFERROR(__xludf.DUMMYFUNCTION("""COMPUTED_VALUE"""),"0001")</f>
        <v>0001</v>
      </c>
      <c r="C2135" s="32">
        <f>IFERROR(__xludf.DUMMYFUNCTION("""COMPUTED_VALUE"""),46131.971666666665)</f>
        <v>46131.97167</v>
      </c>
      <c r="D2135" s="1">
        <f>IFERROR(__xludf.DUMMYFUNCTION("""COMPUTED_VALUE"""),-9.0)</f>
        <v>-9</v>
      </c>
      <c r="E2135" s="1"/>
      <c r="F2135" s="1"/>
    </row>
    <row r="2136">
      <c r="A2136" s="1" t="str">
        <f>IFERROR(__xludf.DUMMYFUNCTION("""COMPUTED_VALUE"""),"78cb850a")</f>
        <v>78cb850a</v>
      </c>
      <c r="B2136" s="1" t="str">
        <f>IFERROR(__xludf.DUMMYFUNCTION("""COMPUTED_VALUE"""),"12b96290")</f>
        <v>12b96290</v>
      </c>
      <c r="C2136" s="32">
        <f>IFERROR(__xludf.DUMMYFUNCTION("""COMPUTED_VALUE"""),46131.97178240741)</f>
        <v>46131.97178</v>
      </c>
      <c r="D2136" s="1">
        <f>IFERROR(__xludf.DUMMYFUNCTION("""COMPUTED_VALUE"""),-9.0)</f>
        <v>-9</v>
      </c>
      <c r="E2136" s="1"/>
      <c r="F2136" s="1"/>
    </row>
    <row r="2137">
      <c r="A2137" s="1" t="str">
        <f>IFERROR(__xludf.DUMMYFUNCTION("""COMPUTED_VALUE"""),"501bb5a0")</f>
        <v>501bb5a0</v>
      </c>
      <c r="B2137" s="1" t="str">
        <f>IFERROR(__xludf.DUMMYFUNCTION("""COMPUTED_VALUE"""),"0014")</f>
        <v>0014</v>
      </c>
      <c r="C2137" s="32">
        <f>IFERROR(__xludf.DUMMYFUNCTION("""COMPUTED_VALUE"""),46131.97195601852)</f>
        <v>46131.97196</v>
      </c>
      <c r="D2137" s="1">
        <f>IFERROR(__xludf.DUMMYFUNCTION("""COMPUTED_VALUE"""),-12.0)</f>
        <v>-12</v>
      </c>
      <c r="E2137" s="1"/>
      <c r="F2137" s="1"/>
    </row>
    <row r="2138">
      <c r="A2138" s="1" t="str">
        <f>IFERROR(__xludf.DUMMYFUNCTION("""COMPUTED_VALUE"""),"82cc3df4")</f>
        <v>82cc3df4</v>
      </c>
      <c r="B2138" s="1" t="str">
        <f>IFERROR(__xludf.DUMMYFUNCTION("""COMPUTED_VALUE"""),"0019")</f>
        <v>0019</v>
      </c>
      <c r="C2138" s="32">
        <f>IFERROR(__xludf.DUMMYFUNCTION("""COMPUTED_VALUE"""),46131.97244212963)</f>
        <v>46131.97244</v>
      </c>
      <c r="D2138" s="1">
        <f>IFERROR(__xludf.DUMMYFUNCTION("""COMPUTED_VALUE"""),-6.0)</f>
        <v>-6</v>
      </c>
      <c r="E2138" s="1"/>
      <c r="F2138" s="1"/>
    </row>
    <row r="2139">
      <c r="A2139" s="1" t="str">
        <f>IFERROR(__xludf.DUMMYFUNCTION("""COMPUTED_VALUE"""),"41732cda")</f>
        <v>41732cda</v>
      </c>
      <c r="B2139" s="1" t="str">
        <f>IFERROR(__xludf.DUMMYFUNCTION("""COMPUTED_VALUE"""),"bb4d1bd1")</f>
        <v>bb4d1bd1</v>
      </c>
      <c r="C2139" s="32">
        <f>IFERROR(__xludf.DUMMYFUNCTION("""COMPUTED_VALUE"""),46131.97282407407)</f>
        <v>46131.97282</v>
      </c>
      <c r="D2139" s="1">
        <f>IFERROR(__xludf.DUMMYFUNCTION("""COMPUTED_VALUE"""),-11.0)</f>
        <v>-11</v>
      </c>
      <c r="E2139" s="1"/>
      <c r="F2139" s="1"/>
    </row>
    <row r="2140">
      <c r="A2140" s="1" t="str">
        <f>IFERROR(__xludf.DUMMYFUNCTION("""COMPUTED_VALUE"""),"69455c23")</f>
        <v>69455c23</v>
      </c>
      <c r="B2140" s="1" t="str">
        <f>IFERROR(__xludf.DUMMYFUNCTION("""COMPUTED_VALUE"""),"02d86a9b")</f>
        <v>02d86a9b</v>
      </c>
      <c r="C2140" s="32">
        <f>IFERROR(__xludf.DUMMYFUNCTION("""COMPUTED_VALUE"""),46131.97347222222)</f>
        <v>46131.97347</v>
      </c>
      <c r="D2140" s="1">
        <f>IFERROR(__xludf.DUMMYFUNCTION("""COMPUTED_VALUE"""),-13.0)</f>
        <v>-13</v>
      </c>
      <c r="E2140" s="1"/>
      <c r="F2140" s="1"/>
    </row>
    <row r="2141">
      <c r="A2141" s="1" t="str">
        <f>IFERROR(__xludf.DUMMYFUNCTION("""COMPUTED_VALUE"""),"a6a5dc22")</f>
        <v>a6a5dc22</v>
      </c>
      <c r="B2141" s="1" t="str">
        <f>IFERROR(__xludf.DUMMYFUNCTION("""COMPUTED_VALUE"""),"1b6b5ed6")</f>
        <v>1b6b5ed6</v>
      </c>
      <c r="C2141" s="32">
        <f>IFERROR(__xludf.DUMMYFUNCTION("""COMPUTED_VALUE"""),46131.97408564815)</f>
        <v>46131.97409</v>
      </c>
      <c r="D2141" s="1">
        <f>IFERROR(__xludf.DUMMYFUNCTION("""COMPUTED_VALUE"""),-21.0)</f>
        <v>-21</v>
      </c>
      <c r="E2141" s="1"/>
      <c r="F2141" s="1"/>
    </row>
    <row r="2142">
      <c r="A2142" s="1" t="str">
        <f>IFERROR(__xludf.DUMMYFUNCTION("""COMPUTED_VALUE"""),"c1154f7b")</f>
        <v>c1154f7b</v>
      </c>
      <c r="B2142" s="1" t="str">
        <f>IFERROR(__xludf.DUMMYFUNCTION("""COMPUTED_VALUE"""),"0064")</f>
        <v>0064</v>
      </c>
      <c r="C2142" s="32">
        <f>IFERROR(__xludf.DUMMYFUNCTION("""COMPUTED_VALUE"""),46131.97461805555)</f>
        <v>46131.97462</v>
      </c>
      <c r="D2142" s="1">
        <f>IFERROR(__xludf.DUMMYFUNCTION("""COMPUTED_VALUE"""),-2.0)</f>
        <v>-2</v>
      </c>
      <c r="E2142" s="1"/>
      <c r="F2142" s="1"/>
    </row>
    <row r="2143">
      <c r="A2143" s="1" t="str">
        <f>IFERROR(__xludf.DUMMYFUNCTION("""COMPUTED_VALUE"""),"3e22296b")</f>
        <v>3e22296b</v>
      </c>
      <c r="B2143" s="1" t="str">
        <f>IFERROR(__xludf.DUMMYFUNCTION("""COMPUTED_VALUE"""),"0032")</f>
        <v>0032</v>
      </c>
      <c r="C2143" s="32">
        <f>IFERROR(__xludf.DUMMYFUNCTION("""COMPUTED_VALUE"""),46131.97476851852)</f>
        <v>46131.97477</v>
      </c>
      <c r="D2143" s="1">
        <f>IFERROR(__xludf.DUMMYFUNCTION("""COMPUTED_VALUE"""),-4.0)</f>
        <v>-4</v>
      </c>
      <c r="E2143" s="1"/>
      <c r="F2143" s="1"/>
    </row>
    <row r="2144">
      <c r="A2144" s="1" t="str">
        <f>IFERROR(__xludf.DUMMYFUNCTION("""COMPUTED_VALUE"""),"3975f243")</f>
        <v>3975f243</v>
      </c>
      <c r="B2144" s="1" t="str">
        <f>IFERROR(__xludf.DUMMYFUNCTION("""COMPUTED_VALUE"""),"0029")</f>
        <v>0029</v>
      </c>
      <c r="C2144" s="32">
        <f>IFERROR(__xludf.DUMMYFUNCTION("""COMPUTED_VALUE"""),46131.975173611114)</f>
        <v>46131.97517</v>
      </c>
      <c r="D2144" s="1">
        <f>IFERROR(__xludf.DUMMYFUNCTION("""COMPUTED_VALUE"""),-15.0)</f>
        <v>-15</v>
      </c>
      <c r="E2144" s="1"/>
      <c r="F2144" s="1"/>
    </row>
    <row r="2145">
      <c r="A2145" s="1" t="str">
        <f>IFERROR(__xludf.DUMMYFUNCTION("""COMPUTED_VALUE"""),"a7b3c3c6")</f>
        <v>a7b3c3c6</v>
      </c>
      <c r="B2145" s="1" t="str">
        <f>IFERROR(__xludf.DUMMYFUNCTION("""COMPUTED_VALUE"""),"406a1fee")</f>
        <v>406a1fee</v>
      </c>
      <c r="C2145" s="32">
        <f>IFERROR(__xludf.DUMMYFUNCTION("""COMPUTED_VALUE"""),46131.975752314815)</f>
        <v>46131.97575</v>
      </c>
      <c r="D2145" s="1">
        <f>IFERROR(__xludf.DUMMYFUNCTION("""COMPUTED_VALUE"""),-7.0)</f>
        <v>-7</v>
      </c>
      <c r="E2145" s="1"/>
      <c r="F2145" s="1"/>
    </row>
    <row r="2146">
      <c r="A2146" s="1" t="str">
        <f>IFERROR(__xludf.DUMMYFUNCTION("""COMPUTED_VALUE"""),"18474f40")</f>
        <v>18474f40</v>
      </c>
      <c r="B2146" s="1" t="str">
        <f>IFERROR(__xludf.DUMMYFUNCTION("""COMPUTED_VALUE"""),"0053")</f>
        <v>0053</v>
      </c>
      <c r="C2146" s="32">
        <f>IFERROR(__xludf.DUMMYFUNCTION("""COMPUTED_VALUE"""),46131.9762962963)</f>
        <v>46131.9763</v>
      </c>
      <c r="D2146" s="1">
        <f>IFERROR(__xludf.DUMMYFUNCTION("""COMPUTED_VALUE"""),-5.0)</f>
        <v>-5</v>
      </c>
      <c r="E2146" s="1"/>
      <c r="F2146" s="1"/>
    </row>
    <row r="2147">
      <c r="A2147" s="1" t="str">
        <f>IFERROR(__xludf.DUMMYFUNCTION("""COMPUTED_VALUE"""),"2bc91859")</f>
        <v>2bc91859</v>
      </c>
      <c r="B2147" s="1" t="str">
        <f>IFERROR(__xludf.DUMMYFUNCTION("""COMPUTED_VALUE"""),"57a5617b")</f>
        <v>57a5617b</v>
      </c>
      <c r="C2147" s="32">
        <f>IFERROR(__xludf.DUMMYFUNCTION("""COMPUTED_VALUE"""),46131.976793981485)</f>
        <v>46131.97679</v>
      </c>
      <c r="D2147" s="1">
        <f>IFERROR(__xludf.DUMMYFUNCTION("""COMPUTED_VALUE"""),-7.0)</f>
        <v>-7</v>
      </c>
      <c r="E2147" s="1"/>
      <c r="F2147" s="1"/>
    </row>
    <row r="2148">
      <c r="A2148" s="1" t="str">
        <f>IFERROR(__xludf.DUMMYFUNCTION("""COMPUTED_VALUE"""),"8ee89fdb")</f>
        <v>8ee89fdb</v>
      </c>
      <c r="B2148" s="1" t="str">
        <f>IFERROR(__xludf.DUMMYFUNCTION("""COMPUTED_VALUE"""),"70bdbe11")</f>
        <v>70bdbe11</v>
      </c>
      <c r="C2148" s="32">
        <f>IFERROR(__xludf.DUMMYFUNCTION("""COMPUTED_VALUE"""),46131.97771990741)</f>
        <v>46131.97772</v>
      </c>
      <c r="D2148" s="1">
        <f>IFERROR(__xludf.DUMMYFUNCTION("""COMPUTED_VALUE"""),-12.0)</f>
        <v>-12</v>
      </c>
      <c r="E2148" s="1"/>
      <c r="F2148" s="1"/>
    </row>
    <row r="2149">
      <c r="A2149" s="1" t="str">
        <f>IFERROR(__xludf.DUMMYFUNCTION("""COMPUTED_VALUE"""),"673e814d")</f>
        <v>673e814d</v>
      </c>
      <c r="B2149" s="1" t="str">
        <f>IFERROR(__xludf.DUMMYFUNCTION("""COMPUTED_VALUE"""),"0002")</f>
        <v>0002</v>
      </c>
      <c r="C2149" s="32">
        <f>IFERROR(__xludf.DUMMYFUNCTION("""COMPUTED_VALUE"""),46131.979108796295)</f>
        <v>46131.97911</v>
      </c>
      <c r="D2149" s="1">
        <f>IFERROR(__xludf.DUMMYFUNCTION("""COMPUTED_VALUE"""),-60.0)</f>
        <v>-60</v>
      </c>
      <c r="E2149" s="1"/>
      <c r="F2149" s="1"/>
    </row>
    <row r="2150">
      <c r="A2150" s="1" t="str">
        <f>IFERROR(__xludf.DUMMYFUNCTION("""COMPUTED_VALUE"""),"41f92af3")</f>
        <v>41f92af3</v>
      </c>
      <c r="B2150" s="1" t="str">
        <f>IFERROR(__xludf.DUMMYFUNCTION("""COMPUTED_VALUE"""),"0070")</f>
        <v>0070</v>
      </c>
      <c r="C2150" s="32">
        <f>IFERROR(__xludf.DUMMYFUNCTION("""COMPUTED_VALUE"""),46132.026655092595)</f>
        <v>46132.02666</v>
      </c>
      <c r="D2150" s="1">
        <f>IFERROR(__xludf.DUMMYFUNCTION("""COMPUTED_VALUE"""),3.0)</f>
        <v>3</v>
      </c>
      <c r="E2150" s="1"/>
      <c r="F2150" s="1"/>
    </row>
    <row r="2151">
      <c r="A2151" s="1" t="str">
        <f>IFERROR(__xludf.DUMMYFUNCTION("""COMPUTED_VALUE"""),"d9fc43f5")</f>
        <v>d9fc43f5</v>
      </c>
      <c r="B2151" s="1" t="str">
        <f>IFERROR(__xludf.DUMMYFUNCTION("""COMPUTED_VALUE"""),"0014")</f>
        <v>0014</v>
      </c>
      <c r="C2151" s="32">
        <f>IFERROR(__xludf.DUMMYFUNCTION("""COMPUTED_VALUE"""),46132.02673611111)</f>
        <v>46132.02674</v>
      </c>
      <c r="D2151" s="1">
        <f>IFERROR(__xludf.DUMMYFUNCTION("""COMPUTED_VALUE"""),5.0)</f>
        <v>5</v>
      </c>
      <c r="E2151" s="1"/>
      <c r="F2151" s="1"/>
    </row>
    <row r="2152">
      <c r="A2152" s="1" t="str">
        <f>IFERROR(__xludf.DUMMYFUNCTION("""COMPUTED_VALUE"""),"7b978d3b")</f>
        <v>7b978d3b</v>
      </c>
      <c r="B2152" s="1" t="str">
        <f>IFERROR(__xludf.DUMMYFUNCTION("""COMPUTED_VALUE"""),"bb4d1bd1")</f>
        <v>bb4d1bd1</v>
      </c>
      <c r="C2152" s="32">
        <f>IFERROR(__xludf.DUMMYFUNCTION("""COMPUTED_VALUE"""),46132.06344907408)</f>
        <v>46132.06345</v>
      </c>
      <c r="D2152" s="1">
        <f>IFERROR(__xludf.DUMMYFUNCTION("""COMPUTED_VALUE"""),28.0)</f>
        <v>28</v>
      </c>
      <c r="E2152" s="1"/>
      <c r="F2152" s="1"/>
    </row>
    <row r="2153">
      <c r="A2153" s="1" t="str">
        <f>IFERROR(__xludf.DUMMYFUNCTION("""COMPUTED_VALUE"""),"a6908f86")</f>
        <v>a6908f86</v>
      </c>
      <c r="B2153" s="1" t="str">
        <f>IFERROR(__xludf.DUMMYFUNCTION("""COMPUTED_VALUE"""),"02d86a9b")</f>
        <v>02d86a9b</v>
      </c>
      <c r="C2153" s="32">
        <f>IFERROR(__xludf.DUMMYFUNCTION("""COMPUTED_VALUE"""),46132.06361111111)</f>
        <v>46132.06361</v>
      </c>
      <c r="D2153" s="1">
        <f>IFERROR(__xludf.DUMMYFUNCTION("""COMPUTED_VALUE"""),16.0)</f>
        <v>16</v>
      </c>
      <c r="E2153" s="1"/>
      <c r="F2153" s="1"/>
    </row>
    <row r="2154">
      <c r="A2154" s="1" t="str">
        <f>IFERROR(__xludf.DUMMYFUNCTION("""COMPUTED_VALUE"""),"48ae95c9")</f>
        <v>48ae95c9</v>
      </c>
      <c r="B2154" s="1" t="str">
        <f>IFERROR(__xludf.DUMMYFUNCTION("""COMPUTED_VALUE"""),"0014")</f>
        <v>0014</v>
      </c>
      <c r="C2154" s="32">
        <f>IFERROR(__xludf.DUMMYFUNCTION("""COMPUTED_VALUE"""),46132.06622685185)</f>
        <v>46132.06623</v>
      </c>
      <c r="D2154" s="1">
        <f>IFERROR(__xludf.DUMMYFUNCTION("""COMPUTED_VALUE"""),-6.0)</f>
        <v>-6</v>
      </c>
      <c r="E2154" s="1"/>
      <c r="F2154" s="1"/>
    </row>
    <row r="2155">
      <c r="A2155" s="1" t="str">
        <f>IFERROR(__xludf.DUMMYFUNCTION("""COMPUTED_VALUE"""),"3cd04215")</f>
        <v>3cd04215</v>
      </c>
      <c r="B2155" s="1" t="str">
        <f>IFERROR(__xludf.DUMMYFUNCTION("""COMPUTED_VALUE"""),"0024")</f>
        <v>0024</v>
      </c>
      <c r="C2155" s="32">
        <f>IFERROR(__xludf.DUMMYFUNCTION("""COMPUTED_VALUE"""),46132.17424768519)</f>
        <v>46132.17425</v>
      </c>
      <c r="D2155" s="1">
        <f>IFERROR(__xludf.DUMMYFUNCTION("""COMPUTED_VALUE"""),10.0)</f>
        <v>10</v>
      </c>
      <c r="E2155" s="1" t="str">
        <f>IFERROR(__xludf.DUMMYFUNCTION("""COMPUTED_VALUE"""),"f19003a8")</f>
        <v>f19003a8</v>
      </c>
      <c r="F2155" s="1"/>
    </row>
    <row r="2156">
      <c r="A2156" s="1" t="str">
        <f>IFERROR(__xludf.DUMMYFUNCTION("""COMPUTED_VALUE"""),"6444ec4e")</f>
        <v>6444ec4e</v>
      </c>
      <c r="B2156" s="1" t="str">
        <f>IFERROR(__xludf.DUMMYFUNCTION("""COMPUTED_VALUE"""),"bb6c2490")</f>
        <v>bb6c2490</v>
      </c>
      <c r="C2156" s="32">
        <f>IFERROR(__xludf.DUMMYFUNCTION("""COMPUTED_VALUE"""),46132.174305555556)</f>
        <v>46132.17431</v>
      </c>
      <c r="D2156" s="1">
        <f>IFERROR(__xludf.DUMMYFUNCTION("""COMPUTED_VALUE"""),36.0)</f>
        <v>36</v>
      </c>
      <c r="E2156" s="1" t="str">
        <f>IFERROR(__xludf.DUMMYFUNCTION("""COMPUTED_VALUE"""),"f19003a8")</f>
        <v>f19003a8</v>
      </c>
      <c r="F2156" s="1"/>
    </row>
    <row r="2157">
      <c r="A2157" s="1" t="str">
        <f>IFERROR(__xludf.DUMMYFUNCTION("""COMPUTED_VALUE"""),"8b668d0f")</f>
        <v>8b668d0f</v>
      </c>
      <c r="B2157" s="1" t="str">
        <f>IFERROR(__xludf.DUMMYFUNCTION("""COMPUTED_VALUE"""),"220a28b9")</f>
        <v>220a28b9</v>
      </c>
      <c r="C2157" s="32">
        <f>IFERROR(__xludf.DUMMYFUNCTION("""COMPUTED_VALUE"""),46132.17435185185)</f>
        <v>46132.17435</v>
      </c>
      <c r="D2157" s="1">
        <f>IFERROR(__xludf.DUMMYFUNCTION("""COMPUTED_VALUE"""),12.0)</f>
        <v>12</v>
      </c>
      <c r="E2157" s="1" t="str">
        <f>IFERROR(__xludf.DUMMYFUNCTION("""COMPUTED_VALUE"""),"f19003a8")</f>
        <v>f19003a8</v>
      </c>
      <c r="F2157" s="1"/>
    </row>
    <row r="2158">
      <c r="A2158" s="1" t="str">
        <f>IFERROR(__xludf.DUMMYFUNCTION("""COMPUTED_VALUE"""),"a61e671b")</f>
        <v>a61e671b</v>
      </c>
      <c r="B2158" s="1" t="str">
        <f>IFERROR(__xludf.DUMMYFUNCTION("""COMPUTED_VALUE"""),"bb6c2490")</f>
        <v>bb6c2490</v>
      </c>
      <c r="C2158" s="32">
        <f>IFERROR(__xludf.DUMMYFUNCTION("""COMPUTED_VALUE"""),46132.174467592595)</f>
        <v>46132.17447</v>
      </c>
      <c r="D2158" s="1">
        <f>IFERROR(__xludf.DUMMYFUNCTION("""COMPUTED_VALUE"""),-10.0)</f>
        <v>-10</v>
      </c>
      <c r="E2158" s="1"/>
      <c r="F2158" s="1"/>
    </row>
    <row r="2159">
      <c r="A2159" s="1" t="str">
        <f>IFERROR(__xludf.DUMMYFUNCTION("""COMPUTED_VALUE"""),"6fd7ae9e")</f>
        <v>6fd7ae9e</v>
      </c>
      <c r="B2159" s="1" t="str">
        <f>IFERROR(__xludf.DUMMYFUNCTION("""COMPUTED_VALUE"""),"0001")</f>
        <v>0001</v>
      </c>
      <c r="C2159" s="32">
        <f>IFERROR(__xludf.DUMMYFUNCTION("""COMPUTED_VALUE"""),46132.17461805556)</f>
        <v>46132.17462</v>
      </c>
      <c r="D2159" s="1">
        <f>IFERROR(__xludf.DUMMYFUNCTION("""COMPUTED_VALUE"""),-28.0)</f>
        <v>-28</v>
      </c>
      <c r="E2159" s="1"/>
      <c r="F2159" s="1"/>
    </row>
    <row r="2160">
      <c r="A2160" s="1" t="str">
        <f>IFERROR(__xludf.DUMMYFUNCTION("""COMPUTED_VALUE"""),"df620bd8")</f>
        <v>df620bd8</v>
      </c>
      <c r="B2160" s="1" t="str">
        <f>IFERROR(__xludf.DUMMYFUNCTION("""COMPUTED_VALUE"""),"12b96290")</f>
        <v>12b96290</v>
      </c>
      <c r="C2160" s="32">
        <f>IFERROR(__xludf.DUMMYFUNCTION("""COMPUTED_VALUE"""),46132.174733796295)</f>
        <v>46132.17473</v>
      </c>
      <c r="D2160" s="1">
        <f>IFERROR(__xludf.DUMMYFUNCTION("""COMPUTED_VALUE"""),-7.0)</f>
        <v>-7</v>
      </c>
      <c r="E2160" s="1"/>
      <c r="F2160" s="1"/>
    </row>
    <row r="2161">
      <c r="A2161" s="1" t="str">
        <f>IFERROR(__xludf.DUMMYFUNCTION("""COMPUTED_VALUE"""),"37096fb6")</f>
        <v>37096fb6</v>
      </c>
      <c r="B2161" s="1" t="str">
        <f>IFERROR(__xludf.DUMMYFUNCTION("""COMPUTED_VALUE"""),"0033")</f>
        <v>0033</v>
      </c>
      <c r="C2161" s="32">
        <f>IFERROR(__xludf.DUMMYFUNCTION("""COMPUTED_VALUE"""),46132.17490740741)</f>
        <v>46132.17491</v>
      </c>
      <c r="D2161" s="1">
        <f>IFERROR(__xludf.DUMMYFUNCTION("""COMPUTED_VALUE"""),-7.0)</f>
        <v>-7</v>
      </c>
      <c r="E2161" s="1"/>
      <c r="F2161" s="1"/>
    </row>
    <row r="2162">
      <c r="A2162" s="1" t="str">
        <f>IFERROR(__xludf.DUMMYFUNCTION("""COMPUTED_VALUE"""),"5911624b")</f>
        <v>5911624b</v>
      </c>
      <c r="B2162" s="1" t="str">
        <f>IFERROR(__xludf.DUMMYFUNCTION("""COMPUTED_VALUE"""),"1b6b5ed6")</f>
        <v>1b6b5ed6</v>
      </c>
      <c r="C2162" s="32">
        <f>IFERROR(__xludf.DUMMYFUNCTION("""COMPUTED_VALUE"""),46132.17503472222)</f>
        <v>46132.17503</v>
      </c>
      <c r="D2162" s="1">
        <f>IFERROR(__xludf.DUMMYFUNCTION("""COMPUTED_VALUE"""),-24.0)</f>
        <v>-24</v>
      </c>
      <c r="E2162" s="1"/>
      <c r="F2162" s="1"/>
    </row>
    <row r="2163">
      <c r="A2163" s="1" t="str">
        <f>IFERROR(__xludf.DUMMYFUNCTION("""COMPUTED_VALUE"""),"0336bc51")</f>
        <v>0336bc51</v>
      </c>
      <c r="B2163" s="1" t="str">
        <f>IFERROR(__xludf.DUMMYFUNCTION("""COMPUTED_VALUE"""),"0002")</f>
        <v>0002</v>
      </c>
      <c r="C2163" s="32">
        <f>IFERROR(__xludf.DUMMYFUNCTION("""COMPUTED_VALUE"""),46132.17524305556)</f>
        <v>46132.17524</v>
      </c>
      <c r="D2163" s="1">
        <f>IFERROR(__xludf.DUMMYFUNCTION("""COMPUTED_VALUE"""),-60.0)</f>
        <v>-60</v>
      </c>
      <c r="E2163" s="1"/>
      <c r="F2163" s="1"/>
    </row>
    <row r="2164">
      <c r="A2164" s="1" t="str">
        <f>IFERROR(__xludf.DUMMYFUNCTION("""COMPUTED_VALUE"""),"62ad70bc")</f>
        <v>62ad70bc</v>
      </c>
      <c r="B2164" s="1" t="str">
        <f>IFERROR(__xludf.DUMMYFUNCTION("""COMPUTED_VALUE"""),"0029")</f>
        <v>0029</v>
      </c>
      <c r="C2164" s="32">
        <f>IFERROR(__xludf.DUMMYFUNCTION("""COMPUTED_VALUE"""),46132.17570601852)</f>
        <v>46132.17571</v>
      </c>
      <c r="D2164" s="1">
        <f>IFERROR(__xludf.DUMMYFUNCTION("""COMPUTED_VALUE"""),-13.0)</f>
        <v>-13</v>
      </c>
      <c r="E2164" s="1"/>
      <c r="F2164" s="1"/>
    </row>
    <row r="2165">
      <c r="A2165" s="1" t="str">
        <f>IFERROR(__xludf.DUMMYFUNCTION("""COMPUTED_VALUE"""),"ffcccbf8")</f>
        <v>ffcccbf8</v>
      </c>
      <c r="B2165" s="1" t="str">
        <f>IFERROR(__xludf.DUMMYFUNCTION("""COMPUTED_VALUE"""),"0021")</f>
        <v>0021</v>
      </c>
      <c r="C2165" s="32">
        <f>IFERROR(__xludf.DUMMYFUNCTION("""COMPUTED_VALUE"""),46132.17582175926)</f>
        <v>46132.17582</v>
      </c>
      <c r="D2165" s="1">
        <f>IFERROR(__xludf.DUMMYFUNCTION("""COMPUTED_VALUE"""),-14.0)</f>
        <v>-14</v>
      </c>
      <c r="E2165" s="1"/>
      <c r="F2165" s="1"/>
    </row>
    <row r="2166">
      <c r="A2166" s="1" t="str">
        <f>IFERROR(__xludf.DUMMYFUNCTION("""COMPUTED_VALUE"""),"bd68e94c")</f>
        <v>bd68e94c</v>
      </c>
      <c r="B2166" s="1" t="str">
        <f>IFERROR(__xludf.DUMMYFUNCTION("""COMPUTED_VALUE"""),"eda833ca")</f>
        <v>eda833ca</v>
      </c>
      <c r="C2166" s="32">
        <f>IFERROR(__xludf.DUMMYFUNCTION("""COMPUTED_VALUE"""),46132.17606481481)</f>
        <v>46132.17606</v>
      </c>
      <c r="D2166" s="1">
        <f>IFERROR(__xludf.DUMMYFUNCTION("""COMPUTED_VALUE"""),-7.0)</f>
        <v>-7</v>
      </c>
      <c r="E2166" s="1"/>
      <c r="F2166" s="1"/>
    </row>
    <row r="2167">
      <c r="A2167" s="1" t="str">
        <f>IFERROR(__xludf.DUMMYFUNCTION("""COMPUTED_VALUE"""),"6589c66d")</f>
        <v>6589c66d</v>
      </c>
      <c r="B2167" s="1" t="str">
        <f>IFERROR(__xludf.DUMMYFUNCTION("""COMPUTED_VALUE"""),"b112660a")</f>
        <v>b112660a</v>
      </c>
      <c r="C2167" s="32">
        <f>IFERROR(__xludf.DUMMYFUNCTION("""COMPUTED_VALUE"""),46132.17648148148)</f>
        <v>46132.17648</v>
      </c>
      <c r="D2167" s="1">
        <f>IFERROR(__xludf.DUMMYFUNCTION("""COMPUTED_VALUE"""),-3.0)</f>
        <v>-3</v>
      </c>
      <c r="E2167" s="1"/>
      <c r="F2167" s="1"/>
    </row>
    <row r="2168">
      <c r="A2168" s="1" t="str">
        <f>IFERROR(__xludf.DUMMYFUNCTION("""COMPUTED_VALUE"""),"9a3da78d")</f>
        <v>9a3da78d</v>
      </c>
      <c r="B2168" s="1" t="str">
        <f>IFERROR(__xludf.DUMMYFUNCTION("""COMPUTED_VALUE"""),"0014")</f>
        <v>0014</v>
      </c>
      <c r="C2168" s="32">
        <f>IFERROR(__xludf.DUMMYFUNCTION("""COMPUTED_VALUE"""),46132.17659722222)</f>
        <v>46132.1766</v>
      </c>
      <c r="D2168" s="1">
        <f>IFERROR(__xludf.DUMMYFUNCTION("""COMPUTED_VALUE"""),-6.0)</f>
        <v>-6</v>
      </c>
      <c r="E2168" s="1"/>
      <c r="F2168" s="1"/>
    </row>
    <row r="2169">
      <c r="A2169" s="1" t="str">
        <f>IFERROR(__xludf.DUMMYFUNCTION("""COMPUTED_VALUE"""),"cf6c4d90")</f>
        <v>cf6c4d90</v>
      </c>
      <c r="B2169" s="1" t="str">
        <f>IFERROR(__xludf.DUMMYFUNCTION("""COMPUTED_VALUE"""),"220a28b9")</f>
        <v>220a28b9</v>
      </c>
      <c r="C2169" s="32">
        <f>IFERROR(__xludf.DUMMYFUNCTION("""COMPUTED_VALUE"""),46132.17695601852)</f>
        <v>46132.17696</v>
      </c>
      <c r="D2169" s="1">
        <f>IFERROR(__xludf.DUMMYFUNCTION("""COMPUTED_VALUE"""),-12.0)</f>
        <v>-12</v>
      </c>
      <c r="E2169" s="1"/>
      <c r="F2169" s="1"/>
    </row>
    <row r="2170">
      <c r="A2170" s="1" t="str">
        <f>IFERROR(__xludf.DUMMYFUNCTION("""COMPUTED_VALUE"""),"81353b83")</f>
        <v>81353b83</v>
      </c>
      <c r="B2170" s="1" t="str">
        <f>IFERROR(__xludf.DUMMYFUNCTION("""COMPUTED_VALUE"""),"0011")</f>
        <v>0011</v>
      </c>
      <c r="C2170" s="32">
        <f>IFERROR(__xludf.DUMMYFUNCTION("""COMPUTED_VALUE"""),46132.84412037037)</f>
        <v>46132.84412</v>
      </c>
      <c r="D2170" s="1">
        <f>IFERROR(__xludf.DUMMYFUNCTION("""COMPUTED_VALUE"""),120.0)</f>
        <v>120</v>
      </c>
      <c r="E2170" s="1" t="str">
        <f>IFERROR(__xludf.DUMMYFUNCTION("""COMPUTED_VALUE"""),"fb40a272")</f>
        <v>fb40a272</v>
      </c>
      <c r="F2170" s="1"/>
    </row>
    <row r="2171">
      <c r="A2171" s="1" t="str">
        <f>IFERROR(__xludf.DUMMYFUNCTION("""COMPUTED_VALUE"""),"428dd86a")</f>
        <v>428dd86a</v>
      </c>
      <c r="B2171" s="1" t="str">
        <f>IFERROR(__xludf.DUMMYFUNCTION("""COMPUTED_VALUE"""),"0029")</f>
        <v>0029</v>
      </c>
      <c r="C2171" s="32">
        <f>IFERROR(__xludf.DUMMYFUNCTION("""COMPUTED_VALUE"""),46132.84416666667)</f>
        <v>46132.84417</v>
      </c>
      <c r="D2171" s="1">
        <f>IFERROR(__xludf.DUMMYFUNCTION("""COMPUTED_VALUE"""),120.0)</f>
        <v>120</v>
      </c>
      <c r="E2171" s="1" t="str">
        <f>IFERROR(__xludf.DUMMYFUNCTION("""COMPUTED_VALUE"""),"fb40a272")</f>
        <v>fb40a272</v>
      </c>
      <c r="F2171" s="1"/>
    </row>
    <row r="2172">
      <c r="A2172" s="1" t="str">
        <f>IFERROR(__xludf.DUMMYFUNCTION("""COMPUTED_VALUE"""),"97fcd8ef")</f>
        <v>97fcd8ef</v>
      </c>
      <c r="B2172" s="1" t="str">
        <f>IFERROR(__xludf.DUMMYFUNCTION("""COMPUTED_VALUE"""),"70bdbe11")</f>
        <v>70bdbe11</v>
      </c>
      <c r="C2172" s="32">
        <f>IFERROR(__xludf.DUMMYFUNCTION("""COMPUTED_VALUE"""),46132.84421296296)</f>
        <v>46132.84421</v>
      </c>
      <c r="D2172" s="1">
        <f>IFERROR(__xludf.DUMMYFUNCTION("""COMPUTED_VALUE"""),72.0)</f>
        <v>72</v>
      </c>
      <c r="E2172" s="1" t="str">
        <f>IFERROR(__xludf.DUMMYFUNCTION("""COMPUTED_VALUE"""),"fb40a272")</f>
        <v>fb40a272</v>
      </c>
      <c r="F2172" s="1"/>
    </row>
    <row r="2173">
      <c r="A2173" s="1" t="str">
        <f>IFERROR(__xludf.DUMMYFUNCTION("""COMPUTED_VALUE"""),"5fbca9f2")</f>
        <v>5fbca9f2</v>
      </c>
      <c r="B2173" s="1" t="str">
        <f>IFERROR(__xludf.DUMMYFUNCTION("""COMPUTED_VALUE"""),"0027")</f>
        <v>0027</v>
      </c>
      <c r="C2173" s="32">
        <f>IFERROR(__xludf.DUMMYFUNCTION("""COMPUTED_VALUE"""),46132.84425925926)</f>
        <v>46132.84426</v>
      </c>
      <c r="D2173" s="1">
        <f>IFERROR(__xludf.DUMMYFUNCTION("""COMPUTED_VALUE"""),50.0)</f>
        <v>50</v>
      </c>
      <c r="E2173" s="1" t="str">
        <f>IFERROR(__xludf.DUMMYFUNCTION("""COMPUTED_VALUE"""),"fb40a272")</f>
        <v>fb40a272</v>
      </c>
      <c r="F2173" s="1"/>
    </row>
    <row r="2174">
      <c r="A2174" s="1" t="str">
        <f>IFERROR(__xludf.DUMMYFUNCTION("""COMPUTED_VALUE"""),"330569ea")</f>
        <v>330569ea</v>
      </c>
      <c r="B2174" s="1" t="str">
        <f>IFERROR(__xludf.DUMMYFUNCTION("""COMPUTED_VALUE"""),"0024")</f>
        <v>0024</v>
      </c>
      <c r="C2174" s="32">
        <f>IFERROR(__xludf.DUMMYFUNCTION("""COMPUTED_VALUE"""),46132.84431712963)</f>
        <v>46132.84432</v>
      </c>
      <c r="D2174" s="1">
        <f>IFERROR(__xludf.DUMMYFUNCTION("""COMPUTED_VALUE"""),10.0)</f>
        <v>10</v>
      </c>
      <c r="E2174" s="1" t="str">
        <f>IFERROR(__xludf.DUMMYFUNCTION("""COMPUTED_VALUE"""),"fb40a272")</f>
        <v>fb40a272</v>
      </c>
      <c r="F2174" s="1"/>
    </row>
    <row r="2175">
      <c r="A2175" s="1" t="str">
        <f>IFERROR(__xludf.DUMMYFUNCTION("""COMPUTED_VALUE"""),"92aaaec2")</f>
        <v>92aaaec2</v>
      </c>
      <c r="B2175" s="1" t="str">
        <f>IFERROR(__xludf.DUMMYFUNCTION("""COMPUTED_VALUE"""),"0014")</f>
        <v>0014</v>
      </c>
      <c r="C2175" s="32">
        <f>IFERROR(__xludf.DUMMYFUNCTION("""COMPUTED_VALUE"""),46132.844363425924)</f>
        <v>46132.84436</v>
      </c>
      <c r="D2175" s="1">
        <f>IFERROR(__xludf.DUMMYFUNCTION("""COMPUTED_VALUE"""),60.0)</f>
        <v>60</v>
      </c>
      <c r="E2175" s="1" t="str">
        <f>IFERROR(__xludf.DUMMYFUNCTION("""COMPUTED_VALUE"""),"fb40a272")</f>
        <v>fb40a272</v>
      </c>
      <c r="F2175" s="1"/>
    </row>
    <row r="2176">
      <c r="A2176" s="1" t="str">
        <f>IFERROR(__xludf.DUMMYFUNCTION("""COMPUTED_VALUE"""),"ab9dfff3")</f>
        <v>ab9dfff3</v>
      </c>
      <c r="B2176" s="1" t="str">
        <f>IFERROR(__xludf.DUMMYFUNCTION("""COMPUTED_VALUE"""),"cb9e809e")</f>
        <v>cb9e809e</v>
      </c>
      <c r="C2176" s="32">
        <f>IFERROR(__xludf.DUMMYFUNCTION("""COMPUTED_VALUE"""),46132.84525462963)</f>
        <v>46132.84525</v>
      </c>
      <c r="D2176" s="1">
        <f>IFERROR(__xludf.DUMMYFUNCTION("""COMPUTED_VALUE"""),36.0)</f>
        <v>36</v>
      </c>
      <c r="E2176" s="1" t="str">
        <f>IFERROR(__xludf.DUMMYFUNCTION("""COMPUTED_VALUE"""),"4c061a87")</f>
        <v>4c061a87</v>
      </c>
      <c r="F2176" s="1"/>
    </row>
    <row r="2177">
      <c r="A2177" s="1" t="str">
        <f>IFERROR(__xludf.DUMMYFUNCTION("""COMPUTED_VALUE"""),"266bf0c5")</f>
        <v>266bf0c5</v>
      </c>
      <c r="B2177" s="1" t="str">
        <f>IFERROR(__xludf.DUMMYFUNCTION("""COMPUTED_VALUE"""),"0033")</f>
        <v>0033</v>
      </c>
      <c r="C2177" s="32">
        <f>IFERROR(__xludf.DUMMYFUNCTION("""COMPUTED_VALUE"""),46132.845300925925)</f>
        <v>46132.8453</v>
      </c>
      <c r="D2177" s="1">
        <f>IFERROR(__xludf.DUMMYFUNCTION("""COMPUTED_VALUE"""),24.0)</f>
        <v>24</v>
      </c>
      <c r="E2177" s="1" t="str">
        <f>IFERROR(__xludf.DUMMYFUNCTION("""COMPUTED_VALUE"""),"4c061a87")</f>
        <v>4c061a87</v>
      </c>
      <c r="F2177" s="1"/>
    </row>
    <row r="2178">
      <c r="A2178" s="1" t="str">
        <f>IFERROR(__xludf.DUMMYFUNCTION("""COMPUTED_VALUE"""),"0b957cb4")</f>
        <v>0b957cb4</v>
      </c>
      <c r="B2178" s="1" t="str">
        <f>IFERROR(__xludf.DUMMYFUNCTION("""COMPUTED_VALUE"""),"1039e79c")</f>
        <v>1039e79c</v>
      </c>
      <c r="C2178" s="32">
        <f>IFERROR(__xludf.DUMMYFUNCTION("""COMPUTED_VALUE"""),46132.84680555556)</f>
        <v>46132.84681</v>
      </c>
      <c r="D2178" s="1">
        <f>IFERROR(__xludf.DUMMYFUNCTION("""COMPUTED_VALUE"""),24.0)</f>
        <v>24</v>
      </c>
      <c r="E2178" s="1" t="str">
        <f>IFERROR(__xludf.DUMMYFUNCTION("""COMPUTED_VALUE"""),"b00e6b07")</f>
        <v>b00e6b07</v>
      </c>
      <c r="F2178" s="1"/>
    </row>
    <row r="2179">
      <c r="A2179" s="1" t="str">
        <f>IFERROR(__xludf.DUMMYFUNCTION("""COMPUTED_VALUE"""),"c60bd4e4")</f>
        <v>c60bd4e4</v>
      </c>
      <c r="B2179" s="1" t="str">
        <f>IFERROR(__xludf.DUMMYFUNCTION("""COMPUTED_VALUE"""),"951a092f")</f>
        <v>951a092f</v>
      </c>
      <c r="C2179" s="32">
        <f>IFERROR(__xludf.DUMMYFUNCTION("""COMPUTED_VALUE"""),46132.86530092593)</f>
        <v>46132.8653</v>
      </c>
      <c r="D2179" s="1">
        <f>IFERROR(__xludf.DUMMYFUNCTION("""COMPUTED_VALUE"""),30.0)</f>
        <v>30</v>
      </c>
      <c r="E2179" s="1" t="str">
        <f>IFERROR(__xludf.DUMMYFUNCTION("""COMPUTED_VALUE"""),"b00e6b07")</f>
        <v>b00e6b07</v>
      </c>
      <c r="F2179" s="1"/>
    </row>
    <row r="2180">
      <c r="A2180" s="1" t="str">
        <f>IFERROR(__xludf.DUMMYFUNCTION("""COMPUTED_VALUE"""),"829984a2")</f>
        <v>829984a2</v>
      </c>
      <c r="B2180" s="1" t="str">
        <f>IFERROR(__xludf.DUMMYFUNCTION("""COMPUTED_VALUE"""),"12b96290")</f>
        <v>12b96290</v>
      </c>
      <c r="C2180" s="32">
        <f>IFERROR(__xludf.DUMMYFUNCTION("""COMPUTED_VALUE"""),46132.86944444444)</f>
        <v>46132.86944</v>
      </c>
      <c r="D2180" s="1">
        <f>IFERROR(__xludf.DUMMYFUNCTION("""COMPUTED_VALUE"""),-13.0)</f>
        <v>-13</v>
      </c>
      <c r="E2180" s="1"/>
      <c r="F2180" s="1"/>
    </row>
    <row r="2181">
      <c r="A2181" s="1" t="str">
        <f>IFERROR(__xludf.DUMMYFUNCTION("""COMPUTED_VALUE"""),"5cc0d5ed")</f>
        <v>5cc0d5ed</v>
      </c>
      <c r="B2181" s="1" t="str">
        <f>IFERROR(__xludf.DUMMYFUNCTION("""COMPUTED_VALUE"""),"cf6c9481")</f>
        <v>cf6c9481</v>
      </c>
      <c r="C2181" s="32">
        <f>IFERROR(__xludf.DUMMYFUNCTION("""COMPUTED_VALUE"""),46132.87091435185)</f>
        <v>46132.87091</v>
      </c>
      <c r="D2181" s="1">
        <f>IFERROR(__xludf.DUMMYFUNCTION("""COMPUTED_VALUE"""),48.0)</f>
        <v>48</v>
      </c>
      <c r="E2181" s="1" t="str">
        <f>IFERROR(__xludf.DUMMYFUNCTION("""COMPUTED_VALUE"""),"b00e6b07")</f>
        <v>b00e6b07</v>
      </c>
      <c r="F2181" s="1"/>
    </row>
    <row r="2182">
      <c r="A2182" s="1" t="str">
        <f>IFERROR(__xludf.DUMMYFUNCTION("""COMPUTED_VALUE"""),"ca2a20d5")</f>
        <v>ca2a20d5</v>
      </c>
      <c r="B2182" s="1" t="str">
        <f>IFERROR(__xludf.DUMMYFUNCTION("""COMPUTED_VALUE"""),"cf6c9481")</f>
        <v>cf6c9481</v>
      </c>
      <c r="C2182" s="32">
        <f>IFERROR(__xludf.DUMMYFUNCTION("""COMPUTED_VALUE"""),46132.87131944444)</f>
        <v>46132.87132</v>
      </c>
      <c r="D2182" s="1">
        <f>IFERROR(__xludf.DUMMYFUNCTION("""COMPUTED_VALUE"""),-5.0)</f>
        <v>-5</v>
      </c>
      <c r="E2182" s="1"/>
      <c r="F2182" s="1"/>
    </row>
    <row r="2183">
      <c r="A2183" s="1" t="str">
        <f>IFERROR(__xludf.DUMMYFUNCTION("""COMPUTED_VALUE"""),"26b13f78")</f>
        <v>26b13f78</v>
      </c>
      <c r="B2183" s="1" t="str">
        <f>IFERROR(__xludf.DUMMYFUNCTION("""COMPUTED_VALUE"""),"1039e79c")</f>
        <v>1039e79c</v>
      </c>
      <c r="C2183" s="32">
        <f>IFERROR(__xludf.DUMMYFUNCTION("""COMPUTED_VALUE"""),46133.71160879629)</f>
        <v>46133.71161</v>
      </c>
      <c r="D2183" s="1">
        <f>IFERROR(__xludf.DUMMYFUNCTION("""COMPUTED_VALUE"""),-26.0)</f>
        <v>-26</v>
      </c>
      <c r="E2183" s="1"/>
      <c r="F2183" s="1"/>
    </row>
    <row r="2184">
      <c r="A2184" s="1" t="str">
        <f>IFERROR(__xludf.DUMMYFUNCTION("""COMPUTED_VALUE"""),"ca57784c")</f>
        <v>ca57784c</v>
      </c>
      <c r="B2184" s="1" t="str">
        <f>IFERROR(__xludf.DUMMYFUNCTION("""COMPUTED_VALUE"""),"951a092f")</f>
        <v>951a092f</v>
      </c>
      <c r="C2184" s="32">
        <f>IFERROR(__xludf.DUMMYFUNCTION("""COMPUTED_VALUE"""),46133.71173611111)</f>
        <v>46133.71174</v>
      </c>
      <c r="D2184" s="1">
        <f>IFERROR(__xludf.DUMMYFUNCTION("""COMPUTED_VALUE"""),-28.0)</f>
        <v>-28</v>
      </c>
      <c r="E2184" s="1"/>
      <c r="F2184" s="1"/>
    </row>
    <row r="2185">
      <c r="A2185" s="1" t="str">
        <f>IFERROR(__xludf.DUMMYFUNCTION("""COMPUTED_VALUE"""),"651c3344")</f>
        <v>651c3344</v>
      </c>
      <c r="B2185" s="1" t="str">
        <f>IFERROR(__xludf.DUMMYFUNCTION("""COMPUTED_VALUE"""),"0001")</f>
        <v>0001</v>
      </c>
      <c r="C2185" s="32">
        <f>IFERROR(__xludf.DUMMYFUNCTION("""COMPUTED_VALUE"""),46133.71193287037)</f>
        <v>46133.71193</v>
      </c>
      <c r="D2185" s="1">
        <f>IFERROR(__xludf.DUMMYFUNCTION("""COMPUTED_VALUE"""),-4.0)</f>
        <v>-4</v>
      </c>
      <c r="E2185" s="1"/>
      <c r="F2185" s="1"/>
    </row>
    <row r="2186">
      <c r="A2186" s="1" t="str">
        <f>IFERROR(__xludf.DUMMYFUNCTION("""COMPUTED_VALUE"""),"e2929343")</f>
        <v>e2929343</v>
      </c>
      <c r="B2186" s="1" t="str">
        <f>IFERROR(__xludf.DUMMYFUNCTION("""COMPUTED_VALUE"""),"0033")</f>
        <v>0033</v>
      </c>
      <c r="C2186" s="32">
        <f>IFERROR(__xludf.DUMMYFUNCTION("""COMPUTED_VALUE"""),46133.71207175926)</f>
        <v>46133.71207</v>
      </c>
      <c r="D2186" s="1">
        <f>IFERROR(__xludf.DUMMYFUNCTION("""COMPUTED_VALUE"""),-6.0)</f>
        <v>-6</v>
      </c>
      <c r="E2186" s="1"/>
      <c r="F2186" s="1"/>
    </row>
    <row r="2187">
      <c r="A2187" s="1" t="str">
        <f>IFERROR(__xludf.DUMMYFUNCTION("""COMPUTED_VALUE"""),"e8d1e434")</f>
        <v>e8d1e434</v>
      </c>
      <c r="B2187" s="1" t="str">
        <f>IFERROR(__xludf.DUMMYFUNCTION("""COMPUTED_VALUE"""),"0027")</f>
        <v>0027</v>
      </c>
      <c r="C2187" s="32">
        <f>IFERROR(__xludf.DUMMYFUNCTION("""COMPUTED_VALUE"""),46133.71219907407)</f>
        <v>46133.7122</v>
      </c>
      <c r="D2187" s="1">
        <f>IFERROR(__xludf.DUMMYFUNCTION("""COMPUTED_VALUE"""),-15.0)</f>
        <v>-15</v>
      </c>
      <c r="E2187" s="1"/>
      <c r="F2187" s="1"/>
    </row>
    <row r="2188">
      <c r="A2188" s="1" t="str">
        <f>IFERROR(__xludf.DUMMYFUNCTION("""COMPUTED_VALUE"""),"d27fddae")</f>
        <v>d27fddae</v>
      </c>
      <c r="B2188" s="1" t="str">
        <f>IFERROR(__xludf.DUMMYFUNCTION("""COMPUTED_VALUE"""),"a19879cf")</f>
        <v>a19879cf</v>
      </c>
      <c r="C2188" s="32">
        <f>IFERROR(__xludf.DUMMYFUNCTION("""COMPUTED_VALUE"""),46133.71236111111)</f>
        <v>46133.71236</v>
      </c>
      <c r="D2188" s="1">
        <f>IFERROR(__xludf.DUMMYFUNCTION("""COMPUTED_VALUE"""),-9.0)</f>
        <v>-9</v>
      </c>
      <c r="E2188" s="1"/>
      <c r="F2188" s="1"/>
    </row>
    <row r="2189">
      <c r="A2189" s="1" t="str">
        <f>IFERROR(__xludf.DUMMYFUNCTION("""COMPUTED_VALUE"""),"9e0ab2d6")</f>
        <v>9e0ab2d6</v>
      </c>
      <c r="B2189" s="1" t="str">
        <f>IFERROR(__xludf.DUMMYFUNCTION("""COMPUTED_VALUE"""),"02d86a9b")</f>
        <v>02d86a9b</v>
      </c>
      <c r="C2189" s="32">
        <f>IFERROR(__xludf.DUMMYFUNCTION("""COMPUTED_VALUE"""),46133.71251157407)</f>
        <v>46133.71251</v>
      </c>
      <c r="D2189" s="1">
        <f>IFERROR(__xludf.DUMMYFUNCTION("""COMPUTED_VALUE"""),-12.0)</f>
        <v>-12</v>
      </c>
      <c r="E2189" s="1"/>
      <c r="F2189" s="1"/>
    </row>
    <row r="2190">
      <c r="A2190" s="1" t="str">
        <f>IFERROR(__xludf.DUMMYFUNCTION("""COMPUTED_VALUE"""),"2258bb2b")</f>
        <v>2258bb2b</v>
      </c>
      <c r="B2190" s="1" t="str">
        <f>IFERROR(__xludf.DUMMYFUNCTION("""COMPUTED_VALUE"""),"0014")</f>
        <v>0014</v>
      </c>
      <c r="C2190" s="32">
        <f>IFERROR(__xludf.DUMMYFUNCTION("""COMPUTED_VALUE"""),46133.71261574074)</f>
        <v>46133.71262</v>
      </c>
      <c r="D2190" s="1">
        <f>IFERROR(__xludf.DUMMYFUNCTION("""COMPUTED_VALUE"""),-5.0)</f>
        <v>-5</v>
      </c>
      <c r="E2190" s="1"/>
      <c r="F2190" s="1"/>
    </row>
    <row r="2191">
      <c r="A2191" s="1" t="str">
        <f>IFERROR(__xludf.DUMMYFUNCTION("""COMPUTED_VALUE"""),"302b78ff")</f>
        <v>302b78ff</v>
      </c>
      <c r="B2191" s="1" t="str">
        <f>IFERROR(__xludf.DUMMYFUNCTION("""COMPUTED_VALUE"""),"cb9e809e")</f>
        <v>cb9e809e</v>
      </c>
      <c r="C2191" s="32">
        <f>IFERROR(__xludf.DUMMYFUNCTION("""COMPUTED_VALUE"""),46133.7127662037)</f>
        <v>46133.71277</v>
      </c>
      <c r="D2191" s="1">
        <f>IFERROR(__xludf.DUMMYFUNCTION("""COMPUTED_VALUE"""),-13.0)</f>
        <v>-13</v>
      </c>
      <c r="E2191" s="1"/>
      <c r="F2191" s="1"/>
    </row>
    <row r="2192">
      <c r="A2192" s="1" t="str">
        <f>IFERROR(__xludf.DUMMYFUNCTION("""COMPUTED_VALUE"""),"87113c8e")</f>
        <v>87113c8e</v>
      </c>
      <c r="B2192" s="1" t="str">
        <f>IFERROR(__xludf.DUMMYFUNCTION("""COMPUTED_VALUE"""),"6c787857")</f>
        <v>6c787857</v>
      </c>
      <c r="C2192" s="32">
        <f>IFERROR(__xludf.DUMMYFUNCTION("""COMPUTED_VALUE"""),46133.71383101852)</f>
        <v>46133.71383</v>
      </c>
      <c r="D2192" s="1">
        <f>IFERROR(__xludf.DUMMYFUNCTION("""COMPUTED_VALUE"""),24.0)</f>
        <v>24</v>
      </c>
      <c r="E2192" s="1" t="str">
        <f>IFERROR(__xludf.DUMMYFUNCTION("""COMPUTED_VALUE"""),"4c061a87")</f>
        <v>4c061a87</v>
      </c>
      <c r="F2192" s="1"/>
    </row>
    <row r="2193">
      <c r="A2193" s="1" t="str">
        <f>IFERROR(__xludf.DUMMYFUNCTION("""COMPUTED_VALUE"""),"2dcdb92b")</f>
        <v>2dcdb92b</v>
      </c>
      <c r="B2193" s="1" t="str">
        <f>IFERROR(__xludf.DUMMYFUNCTION("""COMPUTED_VALUE"""),"6c787857")</f>
        <v>6c787857</v>
      </c>
      <c r="C2193" s="32">
        <f>IFERROR(__xludf.DUMMYFUNCTION("""COMPUTED_VALUE"""),46133.71398148148)</f>
        <v>46133.71398</v>
      </c>
      <c r="D2193" s="1">
        <f>IFERROR(__xludf.DUMMYFUNCTION("""COMPUTED_VALUE"""),-6.0)</f>
        <v>-6</v>
      </c>
      <c r="E2193" s="1"/>
      <c r="F2193" s="1"/>
    </row>
    <row r="2194">
      <c r="A2194" s="1" t="str">
        <f>IFERROR(__xludf.DUMMYFUNCTION("""COMPUTED_VALUE"""),"54b5c53f")</f>
        <v>54b5c53f</v>
      </c>
      <c r="B2194" s="1" t="str">
        <f>IFERROR(__xludf.DUMMYFUNCTION("""COMPUTED_VALUE"""),"cf6c9481")</f>
        <v>cf6c9481</v>
      </c>
      <c r="C2194" s="32">
        <f>IFERROR(__xludf.DUMMYFUNCTION("""COMPUTED_VALUE"""),46133.71418981482)</f>
        <v>46133.71419</v>
      </c>
      <c r="D2194" s="1">
        <f>IFERROR(__xludf.DUMMYFUNCTION("""COMPUTED_VALUE"""),-7.0)</f>
        <v>-7</v>
      </c>
      <c r="E2194" s="1"/>
      <c r="F2194" s="1"/>
    </row>
    <row r="2195">
      <c r="A2195" s="1" t="str">
        <f>IFERROR(__xludf.DUMMYFUNCTION("""COMPUTED_VALUE"""),"18b67b2c")</f>
        <v>18b67b2c</v>
      </c>
      <c r="B2195" s="1" t="str">
        <f>IFERROR(__xludf.DUMMYFUNCTION("""COMPUTED_VALUE"""),"0029")</f>
        <v>0029</v>
      </c>
      <c r="C2195" s="32">
        <f>IFERROR(__xludf.DUMMYFUNCTION("""COMPUTED_VALUE"""),46133.71431712963)</f>
        <v>46133.71432</v>
      </c>
      <c r="D2195" s="1">
        <f>IFERROR(__xludf.DUMMYFUNCTION("""COMPUTED_VALUE"""),-7.0)</f>
        <v>-7</v>
      </c>
      <c r="E2195" s="1"/>
      <c r="F2195" s="1"/>
    </row>
    <row r="2196">
      <c r="A2196" s="1" t="str">
        <f>IFERROR(__xludf.DUMMYFUNCTION("""COMPUTED_VALUE"""),"0aeea4ca")</f>
        <v>0aeea4ca</v>
      </c>
      <c r="B2196" s="1" t="str">
        <f>IFERROR(__xludf.DUMMYFUNCTION("""COMPUTED_VALUE"""),"70bdbe11")</f>
        <v>70bdbe11</v>
      </c>
      <c r="C2196" s="32">
        <f>IFERROR(__xludf.DUMMYFUNCTION("""COMPUTED_VALUE"""),46133.71450231481)</f>
        <v>46133.7145</v>
      </c>
      <c r="D2196" s="1">
        <f>IFERROR(__xludf.DUMMYFUNCTION("""COMPUTED_VALUE"""),-10.0)</f>
        <v>-10</v>
      </c>
      <c r="E2196" s="1"/>
      <c r="F2196" s="1"/>
    </row>
    <row r="2197">
      <c r="A2197" s="1" t="str">
        <f>IFERROR(__xludf.DUMMYFUNCTION("""COMPUTED_VALUE"""),"63a5dd08")</f>
        <v>63a5dd08</v>
      </c>
      <c r="B2197" s="1" t="str">
        <f>IFERROR(__xludf.DUMMYFUNCTION("""COMPUTED_VALUE"""),"0032")</f>
        <v>0032</v>
      </c>
      <c r="C2197" s="32">
        <f>IFERROR(__xludf.DUMMYFUNCTION("""COMPUTED_VALUE"""),46133.71462962963)</f>
        <v>46133.71463</v>
      </c>
      <c r="D2197" s="1">
        <f>IFERROR(__xludf.DUMMYFUNCTION("""COMPUTED_VALUE"""),-11.0)</f>
        <v>-11</v>
      </c>
      <c r="E2197" s="1"/>
      <c r="F2197" s="1"/>
    </row>
    <row r="2198">
      <c r="A2198" s="1" t="str">
        <f>IFERROR(__xludf.DUMMYFUNCTION("""COMPUTED_VALUE"""),"283a21ce")</f>
        <v>283a21ce</v>
      </c>
      <c r="B2198" s="1" t="str">
        <f>IFERROR(__xludf.DUMMYFUNCTION("""COMPUTED_VALUE"""),"0064")</f>
        <v>0064</v>
      </c>
      <c r="C2198" s="32">
        <f>IFERROR(__xludf.DUMMYFUNCTION("""COMPUTED_VALUE"""),46133.71480324074)</f>
        <v>46133.7148</v>
      </c>
      <c r="D2198" s="1">
        <f>IFERROR(__xludf.DUMMYFUNCTION("""COMPUTED_VALUE"""),-5.0)</f>
        <v>-5</v>
      </c>
      <c r="E2198" s="1"/>
      <c r="F2198" s="1"/>
    </row>
    <row r="2199">
      <c r="A2199" s="1" t="str">
        <f>IFERROR(__xludf.DUMMYFUNCTION("""COMPUTED_VALUE"""),"06f88cc7")</f>
        <v>06f88cc7</v>
      </c>
      <c r="B2199" s="1" t="str">
        <f>IFERROR(__xludf.DUMMYFUNCTION("""COMPUTED_VALUE"""),"0011")</f>
        <v>0011</v>
      </c>
      <c r="C2199" s="32">
        <f>IFERROR(__xludf.DUMMYFUNCTION("""COMPUTED_VALUE"""),46133.71494212963)</f>
        <v>46133.71494</v>
      </c>
      <c r="D2199" s="1">
        <f>IFERROR(__xludf.DUMMYFUNCTION("""COMPUTED_VALUE"""),-16.0)</f>
        <v>-16</v>
      </c>
      <c r="E2199" s="1"/>
      <c r="F2199" s="1"/>
    </row>
    <row r="2200">
      <c r="A2200" s="1" t="str">
        <f>IFERROR(__xludf.DUMMYFUNCTION("""COMPUTED_VALUE"""),"f9dfc442")</f>
        <v>f9dfc442</v>
      </c>
      <c r="B2200" s="1" t="str">
        <f>IFERROR(__xludf.DUMMYFUNCTION("""COMPUTED_VALUE"""),"0002")</f>
        <v>0002</v>
      </c>
      <c r="C2200" s="32">
        <f>IFERROR(__xludf.DUMMYFUNCTION("""COMPUTED_VALUE"""),46133.71519675926)</f>
        <v>46133.7152</v>
      </c>
      <c r="D2200" s="1">
        <f>IFERROR(__xludf.DUMMYFUNCTION("""COMPUTED_VALUE"""),-60.0)</f>
        <v>-60</v>
      </c>
      <c r="E2200" s="1"/>
      <c r="F2200" s="1"/>
    </row>
    <row r="2201">
      <c r="A2201" s="1" t="str">
        <f>IFERROR(__xludf.DUMMYFUNCTION("""COMPUTED_VALUE"""),"0f79632b")</f>
        <v>0f79632b</v>
      </c>
      <c r="B2201" s="1" t="str">
        <f>IFERROR(__xludf.DUMMYFUNCTION("""COMPUTED_VALUE"""),"c099f042")</f>
        <v>c099f042</v>
      </c>
      <c r="C2201" s="32">
        <f>IFERROR(__xludf.DUMMYFUNCTION("""COMPUTED_VALUE"""),46134.45164351852)</f>
        <v>46134.45164</v>
      </c>
      <c r="D2201" s="1">
        <f>IFERROR(__xludf.DUMMYFUNCTION("""COMPUTED_VALUE"""),-4.0)</f>
        <v>-4</v>
      </c>
      <c r="E2201" s="1"/>
      <c r="F2201" s="1"/>
    </row>
    <row r="2202">
      <c r="A2202" s="1" t="str">
        <f>IFERROR(__xludf.DUMMYFUNCTION("""COMPUTED_VALUE"""),"0981ea74")</f>
        <v>0981ea74</v>
      </c>
      <c r="B2202" s="1" t="str">
        <f>IFERROR(__xludf.DUMMYFUNCTION("""COMPUTED_VALUE"""),"eda833ca")</f>
        <v>eda833ca</v>
      </c>
      <c r="C2202" s="32">
        <f>IFERROR(__xludf.DUMMYFUNCTION("""COMPUTED_VALUE"""),46134.451828703706)</f>
        <v>46134.45183</v>
      </c>
      <c r="D2202" s="1">
        <f>IFERROR(__xludf.DUMMYFUNCTION("""COMPUTED_VALUE"""),-3.0)</f>
        <v>-3</v>
      </c>
      <c r="E2202" s="1"/>
      <c r="F2202" s="1"/>
    </row>
    <row r="2203">
      <c r="A2203" s="1" t="str">
        <f>IFERROR(__xludf.DUMMYFUNCTION("""COMPUTED_VALUE"""),"1229725f")</f>
        <v>1229725f</v>
      </c>
      <c r="B2203" s="1" t="str">
        <f>IFERROR(__xludf.DUMMYFUNCTION("""COMPUTED_VALUE"""),"0001")</f>
        <v>0001</v>
      </c>
      <c r="C2203" s="32">
        <f>IFERROR(__xludf.DUMMYFUNCTION("""COMPUTED_VALUE"""),46134.451944444445)</f>
        <v>46134.45194</v>
      </c>
      <c r="D2203" s="1">
        <f>IFERROR(__xludf.DUMMYFUNCTION("""COMPUTED_VALUE"""),-24.0)</f>
        <v>-24</v>
      </c>
      <c r="E2203" s="1"/>
      <c r="F2203" s="1"/>
    </row>
    <row r="2204">
      <c r="A2204" s="1" t="str">
        <f>IFERROR(__xludf.DUMMYFUNCTION("""COMPUTED_VALUE"""),"a91d6e69")</f>
        <v>a91d6e69</v>
      </c>
      <c r="B2204" s="1" t="str">
        <f>IFERROR(__xludf.DUMMYFUNCTION("""COMPUTED_VALUE"""),"0019")</f>
        <v>0019</v>
      </c>
      <c r="C2204" s="32">
        <f>IFERROR(__xludf.DUMMYFUNCTION("""COMPUTED_VALUE"""),46134.45245370371)</f>
        <v>46134.45245</v>
      </c>
      <c r="D2204" s="1">
        <f>IFERROR(__xludf.DUMMYFUNCTION("""COMPUTED_VALUE"""),-6.0)</f>
        <v>-6</v>
      </c>
      <c r="E2204" s="1"/>
      <c r="F2204" s="1"/>
    </row>
    <row r="2205">
      <c r="A2205" s="1" t="str">
        <f>IFERROR(__xludf.DUMMYFUNCTION("""COMPUTED_VALUE"""),"d8325068")</f>
        <v>d8325068</v>
      </c>
      <c r="B2205" s="1" t="str">
        <f>IFERROR(__xludf.DUMMYFUNCTION("""COMPUTED_VALUE"""),"bb4d1bd1")</f>
        <v>bb4d1bd1</v>
      </c>
      <c r="C2205" s="32">
        <f>IFERROR(__xludf.DUMMYFUNCTION("""COMPUTED_VALUE"""),46134.45469907407)</f>
        <v>46134.4547</v>
      </c>
      <c r="D2205" s="1">
        <f>IFERROR(__xludf.DUMMYFUNCTION("""COMPUTED_VALUE"""),-16.0)</f>
        <v>-16</v>
      </c>
      <c r="E2205" s="1"/>
      <c r="F2205" s="1"/>
    </row>
    <row r="2206">
      <c r="A2206" s="1" t="str">
        <f>IFERROR(__xludf.DUMMYFUNCTION("""COMPUTED_VALUE"""),"06660b3c")</f>
        <v>06660b3c</v>
      </c>
      <c r="B2206" s="1" t="str">
        <f>IFERROR(__xludf.DUMMYFUNCTION("""COMPUTED_VALUE"""),"02d86a9b")</f>
        <v>02d86a9b</v>
      </c>
      <c r="C2206" s="32">
        <f>IFERROR(__xludf.DUMMYFUNCTION("""COMPUTED_VALUE"""),46134.454780092594)</f>
        <v>46134.45478</v>
      </c>
      <c r="D2206" s="1">
        <f>IFERROR(__xludf.DUMMYFUNCTION("""COMPUTED_VALUE"""),-16.0)</f>
        <v>-16</v>
      </c>
      <c r="E2206" s="1"/>
      <c r="F2206" s="1"/>
    </row>
    <row r="2207">
      <c r="A2207" s="1" t="str">
        <f>IFERROR(__xludf.DUMMYFUNCTION("""COMPUTED_VALUE"""),"d0c31783")</f>
        <v>d0c31783</v>
      </c>
      <c r="B2207" s="1" t="str">
        <f>IFERROR(__xludf.DUMMYFUNCTION("""COMPUTED_VALUE"""),"a19879cf")</f>
        <v>a19879cf</v>
      </c>
      <c r="C2207" s="32">
        <f>IFERROR(__xludf.DUMMYFUNCTION("""COMPUTED_VALUE"""),46134.45490740741)</f>
        <v>46134.45491</v>
      </c>
      <c r="D2207" s="1">
        <f>IFERROR(__xludf.DUMMYFUNCTION("""COMPUTED_VALUE"""),-16.0)</f>
        <v>-16</v>
      </c>
      <c r="E2207" s="1"/>
      <c r="F2207" s="1"/>
    </row>
    <row r="2208">
      <c r="A2208" s="1" t="str">
        <f>IFERROR(__xludf.DUMMYFUNCTION("""COMPUTED_VALUE"""),"1e95dc02")</f>
        <v>1e95dc02</v>
      </c>
      <c r="B2208" s="1" t="str">
        <f>IFERROR(__xludf.DUMMYFUNCTION("""COMPUTED_VALUE"""),"83dd14b5")</f>
        <v>83dd14b5</v>
      </c>
      <c r="C2208" s="32">
        <f>IFERROR(__xludf.DUMMYFUNCTION("""COMPUTED_VALUE"""),46134.45517361111)</f>
        <v>46134.45517</v>
      </c>
      <c r="D2208" s="1">
        <f>IFERROR(__xludf.DUMMYFUNCTION("""COMPUTED_VALUE"""),-12.0)</f>
        <v>-12</v>
      </c>
      <c r="E2208" s="1"/>
      <c r="F2208" s="1"/>
    </row>
    <row r="2209">
      <c r="A2209" s="1" t="str">
        <f>IFERROR(__xludf.DUMMYFUNCTION("""COMPUTED_VALUE"""),"29fe4de1")</f>
        <v>29fe4de1</v>
      </c>
      <c r="B2209" s="1" t="str">
        <f>IFERROR(__xludf.DUMMYFUNCTION("""COMPUTED_VALUE"""),"cb9e809e")</f>
        <v>cb9e809e</v>
      </c>
      <c r="C2209" s="32">
        <f>IFERROR(__xludf.DUMMYFUNCTION("""COMPUTED_VALUE"""),46134.45575231482)</f>
        <v>46134.45575</v>
      </c>
      <c r="D2209" s="1">
        <f>IFERROR(__xludf.DUMMYFUNCTION("""COMPUTED_VALUE"""),-12.0)</f>
        <v>-12</v>
      </c>
      <c r="E2209" s="1"/>
      <c r="F2209" s="1"/>
    </row>
    <row r="2210">
      <c r="A2210" s="1" t="str">
        <f>IFERROR(__xludf.DUMMYFUNCTION("""COMPUTED_VALUE"""),"695c2f60")</f>
        <v>695c2f60</v>
      </c>
      <c r="B2210" s="1" t="str">
        <f>IFERROR(__xludf.DUMMYFUNCTION("""COMPUTED_VALUE"""),"0029")</f>
        <v>0029</v>
      </c>
      <c r="C2210" s="32">
        <f>IFERROR(__xludf.DUMMYFUNCTION("""COMPUTED_VALUE"""),46134.45737268519)</f>
        <v>46134.45737</v>
      </c>
      <c r="D2210" s="1">
        <f>IFERROR(__xludf.DUMMYFUNCTION("""COMPUTED_VALUE"""),-10.0)</f>
        <v>-10</v>
      </c>
      <c r="E2210" s="1"/>
      <c r="F2210" s="1"/>
    </row>
    <row r="2211">
      <c r="A2211" s="1" t="str">
        <f>IFERROR(__xludf.DUMMYFUNCTION("""COMPUTED_VALUE"""),"cbbdf268")</f>
        <v>cbbdf268</v>
      </c>
      <c r="B2211" s="1" t="str">
        <f>IFERROR(__xludf.DUMMYFUNCTION("""COMPUTED_VALUE"""),"406a1fee")</f>
        <v>406a1fee</v>
      </c>
      <c r="C2211" s="32">
        <f>IFERROR(__xludf.DUMMYFUNCTION("""COMPUTED_VALUE"""),46134.457766203705)</f>
        <v>46134.45777</v>
      </c>
      <c r="D2211" s="1">
        <f>IFERROR(__xludf.DUMMYFUNCTION("""COMPUTED_VALUE"""),-4.0)</f>
        <v>-4</v>
      </c>
      <c r="E2211" s="1"/>
      <c r="F2211" s="1"/>
    </row>
    <row r="2212">
      <c r="A2212" s="1" t="str">
        <f>IFERROR(__xludf.DUMMYFUNCTION("""COMPUTED_VALUE"""),"7be55fba")</f>
        <v>7be55fba</v>
      </c>
      <c r="B2212" s="1" t="str">
        <f>IFERROR(__xludf.DUMMYFUNCTION("""COMPUTED_VALUE"""),"57a5617b")</f>
        <v>57a5617b</v>
      </c>
      <c r="C2212" s="32">
        <f>IFERROR(__xludf.DUMMYFUNCTION("""COMPUTED_VALUE"""),46134.45826388889)</f>
        <v>46134.45826</v>
      </c>
      <c r="D2212" s="1">
        <f>IFERROR(__xludf.DUMMYFUNCTION("""COMPUTED_VALUE"""),-5.0)</f>
        <v>-5</v>
      </c>
      <c r="E2212" s="1"/>
      <c r="F2212" s="1"/>
    </row>
    <row r="2213">
      <c r="A2213" s="1" t="str">
        <f>IFERROR(__xludf.DUMMYFUNCTION("""COMPUTED_VALUE"""),"557e994c")</f>
        <v>557e994c</v>
      </c>
      <c r="B2213" s="1" t="str">
        <f>IFERROR(__xludf.DUMMYFUNCTION("""COMPUTED_VALUE"""),"70bdbe11")</f>
        <v>70bdbe11</v>
      </c>
      <c r="C2213" s="32">
        <f>IFERROR(__xludf.DUMMYFUNCTION("""COMPUTED_VALUE"""),46134.45868055556)</f>
        <v>46134.45868</v>
      </c>
      <c r="D2213" s="1">
        <f>IFERROR(__xludf.DUMMYFUNCTION("""COMPUTED_VALUE"""),-4.0)</f>
        <v>-4</v>
      </c>
      <c r="E2213" s="1"/>
      <c r="F2213" s="1"/>
    </row>
    <row r="2214">
      <c r="A2214" s="1" t="str">
        <f>IFERROR(__xludf.DUMMYFUNCTION("""COMPUTED_VALUE"""),"317ad9fa")</f>
        <v>317ad9fa</v>
      </c>
      <c r="B2214" s="1" t="str">
        <f>IFERROR(__xludf.DUMMYFUNCTION("""COMPUTED_VALUE"""),"0011")</f>
        <v>0011</v>
      </c>
      <c r="C2214" s="32">
        <f>IFERROR(__xludf.DUMMYFUNCTION("""COMPUTED_VALUE"""),46134.45923611111)</f>
        <v>46134.45924</v>
      </c>
      <c r="D2214" s="1">
        <f>IFERROR(__xludf.DUMMYFUNCTION("""COMPUTED_VALUE"""),-5.0)</f>
        <v>-5</v>
      </c>
      <c r="E2214" s="1"/>
      <c r="F2214" s="1"/>
    </row>
    <row r="2215">
      <c r="A2215" s="1" t="str">
        <f>IFERROR(__xludf.DUMMYFUNCTION("""COMPUTED_VALUE"""),"2d2a4cd2")</f>
        <v>2d2a4cd2</v>
      </c>
      <c r="B2215" s="1" t="str">
        <f>IFERROR(__xludf.DUMMYFUNCTION("""COMPUTED_VALUE"""),"0002")</f>
        <v>0002</v>
      </c>
      <c r="C2215" s="32">
        <f>IFERROR(__xludf.DUMMYFUNCTION("""COMPUTED_VALUE"""),46134.46009259259)</f>
        <v>46134.46009</v>
      </c>
      <c r="D2215" s="1">
        <f>IFERROR(__xludf.DUMMYFUNCTION("""COMPUTED_VALUE"""),-60.0)</f>
        <v>-60</v>
      </c>
      <c r="E2215" s="1"/>
      <c r="F2215" s="1"/>
    </row>
    <row r="2216">
      <c r="A2216" s="1" t="str">
        <f>IFERROR(__xludf.DUMMYFUNCTION("""COMPUTED_VALUE"""),"8753da1d")</f>
        <v>8753da1d</v>
      </c>
      <c r="B2216" s="1" t="str">
        <f>IFERROR(__xludf.DUMMYFUNCTION("""COMPUTED_VALUE"""),"0f694cb5")</f>
        <v>0f694cb5</v>
      </c>
      <c r="C2216" s="32">
        <f>IFERROR(__xludf.DUMMYFUNCTION("""COMPUTED_VALUE"""),46134.712175925924)</f>
        <v>46134.71218</v>
      </c>
      <c r="D2216" s="1">
        <f>IFERROR(__xludf.DUMMYFUNCTION("""COMPUTED_VALUE"""),48.0)</f>
        <v>48</v>
      </c>
      <c r="E2216" s="1" t="str">
        <f>IFERROR(__xludf.DUMMYFUNCTION("""COMPUTED_VALUE"""),"32e56c2c")</f>
        <v>32e56c2c</v>
      </c>
      <c r="F2216" s="1"/>
    </row>
    <row r="2217">
      <c r="A2217" s="1" t="str">
        <f>IFERROR(__xludf.DUMMYFUNCTION("""COMPUTED_VALUE"""),"48e87e7a")</f>
        <v>48e87e7a</v>
      </c>
      <c r="B2217" s="1" t="str">
        <f>IFERROR(__xludf.DUMMYFUNCTION("""COMPUTED_VALUE"""),"0021")</f>
        <v>0021</v>
      </c>
      <c r="C2217" s="32">
        <f>IFERROR(__xludf.DUMMYFUNCTION("""COMPUTED_VALUE"""),46134.712743055556)</f>
        <v>46134.71274</v>
      </c>
      <c r="D2217" s="1">
        <f>IFERROR(__xludf.DUMMYFUNCTION("""COMPUTED_VALUE"""),72.0)</f>
        <v>72</v>
      </c>
      <c r="E2217" s="1" t="str">
        <f>IFERROR(__xludf.DUMMYFUNCTION("""COMPUTED_VALUE"""),"626d0b59")</f>
        <v>626d0b59</v>
      </c>
      <c r="F2217" s="1"/>
    </row>
    <row r="2218">
      <c r="A2218" s="1" t="str">
        <f>IFERROR(__xludf.DUMMYFUNCTION("""COMPUTED_VALUE"""),"42418c76")</f>
        <v>42418c76</v>
      </c>
      <c r="B2218" s="1" t="str">
        <f>IFERROR(__xludf.DUMMYFUNCTION("""COMPUTED_VALUE"""),"c099f042")</f>
        <v>c099f042</v>
      </c>
      <c r="C2218" s="32">
        <f>IFERROR(__xludf.DUMMYFUNCTION("""COMPUTED_VALUE"""),46134.71283564815)</f>
        <v>46134.71284</v>
      </c>
      <c r="D2218" s="1">
        <f>IFERROR(__xludf.DUMMYFUNCTION("""COMPUTED_VALUE"""),60.0)</f>
        <v>60</v>
      </c>
      <c r="E2218" s="1" t="str">
        <f>IFERROR(__xludf.DUMMYFUNCTION("""COMPUTED_VALUE"""),"626d0b59")</f>
        <v>626d0b59</v>
      </c>
      <c r="F2218" s="1"/>
    </row>
    <row r="2219">
      <c r="A2219" s="1" t="str">
        <f>IFERROR(__xludf.DUMMYFUNCTION("""COMPUTED_VALUE"""),"b158b36f")</f>
        <v>b158b36f</v>
      </c>
      <c r="B2219" s="1" t="str">
        <f>IFERROR(__xludf.DUMMYFUNCTION("""COMPUTED_VALUE"""),"0032")</f>
        <v>0032</v>
      </c>
      <c r="C2219" s="32">
        <f>IFERROR(__xludf.DUMMYFUNCTION("""COMPUTED_VALUE"""),46134.72048611111)</f>
        <v>46134.72049</v>
      </c>
      <c r="D2219" s="1">
        <f>IFERROR(__xludf.DUMMYFUNCTION("""COMPUTED_VALUE"""),54.0)</f>
        <v>54</v>
      </c>
      <c r="E2219" s="1" t="str">
        <f>IFERROR(__xludf.DUMMYFUNCTION("""COMPUTED_VALUE"""),"0407b6ca")</f>
        <v>0407b6ca</v>
      </c>
      <c r="F2219" s="1"/>
    </row>
    <row r="2220">
      <c r="A2220" s="1" t="str">
        <f>IFERROR(__xludf.DUMMYFUNCTION("""COMPUTED_VALUE"""),"32b1a576")</f>
        <v>32b1a576</v>
      </c>
      <c r="B2220" s="1" t="str">
        <f>IFERROR(__xludf.DUMMYFUNCTION("""COMPUTED_VALUE"""),"0064")</f>
        <v>0064</v>
      </c>
      <c r="C2220" s="32">
        <f>IFERROR(__xludf.DUMMYFUNCTION("""COMPUTED_VALUE"""),46134.720555555556)</f>
        <v>46134.72056</v>
      </c>
      <c r="D2220" s="1">
        <f>IFERROR(__xludf.DUMMYFUNCTION("""COMPUTED_VALUE"""),54.0)</f>
        <v>54</v>
      </c>
      <c r="E2220" s="1" t="str">
        <f>IFERROR(__xludf.DUMMYFUNCTION("""COMPUTED_VALUE"""),"0407b6ca")</f>
        <v>0407b6ca</v>
      </c>
      <c r="F2220" s="1"/>
    </row>
    <row r="2221">
      <c r="A2221" s="1" t="str">
        <f>IFERROR(__xludf.DUMMYFUNCTION("""COMPUTED_VALUE"""),"24ca00d1")</f>
        <v>24ca00d1</v>
      </c>
      <c r="B2221" s="1" t="str">
        <f>IFERROR(__xludf.DUMMYFUNCTION("""COMPUTED_VALUE"""),"a19879cf")</f>
        <v>a19879cf</v>
      </c>
      <c r="C2221" s="32">
        <f>IFERROR(__xludf.DUMMYFUNCTION("""COMPUTED_VALUE"""),46134.720613425925)</f>
        <v>46134.72061</v>
      </c>
      <c r="D2221" s="1">
        <f>IFERROR(__xludf.DUMMYFUNCTION("""COMPUTED_VALUE"""),48.0)</f>
        <v>48</v>
      </c>
      <c r="E2221" s="1" t="str">
        <f>IFERROR(__xludf.DUMMYFUNCTION("""COMPUTED_VALUE"""),"0407b6ca")</f>
        <v>0407b6ca</v>
      </c>
      <c r="F2221" s="1"/>
    </row>
    <row r="2222">
      <c r="A2222" s="1" t="str">
        <f>IFERROR(__xludf.DUMMYFUNCTION("""COMPUTED_VALUE"""),"30a3e53a")</f>
        <v>30a3e53a</v>
      </c>
      <c r="B2222" s="1" t="str">
        <f>IFERROR(__xludf.DUMMYFUNCTION("""COMPUTED_VALUE"""),"eda833ca")</f>
        <v>eda833ca</v>
      </c>
      <c r="C2222" s="32">
        <f>IFERROR(__xludf.DUMMYFUNCTION("""COMPUTED_VALUE"""),46134.72068287037)</f>
        <v>46134.72068</v>
      </c>
      <c r="D2222" s="1">
        <f>IFERROR(__xludf.DUMMYFUNCTION("""COMPUTED_VALUE"""),36.0)</f>
        <v>36</v>
      </c>
      <c r="E2222" s="1" t="str">
        <f>IFERROR(__xludf.DUMMYFUNCTION("""COMPUTED_VALUE"""),"0407b6ca")</f>
        <v>0407b6ca</v>
      </c>
      <c r="F2222" s="1"/>
    </row>
    <row r="2223">
      <c r="A2223" s="1" t="str">
        <f>IFERROR(__xludf.DUMMYFUNCTION("""COMPUTED_VALUE"""),"ed3fd0f5")</f>
        <v>ed3fd0f5</v>
      </c>
      <c r="B2223" s="1" t="str">
        <f>IFERROR(__xludf.DUMMYFUNCTION("""COMPUTED_VALUE"""),"eda833ca")</f>
        <v>eda833ca</v>
      </c>
      <c r="C2223" s="32">
        <f>IFERROR(__xludf.DUMMYFUNCTION("""COMPUTED_VALUE"""),46134.72099537037)</f>
        <v>46134.721</v>
      </c>
      <c r="D2223" s="1">
        <f>IFERROR(__xludf.DUMMYFUNCTION("""COMPUTED_VALUE"""),-11.0)</f>
        <v>-11</v>
      </c>
      <c r="E2223" s="1"/>
      <c r="F2223" s="1"/>
    </row>
    <row r="2224">
      <c r="A2224" s="1" t="str">
        <f>IFERROR(__xludf.DUMMYFUNCTION("""COMPUTED_VALUE"""),"ad927c5c")</f>
        <v>ad927c5c</v>
      </c>
      <c r="B2224" s="1" t="str">
        <f>IFERROR(__xludf.DUMMYFUNCTION("""COMPUTED_VALUE"""),"c099f042")</f>
        <v>c099f042</v>
      </c>
      <c r="C2224" s="32">
        <f>IFERROR(__xludf.DUMMYFUNCTION("""COMPUTED_VALUE"""),46134.72126157407)</f>
        <v>46134.72126</v>
      </c>
      <c r="D2224" s="1">
        <f>IFERROR(__xludf.DUMMYFUNCTION("""COMPUTED_VALUE"""),-21.0)</f>
        <v>-21</v>
      </c>
      <c r="E2224" s="1"/>
      <c r="F2224" s="1"/>
    </row>
    <row r="2225">
      <c r="A2225" s="1" t="str">
        <f>IFERROR(__xludf.DUMMYFUNCTION("""COMPUTED_VALUE"""),"5d9e39d4")</f>
        <v>5d9e39d4</v>
      </c>
      <c r="B2225" s="1" t="str">
        <f>IFERROR(__xludf.DUMMYFUNCTION("""COMPUTED_VALUE"""),"0001")</f>
        <v>0001</v>
      </c>
      <c r="C2225" s="32">
        <f>IFERROR(__xludf.DUMMYFUNCTION("""COMPUTED_VALUE"""),46134.721400462964)</f>
        <v>46134.7214</v>
      </c>
      <c r="D2225" s="1">
        <f>IFERROR(__xludf.DUMMYFUNCTION("""COMPUTED_VALUE"""),-15.0)</f>
        <v>-15</v>
      </c>
      <c r="E2225" s="1"/>
      <c r="F2225" s="1"/>
    </row>
    <row r="2226">
      <c r="A2226" s="1" t="str">
        <f>IFERROR(__xludf.DUMMYFUNCTION("""COMPUTED_VALUE"""),"4a5b465b")</f>
        <v>4a5b465b</v>
      </c>
      <c r="B2226" s="1" t="str">
        <f>IFERROR(__xludf.DUMMYFUNCTION("""COMPUTED_VALUE"""),"12b96290")</f>
        <v>12b96290</v>
      </c>
      <c r="C2226" s="32">
        <f>IFERROR(__xludf.DUMMYFUNCTION("""COMPUTED_VALUE"""),46134.72153935185)</f>
        <v>46134.72154</v>
      </c>
      <c r="D2226" s="1">
        <f>IFERROR(__xludf.DUMMYFUNCTION("""COMPUTED_VALUE"""),-4.0)</f>
        <v>-4</v>
      </c>
      <c r="E2226" s="1"/>
      <c r="F2226" s="1"/>
    </row>
    <row r="2227">
      <c r="A2227" s="1" t="str">
        <f>IFERROR(__xludf.DUMMYFUNCTION("""COMPUTED_VALUE"""),"0a17e837")</f>
        <v>0a17e837</v>
      </c>
      <c r="B2227" s="1" t="str">
        <f>IFERROR(__xludf.DUMMYFUNCTION("""COMPUTED_VALUE"""),"0021")</f>
        <v>0021</v>
      </c>
      <c r="C2227" s="32">
        <f>IFERROR(__xludf.DUMMYFUNCTION("""COMPUTED_VALUE"""),46134.721724537034)</f>
        <v>46134.72172</v>
      </c>
      <c r="D2227" s="1">
        <f>IFERROR(__xludf.DUMMYFUNCTION("""COMPUTED_VALUE"""),-17.0)</f>
        <v>-17</v>
      </c>
      <c r="E2227" s="1"/>
      <c r="F2227" s="1"/>
    </row>
    <row r="2228">
      <c r="A2228" s="1" t="str">
        <f>IFERROR(__xludf.DUMMYFUNCTION("""COMPUTED_VALUE"""),"3eb0dcfe")</f>
        <v>3eb0dcfe</v>
      </c>
      <c r="B2228" s="1" t="str">
        <f>IFERROR(__xludf.DUMMYFUNCTION("""COMPUTED_VALUE"""),"0027")</f>
        <v>0027</v>
      </c>
      <c r="C2228" s="32">
        <f>IFERROR(__xludf.DUMMYFUNCTION("""COMPUTED_VALUE"""),46134.721863425926)</f>
        <v>46134.72186</v>
      </c>
      <c r="D2228" s="1">
        <f>IFERROR(__xludf.DUMMYFUNCTION("""COMPUTED_VALUE"""),-10.0)</f>
        <v>-10</v>
      </c>
      <c r="E2228" s="1"/>
      <c r="F2228" s="1"/>
    </row>
    <row r="2229">
      <c r="A2229" s="1" t="str">
        <f>IFERROR(__xludf.DUMMYFUNCTION("""COMPUTED_VALUE"""),"44500c13")</f>
        <v>44500c13</v>
      </c>
      <c r="B2229" s="1" t="str">
        <f>IFERROR(__xludf.DUMMYFUNCTION("""COMPUTED_VALUE"""),"a19879cf")</f>
        <v>a19879cf</v>
      </c>
      <c r="C2229" s="32">
        <f>IFERROR(__xludf.DUMMYFUNCTION("""COMPUTED_VALUE"""),46134.72199074074)</f>
        <v>46134.72199</v>
      </c>
      <c r="D2229" s="1">
        <f>IFERROR(__xludf.DUMMYFUNCTION("""COMPUTED_VALUE"""),-10.0)</f>
        <v>-10</v>
      </c>
      <c r="E2229" s="1"/>
      <c r="F2229" s="1"/>
    </row>
    <row r="2230">
      <c r="A2230" s="1" t="str">
        <f>IFERROR(__xludf.DUMMYFUNCTION("""COMPUTED_VALUE"""),"54b8022d")</f>
        <v>54b8022d</v>
      </c>
      <c r="B2230" s="1" t="str">
        <f>IFERROR(__xludf.DUMMYFUNCTION("""COMPUTED_VALUE"""),"bb4d1bd1")</f>
        <v>bb4d1bd1</v>
      </c>
      <c r="C2230" s="32">
        <f>IFERROR(__xludf.DUMMYFUNCTION("""COMPUTED_VALUE"""),46134.72215277778)</f>
        <v>46134.72215</v>
      </c>
      <c r="D2230" s="1">
        <f>IFERROR(__xludf.DUMMYFUNCTION("""COMPUTED_VALUE"""),-16.0)</f>
        <v>-16</v>
      </c>
      <c r="E2230" s="1"/>
      <c r="F2230" s="1"/>
    </row>
    <row r="2231">
      <c r="A2231" s="1" t="str">
        <f>IFERROR(__xludf.DUMMYFUNCTION("""COMPUTED_VALUE"""),"c65052b2")</f>
        <v>c65052b2</v>
      </c>
      <c r="B2231" s="1" t="str">
        <f>IFERROR(__xludf.DUMMYFUNCTION("""COMPUTED_VALUE"""),"0014")</f>
        <v>0014</v>
      </c>
      <c r="C2231" s="32">
        <f>IFERROR(__xludf.DUMMYFUNCTION("""COMPUTED_VALUE"""),46134.722291666665)</f>
        <v>46134.72229</v>
      </c>
      <c r="D2231" s="1">
        <f>IFERROR(__xludf.DUMMYFUNCTION("""COMPUTED_VALUE"""),-11.0)</f>
        <v>-11</v>
      </c>
      <c r="E2231" s="1"/>
      <c r="F2231" s="1"/>
    </row>
    <row r="2232">
      <c r="A2232" s="1" t="str">
        <f>IFERROR(__xludf.DUMMYFUNCTION("""COMPUTED_VALUE"""),"745c4246")</f>
        <v>745c4246</v>
      </c>
      <c r="B2232" s="1" t="str">
        <f>IFERROR(__xludf.DUMMYFUNCTION("""COMPUTED_VALUE"""),"cb9e809e")</f>
        <v>cb9e809e</v>
      </c>
      <c r="C2232" s="32">
        <f>IFERROR(__xludf.DUMMYFUNCTION("""COMPUTED_VALUE"""),46134.72243055556)</f>
        <v>46134.72243</v>
      </c>
      <c r="D2232" s="1">
        <f>IFERROR(__xludf.DUMMYFUNCTION("""COMPUTED_VALUE"""),-5.0)</f>
        <v>-5</v>
      </c>
      <c r="E2232" s="1"/>
      <c r="F2232" s="1"/>
    </row>
    <row r="2233">
      <c r="A2233" s="1" t="str">
        <f>IFERROR(__xludf.DUMMYFUNCTION("""COMPUTED_VALUE"""),"97a5c4d1")</f>
        <v>97a5c4d1</v>
      </c>
      <c r="B2233" s="1" t="str">
        <f>IFERROR(__xludf.DUMMYFUNCTION("""COMPUTED_VALUE"""),"6c787857")</f>
        <v>6c787857</v>
      </c>
      <c r="C2233" s="32">
        <f>IFERROR(__xludf.DUMMYFUNCTION("""COMPUTED_VALUE"""),46134.722604166665)</f>
        <v>46134.7226</v>
      </c>
      <c r="D2233" s="1">
        <f>IFERROR(__xludf.DUMMYFUNCTION("""COMPUTED_VALUE"""),-9.0)</f>
        <v>-9</v>
      </c>
      <c r="E2233" s="1"/>
      <c r="F2233" s="1"/>
    </row>
    <row r="2234">
      <c r="A2234" s="1" t="str">
        <f>IFERROR(__xludf.DUMMYFUNCTION("""COMPUTED_VALUE"""),"5fbbb47a")</f>
        <v>5fbbb47a</v>
      </c>
      <c r="B2234" s="1" t="str">
        <f>IFERROR(__xludf.DUMMYFUNCTION("""COMPUTED_VALUE"""),"cf6c9481")</f>
        <v>cf6c9481</v>
      </c>
      <c r="C2234" s="32">
        <f>IFERROR(__xludf.DUMMYFUNCTION("""COMPUTED_VALUE"""),46134.722766203704)</f>
        <v>46134.72277</v>
      </c>
      <c r="D2234" s="1">
        <f>IFERROR(__xludf.DUMMYFUNCTION("""COMPUTED_VALUE"""),-12.0)</f>
        <v>-12</v>
      </c>
      <c r="E2234" s="1"/>
      <c r="F2234" s="1"/>
    </row>
    <row r="2235">
      <c r="A2235" s="1" t="str">
        <f>IFERROR(__xludf.DUMMYFUNCTION("""COMPUTED_VALUE"""),"d6633176")</f>
        <v>d6633176</v>
      </c>
      <c r="B2235" s="1" t="str">
        <f>IFERROR(__xludf.DUMMYFUNCTION("""COMPUTED_VALUE"""),"0029")</f>
        <v>0029</v>
      </c>
      <c r="C2235" s="32">
        <f>IFERROR(__xludf.DUMMYFUNCTION("""COMPUTED_VALUE"""),46134.72287037037)</f>
        <v>46134.72287</v>
      </c>
      <c r="D2235" s="1">
        <f>IFERROR(__xludf.DUMMYFUNCTION("""COMPUTED_VALUE"""),-3.0)</f>
        <v>-3</v>
      </c>
      <c r="E2235" s="1"/>
      <c r="F2235" s="1"/>
    </row>
    <row r="2236">
      <c r="A2236" s="1" t="str">
        <f>IFERROR(__xludf.DUMMYFUNCTION("""COMPUTED_VALUE"""),"1cd10477")</f>
        <v>1cd10477</v>
      </c>
      <c r="B2236" s="1" t="str">
        <f>IFERROR(__xludf.DUMMYFUNCTION("""COMPUTED_VALUE"""),"70bdbe11")</f>
        <v>70bdbe11</v>
      </c>
      <c r="C2236" s="32">
        <f>IFERROR(__xludf.DUMMYFUNCTION("""COMPUTED_VALUE"""),46134.722962962966)</f>
        <v>46134.72296</v>
      </c>
      <c r="D2236" s="1">
        <f>IFERROR(__xludf.DUMMYFUNCTION("""COMPUTED_VALUE"""),-6.0)</f>
        <v>-6</v>
      </c>
      <c r="E2236" s="1"/>
      <c r="F2236" s="1"/>
    </row>
    <row r="2237">
      <c r="A2237" s="1" t="str">
        <f>IFERROR(__xludf.DUMMYFUNCTION("""COMPUTED_VALUE"""),"059715bd")</f>
        <v>059715bd</v>
      </c>
      <c r="B2237" s="1" t="str">
        <f>IFERROR(__xludf.DUMMYFUNCTION("""COMPUTED_VALUE"""),"0032")</f>
        <v>0032</v>
      </c>
      <c r="C2237" s="32">
        <f>IFERROR(__xludf.DUMMYFUNCTION("""COMPUTED_VALUE"""),46134.723125)</f>
        <v>46134.72313</v>
      </c>
      <c r="D2237" s="1">
        <f>IFERROR(__xludf.DUMMYFUNCTION("""COMPUTED_VALUE"""),-13.0)</f>
        <v>-13</v>
      </c>
      <c r="E2237" s="1"/>
      <c r="F2237" s="1"/>
    </row>
    <row r="2238">
      <c r="A2238" s="1" t="str">
        <f>IFERROR(__xludf.DUMMYFUNCTION("""COMPUTED_VALUE"""),"014c9d65")</f>
        <v>014c9d65</v>
      </c>
      <c r="B2238" s="1" t="str">
        <f>IFERROR(__xludf.DUMMYFUNCTION("""COMPUTED_VALUE"""),"0064")</f>
        <v>0064</v>
      </c>
      <c r="C2238" s="32">
        <f>IFERROR(__xludf.DUMMYFUNCTION("""COMPUTED_VALUE"""),46134.72325231481)</f>
        <v>46134.72325</v>
      </c>
      <c r="D2238" s="1">
        <f>IFERROR(__xludf.DUMMYFUNCTION("""COMPUTED_VALUE"""),-6.0)</f>
        <v>-6</v>
      </c>
      <c r="E2238" s="1"/>
      <c r="F2238" s="1"/>
    </row>
    <row r="2239">
      <c r="A2239" s="1" t="str">
        <f>IFERROR(__xludf.DUMMYFUNCTION("""COMPUTED_VALUE"""),"a5177b99")</f>
        <v>a5177b99</v>
      </c>
      <c r="B2239" s="1" t="str">
        <f>IFERROR(__xludf.DUMMYFUNCTION("""COMPUTED_VALUE"""),"0002")</f>
        <v>0002</v>
      </c>
      <c r="C2239" s="32">
        <f>IFERROR(__xludf.DUMMYFUNCTION("""COMPUTED_VALUE"""),46134.723391203705)</f>
        <v>46134.72339</v>
      </c>
      <c r="D2239" s="1">
        <f>IFERROR(__xludf.DUMMYFUNCTION("""COMPUTED_VALUE"""),-84.0)</f>
        <v>-84</v>
      </c>
      <c r="E2239" s="1"/>
      <c r="F2239" s="1"/>
    </row>
    <row r="2240">
      <c r="A2240" s="1" t="str">
        <f>IFERROR(__xludf.DUMMYFUNCTION("""COMPUTED_VALUE"""),"2418254f")</f>
        <v>2418254f</v>
      </c>
      <c r="B2240" s="1" t="str">
        <f>IFERROR(__xludf.DUMMYFUNCTION("""COMPUTED_VALUE"""),"0011")</f>
        <v>0011</v>
      </c>
      <c r="C2240" s="32">
        <f>IFERROR(__xludf.DUMMYFUNCTION("""COMPUTED_VALUE"""),46134.72368055556)</f>
        <v>46134.72368</v>
      </c>
      <c r="D2240" s="1">
        <f>IFERROR(__xludf.DUMMYFUNCTION("""COMPUTED_VALUE"""),-7.0)</f>
        <v>-7</v>
      </c>
      <c r="E2240" s="1"/>
      <c r="F2240" s="1"/>
    </row>
    <row r="2241">
      <c r="A2241" s="1" t="str">
        <f>IFERROR(__xludf.DUMMYFUNCTION("""COMPUTED_VALUE"""),"b7102f78")</f>
        <v>b7102f78</v>
      </c>
      <c r="B2241" s="1" t="str">
        <f>IFERROR(__xludf.DUMMYFUNCTION("""COMPUTED_VALUE"""),"c099f042")</f>
        <v>c099f042</v>
      </c>
      <c r="C2241" s="32">
        <f>IFERROR(__xludf.DUMMYFUNCTION("""COMPUTED_VALUE"""),46134.875601851854)</f>
        <v>46134.8756</v>
      </c>
      <c r="D2241" s="1">
        <f>IFERROR(__xludf.DUMMYFUNCTION("""COMPUTED_VALUE"""),-7.0)</f>
        <v>-7</v>
      </c>
      <c r="E2241" s="1"/>
      <c r="F2241" s="1"/>
    </row>
    <row r="2242">
      <c r="A2242" s="1" t="str">
        <f>IFERROR(__xludf.DUMMYFUNCTION("""COMPUTED_VALUE"""),"8b579fb6")</f>
        <v>8b579fb6</v>
      </c>
      <c r="B2242" s="1" t="str">
        <f>IFERROR(__xludf.DUMMYFUNCTION("""COMPUTED_VALUE"""),"eda833ca")</f>
        <v>eda833ca</v>
      </c>
      <c r="C2242" s="32">
        <f>IFERROR(__xludf.DUMMYFUNCTION("""COMPUTED_VALUE"""),46134.87579861111)</f>
        <v>46134.8758</v>
      </c>
      <c r="D2242" s="1">
        <f>IFERROR(__xludf.DUMMYFUNCTION("""COMPUTED_VALUE"""),-14.0)</f>
        <v>-14</v>
      </c>
      <c r="E2242" s="1"/>
      <c r="F2242" s="1"/>
    </row>
    <row r="2243">
      <c r="A2243" s="1" t="str">
        <f>IFERROR(__xludf.DUMMYFUNCTION("""COMPUTED_VALUE"""),"7dc66417")</f>
        <v>7dc66417</v>
      </c>
      <c r="B2243" s="1" t="str">
        <f>IFERROR(__xludf.DUMMYFUNCTION("""COMPUTED_VALUE"""),"f30d8158")</f>
        <v>f30d8158</v>
      </c>
      <c r="C2243" s="32">
        <f>IFERROR(__xludf.DUMMYFUNCTION("""COMPUTED_VALUE"""),46134.875914351855)</f>
        <v>46134.87591</v>
      </c>
      <c r="D2243" s="1">
        <f>IFERROR(__xludf.DUMMYFUNCTION("""COMPUTED_VALUE"""),-6.0)</f>
        <v>-6</v>
      </c>
      <c r="E2243" s="1"/>
      <c r="F2243" s="1"/>
    </row>
    <row r="2244">
      <c r="A2244" s="1" t="str">
        <f>IFERROR(__xludf.DUMMYFUNCTION("""COMPUTED_VALUE"""),"8e6b2e77")</f>
        <v>8e6b2e77</v>
      </c>
      <c r="B2244" s="1" t="str">
        <f>IFERROR(__xludf.DUMMYFUNCTION("""COMPUTED_VALUE"""),"0033")</f>
        <v>0033</v>
      </c>
      <c r="C2244" s="32">
        <f>IFERROR(__xludf.DUMMYFUNCTION("""COMPUTED_VALUE"""),46134.87598379629)</f>
        <v>46134.87598</v>
      </c>
      <c r="D2244" s="1">
        <f>IFERROR(__xludf.DUMMYFUNCTION("""COMPUTED_VALUE"""),-6.0)</f>
        <v>-6</v>
      </c>
      <c r="E2244" s="1"/>
      <c r="F2244" s="1"/>
    </row>
    <row r="2245">
      <c r="A2245" s="1" t="str">
        <f>IFERROR(__xludf.DUMMYFUNCTION("""COMPUTED_VALUE"""),"e002bc3d")</f>
        <v>e002bc3d</v>
      </c>
      <c r="B2245" s="1" t="str">
        <f>IFERROR(__xludf.DUMMYFUNCTION("""COMPUTED_VALUE"""),"0001")</f>
        <v>0001</v>
      </c>
      <c r="C2245" s="32">
        <f>IFERROR(__xludf.DUMMYFUNCTION("""COMPUTED_VALUE"""),46134.877858796295)</f>
        <v>46134.87786</v>
      </c>
      <c r="D2245" s="1">
        <f>IFERROR(__xludf.DUMMYFUNCTION("""COMPUTED_VALUE"""),-11.0)</f>
        <v>-11</v>
      </c>
      <c r="E2245" s="1"/>
      <c r="F2245" s="1"/>
    </row>
    <row r="2246">
      <c r="A2246" s="1" t="str">
        <f>IFERROR(__xludf.DUMMYFUNCTION("""COMPUTED_VALUE"""),"ab1cdc72")</f>
        <v>ab1cdc72</v>
      </c>
      <c r="B2246" s="1" t="str">
        <f>IFERROR(__xludf.DUMMYFUNCTION("""COMPUTED_VALUE"""),"0014")</f>
        <v>0014</v>
      </c>
      <c r="C2246" s="32">
        <f>IFERROR(__xludf.DUMMYFUNCTION("""COMPUTED_VALUE"""),46134.87829861111)</f>
        <v>46134.8783</v>
      </c>
      <c r="D2246" s="1">
        <f>IFERROR(__xludf.DUMMYFUNCTION("""COMPUTED_VALUE"""),-10.0)</f>
        <v>-10</v>
      </c>
      <c r="E2246" s="1"/>
      <c r="F2246" s="1"/>
    </row>
    <row r="2247">
      <c r="A2247" s="1" t="str">
        <f>IFERROR(__xludf.DUMMYFUNCTION("""COMPUTED_VALUE"""),"54a10a4b")</f>
        <v>54a10a4b</v>
      </c>
      <c r="B2247" s="1" t="str">
        <f>IFERROR(__xludf.DUMMYFUNCTION("""COMPUTED_VALUE"""),"0021")</f>
        <v>0021</v>
      </c>
      <c r="C2247" s="32">
        <f>IFERROR(__xludf.DUMMYFUNCTION("""COMPUTED_VALUE"""),46134.87851851852)</f>
        <v>46134.87852</v>
      </c>
      <c r="D2247" s="1">
        <f>IFERROR(__xludf.DUMMYFUNCTION("""COMPUTED_VALUE"""),-13.0)</f>
        <v>-13</v>
      </c>
      <c r="E2247" s="1"/>
      <c r="F2247" s="1"/>
    </row>
    <row r="2248">
      <c r="A2248" s="1" t="str">
        <f>IFERROR(__xludf.DUMMYFUNCTION("""COMPUTED_VALUE"""),"75d2e12c")</f>
        <v>75d2e12c</v>
      </c>
      <c r="B2248" s="1" t="str">
        <f>IFERROR(__xludf.DUMMYFUNCTION("""COMPUTED_VALUE"""),"a19879cf")</f>
        <v>a19879cf</v>
      </c>
      <c r="C2248" s="32">
        <f>IFERROR(__xludf.DUMMYFUNCTION("""COMPUTED_VALUE"""),46134.88010416667)</f>
        <v>46134.8801</v>
      </c>
      <c r="D2248" s="1">
        <f>IFERROR(__xludf.DUMMYFUNCTION("""COMPUTED_VALUE"""),-13.0)</f>
        <v>-13</v>
      </c>
      <c r="E2248" s="1"/>
      <c r="F2248" s="1"/>
    </row>
    <row r="2249">
      <c r="A2249" s="1" t="str">
        <f>IFERROR(__xludf.DUMMYFUNCTION("""COMPUTED_VALUE"""),"d64e7dcd")</f>
        <v>d64e7dcd</v>
      </c>
      <c r="B2249" s="1" t="str">
        <f>IFERROR(__xludf.DUMMYFUNCTION("""COMPUTED_VALUE"""),"0027")</f>
        <v>0027</v>
      </c>
      <c r="C2249" s="32">
        <f>IFERROR(__xludf.DUMMYFUNCTION("""COMPUTED_VALUE"""),46134.881064814814)</f>
        <v>46134.88106</v>
      </c>
      <c r="D2249" s="1">
        <f>IFERROR(__xludf.DUMMYFUNCTION("""COMPUTED_VALUE"""),-10.0)</f>
        <v>-10</v>
      </c>
      <c r="E2249" s="1"/>
      <c r="F2249" s="1"/>
    </row>
    <row r="2250">
      <c r="A2250" s="1" t="str">
        <f>IFERROR(__xludf.DUMMYFUNCTION("""COMPUTED_VALUE"""),"23bcac79")</f>
        <v>23bcac79</v>
      </c>
      <c r="B2250" s="1" t="str">
        <f>IFERROR(__xludf.DUMMYFUNCTION("""COMPUTED_VALUE"""),"0019")</f>
        <v>0019</v>
      </c>
      <c r="C2250" s="32">
        <f>IFERROR(__xludf.DUMMYFUNCTION("""COMPUTED_VALUE"""),46134.88180555555)</f>
        <v>46134.88181</v>
      </c>
      <c r="D2250" s="1">
        <f>IFERROR(__xludf.DUMMYFUNCTION("""COMPUTED_VALUE"""),-12.0)</f>
        <v>-12</v>
      </c>
      <c r="E2250" s="1"/>
      <c r="F2250" s="1"/>
    </row>
    <row r="2251">
      <c r="A2251" s="1" t="str">
        <f>IFERROR(__xludf.DUMMYFUNCTION("""COMPUTED_VALUE"""),"87487ab3")</f>
        <v>87487ab3</v>
      </c>
      <c r="B2251" s="1" t="str">
        <f>IFERROR(__xludf.DUMMYFUNCTION("""COMPUTED_VALUE"""),"02d86a9b")</f>
        <v>02d86a9b</v>
      </c>
      <c r="C2251" s="32">
        <f>IFERROR(__xludf.DUMMYFUNCTION("""COMPUTED_VALUE"""),46134.88222222222)</f>
        <v>46134.88222</v>
      </c>
      <c r="D2251" s="1">
        <f>IFERROR(__xludf.DUMMYFUNCTION("""COMPUTED_VALUE"""),-11.0)</f>
        <v>-11</v>
      </c>
      <c r="E2251" s="1"/>
      <c r="F2251" s="1"/>
    </row>
    <row r="2252">
      <c r="A2252" s="1" t="str">
        <f>IFERROR(__xludf.DUMMYFUNCTION("""COMPUTED_VALUE"""),"b624f2f3")</f>
        <v>b624f2f3</v>
      </c>
      <c r="B2252" s="1" t="str">
        <f>IFERROR(__xludf.DUMMYFUNCTION("""COMPUTED_VALUE"""),"83dd14b5")</f>
        <v>83dd14b5</v>
      </c>
      <c r="C2252" s="32">
        <f>IFERROR(__xludf.DUMMYFUNCTION("""COMPUTED_VALUE"""),46134.88247685185)</f>
        <v>46134.88248</v>
      </c>
      <c r="D2252" s="1">
        <f>IFERROR(__xludf.DUMMYFUNCTION("""COMPUTED_VALUE"""),-24.0)</f>
        <v>-24</v>
      </c>
      <c r="E2252" s="1"/>
      <c r="F2252" s="1"/>
    </row>
    <row r="2253">
      <c r="A2253" s="1" t="str">
        <f>IFERROR(__xludf.DUMMYFUNCTION("""COMPUTED_VALUE"""),"ba5970c7")</f>
        <v>ba5970c7</v>
      </c>
      <c r="B2253" s="1" t="str">
        <f>IFERROR(__xludf.DUMMYFUNCTION("""COMPUTED_VALUE"""),"0032")</f>
        <v>0032</v>
      </c>
      <c r="C2253" s="32">
        <f>IFERROR(__xludf.DUMMYFUNCTION("""COMPUTED_VALUE"""),46134.88270833333)</f>
        <v>46134.88271</v>
      </c>
      <c r="D2253" s="1">
        <f>IFERROR(__xludf.DUMMYFUNCTION("""COMPUTED_VALUE"""),-5.0)</f>
        <v>-5</v>
      </c>
      <c r="E2253" s="1"/>
      <c r="F2253" s="1"/>
    </row>
    <row r="2254">
      <c r="A2254" s="1" t="str">
        <f>IFERROR(__xludf.DUMMYFUNCTION("""COMPUTED_VALUE"""),"c5645e6d")</f>
        <v>c5645e6d</v>
      </c>
      <c r="B2254" s="1" t="str">
        <f>IFERROR(__xludf.DUMMYFUNCTION("""COMPUTED_VALUE"""),"0f694cb5")</f>
        <v>0f694cb5</v>
      </c>
      <c r="C2254" s="32">
        <f>IFERROR(__xludf.DUMMYFUNCTION("""COMPUTED_VALUE"""),46134.883252314816)</f>
        <v>46134.88325</v>
      </c>
      <c r="D2254" s="1">
        <f>IFERROR(__xludf.DUMMYFUNCTION("""COMPUTED_VALUE"""),-12.0)</f>
        <v>-12</v>
      </c>
      <c r="E2254" s="1"/>
      <c r="F2254" s="1"/>
    </row>
    <row r="2255">
      <c r="A2255" s="1" t="str">
        <f>IFERROR(__xludf.DUMMYFUNCTION("""COMPUTED_VALUE"""),"5b94b8c4")</f>
        <v>5b94b8c4</v>
      </c>
      <c r="B2255" s="1" t="str">
        <f>IFERROR(__xludf.DUMMYFUNCTION("""COMPUTED_VALUE"""),"0029")</f>
        <v>0029</v>
      </c>
      <c r="C2255" s="32">
        <f>IFERROR(__xludf.DUMMYFUNCTION("""COMPUTED_VALUE"""),46134.8837037037)</f>
        <v>46134.8837</v>
      </c>
      <c r="D2255" s="1">
        <f>IFERROR(__xludf.DUMMYFUNCTION("""COMPUTED_VALUE"""),-14.0)</f>
        <v>-14</v>
      </c>
      <c r="E2255" s="1"/>
      <c r="F2255" s="1"/>
    </row>
    <row r="2256">
      <c r="A2256" s="1" t="str">
        <f>IFERROR(__xludf.DUMMYFUNCTION("""COMPUTED_VALUE"""),"b5bec235")</f>
        <v>b5bec235</v>
      </c>
      <c r="B2256" s="1" t="str">
        <f>IFERROR(__xludf.DUMMYFUNCTION("""COMPUTED_VALUE"""),"70bdbe11")</f>
        <v>70bdbe11</v>
      </c>
      <c r="C2256" s="32">
        <f>IFERROR(__xludf.DUMMYFUNCTION("""COMPUTED_VALUE"""),46134.88548611111)</f>
        <v>46134.88549</v>
      </c>
      <c r="D2256" s="1">
        <f>IFERROR(__xludf.DUMMYFUNCTION("""COMPUTED_VALUE"""),-7.0)</f>
        <v>-7</v>
      </c>
      <c r="E2256" s="1"/>
      <c r="F2256" s="1"/>
    </row>
    <row r="2257">
      <c r="A2257" s="1" t="str">
        <f>IFERROR(__xludf.DUMMYFUNCTION("""COMPUTED_VALUE"""),"5291c41b")</f>
        <v>5291c41b</v>
      </c>
      <c r="B2257" s="1" t="str">
        <f>IFERROR(__xludf.DUMMYFUNCTION("""COMPUTED_VALUE"""),"0011")</f>
        <v>0011</v>
      </c>
      <c r="C2257" s="32">
        <f>IFERROR(__xludf.DUMMYFUNCTION("""COMPUTED_VALUE"""),46134.88559027778)</f>
        <v>46134.88559</v>
      </c>
      <c r="D2257" s="1">
        <f>IFERROR(__xludf.DUMMYFUNCTION("""COMPUTED_VALUE"""),-21.0)</f>
        <v>-21</v>
      </c>
      <c r="E2257" s="1"/>
      <c r="F2257" s="1"/>
    </row>
    <row r="2258">
      <c r="A2258" s="1" t="str">
        <f>IFERROR(__xludf.DUMMYFUNCTION("""COMPUTED_VALUE"""),"61a26459")</f>
        <v>61a26459</v>
      </c>
      <c r="B2258" s="1" t="str">
        <f>IFERROR(__xludf.DUMMYFUNCTION("""COMPUTED_VALUE"""),"0002")</f>
        <v>0002</v>
      </c>
      <c r="C2258" s="32">
        <f>IFERROR(__xludf.DUMMYFUNCTION("""COMPUTED_VALUE"""),46134.88684027778)</f>
        <v>46134.88684</v>
      </c>
      <c r="D2258" s="1">
        <f>IFERROR(__xludf.DUMMYFUNCTION("""COMPUTED_VALUE"""),-60.0)</f>
        <v>-60</v>
      </c>
      <c r="E2258" s="1"/>
      <c r="F2258" s="1"/>
    </row>
    <row r="2259">
      <c r="A2259" s="1" t="str">
        <f>IFERROR(__xludf.DUMMYFUNCTION("""COMPUTED_VALUE"""),"fd25c7be")</f>
        <v>fd25c7be</v>
      </c>
      <c r="B2259" s="1" t="str">
        <f>IFERROR(__xludf.DUMMYFUNCTION("""COMPUTED_VALUE"""),"c099f042")</f>
        <v>c099f042</v>
      </c>
      <c r="C2259" s="32">
        <f>IFERROR(__xludf.DUMMYFUNCTION("""COMPUTED_VALUE"""),46136.58143518519)</f>
        <v>46136.58144</v>
      </c>
      <c r="D2259" s="1">
        <f>IFERROR(__xludf.DUMMYFUNCTION("""COMPUTED_VALUE"""),-12.0)</f>
        <v>-12</v>
      </c>
      <c r="E2259" s="1"/>
      <c r="F2259" s="1"/>
    </row>
    <row r="2260">
      <c r="A2260" s="1" t="str">
        <f>IFERROR(__xludf.DUMMYFUNCTION("""COMPUTED_VALUE"""),"483ad2a8")</f>
        <v>483ad2a8</v>
      </c>
      <c r="B2260" s="1" t="str">
        <f>IFERROR(__xludf.DUMMYFUNCTION("""COMPUTED_VALUE"""),"eda833ca")</f>
        <v>eda833ca</v>
      </c>
      <c r="C2260" s="32">
        <f>IFERROR(__xludf.DUMMYFUNCTION("""COMPUTED_VALUE"""),46136.58155092593)</f>
        <v>46136.58155</v>
      </c>
      <c r="D2260" s="1">
        <f>IFERROR(__xludf.DUMMYFUNCTION("""COMPUTED_VALUE"""),0.0)</f>
        <v>0</v>
      </c>
      <c r="E2260" s="1"/>
      <c r="F2260" s="1"/>
    </row>
    <row r="2261">
      <c r="A2261" s="1" t="str">
        <f>IFERROR(__xludf.DUMMYFUNCTION("""COMPUTED_VALUE"""),"242e171e")</f>
        <v>242e171e</v>
      </c>
      <c r="B2261" s="1" t="str">
        <f>IFERROR(__xludf.DUMMYFUNCTION("""COMPUTED_VALUE"""),"0001")</f>
        <v>0001</v>
      </c>
      <c r="C2261" s="32">
        <f>IFERROR(__xludf.DUMMYFUNCTION("""COMPUTED_VALUE"""),46136.58164351852)</f>
        <v>46136.58164</v>
      </c>
      <c r="D2261" s="1">
        <f>IFERROR(__xludf.DUMMYFUNCTION("""COMPUTED_VALUE"""),-44.0)</f>
        <v>-44</v>
      </c>
      <c r="E2261" s="1"/>
      <c r="F2261" s="1"/>
    </row>
    <row r="2262">
      <c r="A2262" s="1" t="str">
        <f>IFERROR(__xludf.DUMMYFUNCTION("""COMPUTED_VALUE"""),"57d130f8")</f>
        <v>57d130f8</v>
      </c>
      <c r="B2262" s="1" t="str">
        <f>IFERROR(__xludf.DUMMYFUNCTION("""COMPUTED_VALUE"""),"83dd14b5")</f>
        <v>83dd14b5</v>
      </c>
      <c r="C2262" s="32">
        <f>IFERROR(__xludf.DUMMYFUNCTION("""COMPUTED_VALUE"""),46136.58200231481)</f>
        <v>46136.582</v>
      </c>
      <c r="D2262" s="1">
        <f>IFERROR(__xludf.DUMMYFUNCTION("""COMPUTED_VALUE"""),-12.0)</f>
        <v>-12</v>
      </c>
      <c r="E2262" s="1"/>
      <c r="F2262" s="1"/>
    </row>
    <row r="2263">
      <c r="A2263" s="1" t="str">
        <f>IFERROR(__xludf.DUMMYFUNCTION("""COMPUTED_VALUE"""),"830fd67a")</f>
        <v>830fd67a</v>
      </c>
      <c r="B2263" s="1" t="str">
        <f>IFERROR(__xludf.DUMMYFUNCTION("""COMPUTED_VALUE"""),"0032")</f>
        <v>0032</v>
      </c>
      <c r="C2263" s="32">
        <f>IFERROR(__xludf.DUMMYFUNCTION("""COMPUTED_VALUE"""),46136.583125)</f>
        <v>46136.58313</v>
      </c>
      <c r="D2263" s="1">
        <f>IFERROR(__xludf.DUMMYFUNCTION("""COMPUTED_VALUE"""),-4.0)</f>
        <v>-4</v>
      </c>
      <c r="E2263" s="1"/>
      <c r="F2263" s="1"/>
    </row>
    <row r="2264">
      <c r="A2264" s="1" t="str">
        <f>IFERROR(__xludf.DUMMYFUNCTION("""COMPUTED_VALUE"""),"0b960b22")</f>
        <v>0b960b22</v>
      </c>
      <c r="B2264" s="1" t="str">
        <f>IFERROR(__xludf.DUMMYFUNCTION("""COMPUTED_VALUE"""),"0011")</f>
        <v>0011</v>
      </c>
      <c r="C2264" s="32">
        <f>IFERROR(__xludf.DUMMYFUNCTION("""COMPUTED_VALUE"""),46136.58436342593)</f>
        <v>46136.58436</v>
      </c>
      <c r="D2264" s="1">
        <f>IFERROR(__xludf.DUMMYFUNCTION("""COMPUTED_VALUE"""),-15.0)</f>
        <v>-15</v>
      </c>
      <c r="E2264" s="1"/>
      <c r="F2264" s="1"/>
    </row>
    <row r="2265">
      <c r="A2265" s="1" t="str">
        <f>IFERROR(__xludf.DUMMYFUNCTION("""COMPUTED_VALUE"""),"bc512641")</f>
        <v>bc512641</v>
      </c>
      <c r="B2265" s="1" t="str">
        <f>IFERROR(__xludf.DUMMYFUNCTION("""COMPUTED_VALUE"""),"0002")</f>
        <v>0002</v>
      </c>
      <c r="C2265" s="32">
        <f>IFERROR(__xludf.DUMMYFUNCTION("""COMPUTED_VALUE"""),46136.58449074074)</f>
        <v>46136.58449</v>
      </c>
      <c r="D2265" s="1">
        <f>IFERROR(__xludf.DUMMYFUNCTION("""COMPUTED_VALUE"""),-60.0)</f>
        <v>-60</v>
      </c>
      <c r="E2265" s="1"/>
      <c r="F2265" s="1"/>
    </row>
    <row r="2266">
      <c r="A2266" s="1" t="str">
        <f>IFERROR(__xludf.DUMMYFUNCTION("""COMPUTED_VALUE"""),"fa554870")</f>
        <v>fa554870</v>
      </c>
      <c r="B2266" s="1" t="str">
        <f>IFERROR(__xludf.DUMMYFUNCTION("""COMPUTED_VALUE"""),"b3204174")</f>
        <v>b3204174</v>
      </c>
      <c r="C2266" s="32">
        <f>IFERROR(__xludf.DUMMYFUNCTION("""COMPUTED_VALUE"""),46136.586539351854)</f>
        <v>46136.58654</v>
      </c>
      <c r="D2266" s="1">
        <f>IFERROR(__xludf.DUMMYFUNCTION("""COMPUTED_VALUE"""),-12.0)</f>
        <v>-12</v>
      </c>
      <c r="E2266" s="1"/>
      <c r="F2266" s="1"/>
    </row>
    <row r="2267">
      <c r="A2267" s="1" t="str">
        <f>IFERROR(__xludf.DUMMYFUNCTION("""COMPUTED_VALUE"""),"d2c1df98")</f>
        <v>d2c1df98</v>
      </c>
      <c r="B2267" s="1" t="str">
        <f>IFERROR(__xludf.DUMMYFUNCTION("""COMPUTED_VALUE"""),"0001")</f>
        <v>0001</v>
      </c>
      <c r="C2267" s="32">
        <f>IFERROR(__xludf.DUMMYFUNCTION("""COMPUTED_VALUE"""),46136.588113425925)</f>
        <v>46136.58811</v>
      </c>
      <c r="D2267" s="1">
        <f>IFERROR(__xludf.DUMMYFUNCTION("""COMPUTED_VALUE"""),-45.0)</f>
        <v>-45</v>
      </c>
      <c r="E2267" s="1"/>
      <c r="F2267" s="1"/>
    </row>
    <row r="2268">
      <c r="A2268" s="1" t="str">
        <f>IFERROR(__xludf.DUMMYFUNCTION("""COMPUTED_VALUE"""),"ee4fb2e6")</f>
        <v>ee4fb2e6</v>
      </c>
      <c r="B2268" s="1" t="str">
        <f>IFERROR(__xludf.DUMMYFUNCTION("""COMPUTED_VALUE"""),"c099f042")</f>
        <v>c099f042</v>
      </c>
      <c r="C2268" s="32">
        <f>IFERROR(__xludf.DUMMYFUNCTION("""COMPUTED_VALUE"""),46136.58824074074)</f>
        <v>46136.58824</v>
      </c>
      <c r="D2268" s="1">
        <f>IFERROR(__xludf.DUMMYFUNCTION("""COMPUTED_VALUE"""),-11.0)</f>
        <v>-11</v>
      </c>
      <c r="E2268" s="1"/>
      <c r="F2268" s="1"/>
    </row>
    <row r="2269">
      <c r="A2269" s="1" t="str">
        <f>IFERROR(__xludf.DUMMYFUNCTION("""COMPUTED_VALUE"""),"8d9274bd")</f>
        <v>8d9274bd</v>
      </c>
      <c r="B2269" s="1" t="str">
        <f>IFERROR(__xludf.DUMMYFUNCTION("""COMPUTED_VALUE"""),"0021")</f>
        <v>0021</v>
      </c>
      <c r="C2269" s="32">
        <f>IFERROR(__xludf.DUMMYFUNCTION("""COMPUTED_VALUE"""),46136.58855324074)</f>
        <v>46136.58855</v>
      </c>
      <c r="D2269" s="1">
        <f>IFERROR(__xludf.DUMMYFUNCTION("""COMPUTED_VALUE"""),-12.0)</f>
        <v>-12</v>
      </c>
      <c r="E2269" s="1"/>
      <c r="F2269" s="1"/>
    </row>
    <row r="2270">
      <c r="A2270" s="1" t="str">
        <f>IFERROR(__xludf.DUMMYFUNCTION("""COMPUTED_VALUE"""),"e0be82f2")</f>
        <v>e0be82f2</v>
      </c>
      <c r="B2270" s="1" t="str">
        <f>IFERROR(__xludf.DUMMYFUNCTION("""COMPUTED_VALUE"""),"bb4d1bd1")</f>
        <v>bb4d1bd1</v>
      </c>
      <c r="C2270" s="32">
        <f>IFERROR(__xludf.DUMMYFUNCTION("""COMPUTED_VALUE"""),46136.58929398148)</f>
        <v>46136.58929</v>
      </c>
      <c r="D2270" s="1">
        <f>IFERROR(__xludf.DUMMYFUNCTION("""COMPUTED_VALUE"""),-4.0)</f>
        <v>-4</v>
      </c>
      <c r="E2270" s="1"/>
      <c r="F2270" s="1"/>
    </row>
    <row r="2271">
      <c r="A2271" s="1" t="str">
        <f>IFERROR(__xludf.DUMMYFUNCTION("""COMPUTED_VALUE"""),"019578b0")</f>
        <v>019578b0</v>
      </c>
      <c r="B2271" s="1" t="str">
        <f>IFERROR(__xludf.DUMMYFUNCTION("""COMPUTED_VALUE"""),"02d86a9b")</f>
        <v>02d86a9b</v>
      </c>
      <c r="C2271" s="32">
        <f>IFERROR(__xludf.DUMMYFUNCTION("""COMPUTED_VALUE"""),46136.589479166665)</f>
        <v>46136.58948</v>
      </c>
      <c r="D2271" s="1">
        <f>IFERROR(__xludf.DUMMYFUNCTION("""COMPUTED_VALUE"""),-4.0)</f>
        <v>-4</v>
      </c>
      <c r="E2271" s="1"/>
      <c r="F2271" s="1"/>
    </row>
    <row r="2272">
      <c r="A2272" s="1" t="str">
        <f>IFERROR(__xludf.DUMMYFUNCTION("""COMPUTED_VALUE"""),"28b8344b")</f>
        <v>28b8344b</v>
      </c>
      <c r="B2272" s="1" t="str">
        <f>IFERROR(__xludf.DUMMYFUNCTION("""COMPUTED_VALUE"""),"83dd14b5")</f>
        <v>83dd14b5</v>
      </c>
      <c r="C2272" s="32">
        <f>IFERROR(__xludf.DUMMYFUNCTION("""COMPUTED_VALUE"""),46136.589791666665)</f>
        <v>46136.58979</v>
      </c>
      <c r="D2272" s="1">
        <f>IFERROR(__xludf.DUMMYFUNCTION("""COMPUTED_VALUE"""),-24.0)</f>
        <v>-24</v>
      </c>
      <c r="E2272" s="1"/>
      <c r="F2272" s="1"/>
    </row>
    <row r="2273">
      <c r="A2273" s="1" t="str">
        <f>IFERROR(__xludf.DUMMYFUNCTION("""COMPUTED_VALUE"""),"29a7558c")</f>
        <v>29a7558c</v>
      </c>
      <c r="B2273" s="1" t="str">
        <f>IFERROR(__xludf.DUMMYFUNCTION("""COMPUTED_VALUE"""),"cb9e809e")</f>
        <v>cb9e809e</v>
      </c>
      <c r="C2273" s="32">
        <f>IFERROR(__xludf.DUMMYFUNCTION("""COMPUTED_VALUE"""),46136.59)</f>
        <v>46136.59</v>
      </c>
      <c r="D2273" s="1">
        <f>IFERROR(__xludf.DUMMYFUNCTION("""COMPUTED_VALUE"""),-16.0)</f>
        <v>-16</v>
      </c>
      <c r="E2273" s="1"/>
      <c r="F2273" s="1"/>
    </row>
    <row r="2274">
      <c r="A2274" s="1" t="str">
        <f>IFERROR(__xludf.DUMMYFUNCTION("""COMPUTED_VALUE"""),"8006228d")</f>
        <v>8006228d</v>
      </c>
      <c r="B2274" s="1" t="str">
        <f>IFERROR(__xludf.DUMMYFUNCTION("""COMPUTED_VALUE"""),"0032")</f>
        <v>0032</v>
      </c>
      <c r="C2274" s="32">
        <f>IFERROR(__xludf.DUMMYFUNCTION("""COMPUTED_VALUE"""),46136.59100694444)</f>
        <v>46136.59101</v>
      </c>
      <c r="D2274" s="1">
        <f>IFERROR(__xludf.DUMMYFUNCTION("""COMPUTED_VALUE"""),-8.0)</f>
        <v>-8</v>
      </c>
      <c r="E2274" s="1"/>
      <c r="F2274" s="1"/>
    </row>
    <row r="2275">
      <c r="A2275" s="1" t="str">
        <f>IFERROR(__xludf.DUMMYFUNCTION("""COMPUTED_VALUE"""),"46aed3cc")</f>
        <v>46aed3cc</v>
      </c>
      <c r="B2275" s="1" t="str">
        <f>IFERROR(__xludf.DUMMYFUNCTION("""COMPUTED_VALUE"""),"0002")</f>
        <v>0002</v>
      </c>
      <c r="C2275" s="32">
        <f>IFERROR(__xludf.DUMMYFUNCTION("""COMPUTED_VALUE"""),46136.59135416667)</f>
        <v>46136.59135</v>
      </c>
      <c r="D2275" s="1">
        <f>IFERROR(__xludf.DUMMYFUNCTION("""COMPUTED_VALUE"""),-60.0)</f>
        <v>-60</v>
      </c>
      <c r="E2275" s="1"/>
      <c r="F2275" s="1"/>
    </row>
    <row r="2276">
      <c r="A2276" s="1" t="str">
        <f>IFERROR(__xludf.DUMMYFUNCTION("""COMPUTED_VALUE"""),"4adfc5f2")</f>
        <v>4adfc5f2</v>
      </c>
      <c r="B2276" s="1" t="str">
        <f>IFERROR(__xludf.DUMMYFUNCTION("""COMPUTED_VALUE"""),"0011")</f>
        <v>0011</v>
      </c>
      <c r="C2276" s="32">
        <f>IFERROR(__xludf.DUMMYFUNCTION("""COMPUTED_VALUE"""),46136.59153935185)</f>
        <v>46136.59154</v>
      </c>
      <c r="D2276" s="1">
        <f>IFERROR(__xludf.DUMMYFUNCTION("""COMPUTED_VALUE"""),-26.0)</f>
        <v>-26</v>
      </c>
      <c r="E2276" s="1"/>
      <c r="F2276" s="1"/>
    </row>
    <row r="2277">
      <c r="A2277" s="1" t="str">
        <f>IFERROR(__xludf.DUMMYFUNCTION("""COMPUTED_VALUE"""),"34262efe")</f>
        <v>34262efe</v>
      </c>
      <c r="B2277" s="1" t="str">
        <f>IFERROR(__xludf.DUMMYFUNCTION("""COMPUTED_VALUE"""),"0029")</f>
        <v>0029</v>
      </c>
      <c r="C2277" s="32">
        <f>IFERROR(__xludf.DUMMYFUNCTION("""COMPUTED_VALUE"""),46136.59292824074)</f>
        <v>46136.59293</v>
      </c>
      <c r="D2277" s="1">
        <f>IFERROR(__xludf.DUMMYFUNCTION("""COMPUTED_VALUE"""),-13.0)</f>
        <v>-13</v>
      </c>
      <c r="E2277" s="1"/>
      <c r="F2277" s="1"/>
    </row>
    <row r="2278">
      <c r="A2278" s="1" t="str">
        <f>IFERROR(__xludf.DUMMYFUNCTION("""COMPUTED_VALUE"""),"373353ba")</f>
        <v>373353ba</v>
      </c>
      <c r="B2278" s="1" t="str">
        <f>IFERROR(__xludf.DUMMYFUNCTION("""COMPUTED_VALUE"""),"70bdbe11")</f>
        <v>70bdbe11</v>
      </c>
      <c r="C2278" s="32">
        <f>IFERROR(__xludf.DUMMYFUNCTION("""COMPUTED_VALUE"""),46136.59339120371)</f>
        <v>46136.59339</v>
      </c>
      <c r="D2278" s="1">
        <f>IFERROR(__xludf.DUMMYFUNCTION("""COMPUTED_VALUE"""),-5.0)</f>
        <v>-5</v>
      </c>
      <c r="E2278" s="1"/>
      <c r="F2278" s="1"/>
    </row>
    <row r="2279">
      <c r="A2279" s="1" t="str">
        <f>IFERROR(__xludf.DUMMYFUNCTION("""COMPUTED_VALUE"""),"e181a97e")</f>
        <v>e181a97e</v>
      </c>
      <c r="B2279" s="1" t="str">
        <f>IFERROR(__xludf.DUMMYFUNCTION("""COMPUTED_VALUE"""),"c099f042")</f>
        <v>c099f042</v>
      </c>
      <c r="C2279" s="32">
        <f>IFERROR(__xludf.DUMMYFUNCTION("""COMPUTED_VALUE"""),46136.72158564815)</f>
        <v>46136.72159</v>
      </c>
      <c r="D2279" s="1">
        <f>IFERROR(__xludf.DUMMYFUNCTION("""COMPUTED_VALUE"""),-2.0)</f>
        <v>-2</v>
      </c>
      <c r="E2279" s="1"/>
      <c r="F2279" s="1"/>
    </row>
    <row r="2280">
      <c r="A2280" s="1" t="str">
        <f>IFERROR(__xludf.DUMMYFUNCTION("""COMPUTED_VALUE"""),"1877e85e")</f>
        <v>1877e85e</v>
      </c>
      <c r="B2280" s="1" t="str">
        <f>IFERROR(__xludf.DUMMYFUNCTION("""COMPUTED_VALUE"""),"eda833ca")</f>
        <v>eda833ca</v>
      </c>
      <c r="C2280" s="32">
        <f>IFERROR(__xludf.DUMMYFUNCTION("""COMPUTED_VALUE"""),46136.72164351852)</f>
        <v>46136.72164</v>
      </c>
      <c r="D2280" s="1">
        <f>IFERROR(__xludf.DUMMYFUNCTION("""COMPUTED_VALUE"""),-2.0)</f>
        <v>-2</v>
      </c>
      <c r="E2280" s="1"/>
      <c r="F2280" s="1"/>
    </row>
    <row r="2281">
      <c r="A2281" s="1" t="str">
        <f>IFERROR(__xludf.DUMMYFUNCTION("""COMPUTED_VALUE"""),"82b03d0a")</f>
        <v>82b03d0a</v>
      </c>
      <c r="B2281" s="1" t="str">
        <f>IFERROR(__xludf.DUMMYFUNCTION("""COMPUTED_VALUE"""),"0001")</f>
        <v>0001</v>
      </c>
      <c r="C2281" s="32">
        <f>IFERROR(__xludf.DUMMYFUNCTION("""COMPUTED_VALUE"""),46136.72179398148)</f>
        <v>46136.72179</v>
      </c>
      <c r="D2281" s="1">
        <f>IFERROR(__xludf.DUMMYFUNCTION("""COMPUTED_VALUE"""),-9.0)</f>
        <v>-9</v>
      </c>
      <c r="E2281" s="1"/>
      <c r="F2281" s="1"/>
    </row>
    <row r="2282">
      <c r="A2282" s="1" t="str">
        <f>IFERROR(__xludf.DUMMYFUNCTION("""COMPUTED_VALUE"""),"1c6e23e6")</f>
        <v>1c6e23e6</v>
      </c>
      <c r="B2282" s="1" t="str">
        <f>IFERROR(__xludf.DUMMYFUNCTION("""COMPUTED_VALUE"""),"0033")</f>
        <v>0033</v>
      </c>
      <c r="C2282" s="32">
        <f>IFERROR(__xludf.DUMMYFUNCTION("""COMPUTED_VALUE"""),46136.72206018519)</f>
        <v>46136.72206</v>
      </c>
      <c r="D2282" s="1">
        <f>IFERROR(__xludf.DUMMYFUNCTION("""COMPUTED_VALUE"""),-3.0)</f>
        <v>-3</v>
      </c>
      <c r="E2282" s="1"/>
      <c r="F2282" s="1"/>
    </row>
    <row r="2283">
      <c r="A2283" s="1" t="str">
        <f>IFERROR(__xludf.DUMMYFUNCTION("""COMPUTED_VALUE"""),"cb896536")</f>
        <v>cb896536</v>
      </c>
      <c r="B2283" s="1" t="str">
        <f>IFERROR(__xludf.DUMMYFUNCTION("""COMPUTED_VALUE"""),"0029")</f>
        <v>0029</v>
      </c>
      <c r="C2283" s="32">
        <f>IFERROR(__xludf.DUMMYFUNCTION("""COMPUTED_VALUE"""),46136.72219907407)</f>
        <v>46136.7222</v>
      </c>
      <c r="D2283" s="1">
        <f>IFERROR(__xludf.DUMMYFUNCTION("""COMPUTED_VALUE"""),-6.0)</f>
        <v>-6</v>
      </c>
      <c r="E2283" s="1"/>
      <c r="F2283" s="1"/>
    </row>
    <row r="2284">
      <c r="A2284" s="1" t="str">
        <f>IFERROR(__xludf.DUMMYFUNCTION("""COMPUTED_VALUE"""),"90fc06fa")</f>
        <v>90fc06fa</v>
      </c>
      <c r="B2284" s="1" t="str">
        <f>IFERROR(__xludf.DUMMYFUNCTION("""COMPUTED_VALUE"""),"70bdbe11")</f>
        <v>70bdbe11</v>
      </c>
      <c r="C2284" s="32">
        <f>IFERROR(__xludf.DUMMYFUNCTION("""COMPUTED_VALUE"""),46136.72237268519)</f>
        <v>46136.72237</v>
      </c>
      <c r="D2284" s="1">
        <f>IFERROR(__xludf.DUMMYFUNCTION("""COMPUTED_VALUE"""),-3.0)</f>
        <v>-3</v>
      </c>
      <c r="E2284" s="1"/>
      <c r="F2284" s="1"/>
    </row>
    <row r="2285">
      <c r="A2285" s="1" t="str">
        <f>IFERROR(__xludf.DUMMYFUNCTION("""COMPUTED_VALUE"""),"53f4de78")</f>
        <v>53f4de78</v>
      </c>
      <c r="B2285" s="1" t="str">
        <f>IFERROR(__xludf.DUMMYFUNCTION("""COMPUTED_VALUE"""),"0002")</f>
        <v>0002</v>
      </c>
      <c r="C2285" s="32">
        <f>IFERROR(__xludf.DUMMYFUNCTION("""COMPUTED_VALUE"""),46136.7225)</f>
        <v>46136.7225</v>
      </c>
      <c r="D2285" s="1">
        <f>IFERROR(__xludf.DUMMYFUNCTION("""COMPUTED_VALUE"""),-36.0)</f>
        <v>-36</v>
      </c>
      <c r="E2285" s="1"/>
      <c r="F2285" s="1"/>
    </row>
    <row r="2286">
      <c r="A2286" s="1" t="str">
        <f>IFERROR(__xludf.DUMMYFUNCTION("""COMPUTED_VALUE"""),"bdfe58b9")</f>
        <v>bdfe58b9</v>
      </c>
      <c r="B2286" s="1" t="str">
        <f>IFERROR(__xludf.DUMMYFUNCTION("""COMPUTED_VALUE"""),"0f694cb5")</f>
        <v>0f694cb5</v>
      </c>
      <c r="C2286" s="32">
        <f>IFERROR(__xludf.DUMMYFUNCTION("""COMPUTED_VALUE"""),46136.72289351852)</f>
        <v>46136.72289</v>
      </c>
      <c r="D2286" s="1">
        <f>IFERROR(__xludf.DUMMYFUNCTION("""COMPUTED_VALUE"""),-7.0)</f>
        <v>-7</v>
      </c>
      <c r="E2286" s="1"/>
      <c r="F2286" s="1"/>
    </row>
    <row r="2287">
      <c r="A2287" s="1" t="str">
        <f>IFERROR(__xludf.DUMMYFUNCTION("""COMPUTED_VALUE"""),"1748dfa4")</f>
        <v>1748dfa4</v>
      </c>
      <c r="B2287" s="1" t="str">
        <f>IFERROR(__xludf.DUMMYFUNCTION("""COMPUTED_VALUE"""),"0001")</f>
        <v>0001</v>
      </c>
      <c r="C2287" s="32">
        <f>IFERROR(__xludf.DUMMYFUNCTION("""COMPUTED_VALUE"""),46137.60340277778)</f>
        <v>46137.6034</v>
      </c>
      <c r="D2287" s="1">
        <f>IFERROR(__xludf.DUMMYFUNCTION("""COMPUTED_VALUE"""),-4.0)</f>
        <v>-4</v>
      </c>
      <c r="E2287" s="1"/>
      <c r="F2287" s="1"/>
    </row>
    <row r="2288">
      <c r="A2288" s="1" t="str">
        <f>IFERROR(__xludf.DUMMYFUNCTION("""COMPUTED_VALUE"""),"1134eb81")</f>
        <v>1134eb81</v>
      </c>
      <c r="B2288" s="1" t="str">
        <f>IFERROR(__xludf.DUMMYFUNCTION("""COMPUTED_VALUE"""),"0033")</f>
        <v>0033</v>
      </c>
      <c r="C2288" s="32">
        <f>IFERROR(__xludf.DUMMYFUNCTION("""COMPUTED_VALUE"""),46137.60359953704)</f>
        <v>46137.6036</v>
      </c>
      <c r="D2288" s="1">
        <f>IFERROR(__xludf.DUMMYFUNCTION("""COMPUTED_VALUE"""),-6.0)</f>
        <v>-6</v>
      </c>
      <c r="E2288" s="1"/>
      <c r="F2288" s="1"/>
    </row>
    <row r="2289">
      <c r="A2289" s="1" t="str">
        <f>IFERROR(__xludf.DUMMYFUNCTION("""COMPUTED_VALUE"""),"5bfebc4e")</f>
        <v>5bfebc4e</v>
      </c>
      <c r="B2289" s="1" t="str">
        <f>IFERROR(__xludf.DUMMYFUNCTION("""COMPUTED_VALUE"""),"0027")</f>
        <v>0027</v>
      </c>
      <c r="C2289" s="32">
        <f>IFERROR(__xludf.DUMMYFUNCTION("""COMPUTED_VALUE"""),46137.60377314815)</f>
        <v>46137.60377</v>
      </c>
      <c r="D2289" s="1">
        <f>IFERROR(__xludf.DUMMYFUNCTION("""COMPUTED_VALUE"""),-5.0)</f>
        <v>-5</v>
      </c>
      <c r="E2289" s="1"/>
      <c r="F2289" s="1"/>
    </row>
    <row r="2290">
      <c r="A2290" s="1" t="str">
        <f>IFERROR(__xludf.DUMMYFUNCTION("""COMPUTED_VALUE"""),"3cfa1268")</f>
        <v>3cfa1268</v>
      </c>
      <c r="B2290" s="1" t="str">
        <f>IFERROR(__xludf.DUMMYFUNCTION("""COMPUTED_VALUE"""),"0014")</f>
        <v>0014</v>
      </c>
      <c r="C2290" s="32">
        <f>IFERROR(__xludf.DUMMYFUNCTION("""COMPUTED_VALUE"""),46137.60391203704)</f>
        <v>46137.60391</v>
      </c>
      <c r="D2290" s="1">
        <f>IFERROR(__xludf.DUMMYFUNCTION("""COMPUTED_VALUE"""),-5.0)</f>
        <v>-5</v>
      </c>
      <c r="E2290" s="1"/>
      <c r="F2290" s="1"/>
    </row>
    <row r="2291">
      <c r="A2291" s="1" t="str">
        <f>IFERROR(__xludf.DUMMYFUNCTION("""COMPUTED_VALUE"""),"750fe284")</f>
        <v>750fe284</v>
      </c>
      <c r="B2291" s="1" t="str">
        <f>IFERROR(__xludf.DUMMYFUNCTION("""COMPUTED_VALUE"""),"0024")</f>
        <v>0024</v>
      </c>
      <c r="C2291" s="32">
        <f>IFERROR(__xludf.DUMMYFUNCTION("""COMPUTED_VALUE"""),46137.60408564815)</f>
        <v>46137.60409</v>
      </c>
      <c r="D2291" s="1">
        <f>IFERROR(__xludf.DUMMYFUNCTION("""COMPUTED_VALUE"""),-20.0)</f>
        <v>-20</v>
      </c>
      <c r="E2291" s="1"/>
      <c r="F2291" s="1"/>
    </row>
    <row r="2292">
      <c r="A2292" s="1" t="str">
        <f>IFERROR(__xludf.DUMMYFUNCTION("""COMPUTED_VALUE"""),"d839bfcc")</f>
        <v>d839bfcc</v>
      </c>
      <c r="B2292" s="1" t="str">
        <f>IFERROR(__xludf.DUMMYFUNCTION("""COMPUTED_VALUE"""),"cb9e809e")</f>
        <v>cb9e809e</v>
      </c>
      <c r="C2292" s="32">
        <f>IFERROR(__xludf.DUMMYFUNCTION("""COMPUTED_VALUE"""),46137.604212962964)</f>
        <v>46137.60421</v>
      </c>
      <c r="D2292" s="1">
        <f>IFERROR(__xludf.DUMMYFUNCTION("""COMPUTED_VALUE"""),8.0)</f>
        <v>8</v>
      </c>
      <c r="E2292" s="1"/>
      <c r="F2292" s="1"/>
    </row>
    <row r="2293">
      <c r="A2293" s="1" t="str">
        <f>IFERROR(__xludf.DUMMYFUNCTION("""COMPUTED_VALUE"""),"a8ccaa62")</f>
        <v>a8ccaa62</v>
      </c>
      <c r="B2293" s="1" t="str">
        <f>IFERROR(__xludf.DUMMYFUNCTION("""COMPUTED_VALUE"""),"cf6c9481")</f>
        <v>cf6c9481</v>
      </c>
      <c r="C2293" s="32">
        <f>IFERROR(__xludf.DUMMYFUNCTION("""COMPUTED_VALUE"""),46137.60434027778)</f>
        <v>46137.60434</v>
      </c>
      <c r="D2293" s="1">
        <f>IFERROR(__xludf.DUMMYFUNCTION("""COMPUTED_VALUE"""),-6.0)</f>
        <v>-6</v>
      </c>
      <c r="E2293" s="1"/>
      <c r="F2293" s="1"/>
    </row>
    <row r="2294">
      <c r="A2294" s="1" t="str">
        <f>IFERROR(__xludf.DUMMYFUNCTION("""COMPUTED_VALUE"""),"76bdc6e5")</f>
        <v>76bdc6e5</v>
      </c>
      <c r="B2294" s="1" t="str">
        <f>IFERROR(__xludf.DUMMYFUNCTION("""COMPUTED_VALUE"""),"6c787857")</f>
        <v>6c787857</v>
      </c>
      <c r="C2294" s="32">
        <f>IFERROR(__xludf.DUMMYFUNCTION("""COMPUTED_VALUE"""),46137.60444444444)</f>
        <v>46137.60444</v>
      </c>
      <c r="D2294" s="1">
        <f>IFERROR(__xludf.DUMMYFUNCTION("""COMPUTED_VALUE"""),-9.0)</f>
        <v>-9</v>
      </c>
      <c r="E2294" s="1"/>
      <c r="F2294" s="1"/>
    </row>
    <row r="2295">
      <c r="A2295" s="1" t="str">
        <f>IFERROR(__xludf.DUMMYFUNCTION("""COMPUTED_VALUE"""),"15be0eeb")</f>
        <v>15be0eeb</v>
      </c>
      <c r="B2295" s="1" t="str">
        <f>IFERROR(__xludf.DUMMYFUNCTION("""COMPUTED_VALUE"""),"0029")</f>
        <v>0029</v>
      </c>
      <c r="C2295" s="32">
        <f>IFERROR(__xludf.DUMMYFUNCTION("""COMPUTED_VALUE"""),46137.60459490741)</f>
        <v>46137.60459</v>
      </c>
      <c r="D2295" s="1">
        <f>IFERROR(__xludf.DUMMYFUNCTION("""COMPUTED_VALUE"""),-2.0)</f>
        <v>-2</v>
      </c>
      <c r="E2295" s="1"/>
      <c r="F2295" s="1"/>
    </row>
    <row r="2296">
      <c r="A2296" s="1" t="str">
        <f>IFERROR(__xludf.DUMMYFUNCTION("""COMPUTED_VALUE"""),"df0a3933")</f>
        <v>df0a3933</v>
      </c>
      <c r="B2296" s="1" t="str">
        <f>IFERROR(__xludf.DUMMYFUNCTION("""COMPUTED_VALUE"""),"0032")</f>
        <v>0032</v>
      </c>
      <c r="C2296" s="32">
        <f>IFERROR(__xludf.DUMMYFUNCTION("""COMPUTED_VALUE"""),46137.60469907407)</f>
        <v>46137.6047</v>
      </c>
      <c r="D2296" s="1">
        <f>IFERROR(__xludf.DUMMYFUNCTION("""COMPUTED_VALUE"""),-18.0)</f>
        <v>-18</v>
      </c>
      <c r="E2296" s="1"/>
      <c r="F2296" s="1"/>
    </row>
    <row r="2297">
      <c r="A2297" s="1" t="str">
        <f>IFERROR(__xludf.DUMMYFUNCTION("""COMPUTED_VALUE"""),"81575c38")</f>
        <v>81575c38</v>
      </c>
      <c r="B2297" s="1" t="str">
        <f>IFERROR(__xludf.DUMMYFUNCTION("""COMPUTED_VALUE"""),"0064")</f>
        <v>0064</v>
      </c>
      <c r="C2297" s="32">
        <f>IFERROR(__xludf.DUMMYFUNCTION("""COMPUTED_VALUE"""),46137.60488425926)</f>
        <v>46137.60488</v>
      </c>
      <c r="D2297" s="1">
        <f>IFERROR(__xludf.DUMMYFUNCTION("""COMPUTED_VALUE"""),-9.0)</f>
        <v>-9</v>
      </c>
      <c r="E2297" s="1"/>
      <c r="F2297" s="1"/>
    </row>
    <row r="2298">
      <c r="A2298" s="1" t="str">
        <f>IFERROR(__xludf.DUMMYFUNCTION("""COMPUTED_VALUE"""),"f2a1fcab")</f>
        <v>f2a1fcab</v>
      </c>
      <c r="B2298" s="1" t="str">
        <f>IFERROR(__xludf.DUMMYFUNCTION("""COMPUTED_VALUE"""),"0002")</f>
        <v>0002</v>
      </c>
      <c r="C2298" s="32">
        <f>IFERROR(__xludf.DUMMYFUNCTION("""COMPUTED_VALUE"""),46137.60511574074)</f>
        <v>46137.60512</v>
      </c>
      <c r="D2298" s="1">
        <f>IFERROR(__xludf.DUMMYFUNCTION("""COMPUTED_VALUE"""),-60.0)</f>
        <v>-60</v>
      </c>
      <c r="E2298" s="1"/>
      <c r="F2298" s="1"/>
    </row>
    <row r="2299">
      <c r="A2299" s="1" t="str">
        <f>IFERROR(__xludf.DUMMYFUNCTION("""COMPUTED_VALUE"""),"8e89b050")</f>
        <v>8e89b050</v>
      </c>
      <c r="B2299" s="1" t="str">
        <f>IFERROR(__xludf.DUMMYFUNCTION("""COMPUTED_VALUE"""),"0011")</f>
        <v>0011</v>
      </c>
      <c r="C2299" s="32">
        <f>IFERROR(__xludf.DUMMYFUNCTION("""COMPUTED_VALUE"""),46137.60525462963)</f>
        <v>46137.60525</v>
      </c>
      <c r="D2299" s="1">
        <f>IFERROR(__xludf.DUMMYFUNCTION("""COMPUTED_VALUE"""),-3.0)</f>
        <v>-3</v>
      </c>
      <c r="E2299" s="1"/>
      <c r="F2299" s="1"/>
    </row>
    <row r="2300">
      <c r="A2300" s="1" t="str">
        <f>IFERROR(__xludf.DUMMYFUNCTION("""COMPUTED_VALUE"""),"b1a9fee1")</f>
        <v>b1a9fee1</v>
      </c>
      <c r="B2300" s="1" t="str">
        <f>IFERROR(__xludf.DUMMYFUNCTION("""COMPUTED_VALUE"""),"0f694cb5")</f>
        <v>0f694cb5</v>
      </c>
      <c r="C2300" s="32">
        <f>IFERROR(__xludf.DUMMYFUNCTION("""COMPUTED_VALUE"""),46137.605416666665)</f>
        <v>46137.60542</v>
      </c>
      <c r="D2300" s="1">
        <f>IFERROR(__xludf.DUMMYFUNCTION("""COMPUTED_VALUE"""),-5.0)</f>
        <v>-5</v>
      </c>
      <c r="E2300" s="1"/>
      <c r="F2300" s="1"/>
    </row>
    <row r="2301">
      <c r="A2301" s="1" t="str">
        <f>IFERROR(__xludf.DUMMYFUNCTION("""COMPUTED_VALUE"""),"2a53edae")</f>
        <v>2a53edae</v>
      </c>
      <c r="B2301" s="1" t="str">
        <f>IFERROR(__xludf.DUMMYFUNCTION("""COMPUTED_VALUE"""),"27c8f623")</f>
        <v>27c8f623</v>
      </c>
      <c r="C2301" s="32">
        <f>IFERROR(__xludf.DUMMYFUNCTION("""COMPUTED_VALUE"""),46137.60603009259)</f>
        <v>46137.60603</v>
      </c>
      <c r="D2301" s="1">
        <f>IFERROR(__xludf.DUMMYFUNCTION("""COMPUTED_VALUE"""),-1.0)</f>
        <v>-1</v>
      </c>
      <c r="E2301" s="1"/>
      <c r="F2301" s="1"/>
    </row>
    <row r="2302">
      <c r="A2302" s="1" t="str">
        <f>IFERROR(__xludf.DUMMYFUNCTION("""COMPUTED_VALUE"""),"d863233f")</f>
        <v>d863233f</v>
      </c>
      <c r="B2302" s="1" t="str">
        <f>IFERROR(__xludf.DUMMYFUNCTION("""COMPUTED_VALUE"""),"0061")</f>
        <v>0061</v>
      </c>
      <c r="C2302" s="32">
        <f>IFERROR(__xludf.DUMMYFUNCTION("""COMPUTED_VALUE"""),46137.60839120371)</f>
        <v>46137.60839</v>
      </c>
      <c r="D2302" s="1">
        <f>IFERROR(__xludf.DUMMYFUNCTION("""COMPUTED_VALUE"""),-1.0)</f>
        <v>-1</v>
      </c>
      <c r="E2302" s="1"/>
      <c r="F2302" s="1"/>
    </row>
    <row r="2303">
      <c r="A2303" s="1" t="str">
        <f>IFERROR(__xludf.DUMMYFUNCTION("""COMPUTED_VALUE"""),"89e0b78c")</f>
        <v>89e0b78c</v>
      </c>
      <c r="B2303" s="1" t="str">
        <f>IFERROR(__xludf.DUMMYFUNCTION("""COMPUTED_VALUE"""),"0001")</f>
        <v>0001</v>
      </c>
      <c r="C2303" s="32">
        <f>IFERROR(__xludf.DUMMYFUNCTION("""COMPUTED_VALUE"""),46137.70527777778)</f>
        <v>46137.70528</v>
      </c>
      <c r="D2303" s="1">
        <f>IFERROR(__xludf.DUMMYFUNCTION("""COMPUTED_VALUE"""),-28.0)</f>
        <v>-28</v>
      </c>
      <c r="E2303" s="1"/>
      <c r="F2303" s="1"/>
    </row>
    <row r="2304">
      <c r="A2304" s="1" t="str">
        <f>IFERROR(__xludf.DUMMYFUNCTION("""COMPUTED_VALUE"""),"f5b40b2b")</f>
        <v>f5b40b2b</v>
      </c>
      <c r="B2304" s="1" t="str">
        <f>IFERROR(__xludf.DUMMYFUNCTION("""COMPUTED_VALUE"""),"eda833ca")</f>
        <v>eda833ca</v>
      </c>
      <c r="C2304" s="32">
        <f>IFERROR(__xludf.DUMMYFUNCTION("""COMPUTED_VALUE"""),46137.70538194444)</f>
        <v>46137.70538</v>
      </c>
      <c r="D2304" s="1">
        <f>IFERROR(__xludf.DUMMYFUNCTION("""COMPUTED_VALUE"""),-3.0)</f>
        <v>-3</v>
      </c>
      <c r="E2304" s="1"/>
      <c r="F2304" s="1"/>
    </row>
    <row r="2305">
      <c r="A2305" s="1" t="str">
        <f>IFERROR(__xludf.DUMMYFUNCTION("""COMPUTED_VALUE"""),"1b8f830f")</f>
        <v>1b8f830f</v>
      </c>
      <c r="B2305" s="1" t="str">
        <f>IFERROR(__xludf.DUMMYFUNCTION("""COMPUTED_VALUE"""),"c80ae9f2")</f>
        <v>c80ae9f2</v>
      </c>
      <c r="C2305" s="32">
        <f>IFERROR(__xludf.DUMMYFUNCTION("""COMPUTED_VALUE"""),46137.70556712963)</f>
        <v>46137.70557</v>
      </c>
      <c r="D2305" s="1">
        <f>IFERROR(__xludf.DUMMYFUNCTION("""COMPUTED_VALUE"""),-1.0)</f>
        <v>-1</v>
      </c>
      <c r="E2305" s="1"/>
      <c r="F2305" s="1"/>
    </row>
    <row r="2306">
      <c r="A2306" s="1" t="str">
        <f>IFERROR(__xludf.DUMMYFUNCTION("""COMPUTED_VALUE"""),"7f7dd1a2")</f>
        <v>7f7dd1a2</v>
      </c>
      <c r="B2306" s="1" t="str">
        <f>IFERROR(__xludf.DUMMYFUNCTION("""COMPUTED_VALUE"""),"951a092f")</f>
        <v>951a092f</v>
      </c>
      <c r="C2306" s="32">
        <f>IFERROR(__xludf.DUMMYFUNCTION("""COMPUTED_VALUE"""),46137.70583333333)</f>
        <v>46137.70583</v>
      </c>
      <c r="D2306" s="1">
        <f>IFERROR(__xludf.DUMMYFUNCTION("""COMPUTED_VALUE"""),-2.0)</f>
        <v>-2</v>
      </c>
      <c r="E2306" s="1"/>
      <c r="F2306" s="1"/>
    </row>
    <row r="2307">
      <c r="A2307" s="1" t="str">
        <f>IFERROR(__xludf.DUMMYFUNCTION("""COMPUTED_VALUE"""),"1e75265c")</f>
        <v>1e75265c</v>
      </c>
      <c r="B2307" s="1" t="str">
        <f>IFERROR(__xludf.DUMMYFUNCTION("""COMPUTED_VALUE"""),"0033")</f>
        <v>0033</v>
      </c>
      <c r="C2307" s="32">
        <f>IFERROR(__xludf.DUMMYFUNCTION("""COMPUTED_VALUE"""),46137.70631944444)</f>
        <v>46137.70632</v>
      </c>
      <c r="D2307" s="1">
        <f>IFERROR(__xludf.DUMMYFUNCTION("""COMPUTED_VALUE"""),-4.0)</f>
        <v>-4</v>
      </c>
      <c r="E2307" s="1"/>
      <c r="F2307" s="1"/>
    </row>
    <row r="2308">
      <c r="A2308" s="1" t="str">
        <f>IFERROR(__xludf.DUMMYFUNCTION("""COMPUTED_VALUE"""),"94c2fbb9")</f>
        <v>94c2fbb9</v>
      </c>
      <c r="B2308" s="1" t="str">
        <f>IFERROR(__xludf.DUMMYFUNCTION("""COMPUTED_VALUE"""),"0014")</f>
        <v>0014</v>
      </c>
      <c r="C2308" s="32">
        <f>IFERROR(__xludf.DUMMYFUNCTION("""COMPUTED_VALUE"""),46137.70659722222)</f>
        <v>46137.7066</v>
      </c>
      <c r="D2308" s="1">
        <f>IFERROR(__xludf.DUMMYFUNCTION("""COMPUTED_VALUE"""),-16.0)</f>
        <v>-16</v>
      </c>
      <c r="E2308" s="1"/>
      <c r="F2308" s="1"/>
    </row>
    <row r="2309">
      <c r="A2309" s="1" t="str">
        <f>IFERROR(__xludf.DUMMYFUNCTION("""COMPUTED_VALUE"""),"44875a45")</f>
        <v>44875a45</v>
      </c>
      <c r="B2309" s="1" t="str">
        <f>IFERROR(__xludf.DUMMYFUNCTION("""COMPUTED_VALUE"""),"0027")</f>
        <v>0027</v>
      </c>
      <c r="C2309" s="32">
        <f>IFERROR(__xludf.DUMMYFUNCTION("""COMPUTED_VALUE"""),46137.706967592596)</f>
        <v>46137.70697</v>
      </c>
      <c r="D2309" s="1">
        <f>IFERROR(__xludf.DUMMYFUNCTION("""COMPUTED_VALUE"""),-10.0)</f>
        <v>-10</v>
      </c>
      <c r="E2309" s="1"/>
      <c r="F2309" s="1"/>
    </row>
    <row r="2310">
      <c r="A2310" s="1" t="str">
        <f>IFERROR(__xludf.DUMMYFUNCTION("""COMPUTED_VALUE"""),"896f49ed")</f>
        <v>896f49ed</v>
      </c>
      <c r="B2310" s="1" t="str">
        <f>IFERROR(__xludf.DUMMYFUNCTION("""COMPUTED_VALUE"""),"0021")</f>
        <v>0021</v>
      </c>
      <c r="C2310" s="32">
        <f>IFERROR(__xludf.DUMMYFUNCTION("""COMPUTED_VALUE"""),46137.70736111111)</f>
        <v>46137.70736</v>
      </c>
      <c r="D2310" s="1">
        <f>IFERROR(__xludf.DUMMYFUNCTION("""COMPUTED_VALUE"""),-6.0)</f>
        <v>-6</v>
      </c>
      <c r="E2310" s="1"/>
      <c r="F2310" s="1"/>
    </row>
    <row r="2311">
      <c r="A2311" s="1" t="str">
        <f>IFERROR(__xludf.DUMMYFUNCTION("""COMPUTED_VALUE"""),"66dc6992")</f>
        <v>66dc6992</v>
      </c>
      <c r="B2311" s="1" t="str">
        <f>IFERROR(__xludf.DUMMYFUNCTION("""COMPUTED_VALUE"""),"02d86a9b")</f>
        <v>02d86a9b</v>
      </c>
      <c r="C2311" s="32">
        <f>IFERROR(__xludf.DUMMYFUNCTION("""COMPUTED_VALUE"""),46137.70795138889)</f>
        <v>46137.70795</v>
      </c>
      <c r="D2311" s="1">
        <f>IFERROR(__xludf.DUMMYFUNCTION("""COMPUTED_VALUE"""),-4.0)</f>
        <v>-4</v>
      </c>
      <c r="E2311" s="1"/>
      <c r="F2311" s="1"/>
    </row>
    <row r="2312">
      <c r="A2312" s="1" t="str">
        <f>IFERROR(__xludf.DUMMYFUNCTION("""COMPUTED_VALUE"""),"70960a2e")</f>
        <v>70960a2e</v>
      </c>
      <c r="B2312" s="1" t="str">
        <f>IFERROR(__xludf.DUMMYFUNCTION("""COMPUTED_VALUE"""),"a19879cf")</f>
        <v>a19879cf</v>
      </c>
      <c r="C2312" s="32">
        <f>IFERROR(__xludf.DUMMYFUNCTION("""COMPUTED_VALUE"""),46137.70806712963)</f>
        <v>46137.70807</v>
      </c>
      <c r="D2312" s="1">
        <f>IFERROR(__xludf.DUMMYFUNCTION("""COMPUTED_VALUE"""),-10.0)</f>
        <v>-10</v>
      </c>
      <c r="E2312" s="1"/>
      <c r="F2312" s="1"/>
    </row>
    <row r="2313">
      <c r="A2313" s="1" t="str">
        <f>IFERROR(__xludf.DUMMYFUNCTION("""COMPUTED_VALUE"""),"e8e7d093")</f>
        <v>e8e7d093</v>
      </c>
      <c r="B2313" s="1" t="str">
        <f>IFERROR(__xludf.DUMMYFUNCTION("""COMPUTED_VALUE"""),"bb4d1bd1")</f>
        <v>bb4d1bd1</v>
      </c>
      <c r="C2313" s="32">
        <f>IFERROR(__xludf.DUMMYFUNCTION("""COMPUTED_VALUE"""),46137.70849537037)</f>
        <v>46137.7085</v>
      </c>
      <c r="D2313" s="1">
        <f>IFERROR(__xludf.DUMMYFUNCTION("""COMPUTED_VALUE"""),-10.0)</f>
        <v>-10</v>
      </c>
      <c r="E2313" s="1"/>
      <c r="F2313" s="1"/>
    </row>
    <row r="2314">
      <c r="A2314" s="1" t="str">
        <f>IFERROR(__xludf.DUMMYFUNCTION("""COMPUTED_VALUE"""),"ba3bf341")</f>
        <v>ba3bf341</v>
      </c>
      <c r="B2314" s="1" t="str">
        <f>IFERROR(__xludf.DUMMYFUNCTION("""COMPUTED_VALUE"""),"83dd14b5")</f>
        <v>83dd14b5</v>
      </c>
      <c r="C2314" s="32">
        <f>IFERROR(__xludf.DUMMYFUNCTION("""COMPUTED_VALUE"""),46137.70890046296)</f>
        <v>46137.7089</v>
      </c>
      <c r="D2314" s="1">
        <f>IFERROR(__xludf.DUMMYFUNCTION("""COMPUTED_VALUE"""),-24.0)</f>
        <v>-24</v>
      </c>
      <c r="E2314" s="1"/>
      <c r="F2314" s="1"/>
    </row>
    <row r="2315">
      <c r="A2315" s="1" t="str">
        <f>IFERROR(__xludf.DUMMYFUNCTION("""COMPUTED_VALUE"""),"1bcf7201")</f>
        <v>1bcf7201</v>
      </c>
      <c r="B2315" s="1" t="str">
        <f>IFERROR(__xludf.DUMMYFUNCTION("""COMPUTED_VALUE"""),"0064")</f>
        <v>0064</v>
      </c>
      <c r="C2315" s="32">
        <f>IFERROR(__xludf.DUMMYFUNCTION("""COMPUTED_VALUE"""),46137.7090625)</f>
        <v>46137.70906</v>
      </c>
      <c r="D2315" s="1">
        <f>IFERROR(__xludf.DUMMYFUNCTION("""COMPUTED_VALUE"""),-5.0)</f>
        <v>-5</v>
      </c>
      <c r="E2315" s="1"/>
      <c r="F2315" s="1"/>
    </row>
    <row r="2316">
      <c r="A2316" s="1" t="str">
        <f>IFERROR(__xludf.DUMMYFUNCTION("""COMPUTED_VALUE"""),"c99d8355")</f>
        <v>c99d8355</v>
      </c>
      <c r="B2316" s="1" t="str">
        <f>IFERROR(__xludf.DUMMYFUNCTION("""COMPUTED_VALUE"""),"0032")</f>
        <v>0032</v>
      </c>
      <c r="C2316" s="32">
        <f>IFERROR(__xludf.DUMMYFUNCTION("""COMPUTED_VALUE"""),46137.70935185185)</f>
        <v>46137.70935</v>
      </c>
      <c r="D2316" s="1">
        <f>IFERROR(__xludf.DUMMYFUNCTION("""COMPUTED_VALUE"""),-5.0)</f>
        <v>-5</v>
      </c>
      <c r="E2316" s="1"/>
      <c r="F2316" s="1"/>
    </row>
    <row r="2317">
      <c r="A2317" s="1" t="str">
        <f>IFERROR(__xludf.DUMMYFUNCTION("""COMPUTED_VALUE"""),"611955d6")</f>
        <v>611955d6</v>
      </c>
      <c r="B2317" s="1" t="str">
        <f>IFERROR(__xludf.DUMMYFUNCTION("""COMPUTED_VALUE"""),"cf6c9481")</f>
        <v>cf6c9481</v>
      </c>
      <c r="C2317" s="32">
        <f>IFERROR(__xludf.DUMMYFUNCTION("""COMPUTED_VALUE"""),46137.710648148146)</f>
        <v>46137.71065</v>
      </c>
      <c r="D2317" s="1">
        <f>IFERROR(__xludf.DUMMYFUNCTION("""COMPUTED_VALUE"""),-7.0)</f>
        <v>-7</v>
      </c>
      <c r="E2317" s="1"/>
      <c r="F2317" s="1"/>
    </row>
    <row r="2318">
      <c r="A2318" s="1" t="str">
        <f>IFERROR(__xludf.DUMMYFUNCTION("""COMPUTED_VALUE"""),"7af1a159")</f>
        <v>7af1a159</v>
      </c>
      <c r="B2318" s="1" t="str">
        <f>IFERROR(__xludf.DUMMYFUNCTION("""COMPUTED_VALUE"""),"2f2e7440")</f>
        <v>2f2e7440</v>
      </c>
      <c r="C2318" s="32">
        <f>IFERROR(__xludf.DUMMYFUNCTION("""COMPUTED_VALUE"""),46137.711018518516)</f>
        <v>46137.71102</v>
      </c>
      <c r="D2318" s="1">
        <f>IFERROR(__xludf.DUMMYFUNCTION("""COMPUTED_VALUE"""),-7.0)</f>
        <v>-7</v>
      </c>
      <c r="E2318" s="1"/>
      <c r="F2318" s="1"/>
    </row>
    <row r="2319">
      <c r="A2319" s="1" t="str">
        <f>IFERROR(__xludf.DUMMYFUNCTION("""COMPUTED_VALUE"""),"d62b21a8")</f>
        <v>d62b21a8</v>
      </c>
      <c r="B2319" s="1" t="str">
        <f>IFERROR(__xludf.DUMMYFUNCTION("""COMPUTED_VALUE"""),"70bdbe11")</f>
        <v>70bdbe11</v>
      </c>
      <c r="C2319" s="32">
        <f>IFERROR(__xludf.DUMMYFUNCTION("""COMPUTED_VALUE"""),46137.711539351854)</f>
        <v>46137.71154</v>
      </c>
      <c r="D2319" s="1">
        <f>IFERROR(__xludf.DUMMYFUNCTION("""COMPUTED_VALUE"""),-14.0)</f>
        <v>-14</v>
      </c>
      <c r="E2319" s="1"/>
      <c r="F2319" s="1"/>
    </row>
    <row r="2320">
      <c r="A2320" s="1" t="str">
        <f>IFERROR(__xludf.DUMMYFUNCTION("""COMPUTED_VALUE"""),"582045c0")</f>
        <v>582045c0</v>
      </c>
      <c r="B2320" s="1" t="str">
        <f>IFERROR(__xludf.DUMMYFUNCTION("""COMPUTED_VALUE"""),"0029")</f>
        <v>0029</v>
      </c>
      <c r="C2320" s="32">
        <f>IFERROR(__xludf.DUMMYFUNCTION("""COMPUTED_VALUE"""),46137.71287037037)</f>
        <v>46137.71287</v>
      </c>
      <c r="D2320" s="1">
        <f>IFERROR(__xludf.DUMMYFUNCTION("""COMPUTED_VALUE"""),-28.0)</f>
        <v>-28</v>
      </c>
      <c r="E2320" s="1"/>
      <c r="F2320" s="1"/>
    </row>
    <row r="2321">
      <c r="A2321" s="1" t="str">
        <f>IFERROR(__xludf.DUMMYFUNCTION("""COMPUTED_VALUE"""),"70eb7e2e")</f>
        <v>70eb7e2e</v>
      </c>
      <c r="B2321" s="1" t="str">
        <f>IFERROR(__xludf.DUMMYFUNCTION("""COMPUTED_VALUE"""),"0f694cb5")</f>
        <v>0f694cb5</v>
      </c>
      <c r="C2321" s="32">
        <f>IFERROR(__xludf.DUMMYFUNCTION("""COMPUTED_VALUE"""),46137.7208912037)</f>
        <v>46137.72089</v>
      </c>
      <c r="D2321" s="1">
        <f>IFERROR(__xludf.DUMMYFUNCTION("""COMPUTED_VALUE"""),-14.0)</f>
        <v>-14</v>
      </c>
      <c r="E2321" s="1"/>
      <c r="F2321" s="1"/>
    </row>
    <row r="2322">
      <c r="A2322" s="1" t="str">
        <f>IFERROR(__xludf.DUMMYFUNCTION("""COMPUTED_VALUE"""),"ffb00d89")</f>
        <v>ffb00d89</v>
      </c>
      <c r="B2322" s="1" t="str">
        <f>IFERROR(__xludf.DUMMYFUNCTION("""COMPUTED_VALUE"""),"0011")</f>
        <v>0011</v>
      </c>
      <c r="C2322" s="32">
        <f>IFERROR(__xludf.DUMMYFUNCTION("""COMPUTED_VALUE"""),46137.72127314815)</f>
        <v>46137.72127</v>
      </c>
      <c r="D2322" s="1">
        <f>IFERROR(__xludf.DUMMYFUNCTION("""COMPUTED_VALUE"""),-24.0)</f>
        <v>-24</v>
      </c>
      <c r="E2322" s="1"/>
      <c r="F2322" s="1"/>
    </row>
    <row r="2323">
      <c r="A2323" s="1" t="str">
        <f>IFERROR(__xludf.DUMMYFUNCTION("""COMPUTED_VALUE"""),"d7dbdb87")</f>
        <v>d7dbdb87</v>
      </c>
      <c r="B2323" s="1" t="str">
        <f>IFERROR(__xludf.DUMMYFUNCTION("""COMPUTED_VALUE"""),"0002")</f>
        <v>0002</v>
      </c>
      <c r="C2323" s="32">
        <f>IFERROR(__xludf.DUMMYFUNCTION("""COMPUTED_VALUE"""),46137.721597222226)</f>
        <v>46137.7216</v>
      </c>
      <c r="D2323" s="1">
        <f>IFERROR(__xludf.DUMMYFUNCTION("""COMPUTED_VALUE"""),-60.0)</f>
        <v>-60</v>
      </c>
      <c r="E2323" s="1"/>
      <c r="F2323" s="1"/>
    </row>
    <row r="2324">
      <c r="A2324" s="1" t="str">
        <f>IFERROR(__xludf.DUMMYFUNCTION("""COMPUTED_VALUE"""),"ae386f5f")</f>
        <v>ae386f5f</v>
      </c>
      <c r="B2324" s="1" t="str">
        <f>IFERROR(__xludf.DUMMYFUNCTION("""COMPUTED_VALUE"""),"0038")</f>
        <v>0038</v>
      </c>
      <c r="C2324" s="32">
        <f>IFERROR(__xludf.DUMMYFUNCTION("""COMPUTED_VALUE"""),46137.73930555556)</f>
        <v>46137.73931</v>
      </c>
      <c r="D2324" s="1">
        <f>IFERROR(__xludf.DUMMYFUNCTION("""COMPUTED_VALUE"""),-6.0)</f>
        <v>-6</v>
      </c>
      <c r="E2324" s="1"/>
      <c r="F2324" s="1"/>
    </row>
    <row r="2325">
      <c r="A2325" s="1" t="str">
        <f>IFERROR(__xludf.DUMMYFUNCTION("""COMPUTED_VALUE"""),"b6ff9667")</f>
        <v>b6ff9667</v>
      </c>
      <c r="B2325" s="1" t="str">
        <f>IFERROR(__xludf.DUMMYFUNCTION("""COMPUTED_VALUE"""),"c099f042")</f>
        <v>c099f042</v>
      </c>
      <c r="C2325" s="32">
        <f>IFERROR(__xludf.DUMMYFUNCTION("""COMPUTED_VALUE"""),46137.74028935185)</f>
        <v>46137.74029</v>
      </c>
      <c r="D2325" s="1">
        <f>IFERROR(__xludf.DUMMYFUNCTION("""COMPUTED_VALUE"""),-7.0)</f>
        <v>-7</v>
      </c>
      <c r="E2325" s="1"/>
      <c r="F2325" s="1"/>
    </row>
    <row r="2326">
      <c r="A2326" s="1" t="str">
        <f>IFERROR(__xludf.DUMMYFUNCTION("""COMPUTED_VALUE"""),"f713fd57")</f>
        <v>f713fd57</v>
      </c>
      <c r="B2326" s="1" t="str">
        <f>IFERROR(__xludf.DUMMYFUNCTION("""COMPUTED_VALUE"""),"eda833ca")</f>
        <v>eda833ca</v>
      </c>
      <c r="C2326" s="32">
        <f>IFERROR(__xludf.DUMMYFUNCTION("""COMPUTED_VALUE"""),46137.74039351852)</f>
        <v>46137.74039</v>
      </c>
      <c r="D2326" s="1">
        <f>IFERROR(__xludf.DUMMYFUNCTION("""COMPUTED_VALUE"""),-7.0)</f>
        <v>-7</v>
      </c>
      <c r="E2326" s="1"/>
      <c r="F2326" s="1"/>
    </row>
    <row r="2327">
      <c r="A2327" s="1" t="str">
        <f>IFERROR(__xludf.DUMMYFUNCTION("""COMPUTED_VALUE"""),"590b786c")</f>
        <v>590b786c</v>
      </c>
      <c r="B2327" s="1" t="str">
        <f>IFERROR(__xludf.DUMMYFUNCTION("""COMPUTED_VALUE"""),"0002")</f>
        <v>0002</v>
      </c>
      <c r="C2327" s="32">
        <f>IFERROR(__xludf.DUMMYFUNCTION("""COMPUTED_VALUE"""),46137.7446875)</f>
        <v>46137.74469</v>
      </c>
      <c r="D2327" s="1">
        <f>IFERROR(__xludf.DUMMYFUNCTION("""COMPUTED_VALUE"""),-12.0)</f>
        <v>-12</v>
      </c>
      <c r="E2327" s="1"/>
      <c r="F2327" s="1"/>
    </row>
    <row r="2328">
      <c r="A2328" s="1" t="str">
        <f>IFERROR(__xludf.DUMMYFUNCTION("""COMPUTED_VALUE"""),"cb7af9d7")</f>
        <v>cb7af9d7</v>
      </c>
      <c r="B2328" s="1" t="str">
        <f>IFERROR(__xludf.DUMMYFUNCTION("""COMPUTED_VALUE"""),"02d86a9b")</f>
        <v>02d86a9b</v>
      </c>
      <c r="C2328" s="32">
        <f>IFERROR(__xludf.DUMMYFUNCTION("""COMPUTED_VALUE"""),46137.747152777774)</f>
        <v>46137.74715</v>
      </c>
      <c r="D2328" s="1">
        <f>IFERROR(__xludf.DUMMYFUNCTION("""COMPUTED_VALUE"""),-6.0)</f>
        <v>-6</v>
      </c>
      <c r="E2328" s="1"/>
      <c r="F2328" s="1"/>
    </row>
    <row r="2329">
      <c r="A2329" s="1" t="str">
        <f>IFERROR(__xludf.DUMMYFUNCTION("""COMPUTED_VALUE"""),"847a8a8c")</f>
        <v>847a8a8c</v>
      </c>
      <c r="B2329" s="1" t="str">
        <f>IFERROR(__xludf.DUMMYFUNCTION("""COMPUTED_VALUE"""),"0011")</f>
        <v>0011</v>
      </c>
      <c r="C2329" s="32">
        <f>IFERROR(__xludf.DUMMYFUNCTION("""COMPUTED_VALUE"""),46137.98511574074)</f>
        <v>46137.98512</v>
      </c>
      <c r="D2329" s="1">
        <f>IFERROR(__xludf.DUMMYFUNCTION("""COMPUTED_VALUE"""),48.0)</f>
        <v>48</v>
      </c>
      <c r="E2329" s="1" t="str">
        <f>IFERROR(__xludf.DUMMYFUNCTION("""COMPUTED_VALUE"""),"9b692f1d")</f>
        <v>9b692f1d</v>
      </c>
      <c r="F2329" s="1"/>
    </row>
    <row r="2330">
      <c r="A2330" s="1" t="str">
        <f>IFERROR(__xludf.DUMMYFUNCTION("""COMPUTED_VALUE"""),"442159a2")</f>
        <v>442159a2</v>
      </c>
      <c r="B2330" s="1" t="str">
        <f>IFERROR(__xludf.DUMMYFUNCTION("""COMPUTED_VALUE"""),"0029")</f>
        <v>0029</v>
      </c>
      <c r="C2330" s="32">
        <f>IFERROR(__xludf.DUMMYFUNCTION("""COMPUTED_VALUE"""),46137.98516203704)</f>
        <v>46137.98516</v>
      </c>
      <c r="D2330" s="1">
        <f>IFERROR(__xludf.DUMMYFUNCTION("""COMPUTED_VALUE"""),48.0)</f>
        <v>48</v>
      </c>
      <c r="E2330" s="1" t="str">
        <f>IFERROR(__xludf.DUMMYFUNCTION("""COMPUTED_VALUE"""),"9b692f1d")</f>
        <v>9b692f1d</v>
      </c>
      <c r="F2330" s="1"/>
    </row>
    <row r="2331">
      <c r="A2331" s="1" t="str">
        <f>IFERROR(__xludf.DUMMYFUNCTION("""COMPUTED_VALUE"""),"9914ced4")</f>
        <v>9914ced4</v>
      </c>
      <c r="B2331" s="1" t="str">
        <f>IFERROR(__xludf.DUMMYFUNCTION("""COMPUTED_VALUE"""),"83dd14b5")</f>
        <v>83dd14b5</v>
      </c>
      <c r="C2331" s="32">
        <f>IFERROR(__xludf.DUMMYFUNCTION("""COMPUTED_VALUE"""),46137.98519675926)</f>
        <v>46137.9852</v>
      </c>
      <c r="D2331" s="1">
        <f>IFERROR(__xludf.DUMMYFUNCTION("""COMPUTED_VALUE"""),96.0)</f>
        <v>96</v>
      </c>
      <c r="E2331" s="1" t="str">
        <f>IFERROR(__xludf.DUMMYFUNCTION("""COMPUTED_VALUE"""),"9b692f1d")</f>
        <v>9b692f1d</v>
      </c>
      <c r="F2331" s="1"/>
    </row>
    <row r="2332">
      <c r="A2332" s="1" t="str">
        <f>IFERROR(__xludf.DUMMYFUNCTION("""COMPUTED_VALUE"""),"ff44cac5")</f>
        <v>ff44cac5</v>
      </c>
      <c r="B2332" s="1" t="str">
        <f>IFERROR(__xludf.DUMMYFUNCTION("""COMPUTED_VALUE"""),"0027")</f>
        <v>0027</v>
      </c>
      <c r="C2332" s="32">
        <f>IFERROR(__xludf.DUMMYFUNCTION("""COMPUTED_VALUE"""),46137.985243055555)</f>
        <v>46137.98524</v>
      </c>
      <c r="D2332" s="1">
        <f>IFERROR(__xludf.DUMMYFUNCTION("""COMPUTED_VALUE"""),25.0)</f>
        <v>25</v>
      </c>
      <c r="E2332" s="1" t="str">
        <f>IFERROR(__xludf.DUMMYFUNCTION("""COMPUTED_VALUE"""),"9b692f1d")</f>
        <v>9b692f1d</v>
      </c>
      <c r="F2332" s="1"/>
    </row>
    <row r="2333">
      <c r="A2333" s="1" t="str">
        <f>IFERROR(__xludf.DUMMYFUNCTION("""COMPUTED_VALUE"""),"d84f80e6")</f>
        <v>d84f80e6</v>
      </c>
      <c r="B2333" s="1" t="str">
        <f>IFERROR(__xludf.DUMMYFUNCTION("""COMPUTED_VALUE"""),"0019")</f>
        <v>0019</v>
      </c>
      <c r="C2333" s="32">
        <f>IFERROR(__xludf.DUMMYFUNCTION("""COMPUTED_VALUE"""),46137.98532407408)</f>
        <v>46137.98532</v>
      </c>
      <c r="D2333" s="1">
        <f>IFERROR(__xludf.DUMMYFUNCTION("""COMPUTED_VALUE"""),48.0)</f>
        <v>48</v>
      </c>
      <c r="E2333" s="1" t="str">
        <f>IFERROR(__xludf.DUMMYFUNCTION("""COMPUTED_VALUE"""),"9b692f1d")</f>
        <v>9b692f1d</v>
      </c>
      <c r="F2333" s="1"/>
    </row>
    <row r="2334">
      <c r="A2334" s="1" t="str">
        <f>IFERROR(__xludf.DUMMYFUNCTION("""COMPUTED_VALUE"""),"bb06d5c9")</f>
        <v>bb06d5c9</v>
      </c>
      <c r="B2334" s="1" t="str">
        <f>IFERROR(__xludf.DUMMYFUNCTION("""COMPUTED_VALUE"""),"a19879cf")</f>
        <v>a19879cf</v>
      </c>
      <c r="C2334" s="32">
        <f>IFERROR(__xludf.DUMMYFUNCTION("""COMPUTED_VALUE"""),46137.98537037037)</f>
        <v>46137.98537</v>
      </c>
      <c r="D2334" s="1">
        <f>IFERROR(__xludf.DUMMYFUNCTION("""COMPUTED_VALUE"""),24.0)</f>
        <v>24</v>
      </c>
      <c r="E2334" s="1" t="str">
        <f>IFERROR(__xludf.DUMMYFUNCTION("""COMPUTED_VALUE"""),"9b692f1d")</f>
        <v>9b692f1d</v>
      </c>
      <c r="F2334" s="1"/>
    </row>
    <row r="2335">
      <c r="A2335" s="1" t="str">
        <f>IFERROR(__xludf.DUMMYFUNCTION("""COMPUTED_VALUE"""),"db70e2a1")</f>
        <v>db70e2a1</v>
      </c>
      <c r="B2335" s="1" t="str">
        <f>IFERROR(__xludf.DUMMYFUNCTION("""COMPUTED_VALUE"""),"0032")</f>
        <v>0032</v>
      </c>
      <c r="C2335" s="32">
        <f>IFERROR(__xludf.DUMMYFUNCTION("""COMPUTED_VALUE"""),46137.986122685186)</f>
        <v>46137.98612</v>
      </c>
      <c r="D2335" s="1">
        <f>IFERROR(__xludf.DUMMYFUNCTION("""COMPUTED_VALUE"""),81.0)</f>
        <v>81</v>
      </c>
      <c r="E2335" s="1" t="str">
        <f>IFERROR(__xludf.DUMMYFUNCTION("""COMPUTED_VALUE"""),"9b692f1d")</f>
        <v>9b692f1d</v>
      </c>
      <c r="F2335" s="1"/>
    </row>
    <row r="2336">
      <c r="A2336" s="1" t="str">
        <f>IFERROR(__xludf.DUMMYFUNCTION("""COMPUTED_VALUE"""),"cb42286b")</f>
        <v>cb42286b</v>
      </c>
      <c r="B2336" s="1" t="str">
        <f>IFERROR(__xludf.DUMMYFUNCTION("""COMPUTED_VALUE"""),"0064")</f>
        <v>0064</v>
      </c>
      <c r="C2336" s="32">
        <f>IFERROR(__xludf.DUMMYFUNCTION("""COMPUTED_VALUE"""),46137.98616898148)</f>
        <v>46137.98617</v>
      </c>
      <c r="D2336" s="1">
        <f>IFERROR(__xludf.DUMMYFUNCTION("""COMPUTED_VALUE"""),54.0)</f>
        <v>54</v>
      </c>
      <c r="E2336" s="1" t="str">
        <f>IFERROR(__xludf.DUMMYFUNCTION("""COMPUTED_VALUE"""),"9b692f1d")</f>
        <v>9b692f1d</v>
      </c>
      <c r="F2336" s="1"/>
    </row>
    <row r="2337">
      <c r="A2337" s="1" t="str">
        <f>IFERROR(__xludf.DUMMYFUNCTION("""COMPUTED_VALUE"""),"d96f38c1")</f>
        <v>d96f38c1</v>
      </c>
      <c r="B2337" s="1" t="str">
        <f>IFERROR(__xludf.DUMMYFUNCTION("""COMPUTED_VALUE"""),"70bdbe11")</f>
        <v>70bdbe11</v>
      </c>
      <c r="C2337" s="32">
        <f>IFERROR(__xludf.DUMMYFUNCTION("""COMPUTED_VALUE"""),46137.98621527778)</f>
        <v>46137.98622</v>
      </c>
      <c r="D2337" s="1">
        <f>IFERROR(__xludf.DUMMYFUNCTION("""COMPUTED_VALUE"""),24.0)</f>
        <v>24</v>
      </c>
      <c r="E2337" s="1" t="str">
        <f>IFERROR(__xludf.DUMMYFUNCTION("""COMPUTED_VALUE"""),"9b692f1d")</f>
        <v>9b692f1d</v>
      </c>
      <c r="F2337" s="1"/>
    </row>
    <row r="2338">
      <c r="A2338" s="1" t="str">
        <f>IFERROR(__xludf.DUMMYFUNCTION("""COMPUTED_VALUE"""),"ed383384")</f>
        <v>ed383384</v>
      </c>
      <c r="B2338" s="1" t="str">
        <f>IFERROR(__xludf.DUMMYFUNCTION("""COMPUTED_VALUE"""),"bb4d1bd1")</f>
        <v>bb4d1bd1</v>
      </c>
      <c r="C2338" s="32">
        <f>IFERROR(__xludf.DUMMYFUNCTION("""COMPUTED_VALUE"""),46137.99391203704)</f>
        <v>46137.99391</v>
      </c>
      <c r="D2338" s="1">
        <f>IFERROR(__xludf.DUMMYFUNCTION("""COMPUTED_VALUE"""),24.0)</f>
        <v>24</v>
      </c>
      <c r="E2338" s="1" t="str">
        <f>IFERROR(__xludf.DUMMYFUNCTION("""COMPUTED_VALUE"""),"15948e0d")</f>
        <v>15948e0d</v>
      </c>
      <c r="F2338" s="1"/>
    </row>
    <row r="2339">
      <c r="A2339" s="1" t="str">
        <f>IFERROR(__xludf.DUMMYFUNCTION("""COMPUTED_VALUE"""),"d43b2b1b")</f>
        <v>d43b2b1b</v>
      </c>
      <c r="B2339" s="1" t="str">
        <f>IFERROR(__xludf.DUMMYFUNCTION("""COMPUTED_VALUE"""),"02d86a9b")</f>
        <v>02d86a9b</v>
      </c>
      <c r="C2339" s="32">
        <f>IFERROR(__xludf.DUMMYFUNCTION("""COMPUTED_VALUE"""),46137.99395833333)</f>
        <v>46137.99396</v>
      </c>
      <c r="D2339" s="1">
        <f>IFERROR(__xludf.DUMMYFUNCTION("""COMPUTED_VALUE"""),72.0)</f>
        <v>72</v>
      </c>
      <c r="E2339" s="1" t="str">
        <f>IFERROR(__xludf.DUMMYFUNCTION("""COMPUTED_VALUE"""),"15948e0d")</f>
        <v>15948e0d</v>
      </c>
      <c r="F2339" s="1"/>
    </row>
    <row r="2340">
      <c r="A2340" s="1" t="str">
        <f>IFERROR(__xludf.DUMMYFUNCTION("""COMPUTED_VALUE"""),"b9eac905")</f>
        <v>b9eac905</v>
      </c>
      <c r="B2340" s="1" t="str">
        <f>IFERROR(__xludf.DUMMYFUNCTION("""COMPUTED_VALUE"""),"a19879cf")</f>
        <v>a19879cf</v>
      </c>
      <c r="C2340" s="32">
        <f>IFERROR(__xludf.DUMMYFUNCTION("""COMPUTED_VALUE"""),46137.9940625)</f>
        <v>46137.99406</v>
      </c>
      <c r="D2340" s="1">
        <f>IFERROR(__xludf.DUMMYFUNCTION("""COMPUTED_VALUE"""),48.0)</f>
        <v>48</v>
      </c>
      <c r="E2340" s="1" t="str">
        <f>IFERROR(__xludf.DUMMYFUNCTION("""COMPUTED_VALUE"""),"15948e0d")</f>
        <v>15948e0d</v>
      </c>
      <c r="F2340" s="1"/>
    </row>
    <row r="2341">
      <c r="A2341" s="1" t="str">
        <f>IFERROR(__xludf.DUMMYFUNCTION("""COMPUTED_VALUE"""),"8f1e160a")</f>
        <v>8f1e160a</v>
      </c>
      <c r="B2341" s="1" t="str">
        <f>IFERROR(__xludf.DUMMYFUNCTION("""COMPUTED_VALUE"""),"6c787857")</f>
        <v>6c787857</v>
      </c>
      <c r="C2341" s="32">
        <f>IFERROR(__xludf.DUMMYFUNCTION("""COMPUTED_VALUE"""),46137.994259259256)</f>
        <v>46137.99426</v>
      </c>
      <c r="D2341" s="1">
        <f>IFERROR(__xludf.DUMMYFUNCTION("""COMPUTED_VALUE"""),24.0)</f>
        <v>24</v>
      </c>
      <c r="E2341" s="1" t="str">
        <f>IFERROR(__xludf.DUMMYFUNCTION("""COMPUTED_VALUE"""),"15948e0d")</f>
        <v>15948e0d</v>
      </c>
      <c r="F2341" s="1"/>
    </row>
    <row r="2342">
      <c r="A2342" s="1" t="str">
        <f>IFERROR(__xludf.DUMMYFUNCTION("""COMPUTED_VALUE"""),"acf291fd")</f>
        <v>acf291fd</v>
      </c>
      <c r="B2342" s="1" t="str">
        <f>IFERROR(__xludf.DUMMYFUNCTION("""COMPUTED_VALUE"""),"0033")</f>
        <v>0033</v>
      </c>
      <c r="C2342" s="32">
        <f>IFERROR(__xludf.DUMMYFUNCTION("""COMPUTED_VALUE"""),46137.994305555556)</f>
        <v>46137.99431</v>
      </c>
      <c r="D2342" s="1">
        <f>IFERROR(__xludf.DUMMYFUNCTION("""COMPUTED_VALUE"""),24.0)</f>
        <v>24</v>
      </c>
      <c r="E2342" s="1" t="str">
        <f>IFERROR(__xludf.DUMMYFUNCTION("""COMPUTED_VALUE"""),"15948e0d")</f>
        <v>15948e0d</v>
      </c>
      <c r="F2342" s="1"/>
    </row>
    <row r="2343">
      <c r="A2343" s="1" t="str">
        <f>IFERROR(__xludf.DUMMYFUNCTION("""COMPUTED_VALUE"""),"25591b4d")</f>
        <v>25591b4d</v>
      </c>
      <c r="B2343" s="1" t="str">
        <f>IFERROR(__xludf.DUMMYFUNCTION("""COMPUTED_VALUE"""),"eda833ca")</f>
        <v>eda833ca</v>
      </c>
      <c r="C2343" s="32">
        <f>IFERROR(__xludf.DUMMYFUNCTION("""COMPUTED_VALUE"""),46137.994375)</f>
        <v>46137.99438</v>
      </c>
      <c r="D2343" s="1">
        <f>IFERROR(__xludf.DUMMYFUNCTION("""COMPUTED_VALUE"""),36.0)</f>
        <v>36</v>
      </c>
      <c r="E2343" s="1" t="str">
        <f>IFERROR(__xludf.DUMMYFUNCTION("""COMPUTED_VALUE"""),"15948e0d")</f>
        <v>15948e0d</v>
      </c>
      <c r="F2343" s="1"/>
    </row>
    <row r="2344">
      <c r="A2344" s="1" t="str">
        <f>IFERROR(__xludf.DUMMYFUNCTION("""COMPUTED_VALUE"""),"1f61deb7")</f>
        <v>1f61deb7</v>
      </c>
      <c r="B2344" s="1" t="str">
        <f>IFERROR(__xludf.DUMMYFUNCTION("""COMPUTED_VALUE"""),"0f694cb5")</f>
        <v>0f694cb5</v>
      </c>
      <c r="C2344" s="32">
        <f>IFERROR(__xludf.DUMMYFUNCTION("""COMPUTED_VALUE"""),46137.994421296295)</f>
        <v>46137.99442</v>
      </c>
      <c r="D2344" s="1">
        <f>IFERROR(__xludf.DUMMYFUNCTION("""COMPUTED_VALUE"""),24.0)</f>
        <v>24</v>
      </c>
      <c r="E2344" s="1" t="str">
        <f>IFERROR(__xludf.DUMMYFUNCTION("""COMPUTED_VALUE"""),"15948e0d")</f>
        <v>15948e0d</v>
      </c>
      <c r="F2344" s="1"/>
    </row>
    <row r="2345">
      <c r="A2345" s="1" t="str">
        <f>IFERROR(__xludf.DUMMYFUNCTION("""COMPUTED_VALUE"""),"83506c98")</f>
        <v>83506c98</v>
      </c>
      <c r="B2345" s="1" t="str">
        <f>IFERROR(__xludf.DUMMYFUNCTION("""COMPUTED_VALUE"""),"7221daf3")</f>
        <v>7221daf3</v>
      </c>
      <c r="C2345" s="32">
        <f>IFERROR(__xludf.DUMMYFUNCTION("""COMPUTED_VALUE"""),46138.000914351855)</f>
        <v>46138.00091</v>
      </c>
      <c r="D2345" s="1">
        <f>IFERROR(__xludf.DUMMYFUNCTION("""COMPUTED_VALUE"""),29.0)</f>
        <v>29</v>
      </c>
      <c r="E2345" s="1" t="str">
        <f>IFERROR(__xludf.DUMMYFUNCTION("""COMPUTED_VALUE"""),"8588cab5")</f>
        <v>8588cab5</v>
      </c>
      <c r="F2345" s="1"/>
    </row>
    <row r="2346">
      <c r="A2346" s="1" t="str">
        <f>IFERROR(__xludf.DUMMYFUNCTION("""COMPUTED_VALUE"""),"dbb8c475")</f>
        <v>dbb8c475</v>
      </c>
      <c r="B2346" s="1" t="str">
        <f>IFERROR(__xludf.DUMMYFUNCTION("""COMPUTED_VALUE"""),"0038")</f>
        <v>0038</v>
      </c>
      <c r="C2346" s="32">
        <f>IFERROR(__xludf.DUMMYFUNCTION("""COMPUTED_VALUE"""),46138.00096064815)</f>
        <v>46138.00096</v>
      </c>
      <c r="D2346" s="1">
        <f>IFERROR(__xludf.DUMMYFUNCTION("""COMPUTED_VALUE"""),16.0)</f>
        <v>16</v>
      </c>
      <c r="E2346" s="1" t="str">
        <f>IFERROR(__xludf.DUMMYFUNCTION("""COMPUTED_VALUE"""),"8588cab5")</f>
        <v>8588cab5</v>
      </c>
      <c r="F2346" s="1"/>
    </row>
    <row r="2347">
      <c r="A2347" s="1" t="str">
        <f>IFERROR(__xludf.DUMMYFUNCTION("""COMPUTED_VALUE"""),"623a25e2")</f>
        <v>623a25e2</v>
      </c>
      <c r="B2347" s="1" t="str">
        <f>IFERROR(__xludf.DUMMYFUNCTION("""COMPUTED_VALUE"""),"c099f042")</f>
        <v>c099f042</v>
      </c>
      <c r="C2347" s="32">
        <f>IFERROR(__xludf.DUMMYFUNCTION("""COMPUTED_VALUE"""),46138.001435185186)</f>
        <v>46138.00144</v>
      </c>
      <c r="D2347" s="1">
        <f>IFERROR(__xludf.DUMMYFUNCTION("""COMPUTED_VALUE"""),160.0)</f>
        <v>160</v>
      </c>
      <c r="E2347" s="1" t="str">
        <f>IFERROR(__xludf.DUMMYFUNCTION("""COMPUTED_VALUE"""),"ab54e6b0")</f>
        <v>ab54e6b0</v>
      </c>
      <c r="F2347" s="1"/>
    </row>
    <row r="2348">
      <c r="A2348" s="1" t="str">
        <f>IFERROR(__xludf.DUMMYFUNCTION("""COMPUTED_VALUE"""),"4c52aaba")</f>
        <v>4c52aaba</v>
      </c>
      <c r="B2348" s="1" t="str">
        <f>IFERROR(__xludf.DUMMYFUNCTION("""COMPUTED_VALUE"""),"eda833ca")</f>
        <v>eda833ca</v>
      </c>
      <c r="C2348" s="32">
        <f>IFERROR(__xludf.DUMMYFUNCTION("""COMPUTED_VALUE"""),46138.00518518518)</f>
        <v>46138.00519</v>
      </c>
      <c r="D2348" s="1">
        <f>IFERROR(__xludf.DUMMYFUNCTION("""COMPUTED_VALUE"""),-12.0)</f>
        <v>-12</v>
      </c>
      <c r="E2348" s="1"/>
      <c r="F2348" s="1"/>
    </row>
    <row r="2349">
      <c r="A2349" s="1" t="str">
        <f>IFERROR(__xludf.DUMMYFUNCTION("""COMPUTED_VALUE"""),"ec2e38ea")</f>
        <v>ec2e38ea</v>
      </c>
      <c r="B2349" s="1" t="str">
        <f>IFERROR(__xludf.DUMMYFUNCTION("""COMPUTED_VALUE"""),"c099f042")</f>
        <v>c099f042</v>
      </c>
      <c r="C2349" s="32">
        <f>IFERROR(__xludf.DUMMYFUNCTION("""COMPUTED_VALUE"""),46138.00530092593)</f>
        <v>46138.0053</v>
      </c>
      <c r="D2349" s="1">
        <f>IFERROR(__xludf.DUMMYFUNCTION("""COMPUTED_VALUE"""),-19.0)</f>
        <v>-19</v>
      </c>
      <c r="E2349" s="1"/>
      <c r="F2349" s="1"/>
    </row>
    <row r="2350">
      <c r="A2350" s="1" t="str">
        <f>IFERROR(__xludf.DUMMYFUNCTION("""COMPUTED_VALUE"""),"acb21dd6")</f>
        <v>acb21dd6</v>
      </c>
      <c r="B2350" s="1" t="str">
        <f>IFERROR(__xludf.DUMMYFUNCTION("""COMPUTED_VALUE"""),"c099f042")</f>
        <v>c099f042</v>
      </c>
      <c r="C2350" s="32">
        <f>IFERROR(__xludf.DUMMYFUNCTION("""COMPUTED_VALUE"""),46138.00543981481)</f>
        <v>46138.00544</v>
      </c>
      <c r="D2350" s="1">
        <f>IFERROR(__xludf.DUMMYFUNCTION("""COMPUTED_VALUE"""),-7.0)</f>
        <v>-7</v>
      </c>
      <c r="E2350" s="1"/>
      <c r="F2350" s="1"/>
    </row>
    <row r="2351">
      <c r="A2351" s="1" t="str">
        <f>IFERROR(__xludf.DUMMYFUNCTION("""COMPUTED_VALUE"""),"50986b0e")</f>
        <v>50986b0e</v>
      </c>
      <c r="B2351" s="1" t="str">
        <f>IFERROR(__xludf.DUMMYFUNCTION("""COMPUTED_VALUE"""),"0001")</f>
        <v>0001</v>
      </c>
      <c r="C2351" s="32">
        <f>IFERROR(__xludf.DUMMYFUNCTION("""COMPUTED_VALUE"""),46138.00556712963)</f>
        <v>46138.00557</v>
      </c>
      <c r="D2351" s="1">
        <f>IFERROR(__xludf.DUMMYFUNCTION("""COMPUTED_VALUE"""),-30.0)</f>
        <v>-30</v>
      </c>
      <c r="E2351" s="1"/>
      <c r="F2351" s="1"/>
    </row>
    <row r="2352">
      <c r="A2352" s="1" t="str">
        <f>IFERROR(__xludf.DUMMYFUNCTION("""COMPUTED_VALUE"""),"29fbc54f")</f>
        <v>29fbc54f</v>
      </c>
      <c r="B2352" s="1" t="str">
        <f>IFERROR(__xludf.DUMMYFUNCTION("""COMPUTED_VALUE"""),"0038")</f>
        <v>0038</v>
      </c>
      <c r="C2352" s="32">
        <f>IFERROR(__xludf.DUMMYFUNCTION("""COMPUTED_VALUE"""),46138.005740740744)</f>
        <v>46138.00574</v>
      </c>
      <c r="D2352" s="1">
        <f>IFERROR(__xludf.DUMMYFUNCTION("""COMPUTED_VALUE"""),-6.0)</f>
        <v>-6</v>
      </c>
      <c r="E2352" s="1"/>
      <c r="F2352" s="1"/>
    </row>
    <row r="2353">
      <c r="A2353" s="1" t="str">
        <f>IFERROR(__xludf.DUMMYFUNCTION("""COMPUTED_VALUE"""),"c40d5b4b")</f>
        <v>c40d5b4b</v>
      </c>
      <c r="B2353" s="1" t="str">
        <f>IFERROR(__xludf.DUMMYFUNCTION("""COMPUTED_VALUE"""),"0033")</f>
        <v>0033</v>
      </c>
      <c r="C2353" s="32">
        <f>IFERROR(__xludf.DUMMYFUNCTION("""COMPUTED_VALUE"""),46138.00592592593)</f>
        <v>46138.00593</v>
      </c>
      <c r="D2353" s="1">
        <f>IFERROR(__xludf.DUMMYFUNCTION("""COMPUTED_VALUE"""),-7.0)</f>
        <v>-7</v>
      </c>
      <c r="E2353" s="1"/>
      <c r="F2353" s="1"/>
    </row>
    <row r="2354">
      <c r="A2354" s="1" t="str">
        <f>IFERROR(__xludf.DUMMYFUNCTION("""COMPUTED_VALUE"""),"e5983bb1")</f>
        <v>e5983bb1</v>
      </c>
      <c r="B2354" s="1" t="str">
        <f>IFERROR(__xludf.DUMMYFUNCTION("""COMPUTED_VALUE"""),"0021")</f>
        <v>0021</v>
      </c>
      <c r="C2354" s="32">
        <f>IFERROR(__xludf.DUMMYFUNCTION("""COMPUTED_VALUE"""),46138.006053240744)</f>
        <v>46138.00605</v>
      </c>
      <c r="D2354" s="1">
        <f>IFERROR(__xludf.DUMMYFUNCTION("""COMPUTED_VALUE"""),-12.0)</f>
        <v>-12</v>
      </c>
      <c r="E2354" s="1"/>
      <c r="F2354" s="1"/>
    </row>
    <row r="2355">
      <c r="A2355" s="1" t="str">
        <f>IFERROR(__xludf.DUMMYFUNCTION("""COMPUTED_VALUE"""),"dffc1e3b")</f>
        <v>dffc1e3b</v>
      </c>
      <c r="B2355" s="1" t="str">
        <f>IFERROR(__xludf.DUMMYFUNCTION("""COMPUTED_VALUE"""),"0019")</f>
        <v>0019</v>
      </c>
      <c r="C2355" s="32">
        <f>IFERROR(__xludf.DUMMYFUNCTION("""COMPUTED_VALUE"""),46138.00682870371)</f>
        <v>46138.00683</v>
      </c>
      <c r="D2355" s="1">
        <f>IFERROR(__xludf.DUMMYFUNCTION("""COMPUTED_VALUE"""),-5.0)</f>
        <v>-5</v>
      </c>
      <c r="E2355" s="1"/>
      <c r="F2355" s="1"/>
    </row>
    <row r="2356">
      <c r="A2356" s="1" t="str">
        <f>IFERROR(__xludf.DUMMYFUNCTION("""COMPUTED_VALUE"""),"eaf544b9")</f>
        <v>eaf544b9</v>
      </c>
      <c r="B2356" s="1" t="str">
        <f>IFERROR(__xludf.DUMMYFUNCTION("""COMPUTED_VALUE"""),"a19879cf")</f>
        <v>a19879cf</v>
      </c>
      <c r="C2356" s="32">
        <f>IFERROR(__xludf.DUMMYFUNCTION("""COMPUTED_VALUE"""),46138.00697916667)</f>
        <v>46138.00698</v>
      </c>
      <c r="D2356" s="1">
        <f>IFERROR(__xludf.DUMMYFUNCTION("""COMPUTED_VALUE"""),-24.0)</f>
        <v>-24</v>
      </c>
      <c r="E2356" s="1"/>
      <c r="F2356" s="1"/>
    </row>
    <row r="2357">
      <c r="A2357" s="1" t="str">
        <f>IFERROR(__xludf.DUMMYFUNCTION("""COMPUTED_VALUE"""),"ee44e6c5")</f>
        <v>ee44e6c5</v>
      </c>
      <c r="B2357" s="1" t="str">
        <f>IFERROR(__xludf.DUMMYFUNCTION("""COMPUTED_VALUE"""),"02d86a9b")</f>
        <v>02d86a9b</v>
      </c>
      <c r="C2357" s="32">
        <f>IFERROR(__xludf.DUMMYFUNCTION("""COMPUTED_VALUE"""),46138.007581018515)</f>
        <v>46138.00758</v>
      </c>
      <c r="D2357" s="1">
        <f>IFERROR(__xludf.DUMMYFUNCTION("""COMPUTED_VALUE"""),-24.0)</f>
        <v>-24</v>
      </c>
      <c r="E2357" s="1"/>
      <c r="F2357" s="1"/>
    </row>
    <row r="2358">
      <c r="A2358" s="1" t="str">
        <f>IFERROR(__xludf.DUMMYFUNCTION("""COMPUTED_VALUE"""),"7f70f465")</f>
        <v>7f70f465</v>
      </c>
      <c r="B2358" s="1" t="str">
        <f>IFERROR(__xludf.DUMMYFUNCTION("""COMPUTED_VALUE"""),"bb4d1bd1")</f>
        <v>bb4d1bd1</v>
      </c>
      <c r="C2358" s="32">
        <f>IFERROR(__xludf.DUMMYFUNCTION("""COMPUTED_VALUE"""),46138.008472222224)</f>
        <v>46138.00847</v>
      </c>
      <c r="D2358" s="1">
        <f>IFERROR(__xludf.DUMMYFUNCTION("""COMPUTED_VALUE"""),-10.0)</f>
        <v>-10</v>
      </c>
      <c r="E2358" s="1"/>
      <c r="F2358" s="1"/>
    </row>
    <row r="2359">
      <c r="A2359" s="1" t="str">
        <f>IFERROR(__xludf.DUMMYFUNCTION("""COMPUTED_VALUE"""),"084a46a9")</f>
        <v>084a46a9</v>
      </c>
      <c r="B2359" s="1" t="str">
        <f>IFERROR(__xludf.DUMMYFUNCTION("""COMPUTED_VALUE"""),"0014")</f>
        <v>0014</v>
      </c>
      <c r="C2359" s="32">
        <f>IFERROR(__xludf.DUMMYFUNCTION("""COMPUTED_VALUE"""),46138.00876157408)</f>
        <v>46138.00876</v>
      </c>
      <c r="D2359" s="1">
        <f>IFERROR(__xludf.DUMMYFUNCTION("""COMPUTED_VALUE"""),-8.0)</f>
        <v>-8</v>
      </c>
      <c r="E2359" s="1"/>
      <c r="F2359" s="1"/>
    </row>
    <row r="2360">
      <c r="A2360" s="1" t="str">
        <f>IFERROR(__xludf.DUMMYFUNCTION("""COMPUTED_VALUE"""),"4ef07dfa")</f>
        <v>4ef07dfa</v>
      </c>
      <c r="B2360" s="1" t="str">
        <f>IFERROR(__xludf.DUMMYFUNCTION("""COMPUTED_VALUE"""),"6c787857")</f>
        <v>6c787857</v>
      </c>
      <c r="C2360" s="32">
        <f>IFERROR(__xludf.DUMMYFUNCTION("""COMPUTED_VALUE"""),46138.00890046296)</f>
        <v>46138.0089</v>
      </c>
      <c r="D2360" s="1">
        <f>IFERROR(__xludf.DUMMYFUNCTION("""COMPUTED_VALUE"""),-14.0)</f>
        <v>-14</v>
      </c>
      <c r="E2360" s="1"/>
      <c r="F2360" s="1"/>
    </row>
    <row r="2361">
      <c r="A2361" s="1" t="str">
        <f>IFERROR(__xludf.DUMMYFUNCTION("""COMPUTED_VALUE"""),"7f2d5098")</f>
        <v>7f2d5098</v>
      </c>
      <c r="B2361" s="1" t="str">
        <f>IFERROR(__xludf.DUMMYFUNCTION("""COMPUTED_VALUE"""),"cf6c9481")</f>
        <v>cf6c9481</v>
      </c>
      <c r="C2361" s="32">
        <f>IFERROR(__xludf.DUMMYFUNCTION("""COMPUTED_VALUE"""),46138.00922453704)</f>
        <v>46138.00922</v>
      </c>
      <c r="D2361" s="1">
        <f>IFERROR(__xludf.DUMMYFUNCTION("""COMPUTED_VALUE"""),-7.0)</f>
        <v>-7</v>
      </c>
      <c r="E2361" s="1"/>
      <c r="F2361" s="1"/>
    </row>
    <row r="2362">
      <c r="A2362" s="1" t="str">
        <f>IFERROR(__xludf.DUMMYFUNCTION("""COMPUTED_VALUE"""),"7b92d991")</f>
        <v>7b92d991</v>
      </c>
      <c r="B2362" s="1" t="str">
        <f>IFERROR(__xludf.DUMMYFUNCTION("""COMPUTED_VALUE"""),"0029")</f>
        <v>0029</v>
      </c>
      <c r="C2362" s="32">
        <f>IFERROR(__xludf.DUMMYFUNCTION("""COMPUTED_VALUE"""),46138.0093287037)</f>
        <v>46138.00933</v>
      </c>
      <c r="D2362" s="1">
        <f>IFERROR(__xludf.DUMMYFUNCTION("""COMPUTED_VALUE"""),-14.0)</f>
        <v>-14</v>
      </c>
      <c r="E2362" s="1"/>
      <c r="F2362" s="1"/>
    </row>
    <row r="2363">
      <c r="A2363" s="1" t="str">
        <f>IFERROR(__xludf.DUMMYFUNCTION("""COMPUTED_VALUE"""),"e92aae57")</f>
        <v>e92aae57</v>
      </c>
      <c r="B2363" s="1" t="str">
        <f>IFERROR(__xludf.DUMMYFUNCTION("""COMPUTED_VALUE"""),"70bdbe11")</f>
        <v>70bdbe11</v>
      </c>
      <c r="C2363" s="32">
        <f>IFERROR(__xludf.DUMMYFUNCTION("""COMPUTED_VALUE"""),46138.009675925925)</f>
        <v>46138.00968</v>
      </c>
      <c r="D2363" s="1">
        <f>IFERROR(__xludf.DUMMYFUNCTION("""COMPUTED_VALUE"""),-4.0)</f>
        <v>-4</v>
      </c>
      <c r="E2363" s="1"/>
      <c r="F2363" s="1"/>
    </row>
    <row r="2364">
      <c r="A2364" s="1" t="str">
        <f>IFERROR(__xludf.DUMMYFUNCTION("""COMPUTED_VALUE"""),"37bff627")</f>
        <v>37bff627</v>
      </c>
      <c r="B2364" s="1" t="str">
        <f>IFERROR(__xludf.DUMMYFUNCTION("""COMPUTED_VALUE"""),"0032")</f>
        <v>0032</v>
      </c>
      <c r="C2364" s="32">
        <f>IFERROR(__xludf.DUMMYFUNCTION("""COMPUTED_VALUE"""),46138.010347222225)</f>
        <v>46138.01035</v>
      </c>
      <c r="D2364" s="1">
        <f>IFERROR(__xludf.DUMMYFUNCTION("""COMPUTED_VALUE"""),-23.0)</f>
        <v>-23</v>
      </c>
      <c r="E2364" s="1"/>
      <c r="F2364" s="1"/>
    </row>
    <row r="2365">
      <c r="A2365" s="1" t="str">
        <f>IFERROR(__xludf.DUMMYFUNCTION("""COMPUTED_VALUE"""),"56725cb0")</f>
        <v>56725cb0</v>
      </c>
      <c r="B2365" s="1" t="str">
        <f>IFERROR(__xludf.DUMMYFUNCTION("""COMPUTED_VALUE"""),"0064")</f>
        <v>0064</v>
      </c>
      <c r="C2365" s="32">
        <f>IFERROR(__xludf.DUMMYFUNCTION("""COMPUTED_VALUE"""),46138.012337962966)</f>
        <v>46138.01234</v>
      </c>
      <c r="D2365" s="1">
        <f>IFERROR(__xludf.DUMMYFUNCTION("""COMPUTED_VALUE"""),-8.0)</f>
        <v>-8</v>
      </c>
      <c r="E2365" s="1"/>
      <c r="F2365" s="1"/>
    </row>
    <row r="2366">
      <c r="A2366" s="1" t="str">
        <f>IFERROR(__xludf.DUMMYFUNCTION("""COMPUTED_VALUE"""),"690524c1")</f>
        <v>690524c1</v>
      </c>
      <c r="B2366" s="1" t="str">
        <f>IFERROR(__xludf.DUMMYFUNCTION("""COMPUTED_VALUE"""),"0002")</f>
        <v>0002</v>
      </c>
      <c r="C2366" s="32">
        <f>IFERROR(__xludf.DUMMYFUNCTION("""COMPUTED_VALUE"""),46138.01258101852)</f>
        <v>46138.01258</v>
      </c>
      <c r="D2366" s="1">
        <f>IFERROR(__xludf.DUMMYFUNCTION("""COMPUTED_VALUE"""),-84.0)</f>
        <v>-84</v>
      </c>
      <c r="E2366" s="1"/>
      <c r="F2366" s="1"/>
    </row>
    <row r="2367">
      <c r="A2367" s="1" t="str">
        <f>IFERROR(__xludf.DUMMYFUNCTION("""COMPUTED_VALUE"""),"2bc93223")</f>
        <v>2bc93223</v>
      </c>
      <c r="B2367" s="1" t="str">
        <f>IFERROR(__xludf.DUMMYFUNCTION("""COMPUTED_VALUE"""),"0011")</f>
        <v>0011</v>
      </c>
      <c r="C2367" s="32">
        <f>IFERROR(__xludf.DUMMYFUNCTION("""COMPUTED_VALUE"""),46138.01283564815)</f>
        <v>46138.01284</v>
      </c>
      <c r="D2367" s="1">
        <f>IFERROR(__xludf.DUMMYFUNCTION("""COMPUTED_VALUE"""),-12.0)</f>
        <v>-12</v>
      </c>
      <c r="E2367" s="1"/>
      <c r="F2367" s="1"/>
    </row>
    <row r="2368">
      <c r="A2368" s="1" t="str">
        <f>IFERROR(__xludf.DUMMYFUNCTION("""COMPUTED_VALUE"""),"378abc87")</f>
        <v>378abc87</v>
      </c>
      <c r="B2368" s="1" t="str">
        <f>IFERROR(__xludf.DUMMYFUNCTION("""COMPUTED_VALUE"""),"0f694cb5")</f>
        <v>0f694cb5</v>
      </c>
      <c r="C2368" s="32">
        <f>IFERROR(__xludf.DUMMYFUNCTION("""COMPUTED_VALUE"""),46138.01310185185)</f>
        <v>46138.0131</v>
      </c>
      <c r="D2368" s="1">
        <f>IFERROR(__xludf.DUMMYFUNCTION("""COMPUTED_VALUE"""),-3.0)</f>
        <v>-3</v>
      </c>
      <c r="E2368" s="1"/>
      <c r="F2368" s="1"/>
    </row>
    <row r="2369">
      <c r="A2369" s="1" t="str">
        <f>IFERROR(__xludf.DUMMYFUNCTION("""COMPUTED_VALUE"""),"e85c63e6")</f>
        <v>e85c63e6</v>
      </c>
      <c r="B2369" s="1" t="str">
        <f>IFERROR(__xludf.DUMMYFUNCTION("""COMPUTED_VALUE"""),"0001")</f>
        <v>0001</v>
      </c>
      <c r="C2369" s="32">
        <f>IFERROR(__xludf.DUMMYFUNCTION("""COMPUTED_VALUE"""),46138.20525462963)</f>
        <v>46138.20525</v>
      </c>
      <c r="D2369" s="1">
        <f>IFERROR(__xludf.DUMMYFUNCTION("""COMPUTED_VALUE"""),-13.0)</f>
        <v>-13</v>
      </c>
      <c r="E2369" s="1"/>
      <c r="F2369" s="1"/>
    </row>
    <row r="2370">
      <c r="A2370" s="1" t="str">
        <f>IFERROR(__xludf.DUMMYFUNCTION("""COMPUTED_VALUE"""),"691c80ea")</f>
        <v>691c80ea</v>
      </c>
      <c r="B2370" s="1" t="str">
        <f>IFERROR(__xludf.DUMMYFUNCTION("""COMPUTED_VALUE"""),"eda833ca")</f>
        <v>eda833ca</v>
      </c>
      <c r="C2370" s="32">
        <f>IFERROR(__xludf.DUMMYFUNCTION("""COMPUTED_VALUE"""),46138.205347222225)</f>
        <v>46138.20535</v>
      </c>
      <c r="D2370" s="1">
        <f>IFERROR(__xludf.DUMMYFUNCTION("""COMPUTED_VALUE"""),-14.0)</f>
        <v>-14</v>
      </c>
      <c r="E2370" s="1"/>
      <c r="F2370" s="1"/>
    </row>
    <row r="2371">
      <c r="A2371" s="1" t="str">
        <f>IFERROR(__xludf.DUMMYFUNCTION("""COMPUTED_VALUE"""),"e94346a5")</f>
        <v>e94346a5</v>
      </c>
      <c r="B2371" s="1" t="str">
        <f>IFERROR(__xludf.DUMMYFUNCTION("""COMPUTED_VALUE"""),"c099f042")</f>
        <v>c099f042</v>
      </c>
      <c r="C2371" s="32">
        <f>IFERROR(__xludf.DUMMYFUNCTION("""COMPUTED_VALUE"""),46138.20547453704)</f>
        <v>46138.20547</v>
      </c>
      <c r="D2371" s="1">
        <f>IFERROR(__xludf.DUMMYFUNCTION("""COMPUTED_VALUE"""),-21.0)</f>
        <v>-21</v>
      </c>
      <c r="E2371" s="1"/>
      <c r="F2371" s="1"/>
    </row>
    <row r="2372">
      <c r="A2372" s="1" t="str">
        <f>IFERROR(__xludf.DUMMYFUNCTION("""COMPUTED_VALUE"""),"385be958")</f>
        <v>385be958</v>
      </c>
      <c r="B2372" s="1" t="str">
        <f>IFERROR(__xludf.DUMMYFUNCTION("""COMPUTED_VALUE"""),"0033")</f>
        <v>0033</v>
      </c>
      <c r="C2372" s="32">
        <f>IFERROR(__xludf.DUMMYFUNCTION("""COMPUTED_VALUE"""),46138.205729166664)</f>
        <v>46138.20573</v>
      </c>
      <c r="D2372" s="1">
        <f>IFERROR(__xludf.DUMMYFUNCTION("""COMPUTED_VALUE"""),-7.0)</f>
        <v>-7</v>
      </c>
      <c r="E2372" s="1"/>
      <c r="F2372" s="1"/>
    </row>
    <row r="2373">
      <c r="A2373" s="1" t="str">
        <f>IFERROR(__xludf.DUMMYFUNCTION("""COMPUTED_VALUE"""),"d9bdde31")</f>
        <v>d9bdde31</v>
      </c>
      <c r="B2373" s="1" t="str">
        <f>IFERROR(__xludf.DUMMYFUNCTION("""COMPUTED_VALUE"""),"0014")</f>
        <v>0014</v>
      </c>
      <c r="C2373" s="32">
        <f>IFERROR(__xludf.DUMMYFUNCTION("""COMPUTED_VALUE"""),46138.20582175926)</f>
        <v>46138.20582</v>
      </c>
      <c r="D2373" s="1">
        <f>IFERROR(__xludf.DUMMYFUNCTION("""COMPUTED_VALUE"""),-10.0)</f>
        <v>-10</v>
      </c>
      <c r="E2373" s="1"/>
      <c r="F2373" s="1"/>
    </row>
    <row r="2374">
      <c r="A2374" s="1" t="str">
        <f>IFERROR(__xludf.DUMMYFUNCTION("""COMPUTED_VALUE"""),"792f90c4")</f>
        <v>792f90c4</v>
      </c>
      <c r="B2374" s="1" t="str">
        <f>IFERROR(__xludf.DUMMYFUNCTION("""COMPUTED_VALUE"""),"bb4d1bd1")</f>
        <v>bb4d1bd1</v>
      </c>
      <c r="C2374" s="32">
        <f>IFERROR(__xludf.DUMMYFUNCTION("""COMPUTED_VALUE"""),46138.205925925926)</f>
        <v>46138.20593</v>
      </c>
      <c r="D2374" s="1">
        <f>IFERROR(__xludf.DUMMYFUNCTION("""COMPUTED_VALUE"""),-14.0)</f>
        <v>-14</v>
      </c>
      <c r="E2374" s="1"/>
      <c r="F2374" s="1"/>
    </row>
    <row r="2375">
      <c r="A2375" s="1" t="str">
        <f>IFERROR(__xludf.DUMMYFUNCTION("""COMPUTED_VALUE"""),"7fbd4d8c")</f>
        <v>7fbd4d8c</v>
      </c>
      <c r="B2375" s="1" t="str">
        <f>IFERROR(__xludf.DUMMYFUNCTION("""COMPUTED_VALUE"""),"a19879cf")</f>
        <v>a19879cf</v>
      </c>
      <c r="C2375" s="32">
        <f>IFERROR(__xludf.DUMMYFUNCTION("""COMPUTED_VALUE"""),46138.20605324074)</f>
        <v>46138.20605</v>
      </c>
      <c r="D2375" s="1">
        <f>IFERROR(__xludf.DUMMYFUNCTION("""COMPUTED_VALUE"""),-6.0)</f>
        <v>-6</v>
      </c>
      <c r="E2375" s="1"/>
      <c r="F2375" s="1"/>
    </row>
    <row r="2376">
      <c r="A2376" s="1" t="str">
        <f>IFERROR(__xludf.DUMMYFUNCTION("""COMPUTED_VALUE"""),"44841202")</f>
        <v>44841202</v>
      </c>
      <c r="B2376" s="1" t="str">
        <f>IFERROR(__xludf.DUMMYFUNCTION("""COMPUTED_VALUE"""),"02d86a9b")</f>
        <v>02d86a9b</v>
      </c>
      <c r="C2376" s="32">
        <f>IFERROR(__xludf.DUMMYFUNCTION("""COMPUTED_VALUE"""),46138.20616898148)</f>
        <v>46138.20617</v>
      </c>
      <c r="D2376" s="1">
        <f>IFERROR(__xludf.DUMMYFUNCTION("""COMPUTED_VALUE"""),-14.0)</f>
        <v>-14</v>
      </c>
      <c r="E2376" s="1"/>
      <c r="F2376" s="1"/>
    </row>
    <row r="2377">
      <c r="A2377" s="1" t="str">
        <f>IFERROR(__xludf.DUMMYFUNCTION("""COMPUTED_VALUE"""),"4232fd4d")</f>
        <v>4232fd4d</v>
      </c>
      <c r="B2377" s="1" t="str">
        <f>IFERROR(__xludf.DUMMYFUNCTION("""COMPUTED_VALUE"""),"0021")</f>
        <v>0021</v>
      </c>
      <c r="C2377" s="32">
        <f>IFERROR(__xludf.DUMMYFUNCTION("""COMPUTED_VALUE"""),46138.20630787037)</f>
        <v>46138.20631</v>
      </c>
      <c r="D2377" s="1">
        <f>IFERROR(__xludf.DUMMYFUNCTION("""COMPUTED_VALUE"""),-6.0)</f>
        <v>-6</v>
      </c>
      <c r="E2377" s="1"/>
      <c r="F2377" s="1"/>
    </row>
    <row r="2378">
      <c r="A2378" s="1" t="str">
        <f>IFERROR(__xludf.DUMMYFUNCTION("""COMPUTED_VALUE"""),"2b6ca6b4")</f>
        <v>2b6ca6b4</v>
      </c>
      <c r="B2378" s="1" t="str">
        <f>IFERROR(__xludf.DUMMYFUNCTION("""COMPUTED_VALUE"""),"0019")</f>
        <v>0019</v>
      </c>
      <c r="C2378" s="32">
        <f>IFERROR(__xludf.DUMMYFUNCTION("""COMPUTED_VALUE"""),46138.206400462965)</f>
        <v>46138.2064</v>
      </c>
      <c r="D2378" s="1">
        <f>IFERROR(__xludf.DUMMYFUNCTION("""COMPUTED_VALUE"""),-7.0)</f>
        <v>-7</v>
      </c>
      <c r="E2378" s="1"/>
      <c r="F2378" s="1"/>
    </row>
    <row r="2379">
      <c r="A2379" s="1" t="str">
        <f>IFERROR(__xludf.DUMMYFUNCTION("""COMPUTED_VALUE"""),"2b297dd9")</f>
        <v>2b297dd9</v>
      </c>
      <c r="B2379" s="1" t="str">
        <f>IFERROR(__xludf.DUMMYFUNCTION("""COMPUTED_VALUE"""),"d0f577e2")</f>
        <v>d0f577e2</v>
      </c>
      <c r="C2379" s="32">
        <f>IFERROR(__xludf.DUMMYFUNCTION("""COMPUTED_VALUE"""),46138.2065625)</f>
        <v>46138.20656</v>
      </c>
      <c r="D2379" s="1">
        <f>IFERROR(__xludf.DUMMYFUNCTION("""COMPUTED_VALUE"""),-32.0)</f>
        <v>-32</v>
      </c>
      <c r="E2379" s="1"/>
      <c r="F2379" s="1"/>
    </row>
    <row r="2380">
      <c r="A2380" s="1" t="str">
        <f>IFERROR(__xludf.DUMMYFUNCTION("""COMPUTED_VALUE"""),"b575cc73")</f>
        <v>b575cc73</v>
      </c>
      <c r="B2380" s="1" t="str">
        <f>IFERROR(__xludf.DUMMYFUNCTION("""COMPUTED_VALUE"""),"83dd14b5")</f>
        <v>83dd14b5</v>
      </c>
      <c r="C2380" s="32">
        <f>IFERROR(__xludf.DUMMYFUNCTION("""COMPUTED_VALUE"""),46138.20670138889)</f>
        <v>46138.2067</v>
      </c>
      <c r="D2380" s="1">
        <f>IFERROR(__xludf.DUMMYFUNCTION("""COMPUTED_VALUE"""),-24.0)</f>
        <v>-24</v>
      </c>
      <c r="E2380" s="1"/>
      <c r="F2380" s="1"/>
    </row>
    <row r="2381">
      <c r="A2381" s="1" t="str">
        <f>IFERROR(__xludf.DUMMYFUNCTION("""COMPUTED_VALUE"""),"bd89e2d7")</f>
        <v>bd89e2d7</v>
      </c>
      <c r="B2381" s="1" t="str">
        <f>IFERROR(__xludf.DUMMYFUNCTION("""COMPUTED_VALUE"""),"0032")</f>
        <v>0032</v>
      </c>
      <c r="C2381" s="32">
        <f>IFERROR(__xludf.DUMMYFUNCTION("""COMPUTED_VALUE"""),46138.206828703704)</f>
        <v>46138.20683</v>
      </c>
      <c r="D2381" s="1">
        <f>IFERROR(__xludf.DUMMYFUNCTION("""COMPUTED_VALUE"""),-15.0)</f>
        <v>-15</v>
      </c>
      <c r="E2381" s="1"/>
      <c r="F2381" s="1"/>
    </row>
    <row r="2382">
      <c r="A2382" s="1" t="str">
        <f>IFERROR(__xludf.DUMMYFUNCTION("""COMPUTED_VALUE"""),"fc9f1744")</f>
        <v>fc9f1744</v>
      </c>
      <c r="B2382" s="1" t="str">
        <f>IFERROR(__xludf.DUMMYFUNCTION("""COMPUTED_VALUE"""),"0f694cb5")</f>
        <v>0f694cb5</v>
      </c>
      <c r="C2382" s="32">
        <f>IFERROR(__xludf.DUMMYFUNCTION("""COMPUTED_VALUE"""),46138.206979166665)</f>
        <v>46138.20698</v>
      </c>
      <c r="D2382" s="1">
        <f>IFERROR(__xludf.DUMMYFUNCTION("""COMPUTED_VALUE"""),-7.0)</f>
        <v>-7</v>
      </c>
      <c r="E2382" s="1"/>
      <c r="F2382" s="1"/>
    </row>
    <row r="2383">
      <c r="A2383" s="1" t="str">
        <f>IFERROR(__xludf.DUMMYFUNCTION("""COMPUTED_VALUE"""),"8844a3c0")</f>
        <v>8844a3c0</v>
      </c>
      <c r="B2383" s="1" t="str">
        <f>IFERROR(__xludf.DUMMYFUNCTION("""COMPUTED_VALUE"""),"6c787857")</f>
        <v>6c787857</v>
      </c>
      <c r="C2383" s="32">
        <f>IFERROR(__xludf.DUMMYFUNCTION("""COMPUTED_VALUE"""),46138.207141203704)</f>
        <v>46138.20714</v>
      </c>
      <c r="D2383" s="1">
        <f>IFERROR(__xludf.DUMMYFUNCTION("""COMPUTED_VALUE"""),-7.0)</f>
        <v>-7</v>
      </c>
      <c r="E2383" s="1"/>
      <c r="F2383" s="1"/>
    </row>
    <row r="2384">
      <c r="A2384" s="1" t="str">
        <f>IFERROR(__xludf.DUMMYFUNCTION("""COMPUTED_VALUE"""),"ac8c4cee")</f>
        <v>ac8c4cee</v>
      </c>
      <c r="B2384" s="1" t="str">
        <f>IFERROR(__xludf.DUMMYFUNCTION("""COMPUTED_VALUE"""),"70bdbe11")</f>
        <v>70bdbe11</v>
      </c>
      <c r="C2384" s="32">
        <f>IFERROR(__xludf.DUMMYFUNCTION("""COMPUTED_VALUE"""),46138.207291666666)</f>
        <v>46138.20729</v>
      </c>
      <c r="D2384" s="1">
        <f>IFERROR(__xludf.DUMMYFUNCTION("""COMPUTED_VALUE"""),-14.0)</f>
        <v>-14</v>
      </c>
      <c r="E2384" s="1"/>
      <c r="F2384" s="1"/>
    </row>
    <row r="2385">
      <c r="A2385" s="1" t="str">
        <f>IFERROR(__xludf.DUMMYFUNCTION("""COMPUTED_VALUE"""),"58f709df")</f>
        <v>58f709df</v>
      </c>
      <c r="B2385" s="1" t="str">
        <f>IFERROR(__xludf.DUMMYFUNCTION("""COMPUTED_VALUE"""),"0029")</f>
        <v>0029</v>
      </c>
      <c r="C2385" s="32">
        <f>IFERROR(__xludf.DUMMYFUNCTION("""COMPUTED_VALUE"""),46138.20746527778)</f>
        <v>46138.20747</v>
      </c>
      <c r="D2385" s="1">
        <f>IFERROR(__xludf.DUMMYFUNCTION("""COMPUTED_VALUE"""),-11.0)</f>
        <v>-11</v>
      </c>
      <c r="E2385" s="1"/>
      <c r="F2385" s="1"/>
    </row>
    <row r="2386">
      <c r="A2386" s="1" t="str">
        <f>IFERROR(__xludf.DUMMYFUNCTION("""COMPUTED_VALUE"""),"4d9a377c")</f>
        <v>4d9a377c</v>
      </c>
      <c r="B2386" s="1" t="str">
        <f>IFERROR(__xludf.DUMMYFUNCTION("""COMPUTED_VALUE"""),"0011")</f>
        <v>0011</v>
      </c>
      <c r="C2386" s="32">
        <f>IFERROR(__xludf.DUMMYFUNCTION("""COMPUTED_VALUE"""),46138.20769675926)</f>
        <v>46138.2077</v>
      </c>
      <c r="D2386" s="1">
        <f>IFERROR(__xludf.DUMMYFUNCTION("""COMPUTED_VALUE"""),-14.0)</f>
        <v>-14</v>
      </c>
      <c r="E2386" s="1"/>
      <c r="F2386" s="1"/>
    </row>
    <row r="2387">
      <c r="A2387" s="1" t="str">
        <f>IFERROR(__xludf.DUMMYFUNCTION("""COMPUTED_VALUE"""),"a48e0551")</f>
        <v>a48e0551</v>
      </c>
      <c r="B2387" s="1" t="str">
        <f>IFERROR(__xludf.DUMMYFUNCTION("""COMPUTED_VALUE"""),"0002")</f>
        <v>0002</v>
      </c>
      <c r="C2387" s="32">
        <f>IFERROR(__xludf.DUMMYFUNCTION("""COMPUTED_VALUE"""),46138.20784722222)</f>
        <v>46138.20785</v>
      </c>
      <c r="D2387" s="1">
        <f>IFERROR(__xludf.DUMMYFUNCTION("""COMPUTED_VALUE"""),-60.0)</f>
        <v>-60</v>
      </c>
      <c r="E2387" s="1"/>
      <c r="F2387" s="1"/>
    </row>
    <row r="2388">
      <c r="A2388" s="1" t="str">
        <f>IFERROR(__xludf.DUMMYFUNCTION("""COMPUTED_VALUE"""),"14d74fb2")</f>
        <v>14d74fb2</v>
      </c>
      <c r="B2388" s="1" t="str">
        <f>IFERROR(__xludf.DUMMYFUNCTION("""COMPUTED_VALUE"""),"7221daf3")</f>
        <v>7221daf3</v>
      </c>
      <c r="C2388" s="32">
        <f>IFERROR(__xludf.DUMMYFUNCTION("""COMPUTED_VALUE"""),46138.69033564815)</f>
        <v>46138.69034</v>
      </c>
      <c r="D2388" s="1">
        <f>IFERROR(__xludf.DUMMYFUNCTION("""COMPUTED_VALUE"""),-29.0)</f>
        <v>-29</v>
      </c>
      <c r="E2388" s="1"/>
      <c r="F2388" s="1"/>
    </row>
    <row r="2389">
      <c r="A2389" s="1" t="str">
        <f>IFERROR(__xludf.DUMMYFUNCTION("""COMPUTED_VALUE"""),"ee454b45")</f>
        <v>ee454b45</v>
      </c>
      <c r="B2389" s="1" t="str">
        <f>IFERROR(__xludf.DUMMYFUNCTION("""COMPUTED_VALUE"""),"0053")</f>
        <v>0053</v>
      </c>
      <c r="C2389" s="32">
        <f>IFERROR(__xludf.DUMMYFUNCTION("""COMPUTED_VALUE"""),46138.69053240741)</f>
        <v>46138.69053</v>
      </c>
      <c r="D2389" s="1">
        <f>IFERROR(__xludf.DUMMYFUNCTION("""COMPUTED_VALUE"""),-6.0)</f>
        <v>-6</v>
      </c>
      <c r="E2389" s="1"/>
      <c r="F2389" s="1"/>
    </row>
    <row r="2390">
      <c r="A2390" s="1" t="str">
        <f>IFERROR(__xludf.DUMMYFUNCTION("""COMPUTED_VALUE"""),"dcce692b")</f>
        <v>dcce692b</v>
      </c>
      <c r="B2390" s="1" t="str">
        <f>IFERROR(__xludf.DUMMYFUNCTION("""COMPUTED_VALUE"""),"0038")</f>
        <v>0038</v>
      </c>
      <c r="C2390" s="32">
        <f>IFERROR(__xludf.DUMMYFUNCTION("""COMPUTED_VALUE"""),46138.690671296295)</f>
        <v>46138.69067</v>
      </c>
      <c r="D2390" s="1">
        <f>IFERROR(__xludf.DUMMYFUNCTION("""COMPUTED_VALUE"""),-4.0)</f>
        <v>-4</v>
      </c>
      <c r="E2390" s="1"/>
      <c r="F2390" s="1"/>
    </row>
    <row r="2391">
      <c r="A2391" s="1" t="str">
        <f>IFERROR(__xludf.DUMMYFUNCTION("""COMPUTED_VALUE"""),"63ea87f8")</f>
        <v>63ea87f8</v>
      </c>
      <c r="B2391" s="1" t="str">
        <f>IFERROR(__xludf.DUMMYFUNCTION("""COMPUTED_VALUE"""),"c099f042")</f>
        <v>c099f042</v>
      </c>
      <c r="C2391" s="32">
        <f>IFERROR(__xludf.DUMMYFUNCTION("""COMPUTED_VALUE"""),46139.35403935185)</f>
        <v>46139.35404</v>
      </c>
      <c r="D2391" s="1">
        <f>IFERROR(__xludf.DUMMYFUNCTION("""COMPUTED_VALUE"""),-12.0)</f>
        <v>-12</v>
      </c>
      <c r="E2391" s="1"/>
      <c r="F2391" s="1"/>
    </row>
    <row r="2392">
      <c r="A2392" s="1" t="str">
        <f>IFERROR(__xludf.DUMMYFUNCTION("""COMPUTED_VALUE"""),"ce98d088")</f>
        <v>ce98d088</v>
      </c>
      <c r="B2392" s="1" t="str">
        <f>IFERROR(__xludf.DUMMYFUNCTION("""COMPUTED_VALUE"""),"b3204174")</f>
        <v>b3204174</v>
      </c>
      <c r="C2392" s="32">
        <f>IFERROR(__xludf.DUMMYFUNCTION("""COMPUTED_VALUE"""),46139.35420138889)</f>
        <v>46139.3542</v>
      </c>
      <c r="D2392" s="1">
        <f>IFERROR(__xludf.DUMMYFUNCTION("""COMPUTED_VALUE"""),-13.0)</f>
        <v>-13</v>
      </c>
      <c r="E2392" s="1"/>
      <c r="F2392" s="1"/>
    </row>
    <row r="2393">
      <c r="A2393" s="1" t="str">
        <f>IFERROR(__xludf.DUMMYFUNCTION("""COMPUTED_VALUE"""),"b4a06b73")</f>
        <v>b4a06b73</v>
      </c>
      <c r="B2393" s="1" t="str">
        <f>IFERROR(__xludf.DUMMYFUNCTION("""COMPUTED_VALUE"""),"0001")</f>
        <v>0001</v>
      </c>
      <c r="C2393" s="32">
        <f>IFERROR(__xludf.DUMMYFUNCTION("""COMPUTED_VALUE"""),46139.3546412037)</f>
        <v>46139.35464</v>
      </c>
      <c r="D2393" s="1">
        <f>IFERROR(__xludf.DUMMYFUNCTION("""COMPUTED_VALUE"""),-15.0)</f>
        <v>-15</v>
      </c>
      <c r="E2393" s="1"/>
      <c r="F2393" s="1"/>
    </row>
    <row r="2394">
      <c r="A2394" s="1" t="str">
        <f>IFERROR(__xludf.DUMMYFUNCTION("""COMPUTED_VALUE"""),"ae1f4cd1")</f>
        <v>ae1f4cd1</v>
      </c>
      <c r="B2394" s="1" t="str">
        <f>IFERROR(__xludf.DUMMYFUNCTION("""COMPUTED_VALUE"""),"12b96290")</f>
        <v>12b96290</v>
      </c>
      <c r="C2394" s="32">
        <f>IFERROR(__xludf.DUMMYFUNCTION("""COMPUTED_VALUE"""),46139.35471064815)</f>
        <v>46139.35471</v>
      </c>
      <c r="D2394" s="1">
        <f>IFERROR(__xludf.DUMMYFUNCTION("""COMPUTED_VALUE"""),-16.0)</f>
        <v>-16</v>
      </c>
      <c r="E2394" s="1"/>
      <c r="F2394" s="1"/>
    </row>
    <row r="2395">
      <c r="A2395" s="1" t="str">
        <f>IFERROR(__xludf.DUMMYFUNCTION("""COMPUTED_VALUE"""),"09a6bcca")</f>
        <v>09a6bcca</v>
      </c>
      <c r="B2395" s="1" t="str">
        <f>IFERROR(__xludf.DUMMYFUNCTION("""COMPUTED_VALUE"""),"c22010ef")</f>
        <v>c22010ef</v>
      </c>
      <c r="C2395" s="32">
        <f>IFERROR(__xludf.DUMMYFUNCTION("""COMPUTED_VALUE"""),46139.35734953704)</f>
        <v>46139.35735</v>
      </c>
      <c r="D2395" s="1">
        <f>IFERROR(__xludf.DUMMYFUNCTION("""COMPUTED_VALUE"""),-15.0)</f>
        <v>-15</v>
      </c>
      <c r="E2395" s="1"/>
      <c r="F2395" s="1"/>
    </row>
    <row r="2396">
      <c r="A2396" s="1" t="str">
        <f>IFERROR(__xludf.DUMMYFUNCTION("""COMPUTED_VALUE"""),"68842d5c")</f>
        <v>68842d5c</v>
      </c>
      <c r="B2396" s="1" t="str">
        <f>IFERROR(__xludf.DUMMYFUNCTION("""COMPUTED_VALUE"""),"a19879cf")</f>
        <v>a19879cf</v>
      </c>
      <c r="C2396" s="32">
        <f>IFERROR(__xludf.DUMMYFUNCTION("""COMPUTED_VALUE"""),46139.358564814815)</f>
        <v>46139.35856</v>
      </c>
      <c r="D2396" s="1">
        <f>IFERROR(__xludf.DUMMYFUNCTION("""COMPUTED_VALUE"""),-4.0)</f>
        <v>-4</v>
      </c>
      <c r="E2396" s="1"/>
      <c r="F2396" s="1"/>
    </row>
    <row r="2397">
      <c r="A2397" s="1" t="str">
        <f>IFERROR(__xludf.DUMMYFUNCTION("""COMPUTED_VALUE"""),"9de64b74")</f>
        <v>9de64b74</v>
      </c>
      <c r="B2397" s="1" t="str">
        <f>IFERROR(__xludf.DUMMYFUNCTION("""COMPUTED_VALUE"""),"bb4d1bd1")</f>
        <v>bb4d1bd1</v>
      </c>
      <c r="C2397" s="32">
        <f>IFERROR(__xludf.DUMMYFUNCTION("""COMPUTED_VALUE"""),46139.35863425926)</f>
        <v>46139.35863</v>
      </c>
      <c r="D2397" s="1">
        <f>IFERROR(__xludf.DUMMYFUNCTION("""COMPUTED_VALUE"""),-10.0)</f>
        <v>-10</v>
      </c>
      <c r="E2397" s="1"/>
      <c r="F2397" s="1"/>
    </row>
    <row r="2398">
      <c r="A2398" s="1" t="str">
        <f>IFERROR(__xludf.DUMMYFUNCTION("""COMPUTED_VALUE"""),"37ad1605")</f>
        <v>37ad1605</v>
      </c>
      <c r="B2398" s="1" t="str">
        <f>IFERROR(__xludf.DUMMYFUNCTION("""COMPUTED_VALUE"""),"6c787857")</f>
        <v>6c787857</v>
      </c>
      <c r="C2398" s="32">
        <f>IFERROR(__xludf.DUMMYFUNCTION("""COMPUTED_VALUE"""),46139.35902777778)</f>
        <v>46139.35903</v>
      </c>
      <c r="D2398" s="1">
        <f>IFERROR(__xludf.DUMMYFUNCTION("""COMPUTED_VALUE"""),-7.0)</f>
        <v>-7</v>
      </c>
      <c r="E2398" s="1"/>
      <c r="F2398" s="1"/>
    </row>
    <row r="2399">
      <c r="A2399" s="1" t="str">
        <f>IFERROR(__xludf.DUMMYFUNCTION("""COMPUTED_VALUE"""),"07e1e27a")</f>
        <v>07e1e27a</v>
      </c>
      <c r="B2399" s="1" t="str">
        <f>IFERROR(__xludf.DUMMYFUNCTION("""COMPUTED_VALUE"""),"cf6c9481")</f>
        <v>cf6c9481</v>
      </c>
      <c r="C2399" s="32">
        <f>IFERROR(__xludf.DUMMYFUNCTION("""COMPUTED_VALUE"""),46139.359375)</f>
        <v>46139.35938</v>
      </c>
      <c r="D2399" s="1">
        <f>IFERROR(__xludf.DUMMYFUNCTION("""COMPUTED_VALUE"""),-5.0)</f>
        <v>-5</v>
      </c>
      <c r="E2399" s="1"/>
      <c r="F2399" s="1"/>
    </row>
    <row r="2400">
      <c r="A2400" s="1" t="str">
        <f>IFERROR(__xludf.DUMMYFUNCTION("""COMPUTED_VALUE"""),"ba5e5699")</f>
        <v>ba5e5699</v>
      </c>
      <c r="B2400" s="1" t="str">
        <f>IFERROR(__xludf.DUMMYFUNCTION("""COMPUTED_VALUE"""),"8ed00567")</f>
        <v>8ed00567</v>
      </c>
      <c r="C2400" s="32">
        <f>IFERROR(__xludf.DUMMYFUNCTION("""COMPUTED_VALUE"""),46139.35983796296)</f>
        <v>46139.35984</v>
      </c>
      <c r="D2400" s="1">
        <f>IFERROR(__xludf.DUMMYFUNCTION("""COMPUTED_VALUE"""),-7.0)</f>
        <v>-7</v>
      </c>
      <c r="E2400" s="1"/>
      <c r="F2400" s="1"/>
    </row>
    <row r="2401">
      <c r="A2401" s="1" t="str">
        <f>IFERROR(__xludf.DUMMYFUNCTION("""COMPUTED_VALUE"""),"2543c37f")</f>
        <v>2543c37f</v>
      </c>
      <c r="B2401" s="1" t="str">
        <f>IFERROR(__xludf.DUMMYFUNCTION("""COMPUTED_VALUE"""),"0032")</f>
        <v>0032</v>
      </c>
      <c r="C2401" s="32">
        <f>IFERROR(__xludf.DUMMYFUNCTION("""COMPUTED_VALUE"""),46139.36033564815)</f>
        <v>46139.36034</v>
      </c>
      <c r="D2401" s="1">
        <f>IFERROR(__xludf.DUMMYFUNCTION("""COMPUTED_VALUE"""),-4.0)</f>
        <v>-4</v>
      </c>
      <c r="E2401" s="1"/>
      <c r="F2401" s="1"/>
    </row>
    <row r="2402">
      <c r="A2402" s="1" t="str">
        <f>IFERROR(__xludf.DUMMYFUNCTION("""COMPUTED_VALUE"""),"87210587")</f>
        <v>87210587</v>
      </c>
      <c r="B2402" s="1" t="str">
        <f>IFERROR(__xludf.DUMMYFUNCTION("""COMPUTED_VALUE"""),"0029")</f>
        <v>0029</v>
      </c>
      <c r="C2402" s="32">
        <f>IFERROR(__xludf.DUMMYFUNCTION("""COMPUTED_VALUE"""),46139.36078703704)</f>
        <v>46139.36079</v>
      </c>
      <c r="D2402" s="1">
        <f>IFERROR(__xludf.DUMMYFUNCTION("""COMPUTED_VALUE"""),-9.0)</f>
        <v>-9</v>
      </c>
      <c r="E2402" s="1"/>
      <c r="F2402" s="1"/>
    </row>
    <row r="2403">
      <c r="A2403" s="1" t="str">
        <f>IFERROR(__xludf.DUMMYFUNCTION("""COMPUTED_VALUE"""),"27fdc14a")</f>
        <v>27fdc14a</v>
      </c>
      <c r="B2403" s="1" t="str">
        <f>IFERROR(__xludf.DUMMYFUNCTION("""COMPUTED_VALUE"""),"0011")</f>
        <v>0011</v>
      </c>
      <c r="C2403" s="32">
        <f>IFERROR(__xludf.DUMMYFUNCTION("""COMPUTED_VALUE"""),46139.3627662037)</f>
        <v>46139.36277</v>
      </c>
      <c r="D2403" s="1">
        <f>IFERROR(__xludf.DUMMYFUNCTION("""COMPUTED_VALUE"""),-14.0)</f>
        <v>-14</v>
      </c>
      <c r="E2403" s="1"/>
      <c r="F2403" s="1"/>
    </row>
    <row r="2404">
      <c r="A2404" s="1" t="str">
        <f>IFERROR(__xludf.DUMMYFUNCTION("""COMPUTED_VALUE"""),"41ee10e6")</f>
        <v>41ee10e6</v>
      </c>
      <c r="B2404" s="1" t="str">
        <f>IFERROR(__xludf.DUMMYFUNCTION("""COMPUTED_VALUE"""),"70bdbe11")</f>
        <v>70bdbe11</v>
      </c>
      <c r="C2404" s="32">
        <f>IFERROR(__xludf.DUMMYFUNCTION("""COMPUTED_VALUE"""),46139.362858796296)</f>
        <v>46139.36286</v>
      </c>
      <c r="D2404" s="1">
        <f>IFERROR(__xludf.DUMMYFUNCTION("""COMPUTED_VALUE"""),-7.0)</f>
        <v>-7</v>
      </c>
      <c r="E2404" s="1"/>
      <c r="F2404" s="1"/>
    </row>
    <row r="2405">
      <c r="A2405" s="1" t="str">
        <f>IFERROR(__xludf.DUMMYFUNCTION("""COMPUTED_VALUE"""),"ccdbe619")</f>
        <v>ccdbe619</v>
      </c>
      <c r="B2405" s="1" t="str">
        <f>IFERROR(__xludf.DUMMYFUNCTION("""COMPUTED_VALUE"""),"0002")</f>
        <v>0002</v>
      </c>
      <c r="C2405" s="32">
        <f>IFERROR(__xludf.DUMMYFUNCTION("""COMPUTED_VALUE"""),46139.36380787037)</f>
        <v>46139.36381</v>
      </c>
      <c r="D2405" s="1">
        <f>IFERROR(__xludf.DUMMYFUNCTION("""COMPUTED_VALUE"""),-60.0)</f>
        <v>-60</v>
      </c>
      <c r="E2405" s="1"/>
      <c r="F2405" s="1"/>
    </row>
    <row r="2406">
      <c r="A2406" s="1" t="str">
        <f>IFERROR(__xludf.DUMMYFUNCTION("""COMPUTED_VALUE"""),"c679fa58")</f>
        <v>c679fa58</v>
      </c>
      <c r="B2406" s="1" t="str">
        <f>IFERROR(__xludf.DUMMYFUNCTION("""COMPUTED_VALUE"""),"951a092f")</f>
        <v>951a092f</v>
      </c>
      <c r="C2406" s="32">
        <f>IFERROR(__xludf.DUMMYFUNCTION("""COMPUTED_VALUE"""),46139.36445601852)</f>
        <v>46139.36446</v>
      </c>
      <c r="D2406" s="1">
        <f>IFERROR(__xludf.DUMMYFUNCTION("""COMPUTED_VALUE"""),2.0)</f>
        <v>2</v>
      </c>
      <c r="E2406" s="1"/>
      <c r="F2406" s="1"/>
    </row>
    <row r="2407">
      <c r="A2407" s="1" t="str">
        <f>IFERROR(__xludf.DUMMYFUNCTION("""COMPUTED_VALUE"""),"e35de7fb")</f>
        <v>e35de7fb</v>
      </c>
      <c r="B2407" s="1" t="str">
        <f>IFERROR(__xludf.DUMMYFUNCTION("""COMPUTED_VALUE"""),"0f694cb5")</f>
        <v>0f694cb5</v>
      </c>
      <c r="C2407" s="32">
        <f>IFERROR(__xludf.DUMMYFUNCTION("""COMPUTED_VALUE"""),46139.36505787037)</f>
        <v>46139.36506</v>
      </c>
      <c r="D2407" s="1">
        <f>IFERROR(__xludf.DUMMYFUNCTION("""COMPUTED_VALUE"""),2.0)</f>
        <v>2</v>
      </c>
      <c r="E2407" s="1"/>
      <c r="F2407" s="1"/>
    </row>
    <row r="2408">
      <c r="A2408" s="1" t="str">
        <f>IFERROR(__xludf.DUMMYFUNCTION("""COMPUTED_VALUE"""),"1d8d8d1f")</f>
        <v>1d8d8d1f</v>
      </c>
      <c r="B2408" s="1" t="str">
        <f>IFERROR(__xludf.DUMMYFUNCTION("""COMPUTED_VALUE"""),"0011")</f>
        <v>0011</v>
      </c>
      <c r="C2408" s="32">
        <f>IFERROR(__xludf.DUMMYFUNCTION("""COMPUTED_VALUE"""),46139.36524305555)</f>
        <v>46139.36524</v>
      </c>
      <c r="D2408" s="1">
        <f>IFERROR(__xludf.DUMMYFUNCTION("""COMPUTED_VALUE"""),1.0)</f>
        <v>1</v>
      </c>
      <c r="E2408" s="1"/>
      <c r="F2408" s="1"/>
    </row>
    <row r="2409">
      <c r="A2409" s="1" t="str">
        <f>IFERROR(__xludf.DUMMYFUNCTION("""COMPUTED_VALUE"""),"0f998ab6")</f>
        <v>0f998ab6</v>
      </c>
      <c r="B2409" s="1" t="str">
        <f>IFERROR(__xludf.DUMMYFUNCTION("""COMPUTED_VALUE"""),"52149040")</f>
        <v>52149040</v>
      </c>
      <c r="C2409" s="32">
        <f>IFERROR(__xludf.DUMMYFUNCTION("""COMPUTED_VALUE"""),46139.72498842593)</f>
        <v>46139.72499</v>
      </c>
      <c r="D2409" s="1">
        <f>IFERROR(__xludf.DUMMYFUNCTION("""COMPUTED_VALUE"""),1.0)</f>
        <v>1</v>
      </c>
      <c r="E2409" s="1"/>
      <c r="F2409" s="1"/>
    </row>
    <row r="2410">
      <c r="A2410" s="1" t="str">
        <f>IFERROR(__xludf.DUMMYFUNCTION("""COMPUTED_VALUE"""),"80628a15")</f>
        <v>80628a15</v>
      </c>
      <c r="B2410" s="1" t="str">
        <f>IFERROR(__xludf.DUMMYFUNCTION("""COMPUTED_VALUE"""),"0001")</f>
        <v>0001</v>
      </c>
      <c r="C2410" s="32">
        <f>IFERROR(__xludf.DUMMYFUNCTION("""COMPUTED_VALUE"""),46140.013032407405)</f>
        <v>46140.01303</v>
      </c>
      <c r="D2410" s="1">
        <f>IFERROR(__xludf.DUMMYFUNCTION("""COMPUTED_VALUE"""),180.0)</f>
        <v>180</v>
      </c>
      <c r="E2410" s="1" t="str">
        <f>IFERROR(__xludf.DUMMYFUNCTION("""COMPUTED_VALUE"""),"4046a521")</f>
        <v>4046a521</v>
      </c>
      <c r="F2410" s="1"/>
    </row>
    <row r="2411">
      <c r="A2411" s="1" t="str">
        <f>IFERROR(__xludf.DUMMYFUNCTION("""COMPUTED_VALUE"""),"5f29c195")</f>
        <v>5f29c195</v>
      </c>
      <c r="B2411" s="1" t="str">
        <f>IFERROR(__xludf.DUMMYFUNCTION("""COMPUTED_VALUE"""),"12b96290")</f>
        <v>12b96290</v>
      </c>
      <c r="C2411" s="32">
        <f>IFERROR(__xludf.DUMMYFUNCTION("""COMPUTED_VALUE"""),46140.013078703705)</f>
        <v>46140.01308</v>
      </c>
      <c r="D2411" s="1">
        <f>IFERROR(__xludf.DUMMYFUNCTION("""COMPUTED_VALUE"""),180.0)</f>
        <v>180</v>
      </c>
      <c r="E2411" s="1" t="str">
        <f>IFERROR(__xludf.DUMMYFUNCTION("""COMPUTED_VALUE"""),"4046a521")</f>
        <v>4046a521</v>
      </c>
      <c r="F2411" s="1"/>
    </row>
    <row r="2412">
      <c r="A2412" s="1" t="str">
        <f>IFERROR(__xludf.DUMMYFUNCTION("""COMPUTED_VALUE"""),"2b1ffc59")</f>
        <v>2b1ffc59</v>
      </c>
      <c r="B2412" s="1" t="str">
        <f>IFERROR(__xludf.DUMMYFUNCTION("""COMPUTED_VALUE"""),"c22010ef")</f>
        <v>c22010ef</v>
      </c>
      <c r="C2412" s="32">
        <f>IFERROR(__xludf.DUMMYFUNCTION("""COMPUTED_VALUE"""),46140.013125)</f>
        <v>46140.01313</v>
      </c>
      <c r="D2412" s="1">
        <f>IFERROR(__xludf.DUMMYFUNCTION("""COMPUTED_VALUE"""),75.0)</f>
        <v>75</v>
      </c>
      <c r="E2412" s="1" t="str">
        <f>IFERROR(__xludf.DUMMYFUNCTION("""COMPUTED_VALUE"""),"4046a521")</f>
        <v>4046a521</v>
      </c>
      <c r="F2412" s="1"/>
    </row>
    <row r="2413">
      <c r="A2413" s="1" t="str">
        <f>IFERROR(__xludf.DUMMYFUNCTION("""COMPUTED_VALUE"""),"e8b50493")</f>
        <v>e8b50493</v>
      </c>
      <c r="B2413" s="1" t="str">
        <f>IFERROR(__xludf.DUMMYFUNCTION("""COMPUTED_VALUE"""),"d5b5f9d1")</f>
        <v>d5b5f9d1</v>
      </c>
      <c r="C2413" s="32">
        <f>IFERROR(__xludf.DUMMYFUNCTION("""COMPUTED_VALUE"""),46140.0131712963)</f>
        <v>46140.01317</v>
      </c>
      <c r="D2413" s="1">
        <f>IFERROR(__xludf.DUMMYFUNCTION("""COMPUTED_VALUE"""),15.0)</f>
        <v>15</v>
      </c>
      <c r="E2413" s="1" t="str">
        <f>IFERROR(__xludf.DUMMYFUNCTION("""COMPUTED_VALUE"""),"4046a521")</f>
        <v>4046a521</v>
      </c>
      <c r="F2413" s="1"/>
    </row>
    <row r="2414">
      <c r="A2414" s="1" t="str">
        <f>IFERROR(__xludf.DUMMYFUNCTION("""COMPUTED_VALUE"""),"d15d6ad3")</f>
        <v>d15d6ad3</v>
      </c>
      <c r="B2414" s="1" t="str">
        <f>IFERROR(__xludf.DUMMYFUNCTION("""COMPUTED_VALUE"""),"8ed00567")</f>
        <v>8ed00567</v>
      </c>
      <c r="C2414" s="32">
        <f>IFERROR(__xludf.DUMMYFUNCTION("""COMPUTED_VALUE"""),46140.01329861111)</f>
        <v>46140.0133</v>
      </c>
      <c r="D2414" s="1">
        <f>IFERROR(__xludf.DUMMYFUNCTION("""COMPUTED_VALUE"""),24.0)</f>
        <v>24</v>
      </c>
      <c r="E2414" s="1" t="str">
        <f>IFERROR(__xludf.DUMMYFUNCTION("""COMPUTED_VALUE"""),"138a44eb")</f>
        <v>138a44eb</v>
      </c>
      <c r="F2414" s="1"/>
    </row>
    <row r="2415">
      <c r="A2415" s="1" t="str">
        <f>IFERROR(__xludf.DUMMYFUNCTION("""COMPUTED_VALUE"""),"65bb09ab")</f>
        <v>65bb09ab</v>
      </c>
      <c r="B2415" s="1" t="str">
        <f>IFERROR(__xludf.DUMMYFUNCTION("""COMPUTED_VALUE"""),"0011")</f>
        <v>0011</v>
      </c>
      <c r="C2415" s="32">
        <f>IFERROR(__xludf.DUMMYFUNCTION("""COMPUTED_VALUE"""),46140.013344907406)</f>
        <v>46140.01334</v>
      </c>
      <c r="D2415" s="1">
        <f>IFERROR(__xludf.DUMMYFUNCTION("""COMPUTED_VALUE"""),96.0)</f>
        <v>96</v>
      </c>
      <c r="E2415" s="1" t="str">
        <f>IFERROR(__xludf.DUMMYFUNCTION("""COMPUTED_VALUE"""),"138a44eb")</f>
        <v>138a44eb</v>
      </c>
      <c r="F2415" s="1"/>
    </row>
    <row r="2416">
      <c r="A2416" s="1" t="str">
        <f>IFERROR(__xludf.DUMMYFUNCTION("""COMPUTED_VALUE"""),"1a68b83d")</f>
        <v>1a68b83d</v>
      </c>
      <c r="B2416" s="1" t="str">
        <f>IFERROR(__xludf.DUMMYFUNCTION("""COMPUTED_VALUE"""),"0014")</f>
        <v>0014</v>
      </c>
      <c r="C2416" s="32">
        <f>IFERROR(__xludf.DUMMYFUNCTION("""COMPUTED_VALUE"""),46140.01337962963)</f>
        <v>46140.01338</v>
      </c>
      <c r="D2416" s="1">
        <f>IFERROR(__xludf.DUMMYFUNCTION("""COMPUTED_VALUE"""),30.0)</f>
        <v>30</v>
      </c>
      <c r="E2416" s="1" t="str">
        <f>IFERROR(__xludf.DUMMYFUNCTION("""COMPUTED_VALUE"""),"138a44eb")</f>
        <v>138a44eb</v>
      </c>
      <c r="F2416" s="1"/>
    </row>
    <row r="2417">
      <c r="A2417" s="1" t="str">
        <f>IFERROR(__xludf.DUMMYFUNCTION("""COMPUTED_VALUE"""),"3af2224c")</f>
        <v>3af2224c</v>
      </c>
      <c r="B2417" s="1" t="str">
        <f>IFERROR(__xludf.DUMMYFUNCTION("""COMPUTED_VALUE"""),"02d86a9b")</f>
        <v>02d86a9b</v>
      </c>
      <c r="C2417" s="32">
        <f>IFERROR(__xludf.DUMMYFUNCTION("""COMPUTED_VALUE"""),46140.0134837963)</f>
        <v>46140.01348</v>
      </c>
      <c r="D2417" s="1">
        <f>IFERROR(__xludf.DUMMYFUNCTION("""COMPUTED_VALUE"""),48.0)</f>
        <v>48</v>
      </c>
      <c r="E2417" s="1" t="str">
        <f>IFERROR(__xludf.DUMMYFUNCTION("""COMPUTED_VALUE"""),"467b9a30")</f>
        <v>467b9a30</v>
      </c>
      <c r="F2417" s="1"/>
    </row>
    <row r="2418">
      <c r="A2418" s="1" t="str">
        <f>IFERROR(__xludf.DUMMYFUNCTION("""COMPUTED_VALUE"""),"b5f909a8")</f>
        <v>b5f909a8</v>
      </c>
      <c r="B2418" s="1" t="str">
        <f>IFERROR(__xludf.DUMMYFUNCTION("""COMPUTED_VALUE"""),"a19879cf")</f>
        <v>a19879cf</v>
      </c>
      <c r="C2418" s="32">
        <f>IFERROR(__xludf.DUMMYFUNCTION("""COMPUTED_VALUE"""),46140.01351851852)</f>
        <v>46140.01352</v>
      </c>
      <c r="D2418" s="1">
        <f>IFERROR(__xludf.DUMMYFUNCTION("""COMPUTED_VALUE"""),48.0)</f>
        <v>48</v>
      </c>
      <c r="E2418" s="1" t="str">
        <f>IFERROR(__xludf.DUMMYFUNCTION("""COMPUTED_VALUE"""),"467b9a30")</f>
        <v>467b9a30</v>
      </c>
      <c r="F2418" s="1"/>
    </row>
    <row r="2419">
      <c r="A2419" s="1" t="str">
        <f>IFERROR(__xludf.DUMMYFUNCTION("""COMPUTED_VALUE"""),"2995ba69")</f>
        <v>2995ba69</v>
      </c>
      <c r="B2419" s="1" t="str">
        <f>IFERROR(__xludf.DUMMYFUNCTION("""COMPUTED_VALUE"""),"6c787857")</f>
        <v>6c787857</v>
      </c>
      <c r="C2419" s="32">
        <f>IFERROR(__xludf.DUMMYFUNCTION("""COMPUTED_VALUE"""),46140.01357638889)</f>
        <v>46140.01358</v>
      </c>
      <c r="D2419" s="1">
        <f>IFERROR(__xludf.DUMMYFUNCTION("""COMPUTED_VALUE"""),24.0)</f>
        <v>24</v>
      </c>
      <c r="E2419" s="1" t="str">
        <f>IFERROR(__xludf.DUMMYFUNCTION("""COMPUTED_VALUE"""),"467b9a30")</f>
        <v>467b9a30</v>
      </c>
      <c r="F2419" s="1"/>
    </row>
    <row r="2420">
      <c r="A2420" s="1" t="str">
        <f>IFERROR(__xludf.DUMMYFUNCTION("""COMPUTED_VALUE"""),"1d7aeade")</f>
        <v>1d7aeade</v>
      </c>
      <c r="B2420" s="1" t="str">
        <f>IFERROR(__xludf.DUMMYFUNCTION("""COMPUTED_VALUE"""),"d5b5f9d1")</f>
        <v>d5b5f9d1</v>
      </c>
      <c r="C2420" s="32">
        <f>IFERROR(__xludf.DUMMYFUNCTION("""COMPUTED_VALUE"""),46140.0137962963)</f>
        <v>46140.0138</v>
      </c>
      <c r="D2420" s="1">
        <f>IFERROR(__xludf.DUMMYFUNCTION("""COMPUTED_VALUE"""),-15.0)</f>
        <v>-15</v>
      </c>
      <c r="E2420" s="1"/>
      <c r="F2420" s="1"/>
    </row>
    <row r="2421">
      <c r="A2421" s="1" t="str">
        <f>IFERROR(__xludf.DUMMYFUNCTION("""COMPUTED_VALUE"""),"3acc0a30")</f>
        <v>3acc0a30</v>
      </c>
      <c r="B2421" s="1" t="str">
        <f>IFERROR(__xludf.DUMMYFUNCTION("""COMPUTED_VALUE"""),"eda833ca")</f>
        <v>eda833ca</v>
      </c>
      <c r="C2421" s="32">
        <f>IFERROR(__xludf.DUMMYFUNCTION("""COMPUTED_VALUE"""),46140.01395833334)</f>
        <v>46140.01396</v>
      </c>
      <c r="D2421" s="1">
        <f>IFERROR(__xludf.DUMMYFUNCTION("""COMPUTED_VALUE"""),-6.0)</f>
        <v>-6</v>
      </c>
      <c r="E2421" s="1"/>
      <c r="F2421" s="1"/>
    </row>
    <row r="2422">
      <c r="A2422" s="1" t="str">
        <f>IFERROR(__xludf.DUMMYFUNCTION("""COMPUTED_VALUE"""),"8183f7a0")</f>
        <v>8183f7a0</v>
      </c>
      <c r="B2422" s="1" t="str">
        <f>IFERROR(__xludf.DUMMYFUNCTION("""COMPUTED_VALUE"""),"c099f042")</f>
        <v>c099f042</v>
      </c>
      <c r="C2422" s="32">
        <f>IFERROR(__xludf.DUMMYFUNCTION("""COMPUTED_VALUE"""),46140.014131944445)</f>
        <v>46140.01413</v>
      </c>
      <c r="D2422" s="1">
        <f>IFERROR(__xludf.DUMMYFUNCTION("""COMPUTED_VALUE"""),-10.0)</f>
        <v>-10</v>
      </c>
      <c r="E2422" s="1"/>
      <c r="F2422" s="1"/>
    </row>
    <row r="2423">
      <c r="A2423" s="1" t="str">
        <f>IFERROR(__xludf.DUMMYFUNCTION("""COMPUTED_VALUE"""),"f3255781")</f>
        <v>f3255781</v>
      </c>
      <c r="B2423" s="1" t="str">
        <f>IFERROR(__xludf.DUMMYFUNCTION("""COMPUTED_VALUE"""),"0001")</f>
        <v>0001</v>
      </c>
      <c r="C2423" s="32">
        <f>IFERROR(__xludf.DUMMYFUNCTION("""COMPUTED_VALUE"""),46140.01424768518)</f>
        <v>46140.01425</v>
      </c>
      <c r="D2423" s="1">
        <f>IFERROR(__xludf.DUMMYFUNCTION("""COMPUTED_VALUE"""),-7.0)</f>
        <v>-7</v>
      </c>
      <c r="E2423" s="1"/>
      <c r="F2423" s="1"/>
    </row>
    <row r="2424">
      <c r="A2424" s="1" t="str">
        <f>IFERROR(__xludf.DUMMYFUNCTION("""COMPUTED_VALUE"""),"d8874bc1")</f>
        <v>d8874bc1</v>
      </c>
      <c r="B2424" s="1" t="str">
        <f>IFERROR(__xludf.DUMMYFUNCTION("""COMPUTED_VALUE"""),"12b96290")</f>
        <v>12b96290</v>
      </c>
      <c r="C2424" s="32">
        <f>IFERROR(__xludf.DUMMYFUNCTION("""COMPUTED_VALUE"""),46140.01449074074)</f>
        <v>46140.01449</v>
      </c>
      <c r="D2424" s="1">
        <f>IFERROR(__xludf.DUMMYFUNCTION("""COMPUTED_VALUE"""),-20.0)</f>
        <v>-20</v>
      </c>
      <c r="E2424" s="1"/>
      <c r="F2424" s="1"/>
    </row>
    <row r="2425">
      <c r="A2425" s="1" t="str">
        <f>IFERROR(__xludf.DUMMYFUNCTION("""COMPUTED_VALUE"""),"7920338d")</f>
        <v>7920338d</v>
      </c>
      <c r="B2425" s="1" t="str">
        <f>IFERROR(__xludf.DUMMYFUNCTION("""COMPUTED_VALUE"""),"c22010ef")</f>
        <v>c22010ef</v>
      </c>
      <c r="C2425" s="32">
        <f>IFERROR(__xludf.DUMMYFUNCTION("""COMPUTED_VALUE"""),46140.014652777776)</f>
        <v>46140.01465</v>
      </c>
      <c r="D2425" s="1">
        <f>IFERROR(__xludf.DUMMYFUNCTION("""COMPUTED_VALUE"""),-16.0)</f>
        <v>-16</v>
      </c>
      <c r="E2425" s="1"/>
      <c r="F2425" s="1"/>
    </row>
    <row r="2426">
      <c r="A2426" s="1" t="str">
        <f>IFERROR(__xludf.DUMMYFUNCTION("""COMPUTED_VALUE"""),"29d90af4")</f>
        <v>29d90af4</v>
      </c>
      <c r="B2426" s="1" t="str">
        <f>IFERROR(__xludf.DUMMYFUNCTION("""COMPUTED_VALUE"""),"0033")</f>
        <v>0033</v>
      </c>
      <c r="C2426" s="32">
        <f>IFERROR(__xludf.DUMMYFUNCTION("""COMPUTED_VALUE"""),46140.01484953704)</f>
        <v>46140.01485</v>
      </c>
      <c r="D2426" s="1">
        <f>IFERROR(__xludf.DUMMYFUNCTION("""COMPUTED_VALUE"""),-7.0)</f>
        <v>-7</v>
      </c>
      <c r="E2426" s="1"/>
      <c r="F2426" s="1"/>
    </row>
    <row r="2427">
      <c r="A2427" s="1" t="str">
        <f>IFERROR(__xludf.DUMMYFUNCTION("""COMPUTED_VALUE"""),"628eede3")</f>
        <v>628eede3</v>
      </c>
      <c r="B2427" s="1" t="str">
        <f>IFERROR(__xludf.DUMMYFUNCTION("""COMPUTED_VALUE"""),"0027")</f>
        <v>0027</v>
      </c>
      <c r="C2427" s="32">
        <f>IFERROR(__xludf.DUMMYFUNCTION("""COMPUTED_VALUE"""),46140.0150462963)</f>
        <v>46140.01505</v>
      </c>
      <c r="D2427" s="1">
        <f>IFERROR(__xludf.DUMMYFUNCTION("""COMPUTED_VALUE"""),-5.0)</f>
        <v>-5</v>
      </c>
      <c r="E2427" s="1"/>
      <c r="F2427" s="1"/>
    </row>
    <row r="2428">
      <c r="A2428" s="1" t="str">
        <f>IFERROR(__xludf.DUMMYFUNCTION("""COMPUTED_VALUE"""),"2cc93048")</f>
        <v>2cc93048</v>
      </c>
      <c r="B2428" s="1" t="str">
        <f>IFERROR(__xludf.DUMMYFUNCTION("""COMPUTED_VALUE"""),"0019")</f>
        <v>0019</v>
      </c>
      <c r="C2428" s="32">
        <f>IFERROR(__xludf.DUMMYFUNCTION("""COMPUTED_VALUE"""),46140.01521990741)</f>
        <v>46140.01522</v>
      </c>
      <c r="D2428" s="1">
        <f>IFERROR(__xludf.DUMMYFUNCTION("""COMPUTED_VALUE"""),-5.0)</f>
        <v>-5</v>
      </c>
      <c r="E2428" s="1"/>
      <c r="F2428" s="1"/>
    </row>
    <row r="2429">
      <c r="A2429" s="1" t="str">
        <f>IFERROR(__xludf.DUMMYFUNCTION("""COMPUTED_VALUE"""),"479cb714")</f>
        <v>479cb714</v>
      </c>
      <c r="B2429" s="1" t="str">
        <f>IFERROR(__xludf.DUMMYFUNCTION("""COMPUTED_VALUE"""),"a19879cf")</f>
        <v>a19879cf</v>
      </c>
      <c r="C2429" s="32">
        <f>IFERROR(__xludf.DUMMYFUNCTION("""COMPUTED_VALUE"""),46140.01537037037)</f>
        <v>46140.01537</v>
      </c>
      <c r="D2429" s="1">
        <f>IFERROR(__xludf.DUMMYFUNCTION("""COMPUTED_VALUE"""),-19.0)</f>
        <v>-19</v>
      </c>
      <c r="E2429" s="1"/>
      <c r="F2429" s="1"/>
    </row>
    <row r="2430">
      <c r="A2430" s="1" t="str">
        <f>IFERROR(__xludf.DUMMYFUNCTION("""COMPUTED_VALUE"""),"292b3933")</f>
        <v>292b3933</v>
      </c>
      <c r="B2430" s="1" t="str">
        <f>IFERROR(__xludf.DUMMYFUNCTION("""COMPUTED_VALUE"""),"bb4d1bd1")</f>
        <v>bb4d1bd1</v>
      </c>
      <c r="C2430" s="32">
        <f>IFERROR(__xludf.DUMMYFUNCTION("""COMPUTED_VALUE"""),46140.015543981484)</f>
        <v>46140.01554</v>
      </c>
      <c r="D2430" s="1">
        <f>IFERROR(__xludf.DUMMYFUNCTION("""COMPUTED_VALUE"""),-10.0)</f>
        <v>-10</v>
      </c>
      <c r="E2430" s="1"/>
      <c r="F2430" s="1"/>
    </row>
    <row r="2431">
      <c r="A2431" s="1" t="str">
        <f>IFERROR(__xludf.DUMMYFUNCTION("""COMPUTED_VALUE"""),"a67d5ea6")</f>
        <v>a67d5ea6</v>
      </c>
      <c r="B2431" s="1" t="str">
        <f>IFERROR(__xludf.DUMMYFUNCTION("""COMPUTED_VALUE"""),"6c787857")</f>
        <v>6c787857</v>
      </c>
      <c r="C2431" s="32">
        <f>IFERROR(__xludf.DUMMYFUNCTION("""COMPUTED_VALUE"""),46140.01565972222)</f>
        <v>46140.01566</v>
      </c>
      <c r="D2431" s="1">
        <f>IFERROR(__xludf.DUMMYFUNCTION("""COMPUTED_VALUE"""),-20.0)</f>
        <v>-20</v>
      </c>
      <c r="E2431" s="1"/>
      <c r="F2431" s="1"/>
    </row>
    <row r="2432">
      <c r="A2432" s="1" t="str">
        <f>IFERROR(__xludf.DUMMYFUNCTION("""COMPUTED_VALUE"""),"97d09c25")</f>
        <v>97d09c25</v>
      </c>
      <c r="B2432" s="1" t="str">
        <f>IFERROR(__xludf.DUMMYFUNCTION("""COMPUTED_VALUE"""),"8ed00567")</f>
        <v>8ed00567</v>
      </c>
      <c r="C2432" s="32">
        <f>IFERROR(__xludf.DUMMYFUNCTION("""COMPUTED_VALUE"""),46140.016076388885)</f>
        <v>46140.01608</v>
      </c>
      <c r="D2432" s="1">
        <f>IFERROR(__xludf.DUMMYFUNCTION("""COMPUTED_VALUE"""),-21.0)</f>
        <v>-21</v>
      </c>
      <c r="E2432" s="1"/>
      <c r="F2432" s="1"/>
    </row>
    <row r="2433">
      <c r="A2433" s="1" t="str">
        <f>IFERROR(__xludf.DUMMYFUNCTION("""COMPUTED_VALUE"""),"f2c866f6")</f>
        <v>f2c866f6</v>
      </c>
      <c r="B2433" s="1" t="str">
        <f>IFERROR(__xludf.DUMMYFUNCTION("""COMPUTED_VALUE"""),"70bdbe11")</f>
        <v>70bdbe11</v>
      </c>
      <c r="C2433" s="32">
        <f>IFERROR(__xludf.DUMMYFUNCTION("""COMPUTED_VALUE"""),46140.01626157408)</f>
        <v>46140.01626</v>
      </c>
      <c r="D2433" s="1">
        <f>IFERROR(__xludf.DUMMYFUNCTION("""COMPUTED_VALUE"""),-4.0)</f>
        <v>-4</v>
      </c>
      <c r="E2433" s="1"/>
      <c r="F2433" s="1"/>
    </row>
    <row r="2434">
      <c r="A2434" s="1" t="str">
        <f>IFERROR(__xludf.DUMMYFUNCTION("""COMPUTED_VALUE"""),"84572d97")</f>
        <v>84572d97</v>
      </c>
      <c r="B2434" s="1" t="str">
        <f>IFERROR(__xludf.DUMMYFUNCTION("""COMPUTED_VALUE"""),"0032")</f>
        <v>0032</v>
      </c>
      <c r="C2434" s="32">
        <f>IFERROR(__xludf.DUMMYFUNCTION("""COMPUTED_VALUE"""),46140.01640046296)</f>
        <v>46140.0164</v>
      </c>
      <c r="D2434" s="1">
        <f>IFERROR(__xludf.DUMMYFUNCTION("""COMPUTED_VALUE"""),-26.0)</f>
        <v>-26</v>
      </c>
      <c r="E2434" s="1"/>
      <c r="F2434" s="1"/>
    </row>
    <row r="2435">
      <c r="A2435" s="1" t="str">
        <f>IFERROR(__xludf.DUMMYFUNCTION("""COMPUTED_VALUE"""),"b5a68e50")</f>
        <v>b5a68e50</v>
      </c>
      <c r="B2435" s="1" t="str">
        <f>IFERROR(__xludf.DUMMYFUNCTION("""COMPUTED_VALUE"""),"0064")</f>
        <v>0064</v>
      </c>
      <c r="C2435" s="32">
        <f>IFERROR(__xludf.DUMMYFUNCTION("""COMPUTED_VALUE"""),46140.01658564815)</f>
        <v>46140.01659</v>
      </c>
      <c r="D2435" s="1">
        <f>IFERROR(__xludf.DUMMYFUNCTION("""COMPUTED_VALUE"""),-5.0)</f>
        <v>-5</v>
      </c>
      <c r="E2435" s="1"/>
      <c r="F2435" s="1"/>
    </row>
    <row r="2436">
      <c r="A2436" s="1" t="str">
        <f>IFERROR(__xludf.DUMMYFUNCTION("""COMPUTED_VALUE"""),"996b3014")</f>
        <v>996b3014</v>
      </c>
      <c r="B2436" s="1" t="str">
        <f>IFERROR(__xludf.DUMMYFUNCTION("""COMPUTED_VALUE"""),"0002")</f>
        <v>0002</v>
      </c>
      <c r="C2436" s="32">
        <f>IFERROR(__xludf.DUMMYFUNCTION("""COMPUTED_VALUE"""),46140.016747685186)</f>
        <v>46140.01675</v>
      </c>
      <c r="D2436" s="1">
        <f>IFERROR(__xludf.DUMMYFUNCTION("""COMPUTED_VALUE"""),-192.0)</f>
        <v>-192</v>
      </c>
      <c r="E2436" s="1"/>
      <c r="F2436" s="1"/>
    </row>
    <row r="2437">
      <c r="A2437" s="1" t="str">
        <f>IFERROR(__xludf.DUMMYFUNCTION("""COMPUTED_VALUE"""),"442cdf4e")</f>
        <v>442cdf4e</v>
      </c>
      <c r="B2437" s="1" t="str">
        <f>IFERROR(__xludf.DUMMYFUNCTION("""COMPUTED_VALUE"""),"0011")</f>
        <v>0011</v>
      </c>
      <c r="C2437" s="32">
        <f>IFERROR(__xludf.DUMMYFUNCTION("""COMPUTED_VALUE"""),46140.016851851855)</f>
        <v>46140.01685</v>
      </c>
      <c r="D2437" s="1">
        <f>IFERROR(__xludf.DUMMYFUNCTION("""COMPUTED_VALUE"""),-4.0)</f>
        <v>-4</v>
      </c>
      <c r="E2437" s="1"/>
      <c r="F2437" s="1"/>
    </row>
    <row r="2438">
      <c r="A2438" s="1" t="str">
        <f>IFERROR(__xludf.DUMMYFUNCTION("""COMPUTED_VALUE"""),"34cf7cfc")</f>
        <v>34cf7cfc</v>
      </c>
      <c r="B2438" s="1" t="str">
        <f>IFERROR(__xludf.DUMMYFUNCTION("""COMPUTED_VALUE"""),"83dd14b5")</f>
        <v>83dd14b5</v>
      </c>
      <c r="C2438" s="32">
        <f>IFERROR(__xludf.DUMMYFUNCTION("""COMPUTED_VALUE"""),46140.01696759259)</f>
        <v>46140.01697</v>
      </c>
      <c r="D2438" s="1">
        <f>IFERROR(__xludf.DUMMYFUNCTION("""COMPUTED_VALUE"""),-24.0)</f>
        <v>-24</v>
      </c>
      <c r="E2438" s="1"/>
      <c r="F2438" s="1"/>
    </row>
    <row r="2439">
      <c r="A2439" s="1" t="str">
        <f>IFERROR(__xludf.DUMMYFUNCTION("""COMPUTED_VALUE"""),"6e6c10dd")</f>
        <v>6e6c10dd</v>
      </c>
      <c r="B2439" s="1" t="str">
        <f>IFERROR(__xludf.DUMMYFUNCTION("""COMPUTED_VALUE"""),"0f694cb5")</f>
        <v>0f694cb5</v>
      </c>
      <c r="C2439" s="32">
        <f>IFERROR(__xludf.DUMMYFUNCTION("""COMPUTED_VALUE"""),46140.01709490741)</f>
        <v>46140.01709</v>
      </c>
      <c r="D2439" s="1">
        <f>IFERROR(__xludf.DUMMYFUNCTION("""COMPUTED_VALUE"""),-2.0)</f>
        <v>-2</v>
      </c>
      <c r="E2439" s="1"/>
      <c r="F2439" s="1"/>
    </row>
    <row r="2440">
      <c r="A2440" s="1" t="str">
        <f>IFERROR(__xludf.DUMMYFUNCTION("""COMPUTED_VALUE"""),"05d9ee48")</f>
        <v>05d9ee48</v>
      </c>
      <c r="B2440" s="1" t="str">
        <f>IFERROR(__xludf.DUMMYFUNCTION("""COMPUTED_VALUE"""),"0014")</f>
        <v>0014</v>
      </c>
      <c r="C2440" s="32">
        <f>IFERROR(__xludf.DUMMYFUNCTION("""COMPUTED_VALUE"""),46140.01733796296)</f>
        <v>46140.01734</v>
      </c>
      <c r="D2440" s="1">
        <f>IFERROR(__xludf.DUMMYFUNCTION("""COMPUTED_VALUE"""),-5.0)</f>
        <v>-5</v>
      </c>
      <c r="E2440" s="1"/>
      <c r="F2440" s="1"/>
    </row>
    <row r="2441">
      <c r="A2441" s="1" t="str">
        <f>IFERROR(__xludf.DUMMYFUNCTION("""COMPUTED_VALUE"""),"a7c1b30b")</f>
        <v>a7c1b30b</v>
      </c>
      <c r="B2441" s="1" t="str">
        <f>IFERROR(__xludf.DUMMYFUNCTION("""COMPUTED_VALUE"""),"0002")</f>
        <v>0002</v>
      </c>
      <c r="C2441" s="32">
        <f>IFERROR(__xludf.DUMMYFUNCTION("""COMPUTED_VALUE"""),46141.61962962963)</f>
        <v>46141.61963</v>
      </c>
      <c r="D2441" s="1">
        <f>IFERROR(__xludf.DUMMYFUNCTION("""COMPUTED_VALUE"""),1212.0)</f>
        <v>1212</v>
      </c>
      <c r="E2441" s="1" t="str">
        <f>IFERROR(__xludf.DUMMYFUNCTION("""COMPUTED_VALUE"""),"8c24f1f2")</f>
        <v>8c24f1f2</v>
      </c>
      <c r="F2441" s="1"/>
    </row>
    <row r="2442">
      <c r="A2442" s="1" t="str">
        <f>IFERROR(__xludf.DUMMYFUNCTION("""COMPUTED_VALUE"""),"bf363b5e")</f>
        <v>bf363b5e</v>
      </c>
      <c r="B2442" s="1" t="str">
        <f>IFERROR(__xludf.DUMMYFUNCTION("""COMPUTED_VALUE"""),"0001")</f>
        <v>0001</v>
      </c>
      <c r="C2442" s="32">
        <f>IFERROR(__xludf.DUMMYFUNCTION("""COMPUTED_VALUE"""),46141.74961805555)</f>
        <v>46141.74962</v>
      </c>
      <c r="D2442" s="1">
        <f>IFERROR(__xludf.DUMMYFUNCTION("""COMPUTED_VALUE"""),-40.0)</f>
        <v>-40</v>
      </c>
      <c r="E2442" s="1"/>
      <c r="F2442" s="1"/>
    </row>
    <row r="2443">
      <c r="A2443" s="1" t="str">
        <f>IFERROR(__xludf.DUMMYFUNCTION("""COMPUTED_VALUE"""),"7cd09649")</f>
        <v>7cd09649</v>
      </c>
      <c r="B2443" s="1" t="str">
        <f>IFERROR(__xludf.DUMMYFUNCTION("""COMPUTED_VALUE"""),"c22010ef")</f>
        <v>c22010ef</v>
      </c>
      <c r="C2443" s="32">
        <f>IFERROR(__xludf.DUMMYFUNCTION("""COMPUTED_VALUE"""),46141.749918981484)</f>
        <v>46141.74992</v>
      </c>
      <c r="D2443" s="1">
        <f>IFERROR(__xludf.DUMMYFUNCTION("""COMPUTED_VALUE"""),-8.0)</f>
        <v>-8</v>
      </c>
      <c r="E2443" s="1"/>
      <c r="F2443" s="1"/>
    </row>
    <row r="2444">
      <c r="A2444" s="1" t="str">
        <f>IFERROR(__xludf.DUMMYFUNCTION("""COMPUTED_VALUE"""),"68a07010")</f>
        <v>68a07010</v>
      </c>
      <c r="B2444" s="1" t="str">
        <f>IFERROR(__xludf.DUMMYFUNCTION("""COMPUTED_VALUE"""),"12b96290")</f>
        <v>12b96290</v>
      </c>
      <c r="C2444" s="32">
        <f>IFERROR(__xludf.DUMMYFUNCTION("""COMPUTED_VALUE"""),46141.750555555554)</f>
        <v>46141.75056</v>
      </c>
      <c r="D2444" s="1">
        <f>IFERROR(__xludf.DUMMYFUNCTION("""COMPUTED_VALUE"""),-40.0)</f>
        <v>-40</v>
      </c>
      <c r="E2444" s="1"/>
      <c r="F2444" s="1"/>
    </row>
    <row r="2445">
      <c r="A2445" s="1" t="str">
        <f>IFERROR(__xludf.DUMMYFUNCTION("""COMPUTED_VALUE"""),"b4978c8e")</f>
        <v>b4978c8e</v>
      </c>
      <c r="B2445" s="1" t="str">
        <f>IFERROR(__xludf.DUMMYFUNCTION("""COMPUTED_VALUE"""),"0029")</f>
        <v>0029</v>
      </c>
      <c r="C2445" s="32">
        <f>IFERROR(__xludf.DUMMYFUNCTION("""COMPUTED_VALUE"""),46141.750925925924)</f>
        <v>46141.75093</v>
      </c>
      <c r="D2445" s="1">
        <f>IFERROR(__xludf.DUMMYFUNCTION("""COMPUTED_VALUE"""),-18.0)</f>
        <v>-18</v>
      </c>
      <c r="E2445" s="1"/>
      <c r="F2445" s="1"/>
    </row>
    <row r="2446">
      <c r="A2446" s="1" t="str">
        <f>IFERROR(__xludf.DUMMYFUNCTION("""COMPUTED_VALUE"""),"15ab8d93")</f>
        <v>15ab8d93</v>
      </c>
      <c r="B2446" s="1" t="str">
        <f>IFERROR(__xludf.DUMMYFUNCTION("""COMPUTED_VALUE"""),"0f694cb5")</f>
        <v>0f694cb5</v>
      </c>
      <c r="C2446" s="32">
        <f>IFERROR(__xludf.DUMMYFUNCTION("""COMPUTED_VALUE"""),46141.75130787037)</f>
        <v>46141.75131</v>
      </c>
      <c r="D2446" s="1">
        <f>IFERROR(__xludf.DUMMYFUNCTION("""COMPUTED_VALUE"""),-9.0)</f>
        <v>-9</v>
      </c>
      <c r="E2446" s="1"/>
      <c r="F2446" s="1"/>
    </row>
    <row r="2447">
      <c r="A2447" s="1" t="str">
        <f>IFERROR(__xludf.DUMMYFUNCTION("""COMPUTED_VALUE"""),"c5f0eb78")</f>
        <v>c5f0eb78</v>
      </c>
      <c r="B2447" s="1" t="str">
        <f>IFERROR(__xludf.DUMMYFUNCTION("""COMPUTED_VALUE"""),"0011")</f>
        <v>0011</v>
      </c>
      <c r="C2447" s="32">
        <f>IFERROR(__xludf.DUMMYFUNCTION("""COMPUTED_VALUE"""),46141.751863425925)</f>
        <v>46141.75186</v>
      </c>
      <c r="D2447" s="1">
        <f>IFERROR(__xludf.DUMMYFUNCTION("""COMPUTED_VALUE"""),-10.0)</f>
        <v>-10</v>
      </c>
      <c r="E2447" s="1"/>
      <c r="F2447" s="1"/>
    </row>
    <row r="2448">
      <c r="A2448" s="1" t="str">
        <f>IFERROR(__xludf.DUMMYFUNCTION("""COMPUTED_VALUE"""),"0eb51913")</f>
        <v>0eb51913</v>
      </c>
      <c r="B2448" s="1" t="str">
        <f>IFERROR(__xludf.DUMMYFUNCTION("""COMPUTED_VALUE"""),"70bdbe11")</f>
        <v>70bdbe11</v>
      </c>
      <c r="C2448" s="32">
        <f>IFERROR(__xludf.DUMMYFUNCTION("""COMPUTED_VALUE"""),46141.75215277778)</f>
        <v>46141.75215</v>
      </c>
      <c r="D2448" s="1">
        <f>IFERROR(__xludf.DUMMYFUNCTION("""COMPUTED_VALUE"""),-11.0)</f>
        <v>-11</v>
      </c>
      <c r="E2448" s="1"/>
      <c r="F2448" s="1"/>
    </row>
    <row r="2449">
      <c r="A2449" s="1" t="str">
        <f>IFERROR(__xludf.DUMMYFUNCTION("""COMPUTED_VALUE"""),"58eca52d")</f>
        <v>58eca52d</v>
      </c>
      <c r="B2449" s="1" t="str">
        <f>IFERROR(__xludf.DUMMYFUNCTION("""COMPUTED_VALUE"""),"c099f042")</f>
        <v>c099f042</v>
      </c>
      <c r="C2449" s="32">
        <f>IFERROR(__xludf.DUMMYFUNCTION("""COMPUTED_VALUE"""),46141.75277777778)</f>
        <v>46141.75278</v>
      </c>
      <c r="D2449" s="1">
        <f>IFERROR(__xludf.DUMMYFUNCTION("""COMPUTED_VALUE"""),-18.0)</f>
        <v>-18</v>
      </c>
      <c r="E2449" s="1"/>
      <c r="F2449" s="1"/>
    </row>
    <row r="2450">
      <c r="A2450" s="1" t="str">
        <f>IFERROR(__xludf.DUMMYFUNCTION("""COMPUTED_VALUE"""),"9cf8d13b")</f>
        <v>9cf8d13b</v>
      </c>
      <c r="B2450" s="1" t="str">
        <f>IFERROR(__xludf.DUMMYFUNCTION("""COMPUTED_VALUE"""),"cf6c9481")</f>
        <v>cf6c9481</v>
      </c>
      <c r="C2450" s="32">
        <f>IFERROR(__xludf.DUMMYFUNCTION("""COMPUTED_VALUE"""),46141.75288194444)</f>
        <v>46141.75288</v>
      </c>
      <c r="D2450" s="1">
        <f>IFERROR(__xludf.DUMMYFUNCTION("""COMPUTED_VALUE"""),-16.0)</f>
        <v>-16</v>
      </c>
      <c r="E2450" s="1"/>
      <c r="F2450" s="1"/>
    </row>
    <row r="2451">
      <c r="A2451" s="1" t="str">
        <f>IFERROR(__xludf.DUMMYFUNCTION("""COMPUTED_VALUE"""),"f3b79bd7")</f>
        <v>f3b79bd7</v>
      </c>
      <c r="B2451" s="1" t="str">
        <f>IFERROR(__xludf.DUMMYFUNCTION("""COMPUTED_VALUE"""),"a19879cf")</f>
        <v>a19879cf</v>
      </c>
      <c r="C2451" s="32">
        <f>IFERROR(__xludf.DUMMYFUNCTION("""COMPUTED_VALUE"""),46141.753217592595)</f>
        <v>46141.75322</v>
      </c>
      <c r="D2451" s="1">
        <f>IFERROR(__xludf.DUMMYFUNCTION("""COMPUTED_VALUE"""),-11.0)</f>
        <v>-11</v>
      </c>
      <c r="E2451" s="1"/>
      <c r="F2451" s="1"/>
    </row>
    <row r="2452">
      <c r="A2452" s="1" t="str">
        <f>IFERROR(__xludf.DUMMYFUNCTION("""COMPUTED_VALUE"""),"384aac69")</f>
        <v>384aac69</v>
      </c>
      <c r="B2452" s="1" t="str">
        <f>IFERROR(__xludf.DUMMYFUNCTION("""COMPUTED_VALUE"""),"02d86a9b")</f>
        <v>02d86a9b</v>
      </c>
      <c r="C2452" s="32">
        <f>IFERROR(__xludf.DUMMYFUNCTION("""COMPUTED_VALUE"""),46141.75386574074)</f>
        <v>46141.75387</v>
      </c>
      <c r="D2452" s="1">
        <f>IFERROR(__xludf.DUMMYFUNCTION("""COMPUTED_VALUE"""),-2.0)</f>
        <v>-2</v>
      </c>
      <c r="E2452" s="1"/>
      <c r="F2452" s="1"/>
    </row>
    <row r="2453">
      <c r="A2453" s="1" t="str">
        <f>IFERROR(__xludf.DUMMYFUNCTION("""COMPUTED_VALUE"""),"4dc5dd2e")</f>
        <v>4dc5dd2e</v>
      </c>
      <c r="B2453" s="1" t="str">
        <f>IFERROR(__xludf.DUMMYFUNCTION("""COMPUTED_VALUE"""),"a19879cf")</f>
        <v>a19879cf</v>
      </c>
      <c r="C2453" s="32">
        <f>IFERROR(__xludf.DUMMYFUNCTION("""COMPUTED_VALUE"""),46141.75476851852)</f>
        <v>46141.75477</v>
      </c>
      <c r="D2453" s="1">
        <f>IFERROR(__xludf.DUMMYFUNCTION("""COMPUTED_VALUE"""),-12.0)</f>
        <v>-12</v>
      </c>
      <c r="E2453" s="1"/>
      <c r="F2453" s="1"/>
    </row>
    <row r="2454">
      <c r="A2454" s="1" t="str">
        <f>IFERROR(__xludf.DUMMYFUNCTION("""COMPUTED_VALUE"""),"bedf9d4c")</f>
        <v>bedf9d4c</v>
      </c>
      <c r="B2454" s="1" t="str">
        <f>IFERROR(__xludf.DUMMYFUNCTION("""COMPUTED_VALUE"""),"bb4d1bd1")</f>
        <v>bb4d1bd1</v>
      </c>
      <c r="C2454" s="32">
        <f>IFERROR(__xludf.DUMMYFUNCTION("""COMPUTED_VALUE"""),46141.75486111111)</f>
        <v>46141.75486</v>
      </c>
      <c r="D2454" s="1">
        <f>IFERROR(__xludf.DUMMYFUNCTION("""COMPUTED_VALUE"""),-15.0)</f>
        <v>-15</v>
      </c>
      <c r="E2454" s="1"/>
      <c r="F2454" s="1"/>
    </row>
    <row r="2455">
      <c r="A2455" s="1" t="str">
        <f>IFERROR(__xludf.DUMMYFUNCTION("""COMPUTED_VALUE"""),"c0ef3253")</f>
        <v>c0ef3253</v>
      </c>
      <c r="B2455" s="1" t="str">
        <f>IFERROR(__xludf.DUMMYFUNCTION("""COMPUTED_VALUE"""),"0027")</f>
        <v>0027</v>
      </c>
      <c r="C2455" s="32">
        <f>IFERROR(__xludf.DUMMYFUNCTION("""COMPUTED_VALUE"""),46141.75497685185)</f>
        <v>46141.75498</v>
      </c>
      <c r="D2455" s="1">
        <f>IFERROR(__xludf.DUMMYFUNCTION("""COMPUTED_VALUE"""),-20.0)</f>
        <v>-20</v>
      </c>
      <c r="E2455" s="1"/>
      <c r="F2455" s="1"/>
    </row>
    <row r="2456">
      <c r="A2456" s="1" t="str">
        <f>IFERROR(__xludf.DUMMYFUNCTION("""COMPUTED_VALUE"""),"2acb4f1f")</f>
        <v>2acb4f1f</v>
      </c>
      <c r="B2456" s="1" t="str">
        <f>IFERROR(__xludf.DUMMYFUNCTION("""COMPUTED_VALUE"""),"0014")</f>
        <v>0014</v>
      </c>
      <c r="C2456" s="32">
        <f>IFERROR(__xludf.DUMMYFUNCTION("""COMPUTED_VALUE"""),46141.7553587963)</f>
        <v>46141.75536</v>
      </c>
      <c r="D2456" s="1">
        <f>IFERROR(__xludf.DUMMYFUNCTION("""COMPUTED_VALUE"""),-10.0)</f>
        <v>-10</v>
      </c>
      <c r="E2456" s="1"/>
      <c r="F2456" s="1"/>
    </row>
    <row r="2457">
      <c r="A2457" s="1" t="str">
        <f>IFERROR(__xludf.DUMMYFUNCTION("""COMPUTED_VALUE"""),"25acd931")</f>
        <v>25acd931</v>
      </c>
      <c r="B2457" s="1" t="str">
        <f>IFERROR(__xludf.DUMMYFUNCTION("""COMPUTED_VALUE"""),"0064")</f>
        <v>0064</v>
      </c>
      <c r="C2457" s="32">
        <f>IFERROR(__xludf.DUMMYFUNCTION("""COMPUTED_VALUE"""),46141.75548611111)</f>
        <v>46141.75549</v>
      </c>
      <c r="D2457" s="1">
        <f>IFERROR(__xludf.DUMMYFUNCTION("""COMPUTED_VALUE"""),-27.0)</f>
        <v>-27</v>
      </c>
      <c r="E2457" s="1"/>
      <c r="F2457" s="1"/>
    </row>
    <row r="2458">
      <c r="A2458" s="1" t="str">
        <f>IFERROR(__xludf.DUMMYFUNCTION("""COMPUTED_VALUE"""),"a5587454")</f>
        <v>a5587454</v>
      </c>
      <c r="B2458" s="1" t="str">
        <f>IFERROR(__xludf.DUMMYFUNCTION("""COMPUTED_VALUE"""),"0032")</f>
        <v>0032</v>
      </c>
      <c r="C2458" s="32">
        <f>IFERROR(__xludf.DUMMYFUNCTION("""COMPUTED_VALUE"""),46141.75581018518)</f>
        <v>46141.75581</v>
      </c>
      <c r="D2458" s="1">
        <f>IFERROR(__xludf.DUMMYFUNCTION("""COMPUTED_VALUE"""),-43.0)</f>
        <v>-43</v>
      </c>
      <c r="E2458" s="1"/>
      <c r="F2458" s="1"/>
    </row>
    <row r="2459">
      <c r="A2459" s="1" t="str">
        <f>IFERROR(__xludf.DUMMYFUNCTION("""COMPUTED_VALUE"""),"2ac6021f")</f>
        <v>2ac6021f</v>
      </c>
      <c r="B2459" s="1" t="str">
        <f>IFERROR(__xludf.DUMMYFUNCTION("""COMPUTED_VALUE"""),"83dd14b5")</f>
        <v>83dd14b5</v>
      </c>
      <c r="C2459" s="32">
        <f>IFERROR(__xludf.DUMMYFUNCTION("""COMPUTED_VALUE"""),46141.75616898148)</f>
        <v>46141.75617</v>
      </c>
      <c r="D2459" s="1">
        <f>IFERROR(__xludf.DUMMYFUNCTION("""COMPUTED_VALUE"""),-3.0)</f>
        <v>-3</v>
      </c>
      <c r="E2459" s="1"/>
      <c r="F2459" s="1"/>
    </row>
    <row r="2460">
      <c r="A2460" s="1" t="str">
        <f>IFERROR(__xludf.DUMMYFUNCTION("""COMPUTED_VALUE"""),"c557d954")</f>
        <v>c557d954</v>
      </c>
      <c r="B2460" s="1" t="str">
        <f>IFERROR(__xludf.DUMMYFUNCTION("""COMPUTED_VALUE"""),"8ed00567")</f>
        <v>8ed00567</v>
      </c>
      <c r="C2460" s="32">
        <f>IFERROR(__xludf.DUMMYFUNCTION("""COMPUTED_VALUE"""),46142.11684027778)</f>
        <v>46142.11684</v>
      </c>
      <c r="D2460" s="1">
        <f>IFERROR(__xludf.DUMMYFUNCTION("""COMPUTED_VALUE"""),48.0)</f>
        <v>48</v>
      </c>
      <c r="E2460" s="1" t="str">
        <f>IFERROR(__xludf.DUMMYFUNCTION("""COMPUTED_VALUE"""),"851a886d")</f>
        <v>851a886d</v>
      </c>
      <c r="F2460" s="1"/>
    </row>
    <row r="2461">
      <c r="A2461" s="1" t="str">
        <f>IFERROR(__xludf.DUMMYFUNCTION("""COMPUTED_VALUE"""),"4c7cc029")</f>
        <v>4c7cc029</v>
      </c>
      <c r="B2461" s="1" t="str">
        <f>IFERROR(__xludf.DUMMYFUNCTION("""COMPUTED_VALUE"""),"0024")</f>
        <v>0024</v>
      </c>
      <c r="C2461" s="32">
        <f>IFERROR(__xludf.DUMMYFUNCTION("""COMPUTED_VALUE"""),46142.116875)</f>
        <v>46142.11688</v>
      </c>
      <c r="D2461" s="1">
        <f>IFERROR(__xludf.DUMMYFUNCTION("""COMPUTED_VALUE"""),20.0)</f>
        <v>20</v>
      </c>
      <c r="E2461" s="1" t="str">
        <f>IFERROR(__xludf.DUMMYFUNCTION("""COMPUTED_VALUE"""),"851a886d")</f>
        <v>851a886d</v>
      </c>
      <c r="F2461" s="1"/>
    </row>
    <row r="2462">
      <c r="A2462" s="1" t="str">
        <f>IFERROR(__xludf.DUMMYFUNCTION("""COMPUTED_VALUE"""),"4955342a")</f>
        <v>4955342a</v>
      </c>
      <c r="B2462" s="1" t="str">
        <f>IFERROR(__xludf.DUMMYFUNCTION("""COMPUTED_VALUE"""),"0027")</f>
        <v>0027</v>
      </c>
      <c r="C2462" s="32">
        <f>IFERROR(__xludf.DUMMYFUNCTION("""COMPUTED_VALUE"""),46142.11693287037)</f>
        <v>46142.11693</v>
      </c>
      <c r="D2462" s="1">
        <f>IFERROR(__xludf.DUMMYFUNCTION("""COMPUTED_VALUE"""),75.0)</f>
        <v>75</v>
      </c>
      <c r="E2462" s="1" t="str">
        <f>IFERROR(__xludf.DUMMYFUNCTION("""COMPUTED_VALUE"""),"851a886d")</f>
        <v>851a886d</v>
      </c>
      <c r="F2462" s="1"/>
    </row>
    <row r="2463">
      <c r="A2463" s="1" t="str">
        <f>IFERROR(__xludf.DUMMYFUNCTION("""COMPUTED_VALUE"""),"ad2b05ed")</f>
        <v>ad2b05ed</v>
      </c>
      <c r="B2463" s="1" t="str">
        <f>IFERROR(__xludf.DUMMYFUNCTION("""COMPUTED_VALUE"""),"0033")</f>
        <v>0033</v>
      </c>
      <c r="C2463" s="32">
        <f>IFERROR(__xludf.DUMMYFUNCTION("""COMPUTED_VALUE"""),46142.11697916667)</f>
        <v>46142.11698</v>
      </c>
      <c r="D2463" s="1">
        <f>IFERROR(__xludf.DUMMYFUNCTION("""COMPUTED_VALUE"""),24.0)</f>
        <v>24</v>
      </c>
      <c r="E2463" s="1" t="str">
        <f>IFERROR(__xludf.DUMMYFUNCTION("""COMPUTED_VALUE"""),"851a886d")</f>
        <v>851a886d</v>
      </c>
      <c r="F2463" s="1"/>
    </row>
    <row r="2464">
      <c r="A2464" s="1" t="str">
        <f>IFERROR(__xludf.DUMMYFUNCTION("""COMPUTED_VALUE"""),"39d7a7ff")</f>
        <v>39d7a7ff</v>
      </c>
      <c r="B2464" s="1" t="str">
        <f>IFERROR(__xludf.DUMMYFUNCTION("""COMPUTED_VALUE"""),"0032")</f>
        <v>0032</v>
      </c>
      <c r="C2464" s="32">
        <f>IFERROR(__xludf.DUMMYFUNCTION("""COMPUTED_VALUE"""),46142.11703703704)</f>
        <v>46142.11704</v>
      </c>
      <c r="D2464" s="1">
        <f>IFERROR(__xludf.DUMMYFUNCTION("""COMPUTED_VALUE"""),54.0)</f>
        <v>54</v>
      </c>
      <c r="E2464" s="1" t="str">
        <f>IFERROR(__xludf.DUMMYFUNCTION("""COMPUTED_VALUE"""),"851a886d")</f>
        <v>851a886d</v>
      </c>
      <c r="F2464" s="1"/>
    </row>
    <row r="2465">
      <c r="A2465" s="1" t="str">
        <f>IFERROR(__xludf.DUMMYFUNCTION("""COMPUTED_VALUE"""),"4013572b")</f>
        <v>4013572b</v>
      </c>
      <c r="B2465" s="1" t="str">
        <f>IFERROR(__xludf.DUMMYFUNCTION("""COMPUTED_VALUE"""),"c099f042")</f>
        <v>c099f042</v>
      </c>
      <c r="C2465" s="32">
        <f>IFERROR(__xludf.DUMMYFUNCTION("""COMPUTED_VALUE"""),46142.116006944445)</f>
        <v>46142.11601</v>
      </c>
      <c r="D2465" s="1">
        <f>IFERROR(__xludf.DUMMYFUNCTION("""COMPUTED_VALUE"""),-21.0)</f>
        <v>-21</v>
      </c>
      <c r="E2465" s="1"/>
      <c r="F2465" s="1"/>
    </row>
    <row r="2466">
      <c r="A2466" s="1" t="str">
        <f>IFERROR(__xludf.DUMMYFUNCTION("""COMPUTED_VALUE"""),"bb711139")</f>
        <v>bb711139</v>
      </c>
      <c r="B2466" s="1" t="str">
        <f>IFERROR(__xludf.DUMMYFUNCTION("""COMPUTED_VALUE"""),"0001")</f>
        <v>0001</v>
      </c>
      <c r="C2466" s="32">
        <f>IFERROR(__xludf.DUMMYFUNCTION("""COMPUTED_VALUE"""),46142.11615740741)</f>
        <v>46142.11616</v>
      </c>
      <c r="D2466" s="1">
        <f>IFERROR(__xludf.DUMMYFUNCTION("""COMPUTED_VALUE"""),-8.0)</f>
        <v>-8</v>
      </c>
      <c r="E2466" s="1"/>
      <c r="F2466" s="1"/>
    </row>
    <row r="2467">
      <c r="A2467" s="1" t="str">
        <f>IFERROR(__xludf.DUMMYFUNCTION("""COMPUTED_VALUE"""),"dd78110e")</f>
        <v>dd78110e</v>
      </c>
      <c r="B2467" s="1" t="str">
        <f>IFERROR(__xludf.DUMMYFUNCTION("""COMPUTED_VALUE"""),"12b96290")</f>
        <v>12b96290</v>
      </c>
      <c r="C2467" s="32">
        <f>IFERROR(__xludf.DUMMYFUNCTION("""COMPUTED_VALUE"""),46142.11634259259)</f>
        <v>46142.11634</v>
      </c>
      <c r="D2467" s="1">
        <f>IFERROR(__xludf.DUMMYFUNCTION("""COMPUTED_VALUE"""),-12.0)</f>
        <v>-12</v>
      </c>
      <c r="E2467" s="1"/>
      <c r="F2467" s="1"/>
    </row>
    <row r="2468">
      <c r="A2468" s="1" t="str">
        <f>IFERROR(__xludf.DUMMYFUNCTION("""COMPUTED_VALUE"""),"0b6cb755")</f>
        <v>0b6cb755</v>
      </c>
      <c r="B2468" s="1" t="str">
        <f>IFERROR(__xludf.DUMMYFUNCTION("""COMPUTED_VALUE"""),"c22010ef")</f>
        <v>c22010ef</v>
      </c>
      <c r="C2468" s="32">
        <f>IFERROR(__xludf.DUMMYFUNCTION("""COMPUTED_VALUE"""),46142.116435185184)</f>
        <v>46142.11644</v>
      </c>
      <c r="D2468" s="1">
        <f>IFERROR(__xludf.DUMMYFUNCTION("""COMPUTED_VALUE"""),-5.0)</f>
        <v>-5</v>
      </c>
      <c r="E2468" s="1"/>
      <c r="F2468" s="1"/>
    </row>
    <row r="2469">
      <c r="A2469" s="1" t="str">
        <f>IFERROR(__xludf.DUMMYFUNCTION("""COMPUTED_VALUE"""),"63bab830")</f>
        <v>63bab830</v>
      </c>
      <c r="B2469" s="1" t="str">
        <f>IFERROR(__xludf.DUMMYFUNCTION("""COMPUTED_VALUE"""),"0033")</f>
        <v>0033</v>
      </c>
      <c r="C2469" s="32">
        <f>IFERROR(__xludf.DUMMYFUNCTION("""COMPUTED_VALUE"""),46142.116574074076)</f>
        <v>46142.11657</v>
      </c>
      <c r="D2469" s="1">
        <f>IFERROR(__xludf.DUMMYFUNCTION("""COMPUTED_VALUE"""),-4.0)</f>
        <v>-4</v>
      </c>
      <c r="E2469" s="1"/>
      <c r="F2469" s="1"/>
    </row>
    <row r="2470">
      <c r="A2470" s="1" t="str">
        <f>IFERROR(__xludf.DUMMYFUNCTION("""COMPUTED_VALUE"""),"84e4dd72")</f>
        <v>84e4dd72</v>
      </c>
      <c r="B2470" s="1" t="str">
        <f>IFERROR(__xludf.DUMMYFUNCTION("""COMPUTED_VALUE"""),"0027")</f>
        <v>0027</v>
      </c>
      <c r="C2470" s="32">
        <f>IFERROR(__xludf.DUMMYFUNCTION("""COMPUTED_VALUE"""),46142.11677083333)</f>
        <v>46142.11677</v>
      </c>
      <c r="D2470" s="1">
        <f>IFERROR(__xludf.DUMMYFUNCTION("""COMPUTED_VALUE"""),-30.0)</f>
        <v>-30</v>
      </c>
      <c r="E2470" s="1"/>
      <c r="F2470" s="1"/>
    </row>
    <row r="2471">
      <c r="A2471" s="1" t="str">
        <f>IFERROR(__xludf.DUMMYFUNCTION("""COMPUTED_VALUE"""),"d4f3737d")</f>
        <v>d4f3737d</v>
      </c>
      <c r="B2471" s="1" t="str">
        <f>IFERROR(__xludf.DUMMYFUNCTION("""COMPUTED_VALUE"""),"0024")</f>
        <v>0024</v>
      </c>
      <c r="C2471" s="32">
        <f>IFERROR(__xludf.DUMMYFUNCTION("""COMPUTED_VALUE"""),46142.116944444446)</f>
        <v>46142.11694</v>
      </c>
      <c r="D2471" s="1">
        <f>IFERROR(__xludf.DUMMYFUNCTION("""COMPUTED_VALUE"""),-15.0)</f>
        <v>-15</v>
      </c>
      <c r="E2471" s="1"/>
      <c r="F2471" s="1"/>
    </row>
    <row r="2472">
      <c r="A2472" s="1" t="str">
        <f>IFERROR(__xludf.DUMMYFUNCTION("""COMPUTED_VALUE"""),"190d8d11")</f>
        <v>190d8d11</v>
      </c>
      <c r="B2472" s="1" t="str">
        <f>IFERROR(__xludf.DUMMYFUNCTION("""COMPUTED_VALUE"""),"8ed00567")</f>
        <v>8ed00567</v>
      </c>
      <c r="C2472" s="32">
        <f>IFERROR(__xludf.DUMMYFUNCTION("""COMPUTED_VALUE"""),46142.117106481484)</f>
        <v>46142.11711</v>
      </c>
      <c r="D2472" s="1">
        <f>IFERROR(__xludf.DUMMYFUNCTION("""COMPUTED_VALUE"""),-14.0)</f>
        <v>-14</v>
      </c>
      <c r="E2472" s="1"/>
      <c r="F2472" s="1"/>
    </row>
    <row r="2473">
      <c r="A2473" s="1" t="str">
        <f>IFERROR(__xludf.DUMMYFUNCTION("""COMPUTED_VALUE"""),"3bde80ef")</f>
        <v>3bde80ef</v>
      </c>
      <c r="B2473" s="1" t="str">
        <f>IFERROR(__xludf.DUMMYFUNCTION("""COMPUTED_VALUE"""),"0029")</f>
        <v>0029</v>
      </c>
      <c r="C2473" s="32">
        <f>IFERROR(__xludf.DUMMYFUNCTION("""COMPUTED_VALUE"""),46142.11733796296)</f>
        <v>46142.11734</v>
      </c>
      <c r="D2473" s="1">
        <f>IFERROR(__xludf.DUMMYFUNCTION("""COMPUTED_VALUE"""),-3.0)</f>
        <v>-3</v>
      </c>
      <c r="E2473" s="1"/>
      <c r="F2473" s="1"/>
    </row>
    <row r="2474">
      <c r="A2474" s="1" t="str">
        <f>IFERROR(__xludf.DUMMYFUNCTION("""COMPUTED_VALUE"""),"b55b1e2b")</f>
        <v>b55b1e2b</v>
      </c>
      <c r="B2474" s="1" t="str">
        <f>IFERROR(__xludf.DUMMYFUNCTION("""COMPUTED_VALUE"""),"70bdbe11")</f>
        <v>70bdbe11</v>
      </c>
      <c r="C2474" s="32">
        <f>IFERROR(__xludf.DUMMYFUNCTION("""COMPUTED_VALUE"""),46142.11755787037)</f>
        <v>46142.11756</v>
      </c>
      <c r="D2474" s="1">
        <f>IFERROR(__xludf.DUMMYFUNCTION("""COMPUTED_VALUE"""),-12.0)</f>
        <v>-12</v>
      </c>
      <c r="E2474" s="1"/>
      <c r="F2474" s="1"/>
    </row>
    <row r="2475">
      <c r="A2475" s="1" t="str">
        <f>IFERROR(__xludf.DUMMYFUNCTION("""COMPUTED_VALUE"""),"1f6da7d7")</f>
        <v>1f6da7d7</v>
      </c>
      <c r="B2475" s="1" t="str">
        <f>IFERROR(__xludf.DUMMYFUNCTION("""COMPUTED_VALUE"""),"0032")</f>
        <v>0032</v>
      </c>
      <c r="C2475" s="32">
        <f>IFERROR(__xludf.DUMMYFUNCTION("""COMPUTED_VALUE"""),46142.1178125)</f>
        <v>46142.11781</v>
      </c>
      <c r="D2475" s="1">
        <f>IFERROR(__xludf.DUMMYFUNCTION("""COMPUTED_VALUE"""),-11.0)</f>
        <v>-11</v>
      </c>
      <c r="E2475" s="1"/>
      <c r="F2475" s="1"/>
    </row>
    <row r="2476">
      <c r="A2476" s="1" t="str">
        <f>IFERROR(__xludf.DUMMYFUNCTION("""COMPUTED_VALUE"""),"0cb66b85")</f>
        <v>0cb66b85</v>
      </c>
      <c r="B2476" s="1" t="str">
        <f>IFERROR(__xludf.DUMMYFUNCTION("""COMPUTED_VALUE"""),"0064")</f>
        <v>0064</v>
      </c>
      <c r="C2476" s="32">
        <f>IFERROR(__xludf.DUMMYFUNCTION("""COMPUTED_VALUE"""),46142.11791666667)</f>
        <v>46142.11792</v>
      </c>
      <c r="D2476" s="1">
        <f>IFERROR(__xludf.DUMMYFUNCTION("""COMPUTED_VALUE"""),-10.0)</f>
        <v>-10</v>
      </c>
      <c r="E2476" s="1"/>
      <c r="F2476" s="1"/>
    </row>
    <row r="2477">
      <c r="A2477" s="1" t="str">
        <f>IFERROR(__xludf.DUMMYFUNCTION("""COMPUTED_VALUE"""),"3f6c7fa4")</f>
        <v>3f6c7fa4</v>
      </c>
      <c r="B2477" s="1" t="str">
        <f>IFERROR(__xludf.DUMMYFUNCTION("""COMPUTED_VALUE"""),"0002")</f>
        <v>0002</v>
      </c>
      <c r="C2477" s="32">
        <f>IFERROR(__xludf.DUMMYFUNCTION("""COMPUTED_VALUE"""),46142.11818287037)</f>
        <v>46142.11818</v>
      </c>
      <c r="D2477" s="1">
        <f>IFERROR(__xludf.DUMMYFUNCTION("""COMPUTED_VALUE"""),-84.0)</f>
        <v>-84</v>
      </c>
      <c r="E2477" s="1"/>
      <c r="F2477" s="1"/>
    </row>
    <row r="2478">
      <c r="A2478" s="1" t="str">
        <f>IFERROR(__xludf.DUMMYFUNCTION("""COMPUTED_VALUE"""),"cae350c3")</f>
        <v>cae350c3</v>
      </c>
      <c r="B2478" s="1" t="str">
        <f>IFERROR(__xludf.DUMMYFUNCTION("""COMPUTED_VALUE"""),"0002")</f>
        <v>0002</v>
      </c>
      <c r="C2478" s="32">
        <f>IFERROR(__xludf.DUMMYFUNCTION("""COMPUTED_VALUE"""),46142.11850694445)</f>
        <v>46142.11851</v>
      </c>
      <c r="D2478" s="1">
        <f>IFERROR(__xludf.DUMMYFUNCTION("""COMPUTED_VALUE"""),-120.0)</f>
        <v>-120</v>
      </c>
      <c r="E2478" s="1"/>
      <c r="F2478" s="1"/>
    </row>
    <row r="2479">
      <c r="A2479" s="1" t="str">
        <f>IFERROR(__xludf.DUMMYFUNCTION("""COMPUTED_VALUE"""),"842875c9")</f>
        <v>842875c9</v>
      </c>
      <c r="B2479" s="1" t="str">
        <f>IFERROR(__xludf.DUMMYFUNCTION("""COMPUTED_VALUE"""),"0011")</f>
        <v>0011</v>
      </c>
      <c r="C2479" s="32">
        <f>IFERROR(__xludf.DUMMYFUNCTION("""COMPUTED_VALUE"""),46142.11875)</f>
        <v>46142.11875</v>
      </c>
      <c r="D2479" s="1">
        <f>IFERROR(__xludf.DUMMYFUNCTION("""COMPUTED_VALUE"""),-11.0)</f>
        <v>-11</v>
      </c>
      <c r="E2479" s="1"/>
      <c r="F2479" s="1"/>
    </row>
    <row r="2480">
      <c r="A2480" s="1" t="str">
        <f>IFERROR(__xludf.DUMMYFUNCTION("""COMPUTED_VALUE"""),"f9564d58")</f>
        <v>f9564d58</v>
      </c>
      <c r="B2480" s="1" t="str">
        <f>IFERROR(__xludf.DUMMYFUNCTION("""COMPUTED_VALUE"""),"0f694cb5")</f>
        <v>0f694cb5</v>
      </c>
      <c r="C2480" s="32">
        <f>IFERROR(__xludf.DUMMYFUNCTION("""COMPUTED_VALUE"""),46142.11887731482)</f>
        <v>46142.11888</v>
      </c>
      <c r="D2480" s="1">
        <f>IFERROR(__xludf.DUMMYFUNCTION("""COMPUTED_VALUE"""),-5.0)</f>
        <v>-5</v>
      </c>
      <c r="E2480" s="1"/>
      <c r="F2480" s="1"/>
    </row>
    <row r="2481">
      <c r="A2481" s="1" t="str">
        <f>IFERROR(__xludf.DUMMYFUNCTION("""COMPUTED_VALUE"""),"2eb59f1d")</f>
        <v>2eb59f1d</v>
      </c>
      <c r="B2481" s="1" t="str">
        <f>IFERROR(__xludf.DUMMYFUNCTION("""COMPUTED_VALUE"""),"1b6b5ed6")</f>
        <v>1b6b5ed6</v>
      </c>
      <c r="C2481" s="32">
        <f>IFERROR(__xludf.DUMMYFUNCTION("""COMPUTED_VALUE"""),46142.119618055556)</f>
        <v>46142.11962</v>
      </c>
      <c r="D2481" s="1">
        <f>IFERROR(__xludf.DUMMYFUNCTION("""COMPUTED_VALUE"""),-16.0)</f>
        <v>-16</v>
      </c>
      <c r="E2481" s="1"/>
      <c r="F2481" s="1"/>
    </row>
    <row r="2482">
      <c r="A2482" s="1" t="str">
        <f>IFERROR(__xludf.DUMMYFUNCTION("""COMPUTED_VALUE"""),"e324f19c")</f>
        <v>e324f19c</v>
      </c>
      <c r="B2482" s="1" t="str">
        <f>IFERROR(__xludf.DUMMYFUNCTION("""COMPUTED_VALUE"""),"d0f577e2")</f>
        <v>d0f577e2</v>
      </c>
      <c r="C2482" s="32">
        <f>IFERROR(__xludf.DUMMYFUNCTION("""COMPUTED_VALUE"""),46142.119722222225)</f>
        <v>46142.11972</v>
      </c>
      <c r="D2482" s="1">
        <f>IFERROR(__xludf.DUMMYFUNCTION("""COMPUTED_VALUE"""),-40.0)</f>
        <v>-40</v>
      </c>
      <c r="E2482" s="1"/>
      <c r="F2482" s="1"/>
    </row>
    <row r="2483">
      <c r="A2483" s="1" t="str">
        <f>IFERROR(__xludf.DUMMYFUNCTION("""COMPUTED_VALUE"""),"1221c939")</f>
        <v>1221c939</v>
      </c>
      <c r="B2483" s="1" t="str">
        <f>IFERROR(__xludf.DUMMYFUNCTION("""COMPUTED_VALUE"""),"0021")</f>
        <v>0021</v>
      </c>
      <c r="C2483" s="32">
        <f>IFERROR(__xludf.DUMMYFUNCTION("""COMPUTED_VALUE"""),46142.11986111111)</f>
        <v>46142.11986</v>
      </c>
      <c r="D2483" s="1">
        <f>IFERROR(__xludf.DUMMYFUNCTION("""COMPUTED_VALUE"""),-6.0)</f>
        <v>-6</v>
      </c>
      <c r="E2483" s="1"/>
      <c r="F2483" s="1"/>
    </row>
    <row r="2484">
      <c r="A2484" s="1" t="str">
        <f>IFERROR(__xludf.DUMMYFUNCTION("""COMPUTED_VALUE"""),"c6a80be6")</f>
        <v>c6a80be6</v>
      </c>
      <c r="B2484" s="1" t="str">
        <f>IFERROR(__xludf.DUMMYFUNCTION("""COMPUTED_VALUE"""),"0002")</f>
        <v>0002</v>
      </c>
      <c r="C2484" s="32">
        <f>IFERROR(__xludf.DUMMYFUNCTION("""COMPUTED_VALUE"""),46143.11792824074)</f>
        <v>46143.11793</v>
      </c>
      <c r="D2484" s="1">
        <f>IFERROR(__xludf.DUMMYFUNCTION("""COMPUTED_VALUE"""),-120.0)</f>
        <v>-120</v>
      </c>
      <c r="E2484" s="1"/>
      <c r="F2484" s="1"/>
    </row>
    <row r="2485">
      <c r="A2485" s="1" t="str">
        <f>IFERROR(__xludf.DUMMYFUNCTION("""COMPUTED_VALUE"""),"e9d021fb")</f>
        <v>e9d021fb</v>
      </c>
      <c r="B2485" s="1" t="str">
        <f>IFERROR(__xludf.DUMMYFUNCTION("""COMPUTED_VALUE"""),"0029")</f>
        <v>0029</v>
      </c>
      <c r="C2485" s="32">
        <f>IFERROR(__xludf.DUMMYFUNCTION("""COMPUTED_VALUE"""),46143.118159722224)</f>
        <v>46143.11816</v>
      </c>
      <c r="D2485" s="1">
        <f>IFERROR(__xludf.DUMMYFUNCTION("""COMPUTED_VALUE"""),-20.0)</f>
        <v>-20</v>
      </c>
      <c r="E2485" s="1"/>
      <c r="F2485" s="1"/>
    </row>
    <row r="2486">
      <c r="A2486" s="1" t="str">
        <f>IFERROR(__xludf.DUMMYFUNCTION("""COMPUTED_VALUE"""),"7cb55cf0")</f>
        <v>7cb55cf0</v>
      </c>
      <c r="B2486" s="1" t="str">
        <f>IFERROR(__xludf.DUMMYFUNCTION("""COMPUTED_VALUE"""),"70bdbe11")</f>
        <v>70bdbe11</v>
      </c>
      <c r="C2486" s="32">
        <f>IFERROR(__xludf.DUMMYFUNCTION("""COMPUTED_VALUE"""),46143.118414351855)</f>
        <v>46143.11841</v>
      </c>
      <c r="D2486" s="1">
        <f>IFERROR(__xludf.DUMMYFUNCTION("""COMPUTED_VALUE"""),-7.0)</f>
        <v>-7</v>
      </c>
      <c r="E2486" s="1"/>
      <c r="F2486" s="1"/>
    </row>
    <row r="2487">
      <c r="A2487" s="1" t="str">
        <f>IFERROR(__xludf.DUMMYFUNCTION("""COMPUTED_VALUE"""),"80ae5d4e")</f>
        <v>80ae5d4e</v>
      </c>
      <c r="B2487" s="1" t="str">
        <f>IFERROR(__xludf.DUMMYFUNCTION("""COMPUTED_VALUE"""),"0011")</f>
        <v>0011</v>
      </c>
      <c r="C2487" s="32">
        <f>IFERROR(__xludf.DUMMYFUNCTION("""COMPUTED_VALUE"""),46143.11865740741)</f>
        <v>46143.11866</v>
      </c>
      <c r="D2487" s="1">
        <f>IFERROR(__xludf.DUMMYFUNCTION("""COMPUTED_VALUE"""),-33.0)</f>
        <v>-33</v>
      </c>
      <c r="E2487" s="1"/>
      <c r="F2487" s="1"/>
    </row>
    <row r="2488">
      <c r="A2488" s="1" t="str">
        <f>IFERROR(__xludf.DUMMYFUNCTION("""COMPUTED_VALUE"""),"98c30f20")</f>
        <v>98c30f20</v>
      </c>
      <c r="B2488" s="1" t="str">
        <f>IFERROR(__xludf.DUMMYFUNCTION("""COMPUTED_VALUE"""),"0032")</f>
        <v>0032</v>
      </c>
      <c r="C2488" s="32">
        <f>IFERROR(__xludf.DUMMYFUNCTION("""COMPUTED_VALUE"""),46143.11888888889)</f>
        <v>46143.11889</v>
      </c>
      <c r="D2488" s="1">
        <f>IFERROR(__xludf.DUMMYFUNCTION("""COMPUTED_VALUE"""),-3.0)</f>
        <v>-3</v>
      </c>
      <c r="E2488" s="1"/>
      <c r="F2488" s="1"/>
    </row>
    <row r="2489">
      <c r="A2489" s="1" t="str">
        <f>IFERROR(__xludf.DUMMYFUNCTION("""COMPUTED_VALUE"""),"be9425fc")</f>
        <v>be9425fc</v>
      </c>
      <c r="B2489" s="1" t="str">
        <f>IFERROR(__xludf.DUMMYFUNCTION("""COMPUTED_VALUE"""),"8ed00567")</f>
        <v>8ed00567</v>
      </c>
      <c r="C2489" s="32">
        <f>IFERROR(__xludf.DUMMYFUNCTION("""COMPUTED_VALUE"""),46143.119097222225)</f>
        <v>46143.1191</v>
      </c>
      <c r="D2489" s="1">
        <f>IFERROR(__xludf.DUMMYFUNCTION("""COMPUTED_VALUE"""),-14.0)</f>
        <v>-14</v>
      </c>
      <c r="E2489" s="1"/>
      <c r="F2489" s="1"/>
    </row>
    <row r="2490">
      <c r="A2490" s="1" t="str">
        <f>IFERROR(__xludf.DUMMYFUNCTION("""COMPUTED_VALUE"""),"bfc99bfd")</f>
        <v>bfc99bfd</v>
      </c>
      <c r="B2490" s="1" t="str">
        <f>IFERROR(__xludf.DUMMYFUNCTION("""COMPUTED_VALUE"""),"83dd14b5")</f>
        <v>83dd14b5</v>
      </c>
      <c r="C2490" s="32">
        <f>IFERROR(__xludf.DUMMYFUNCTION("""COMPUTED_VALUE"""),46143.11934027778)</f>
        <v>46143.11934</v>
      </c>
      <c r="D2490" s="1">
        <f>IFERROR(__xludf.DUMMYFUNCTION("""COMPUTED_VALUE"""),-45.0)</f>
        <v>-45</v>
      </c>
      <c r="E2490" s="1"/>
      <c r="F2490" s="1"/>
    </row>
    <row r="2491">
      <c r="A2491" s="1" t="str">
        <f>IFERROR(__xludf.DUMMYFUNCTION("""COMPUTED_VALUE"""),"ca3b504b")</f>
        <v>ca3b504b</v>
      </c>
      <c r="B2491" s="1" t="str">
        <f>IFERROR(__xludf.DUMMYFUNCTION("""COMPUTED_VALUE"""),"0027")</f>
        <v>0027</v>
      </c>
      <c r="C2491" s="32">
        <f>IFERROR(__xludf.DUMMYFUNCTION("""COMPUTED_VALUE"""),46143.11954861111)</f>
        <v>46143.11955</v>
      </c>
      <c r="D2491" s="1">
        <f>IFERROR(__xludf.DUMMYFUNCTION("""COMPUTED_VALUE"""),-20.0)</f>
        <v>-20</v>
      </c>
      <c r="E2491" s="1"/>
      <c r="F2491" s="1"/>
    </row>
    <row r="2492">
      <c r="A2492" s="1" t="str">
        <f>IFERROR(__xludf.DUMMYFUNCTION("""COMPUTED_VALUE"""),"bd4958d2")</f>
        <v>bd4958d2</v>
      </c>
      <c r="B2492" s="1" t="str">
        <f>IFERROR(__xludf.DUMMYFUNCTION("""COMPUTED_VALUE"""),"02d86a9b")</f>
        <v>02d86a9b</v>
      </c>
      <c r="C2492" s="32">
        <f>IFERROR(__xludf.DUMMYFUNCTION("""COMPUTED_VALUE"""),46143.119780092595)</f>
        <v>46143.11978</v>
      </c>
      <c r="D2492" s="1">
        <f>IFERROR(__xludf.DUMMYFUNCTION("""COMPUTED_VALUE"""),-16.0)</f>
        <v>-16</v>
      </c>
      <c r="E2492" s="1"/>
      <c r="F2492" s="1"/>
    </row>
    <row r="2493">
      <c r="A2493" s="1" t="str">
        <f>IFERROR(__xludf.DUMMYFUNCTION("""COMPUTED_VALUE"""),"5a269b48")</f>
        <v>5a269b48</v>
      </c>
      <c r="B2493" s="1" t="str">
        <f>IFERROR(__xludf.DUMMYFUNCTION("""COMPUTED_VALUE"""),"b3204174")</f>
        <v>b3204174</v>
      </c>
      <c r="C2493" s="32">
        <f>IFERROR(__xludf.DUMMYFUNCTION("""COMPUTED_VALUE"""),46143.11988425926)</f>
        <v>46143.11988</v>
      </c>
      <c r="D2493" s="1">
        <f>IFERROR(__xludf.DUMMYFUNCTION("""COMPUTED_VALUE"""),-14.0)</f>
        <v>-14</v>
      </c>
      <c r="E2493" s="1"/>
      <c r="F2493" s="1"/>
    </row>
    <row r="2494">
      <c r="A2494" s="1" t="str">
        <f>IFERROR(__xludf.DUMMYFUNCTION("""COMPUTED_VALUE"""),"06f0032c")</f>
        <v>06f0032c</v>
      </c>
      <c r="B2494" s="1" t="str">
        <f>IFERROR(__xludf.DUMMYFUNCTION("""COMPUTED_VALUE"""),"0001")</f>
        <v>0001</v>
      </c>
      <c r="C2494" s="32">
        <f>IFERROR(__xludf.DUMMYFUNCTION("""COMPUTED_VALUE"""),46143.12012731482)</f>
        <v>46143.12013</v>
      </c>
      <c r="D2494" s="1">
        <f>IFERROR(__xludf.DUMMYFUNCTION("""COMPUTED_VALUE"""),-43.0)</f>
        <v>-43</v>
      </c>
      <c r="E2494" s="1"/>
      <c r="F2494" s="1"/>
    </row>
    <row r="2495">
      <c r="A2495" s="1" t="str">
        <f>IFERROR(__xludf.DUMMYFUNCTION("""COMPUTED_VALUE"""),"8698b8c5")</f>
        <v>8698b8c5</v>
      </c>
      <c r="B2495" s="1" t="str">
        <f>IFERROR(__xludf.DUMMYFUNCTION("""COMPUTED_VALUE"""),"c099f042")</f>
        <v>c099f042</v>
      </c>
      <c r="C2495" s="32">
        <f>IFERROR(__xludf.DUMMYFUNCTION("""COMPUTED_VALUE"""),46143.12065972222)</f>
        <v>46143.12066</v>
      </c>
      <c r="D2495" s="1">
        <f>IFERROR(__xludf.DUMMYFUNCTION("""COMPUTED_VALUE"""),-7.0)</f>
        <v>-7</v>
      </c>
      <c r="E2495" s="1"/>
      <c r="F2495" s="1"/>
    </row>
    <row r="2496">
      <c r="A2496" s="1" t="str">
        <f>IFERROR(__xludf.DUMMYFUNCTION("""COMPUTED_VALUE"""),"2ed41d29")</f>
        <v>2ed41d29</v>
      </c>
      <c r="B2496" s="1" t="str">
        <f>IFERROR(__xludf.DUMMYFUNCTION("""COMPUTED_VALUE"""),"bb4d1bd1")</f>
        <v>bb4d1bd1</v>
      </c>
      <c r="C2496" s="32">
        <f>IFERROR(__xludf.DUMMYFUNCTION("""COMPUTED_VALUE"""),46143.12086805556)</f>
        <v>46143.12087</v>
      </c>
      <c r="D2496" s="1">
        <f>IFERROR(__xludf.DUMMYFUNCTION("""COMPUTED_VALUE"""),-10.0)</f>
        <v>-10</v>
      </c>
      <c r="E2496" s="1"/>
      <c r="F2496" s="1"/>
    </row>
    <row r="2497">
      <c r="A2497" s="1" t="str">
        <f>IFERROR(__xludf.DUMMYFUNCTION("""COMPUTED_VALUE"""),"59bc8025")</f>
        <v>59bc8025</v>
      </c>
      <c r="B2497" s="1" t="str">
        <f>IFERROR(__xludf.DUMMYFUNCTION("""COMPUTED_VALUE"""),"0029")</f>
        <v>0029</v>
      </c>
      <c r="C2497" s="32">
        <f>IFERROR(__xludf.DUMMYFUNCTION("""COMPUTED_VALUE"""),46144.647048611114)</f>
        <v>46144.64705</v>
      </c>
      <c r="D2497" s="1">
        <f>IFERROR(__xludf.DUMMYFUNCTION("""COMPUTED_VALUE"""),120.0)</f>
        <v>120</v>
      </c>
      <c r="E2497" s="1" t="str">
        <f>IFERROR(__xludf.DUMMYFUNCTION("""COMPUTED_VALUE"""),"c3c8d6b8")</f>
        <v>c3c8d6b8</v>
      </c>
      <c r="F2497" s="1"/>
    </row>
    <row r="2498">
      <c r="A2498" s="1" t="str">
        <f>IFERROR(__xludf.DUMMYFUNCTION("""COMPUTED_VALUE"""),"fa9bb016")</f>
        <v>fa9bb016</v>
      </c>
      <c r="B2498" s="1" t="str">
        <f>IFERROR(__xludf.DUMMYFUNCTION("""COMPUTED_VALUE"""),"0011")</f>
        <v>0011</v>
      </c>
      <c r="C2498" s="32">
        <f>IFERROR(__xludf.DUMMYFUNCTION("""COMPUTED_VALUE"""),46144.64717592593)</f>
        <v>46144.64718</v>
      </c>
      <c r="D2498" s="1">
        <f>IFERROR(__xludf.DUMMYFUNCTION("""COMPUTED_VALUE"""),120.0)</f>
        <v>120</v>
      </c>
      <c r="E2498" s="1" t="str">
        <f>IFERROR(__xludf.DUMMYFUNCTION("""COMPUTED_VALUE"""),"c3c8d6b8")</f>
        <v>c3c8d6b8</v>
      </c>
      <c r="F2498" s="1"/>
    </row>
    <row r="2499">
      <c r="A2499" s="1" t="str">
        <f>IFERROR(__xludf.DUMMYFUNCTION("""COMPUTED_VALUE"""),"fa193ac5")</f>
        <v>fa193ac5</v>
      </c>
      <c r="B2499" s="1" t="str">
        <f>IFERROR(__xludf.DUMMYFUNCTION("""COMPUTED_VALUE"""),"70bdbe11")</f>
        <v>70bdbe11</v>
      </c>
      <c r="C2499" s="32">
        <f>IFERROR(__xludf.DUMMYFUNCTION("""COMPUTED_VALUE"""),46144.64734953704)</f>
        <v>46144.64735</v>
      </c>
      <c r="D2499" s="1">
        <f>IFERROR(__xludf.DUMMYFUNCTION("""COMPUTED_VALUE"""),120.0)</f>
        <v>120</v>
      </c>
      <c r="E2499" s="1" t="str">
        <f>IFERROR(__xludf.DUMMYFUNCTION("""COMPUTED_VALUE"""),"c3c8d6b8")</f>
        <v>c3c8d6b8</v>
      </c>
      <c r="F2499" s="1"/>
    </row>
    <row r="2500">
      <c r="A2500" s="1" t="str">
        <f>IFERROR(__xludf.DUMMYFUNCTION("""COMPUTED_VALUE"""),"32d88d07")</f>
        <v>32d88d07</v>
      </c>
      <c r="B2500" s="1" t="str">
        <f>IFERROR(__xludf.DUMMYFUNCTION("""COMPUTED_VALUE"""),"0027")</f>
        <v>0027</v>
      </c>
      <c r="C2500" s="32">
        <f>IFERROR(__xludf.DUMMYFUNCTION("""COMPUTED_VALUE"""),46144.647569444445)</f>
        <v>46144.64757</v>
      </c>
      <c r="D2500" s="1">
        <f>IFERROR(__xludf.DUMMYFUNCTION("""COMPUTED_VALUE"""),25.0)</f>
        <v>25</v>
      </c>
      <c r="E2500" s="1" t="str">
        <f>IFERROR(__xludf.DUMMYFUNCTION("""COMPUTED_VALUE"""),"c3c8d6b8")</f>
        <v>c3c8d6b8</v>
      </c>
      <c r="F2500" s="1"/>
    </row>
    <row r="2501">
      <c r="A2501" s="1" t="str">
        <f>IFERROR(__xludf.DUMMYFUNCTION("""COMPUTED_VALUE"""),"a898fde1")</f>
        <v>a898fde1</v>
      </c>
      <c r="B2501" s="1" t="str">
        <f>IFERROR(__xludf.DUMMYFUNCTION("""COMPUTED_VALUE"""),"0f694cb5")</f>
        <v>0f694cb5</v>
      </c>
      <c r="C2501" s="32">
        <f>IFERROR(__xludf.DUMMYFUNCTION("""COMPUTED_VALUE"""),46144.647824074076)</f>
        <v>46144.64782</v>
      </c>
      <c r="D2501" s="1">
        <f>IFERROR(__xludf.DUMMYFUNCTION("""COMPUTED_VALUE"""),12.0)</f>
        <v>12</v>
      </c>
      <c r="E2501" s="1" t="str">
        <f>IFERROR(__xludf.DUMMYFUNCTION("""COMPUTED_VALUE"""),"c3c8d6b8")</f>
        <v>c3c8d6b8</v>
      </c>
      <c r="F2501" s="1"/>
    </row>
    <row r="2502">
      <c r="A2502" s="1" t="str">
        <f>IFERROR(__xludf.DUMMYFUNCTION("""COMPUTED_VALUE"""),"f1d50de9")</f>
        <v>f1d50de9</v>
      </c>
      <c r="B2502" s="1" t="str">
        <f>IFERROR(__xludf.DUMMYFUNCTION("""COMPUTED_VALUE"""),"83dd14b5")</f>
        <v>83dd14b5</v>
      </c>
      <c r="C2502" s="32">
        <f>IFERROR(__xludf.DUMMYFUNCTION("""COMPUTED_VALUE"""),46144.64796296296)</f>
        <v>46144.64796</v>
      </c>
      <c r="D2502" s="1">
        <f>IFERROR(__xludf.DUMMYFUNCTION("""COMPUTED_VALUE"""),96.0)</f>
        <v>96</v>
      </c>
      <c r="E2502" s="1" t="str">
        <f>IFERROR(__xludf.DUMMYFUNCTION("""COMPUTED_VALUE"""),"c3c8d6b8")</f>
        <v>c3c8d6b8</v>
      </c>
      <c r="F2502" s="1"/>
    </row>
    <row r="2503">
      <c r="A2503" s="1" t="str">
        <f>IFERROR(__xludf.DUMMYFUNCTION("""COMPUTED_VALUE"""),"13359498")</f>
        <v>13359498</v>
      </c>
      <c r="B2503" s="1" t="str">
        <f>IFERROR(__xludf.DUMMYFUNCTION("""COMPUTED_VALUE"""),"8ed00567")</f>
        <v>8ed00567</v>
      </c>
      <c r="C2503" s="32">
        <f>IFERROR(__xludf.DUMMYFUNCTION("""COMPUTED_VALUE"""),46144.64807870371)</f>
        <v>46144.64808</v>
      </c>
      <c r="D2503" s="1">
        <f>IFERROR(__xludf.DUMMYFUNCTION("""COMPUTED_VALUE"""),0.0)</f>
        <v>0</v>
      </c>
      <c r="E2503" s="1" t="str">
        <f>IFERROR(__xludf.DUMMYFUNCTION("""COMPUTED_VALUE"""),"c3c8d6b8")</f>
        <v>c3c8d6b8</v>
      </c>
      <c r="F2503" s="1"/>
    </row>
    <row r="2504">
      <c r="A2504" s="1" t="str">
        <f>IFERROR(__xludf.DUMMYFUNCTION("""COMPUTED_VALUE"""),"66a93954")</f>
        <v>66a93954</v>
      </c>
      <c r="B2504" s="1" t="str">
        <f>IFERROR(__xludf.DUMMYFUNCTION("""COMPUTED_VALUE"""),"8ed00567")</f>
        <v>8ed00567</v>
      </c>
      <c r="C2504" s="32">
        <f>IFERROR(__xludf.DUMMYFUNCTION("""COMPUTED_VALUE"""),46144.648356481484)</f>
        <v>46144.64836</v>
      </c>
      <c r="D2504" s="1">
        <f>IFERROR(__xludf.DUMMYFUNCTION("""COMPUTED_VALUE"""),144.0)</f>
        <v>144</v>
      </c>
      <c r="E2504" s="1" t="str">
        <f>IFERROR(__xludf.DUMMYFUNCTION("""COMPUTED_VALUE"""),"13a4ee3b")</f>
        <v>13a4ee3b</v>
      </c>
      <c r="F2504" s="1"/>
    </row>
    <row r="2505">
      <c r="A2505" s="1" t="str">
        <f>IFERROR(__xludf.DUMMYFUNCTION("""COMPUTED_VALUE"""),"d8baa212")</f>
        <v>d8baa212</v>
      </c>
      <c r="B2505" s="1" t="str">
        <f>IFERROR(__xludf.DUMMYFUNCTION("""COMPUTED_VALUE"""),"0001")</f>
        <v>0001</v>
      </c>
      <c r="C2505" s="32">
        <f>IFERROR(__xludf.DUMMYFUNCTION("""COMPUTED_VALUE"""),46145.735243055555)</f>
        <v>46145.73524</v>
      </c>
      <c r="D2505" s="1">
        <f>IFERROR(__xludf.DUMMYFUNCTION("""COMPUTED_VALUE"""),-64.0)</f>
        <v>-64</v>
      </c>
      <c r="E2505" s="1"/>
      <c r="F2505" s="1"/>
    </row>
    <row r="2506">
      <c r="A2506" s="1" t="str">
        <f>IFERROR(__xludf.DUMMYFUNCTION("""COMPUTED_VALUE"""),"01b356f8")</f>
        <v>01b356f8</v>
      </c>
      <c r="B2506" s="1" t="str">
        <f>IFERROR(__xludf.DUMMYFUNCTION("""COMPUTED_VALUE"""),"8ed00567")</f>
        <v>8ed00567</v>
      </c>
      <c r="C2506" s="32">
        <f>IFERROR(__xludf.DUMMYFUNCTION("""COMPUTED_VALUE"""),46145.735601851855)</f>
        <v>46145.7356</v>
      </c>
      <c r="D2506" s="1">
        <f>IFERROR(__xludf.DUMMYFUNCTION("""COMPUTED_VALUE"""),-63.0)</f>
        <v>-63</v>
      </c>
      <c r="E2506" s="1"/>
      <c r="F2506" s="1"/>
    </row>
    <row r="2507">
      <c r="A2507" s="1" t="str">
        <f>IFERROR(__xludf.DUMMYFUNCTION("""COMPUTED_VALUE"""),"9efb036c")</f>
        <v>9efb036c</v>
      </c>
      <c r="B2507" s="1" t="str">
        <f>IFERROR(__xludf.DUMMYFUNCTION("""COMPUTED_VALUE"""),"12b96290")</f>
        <v>12b96290</v>
      </c>
      <c r="C2507" s="32">
        <f>IFERROR(__xludf.DUMMYFUNCTION("""COMPUTED_VALUE"""),46145.73574074074)</f>
        <v>46145.73574</v>
      </c>
      <c r="D2507" s="1">
        <f>IFERROR(__xludf.DUMMYFUNCTION("""COMPUTED_VALUE"""),-62.0)</f>
        <v>-62</v>
      </c>
      <c r="E2507" s="1"/>
      <c r="F2507" s="1"/>
    </row>
    <row r="2508">
      <c r="A2508" s="1" t="str">
        <f>IFERROR(__xludf.DUMMYFUNCTION("""COMPUTED_VALUE"""),"dbc0d4e1")</f>
        <v>dbc0d4e1</v>
      </c>
      <c r="B2508" s="1" t="str">
        <f>IFERROR(__xludf.DUMMYFUNCTION("""COMPUTED_VALUE"""),"0011")</f>
        <v>0011</v>
      </c>
      <c r="C2508" s="32">
        <f>IFERROR(__xludf.DUMMYFUNCTION("""COMPUTED_VALUE"""),46145.73594907407)</f>
        <v>46145.73595</v>
      </c>
      <c r="D2508" s="1">
        <f>IFERROR(__xludf.DUMMYFUNCTION("""COMPUTED_VALUE"""),-49.0)</f>
        <v>-49</v>
      </c>
      <c r="E2508" s="1"/>
      <c r="F2508" s="1"/>
    </row>
    <row r="2509">
      <c r="A2509" s="1" t="str">
        <f>IFERROR(__xludf.DUMMYFUNCTION("""COMPUTED_VALUE"""),"a9795581")</f>
        <v>a9795581</v>
      </c>
      <c r="B2509" s="1" t="str">
        <f>IFERROR(__xludf.DUMMYFUNCTION("""COMPUTED_VALUE"""),"0029")</f>
        <v>0029</v>
      </c>
      <c r="C2509" s="32">
        <f>IFERROR(__xludf.DUMMYFUNCTION("""COMPUTED_VALUE"""),46145.73616898148)</f>
        <v>46145.73617</v>
      </c>
      <c r="D2509" s="1">
        <f>IFERROR(__xludf.DUMMYFUNCTION("""COMPUTED_VALUE"""),-40.0)</f>
        <v>-40</v>
      </c>
      <c r="E2509" s="1"/>
      <c r="F2509" s="1"/>
    </row>
    <row r="2510">
      <c r="A2510" s="1" t="str">
        <f>IFERROR(__xludf.DUMMYFUNCTION("""COMPUTED_VALUE"""),"ef11fc8f")</f>
        <v>ef11fc8f</v>
      </c>
      <c r="B2510" s="1" t="str">
        <f>IFERROR(__xludf.DUMMYFUNCTION("""COMPUTED_VALUE"""),"a19879cf")</f>
        <v>a19879cf</v>
      </c>
      <c r="C2510" s="32">
        <f>IFERROR(__xludf.DUMMYFUNCTION("""COMPUTED_VALUE"""),46145.736296296294)</f>
        <v>46145.7363</v>
      </c>
      <c r="D2510" s="1">
        <f>IFERROR(__xludf.DUMMYFUNCTION("""COMPUTED_VALUE"""),-36.0)</f>
        <v>-36</v>
      </c>
      <c r="E2510" s="1"/>
      <c r="F2510" s="1"/>
    </row>
    <row r="2511">
      <c r="A2511" s="1" t="str">
        <f>IFERROR(__xludf.DUMMYFUNCTION("""COMPUTED_VALUE"""),"26d380ac")</f>
        <v>26d380ac</v>
      </c>
      <c r="B2511" s="1" t="str">
        <f>IFERROR(__xludf.DUMMYFUNCTION("""COMPUTED_VALUE"""),"0027")</f>
        <v>0027</v>
      </c>
      <c r="C2511" s="32">
        <f>IFERROR(__xludf.DUMMYFUNCTION("""COMPUTED_VALUE"""),46145.73642361111)</f>
        <v>46145.73642</v>
      </c>
      <c r="D2511" s="1">
        <f>IFERROR(__xludf.DUMMYFUNCTION("""COMPUTED_VALUE"""),-36.0)</f>
        <v>-36</v>
      </c>
      <c r="E2511" s="1"/>
      <c r="F2511" s="1"/>
    </row>
    <row r="2512">
      <c r="A2512" s="1" t="str">
        <f>IFERROR(__xludf.DUMMYFUNCTION("""COMPUTED_VALUE"""),"6c95a264")</f>
        <v>6c95a264</v>
      </c>
      <c r="B2512" s="1" t="str">
        <f>IFERROR(__xludf.DUMMYFUNCTION("""COMPUTED_VALUE"""),"70bdbe11")</f>
        <v>70bdbe11</v>
      </c>
      <c r="C2512" s="32">
        <f>IFERROR(__xludf.DUMMYFUNCTION("""COMPUTED_VALUE"""),46145.736597222225)</f>
        <v>46145.7366</v>
      </c>
      <c r="D2512" s="1">
        <f>IFERROR(__xludf.DUMMYFUNCTION("""COMPUTED_VALUE"""),-33.0)</f>
        <v>-33</v>
      </c>
      <c r="E2512" s="1"/>
      <c r="F2512" s="1"/>
    </row>
    <row r="2513">
      <c r="A2513" s="1" t="str">
        <f>IFERROR(__xludf.DUMMYFUNCTION("""COMPUTED_VALUE"""),"a63a8762")</f>
        <v>a63a8762</v>
      </c>
      <c r="B2513" s="1" t="str">
        <f>IFERROR(__xludf.DUMMYFUNCTION("""COMPUTED_VALUE"""),"c099f042")</f>
        <v>c099f042</v>
      </c>
      <c r="C2513" s="32">
        <f>IFERROR(__xludf.DUMMYFUNCTION("""COMPUTED_VALUE"""),46145.73673611111)</f>
        <v>46145.73674</v>
      </c>
      <c r="D2513" s="1">
        <f>IFERROR(__xludf.DUMMYFUNCTION("""COMPUTED_VALUE"""),-29.0)</f>
        <v>-29</v>
      </c>
      <c r="E2513" s="1"/>
      <c r="F2513" s="1"/>
    </row>
    <row r="2514">
      <c r="A2514" s="1" t="str">
        <f>IFERROR(__xludf.DUMMYFUNCTION("""COMPUTED_VALUE"""),"ab23e521")</f>
        <v>ab23e521</v>
      </c>
      <c r="B2514" s="1" t="str">
        <f>IFERROR(__xludf.DUMMYFUNCTION("""COMPUTED_VALUE"""),"0002")</f>
        <v>0002</v>
      </c>
      <c r="C2514" s="32">
        <f>IFERROR(__xludf.DUMMYFUNCTION("""COMPUTED_VALUE"""),46145.73704861111)</f>
        <v>46145.73705</v>
      </c>
      <c r="D2514" s="1">
        <f>IFERROR(__xludf.DUMMYFUNCTION("""COMPUTED_VALUE"""),-312.0)</f>
        <v>-312</v>
      </c>
      <c r="E2514" s="1"/>
      <c r="F2514" s="1"/>
    </row>
    <row r="2515">
      <c r="A2515" s="1" t="str">
        <f>IFERROR(__xludf.DUMMYFUNCTION("""COMPUTED_VALUE"""),"e90eeef7")</f>
        <v>e90eeef7</v>
      </c>
      <c r="B2515" s="1" t="str">
        <f>IFERROR(__xludf.DUMMYFUNCTION("""COMPUTED_VALUE"""),"02d86a9b")</f>
        <v>02d86a9b</v>
      </c>
      <c r="C2515" s="32">
        <f>IFERROR(__xludf.DUMMYFUNCTION("""COMPUTED_VALUE"""),46145.73719907407)</f>
        <v>46145.7372</v>
      </c>
      <c r="D2515" s="1">
        <f>IFERROR(__xludf.DUMMYFUNCTION("""COMPUTED_VALUE"""),-25.0)</f>
        <v>-25</v>
      </c>
      <c r="E2515" s="1"/>
      <c r="F2515" s="1"/>
    </row>
    <row r="2516">
      <c r="A2516" s="1" t="str">
        <f>IFERROR(__xludf.DUMMYFUNCTION("""COMPUTED_VALUE"""),"23d1709e")</f>
        <v>23d1709e</v>
      </c>
      <c r="B2516" s="1" t="str">
        <f>IFERROR(__xludf.DUMMYFUNCTION("""COMPUTED_VALUE"""),"0086")</f>
        <v>0086</v>
      </c>
      <c r="C2516" s="32">
        <f>IFERROR(__xludf.DUMMYFUNCTION("""COMPUTED_VALUE"""),46145.73732638889)</f>
        <v>46145.73733</v>
      </c>
      <c r="D2516" s="1">
        <f>IFERROR(__xludf.DUMMYFUNCTION("""COMPUTED_VALUE"""),-24.0)</f>
        <v>-24</v>
      </c>
      <c r="E2516" s="1"/>
      <c r="F2516" s="1"/>
    </row>
    <row r="2517">
      <c r="A2517" s="1" t="str">
        <f>IFERROR(__xludf.DUMMYFUNCTION("""COMPUTED_VALUE"""),"6928c244")</f>
        <v>6928c244</v>
      </c>
      <c r="B2517" s="1" t="str">
        <f>IFERROR(__xludf.DUMMYFUNCTION("""COMPUTED_VALUE"""),"0032")</f>
        <v>0032</v>
      </c>
      <c r="C2517" s="32">
        <f>IFERROR(__xludf.DUMMYFUNCTION("""COMPUTED_VALUE"""),46145.73747685185)</f>
        <v>46145.73748</v>
      </c>
      <c r="D2517" s="1">
        <f>IFERROR(__xludf.DUMMYFUNCTION("""COMPUTED_VALUE"""),-23.0)</f>
        <v>-23</v>
      </c>
      <c r="E2517" s="1"/>
      <c r="F2517" s="1"/>
    </row>
    <row r="2518">
      <c r="A2518" s="1" t="str">
        <f>IFERROR(__xludf.DUMMYFUNCTION("""COMPUTED_VALUE"""),"418e3dba")</f>
        <v>418e3dba</v>
      </c>
      <c r="B2518" s="1" t="str">
        <f>IFERROR(__xludf.DUMMYFUNCTION("""COMPUTED_VALUE"""),"c22010ef")</f>
        <v>c22010ef</v>
      </c>
      <c r="C2518" s="32">
        <f>IFERROR(__xludf.DUMMYFUNCTION("""COMPUTED_VALUE"""),46145.73763888889)</f>
        <v>46145.73764</v>
      </c>
      <c r="D2518" s="1">
        <f>IFERROR(__xludf.DUMMYFUNCTION("""COMPUTED_VALUE"""),-22.0)</f>
        <v>-22</v>
      </c>
      <c r="E2518" s="1"/>
      <c r="F2518" s="1"/>
    </row>
    <row r="2519">
      <c r="A2519" s="1" t="str">
        <f>IFERROR(__xludf.DUMMYFUNCTION("""COMPUTED_VALUE"""),"bd949f45")</f>
        <v>bd949f45</v>
      </c>
      <c r="B2519" s="1" t="str">
        <f>IFERROR(__xludf.DUMMYFUNCTION("""COMPUTED_VALUE"""),"83dd14b5")</f>
        <v>83dd14b5</v>
      </c>
      <c r="C2519" s="32">
        <f>IFERROR(__xludf.DUMMYFUNCTION("""COMPUTED_VALUE"""),46145.73787037037)</f>
        <v>46145.73787</v>
      </c>
      <c r="D2519" s="1">
        <f>IFERROR(__xludf.DUMMYFUNCTION("""COMPUTED_VALUE"""),-21.0)</f>
        <v>-21</v>
      </c>
      <c r="E2519" s="1"/>
      <c r="F2519" s="1"/>
    </row>
    <row r="2520">
      <c r="A2520" s="1" t="str">
        <f>IFERROR(__xludf.DUMMYFUNCTION("""COMPUTED_VALUE"""),"a5028f13")</f>
        <v>a5028f13</v>
      </c>
      <c r="B2520" s="1" t="str">
        <f>IFERROR(__xludf.DUMMYFUNCTION("""COMPUTED_VALUE"""),"0033")</f>
        <v>0033</v>
      </c>
      <c r="C2520" s="32">
        <f>IFERROR(__xludf.DUMMYFUNCTION("""COMPUTED_VALUE"""),46145.738032407404)</f>
        <v>46145.73803</v>
      </c>
      <c r="D2520" s="1">
        <f>IFERROR(__xludf.DUMMYFUNCTION("""COMPUTED_VALUE"""),-20.0)</f>
        <v>-20</v>
      </c>
      <c r="E2520" s="1"/>
      <c r="F2520" s="1"/>
    </row>
    <row r="2521">
      <c r="A2521" s="1" t="str">
        <f>IFERROR(__xludf.DUMMYFUNCTION("""COMPUTED_VALUE"""),"5034383d")</f>
        <v>5034383d</v>
      </c>
      <c r="B2521" s="1" t="str">
        <f>IFERROR(__xludf.DUMMYFUNCTION("""COMPUTED_VALUE"""),"83dd14b5")</f>
        <v>83dd14b5</v>
      </c>
      <c r="C2521" s="32">
        <f>IFERROR(__xludf.DUMMYFUNCTION("""COMPUTED_VALUE"""),46145.73826388889)</f>
        <v>46145.73826</v>
      </c>
      <c r="D2521" s="1">
        <f>IFERROR(__xludf.DUMMYFUNCTION("""COMPUTED_VALUE"""),-19.0)</f>
        <v>-19</v>
      </c>
      <c r="E2521" s="1"/>
      <c r="F2521" s="1"/>
    </row>
    <row r="2522">
      <c r="A2522" s="1" t="str">
        <f>IFERROR(__xludf.DUMMYFUNCTION("""COMPUTED_VALUE"""),"85ee4418")</f>
        <v>85ee4418</v>
      </c>
      <c r="B2522" s="1" t="str">
        <f>IFERROR(__xludf.DUMMYFUNCTION("""COMPUTED_VALUE"""),"0064")</f>
        <v>0064</v>
      </c>
      <c r="C2522" s="32">
        <f>IFERROR(__xludf.DUMMYFUNCTION("""COMPUTED_VALUE"""),46145.73841435185)</f>
        <v>46145.73841</v>
      </c>
      <c r="D2522" s="1">
        <f>IFERROR(__xludf.DUMMYFUNCTION("""COMPUTED_VALUE"""),-18.0)</f>
        <v>-18</v>
      </c>
      <c r="E2522" s="1"/>
      <c r="F2522" s="1"/>
    </row>
    <row r="2523">
      <c r="A2523" s="1" t="str">
        <f>IFERROR(__xludf.DUMMYFUNCTION("""COMPUTED_VALUE"""),"a9be9b44")</f>
        <v>a9be9b44</v>
      </c>
      <c r="B2523" s="1" t="str">
        <f>IFERROR(__xludf.DUMMYFUNCTION("""COMPUTED_VALUE"""),"0014")</f>
        <v>0014</v>
      </c>
      <c r="C2523" s="32">
        <f>IFERROR(__xludf.DUMMYFUNCTION("""COMPUTED_VALUE"""),46145.738541666666)</f>
        <v>46145.73854</v>
      </c>
      <c r="D2523" s="1">
        <f>IFERROR(__xludf.DUMMYFUNCTION("""COMPUTED_VALUE"""),-30.0)</f>
        <v>-30</v>
      </c>
      <c r="E2523" s="1"/>
      <c r="F2523" s="1"/>
    </row>
    <row r="2524">
      <c r="A2524" s="1" t="str">
        <f>IFERROR(__xludf.DUMMYFUNCTION("""COMPUTED_VALUE"""),"0cc76c05")</f>
        <v>0cc76c05</v>
      </c>
      <c r="B2524" s="1" t="str">
        <f>IFERROR(__xludf.DUMMYFUNCTION("""COMPUTED_VALUE"""),"0f694cb5")</f>
        <v>0f694cb5</v>
      </c>
      <c r="C2524" s="32">
        <f>IFERROR(__xludf.DUMMYFUNCTION("""COMPUTED_VALUE"""),46145.73871527778)</f>
        <v>46145.73872</v>
      </c>
      <c r="D2524" s="1">
        <f>IFERROR(__xludf.DUMMYFUNCTION("""COMPUTED_VALUE"""),-15.0)</f>
        <v>-15</v>
      </c>
      <c r="E2524" s="1"/>
      <c r="F2524" s="1"/>
    </row>
    <row r="2525">
      <c r="A2525" s="1" t="str">
        <f>IFERROR(__xludf.DUMMYFUNCTION("""COMPUTED_VALUE"""),"84f7d805")</f>
        <v>84f7d805</v>
      </c>
      <c r="B2525" s="1" t="str">
        <f>IFERROR(__xludf.DUMMYFUNCTION("""COMPUTED_VALUE"""),"0019")</f>
        <v>0019</v>
      </c>
      <c r="C2525" s="32">
        <f>IFERROR(__xludf.DUMMYFUNCTION("""COMPUTED_VALUE"""),46145.73903935185)</f>
        <v>46145.73904</v>
      </c>
      <c r="D2525" s="1">
        <f>IFERROR(__xludf.DUMMYFUNCTION("""COMPUTED_VALUE"""),-10.0)</f>
        <v>-10</v>
      </c>
      <c r="E2525" s="1"/>
      <c r="F2525" s="1"/>
    </row>
    <row r="2526">
      <c r="A2526" s="1" t="str">
        <f>IFERROR(__xludf.DUMMYFUNCTION("""COMPUTED_VALUE"""),"9577b210")</f>
        <v>9577b210</v>
      </c>
      <c r="B2526" s="1" t="str">
        <f>IFERROR(__xludf.DUMMYFUNCTION("""COMPUTED_VALUE"""),"bb4d1bd1")</f>
        <v>bb4d1bd1</v>
      </c>
      <c r="C2526" s="32">
        <f>IFERROR(__xludf.DUMMYFUNCTION("""COMPUTED_VALUE"""),46145.73918981481)</f>
        <v>46145.73919</v>
      </c>
      <c r="D2526" s="1">
        <f>IFERROR(__xludf.DUMMYFUNCTION("""COMPUTED_VALUE"""),-10.0)</f>
        <v>-10</v>
      </c>
      <c r="E2526" s="1"/>
      <c r="F2526" s="1"/>
    </row>
    <row r="2527">
      <c r="A2527" s="1" t="str">
        <f>IFERROR(__xludf.DUMMYFUNCTION("""COMPUTED_VALUE"""),"c99694a5")</f>
        <v>c99694a5</v>
      </c>
      <c r="B2527" s="1" t="str">
        <f>IFERROR(__xludf.DUMMYFUNCTION("""COMPUTED_VALUE"""),"0024")</f>
        <v>0024</v>
      </c>
      <c r="C2527" s="32">
        <f>IFERROR(__xludf.DUMMYFUNCTION("""COMPUTED_VALUE"""),46145.73930555556)</f>
        <v>46145.73931</v>
      </c>
      <c r="D2527" s="1">
        <f>IFERROR(__xludf.DUMMYFUNCTION("""COMPUTED_VALUE"""),-10.0)</f>
        <v>-10</v>
      </c>
      <c r="E2527" s="1"/>
      <c r="F2527" s="1"/>
    </row>
    <row r="2528">
      <c r="A2528" s="1" t="str">
        <f>IFERROR(__xludf.DUMMYFUNCTION("""COMPUTED_VALUE"""),"bc08f51c")</f>
        <v>bc08f51c</v>
      </c>
      <c r="B2528" s="1" t="str">
        <f>IFERROR(__xludf.DUMMYFUNCTION("""COMPUTED_VALUE"""),"0014")</f>
        <v>0014</v>
      </c>
      <c r="C2528" s="32">
        <f>IFERROR(__xludf.DUMMYFUNCTION("""COMPUTED_VALUE"""),46146.59280092592)</f>
        <v>46146.5928</v>
      </c>
      <c r="D2528" s="1">
        <f>IFERROR(__xludf.DUMMYFUNCTION("""COMPUTED_VALUE"""),60.0)</f>
        <v>60</v>
      </c>
      <c r="E2528" s="1" t="str">
        <f>IFERROR(__xludf.DUMMYFUNCTION("""COMPUTED_VALUE"""),"1e8be36f")</f>
        <v>1e8be36f</v>
      </c>
      <c r="F2528" s="1"/>
    </row>
    <row r="2529">
      <c r="A2529" s="1" t="str">
        <f>IFERROR(__xludf.DUMMYFUNCTION("""COMPUTED_VALUE"""),"a4662629")</f>
        <v>a4662629</v>
      </c>
      <c r="B2529" s="1" t="str">
        <f>IFERROR(__xludf.DUMMYFUNCTION("""COMPUTED_VALUE"""),"0027")</f>
        <v>0027</v>
      </c>
      <c r="C2529" s="32">
        <f>IFERROR(__xludf.DUMMYFUNCTION("""COMPUTED_VALUE"""),46146.59289351852)</f>
        <v>46146.59289</v>
      </c>
      <c r="D2529" s="1">
        <f>IFERROR(__xludf.DUMMYFUNCTION("""COMPUTED_VALUE"""),50.0)</f>
        <v>50</v>
      </c>
      <c r="E2529" s="1" t="str">
        <f>IFERROR(__xludf.DUMMYFUNCTION("""COMPUTED_VALUE"""),"1e8be36f")</f>
        <v>1e8be36f</v>
      </c>
      <c r="F2529" s="1"/>
    </row>
    <row r="2530">
      <c r="A2530" s="1" t="str">
        <f>IFERROR(__xludf.DUMMYFUNCTION("""COMPUTED_VALUE"""),"d2839a80")</f>
        <v>d2839a80</v>
      </c>
      <c r="B2530" s="1" t="str">
        <f>IFERROR(__xludf.DUMMYFUNCTION("""COMPUTED_VALUE"""),"0024")</f>
        <v>0024</v>
      </c>
      <c r="C2530" s="32">
        <f>IFERROR(__xludf.DUMMYFUNCTION("""COMPUTED_VALUE"""),46146.592986111114)</f>
        <v>46146.59299</v>
      </c>
      <c r="D2530" s="1">
        <f>IFERROR(__xludf.DUMMYFUNCTION("""COMPUTED_VALUE"""),20.0)</f>
        <v>20</v>
      </c>
      <c r="E2530" s="1" t="str">
        <f>IFERROR(__xludf.DUMMYFUNCTION("""COMPUTED_VALUE"""),"1e8be36f")</f>
        <v>1e8be36f</v>
      </c>
      <c r="F2530" s="1"/>
    </row>
    <row r="2531">
      <c r="A2531" s="1" t="str">
        <f>IFERROR(__xludf.DUMMYFUNCTION("""COMPUTED_VALUE"""),"465f4000")</f>
        <v>465f4000</v>
      </c>
      <c r="B2531" s="1" t="str">
        <f>IFERROR(__xludf.DUMMYFUNCTION("""COMPUTED_VALUE"""),"0032")</f>
        <v>0032</v>
      </c>
      <c r="C2531" s="32">
        <f>IFERROR(__xludf.DUMMYFUNCTION("""COMPUTED_VALUE"""),46146.59307870371)</f>
        <v>46146.59308</v>
      </c>
      <c r="D2531" s="1">
        <f>IFERROR(__xludf.DUMMYFUNCTION("""COMPUTED_VALUE"""),81.0)</f>
        <v>81</v>
      </c>
      <c r="E2531" s="1" t="str">
        <f>IFERROR(__xludf.DUMMYFUNCTION("""COMPUTED_VALUE"""),"1e8be36f")</f>
        <v>1e8be36f</v>
      </c>
      <c r="F2531" s="1"/>
    </row>
    <row r="2532">
      <c r="A2532" s="1" t="str">
        <f>IFERROR(__xludf.DUMMYFUNCTION("""COMPUTED_VALUE"""),"91a9f463")</f>
        <v>91a9f463</v>
      </c>
      <c r="B2532" s="1" t="str">
        <f>IFERROR(__xludf.DUMMYFUNCTION("""COMPUTED_VALUE"""),"0086")</f>
        <v>0086</v>
      </c>
      <c r="C2532" s="32">
        <f>IFERROR(__xludf.DUMMYFUNCTION("""COMPUTED_VALUE"""),46146.59337962963)</f>
        <v>46146.59338</v>
      </c>
      <c r="D2532" s="1">
        <f>IFERROR(__xludf.DUMMYFUNCTION("""COMPUTED_VALUE"""),20.0)</f>
        <v>20</v>
      </c>
      <c r="E2532" s="1" t="str">
        <f>IFERROR(__xludf.DUMMYFUNCTION("""COMPUTED_VALUE"""),"79a6a3cc")</f>
        <v>79a6a3cc</v>
      </c>
      <c r="F2532" s="1"/>
    </row>
    <row r="2533">
      <c r="A2533" s="1" t="str">
        <f>IFERROR(__xludf.DUMMYFUNCTION("""COMPUTED_VALUE"""),"d3876a12")</f>
        <v>d3876a12</v>
      </c>
      <c r="B2533" s="1" t="str">
        <f>IFERROR(__xludf.DUMMYFUNCTION("""COMPUTED_VALUE"""),"f2959682")</f>
        <v>f2959682</v>
      </c>
      <c r="C2533" s="32">
        <f>IFERROR(__xludf.DUMMYFUNCTION("""COMPUTED_VALUE"""),46146.59385416667)</f>
        <v>46146.59385</v>
      </c>
      <c r="D2533" s="1">
        <f>IFERROR(__xludf.DUMMYFUNCTION("""COMPUTED_VALUE"""),0.0)</f>
        <v>0</v>
      </c>
      <c r="E2533" s="1" t="str">
        <f>IFERROR(__xludf.DUMMYFUNCTION("""COMPUTED_VALUE"""),"93a3ee83")</f>
        <v>93a3ee83</v>
      </c>
      <c r="F2533" s="1"/>
    </row>
    <row r="2534">
      <c r="A2534" s="1" t="str">
        <f>IFERROR(__xludf.DUMMYFUNCTION("""COMPUTED_VALUE"""),"e1ad29ba")</f>
        <v>e1ad29ba</v>
      </c>
      <c r="B2534" s="1" t="str">
        <f>IFERROR(__xludf.DUMMYFUNCTION("""COMPUTED_VALUE"""),"bb6c2490")</f>
        <v>bb6c2490</v>
      </c>
      <c r="C2534" s="32">
        <f>IFERROR(__xludf.DUMMYFUNCTION("""COMPUTED_VALUE"""),46146.594409722224)</f>
        <v>46146.59441</v>
      </c>
      <c r="D2534" s="1">
        <f>IFERROR(__xludf.DUMMYFUNCTION("""COMPUTED_VALUE"""),72.0)</f>
        <v>72</v>
      </c>
      <c r="E2534" s="1" t="str">
        <f>IFERROR(__xludf.DUMMYFUNCTION("""COMPUTED_VALUE"""),"f4cc1692")</f>
        <v>f4cc1692</v>
      </c>
      <c r="F2534" s="1"/>
    </row>
    <row r="2535">
      <c r="A2535" s="1" t="str">
        <f>IFERROR(__xludf.DUMMYFUNCTION("""COMPUTED_VALUE"""),"a2b524d0")</f>
        <v>a2b524d0</v>
      </c>
      <c r="B2535" s="1" t="str">
        <f>IFERROR(__xludf.DUMMYFUNCTION("""COMPUTED_VALUE"""),"0001")</f>
        <v>0001</v>
      </c>
      <c r="C2535" s="32">
        <f>IFERROR(__xludf.DUMMYFUNCTION("""COMPUTED_VALUE"""),46146.59447916667)</f>
        <v>46146.59448</v>
      </c>
      <c r="D2535" s="1">
        <f>IFERROR(__xludf.DUMMYFUNCTION("""COMPUTED_VALUE"""),30.0)</f>
        <v>30</v>
      </c>
      <c r="E2535" s="1" t="str">
        <f>IFERROR(__xludf.DUMMYFUNCTION("""COMPUTED_VALUE"""),"f4cc1692")</f>
        <v>f4cc1692</v>
      </c>
      <c r="F2535" s="1"/>
    </row>
    <row r="2536">
      <c r="A2536" s="1" t="str">
        <f>IFERROR(__xludf.DUMMYFUNCTION("""COMPUTED_VALUE"""),"83af220f")</f>
        <v>83af220f</v>
      </c>
      <c r="B2536" s="1" t="str">
        <f>IFERROR(__xludf.DUMMYFUNCTION("""COMPUTED_VALUE"""),"0033")</f>
        <v>0033</v>
      </c>
      <c r="C2536" s="32">
        <f>IFERROR(__xludf.DUMMYFUNCTION("""COMPUTED_VALUE"""),46146.59546296296)</f>
        <v>46146.59546</v>
      </c>
      <c r="D2536" s="1">
        <f>IFERROR(__xludf.DUMMYFUNCTION("""COMPUTED_VALUE"""),24.0)</f>
        <v>24</v>
      </c>
      <c r="E2536" s="1" t="str">
        <f>IFERROR(__xludf.DUMMYFUNCTION("""COMPUTED_VALUE"""),"363e9bf3")</f>
        <v>363e9bf3</v>
      </c>
      <c r="F2536" s="1"/>
    </row>
    <row r="2537">
      <c r="A2537" s="1" t="str">
        <f>IFERROR(__xludf.DUMMYFUNCTION("""COMPUTED_VALUE"""),"e3e4e15a")</f>
        <v>e3e4e15a</v>
      </c>
      <c r="B2537" s="1" t="str">
        <f>IFERROR(__xludf.DUMMYFUNCTION("""COMPUTED_VALUE"""),"0049")</f>
        <v>0049</v>
      </c>
      <c r="C2537" s="32">
        <f>IFERROR(__xludf.DUMMYFUNCTION("""COMPUTED_VALUE"""),46146.59599537037)</f>
        <v>46146.596</v>
      </c>
      <c r="D2537" s="1">
        <f>IFERROR(__xludf.DUMMYFUNCTION("""COMPUTED_VALUE"""),24.0)</f>
        <v>24</v>
      </c>
      <c r="E2537" s="1" t="str">
        <f>IFERROR(__xludf.DUMMYFUNCTION("""COMPUTED_VALUE"""),"363e9bf3")</f>
        <v>363e9bf3</v>
      </c>
      <c r="F2537" s="1"/>
    </row>
    <row r="2538">
      <c r="A2538" s="1" t="str">
        <f>IFERROR(__xludf.DUMMYFUNCTION("""COMPUTED_VALUE"""),"1501395b")</f>
        <v>1501395b</v>
      </c>
      <c r="B2538" s="1" t="str">
        <f>IFERROR(__xludf.DUMMYFUNCTION("""COMPUTED_VALUE"""),"02d86a9b")</f>
        <v>02d86a9b</v>
      </c>
      <c r="C2538" s="32">
        <f>IFERROR(__xludf.DUMMYFUNCTION("""COMPUTED_VALUE"""),46146.596342592595)</f>
        <v>46146.59634</v>
      </c>
      <c r="D2538" s="1">
        <f>IFERROR(__xludf.DUMMYFUNCTION("""COMPUTED_VALUE"""),96.0)</f>
        <v>96</v>
      </c>
      <c r="E2538" s="1" t="str">
        <f>IFERROR(__xludf.DUMMYFUNCTION("""COMPUTED_VALUE"""),"363e9bf3")</f>
        <v>363e9bf3</v>
      </c>
      <c r="F2538" s="1"/>
    </row>
    <row r="2539">
      <c r="A2539" s="1" t="str">
        <f>IFERROR(__xludf.DUMMYFUNCTION("""COMPUTED_VALUE"""),"7346757a")</f>
        <v>7346757a</v>
      </c>
      <c r="B2539" s="1" t="str">
        <f>IFERROR(__xludf.DUMMYFUNCTION("""COMPUTED_VALUE"""),"bb4d1bd1")</f>
        <v>bb4d1bd1</v>
      </c>
      <c r="C2539" s="32">
        <f>IFERROR(__xludf.DUMMYFUNCTION("""COMPUTED_VALUE"""),46146.59644675926)</f>
        <v>46146.59645</v>
      </c>
      <c r="D2539" s="1">
        <f>IFERROR(__xludf.DUMMYFUNCTION("""COMPUTED_VALUE"""),96.0)</f>
        <v>96</v>
      </c>
      <c r="E2539" s="1" t="str">
        <f>IFERROR(__xludf.DUMMYFUNCTION("""COMPUTED_VALUE"""),"363e9bf3")</f>
        <v>363e9bf3</v>
      </c>
      <c r="F2539" s="1"/>
    </row>
    <row r="2540">
      <c r="A2540" s="1" t="str">
        <f>IFERROR(__xludf.DUMMYFUNCTION("""COMPUTED_VALUE"""),"df37368f")</f>
        <v>df37368f</v>
      </c>
      <c r="B2540" s="1" t="str">
        <f>IFERROR(__xludf.DUMMYFUNCTION("""COMPUTED_VALUE"""),"a19879cf")</f>
        <v>a19879cf</v>
      </c>
      <c r="C2540" s="32">
        <f>IFERROR(__xludf.DUMMYFUNCTION("""COMPUTED_VALUE"""),46146.5965162037)</f>
        <v>46146.59652</v>
      </c>
      <c r="D2540" s="1">
        <f>IFERROR(__xludf.DUMMYFUNCTION("""COMPUTED_VALUE"""),24.0)</f>
        <v>24</v>
      </c>
      <c r="E2540" s="1" t="str">
        <f>IFERROR(__xludf.DUMMYFUNCTION("""COMPUTED_VALUE"""),"363e9bf3")</f>
        <v>363e9bf3</v>
      </c>
      <c r="F2540" s="1"/>
    </row>
    <row r="2541">
      <c r="A2541" s="1" t="str">
        <f>IFERROR(__xludf.DUMMYFUNCTION("""COMPUTED_VALUE"""),"4e7d3c36")</f>
        <v>4e7d3c36</v>
      </c>
      <c r="B2541" s="1" t="str">
        <f>IFERROR(__xludf.DUMMYFUNCTION("""COMPUTED_VALUE"""),"bb6c2490")</f>
        <v>bb6c2490</v>
      </c>
      <c r="C2541" s="32">
        <f>IFERROR(__xludf.DUMMYFUNCTION("""COMPUTED_VALUE"""),46147.72119212963)</f>
        <v>46147.72119</v>
      </c>
      <c r="D2541" s="1">
        <f>IFERROR(__xludf.DUMMYFUNCTION("""COMPUTED_VALUE"""),-72.0)</f>
        <v>-72</v>
      </c>
      <c r="E2541" s="1"/>
      <c r="F2541" s="1"/>
    </row>
    <row r="2542">
      <c r="A2542" s="1" t="str">
        <f>IFERROR(__xludf.DUMMYFUNCTION("""COMPUTED_VALUE"""),"d3ca9033")</f>
        <v>d3ca9033</v>
      </c>
      <c r="B2542" s="1" t="str">
        <f>IFERROR(__xludf.DUMMYFUNCTION("""COMPUTED_VALUE"""),"0001")</f>
        <v>0001</v>
      </c>
      <c r="C2542" s="32">
        <f>IFERROR(__xludf.DUMMYFUNCTION("""COMPUTED_VALUE"""),46147.72130787037)</f>
        <v>46147.72131</v>
      </c>
      <c r="D2542" s="1">
        <f>IFERROR(__xludf.DUMMYFUNCTION("""COMPUTED_VALUE"""),-32.0)</f>
        <v>-32</v>
      </c>
      <c r="E2542" s="1"/>
      <c r="F2542" s="1"/>
    </row>
    <row r="2543">
      <c r="A2543" s="1" t="str">
        <f>IFERROR(__xludf.DUMMYFUNCTION("""COMPUTED_VALUE"""),"d1e473b3")</f>
        <v>d1e473b3</v>
      </c>
      <c r="B2543" s="1" t="str">
        <f>IFERROR(__xludf.DUMMYFUNCTION("""COMPUTED_VALUE"""),"c22010ef")</f>
        <v>c22010ef</v>
      </c>
      <c r="C2543" s="32">
        <f>IFERROR(__xludf.DUMMYFUNCTION("""COMPUTED_VALUE"""),46147.72143518519)</f>
        <v>46147.72144</v>
      </c>
      <c r="D2543" s="1">
        <f>IFERROR(__xludf.DUMMYFUNCTION("""COMPUTED_VALUE"""),-7.0)</f>
        <v>-7</v>
      </c>
      <c r="E2543" s="1"/>
      <c r="F2543" s="1"/>
    </row>
    <row r="2544">
      <c r="A2544" s="1" t="str">
        <f>IFERROR(__xludf.DUMMYFUNCTION("""COMPUTED_VALUE"""),"53270ec3")</f>
        <v>53270ec3</v>
      </c>
      <c r="B2544" s="1" t="str">
        <f>IFERROR(__xludf.DUMMYFUNCTION("""COMPUTED_VALUE"""),"d5b5f9d1")</f>
        <v>d5b5f9d1</v>
      </c>
      <c r="C2544" s="32">
        <f>IFERROR(__xludf.DUMMYFUNCTION("""COMPUTED_VALUE"""),46147.72163194444)</f>
        <v>46147.72163</v>
      </c>
      <c r="D2544" s="1">
        <f>IFERROR(__xludf.DUMMYFUNCTION("""COMPUTED_VALUE"""),-14.0)</f>
        <v>-14</v>
      </c>
      <c r="E2544" s="1"/>
      <c r="F2544" s="1"/>
    </row>
    <row r="2545">
      <c r="A2545" s="1" t="str">
        <f>IFERROR(__xludf.DUMMYFUNCTION("""COMPUTED_VALUE"""),"98e1fdc2")</f>
        <v>98e1fdc2</v>
      </c>
      <c r="B2545" s="1" t="str">
        <f>IFERROR(__xludf.DUMMYFUNCTION("""COMPUTED_VALUE"""),"12b96290")</f>
        <v>12b96290</v>
      </c>
      <c r="C2545" s="32">
        <f>IFERROR(__xludf.DUMMYFUNCTION("""COMPUTED_VALUE"""),46147.72175925926)</f>
        <v>46147.72176</v>
      </c>
      <c r="D2545" s="1">
        <f>IFERROR(__xludf.DUMMYFUNCTION("""COMPUTED_VALUE"""),-22.0)</f>
        <v>-22</v>
      </c>
      <c r="E2545" s="1"/>
      <c r="F2545" s="1"/>
    </row>
    <row r="2546">
      <c r="A2546" s="1" t="str">
        <f>IFERROR(__xludf.DUMMYFUNCTION("""COMPUTED_VALUE"""),"2190913e")</f>
        <v>2190913e</v>
      </c>
      <c r="B2546" s="1" t="str">
        <f>IFERROR(__xludf.DUMMYFUNCTION("""COMPUTED_VALUE"""),"c099f042")</f>
        <v>c099f042</v>
      </c>
      <c r="C2546" s="32">
        <f>IFERROR(__xludf.DUMMYFUNCTION("""COMPUTED_VALUE"""),46147.72195601852)</f>
        <v>46147.72196</v>
      </c>
      <c r="D2546" s="1">
        <f>IFERROR(__xludf.DUMMYFUNCTION("""COMPUTED_VALUE"""),-9.0)</f>
        <v>-9</v>
      </c>
      <c r="E2546" s="1"/>
      <c r="F2546" s="1"/>
    </row>
    <row r="2547">
      <c r="A2547" s="1" t="str">
        <f>IFERROR(__xludf.DUMMYFUNCTION("""COMPUTED_VALUE"""),"9a38ef6c")</f>
        <v>9a38ef6c</v>
      </c>
      <c r="B2547" s="1" t="str">
        <f>IFERROR(__xludf.DUMMYFUNCTION("""COMPUTED_VALUE"""),"0033")</f>
        <v>0033</v>
      </c>
      <c r="C2547" s="32">
        <f>IFERROR(__xludf.DUMMYFUNCTION("""COMPUTED_VALUE"""),46147.72211805556)</f>
        <v>46147.72212</v>
      </c>
      <c r="D2547" s="1">
        <f>IFERROR(__xludf.DUMMYFUNCTION("""COMPUTED_VALUE"""),-15.0)</f>
        <v>-15</v>
      </c>
      <c r="E2547" s="1"/>
      <c r="F2547" s="1"/>
    </row>
    <row r="2548">
      <c r="A2548" s="1" t="str">
        <f>IFERROR(__xludf.DUMMYFUNCTION("""COMPUTED_VALUE"""),"9b971643")</f>
        <v>9b971643</v>
      </c>
      <c r="B2548" s="1" t="str">
        <f>IFERROR(__xludf.DUMMYFUNCTION("""COMPUTED_VALUE"""),"8ed00567")</f>
        <v>8ed00567</v>
      </c>
      <c r="C2548" s="32">
        <f>IFERROR(__xludf.DUMMYFUNCTION("""COMPUTED_VALUE"""),46147.722291666665)</f>
        <v>46147.72229</v>
      </c>
      <c r="D2548" s="1">
        <f>IFERROR(__xludf.DUMMYFUNCTION("""COMPUTED_VALUE"""),-44.0)</f>
        <v>-44</v>
      </c>
      <c r="E2548" s="1"/>
      <c r="F2548" s="1"/>
    </row>
    <row r="2549">
      <c r="A2549" s="1" t="str">
        <f>IFERROR(__xludf.DUMMYFUNCTION("""COMPUTED_VALUE"""),"486d14a2")</f>
        <v>486d14a2</v>
      </c>
      <c r="B2549" s="1" t="str">
        <f>IFERROR(__xludf.DUMMYFUNCTION("""COMPUTED_VALUE"""),"02d86a9b")</f>
        <v>02d86a9b</v>
      </c>
      <c r="C2549" s="32">
        <f>IFERROR(__xludf.DUMMYFUNCTION("""COMPUTED_VALUE"""),46147.72243055556)</f>
        <v>46147.72243</v>
      </c>
      <c r="D2549" s="1">
        <f>IFERROR(__xludf.DUMMYFUNCTION("""COMPUTED_VALUE"""),-50.0)</f>
        <v>-50</v>
      </c>
      <c r="E2549" s="1"/>
      <c r="F2549" s="1"/>
    </row>
    <row r="2550">
      <c r="A2550" s="1" t="str">
        <f>IFERROR(__xludf.DUMMYFUNCTION("""COMPUTED_VALUE"""),"d7957f06")</f>
        <v>d7957f06</v>
      </c>
      <c r="B2550" s="1" t="str">
        <f>IFERROR(__xludf.DUMMYFUNCTION("""COMPUTED_VALUE"""),"bb4d1bd1")</f>
        <v>bb4d1bd1</v>
      </c>
      <c r="C2550" s="32">
        <f>IFERROR(__xludf.DUMMYFUNCTION("""COMPUTED_VALUE"""),46147.72258101852)</f>
        <v>46147.72258</v>
      </c>
      <c r="D2550" s="1">
        <f>IFERROR(__xludf.DUMMYFUNCTION("""COMPUTED_VALUE"""),-55.0)</f>
        <v>-55</v>
      </c>
      <c r="E2550" s="1"/>
      <c r="F2550" s="1"/>
    </row>
    <row r="2551">
      <c r="A2551" s="1" t="str">
        <f>IFERROR(__xludf.DUMMYFUNCTION("""COMPUTED_VALUE"""),"56230282")</f>
        <v>56230282</v>
      </c>
      <c r="B2551" s="1" t="str">
        <f>IFERROR(__xludf.DUMMYFUNCTION("""COMPUTED_VALUE"""),"a19879cf")</f>
        <v>a19879cf</v>
      </c>
      <c r="C2551" s="32">
        <f>IFERROR(__xludf.DUMMYFUNCTION("""COMPUTED_VALUE"""),46147.722719907404)</f>
        <v>46147.72272</v>
      </c>
      <c r="D2551" s="1">
        <f>IFERROR(__xludf.DUMMYFUNCTION("""COMPUTED_VALUE"""),-23.0)</f>
        <v>-23</v>
      </c>
      <c r="E2551" s="1"/>
      <c r="F2551" s="1"/>
    </row>
    <row r="2552">
      <c r="A2552" s="1" t="str">
        <f>IFERROR(__xludf.DUMMYFUNCTION("""COMPUTED_VALUE"""),"06087bf2")</f>
        <v>06087bf2</v>
      </c>
      <c r="B2552" s="1" t="str">
        <f>IFERROR(__xludf.DUMMYFUNCTION("""COMPUTED_VALUE"""),"0014")</f>
        <v>0014</v>
      </c>
      <c r="C2552" s="32">
        <f>IFERROR(__xludf.DUMMYFUNCTION("""COMPUTED_VALUE"""),46147.72288194444)</f>
        <v>46147.72288</v>
      </c>
      <c r="D2552" s="1">
        <f>IFERROR(__xludf.DUMMYFUNCTION("""COMPUTED_VALUE"""),-18.0)</f>
        <v>-18</v>
      </c>
      <c r="E2552" s="1"/>
      <c r="F2552" s="1"/>
    </row>
    <row r="2553">
      <c r="A2553" s="1" t="str">
        <f>IFERROR(__xludf.DUMMYFUNCTION("""COMPUTED_VALUE"""),"49484e5f")</f>
        <v>49484e5f</v>
      </c>
      <c r="B2553" s="1" t="str">
        <f>IFERROR(__xludf.DUMMYFUNCTION("""COMPUTED_VALUE"""),"0021")</f>
        <v>0021</v>
      </c>
      <c r="C2553" s="32">
        <f>IFERROR(__xludf.DUMMYFUNCTION("""COMPUTED_VALUE"""),46147.72306712963)</f>
        <v>46147.72307</v>
      </c>
      <c r="D2553" s="1">
        <f>IFERROR(__xludf.DUMMYFUNCTION("""COMPUTED_VALUE"""),-36.0)</f>
        <v>-36</v>
      </c>
      <c r="E2553" s="1"/>
      <c r="F2553" s="1"/>
    </row>
    <row r="2554">
      <c r="A2554" s="1" t="str">
        <f>IFERROR(__xludf.DUMMYFUNCTION("""COMPUTED_VALUE"""),"f8c552ba")</f>
        <v>f8c552ba</v>
      </c>
      <c r="B2554" s="1" t="str">
        <f>IFERROR(__xludf.DUMMYFUNCTION("""COMPUTED_VALUE"""),"0019")</f>
        <v>0019</v>
      </c>
      <c r="C2554" s="32">
        <f>IFERROR(__xludf.DUMMYFUNCTION("""COMPUTED_VALUE"""),46147.7231712963)</f>
        <v>46147.72317</v>
      </c>
      <c r="D2554" s="1">
        <f>IFERROR(__xludf.DUMMYFUNCTION("""COMPUTED_VALUE"""),-11.0)</f>
        <v>-11</v>
      </c>
      <c r="E2554" s="1"/>
      <c r="F2554" s="1"/>
    </row>
    <row r="2555">
      <c r="A2555" s="1" t="str">
        <f>IFERROR(__xludf.DUMMYFUNCTION("""COMPUTED_VALUE"""),"bb688616")</f>
        <v>bb688616</v>
      </c>
      <c r="B2555" s="1" t="str">
        <f>IFERROR(__xludf.DUMMYFUNCTION("""COMPUTED_VALUE"""),"0027")</f>
        <v>0027</v>
      </c>
      <c r="C2555" s="32">
        <f>IFERROR(__xludf.DUMMYFUNCTION("""COMPUTED_VALUE"""),46147.723333333335)</f>
        <v>46147.72333</v>
      </c>
      <c r="D2555" s="1">
        <f>IFERROR(__xludf.DUMMYFUNCTION("""COMPUTED_VALUE"""),-10.0)</f>
        <v>-10</v>
      </c>
      <c r="E2555" s="1"/>
      <c r="F2555" s="1"/>
    </row>
    <row r="2556">
      <c r="A2556" s="1" t="str">
        <f>IFERROR(__xludf.DUMMYFUNCTION("""COMPUTED_VALUE"""),"3850cfee")</f>
        <v>3850cfee</v>
      </c>
      <c r="B2556" s="1" t="str">
        <f>IFERROR(__xludf.DUMMYFUNCTION("""COMPUTED_VALUE"""),"0049")</f>
        <v>0049</v>
      </c>
      <c r="C2556" s="32">
        <f>IFERROR(__xludf.DUMMYFUNCTION("""COMPUTED_VALUE"""),46147.7234837963)</f>
        <v>46147.72348</v>
      </c>
      <c r="D2556" s="1">
        <f>IFERROR(__xludf.DUMMYFUNCTION("""COMPUTED_VALUE"""),-13.0)</f>
        <v>-13</v>
      </c>
      <c r="E2556" s="1"/>
      <c r="F2556" s="1"/>
    </row>
    <row r="2557">
      <c r="A2557" s="1" t="str">
        <f>IFERROR(__xludf.DUMMYFUNCTION("""COMPUTED_VALUE"""),"499c4237")</f>
        <v>499c4237</v>
      </c>
      <c r="B2557" s="1" t="str">
        <f>IFERROR(__xludf.DUMMYFUNCTION("""COMPUTED_VALUE"""),"0002")</f>
        <v>0002</v>
      </c>
      <c r="C2557" s="32">
        <f>IFERROR(__xludf.DUMMYFUNCTION("""COMPUTED_VALUE"""),46147.723912037036)</f>
        <v>46147.72391</v>
      </c>
      <c r="D2557" s="1">
        <f>IFERROR(__xludf.DUMMYFUNCTION("""COMPUTED_VALUE"""),-276.0)</f>
        <v>-276</v>
      </c>
      <c r="E2557" s="1"/>
      <c r="F2557" s="1"/>
    </row>
    <row r="2558">
      <c r="A2558" s="1" t="str">
        <f>IFERROR(__xludf.DUMMYFUNCTION("""COMPUTED_VALUE"""),"8bc0f706")</f>
        <v>8bc0f706</v>
      </c>
      <c r="B2558" s="1" t="str">
        <f>IFERROR(__xludf.DUMMYFUNCTION("""COMPUTED_VALUE"""),"0029")</f>
        <v>0029</v>
      </c>
      <c r="C2558" s="32">
        <f>IFERROR(__xludf.DUMMYFUNCTION("""COMPUTED_VALUE"""),46147.7240625)</f>
        <v>46147.72406</v>
      </c>
      <c r="D2558" s="1">
        <f>IFERROR(__xludf.DUMMYFUNCTION("""COMPUTED_VALUE"""),-42.0)</f>
        <v>-42</v>
      </c>
      <c r="E2558" s="1"/>
      <c r="F2558" s="1"/>
    </row>
    <row r="2559">
      <c r="A2559" s="1" t="str">
        <f>IFERROR(__xludf.DUMMYFUNCTION("""COMPUTED_VALUE"""),"20473a4c")</f>
        <v>20473a4c</v>
      </c>
      <c r="B2559" s="1" t="str">
        <f>IFERROR(__xludf.DUMMYFUNCTION("""COMPUTED_VALUE"""),"70bdbe11")</f>
        <v>70bdbe11</v>
      </c>
      <c r="C2559" s="32">
        <f>IFERROR(__xludf.DUMMYFUNCTION("""COMPUTED_VALUE"""),46147.724178240744)</f>
        <v>46147.72418</v>
      </c>
      <c r="D2559" s="1">
        <f>IFERROR(__xludf.DUMMYFUNCTION("""COMPUTED_VALUE"""),-31.0)</f>
        <v>-31</v>
      </c>
      <c r="E2559" s="1"/>
      <c r="F2559" s="1"/>
    </row>
    <row r="2560">
      <c r="A2560" s="1" t="str">
        <f>IFERROR(__xludf.DUMMYFUNCTION("""COMPUTED_VALUE"""),"ceb07b5b")</f>
        <v>ceb07b5b</v>
      </c>
      <c r="B2560" s="1" t="str">
        <f>IFERROR(__xludf.DUMMYFUNCTION("""COMPUTED_VALUE"""),"0011")</f>
        <v>0011</v>
      </c>
      <c r="C2560" s="32">
        <f>IFERROR(__xludf.DUMMYFUNCTION("""COMPUTED_VALUE"""),46147.724282407406)</f>
        <v>46147.72428</v>
      </c>
      <c r="D2560" s="1">
        <f>IFERROR(__xludf.DUMMYFUNCTION("""COMPUTED_VALUE"""),-19.0)</f>
        <v>-19</v>
      </c>
      <c r="E2560" s="1"/>
      <c r="F2560" s="1"/>
    </row>
    <row r="2561">
      <c r="A2561" s="1" t="str">
        <f>IFERROR(__xludf.DUMMYFUNCTION("""COMPUTED_VALUE"""),"b64468b3")</f>
        <v>b64468b3</v>
      </c>
      <c r="B2561" s="1" t="str">
        <f>IFERROR(__xludf.DUMMYFUNCTION("""COMPUTED_VALUE"""),"0032")</f>
        <v>0032</v>
      </c>
      <c r="C2561" s="32">
        <f>IFERROR(__xludf.DUMMYFUNCTION("""COMPUTED_VALUE"""),46147.72443287037)</f>
        <v>46147.72443</v>
      </c>
      <c r="D2561" s="1">
        <f>IFERROR(__xludf.DUMMYFUNCTION("""COMPUTED_VALUE"""),-29.0)</f>
        <v>-29</v>
      </c>
      <c r="E2561" s="1"/>
      <c r="F2561" s="1"/>
    </row>
    <row r="2562">
      <c r="A2562" s="1" t="str">
        <f>IFERROR(__xludf.DUMMYFUNCTION("""COMPUTED_VALUE"""),"f1533e21")</f>
        <v>f1533e21</v>
      </c>
      <c r="B2562" s="1" t="str">
        <f>IFERROR(__xludf.DUMMYFUNCTION("""COMPUTED_VALUE"""),"0064")</f>
        <v>0064</v>
      </c>
      <c r="C2562" s="32">
        <f>IFERROR(__xludf.DUMMYFUNCTION("""COMPUTED_VALUE"""),46147.72457175926)</f>
        <v>46147.72457</v>
      </c>
      <c r="D2562" s="1">
        <f>IFERROR(__xludf.DUMMYFUNCTION("""COMPUTED_VALUE"""),-21.0)</f>
        <v>-21</v>
      </c>
      <c r="E2562" s="1"/>
      <c r="F2562" s="1"/>
    </row>
    <row r="2563">
      <c r="A2563" s="1" t="str">
        <f>IFERROR(__xludf.DUMMYFUNCTION("""COMPUTED_VALUE"""),"974a93b8")</f>
        <v>974a93b8</v>
      </c>
      <c r="B2563" s="1" t="str">
        <f>IFERROR(__xludf.DUMMYFUNCTION("""COMPUTED_VALUE"""),"0f694cb5")</f>
        <v>0f694cb5</v>
      </c>
      <c r="C2563" s="32">
        <f>IFERROR(__xludf.DUMMYFUNCTION("""COMPUTED_VALUE"""),46147.724699074075)</f>
        <v>46147.7247</v>
      </c>
      <c r="D2563" s="1">
        <f>IFERROR(__xludf.DUMMYFUNCTION("""COMPUTED_VALUE"""),-4.0)</f>
        <v>-4</v>
      </c>
      <c r="E2563" s="1"/>
      <c r="F2563" s="1"/>
    </row>
    <row r="2564">
      <c r="A2564" s="1" t="str">
        <f>IFERROR(__xludf.DUMMYFUNCTION("""COMPUTED_VALUE"""),"3dfee12d")</f>
        <v>3dfee12d</v>
      </c>
      <c r="B2564" s="1" t="str">
        <f>IFERROR(__xludf.DUMMYFUNCTION("""COMPUTED_VALUE"""),"83dd14b5")</f>
        <v>83dd14b5</v>
      </c>
      <c r="C2564" s="32">
        <f>IFERROR(__xludf.DUMMYFUNCTION("""COMPUTED_VALUE"""),46147.72483796296)</f>
        <v>46147.72484</v>
      </c>
      <c r="D2564" s="1">
        <f>IFERROR(__xludf.DUMMYFUNCTION("""COMPUTED_VALUE"""),-34.0)</f>
        <v>-34</v>
      </c>
      <c r="E2564" s="1"/>
      <c r="F2564" s="1"/>
    </row>
    <row r="2565">
      <c r="A2565" s="1" t="str">
        <f>IFERROR(__xludf.DUMMYFUNCTION("""COMPUTED_VALUE"""),"770839d9")</f>
        <v>770839d9</v>
      </c>
      <c r="B2565" s="1" t="str">
        <f>IFERROR(__xludf.DUMMYFUNCTION("""COMPUTED_VALUE"""),"0021")</f>
        <v>0021</v>
      </c>
      <c r="C2565" s="32">
        <f>IFERROR(__xludf.DUMMYFUNCTION("""COMPUTED_VALUE"""),46147.730474537035)</f>
        <v>46147.73047</v>
      </c>
      <c r="D2565" s="1">
        <f>IFERROR(__xludf.DUMMYFUNCTION("""COMPUTED_VALUE"""),48.0)</f>
        <v>48</v>
      </c>
      <c r="E2565" s="1" t="str">
        <f>IFERROR(__xludf.DUMMYFUNCTION("""COMPUTED_VALUE"""),"f89f0ba4")</f>
        <v>f89f0ba4</v>
      </c>
      <c r="F2565" s="1"/>
    </row>
    <row r="2566">
      <c r="A2566" s="1" t="str">
        <f>IFERROR(__xludf.DUMMYFUNCTION("""COMPUTED_VALUE"""),"266ab0da")</f>
        <v>266ab0da</v>
      </c>
      <c r="B2566" s="1" t="str">
        <f>IFERROR(__xludf.DUMMYFUNCTION("""COMPUTED_VALUE"""),"d5b5f9d1")</f>
        <v>d5b5f9d1</v>
      </c>
      <c r="C2566" s="32">
        <f>IFERROR(__xludf.DUMMYFUNCTION("""COMPUTED_VALUE"""),46147.73054398148)</f>
        <v>46147.73054</v>
      </c>
      <c r="D2566" s="1">
        <f>IFERROR(__xludf.DUMMYFUNCTION("""COMPUTED_VALUE"""),15.0)</f>
        <v>15</v>
      </c>
      <c r="E2566" s="1" t="str">
        <f>IFERROR(__xludf.DUMMYFUNCTION("""COMPUTED_VALUE"""),"f89f0ba4")</f>
        <v>f89f0ba4</v>
      </c>
      <c r="F2566" s="1"/>
    </row>
    <row r="2567">
      <c r="A2567" s="1" t="str">
        <f>IFERROR(__xludf.DUMMYFUNCTION("""COMPUTED_VALUE"""),"2144199d")</f>
        <v>2144199d</v>
      </c>
      <c r="B2567" s="1" t="str">
        <f>IFERROR(__xludf.DUMMYFUNCTION("""COMPUTED_VALUE"""),"b3204174")</f>
        <v>b3204174</v>
      </c>
      <c r="C2567" s="32">
        <f>IFERROR(__xludf.DUMMYFUNCTION("""COMPUTED_VALUE"""),46147.73045138889)</f>
        <v>46147.73045</v>
      </c>
      <c r="D2567" s="1">
        <f>IFERROR(__xludf.DUMMYFUNCTION("""COMPUTED_VALUE"""),-9.0)</f>
        <v>-9</v>
      </c>
      <c r="E2567" s="1"/>
      <c r="F2567" s="1"/>
    </row>
    <row r="2568">
      <c r="A2568" s="1" t="str">
        <f>IFERROR(__xludf.DUMMYFUNCTION("""COMPUTED_VALUE"""),"bf51b2cb")</f>
        <v>bf51b2cb</v>
      </c>
      <c r="B2568" s="1" t="str">
        <f>IFERROR(__xludf.DUMMYFUNCTION("""COMPUTED_VALUE"""),"bb6c2490")</f>
        <v>bb6c2490</v>
      </c>
      <c r="C2568" s="32">
        <f>IFERROR(__xludf.DUMMYFUNCTION("""COMPUTED_VALUE"""),46149.0571412037)</f>
        <v>46149.05714</v>
      </c>
      <c r="D2568" s="1">
        <f>IFERROR(__xludf.DUMMYFUNCTION("""COMPUTED_VALUE"""),-40.0)</f>
        <v>-40</v>
      </c>
      <c r="E2568" s="1"/>
      <c r="F2568" s="1"/>
    </row>
    <row r="2569">
      <c r="A2569" s="1" t="str">
        <f>IFERROR(__xludf.DUMMYFUNCTION("""COMPUTED_VALUE"""),"0b4c8c4c")</f>
        <v>0b4c8c4c</v>
      </c>
      <c r="B2569" s="1" t="str">
        <f>IFERROR(__xludf.DUMMYFUNCTION("""COMPUTED_VALUE"""),"0001")</f>
        <v>0001</v>
      </c>
      <c r="C2569" s="32">
        <f>IFERROR(__xludf.DUMMYFUNCTION("""COMPUTED_VALUE"""),46149.05731481482)</f>
        <v>46149.05731</v>
      </c>
      <c r="D2569" s="1">
        <f>IFERROR(__xludf.DUMMYFUNCTION("""COMPUTED_VALUE"""),-14.0)</f>
        <v>-14</v>
      </c>
      <c r="E2569" s="1"/>
      <c r="F2569" s="1"/>
    </row>
    <row r="2570">
      <c r="A2570" s="1" t="str">
        <f>IFERROR(__xludf.DUMMYFUNCTION("""COMPUTED_VALUE"""),"8ee8151b")</f>
        <v>8ee8151b</v>
      </c>
      <c r="B2570" s="1" t="str">
        <f>IFERROR(__xludf.DUMMYFUNCTION("""COMPUTED_VALUE"""),"d5b5f9d1")</f>
        <v>d5b5f9d1</v>
      </c>
      <c r="C2570" s="32">
        <f>IFERROR(__xludf.DUMMYFUNCTION("""COMPUTED_VALUE"""),46149.05849537037)</f>
        <v>46149.0585</v>
      </c>
      <c r="D2570" s="1">
        <f>IFERROR(__xludf.DUMMYFUNCTION("""COMPUTED_VALUE"""),-14.0)</f>
        <v>-14</v>
      </c>
      <c r="E2570" s="1"/>
      <c r="F2570" s="1"/>
    </row>
    <row r="2571">
      <c r="A2571" s="1" t="str">
        <f>IFERROR(__xludf.DUMMYFUNCTION("""COMPUTED_VALUE"""),"ad0fe51d")</f>
        <v>ad0fe51d</v>
      </c>
      <c r="B2571" s="1" t="str">
        <f>IFERROR(__xludf.DUMMYFUNCTION("""COMPUTED_VALUE"""),"0001")</f>
        <v>0001</v>
      </c>
      <c r="C2571" s="32">
        <f>IFERROR(__xludf.DUMMYFUNCTION("""COMPUTED_VALUE"""),46149.0675)</f>
        <v>46149.0675</v>
      </c>
      <c r="D2571" s="1">
        <f>IFERROR(__xludf.DUMMYFUNCTION("""COMPUTED_VALUE"""),-9.0)</f>
        <v>-9</v>
      </c>
      <c r="E2571" s="1"/>
      <c r="F2571" s="1"/>
    </row>
    <row r="2572">
      <c r="A2572" s="1" t="str">
        <f>IFERROR(__xludf.DUMMYFUNCTION("""COMPUTED_VALUE"""),"d2dcaa94")</f>
        <v>d2dcaa94</v>
      </c>
      <c r="B2572" s="1" t="str">
        <f>IFERROR(__xludf.DUMMYFUNCTION("""COMPUTED_VALUE"""),"d5b5f9d1")</f>
        <v>d5b5f9d1</v>
      </c>
      <c r="C2572" s="32">
        <f>IFERROR(__xludf.DUMMYFUNCTION("""COMPUTED_VALUE"""),46149.067766203705)</f>
        <v>46149.06777</v>
      </c>
      <c r="D2572" s="1">
        <f>IFERROR(__xludf.DUMMYFUNCTION("""COMPUTED_VALUE"""),-4.0)</f>
        <v>-4</v>
      </c>
      <c r="E2572" s="1"/>
      <c r="F2572" s="1"/>
    </row>
    <row r="2573">
      <c r="A2573" s="1" t="str">
        <f>IFERROR(__xludf.DUMMYFUNCTION("""COMPUTED_VALUE"""),"8c9aad5f")</f>
        <v>8c9aad5f</v>
      </c>
      <c r="B2573" s="1" t="str">
        <f>IFERROR(__xludf.DUMMYFUNCTION("""COMPUTED_VALUE"""),"12b96290")</f>
        <v>12b96290</v>
      </c>
      <c r="C2573" s="32">
        <f>IFERROR(__xludf.DUMMYFUNCTION("""COMPUTED_VALUE"""),46149.06789351852)</f>
        <v>46149.06789</v>
      </c>
      <c r="D2573" s="1">
        <f>IFERROR(__xludf.DUMMYFUNCTION("""COMPUTED_VALUE"""),-11.0)</f>
        <v>-11</v>
      </c>
      <c r="E2573" s="1"/>
      <c r="F2573" s="1"/>
    </row>
    <row r="2574">
      <c r="A2574" s="1" t="str">
        <f>IFERROR(__xludf.DUMMYFUNCTION("""COMPUTED_VALUE"""),"37842889")</f>
        <v>37842889</v>
      </c>
      <c r="B2574" s="1" t="str">
        <f>IFERROR(__xludf.DUMMYFUNCTION("""COMPUTED_VALUE"""),"0033")</f>
        <v>0033</v>
      </c>
      <c r="C2574" s="32">
        <f>IFERROR(__xludf.DUMMYFUNCTION("""COMPUTED_VALUE"""),46149.068078703705)</f>
        <v>46149.06808</v>
      </c>
      <c r="D2574" s="1">
        <f>IFERROR(__xludf.DUMMYFUNCTION("""COMPUTED_VALUE"""),-7.0)</f>
        <v>-7</v>
      </c>
      <c r="E2574" s="1"/>
      <c r="F2574" s="1"/>
    </row>
    <row r="2575">
      <c r="A2575" s="1" t="str">
        <f>IFERROR(__xludf.DUMMYFUNCTION("""COMPUTED_VALUE"""),"a0391070")</f>
        <v>a0391070</v>
      </c>
      <c r="B2575" s="1" t="str">
        <f>IFERROR(__xludf.DUMMYFUNCTION("""COMPUTED_VALUE"""),"8ed00567")</f>
        <v>8ed00567</v>
      </c>
      <c r="C2575" s="32">
        <f>IFERROR(__xludf.DUMMYFUNCTION("""COMPUTED_VALUE"""),46149.06827546296)</f>
        <v>46149.06828</v>
      </c>
      <c r="D2575" s="1">
        <f>IFERROR(__xludf.DUMMYFUNCTION("""COMPUTED_VALUE"""),-29.0)</f>
        <v>-29</v>
      </c>
      <c r="E2575" s="1"/>
      <c r="F2575" s="1"/>
    </row>
    <row r="2576">
      <c r="A2576" s="1" t="str">
        <f>IFERROR(__xludf.DUMMYFUNCTION("""COMPUTED_VALUE"""),"b4d9dab3")</f>
        <v>b4d9dab3</v>
      </c>
      <c r="B2576" s="1" t="str">
        <f>IFERROR(__xludf.DUMMYFUNCTION("""COMPUTED_VALUE"""),"0014")</f>
        <v>0014</v>
      </c>
      <c r="C2576" s="32">
        <f>IFERROR(__xludf.DUMMYFUNCTION("""COMPUTED_VALUE"""),46149.06837962963)</f>
        <v>46149.06838</v>
      </c>
      <c r="D2576" s="1">
        <f>IFERROR(__xludf.DUMMYFUNCTION("""COMPUTED_VALUE"""),-20.0)</f>
        <v>-20</v>
      </c>
      <c r="E2576" s="1"/>
      <c r="F2576" s="1"/>
    </row>
    <row r="2577">
      <c r="A2577" s="1" t="str">
        <f>IFERROR(__xludf.DUMMYFUNCTION("""COMPUTED_VALUE"""),"35c4deac")</f>
        <v>35c4deac</v>
      </c>
      <c r="B2577" s="1" t="str">
        <f>IFERROR(__xludf.DUMMYFUNCTION("""COMPUTED_VALUE"""),"a19879cf")</f>
        <v>a19879cf</v>
      </c>
      <c r="C2577" s="32">
        <f>IFERROR(__xludf.DUMMYFUNCTION("""COMPUTED_VALUE"""),46149.068506944444)</f>
        <v>46149.06851</v>
      </c>
      <c r="D2577" s="1">
        <f>IFERROR(__xludf.DUMMYFUNCTION("""COMPUTED_VALUE"""),-10.0)</f>
        <v>-10</v>
      </c>
      <c r="E2577" s="1"/>
      <c r="F2577" s="1"/>
    </row>
    <row r="2578">
      <c r="A2578" s="1" t="str">
        <f>IFERROR(__xludf.DUMMYFUNCTION("""COMPUTED_VALUE"""),"86f54537")</f>
        <v>86f54537</v>
      </c>
      <c r="B2578" s="1" t="str">
        <f>IFERROR(__xludf.DUMMYFUNCTION("""COMPUTED_VALUE"""),"83dd14b5")</f>
        <v>83dd14b5</v>
      </c>
      <c r="C2578" s="32">
        <f>IFERROR(__xludf.DUMMYFUNCTION("""COMPUTED_VALUE"""),46149.06886574074)</f>
        <v>46149.06887</v>
      </c>
      <c r="D2578" s="1">
        <f>IFERROR(__xludf.DUMMYFUNCTION("""COMPUTED_VALUE"""),-14.0)</f>
        <v>-14</v>
      </c>
      <c r="E2578" s="1"/>
      <c r="F2578" s="1"/>
    </row>
    <row r="2579">
      <c r="A2579" s="1" t="str">
        <f>IFERROR(__xludf.DUMMYFUNCTION("""COMPUTED_VALUE"""),"84b6704f")</f>
        <v>84b6704f</v>
      </c>
      <c r="B2579" s="1" t="str">
        <f>IFERROR(__xludf.DUMMYFUNCTION("""COMPUTED_VALUE"""),"02d86a9b")</f>
        <v>02d86a9b</v>
      </c>
      <c r="C2579" s="32">
        <f>IFERROR(__xludf.DUMMYFUNCTION("""COMPUTED_VALUE"""),46149.06964120371)</f>
        <v>46149.06964</v>
      </c>
      <c r="D2579" s="1">
        <f>IFERROR(__xludf.DUMMYFUNCTION("""COMPUTED_VALUE"""),-13.0)</f>
        <v>-13</v>
      </c>
      <c r="E2579" s="1"/>
      <c r="F2579" s="1"/>
    </row>
    <row r="2580">
      <c r="A2580" s="1" t="str">
        <f>IFERROR(__xludf.DUMMYFUNCTION("""COMPUTED_VALUE"""),"fc12a3f0")</f>
        <v>fc12a3f0</v>
      </c>
      <c r="B2580" s="1" t="str">
        <f>IFERROR(__xludf.DUMMYFUNCTION("""COMPUTED_VALUE"""),"bb4d1bd1")</f>
        <v>bb4d1bd1</v>
      </c>
      <c r="C2580" s="32">
        <f>IFERROR(__xludf.DUMMYFUNCTION("""COMPUTED_VALUE"""),46149.06979166667)</f>
        <v>46149.06979</v>
      </c>
      <c r="D2580" s="1">
        <f>IFERROR(__xludf.DUMMYFUNCTION("""COMPUTED_VALUE"""),-13.0)</f>
        <v>-13</v>
      </c>
      <c r="E2580" s="1"/>
      <c r="F2580" s="1"/>
    </row>
    <row r="2581">
      <c r="A2581" s="1" t="str">
        <f>IFERROR(__xludf.DUMMYFUNCTION("""COMPUTED_VALUE"""),"87f0d924")</f>
        <v>87f0d924</v>
      </c>
      <c r="B2581" s="1" t="str">
        <f>IFERROR(__xludf.DUMMYFUNCTION("""COMPUTED_VALUE"""),"0027")</f>
        <v>0027</v>
      </c>
      <c r="C2581" s="32">
        <f>IFERROR(__xludf.DUMMYFUNCTION("""COMPUTED_VALUE"""),46149.06997685185)</f>
        <v>46149.06998</v>
      </c>
      <c r="D2581" s="1">
        <f>IFERROR(__xludf.DUMMYFUNCTION("""COMPUTED_VALUE"""),-10.0)</f>
        <v>-10</v>
      </c>
      <c r="E2581" s="1"/>
      <c r="F2581" s="1"/>
    </row>
    <row r="2582">
      <c r="A2582" s="1" t="str">
        <f>IFERROR(__xludf.DUMMYFUNCTION("""COMPUTED_VALUE"""),"3f5cea3c")</f>
        <v>3f5cea3c</v>
      </c>
      <c r="B2582" s="1" t="str">
        <f>IFERROR(__xludf.DUMMYFUNCTION("""COMPUTED_VALUE"""),"0024")</f>
        <v>0024</v>
      </c>
      <c r="C2582" s="32">
        <f>IFERROR(__xludf.DUMMYFUNCTION("""COMPUTED_VALUE"""),46149.07016203704)</f>
        <v>46149.07016</v>
      </c>
      <c r="D2582" s="1">
        <f>IFERROR(__xludf.DUMMYFUNCTION("""COMPUTED_VALUE"""),-5.0)</f>
        <v>-5</v>
      </c>
      <c r="E2582" s="1"/>
      <c r="F2582" s="1"/>
    </row>
    <row r="2583">
      <c r="A2583" s="1" t="str">
        <f>IFERROR(__xludf.DUMMYFUNCTION("""COMPUTED_VALUE"""),"411cfe64")</f>
        <v>411cfe64</v>
      </c>
      <c r="B2583" s="1" t="str">
        <f>IFERROR(__xludf.DUMMYFUNCTION("""COMPUTED_VALUE"""),"0021")</f>
        <v>0021</v>
      </c>
      <c r="C2583" s="32">
        <f>IFERROR(__xludf.DUMMYFUNCTION("""COMPUTED_VALUE"""),46149.07048611111)</f>
        <v>46149.07049</v>
      </c>
      <c r="D2583" s="1">
        <f>IFERROR(__xludf.DUMMYFUNCTION("""COMPUTED_VALUE"""),-5.0)</f>
        <v>-5</v>
      </c>
      <c r="E2583" s="1"/>
      <c r="F2583" s="1"/>
    </row>
    <row r="2584">
      <c r="A2584" s="1" t="str">
        <f>IFERROR(__xludf.DUMMYFUNCTION("""COMPUTED_VALUE"""),"b5ed8cfa")</f>
        <v>b5ed8cfa</v>
      </c>
      <c r="B2584" s="1" t="str">
        <f>IFERROR(__xludf.DUMMYFUNCTION("""COMPUTED_VALUE"""),"0029")</f>
        <v>0029</v>
      </c>
      <c r="C2584" s="32">
        <f>IFERROR(__xludf.DUMMYFUNCTION("""COMPUTED_VALUE"""),46149.07063657408)</f>
        <v>46149.07064</v>
      </c>
      <c r="D2584" s="1">
        <f>IFERROR(__xludf.DUMMYFUNCTION("""COMPUTED_VALUE"""),-41.0)</f>
        <v>-41</v>
      </c>
      <c r="E2584" s="1"/>
      <c r="F2584" s="1"/>
    </row>
    <row r="2585">
      <c r="A2585" s="1" t="str">
        <f>IFERROR(__xludf.DUMMYFUNCTION("""COMPUTED_VALUE"""),"2ca014df")</f>
        <v>2ca014df</v>
      </c>
      <c r="B2585" s="1" t="str">
        <f>IFERROR(__xludf.DUMMYFUNCTION("""COMPUTED_VALUE"""),"0032")</f>
        <v>0032</v>
      </c>
      <c r="C2585" s="32">
        <f>IFERROR(__xludf.DUMMYFUNCTION("""COMPUTED_VALUE"""),46149.07082175926)</f>
        <v>46149.07082</v>
      </c>
      <c r="D2585" s="1">
        <f>IFERROR(__xludf.DUMMYFUNCTION("""COMPUTED_VALUE"""),-23.0)</f>
        <v>-23</v>
      </c>
      <c r="E2585" s="1"/>
      <c r="F2585" s="1"/>
    </row>
    <row r="2586">
      <c r="A2586" s="1" t="str">
        <f>IFERROR(__xludf.DUMMYFUNCTION("""COMPUTED_VALUE"""),"2b8b832e")</f>
        <v>2b8b832e</v>
      </c>
      <c r="B2586" s="1" t="str">
        <f>IFERROR(__xludf.DUMMYFUNCTION("""COMPUTED_VALUE"""),"0064")</f>
        <v>0064</v>
      </c>
      <c r="C2586" s="32">
        <f>IFERROR(__xludf.DUMMYFUNCTION("""COMPUTED_VALUE"""),46149.07098379629)</f>
        <v>46149.07098</v>
      </c>
      <c r="D2586" s="1">
        <f>IFERROR(__xludf.DUMMYFUNCTION("""COMPUTED_VALUE"""),-5.0)</f>
        <v>-5</v>
      </c>
      <c r="E2586" s="1"/>
      <c r="F2586" s="1"/>
    </row>
    <row r="2587">
      <c r="A2587" s="1" t="str">
        <f>IFERROR(__xludf.DUMMYFUNCTION("""COMPUTED_VALUE"""),"f33eed7e")</f>
        <v>f33eed7e</v>
      </c>
      <c r="B2587" s="1" t="str">
        <f>IFERROR(__xludf.DUMMYFUNCTION("""COMPUTED_VALUE"""),"70bdbe11")</f>
        <v>70bdbe11</v>
      </c>
      <c r="C2587" s="32">
        <f>IFERROR(__xludf.DUMMYFUNCTION("""COMPUTED_VALUE"""),46149.07109953704)</f>
        <v>46149.0711</v>
      </c>
      <c r="D2587" s="1">
        <f>IFERROR(__xludf.DUMMYFUNCTION("""COMPUTED_VALUE"""),-18.0)</f>
        <v>-18</v>
      </c>
      <c r="E2587" s="1"/>
      <c r="F2587" s="1"/>
    </row>
    <row r="2588">
      <c r="A2588" s="1" t="str">
        <f>IFERROR(__xludf.DUMMYFUNCTION("""COMPUTED_VALUE"""),"1bfc5547")</f>
        <v>1bfc5547</v>
      </c>
      <c r="B2588" s="1" t="str">
        <f>IFERROR(__xludf.DUMMYFUNCTION("""COMPUTED_VALUE"""),"0f694cb5")</f>
        <v>0f694cb5</v>
      </c>
      <c r="C2588" s="32">
        <f>IFERROR(__xludf.DUMMYFUNCTION("""COMPUTED_VALUE"""),46149.071238425924)</f>
        <v>46149.07124</v>
      </c>
      <c r="D2588" s="1">
        <f>IFERROR(__xludf.DUMMYFUNCTION("""COMPUTED_VALUE"""),-16.0)</f>
        <v>-16</v>
      </c>
      <c r="E2588" s="1"/>
      <c r="F2588" s="1"/>
    </row>
    <row r="2589">
      <c r="A2589" s="1" t="str">
        <f>IFERROR(__xludf.DUMMYFUNCTION("""COMPUTED_VALUE"""),"8a777098")</f>
        <v>8a777098</v>
      </c>
      <c r="B2589" s="1" t="str">
        <f>IFERROR(__xludf.DUMMYFUNCTION("""COMPUTED_VALUE"""),"0011")</f>
        <v>0011</v>
      </c>
      <c r="C2589" s="32">
        <f>IFERROR(__xludf.DUMMYFUNCTION("""COMPUTED_VALUE"""),46149.07164351852)</f>
        <v>46149.07164</v>
      </c>
      <c r="D2589" s="1">
        <f>IFERROR(__xludf.DUMMYFUNCTION("""COMPUTED_VALUE"""),-8.0)</f>
        <v>-8</v>
      </c>
      <c r="E2589" s="1"/>
      <c r="F2589" s="1"/>
    </row>
    <row r="2590">
      <c r="A2590" s="1" t="str">
        <f>IFERROR(__xludf.DUMMYFUNCTION("""COMPUTED_VALUE"""),"e214892a")</f>
        <v>e214892a</v>
      </c>
      <c r="B2590" s="1" t="str">
        <f>IFERROR(__xludf.DUMMYFUNCTION("""COMPUTED_VALUE"""),"0002")</f>
        <v>0002</v>
      </c>
      <c r="C2590" s="32">
        <f>IFERROR(__xludf.DUMMYFUNCTION("""COMPUTED_VALUE"""),46149.071921296294)</f>
        <v>46149.07192</v>
      </c>
      <c r="D2590" s="1">
        <f>IFERROR(__xludf.DUMMYFUNCTION("""COMPUTED_VALUE"""),-168.0)</f>
        <v>-168</v>
      </c>
      <c r="E2590" s="1"/>
      <c r="F2590" s="1"/>
    </row>
    <row r="2591">
      <c r="A2591" s="1" t="str">
        <f>IFERROR(__xludf.DUMMYFUNCTION("""COMPUTED_VALUE"""),"a7d2a2c7")</f>
        <v>a7d2a2c7</v>
      </c>
      <c r="B2591" s="1" t="str">
        <f>IFERROR(__xludf.DUMMYFUNCTION("""COMPUTED_VALUE"""),"0001")</f>
        <v>0001</v>
      </c>
      <c r="C2591" s="32">
        <f>IFERROR(__xludf.DUMMYFUNCTION("""COMPUTED_VALUE"""),46149.07292824074)</f>
        <v>46149.07293</v>
      </c>
      <c r="D2591" s="1">
        <f>IFERROR(__xludf.DUMMYFUNCTION("""COMPUTED_VALUE"""),195.0)</f>
        <v>195</v>
      </c>
      <c r="E2591" s="1" t="str">
        <f>IFERROR(__xludf.DUMMYFUNCTION("""COMPUTED_VALUE"""),"0924fefb")</f>
        <v>0924fefb</v>
      </c>
      <c r="F2591" s="1"/>
    </row>
    <row r="2592">
      <c r="A2592" s="1" t="str">
        <f>IFERROR(__xludf.DUMMYFUNCTION("""COMPUTED_VALUE"""),"86bd7b46")</f>
        <v>86bd7b46</v>
      </c>
      <c r="B2592" s="1" t="str">
        <f>IFERROR(__xludf.DUMMYFUNCTION("""COMPUTED_VALUE"""),"12b96290")</f>
        <v>12b96290</v>
      </c>
      <c r="C2592" s="32">
        <f>IFERROR(__xludf.DUMMYFUNCTION("""COMPUTED_VALUE"""),46149.072962962964)</f>
        <v>46149.07296</v>
      </c>
      <c r="D2592" s="1">
        <f>IFERROR(__xludf.DUMMYFUNCTION("""COMPUTED_VALUE"""),135.0)</f>
        <v>135</v>
      </c>
      <c r="E2592" s="1" t="str">
        <f>IFERROR(__xludf.DUMMYFUNCTION("""COMPUTED_VALUE"""),"0924fefb")</f>
        <v>0924fefb</v>
      </c>
      <c r="F2592" s="1"/>
    </row>
    <row r="2593">
      <c r="A2593" s="1" t="str">
        <f>IFERROR(__xludf.DUMMYFUNCTION("""COMPUTED_VALUE"""),"649a865c")</f>
        <v>649a865c</v>
      </c>
      <c r="B2593" s="1" t="str">
        <f>IFERROR(__xludf.DUMMYFUNCTION("""COMPUTED_VALUE"""),"d5b5f9d1")</f>
        <v>d5b5f9d1</v>
      </c>
      <c r="C2593" s="32">
        <f>IFERROR(__xludf.DUMMYFUNCTION("""COMPUTED_VALUE"""),46149.07300925926)</f>
        <v>46149.07301</v>
      </c>
      <c r="D2593" s="1">
        <f>IFERROR(__xludf.DUMMYFUNCTION("""COMPUTED_VALUE"""),150.0)</f>
        <v>150</v>
      </c>
      <c r="E2593" s="1" t="str">
        <f>IFERROR(__xludf.DUMMYFUNCTION("""COMPUTED_VALUE"""),"0924fefb")</f>
        <v>0924fefb</v>
      </c>
      <c r="F2593" s="1"/>
    </row>
    <row r="2594">
      <c r="A2594" s="1" t="str">
        <f>IFERROR(__xludf.DUMMYFUNCTION("""COMPUTED_VALUE"""),"57f4b08c")</f>
        <v>57f4b08c</v>
      </c>
      <c r="B2594" s="1" t="str">
        <f>IFERROR(__xludf.DUMMYFUNCTION("""COMPUTED_VALUE"""),"f2959682")</f>
        <v>f2959682</v>
      </c>
      <c r="C2594" s="32">
        <f>IFERROR(__xludf.DUMMYFUNCTION("""COMPUTED_VALUE"""),46149.07372685185)</f>
        <v>46149.07373</v>
      </c>
      <c r="D2594" s="1">
        <f>IFERROR(__xludf.DUMMYFUNCTION("""COMPUTED_VALUE"""),0.0)</f>
        <v>0</v>
      </c>
      <c r="E2594" s="1" t="str">
        <f>IFERROR(__xludf.DUMMYFUNCTION("""COMPUTED_VALUE"""),"859a6d00")</f>
        <v>859a6d00</v>
      </c>
      <c r="F2594" s="1"/>
    </row>
    <row r="2595">
      <c r="A2595" s="1" t="str">
        <f>IFERROR(__xludf.DUMMYFUNCTION("""COMPUTED_VALUE"""),"42dd379f")</f>
        <v>42dd379f</v>
      </c>
      <c r="B2595" s="1" t="str">
        <f>IFERROR(__xludf.DUMMYFUNCTION("""COMPUTED_VALUE"""),"bb6c2490")</f>
        <v>bb6c2490</v>
      </c>
      <c r="C2595" s="32">
        <f>IFERROR(__xludf.DUMMYFUNCTION("""COMPUTED_VALUE"""),46149.07451388889)</f>
        <v>46149.07451</v>
      </c>
      <c r="D2595" s="1">
        <f>IFERROR(__xludf.DUMMYFUNCTION("""COMPUTED_VALUE"""),180.0)</f>
        <v>180</v>
      </c>
      <c r="E2595" s="1" t="str">
        <f>IFERROR(__xludf.DUMMYFUNCTION("""COMPUTED_VALUE"""),"e00ef670")</f>
        <v>e00ef670</v>
      </c>
      <c r="F2595" s="1"/>
    </row>
    <row r="2596">
      <c r="A2596" s="1" t="str">
        <f>IFERROR(__xludf.DUMMYFUNCTION("""COMPUTED_VALUE"""),"854ccd4f")</f>
        <v>854ccd4f</v>
      </c>
      <c r="B2596" s="1" t="str">
        <f>IFERROR(__xludf.DUMMYFUNCTION("""COMPUTED_VALUE"""),"d5b5f9d1")</f>
        <v>d5b5f9d1</v>
      </c>
      <c r="C2596" s="32">
        <f>IFERROR(__xludf.DUMMYFUNCTION("""COMPUTED_VALUE"""),46149.07454861111)</f>
        <v>46149.07455</v>
      </c>
      <c r="D2596" s="1">
        <f>IFERROR(__xludf.DUMMYFUNCTION("""COMPUTED_VALUE"""),15.0)</f>
        <v>15</v>
      </c>
      <c r="E2596" s="1" t="str">
        <f>IFERROR(__xludf.DUMMYFUNCTION("""COMPUTED_VALUE"""),"e00ef670")</f>
        <v>e00ef670</v>
      </c>
      <c r="F2596" s="1"/>
    </row>
    <row r="2597">
      <c r="A2597" s="1" t="str">
        <f>IFERROR(__xludf.DUMMYFUNCTION("""COMPUTED_VALUE"""),"64e96fe1")</f>
        <v>64e96fe1</v>
      </c>
      <c r="B2597" s="1" t="str">
        <f>IFERROR(__xludf.DUMMYFUNCTION("""COMPUTED_VALUE"""),"bb6c2490")</f>
        <v>bb6c2490</v>
      </c>
      <c r="C2597" s="32">
        <f>IFERROR(__xludf.DUMMYFUNCTION("""COMPUTED_VALUE"""),46149.708391203705)</f>
        <v>46149.70839</v>
      </c>
      <c r="D2597" s="1">
        <f>IFERROR(__xludf.DUMMYFUNCTION("""COMPUTED_VALUE"""),-10.0)</f>
        <v>-10</v>
      </c>
      <c r="E2597" s="1"/>
      <c r="F2597" s="1"/>
    </row>
    <row r="2598">
      <c r="A2598" s="1" t="str">
        <f>IFERROR(__xludf.DUMMYFUNCTION("""COMPUTED_VALUE"""),"1b32bd26")</f>
        <v>1b32bd26</v>
      </c>
      <c r="B2598" s="1" t="str">
        <f>IFERROR(__xludf.DUMMYFUNCTION("""COMPUTED_VALUE"""),"0001")</f>
        <v>0001</v>
      </c>
      <c r="C2598" s="32">
        <f>IFERROR(__xludf.DUMMYFUNCTION("""COMPUTED_VALUE"""),46149.708506944444)</f>
        <v>46149.70851</v>
      </c>
      <c r="D2598" s="1">
        <f>IFERROR(__xludf.DUMMYFUNCTION("""COMPUTED_VALUE"""),-15.0)</f>
        <v>-15</v>
      </c>
      <c r="E2598" s="1"/>
      <c r="F2598" s="1"/>
    </row>
    <row r="2599">
      <c r="A2599" s="1" t="str">
        <f>IFERROR(__xludf.DUMMYFUNCTION("""COMPUTED_VALUE"""),"e59682f5")</f>
        <v>e59682f5</v>
      </c>
      <c r="B2599" s="1" t="str">
        <f>IFERROR(__xludf.DUMMYFUNCTION("""COMPUTED_VALUE"""),"d5b5f9d1")</f>
        <v>d5b5f9d1</v>
      </c>
      <c r="C2599" s="32">
        <f>IFERROR(__xludf.DUMMYFUNCTION("""COMPUTED_VALUE"""),46149.708599537036)</f>
        <v>46149.7086</v>
      </c>
      <c r="D2599" s="1">
        <f>IFERROR(__xludf.DUMMYFUNCTION("""COMPUTED_VALUE"""),-15.0)</f>
        <v>-15</v>
      </c>
      <c r="E2599" s="1"/>
      <c r="F2599" s="1"/>
    </row>
    <row r="2600">
      <c r="A2600" s="1" t="str">
        <f>IFERROR(__xludf.DUMMYFUNCTION("""COMPUTED_VALUE"""),"07537d89")</f>
        <v>07537d89</v>
      </c>
      <c r="B2600" s="1" t="str">
        <f>IFERROR(__xludf.DUMMYFUNCTION("""COMPUTED_VALUE"""),"12b96290")</f>
        <v>12b96290</v>
      </c>
      <c r="C2600" s="32">
        <f>IFERROR(__xludf.DUMMYFUNCTION("""COMPUTED_VALUE"""),46149.70866898148)</f>
        <v>46149.70867</v>
      </c>
      <c r="D2600" s="1">
        <f>IFERROR(__xludf.DUMMYFUNCTION("""COMPUTED_VALUE"""),-15.0)</f>
        <v>-15</v>
      </c>
      <c r="E2600" s="1"/>
      <c r="F2600" s="1"/>
    </row>
    <row r="2601">
      <c r="A2601" s="1" t="str">
        <f>IFERROR(__xludf.DUMMYFUNCTION("""COMPUTED_VALUE"""),"d4d64f7f")</f>
        <v>d4d64f7f</v>
      </c>
      <c r="B2601" s="1" t="str">
        <f>IFERROR(__xludf.DUMMYFUNCTION("""COMPUTED_VALUE"""),"a19879cf")</f>
        <v>a19879cf</v>
      </c>
      <c r="C2601" s="32">
        <f>IFERROR(__xludf.DUMMYFUNCTION("""COMPUTED_VALUE"""),46149.709178240744)</f>
        <v>46149.70918</v>
      </c>
      <c r="D2601" s="1">
        <f>IFERROR(__xludf.DUMMYFUNCTION("""COMPUTED_VALUE"""),-12.0)</f>
        <v>-12</v>
      </c>
      <c r="E2601" s="1"/>
      <c r="F2601" s="1"/>
    </row>
    <row r="2602">
      <c r="A2602" s="1" t="str">
        <f>IFERROR(__xludf.DUMMYFUNCTION("""COMPUTED_VALUE"""),"7e9dd99f")</f>
        <v>7e9dd99f</v>
      </c>
      <c r="B2602" s="1" t="str">
        <f>IFERROR(__xludf.DUMMYFUNCTION("""COMPUTED_VALUE"""),"83dd14b5")</f>
        <v>83dd14b5</v>
      </c>
      <c r="C2602" s="32">
        <f>IFERROR(__xludf.DUMMYFUNCTION("""COMPUTED_VALUE"""),46149.71010416667)</f>
        <v>46149.7101</v>
      </c>
      <c r="D2602" s="1">
        <f>IFERROR(__xludf.DUMMYFUNCTION("""COMPUTED_VALUE"""),-14.0)</f>
        <v>-14</v>
      </c>
      <c r="E2602" s="1"/>
      <c r="F2602" s="1"/>
    </row>
    <row r="2603">
      <c r="A2603" s="1" t="str">
        <f>IFERROR(__xludf.DUMMYFUNCTION("""COMPUTED_VALUE"""),"8fbeb450")</f>
        <v>8fbeb450</v>
      </c>
      <c r="B2603" s="1" t="str">
        <f>IFERROR(__xludf.DUMMYFUNCTION("""COMPUTED_VALUE"""),"0029")</f>
        <v>0029</v>
      </c>
      <c r="C2603" s="32">
        <f>IFERROR(__xludf.DUMMYFUNCTION("""COMPUTED_VALUE"""),46149.71078703704)</f>
        <v>46149.71079</v>
      </c>
      <c r="D2603" s="1">
        <f>IFERROR(__xludf.DUMMYFUNCTION("""COMPUTED_VALUE"""),-9.0)</f>
        <v>-9</v>
      </c>
      <c r="E2603" s="1"/>
      <c r="F2603" s="1"/>
    </row>
    <row r="2604">
      <c r="A2604" s="1" t="str">
        <f>IFERROR(__xludf.DUMMYFUNCTION("""COMPUTED_VALUE"""),"bf2c403f")</f>
        <v>bf2c403f</v>
      </c>
      <c r="B2604" s="1" t="str">
        <f>IFERROR(__xludf.DUMMYFUNCTION("""COMPUTED_VALUE"""),"70bdbe11")</f>
        <v>70bdbe11</v>
      </c>
      <c r="C2604" s="32">
        <f>IFERROR(__xludf.DUMMYFUNCTION("""COMPUTED_VALUE"""),46149.71142361111)</f>
        <v>46149.71142</v>
      </c>
      <c r="D2604" s="1">
        <f>IFERROR(__xludf.DUMMYFUNCTION("""COMPUTED_VALUE"""),-3.0)</f>
        <v>-3</v>
      </c>
      <c r="E2604" s="1"/>
      <c r="F2604" s="1"/>
    </row>
    <row r="2605">
      <c r="A2605" s="1" t="str">
        <f>IFERROR(__xludf.DUMMYFUNCTION("""COMPUTED_VALUE"""),"d283de64")</f>
        <v>d283de64</v>
      </c>
      <c r="B2605" s="1" t="str">
        <f>IFERROR(__xludf.DUMMYFUNCTION("""COMPUTED_VALUE"""),"0011")</f>
        <v>0011</v>
      </c>
      <c r="C2605" s="32">
        <f>IFERROR(__xludf.DUMMYFUNCTION("""COMPUTED_VALUE"""),46149.711747685185)</f>
        <v>46149.71175</v>
      </c>
      <c r="D2605" s="1">
        <f>IFERROR(__xludf.DUMMYFUNCTION("""COMPUTED_VALUE"""),-24.0)</f>
        <v>-24</v>
      </c>
      <c r="E2605" s="1"/>
      <c r="F2605" s="1"/>
    </row>
    <row r="2606">
      <c r="A2606" s="1" t="str">
        <f>IFERROR(__xludf.DUMMYFUNCTION("""COMPUTED_VALUE"""),"06fd2bcb")</f>
        <v>06fd2bcb</v>
      </c>
      <c r="B2606" s="1" t="str">
        <f>IFERROR(__xludf.DUMMYFUNCTION("""COMPUTED_VALUE"""),"0002")</f>
        <v>0002</v>
      </c>
      <c r="C2606" s="32">
        <f>IFERROR(__xludf.DUMMYFUNCTION("""COMPUTED_VALUE"""),46149.71209490741)</f>
        <v>46149.71209</v>
      </c>
      <c r="D2606" s="1">
        <f>IFERROR(__xludf.DUMMYFUNCTION("""COMPUTED_VALUE"""),-48.0)</f>
        <v>-48</v>
      </c>
      <c r="E2606" s="1"/>
      <c r="F2606" s="1"/>
    </row>
    <row r="2607">
      <c r="A2607" s="1" t="str">
        <f>IFERROR(__xludf.DUMMYFUNCTION("""COMPUTED_VALUE"""),"5984700c")</f>
        <v>5984700c</v>
      </c>
      <c r="B2607" s="1" t="str">
        <f>IFERROR(__xludf.DUMMYFUNCTION("""COMPUTED_VALUE"""),"83dd14b5")</f>
        <v>83dd14b5</v>
      </c>
      <c r="C2607" s="32">
        <f>IFERROR(__xludf.DUMMYFUNCTION("""COMPUTED_VALUE"""),46149.71231481482)</f>
        <v>46149.71231</v>
      </c>
      <c r="D2607" s="1">
        <f>IFERROR(__xludf.DUMMYFUNCTION("""COMPUTED_VALUE"""),3.0)</f>
        <v>3</v>
      </c>
      <c r="E2607" s="1"/>
      <c r="F2607" s="1"/>
    </row>
    <row r="2608">
      <c r="A2608" s="1" t="str">
        <f>IFERROR(__xludf.DUMMYFUNCTION("""COMPUTED_VALUE"""),"3545a5d8")</f>
        <v>3545a5d8</v>
      </c>
      <c r="B2608" s="1" t="str">
        <f>IFERROR(__xludf.DUMMYFUNCTION("""COMPUTED_VALUE"""),"8ed00567")</f>
        <v>8ed00567</v>
      </c>
      <c r="C2608" s="32">
        <f>IFERROR(__xludf.DUMMYFUNCTION("""COMPUTED_VALUE"""),46149.712372685186)</f>
        <v>46149.71237</v>
      </c>
      <c r="D2608" s="1">
        <f>IFERROR(__xludf.DUMMYFUNCTION("""COMPUTED_VALUE"""),1.0)</f>
        <v>1</v>
      </c>
      <c r="E2608" s="1"/>
      <c r="F2608" s="1"/>
    </row>
    <row r="2609">
      <c r="A2609" s="1" t="str">
        <f>IFERROR(__xludf.DUMMYFUNCTION("""COMPUTED_VALUE"""),"2c8823ee")</f>
        <v>2c8823ee</v>
      </c>
      <c r="B2609" s="1" t="str">
        <f>IFERROR(__xludf.DUMMYFUNCTION("""COMPUTED_VALUE"""),"0f694cb5")</f>
        <v>0f694cb5</v>
      </c>
      <c r="C2609" s="32">
        <f>IFERROR(__xludf.DUMMYFUNCTION("""COMPUTED_VALUE"""),46149.71246527778)</f>
        <v>46149.71247</v>
      </c>
      <c r="D2609" s="1">
        <f>IFERROR(__xludf.DUMMYFUNCTION("""COMPUTED_VALUE"""),2.0)</f>
        <v>2</v>
      </c>
      <c r="E2609" s="1"/>
      <c r="F2609" s="1"/>
    </row>
    <row r="2610">
      <c r="A2610" s="1" t="str">
        <f>IFERROR(__xludf.DUMMYFUNCTION("""COMPUTED_VALUE"""),"461c0298")</f>
        <v>461c0298</v>
      </c>
      <c r="B2610" s="1" t="str">
        <f>IFERROR(__xludf.DUMMYFUNCTION("""COMPUTED_VALUE"""),"bb6c2490")</f>
        <v>bb6c2490</v>
      </c>
      <c r="C2610" s="32">
        <f>IFERROR(__xludf.DUMMYFUNCTION("""COMPUTED_VALUE"""),46150.596875)</f>
        <v>46150.59688</v>
      </c>
      <c r="D2610" s="1">
        <f>IFERROR(__xludf.DUMMYFUNCTION("""COMPUTED_VALUE"""),-8.0)</f>
        <v>-8</v>
      </c>
      <c r="E2610" s="1"/>
      <c r="F2610" s="1"/>
    </row>
    <row r="2611">
      <c r="A2611" s="1" t="str">
        <f>IFERROR(__xludf.DUMMYFUNCTION("""COMPUTED_VALUE"""),"22cd9708")</f>
        <v>22cd9708</v>
      </c>
      <c r="B2611" s="1" t="str">
        <f>IFERROR(__xludf.DUMMYFUNCTION("""COMPUTED_VALUE"""),"0001")</f>
        <v>0001</v>
      </c>
      <c r="C2611" s="32">
        <f>IFERROR(__xludf.DUMMYFUNCTION("""COMPUTED_VALUE"""),46150.59709490741)</f>
        <v>46150.59709</v>
      </c>
      <c r="D2611" s="1">
        <f>IFERROR(__xludf.DUMMYFUNCTION("""COMPUTED_VALUE"""),-3.0)</f>
        <v>-3</v>
      </c>
      <c r="E2611" s="1"/>
      <c r="F2611" s="1"/>
    </row>
    <row r="2612">
      <c r="A2612" s="1" t="str">
        <f>IFERROR(__xludf.DUMMYFUNCTION("""COMPUTED_VALUE"""),"9a112345")</f>
        <v>9a112345</v>
      </c>
      <c r="B2612" s="1" t="str">
        <f>IFERROR(__xludf.DUMMYFUNCTION("""COMPUTED_VALUE"""),"c22010ef")</f>
        <v>c22010ef</v>
      </c>
      <c r="C2612" s="32">
        <f>IFERROR(__xludf.DUMMYFUNCTION("""COMPUTED_VALUE"""),46150.59716435185)</f>
        <v>46150.59716</v>
      </c>
      <c r="D2612" s="1">
        <f>IFERROR(__xludf.DUMMYFUNCTION("""COMPUTED_VALUE"""),-2.0)</f>
        <v>-2</v>
      </c>
      <c r="E2612" s="1"/>
      <c r="F2612" s="1"/>
    </row>
    <row r="2613">
      <c r="A2613" s="1" t="str">
        <f>IFERROR(__xludf.DUMMYFUNCTION("""COMPUTED_VALUE"""),"1f852fae")</f>
        <v>1f852fae</v>
      </c>
      <c r="B2613" s="1" t="str">
        <f>IFERROR(__xludf.DUMMYFUNCTION("""COMPUTED_VALUE"""),"d5b5f9d1")</f>
        <v>d5b5f9d1</v>
      </c>
      <c r="C2613" s="32">
        <f>IFERROR(__xludf.DUMMYFUNCTION("""COMPUTED_VALUE"""),46150.597233796296)</f>
        <v>46150.59723</v>
      </c>
      <c r="D2613" s="1">
        <f>IFERROR(__xludf.DUMMYFUNCTION("""COMPUTED_VALUE"""),-15.0)</f>
        <v>-15</v>
      </c>
      <c r="E2613" s="1"/>
      <c r="F2613" s="1"/>
    </row>
    <row r="2614">
      <c r="A2614" s="1" t="str">
        <f>IFERROR(__xludf.DUMMYFUNCTION("""COMPUTED_VALUE"""),"8955d470")</f>
        <v>8955d470</v>
      </c>
      <c r="B2614" s="1" t="str">
        <f>IFERROR(__xludf.DUMMYFUNCTION("""COMPUTED_VALUE"""),"12b96290")</f>
        <v>12b96290</v>
      </c>
      <c r="C2614" s="32">
        <f>IFERROR(__xludf.DUMMYFUNCTION("""COMPUTED_VALUE"""),46150.597407407404)</f>
        <v>46150.59741</v>
      </c>
      <c r="D2614" s="1">
        <f>IFERROR(__xludf.DUMMYFUNCTION("""COMPUTED_VALUE"""),-3.0)</f>
        <v>-3</v>
      </c>
      <c r="E2614" s="1"/>
      <c r="F2614" s="1"/>
    </row>
    <row r="2615">
      <c r="A2615" s="1" t="str">
        <f>IFERROR(__xludf.DUMMYFUNCTION("""COMPUTED_VALUE"""),"ecd72845")</f>
        <v>ecd72845</v>
      </c>
      <c r="B2615" s="1" t="str">
        <f>IFERROR(__xludf.DUMMYFUNCTION("""COMPUTED_VALUE"""),"0049")</f>
        <v>0049</v>
      </c>
      <c r="C2615" s="32">
        <f>IFERROR(__xludf.DUMMYFUNCTION("""COMPUTED_VALUE"""),46150.59752314815)</f>
        <v>46150.59752</v>
      </c>
      <c r="D2615" s="1">
        <f>IFERROR(__xludf.DUMMYFUNCTION("""COMPUTED_VALUE"""),-1.0)</f>
        <v>-1</v>
      </c>
      <c r="E2615" s="1"/>
      <c r="F2615" s="1"/>
    </row>
    <row r="2616">
      <c r="A2616" s="1" t="str">
        <f>IFERROR(__xludf.DUMMYFUNCTION("""COMPUTED_VALUE"""),"714e43db")</f>
        <v>714e43db</v>
      </c>
      <c r="B2616" s="1" t="str">
        <f>IFERROR(__xludf.DUMMYFUNCTION("""COMPUTED_VALUE"""),"8ed00567")</f>
        <v>8ed00567</v>
      </c>
      <c r="C2616" s="32">
        <f>IFERROR(__xludf.DUMMYFUNCTION("""COMPUTED_VALUE"""),46150.597592592596)</f>
        <v>46150.59759</v>
      </c>
      <c r="D2616" s="1">
        <f>IFERROR(__xludf.DUMMYFUNCTION("""COMPUTED_VALUE"""),-4.0)</f>
        <v>-4</v>
      </c>
      <c r="E2616" s="1"/>
      <c r="F2616" s="1"/>
    </row>
    <row r="2617">
      <c r="A2617" s="1" t="str">
        <f>IFERROR(__xludf.DUMMYFUNCTION("""COMPUTED_VALUE"""),"0ece6222")</f>
        <v>0ece6222</v>
      </c>
      <c r="B2617" s="1" t="str">
        <f>IFERROR(__xludf.DUMMYFUNCTION("""COMPUTED_VALUE"""),"70bdbe11")</f>
        <v>70bdbe11</v>
      </c>
      <c r="C2617" s="32">
        <f>IFERROR(__xludf.DUMMYFUNCTION("""COMPUTED_VALUE"""),46150.59784722222)</f>
        <v>46150.59785</v>
      </c>
      <c r="D2617" s="1">
        <f>IFERROR(__xludf.DUMMYFUNCTION("""COMPUTED_VALUE"""),-3.0)</f>
        <v>-3</v>
      </c>
      <c r="E2617" s="1"/>
      <c r="F2617" s="1"/>
    </row>
    <row r="2618">
      <c r="A2618" s="1" t="str">
        <f>IFERROR(__xludf.DUMMYFUNCTION("""COMPUTED_VALUE"""),"5393f291")</f>
        <v>5393f291</v>
      </c>
      <c r="B2618" s="1" t="str">
        <f>IFERROR(__xludf.DUMMYFUNCTION("""COMPUTED_VALUE"""),"0029")</f>
        <v>0029</v>
      </c>
      <c r="C2618" s="32">
        <f>IFERROR(__xludf.DUMMYFUNCTION("""COMPUTED_VALUE"""),46150.59847222222)</f>
        <v>46150.59847</v>
      </c>
      <c r="D2618" s="1">
        <f>IFERROR(__xludf.DUMMYFUNCTION("""COMPUTED_VALUE"""),-3.0)</f>
        <v>-3</v>
      </c>
      <c r="E2618" s="1"/>
      <c r="F2618" s="1"/>
    </row>
    <row r="2619">
      <c r="A2619" s="1" t="str">
        <f>IFERROR(__xludf.DUMMYFUNCTION("""COMPUTED_VALUE"""),"bf5bac77")</f>
        <v>bf5bac77</v>
      </c>
      <c r="B2619" s="1" t="str">
        <f>IFERROR(__xludf.DUMMYFUNCTION("""COMPUTED_VALUE"""),"bb6c2490")</f>
        <v>bb6c2490</v>
      </c>
      <c r="C2619" s="32">
        <f>IFERROR(__xludf.DUMMYFUNCTION("""COMPUTED_VALUE"""),46150.60105324074)</f>
        <v>46150.60105</v>
      </c>
      <c r="D2619" s="1">
        <f>IFERROR(__xludf.DUMMYFUNCTION("""COMPUTED_VALUE"""),-14.0)</f>
        <v>-14</v>
      </c>
      <c r="E2619" s="1"/>
      <c r="F2619" s="1"/>
    </row>
    <row r="2620">
      <c r="A2620" s="1" t="str">
        <f>IFERROR(__xludf.DUMMYFUNCTION("""COMPUTED_VALUE"""),"acc63247")</f>
        <v>acc63247</v>
      </c>
      <c r="B2620" s="1" t="str">
        <f>IFERROR(__xludf.DUMMYFUNCTION("""COMPUTED_VALUE"""),"d5b5f9d1")</f>
        <v>d5b5f9d1</v>
      </c>
      <c r="C2620" s="32">
        <f>IFERROR(__xludf.DUMMYFUNCTION("""COMPUTED_VALUE"""),46150.60113425926)</f>
        <v>46150.60113</v>
      </c>
      <c r="D2620" s="1">
        <f>IFERROR(__xludf.DUMMYFUNCTION("""COMPUTED_VALUE"""),-30.0)</f>
        <v>-30</v>
      </c>
      <c r="E2620" s="1"/>
      <c r="F2620" s="1"/>
    </row>
    <row r="2621">
      <c r="A2621" s="1" t="str">
        <f>IFERROR(__xludf.DUMMYFUNCTION("""COMPUTED_VALUE"""),"bec8685c")</f>
        <v>bec8685c</v>
      </c>
      <c r="B2621" s="1" t="str">
        <f>IFERROR(__xludf.DUMMYFUNCTION("""COMPUTED_VALUE"""),"12b96290")</f>
        <v>12b96290</v>
      </c>
      <c r="C2621" s="32">
        <f>IFERROR(__xludf.DUMMYFUNCTION("""COMPUTED_VALUE"""),46150.601377314815)</f>
        <v>46150.60138</v>
      </c>
      <c r="D2621" s="1">
        <f>IFERROR(__xludf.DUMMYFUNCTION("""COMPUTED_VALUE"""),-15.0)</f>
        <v>-15</v>
      </c>
      <c r="E2621" s="1"/>
      <c r="F2621" s="1"/>
    </row>
    <row r="2622">
      <c r="A2622" s="1" t="str">
        <f>IFERROR(__xludf.DUMMYFUNCTION("""COMPUTED_VALUE"""),"2bbfb679")</f>
        <v>2bbfb679</v>
      </c>
      <c r="B2622" s="1" t="str">
        <f>IFERROR(__xludf.DUMMYFUNCTION("""COMPUTED_VALUE"""),"0001")</f>
        <v>0001</v>
      </c>
      <c r="C2622" s="32">
        <f>IFERROR(__xludf.DUMMYFUNCTION("""COMPUTED_VALUE"""),46150.601435185185)</f>
        <v>46150.60144</v>
      </c>
      <c r="D2622" s="1">
        <f>IFERROR(__xludf.DUMMYFUNCTION("""COMPUTED_VALUE"""),-1.0)</f>
        <v>-1</v>
      </c>
      <c r="E2622" s="1"/>
      <c r="F2622" s="1"/>
    </row>
    <row r="2623">
      <c r="A2623" s="1" t="str">
        <f>IFERROR(__xludf.DUMMYFUNCTION("""COMPUTED_VALUE"""),"4fa2bea9")</f>
        <v>4fa2bea9</v>
      </c>
      <c r="B2623" s="1" t="str">
        <f>IFERROR(__xludf.DUMMYFUNCTION("""COMPUTED_VALUE"""),"02d86a9b")</f>
        <v>02d86a9b</v>
      </c>
      <c r="C2623" s="32">
        <f>IFERROR(__xludf.DUMMYFUNCTION("""COMPUTED_VALUE"""),46150.60239583333)</f>
        <v>46150.6024</v>
      </c>
      <c r="D2623" s="1">
        <f>IFERROR(__xludf.DUMMYFUNCTION("""COMPUTED_VALUE"""),-8.0)</f>
        <v>-8</v>
      </c>
      <c r="E2623" s="1"/>
      <c r="F2623" s="1"/>
    </row>
    <row r="2624">
      <c r="A2624" s="1" t="str">
        <f>IFERROR(__xludf.DUMMYFUNCTION("""COMPUTED_VALUE"""),"da27c02d")</f>
        <v>da27c02d</v>
      </c>
      <c r="B2624" s="1" t="str">
        <f>IFERROR(__xludf.DUMMYFUNCTION("""COMPUTED_VALUE"""),"bb4d1bd1")</f>
        <v>bb4d1bd1</v>
      </c>
      <c r="C2624" s="32">
        <f>IFERROR(__xludf.DUMMYFUNCTION("""COMPUTED_VALUE"""),46150.6025)</f>
        <v>46150.6025</v>
      </c>
      <c r="D2624" s="1">
        <f>IFERROR(__xludf.DUMMYFUNCTION("""COMPUTED_VALUE"""),-10.0)</f>
        <v>-10</v>
      </c>
      <c r="E2624" s="1"/>
      <c r="F2624" s="1"/>
    </row>
    <row r="2625">
      <c r="A2625" s="1" t="str">
        <f>IFERROR(__xludf.DUMMYFUNCTION("""COMPUTED_VALUE"""),"c3ee144e")</f>
        <v>c3ee144e</v>
      </c>
      <c r="B2625" s="1" t="str">
        <f>IFERROR(__xludf.DUMMYFUNCTION("""COMPUTED_VALUE"""),"83dd14b5")</f>
        <v>83dd14b5</v>
      </c>
      <c r="C2625" s="32">
        <f>IFERROR(__xludf.DUMMYFUNCTION("""COMPUTED_VALUE"""),46150.6030787037)</f>
        <v>46150.60308</v>
      </c>
      <c r="D2625" s="1">
        <f>IFERROR(__xludf.DUMMYFUNCTION("""COMPUTED_VALUE"""),-23.0)</f>
        <v>-23</v>
      </c>
      <c r="E2625" s="1"/>
      <c r="F2625" s="1"/>
    </row>
    <row r="2626">
      <c r="A2626" s="1" t="str">
        <f>IFERROR(__xludf.DUMMYFUNCTION("""COMPUTED_VALUE"""),"57cb7270")</f>
        <v>57cb7270</v>
      </c>
      <c r="B2626" s="1" t="str">
        <f>IFERROR(__xludf.DUMMYFUNCTION("""COMPUTED_VALUE"""),"0032")</f>
        <v>0032</v>
      </c>
      <c r="C2626" s="32">
        <f>IFERROR(__xludf.DUMMYFUNCTION("""COMPUTED_VALUE"""),46150.60388888889)</f>
        <v>46150.60389</v>
      </c>
      <c r="D2626" s="1">
        <f>IFERROR(__xludf.DUMMYFUNCTION("""COMPUTED_VALUE"""),-6.0)</f>
        <v>-6</v>
      </c>
      <c r="E2626" s="1"/>
      <c r="F2626" s="1"/>
    </row>
    <row r="2627">
      <c r="A2627" s="1" t="str">
        <f>IFERROR(__xludf.DUMMYFUNCTION("""COMPUTED_VALUE"""),"de2cff46")</f>
        <v>de2cff46</v>
      </c>
      <c r="B2627" s="1" t="str">
        <f>IFERROR(__xludf.DUMMYFUNCTION("""COMPUTED_VALUE"""),"bb6c2490")</f>
        <v>bb6c2490</v>
      </c>
      <c r="C2627" s="32">
        <f>IFERROR(__xludf.DUMMYFUNCTION("""COMPUTED_VALUE"""),46150.7043287037)</f>
        <v>46150.70433</v>
      </c>
      <c r="D2627" s="1">
        <f>IFERROR(__xludf.DUMMYFUNCTION("""COMPUTED_VALUE"""),-13.0)</f>
        <v>-13</v>
      </c>
      <c r="E2627" s="1"/>
      <c r="F2627" s="1"/>
    </row>
    <row r="2628">
      <c r="A2628" s="1" t="str">
        <f>IFERROR(__xludf.DUMMYFUNCTION("""COMPUTED_VALUE"""),"c96fe03b")</f>
        <v>c96fe03b</v>
      </c>
      <c r="B2628" s="1" t="str">
        <f>IFERROR(__xludf.DUMMYFUNCTION("""COMPUTED_VALUE"""),"0001")</f>
        <v>0001</v>
      </c>
      <c r="C2628" s="32">
        <f>IFERROR(__xludf.DUMMYFUNCTION("""COMPUTED_VALUE"""),46150.70444444445)</f>
        <v>46150.70444</v>
      </c>
      <c r="D2628" s="1">
        <f>IFERROR(__xludf.DUMMYFUNCTION("""COMPUTED_VALUE"""),-6.0)</f>
        <v>-6</v>
      </c>
      <c r="E2628" s="1"/>
      <c r="F2628" s="1"/>
    </row>
    <row r="2629">
      <c r="A2629" s="1" t="str">
        <f>IFERROR(__xludf.DUMMYFUNCTION("""COMPUTED_VALUE"""),"9281828e")</f>
        <v>9281828e</v>
      </c>
      <c r="B2629" s="1" t="str">
        <f>IFERROR(__xludf.DUMMYFUNCTION("""COMPUTED_VALUE"""),"12b96290")</f>
        <v>12b96290</v>
      </c>
      <c r="C2629" s="32">
        <f>IFERROR(__xludf.DUMMYFUNCTION("""COMPUTED_VALUE"""),46150.70450231482)</f>
        <v>46150.7045</v>
      </c>
      <c r="D2629" s="1">
        <f>IFERROR(__xludf.DUMMYFUNCTION("""COMPUTED_VALUE"""),-10.0)</f>
        <v>-10</v>
      </c>
      <c r="E2629" s="1"/>
      <c r="F2629" s="1"/>
    </row>
    <row r="2630">
      <c r="A2630" s="1" t="str">
        <f>IFERROR(__xludf.DUMMYFUNCTION("""COMPUTED_VALUE"""),"31fe955c")</f>
        <v>31fe955c</v>
      </c>
      <c r="B2630" s="1" t="str">
        <f>IFERROR(__xludf.DUMMYFUNCTION("""COMPUTED_VALUE"""),"d5b5f9d1")</f>
        <v>d5b5f9d1</v>
      </c>
      <c r="C2630" s="32">
        <f>IFERROR(__xludf.DUMMYFUNCTION("""COMPUTED_VALUE"""),46150.70460648148)</f>
        <v>46150.70461</v>
      </c>
      <c r="D2630" s="1">
        <f>IFERROR(__xludf.DUMMYFUNCTION("""COMPUTED_VALUE"""),-15.0)</f>
        <v>-15</v>
      </c>
      <c r="E2630" s="1"/>
      <c r="F2630" s="1"/>
    </row>
    <row r="2631">
      <c r="A2631" s="1" t="str">
        <f>IFERROR(__xludf.DUMMYFUNCTION("""COMPUTED_VALUE"""),"09975b95")</f>
        <v>09975b95</v>
      </c>
      <c r="B2631" s="1" t="str">
        <f>IFERROR(__xludf.DUMMYFUNCTION("""COMPUTED_VALUE"""),"02d86a9b")</f>
        <v>02d86a9b</v>
      </c>
      <c r="C2631" s="32">
        <f>IFERROR(__xludf.DUMMYFUNCTION("""COMPUTED_VALUE"""),46150.70502314815)</f>
        <v>46150.70502</v>
      </c>
      <c r="D2631" s="1">
        <f>IFERROR(__xludf.DUMMYFUNCTION("""COMPUTED_VALUE"""),-24.0)</f>
        <v>-24</v>
      </c>
      <c r="E2631" s="1"/>
      <c r="F2631" s="1"/>
    </row>
    <row r="2632">
      <c r="A2632" s="1" t="str">
        <f>IFERROR(__xludf.DUMMYFUNCTION("""COMPUTED_VALUE"""),"ca429379")</f>
        <v>ca429379</v>
      </c>
      <c r="B2632" s="1" t="str">
        <f>IFERROR(__xludf.DUMMYFUNCTION("""COMPUTED_VALUE"""),"bb4d1bd1")</f>
        <v>bb4d1bd1</v>
      </c>
      <c r="C2632" s="32">
        <f>IFERROR(__xludf.DUMMYFUNCTION("""COMPUTED_VALUE"""),46150.70511574074)</f>
        <v>46150.70512</v>
      </c>
      <c r="D2632" s="1">
        <f>IFERROR(__xludf.DUMMYFUNCTION("""COMPUTED_VALUE"""),-24.0)</f>
        <v>-24</v>
      </c>
      <c r="E2632" s="1"/>
      <c r="F2632" s="1"/>
    </row>
    <row r="2633">
      <c r="A2633" s="1" t="str">
        <f>IFERROR(__xludf.DUMMYFUNCTION("""COMPUTED_VALUE"""),"92d3ef89")</f>
        <v>92d3ef89</v>
      </c>
      <c r="B2633" s="1" t="str">
        <f>IFERROR(__xludf.DUMMYFUNCTION("""COMPUTED_VALUE"""),"0027")</f>
        <v>0027</v>
      </c>
      <c r="C2633" s="32">
        <f>IFERROR(__xludf.DUMMYFUNCTION("""COMPUTED_VALUE"""),46150.70523148148)</f>
        <v>46150.70523</v>
      </c>
      <c r="D2633" s="1">
        <f>IFERROR(__xludf.DUMMYFUNCTION("""COMPUTED_VALUE"""),-25.0)</f>
        <v>-25</v>
      </c>
      <c r="E2633" s="1"/>
      <c r="F2633" s="1"/>
    </row>
    <row r="2634">
      <c r="A2634" s="1" t="str">
        <f>IFERROR(__xludf.DUMMYFUNCTION("""COMPUTED_VALUE"""),"beaa6370")</f>
        <v>beaa6370</v>
      </c>
      <c r="B2634" s="1" t="str">
        <f>IFERROR(__xludf.DUMMYFUNCTION("""COMPUTED_VALUE"""),"0024")</f>
        <v>0024</v>
      </c>
      <c r="C2634" s="32">
        <f>IFERROR(__xludf.DUMMYFUNCTION("""COMPUTED_VALUE"""),46150.705358796295)</f>
        <v>46150.70536</v>
      </c>
      <c r="D2634" s="1">
        <f>IFERROR(__xludf.DUMMYFUNCTION("""COMPUTED_VALUE"""),-5.0)</f>
        <v>-5</v>
      </c>
      <c r="E2634" s="1"/>
      <c r="F2634" s="1"/>
    </row>
    <row r="2635">
      <c r="A2635" s="1" t="str">
        <f>IFERROR(__xludf.DUMMYFUNCTION("""COMPUTED_VALUE"""),"fd2a9a2f")</f>
        <v>fd2a9a2f</v>
      </c>
      <c r="B2635" s="1" t="str">
        <f>IFERROR(__xludf.DUMMYFUNCTION("""COMPUTED_VALUE"""),"0032")</f>
        <v>0032</v>
      </c>
      <c r="C2635" s="32">
        <f>IFERROR(__xludf.DUMMYFUNCTION("""COMPUTED_VALUE"""),46150.70699074074)</f>
        <v>46150.70699</v>
      </c>
      <c r="D2635" s="1">
        <f>IFERROR(__xludf.DUMMYFUNCTION("""COMPUTED_VALUE"""),-3.0)</f>
        <v>-3</v>
      </c>
      <c r="E2635" s="1"/>
      <c r="F2635" s="1"/>
    </row>
    <row r="2636">
      <c r="A2636" s="1" t="str">
        <f>IFERROR(__xludf.DUMMYFUNCTION("""COMPUTED_VALUE"""),"2aacba67")</f>
        <v>2aacba67</v>
      </c>
      <c r="B2636" s="1" t="str">
        <f>IFERROR(__xludf.DUMMYFUNCTION("""COMPUTED_VALUE"""),"0f694cb5")</f>
        <v>0f694cb5</v>
      </c>
      <c r="C2636" s="32">
        <f>IFERROR(__xludf.DUMMYFUNCTION("""COMPUTED_VALUE"""),46150.70748842593)</f>
        <v>46150.70749</v>
      </c>
      <c r="D2636" s="1">
        <f>IFERROR(__xludf.DUMMYFUNCTION("""COMPUTED_VALUE"""),-4.0)</f>
        <v>-4</v>
      </c>
      <c r="E2636" s="1"/>
      <c r="F2636" s="1"/>
    </row>
    <row r="2637">
      <c r="A2637" s="1" t="str">
        <f>IFERROR(__xludf.DUMMYFUNCTION("""COMPUTED_VALUE"""),"91a863e1")</f>
        <v>91a863e1</v>
      </c>
      <c r="B2637" s="1" t="str">
        <f>IFERROR(__xludf.DUMMYFUNCTION("""COMPUTED_VALUE"""),"70bdbe11")</f>
        <v>70bdbe11</v>
      </c>
      <c r="C2637" s="32">
        <f>IFERROR(__xludf.DUMMYFUNCTION("""COMPUTED_VALUE"""),46150.70811342593)</f>
        <v>46150.70811</v>
      </c>
      <c r="D2637" s="1">
        <f>IFERROR(__xludf.DUMMYFUNCTION("""COMPUTED_VALUE"""),-7.0)</f>
        <v>-7</v>
      </c>
      <c r="E2637" s="1"/>
      <c r="F2637" s="1"/>
    </row>
    <row r="2638">
      <c r="A2638" s="1" t="str">
        <f>IFERROR(__xludf.DUMMYFUNCTION("""COMPUTED_VALUE"""),"48b6a6eb")</f>
        <v>48b6a6eb</v>
      </c>
      <c r="B2638" s="1" t="str">
        <f>IFERROR(__xludf.DUMMYFUNCTION("""COMPUTED_VALUE"""),"0011")</f>
        <v>0011</v>
      </c>
      <c r="C2638" s="32">
        <f>IFERROR(__xludf.DUMMYFUNCTION("""COMPUTED_VALUE"""),46150.709027777775)</f>
        <v>46150.70903</v>
      </c>
      <c r="D2638" s="1">
        <f>IFERROR(__xludf.DUMMYFUNCTION("""COMPUTED_VALUE"""),-11.0)</f>
        <v>-11</v>
      </c>
      <c r="E2638" s="1"/>
      <c r="F2638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IFERROR(__xludf.DUMMYFUNCTION("IMPORTRANGE(""https://docs.google.com/spreadsheets/d/1ztUylHNRZZ49JZNwSA5fStR0A_FGNfCYjIeCVRPtVnc/edit?gid=256149249#gid=256149249"",""Items!A:B"")"),"Item ID")</f>
        <v>Item ID</v>
      </c>
      <c r="B1" s="1" t="str">
        <f>IFERROR(__xludf.DUMMYFUNCTION("""COMPUTED_VALUE"""),"Name")</f>
        <v>Name</v>
      </c>
    </row>
    <row r="2">
      <c r="A2" s="1"/>
      <c r="B2" s="1"/>
    </row>
    <row r="3">
      <c r="A3" s="1" t="str">
        <f>IFERROR(__xludf.DUMMYFUNCTION("""COMPUTED_VALUE"""),"0087")</f>
        <v>0087</v>
      </c>
      <c r="B3" s="1" t="str">
        <f>IFERROR(__xludf.DUMMYFUNCTION("""COMPUTED_VALUE"""),"mr.bite strike")</f>
        <v>mr.bite strike</v>
      </c>
    </row>
    <row r="4">
      <c r="A4" s="1" t="str">
        <f>IFERROR(__xludf.DUMMYFUNCTION("""COMPUTED_VALUE"""),"0086")</f>
        <v>0086</v>
      </c>
      <c r="B4" s="1" t="str">
        <f>IFERROR(__xludf.DUMMYFUNCTION("""COMPUTED_VALUE"""),"Mrbeast")</f>
        <v>Mrbeast</v>
      </c>
    </row>
    <row r="5">
      <c r="A5" s="1"/>
      <c r="B5" s="1"/>
    </row>
    <row r="6">
      <c r="A6" s="1" t="str">
        <f>IFERROR(__xludf.DUMMYFUNCTION("""COMPUTED_VALUE"""),"0083")</f>
        <v>0083</v>
      </c>
      <c r="B6" s="1" t="str">
        <f>IFERROR(__xludf.DUMMYFUNCTION("""COMPUTED_VALUE"""),"Doritos real")</f>
        <v>Doritos real</v>
      </c>
    </row>
    <row r="7">
      <c r="A7" s="1" t="str">
        <f>IFERROR(__xludf.DUMMYFUNCTION("""COMPUTED_VALUE"""),"0082")</f>
        <v>0082</v>
      </c>
      <c r="B7" s="1" t="str">
        <f>IFERROR(__xludf.DUMMYFUNCTION("""COMPUTED_VALUE"""),"L suntop")</f>
        <v>L suntop</v>
      </c>
    </row>
    <row r="8">
      <c r="A8" s="1" t="str">
        <f>IFERROR(__xludf.DUMMYFUNCTION("""COMPUTED_VALUE"""),"0081")</f>
        <v>0081</v>
      </c>
      <c r="B8" s="1" t="str">
        <f>IFERROR(__xludf.DUMMYFUNCTION("""COMPUTED_VALUE"""),"Smsm")</f>
        <v>Smsm</v>
      </c>
    </row>
    <row r="9">
      <c r="A9" s="1" t="str">
        <f>IFERROR(__xludf.DUMMYFUNCTION("""COMPUTED_VALUE"""),"0080")</f>
        <v>0080</v>
      </c>
      <c r="B9" s="1" t="str">
        <f>IFERROR(__xludf.DUMMYFUNCTION("""COMPUTED_VALUE"""),"Yasmin Penuts")</f>
        <v>Yasmin Penuts</v>
      </c>
    </row>
    <row r="10">
      <c r="A10" s="1" t="str">
        <f>IFERROR(__xludf.DUMMYFUNCTION("""COMPUTED_VALUE"""),"0079")</f>
        <v>0079</v>
      </c>
      <c r="B10" s="1" t="str">
        <f>IFERROR(__xludf.DUMMYFUNCTION("""COMPUTED_VALUE"""),"Yasmin Almonds")</f>
        <v>Yasmin Almonds</v>
      </c>
    </row>
    <row r="11">
      <c r="A11" s="1" t="str">
        <f>IFERROR(__xludf.DUMMYFUNCTION("""COMPUTED_VALUE"""),"0078")</f>
        <v>0078</v>
      </c>
      <c r="B11" s="1" t="str">
        <f>IFERROR(__xludf.DUMMYFUNCTION("""COMPUTED_VALUE"""),"Mulino Cookis")</f>
        <v>Mulino Cookis</v>
      </c>
    </row>
    <row r="12">
      <c r="A12" s="1" t="str">
        <f>IFERROR(__xludf.DUMMYFUNCTION("""COMPUTED_VALUE"""),"0077")</f>
        <v>0077</v>
      </c>
      <c r="B12" s="1" t="str">
        <f>IFERROR(__xludf.DUMMYFUNCTION("""COMPUTED_VALUE"""),"Saminsa")</f>
        <v>Saminsa</v>
      </c>
    </row>
    <row r="13">
      <c r="A13" s="1" t="str">
        <f>IFERROR(__xludf.DUMMYFUNCTION("""COMPUTED_VALUE"""),"0076")</f>
        <v>0076</v>
      </c>
      <c r="B13" s="1" t="str">
        <f>IFERROR(__xludf.DUMMYFUNCTION("""COMPUTED_VALUE"""),"koren Indomie")</f>
        <v>koren Indomie</v>
      </c>
    </row>
    <row r="14">
      <c r="A14" s="1" t="str">
        <f>IFERROR(__xludf.DUMMYFUNCTION("""COMPUTED_VALUE"""),"0075")</f>
        <v>0075</v>
      </c>
      <c r="B14" s="1" t="str">
        <f>IFERROR(__xludf.DUMMYFUNCTION("""COMPUTED_VALUE"""),"Twix ex")</f>
        <v>Twix ex</v>
      </c>
    </row>
    <row r="15">
      <c r="A15" s="1" t="str">
        <f>IFERROR(__xludf.DUMMYFUNCTION("""COMPUTED_VALUE"""),"0074")</f>
        <v>0074</v>
      </c>
      <c r="B15" s="1" t="str">
        <f>IFERROR(__xludf.DUMMYFUNCTION("""COMPUTED_VALUE"""),"HiPro")</f>
        <v>HiPro</v>
      </c>
    </row>
    <row r="16">
      <c r="A16" s="1" t="str">
        <f>IFERROR(__xludf.DUMMYFUNCTION("""COMPUTED_VALUE"""),"0073")</f>
        <v>0073</v>
      </c>
      <c r="B16" s="1" t="str">
        <f>IFERROR(__xludf.DUMMYFUNCTION("""COMPUTED_VALUE"""),"Rani")</f>
        <v>Rani</v>
      </c>
    </row>
    <row r="17">
      <c r="A17" s="1" t="str">
        <f>IFERROR(__xludf.DUMMYFUNCTION("""COMPUTED_VALUE"""),"0072")</f>
        <v>0072</v>
      </c>
      <c r="B17" s="1" t="str">
        <f>IFERROR(__xludf.DUMMYFUNCTION("""COMPUTED_VALUE"""),"Roshetto")</f>
        <v>Roshetto</v>
      </c>
    </row>
    <row r="18">
      <c r="A18" s="1" t="str">
        <f>IFERROR(__xludf.DUMMYFUNCTION("""COMPUTED_VALUE"""),"0071")</f>
        <v>0071</v>
      </c>
      <c r="B18" s="1" t="str">
        <f>IFERROR(__xludf.DUMMYFUNCTION("""COMPUTED_VALUE"""),"MrCrunch-RingGo")</f>
        <v>MrCrunch-RingGo</v>
      </c>
    </row>
    <row r="19">
      <c r="A19" s="1" t="str">
        <f>IFERROR(__xludf.DUMMYFUNCTION("""COMPUTED_VALUE"""),"0070")</f>
        <v>0070</v>
      </c>
      <c r="B19" s="1" t="str">
        <f>IFERROR(__xludf.DUMMYFUNCTION("""COMPUTED_VALUE"""),"Indomie")</f>
        <v>Indomie</v>
      </c>
    </row>
    <row r="20">
      <c r="A20" s="1" t="str">
        <f>IFERROR(__xludf.DUMMYFUNCTION("""COMPUTED_VALUE"""),"0069")</f>
        <v>0069</v>
      </c>
      <c r="B20" s="1" t="str">
        <f>IFERROR(__xludf.DUMMYFUNCTION("""COMPUTED_VALUE"""),"ToraBika capp")</f>
        <v>ToraBika capp</v>
      </c>
    </row>
    <row r="21">
      <c r="A21" s="1"/>
      <c r="B21" s="1"/>
    </row>
    <row r="22">
      <c r="A22" s="1" t="str">
        <f>IFERROR(__xludf.DUMMYFUNCTION("""COMPUTED_VALUE"""),"0067")</f>
        <v>0067</v>
      </c>
      <c r="B22" s="1" t="str">
        <f>IFERROR(__xludf.DUMMYFUNCTION("""COMPUTED_VALUE"""),"Nuts")</f>
        <v>Nuts</v>
      </c>
    </row>
    <row r="23">
      <c r="A23" s="1"/>
      <c r="B23" s="1"/>
    </row>
    <row r="24">
      <c r="A24" s="1" t="str">
        <f>IFERROR(__xludf.DUMMYFUNCTION("""COMPUTED_VALUE"""),"0065")</f>
        <v>0065</v>
      </c>
      <c r="B24" s="1" t="str">
        <f>IFERROR(__xludf.DUMMYFUNCTION("""COMPUTED_VALUE"""),"Dallas juice")</f>
        <v>Dallas juice</v>
      </c>
    </row>
    <row r="25">
      <c r="A25" s="1" t="str">
        <f>IFERROR(__xludf.DUMMYFUNCTION("""COMPUTED_VALUE"""),"0064")</f>
        <v>0064</v>
      </c>
      <c r="B25" s="1" t="str">
        <f>IFERROR(__xludf.DUMMYFUNCTION("""COMPUTED_VALUE"""),"SunTop Almarai Strawberry")</f>
        <v>SunTop Almarai Strawberry</v>
      </c>
    </row>
    <row r="26">
      <c r="A26" s="1" t="str">
        <f>IFERROR(__xludf.DUMMYFUNCTION("""COMPUTED_VALUE"""),"0063")</f>
        <v>0063</v>
      </c>
      <c r="B26" s="1" t="str">
        <f>IFERROR(__xludf.DUMMYFUNCTION("""COMPUTED_VALUE"""),"PopCorn Chocolate")</f>
        <v>PopCorn Chocolate</v>
      </c>
    </row>
    <row r="27">
      <c r="A27" s="1" t="str">
        <f>IFERROR(__xludf.DUMMYFUNCTION("""COMPUTED_VALUE"""),"0062")</f>
        <v>0062</v>
      </c>
      <c r="B27" s="1" t="str">
        <f>IFERROR(__xludf.DUMMYFUNCTION("""COMPUTED_VALUE"""),"Jannaty")</f>
        <v>Jannaty</v>
      </c>
    </row>
    <row r="28">
      <c r="A28" s="1" t="str">
        <f>IFERROR(__xludf.DUMMYFUNCTION("""COMPUTED_VALUE"""),"0061")</f>
        <v>0061</v>
      </c>
      <c r="B28" s="1" t="str">
        <f>IFERROR(__xludf.DUMMYFUNCTION("""COMPUTED_VALUE"""),"Prime")</f>
        <v>Prime</v>
      </c>
    </row>
    <row r="29">
      <c r="A29" s="1" t="str">
        <f>IFERROR(__xludf.DUMMYFUNCTION("""COMPUTED_VALUE"""),"0060")</f>
        <v>0060</v>
      </c>
      <c r="B29" s="1" t="str">
        <f>IFERROR(__xludf.DUMMYFUNCTION("""COMPUTED_VALUE"""),"zigi marinated peanuts")</f>
        <v>zigi marinated peanuts</v>
      </c>
    </row>
    <row r="30">
      <c r="A30" s="1" t="str">
        <f>IFERROR(__xludf.DUMMYFUNCTION("""COMPUTED_VALUE"""),"0059")</f>
        <v>0059</v>
      </c>
      <c r="B30" s="1" t="str">
        <f>IFERROR(__xludf.DUMMYFUNCTION("""COMPUTED_VALUE"""),"Toren Dark Chocolate")</f>
        <v>Toren Dark Chocolate</v>
      </c>
    </row>
    <row r="31">
      <c r="A31" s="1" t="str">
        <f>IFERROR(__xludf.DUMMYFUNCTION("""COMPUTED_VALUE"""),"0058")</f>
        <v>0058</v>
      </c>
      <c r="B31" s="1" t="str">
        <f>IFERROR(__xludf.DUMMYFUNCTION("""COMPUTED_VALUE"""),"Today Chocolate")</f>
        <v>Today Chocolate</v>
      </c>
    </row>
    <row r="32">
      <c r="A32" s="1" t="str">
        <f>IFERROR(__xludf.DUMMYFUNCTION("""COMPUTED_VALUE"""),"0057")</f>
        <v>0057</v>
      </c>
      <c r="B32" s="1" t="str">
        <f>IFERROR(__xludf.DUMMYFUNCTION("""COMPUTED_VALUE"""),"ifruit juice")</f>
        <v>ifruit juice</v>
      </c>
    </row>
    <row r="33">
      <c r="A33" s="1" t="str">
        <f>IFERROR(__xludf.DUMMYFUNCTION("""COMPUTED_VALUE"""),"0056")</f>
        <v>0056</v>
      </c>
      <c r="B33" s="1" t="str">
        <f>IFERROR(__xludf.DUMMYFUNCTION("""COMPUTED_VALUE"""),"Bourbon biscuit")</f>
        <v>Bourbon biscuit</v>
      </c>
    </row>
    <row r="34">
      <c r="A34" s="1" t="str">
        <f>IFERROR(__xludf.DUMMYFUNCTION("""COMPUTED_VALUE"""),"0055")</f>
        <v>0055</v>
      </c>
      <c r="B34" s="1" t="str">
        <f>IFERROR(__xludf.DUMMYFUNCTION("""COMPUTED_VALUE"""),"Tropia")</f>
        <v>Tropia</v>
      </c>
    </row>
    <row r="35">
      <c r="A35" s="1" t="str">
        <f>IFERROR(__xludf.DUMMYFUNCTION("""COMPUTED_VALUE"""),"0054")</f>
        <v>0054</v>
      </c>
      <c r="B35" s="1" t="str">
        <f>IFERROR(__xludf.DUMMYFUNCTION("""COMPUTED_VALUE"""),"Mirinda apple")</f>
        <v>Mirinda apple</v>
      </c>
    </row>
    <row r="36">
      <c r="A36" s="1" t="str">
        <f>IFERROR(__xludf.DUMMYFUNCTION("""COMPUTED_VALUE"""),"0053")</f>
        <v>0053</v>
      </c>
      <c r="B36" s="1" t="str">
        <f>IFERROR(__xludf.DUMMYFUNCTION("""COMPUTED_VALUE"""),"7up")</f>
        <v>7up</v>
      </c>
    </row>
    <row r="37">
      <c r="A37" s="1" t="str">
        <f>IFERROR(__xludf.DUMMYFUNCTION("""COMPUTED_VALUE"""),"0052")</f>
        <v>0052</v>
      </c>
      <c r="B37" s="1" t="str">
        <f>IFERROR(__xludf.DUMMYFUNCTION("""COMPUTED_VALUE"""),"MR Crunch cheese")</f>
        <v>MR Crunch cheese</v>
      </c>
    </row>
    <row r="38">
      <c r="A38" s="1" t="str">
        <f>IFERROR(__xludf.DUMMYFUNCTION("""COMPUTED_VALUE"""),"0051")</f>
        <v>0051</v>
      </c>
      <c r="B38" s="1" t="str">
        <f>IFERROR(__xludf.DUMMYFUNCTION("""COMPUTED_VALUE"""),"Justo Drink")</f>
        <v>Justo Drink</v>
      </c>
    </row>
    <row r="39">
      <c r="A39" s="1" t="str">
        <f>IFERROR(__xludf.DUMMYFUNCTION("""COMPUTED_VALUE"""),"0050")</f>
        <v>0050</v>
      </c>
      <c r="B39" s="1" t="str">
        <f>IFERROR(__xludf.DUMMYFUNCTION("""COMPUTED_VALUE"""),"Ivsar water")</f>
        <v>Ivsar water</v>
      </c>
    </row>
    <row r="40">
      <c r="A40" s="1" t="str">
        <f>IFERROR(__xludf.DUMMYFUNCTION("""COMPUTED_VALUE"""),"0049")</f>
        <v>0049</v>
      </c>
      <c r="B40" s="1" t="str">
        <f>IFERROR(__xludf.DUMMYFUNCTION("""COMPUTED_VALUE"""),"Haribo")</f>
        <v>Haribo</v>
      </c>
    </row>
    <row r="41">
      <c r="A41" s="1" t="str">
        <f>IFERROR(__xludf.DUMMYFUNCTION("""COMPUTED_VALUE"""),"0048")</f>
        <v>0048</v>
      </c>
      <c r="B41" s="1" t="str">
        <f>IFERROR(__xludf.DUMMYFUNCTION("""COMPUTED_VALUE"""),"Kinder bueno1stick")</f>
        <v>Kinder bueno1stick</v>
      </c>
    </row>
    <row r="42">
      <c r="A42" s="1"/>
      <c r="B42" s="1"/>
    </row>
    <row r="43">
      <c r="A43" s="1" t="str">
        <f>IFERROR(__xludf.DUMMYFUNCTION("""COMPUTED_VALUE"""),"0046")</f>
        <v>0046</v>
      </c>
      <c r="B43" s="1" t="str">
        <f>IFERROR(__xludf.DUMMYFUNCTION("""COMPUTED_VALUE"""),"Chocolate Drink")</f>
        <v>Chocolate Drink</v>
      </c>
    </row>
    <row r="44">
      <c r="A44" s="1" t="str">
        <f>IFERROR(__xludf.DUMMYFUNCTION("""COMPUTED_VALUE"""),"0045")</f>
        <v>0045</v>
      </c>
      <c r="B44" s="1" t="str">
        <f>IFERROR(__xludf.DUMMYFUNCTION("""COMPUTED_VALUE"""),"Natural Grape")</f>
        <v>Natural Grape</v>
      </c>
    </row>
    <row r="45">
      <c r="A45" s="1" t="str">
        <f>IFERROR(__xludf.DUMMYFUNCTION("""COMPUTED_VALUE"""),"0044")</f>
        <v>0044</v>
      </c>
      <c r="B45" s="1" t="str">
        <f>IFERROR(__xludf.DUMMYFUNCTION("""COMPUTED_VALUE"""),"Caser Juice")</f>
        <v>Caser Juice</v>
      </c>
    </row>
    <row r="46">
      <c r="A46" s="1" t="str">
        <f>IFERROR(__xludf.DUMMYFUNCTION("""COMPUTED_VALUE"""),"0043")</f>
        <v>0043</v>
      </c>
      <c r="B46" s="1" t="str">
        <f>IFERROR(__xludf.DUMMYFUNCTION("""COMPUTED_VALUE"""),"MrCrunch")</f>
        <v>MrCrunch</v>
      </c>
    </row>
    <row r="47">
      <c r="A47" s="1" t="str">
        <f>IFERROR(__xludf.DUMMYFUNCTION("""COMPUTED_VALUE"""),"0042")</f>
        <v>0042</v>
      </c>
      <c r="B47" s="1" t="str">
        <f>IFERROR(__xludf.DUMMYFUNCTION("""COMPUTED_VALUE"""),"Green")</f>
        <v>Green</v>
      </c>
    </row>
    <row r="48">
      <c r="A48" s="1" t="str">
        <f>IFERROR(__xludf.DUMMYFUNCTION("""COMPUTED_VALUE"""),"0041")</f>
        <v>0041</v>
      </c>
      <c r="B48" s="1" t="str">
        <f>IFERROR(__xludf.DUMMYFUNCTION("""COMPUTED_VALUE"""),"Pretzels")</f>
        <v>Pretzels</v>
      </c>
    </row>
    <row r="49">
      <c r="A49" s="1" t="str">
        <f>IFERROR(__xludf.DUMMYFUNCTION("""COMPUTED_VALUE"""),"0040")</f>
        <v>0040</v>
      </c>
      <c r="B49" s="1" t="str">
        <f>IFERROR(__xludf.DUMMYFUNCTION("""COMPUTED_VALUE"""),"KitKat")</f>
        <v>KitKat</v>
      </c>
    </row>
    <row r="50">
      <c r="A50" s="1" t="str">
        <f>IFERROR(__xludf.DUMMYFUNCTION("""COMPUTED_VALUE"""),"0039")</f>
        <v>0039</v>
      </c>
      <c r="B50" s="1" t="str">
        <f>IFERROR(__xludf.DUMMYFUNCTION("""COMPUTED_VALUE"""),"Feiny Biscuits")</f>
        <v>Feiny Biscuits</v>
      </c>
    </row>
    <row r="51">
      <c r="A51" s="1" t="str">
        <f>IFERROR(__xludf.DUMMYFUNCTION("""COMPUTED_VALUE"""),"0038")</f>
        <v>0038</v>
      </c>
      <c r="B51" s="1" t="str">
        <f>IFERROR(__xludf.DUMMYFUNCTION("""COMPUTED_VALUE"""),"Lovita cookies")</f>
        <v>Lovita cookies</v>
      </c>
    </row>
    <row r="52">
      <c r="A52" s="1" t="str">
        <f>IFERROR(__xludf.DUMMYFUNCTION("""COMPUTED_VALUE"""),"0037")</f>
        <v>0037</v>
      </c>
      <c r="B52" s="1" t="str">
        <f>IFERROR(__xludf.DUMMYFUNCTION("""COMPUTED_VALUE"""),"Digestive")</f>
        <v>Digestive</v>
      </c>
    </row>
    <row r="53">
      <c r="A53" s="1" t="str">
        <f>IFERROR(__xludf.DUMMYFUNCTION("""COMPUTED_VALUE"""),"0036")</f>
        <v>0036</v>
      </c>
      <c r="B53" s="1" t="str">
        <f>IFERROR(__xludf.DUMMYFUNCTION("""COMPUTED_VALUE"""),"Kunuz Juice")</f>
        <v>Kunuz Juice</v>
      </c>
    </row>
    <row r="54">
      <c r="A54" s="1" t="str">
        <f>IFERROR(__xludf.DUMMYFUNCTION("""COMPUTED_VALUE"""),"0035")</f>
        <v>0035</v>
      </c>
      <c r="B54" s="1" t="str">
        <f>IFERROR(__xludf.DUMMYFUNCTION("""COMPUTED_VALUE"""),"Sirma")</f>
        <v>Sirma</v>
      </c>
    </row>
    <row r="55">
      <c r="A55" s="1" t="str">
        <f>IFERROR(__xludf.DUMMYFUNCTION("""COMPUTED_VALUE"""),"0033")</f>
        <v>0033</v>
      </c>
      <c r="B55" s="1" t="str">
        <f>IFERROR(__xludf.DUMMYFUNCTION("""COMPUTED_VALUE"""),"Corissant Karuzo")</f>
        <v>Corissant Karuzo</v>
      </c>
    </row>
    <row r="56">
      <c r="A56" s="1" t="str">
        <f>IFERROR(__xludf.DUMMYFUNCTION("""COMPUTED_VALUE"""),"0032")</f>
        <v>0032</v>
      </c>
      <c r="B56" s="1" t="str">
        <f>IFERROR(__xludf.DUMMYFUNCTION("""COMPUTED_VALUE"""),"SunTop Almarai Chocolate")</f>
        <v>SunTop Almarai Chocolate</v>
      </c>
    </row>
    <row r="57">
      <c r="A57" s="1" t="str">
        <f>IFERROR(__xludf.DUMMYFUNCTION("""COMPUTED_VALUE"""),"0031")</f>
        <v>0031</v>
      </c>
      <c r="B57" s="1" t="str">
        <f>IFERROR(__xludf.DUMMYFUNCTION("""COMPUTED_VALUE"""),"Rauch Drink")</f>
        <v>Rauch Drink</v>
      </c>
    </row>
    <row r="58">
      <c r="A58" s="1" t="str">
        <f>IFERROR(__xludf.DUMMYFUNCTION("""COMPUTED_VALUE"""),"0030")</f>
        <v>0030</v>
      </c>
      <c r="B58" s="1" t="str">
        <f>IFERROR(__xludf.DUMMYFUNCTION("""COMPUTED_VALUE"""),"Mars")</f>
        <v>Mars</v>
      </c>
    </row>
    <row r="59">
      <c r="A59" s="1" t="str">
        <f>IFERROR(__xludf.DUMMYFUNCTION("""COMPUTED_VALUE"""),"0029")</f>
        <v>0029</v>
      </c>
      <c r="B59" s="1" t="str">
        <f>IFERROR(__xludf.DUMMYFUNCTION("""COMPUTED_VALUE"""),"Pepsi")</f>
        <v>Pepsi</v>
      </c>
    </row>
    <row r="60">
      <c r="A60" s="1" t="str">
        <f>IFERROR(__xludf.DUMMYFUNCTION("""COMPUTED_VALUE"""),"0028")</f>
        <v>0028</v>
      </c>
      <c r="B60" s="1" t="str">
        <f>IFERROR(__xludf.DUMMYFUNCTION("""COMPUTED_VALUE"""),"Snickers")</f>
        <v>Snickers</v>
      </c>
    </row>
    <row r="61">
      <c r="A61" s="1" t="str">
        <f>IFERROR(__xludf.DUMMYFUNCTION("""COMPUTED_VALUE"""),"0027")</f>
        <v>0027</v>
      </c>
      <c r="B61" s="1" t="str">
        <f>IFERROR(__xludf.DUMMYFUNCTION("""COMPUTED_VALUE"""),"Gardena")</f>
        <v>Gardena</v>
      </c>
    </row>
    <row r="62">
      <c r="A62" s="1" t="str">
        <f>IFERROR(__xludf.DUMMYFUNCTION("""COMPUTED_VALUE"""),"0026")</f>
        <v>0026</v>
      </c>
      <c r="B62" s="1" t="str">
        <f>IFERROR(__xludf.DUMMYFUNCTION("""COMPUTED_VALUE"""),"Bounty")</f>
        <v>Bounty</v>
      </c>
    </row>
    <row r="63">
      <c r="A63" s="1" t="str">
        <f>IFERROR(__xludf.DUMMYFUNCTION("""COMPUTED_VALUE"""),"0025")</f>
        <v>0025</v>
      </c>
      <c r="B63" s="1" t="str">
        <f>IFERROR(__xludf.DUMMYFUNCTION("""COMPUTED_VALUE"""),"Twix")</f>
        <v>Twix</v>
      </c>
    </row>
    <row r="64">
      <c r="A64" s="1" t="str">
        <f>IFERROR(__xludf.DUMMYFUNCTION("""COMPUTED_VALUE"""),"0024")</f>
        <v>0024</v>
      </c>
      <c r="B64" s="1" t="str">
        <f>IFERROR(__xludf.DUMMYFUNCTION("""COMPUTED_VALUE"""),"kinder delice")</f>
        <v>kinder delice</v>
      </c>
    </row>
    <row r="65">
      <c r="A65" s="1" t="str">
        <f>IFERROR(__xludf.DUMMYFUNCTION("""COMPUTED_VALUE"""),"0023")</f>
        <v>0023</v>
      </c>
      <c r="B65" s="1" t="str">
        <f>IFERROR(__xludf.DUMMYFUNCTION("""COMPUTED_VALUE"""),"Freez")</f>
        <v>Freez</v>
      </c>
    </row>
    <row r="66">
      <c r="A66" s="1" t="str">
        <f>IFERROR(__xludf.DUMMYFUNCTION("""COMPUTED_VALUE"""),"0022")</f>
        <v>0022</v>
      </c>
      <c r="B66" s="1" t="str">
        <f>IFERROR(__xludf.DUMMYFUNCTION("""COMPUTED_VALUE"""),"bonart")</f>
        <v>bonart</v>
      </c>
    </row>
    <row r="67">
      <c r="A67" s="1" t="str">
        <f>IFERROR(__xludf.DUMMYFUNCTION("""COMPUTED_VALUE"""),"0021")</f>
        <v>0021</v>
      </c>
      <c r="B67" s="1" t="str">
        <f>IFERROR(__xludf.DUMMYFUNCTION("""COMPUTED_VALUE"""),"Laviva")</f>
        <v>Laviva</v>
      </c>
    </row>
    <row r="68">
      <c r="A68" s="1" t="str">
        <f>IFERROR(__xludf.DUMMYFUNCTION("""COMPUTED_VALUE"""),"0020")</f>
        <v>0020</v>
      </c>
      <c r="B68" s="1" t="str">
        <f>IFERROR(__xludf.DUMMYFUNCTION("""COMPUTED_VALUE"""),"mm")</f>
        <v>mm</v>
      </c>
    </row>
    <row r="69">
      <c r="A69" s="1" t="str">
        <f>IFERROR(__xludf.DUMMYFUNCTION("""COMPUTED_VALUE"""),"0019")</f>
        <v>0019</v>
      </c>
      <c r="B69" s="1" t="str">
        <f>IFERROR(__xludf.DUMMYFUNCTION("""COMPUTED_VALUE"""),"mr bite")</f>
        <v>mr bite</v>
      </c>
    </row>
    <row r="70">
      <c r="A70" s="1" t="str">
        <f>IFERROR(__xludf.DUMMYFUNCTION("""COMPUTED_VALUE"""),"0018")</f>
        <v>0018</v>
      </c>
      <c r="B70" s="1" t="str">
        <f>IFERROR(__xludf.DUMMYFUNCTION("""COMPUTED_VALUE"""),"Takis")</f>
        <v>Takis</v>
      </c>
    </row>
    <row r="71">
      <c r="A71" s="1" t="str">
        <f>IFERROR(__xludf.DUMMYFUNCTION("""COMPUTED_VALUE"""),"0017")</f>
        <v>0017</v>
      </c>
      <c r="B71" s="1" t="str">
        <f>IFERROR(__xludf.DUMMYFUNCTION("""COMPUTED_VALUE"""),"Doritos Dinamita")</f>
        <v>Doritos Dinamita</v>
      </c>
    </row>
    <row r="72">
      <c r="A72" s="1" t="str">
        <f>IFERROR(__xludf.DUMMYFUNCTION("""COMPUTED_VALUE"""),"0016")</f>
        <v>0016</v>
      </c>
      <c r="B72" s="1" t="str">
        <f>IFERROR(__xludf.DUMMYFUNCTION("""COMPUTED_VALUE"""),"wafe'up")</f>
        <v>wafe'up</v>
      </c>
    </row>
    <row r="73">
      <c r="A73" s="1" t="str">
        <f>IFERROR(__xludf.DUMMYFUNCTION("""COMPUTED_VALUE"""),"0015")</f>
        <v>0015</v>
      </c>
      <c r="B73" s="1" t="str">
        <f>IFERROR(__xludf.DUMMYFUNCTION("""COMPUTED_VALUE"""),"kinza lemon")</f>
        <v>kinza lemon</v>
      </c>
    </row>
    <row r="74">
      <c r="A74" s="1" t="str">
        <f>IFERROR(__xludf.DUMMYFUNCTION("""COMPUTED_VALUE"""),"0014")</f>
        <v>0014</v>
      </c>
      <c r="B74" s="1" t="str">
        <f>IFERROR(__xludf.DUMMYFUNCTION("""COMPUTED_VALUE"""),"Kinder Bueno")</f>
        <v>Kinder Bueno</v>
      </c>
    </row>
    <row r="75">
      <c r="A75" s="1"/>
      <c r="B75" s="1"/>
    </row>
    <row r="76">
      <c r="A76" s="1" t="str">
        <f>IFERROR(__xludf.DUMMYFUNCTION("""COMPUTED_VALUE"""),"0012")</f>
        <v>0012</v>
      </c>
      <c r="B76" s="1" t="str">
        <f>IFERROR(__xludf.DUMMYFUNCTION("""COMPUTED_VALUE"""),"sunTop")</f>
        <v>sunTop</v>
      </c>
    </row>
    <row r="77">
      <c r="A77" s="1" t="str">
        <f>IFERROR(__xludf.DUMMYFUNCTION("""COMPUTED_VALUE"""),"0011")</f>
        <v>0011</v>
      </c>
      <c r="B77" s="1" t="str">
        <f>IFERROR(__xludf.DUMMYFUNCTION("""COMPUTED_VALUE"""),"X!R")</f>
        <v>X!R</v>
      </c>
    </row>
    <row r="78">
      <c r="A78" s="1" t="str">
        <f>IFERROR(__xludf.DUMMYFUNCTION("""COMPUTED_VALUE"""),"0010")</f>
        <v>0010</v>
      </c>
      <c r="B78" s="1" t="str">
        <f>IFERROR(__xludf.DUMMYFUNCTION("""COMPUTED_VALUE"""),"Skittles")</f>
        <v>Skittles</v>
      </c>
    </row>
    <row r="79">
      <c r="A79" s="1" t="str">
        <f>IFERROR(__xludf.DUMMYFUNCTION("""COMPUTED_VALUE"""),"0009")</f>
        <v>0009</v>
      </c>
      <c r="B79" s="1" t="str">
        <f>IFERROR(__xludf.DUMMYFUNCTION("""COMPUTED_VALUE"""),"Pepsi 500ml")</f>
        <v>Pepsi 500ml</v>
      </c>
    </row>
    <row r="80">
      <c r="A80" s="1" t="str">
        <f>IFERROR(__xludf.DUMMYFUNCTION("""COMPUTED_VALUE"""),"0008")</f>
        <v>0008</v>
      </c>
      <c r="B80" s="1" t="str">
        <f>IFERROR(__xludf.DUMMYFUNCTION("""COMPUTED_VALUE"""),"Xo Energy")</f>
        <v>Xo Energy</v>
      </c>
    </row>
    <row r="81">
      <c r="A81" s="1" t="str">
        <f>IFERROR(__xludf.DUMMYFUNCTION("""COMPUTED_VALUE"""),"0006")</f>
        <v>0006</v>
      </c>
      <c r="B81" s="1" t="str">
        <f>IFERROR(__xludf.DUMMYFUNCTION("""COMPUTED_VALUE"""),"Tiger *12 cheese")</f>
        <v>Tiger *12 cheese</v>
      </c>
    </row>
    <row r="82">
      <c r="A82" s="1" t="str">
        <f>IFERROR(__xludf.DUMMYFUNCTION("""COMPUTED_VALUE"""),"0005")</f>
        <v>0005</v>
      </c>
      <c r="B82" s="1" t="str">
        <f>IFERROR(__xludf.DUMMYFUNCTION("""COMPUTED_VALUE"""),"Schweppes")</f>
        <v>Schweppes</v>
      </c>
    </row>
    <row r="83">
      <c r="A83" s="1" t="str">
        <f>IFERROR(__xludf.DUMMYFUNCTION("""COMPUTED_VALUE"""),"0004")</f>
        <v>0004</v>
      </c>
      <c r="B83" s="1" t="str">
        <f>IFERROR(__xludf.DUMMYFUNCTION("""COMPUTED_VALUE"""),"Skittles drink")</f>
        <v>Skittles drink</v>
      </c>
    </row>
    <row r="84">
      <c r="A84" s="1" t="str">
        <f>IFERROR(__xludf.DUMMYFUNCTION("""COMPUTED_VALUE"""),"0003")</f>
        <v>0003</v>
      </c>
      <c r="B84" s="1" t="str">
        <f>IFERROR(__xludf.DUMMYFUNCTION("""COMPUTED_VALUE"""),"Maltesers")</f>
        <v>Maltesers</v>
      </c>
    </row>
    <row r="85">
      <c r="A85" s="1" t="str">
        <f>IFERROR(__xludf.DUMMYFUNCTION("""COMPUTED_VALUE"""),"0002")</f>
        <v>0002</v>
      </c>
      <c r="B85" s="1" t="str">
        <f>IFERROR(__xludf.DUMMYFUNCTION("""COMPUTED_VALUE"""),"Water")</f>
        <v>Water</v>
      </c>
    </row>
    <row r="86">
      <c r="A86" s="1" t="str">
        <f>IFERROR(__xludf.DUMMYFUNCTION("""COMPUTED_VALUE"""),"0001")</f>
        <v>0001</v>
      </c>
      <c r="B86" s="1" t="str">
        <f>IFERROR(__xludf.DUMMYFUNCTION("""COMPUTED_VALUE"""),"Doritos")</f>
        <v>Doritos</v>
      </c>
    </row>
    <row r="87">
      <c r="A87" s="1"/>
      <c r="B87" s="1"/>
    </row>
    <row r="88">
      <c r="A88" s="1" t="str">
        <f>IFERROR(__xludf.DUMMYFUNCTION("""COMPUTED_VALUE"""),"e7e30487")</f>
        <v>e7e30487</v>
      </c>
      <c r="B88" s="1" t="str">
        <f>IFERROR(__xludf.DUMMYFUNCTION("""COMPUTED_VALUE"""),"Tiger paprika")</f>
        <v>Tiger paprika</v>
      </c>
    </row>
    <row r="89">
      <c r="A89" s="1" t="str">
        <f>IFERROR(__xludf.DUMMYFUNCTION("""COMPUTED_VALUE"""),"52c15a06")</f>
        <v>52c15a06</v>
      </c>
      <c r="B89" s="1" t="str">
        <f>IFERROR(__xludf.DUMMYFUNCTION("""COMPUTED_VALUE"""),"Tiger kebab")</f>
        <v>Tiger kebab</v>
      </c>
    </row>
    <row r="90">
      <c r="A90" s="1" t="str">
        <f>IFERROR(__xludf.DUMMYFUNCTION("""COMPUTED_VALUE"""),"9f3ec79c")</f>
        <v>9f3ec79c</v>
      </c>
      <c r="B90" s="1" t="str">
        <f>IFERROR(__xludf.DUMMYFUNCTION("""COMPUTED_VALUE"""),"Tiger chili and lemon")</f>
        <v>Tiger chili and lemon</v>
      </c>
    </row>
    <row r="91">
      <c r="A91" s="1" t="str">
        <f>IFERROR(__xludf.DUMMYFUNCTION("""COMPUTED_VALUE"""),"492147d3")</f>
        <v>492147d3</v>
      </c>
      <c r="B91" s="1" t="str">
        <f>IFERROR(__xludf.DUMMYFUNCTION("""COMPUTED_VALUE"""),"Tiger tomato")</f>
        <v>Tiger tomato</v>
      </c>
    </row>
    <row r="92">
      <c r="A92" s="1" t="str">
        <f>IFERROR(__xludf.DUMMYFUNCTION("""COMPUTED_VALUE"""),"e509f31d")</f>
        <v>e509f31d</v>
      </c>
      <c r="B92" s="1" t="str">
        <f>IFERROR(__xludf.DUMMYFUNCTION("""COMPUTED_VALUE"""),"Tiger sweet chili")</f>
        <v>Tiger sweet chili</v>
      </c>
    </row>
    <row r="93">
      <c r="A93" s="1" t="str">
        <f>IFERROR(__xludf.DUMMYFUNCTION("""COMPUTED_VALUE"""),"308fcfb2")</f>
        <v>308fcfb2</v>
      </c>
      <c r="B93" s="1" t="str">
        <f>IFERROR(__xludf.DUMMYFUNCTION("""COMPUTED_VALUE"""),"MR Crunch Crunchy fries")</f>
        <v>MR Crunch Crunchy fries</v>
      </c>
    </row>
    <row r="94">
      <c r="A94" s="1" t="str">
        <f>IFERROR(__xludf.DUMMYFUNCTION("""COMPUTED_VALUE"""),"e28d366b")</f>
        <v>e28d366b</v>
      </c>
      <c r="B94" s="1" t="str">
        <f>IFERROR(__xludf.DUMMYFUNCTION("""COMPUTED_VALUE"""),"Mr Crunch Veggys")</f>
        <v>Mr Crunch Veggys</v>
      </c>
    </row>
    <row r="95">
      <c r="A95" s="1"/>
      <c r="B95" s="1"/>
    </row>
    <row r="96">
      <c r="A96" s="1" t="str">
        <f>IFERROR(__xludf.DUMMYFUNCTION("""COMPUTED_VALUE"""),"6670c5c1")</f>
        <v>6670c5c1</v>
      </c>
      <c r="B96" s="1" t="str">
        <f>IFERROR(__xludf.DUMMYFUNCTION("""COMPUTED_VALUE"""),"Vita go")</f>
        <v>Vita go</v>
      </c>
    </row>
    <row r="97">
      <c r="A97" s="1"/>
      <c r="B97" s="1"/>
    </row>
    <row r="98">
      <c r="A98" s="1"/>
      <c r="B98" s="1"/>
    </row>
    <row r="99">
      <c r="A99" s="1" t="str">
        <f>IFERROR(__xludf.DUMMYFUNCTION("""COMPUTED_VALUE"""),"2a5b5163")</f>
        <v>2a5b5163</v>
      </c>
      <c r="B99" s="1" t="str">
        <f>IFERROR(__xludf.DUMMYFUNCTION("""COMPUTED_VALUE"""),"Coco mix")</f>
        <v>Coco mix</v>
      </c>
    </row>
    <row r="100">
      <c r="A100" s="1"/>
      <c r="B100" s="1"/>
    </row>
    <row r="101">
      <c r="A101" s="1" t="str">
        <f>IFERROR(__xludf.DUMMYFUNCTION("""COMPUTED_VALUE"""),"364fe321")</f>
        <v>364fe321</v>
      </c>
      <c r="B101" s="1" t="str">
        <f>IFERROR(__xludf.DUMMYFUNCTION("""COMPUTED_VALUE"""),"Caesar mango")</f>
        <v>Caesar mango</v>
      </c>
    </row>
    <row r="102">
      <c r="A102" s="1"/>
      <c r="B102" s="1"/>
    </row>
    <row r="103">
      <c r="A103" s="1" t="str">
        <f>IFERROR(__xludf.DUMMYFUNCTION("""COMPUTED_VALUE"""),"69692785")</f>
        <v>69692785</v>
      </c>
      <c r="B103" s="1" t="str">
        <f>IFERROR(__xludf.DUMMYFUNCTION("""COMPUTED_VALUE"""),"Bebeto")</f>
        <v>Bebeto</v>
      </c>
    </row>
    <row r="104">
      <c r="A104" s="1" t="str">
        <f>IFERROR(__xludf.DUMMYFUNCTION("""COMPUTED_VALUE"""),"f3465619")</f>
        <v>f3465619</v>
      </c>
      <c r="B104" s="1" t="str">
        <f>IFERROR(__xludf.DUMMYFUNCTION("""COMPUTED_VALUE"""),"Sweeto")</f>
        <v>Sweeto</v>
      </c>
    </row>
    <row r="105">
      <c r="A105" s="1" t="str">
        <f>IFERROR(__xludf.DUMMYFUNCTION("""COMPUTED_VALUE"""),"52149040")</f>
        <v>52149040</v>
      </c>
      <c r="B105" s="1" t="str">
        <f>IFERROR(__xludf.DUMMYFUNCTION("""COMPUTED_VALUE"""),"test2")</f>
        <v>test2</v>
      </c>
    </row>
    <row r="106">
      <c r="A106" s="1" t="str">
        <f>IFERROR(__xludf.DUMMYFUNCTION("""COMPUTED_VALUE"""),"f2959682")</f>
        <v>f2959682</v>
      </c>
      <c r="B106" s="1" t="str">
        <f>IFERROR(__xludf.DUMMYFUNCTION("""COMPUTED_VALUE"""),"test")</f>
        <v>test</v>
      </c>
    </row>
    <row r="107">
      <c r="A107" s="1" t="str">
        <f>IFERROR(__xludf.DUMMYFUNCTION("""COMPUTED_VALUE"""),"d0a21a3b")</f>
        <v>d0a21a3b</v>
      </c>
      <c r="B107" s="1" t="str">
        <f>IFERROR(__xludf.DUMMYFUNCTION("""COMPUTED_VALUE"""),"Browniz moulin")</f>
        <v>Browniz moulin</v>
      </c>
    </row>
    <row r="108">
      <c r="A108" s="1" t="str">
        <f>IFERROR(__xludf.DUMMYFUNCTION("""COMPUTED_VALUE"""),"d0f577e2")</f>
        <v>d0f577e2</v>
      </c>
      <c r="B108" s="1" t="str">
        <f>IFERROR(__xludf.DUMMYFUNCTION("""COMPUTED_VALUE"""),"Marie biscuit")</f>
        <v>Marie biscuit</v>
      </c>
    </row>
    <row r="109">
      <c r="A109" s="1" t="str">
        <f>IFERROR(__xludf.DUMMYFUNCTION("""COMPUTED_VALUE"""),"2f2e7440")</f>
        <v>2f2e7440</v>
      </c>
      <c r="B109" s="1" t="str">
        <f>IFERROR(__xludf.DUMMYFUNCTION("""COMPUTED_VALUE"""),"Crico")</f>
        <v>Crico</v>
      </c>
    </row>
    <row r="110">
      <c r="A110" s="1" t="str">
        <f>IFERROR(__xludf.DUMMYFUNCTION("""COMPUTED_VALUE"""),"12b96290")</f>
        <v>12b96290</v>
      </c>
      <c r="B110" s="1" t="str">
        <f>IFERROR(__xludf.DUMMYFUNCTION("""COMPUTED_VALUE"""),"Doritos nacho")</f>
        <v>Doritos nacho</v>
      </c>
    </row>
    <row r="111">
      <c r="A111" s="1" t="str">
        <f>IFERROR(__xludf.DUMMYFUNCTION("""COMPUTED_VALUE"""),"73c36157")</f>
        <v>73c36157</v>
      </c>
      <c r="B111" s="1" t="str">
        <f>IFERROR(__xludf.DUMMYFUNCTION("""COMPUTED_VALUE"""),"Alain mini cola")</f>
        <v>Alain mini cola</v>
      </c>
    </row>
    <row r="112">
      <c r="A112" s="1" t="str">
        <f>IFERROR(__xludf.DUMMYFUNCTION("""COMPUTED_VALUE"""),"cc35c9db")</f>
        <v>cc35c9db</v>
      </c>
      <c r="B112" s="1" t="str">
        <f>IFERROR(__xludf.DUMMYFUNCTION("""COMPUTED_VALUE"""),"Buldak")</f>
        <v>Buldak</v>
      </c>
    </row>
    <row r="113">
      <c r="A113" s="1" t="str">
        <f>IFERROR(__xludf.DUMMYFUNCTION("""COMPUTED_VALUE"""),"d5b5f9d1")</f>
        <v>d5b5f9d1</v>
      </c>
      <c r="B113" s="1" t="str">
        <f>IFERROR(__xludf.DUMMYFUNCTION("""COMPUTED_VALUE"""),"Doritos green hot")</f>
        <v>Doritos green hot</v>
      </c>
    </row>
    <row r="114">
      <c r="A114" s="1" t="str">
        <f>IFERROR(__xludf.DUMMYFUNCTION("""COMPUTED_VALUE"""),"78233e6f")</f>
        <v>78233e6f</v>
      </c>
      <c r="B114" s="1" t="str">
        <f>IFERROR(__xludf.DUMMYFUNCTION("""COMPUTED_VALUE"""),"Barbican")</f>
        <v>Barbican</v>
      </c>
    </row>
    <row r="115">
      <c r="A115" s="1" t="str">
        <f>IFERROR(__xludf.DUMMYFUNCTION("""COMPUTED_VALUE"""),"0af806f8")</f>
        <v>0af806f8</v>
      </c>
      <c r="B115" s="1" t="str">
        <f>IFERROR(__xludf.DUMMYFUNCTION("""COMPUTED_VALUE"""),"Doritos red hot")</f>
        <v>Doritos red hot</v>
      </c>
    </row>
    <row r="116">
      <c r="A116" s="1" t="str">
        <f>IFERROR(__xludf.DUMMYFUNCTION("""COMPUTED_VALUE"""),"bb6c2490")</f>
        <v>bb6c2490</v>
      </c>
      <c r="B116" s="1" t="str">
        <f>IFERROR(__xludf.DUMMYFUNCTION("""COMPUTED_VALUE"""),"Mr Crunch Tarbouch")</f>
        <v>Mr Crunch Tarbouch</v>
      </c>
    </row>
    <row r="117">
      <c r="A117" s="1"/>
      <c r="B117" s="1"/>
    </row>
    <row r="118">
      <c r="A118" s="1"/>
      <c r="B118" s="1"/>
    </row>
    <row r="119">
      <c r="A119" s="1" t="str">
        <f>IFERROR(__xludf.DUMMYFUNCTION("""COMPUTED_VALUE"""),"b77b1c64")</f>
        <v>b77b1c64</v>
      </c>
      <c r="B119" s="1" t="str">
        <f>IFERROR(__xludf.DUMMYFUNCTION("""COMPUTED_VALUE"""),"Bonucci souffle")</f>
        <v>Bonucci souffle</v>
      </c>
    </row>
    <row r="120">
      <c r="A120" s="1" t="str">
        <f>IFERROR(__xludf.DUMMYFUNCTION("""COMPUTED_VALUE"""),"83dd14b5")</f>
        <v>83dd14b5</v>
      </c>
      <c r="B120" s="1" t="str">
        <f>IFERROR(__xludf.DUMMYFUNCTION("""COMPUTED_VALUE"""),"Coach suntop")</f>
        <v>Coach suntop</v>
      </c>
    </row>
    <row r="121">
      <c r="A121" s="1" t="str">
        <f>IFERROR(__xludf.DUMMYFUNCTION("""COMPUTED_VALUE"""),"ccaf1c68")</f>
        <v>ccaf1c68</v>
      </c>
      <c r="B121" s="1" t="str">
        <f>IFERROR(__xludf.DUMMYFUNCTION("""COMPUTED_VALUE"""),"Wafer Laviva")</f>
        <v>Wafer Laviva</v>
      </c>
    </row>
    <row r="122">
      <c r="A122" s="1"/>
      <c r="B122" s="1"/>
    </row>
    <row r="123">
      <c r="A123" s="1" t="str">
        <f>IFERROR(__xludf.DUMMYFUNCTION("""COMPUTED_VALUE"""),"a3f74383")</f>
        <v>a3f74383</v>
      </c>
      <c r="B123" s="1" t="str">
        <f>IFERROR(__xludf.DUMMYFUNCTION("""COMPUTED_VALUE"""),"Shani")</f>
        <v>Shani</v>
      </c>
    </row>
    <row r="124">
      <c r="A124" s="1" t="str">
        <f>IFERROR(__xludf.DUMMYFUNCTION("""COMPUTED_VALUE"""),"ed187a9e")</f>
        <v>ed187a9e</v>
      </c>
      <c r="B124" s="1" t="str">
        <f>IFERROR(__xludf.DUMMYFUNCTION("""COMPUTED_VALUE"""),"X!R  BERRY")</f>
        <v>X!R  BERRY</v>
      </c>
    </row>
    <row r="125">
      <c r="A125" s="1" t="str">
        <f>IFERROR(__xludf.DUMMYFUNCTION("""COMPUTED_VALUE"""),"bfd1b639")</f>
        <v>bfd1b639</v>
      </c>
      <c r="B125" s="1" t="str">
        <f>IFERROR(__xludf.DUMMYFUNCTION("""COMPUTED_VALUE"""),"Xr mango")</f>
        <v>Xr mango</v>
      </c>
    </row>
    <row r="126">
      <c r="A126" s="1" t="str">
        <f>IFERROR(__xludf.DUMMYFUNCTION("""COMPUTED_VALUE"""),"b112660a")</f>
        <v>b112660a</v>
      </c>
      <c r="B126" s="1" t="str">
        <f>IFERROR(__xludf.DUMMYFUNCTION("""COMPUTED_VALUE"""),"Caesar berry")</f>
        <v>Caesar berry</v>
      </c>
    </row>
    <row r="127">
      <c r="A127" s="1" t="str">
        <f>IFERROR(__xludf.DUMMYFUNCTION("""COMPUTED_VALUE"""),"649eaeb5")</f>
        <v>649eaeb5</v>
      </c>
      <c r="B127" s="1" t="str">
        <f>IFERROR(__xludf.DUMMYFUNCTION("""COMPUTED_VALUE"""),"Schwppes")</f>
        <v>Schwppes</v>
      </c>
    </row>
    <row r="128">
      <c r="A128" s="1" t="str">
        <f>IFERROR(__xludf.DUMMYFUNCTION("""COMPUTED_VALUE"""),"f38e69c5")</f>
        <v>f38e69c5</v>
      </c>
      <c r="B128" s="1" t="str">
        <f>IFERROR(__xludf.DUMMYFUNCTION("""COMPUTED_VALUE"""),"Schweppes")</f>
        <v>Schweppes</v>
      </c>
    </row>
    <row r="129">
      <c r="A129" s="1" t="str">
        <f>IFERROR(__xludf.DUMMYFUNCTION("""COMPUTED_VALUE"""),"3e9fa8d9")</f>
        <v>3e9fa8d9</v>
      </c>
      <c r="B129" s="1" t="str">
        <f>IFERROR(__xludf.DUMMYFUNCTION("""COMPUTED_VALUE"""),"Kinza cola")</f>
        <v>Kinza cola</v>
      </c>
    </row>
    <row r="130">
      <c r="A130" s="1" t="str">
        <f>IFERROR(__xludf.DUMMYFUNCTION("""COMPUTED_VALUE"""),"27febea6")</f>
        <v>27febea6</v>
      </c>
      <c r="B130" s="1" t="str">
        <f>IFERROR(__xludf.DUMMYFUNCTION("""COMPUTED_VALUE"""),"Maxxx chips")</f>
        <v>Maxxx chips</v>
      </c>
    </row>
    <row r="131">
      <c r="A131" s="1" t="str">
        <f>IFERROR(__xludf.DUMMYFUNCTION("""COMPUTED_VALUE"""),"3945efc9")</f>
        <v>3945efc9</v>
      </c>
      <c r="B131" s="1" t="str">
        <f>IFERROR(__xludf.DUMMYFUNCTION("""COMPUTED_VALUE"""),"Mulino  oat cookies")</f>
        <v>Mulino  oat cookies</v>
      </c>
    </row>
    <row r="132">
      <c r="A132" s="1" t="str">
        <f>IFERROR(__xludf.DUMMYFUNCTION("""COMPUTED_VALUE"""),"c099f042")</f>
        <v>c099f042</v>
      </c>
      <c r="B132" s="1" t="str">
        <f>IFERROR(__xludf.DUMMYFUNCTION("""COMPUTED_VALUE"""),"Tiger excellence")</f>
        <v>Tiger excellence</v>
      </c>
    </row>
    <row r="133">
      <c r="A133" s="1" t="str">
        <f>IFERROR(__xludf.DUMMYFUNCTION("""COMPUTED_VALUE"""),"cd21eb57")</f>
        <v>cd21eb57</v>
      </c>
      <c r="B133" s="1" t="str">
        <f>IFERROR(__xludf.DUMMYFUNCTION("""COMPUTED_VALUE"""),"Chillax corn chips")</f>
        <v>Chillax corn chips</v>
      </c>
    </row>
    <row r="134">
      <c r="A134" s="1" t="str">
        <f>IFERROR(__xludf.DUMMYFUNCTION("""COMPUTED_VALUE"""),"b3204174")</f>
        <v>b3204174</v>
      </c>
      <c r="B134" s="1" t="str">
        <f>IFERROR(__xludf.DUMMYFUNCTION("""COMPUTED_VALUE"""),"Shocks potato")</f>
        <v>Shocks potato</v>
      </c>
    </row>
    <row r="135">
      <c r="A135" s="1" t="str">
        <f>IFERROR(__xludf.DUMMYFUNCTION("""COMPUTED_VALUE"""),"360bd4d4")</f>
        <v>360bd4d4</v>
      </c>
      <c r="B135" s="1" t="str">
        <f>IFERROR(__xludf.DUMMYFUNCTION("""COMPUTED_VALUE"""),"Lexus")</f>
        <v>Lexus</v>
      </c>
    </row>
    <row r="136">
      <c r="A136" s="1" t="str">
        <f>IFERROR(__xludf.DUMMYFUNCTION("""COMPUTED_VALUE"""),"f30d8158")</f>
        <v>f30d8158</v>
      </c>
      <c r="B136" s="1" t="str">
        <f>IFERROR(__xludf.DUMMYFUNCTION("""COMPUTED_VALUE"""),"Savi stix")</f>
        <v>Savi stix</v>
      </c>
    </row>
    <row r="137">
      <c r="A137" s="1" t="str">
        <f>IFERROR(__xludf.DUMMYFUNCTION("""COMPUTED_VALUE"""),"cf6c9481")</f>
        <v>cf6c9481</v>
      </c>
      <c r="B137" s="1" t="str">
        <f>IFERROR(__xludf.DUMMYFUNCTION("""COMPUTED_VALUE"""),"Turbo strips")</f>
        <v>Turbo strips</v>
      </c>
    </row>
    <row r="138">
      <c r="A138" s="1" t="str">
        <f>IFERROR(__xludf.DUMMYFUNCTION("""COMPUTED_VALUE"""),"ee3cf870")</f>
        <v>ee3cf870</v>
      </c>
      <c r="B138" s="1" t="str">
        <f>IFERROR(__xludf.DUMMYFUNCTION("""COMPUTED_VALUE"""),"Wellness")</f>
        <v>Wellness</v>
      </c>
    </row>
    <row r="139">
      <c r="A139" s="1" t="str">
        <f>IFERROR(__xludf.DUMMYFUNCTION("""COMPUTED_VALUE"""),"7cd3aac7")</f>
        <v>7cd3aac7</v>
      </c>
      <c r="B139" s="1" t="str">
        <f>IFERROR(__xludf.DUMMYFUNCTION("""COMPUTED_VALUE"""),"Toblerone")</f>
        <v>Toblerone</v>
      </c>
    </row>
    <row r="140">
      <c r="A140" s="1" t="str">
        <f>IFERROR(__xludf.DUMMYFUNCTION("""COMPUTED_VALUE"""),"9d0be7b3")</f>
        <v>9d0be7b3</v>
      </c>
      <c r="B140" s="1" t="str">
        <f>IFERROR(__xludf.DUMMYFUNCTION("""COMPUTED_VALUE"""),"Milka choco cow")</f>
        <v>Milka choco cow</v>
      </c>
    </row>
    <row r="141">
      <c r="A141" s="1" t="str">
        <f>IFERROR(__xludf.DUMMYFUNCTION("""COMPUTED_VALUE"""),"0f694cb5")</f>
        <v>0f694cb5</v>
      </c>
      <c r="B141" s="1" t="str">
        <f>IFERROR(__xludf.DUMMYFUNCTION("""COMPUTED_VALUE"""),"Vitrac")</f>
        <v>Vitrac</v>
      </c>
    </row>
    <row r="142">
      <c r="A142" s="1" t="str">
        <f>IFERROR(__xludf.DUMMYFUNCTION("""COMPUTED_VALUE"""),"d8e8d66a")</f>
        <v>d8e8d66a</v>
      </c>
      <c r="B142" s="1" t="str">
        <f>IFERROR(__xludf.DUMMYFUNCTION("""COMPUTED_VALUE"""),"Shada")</f>
        <v>Shada</v>
      </c>
    </row>
    <row r="143">
      <c r="A143" s="1" t="str">
        <f>IFERROR(__xludf.DUMMYFUNCTION("""COMPUTED_VALUE"""),"1b6b5ed6")</f>
        <v>1b6b5ed6</v>
      </c>
      <c r="B143" s="1" t="str">
        <f>IFERROR(__xludf.DUMMYFUNCTION("""COMPUTED_VALUE"""),"Rayhan")</f>
        <v>Rayhan</v>
      </c>
    </row>
    <row r="144">
      <c r="A144" s="1" t="str">
        <f>IFERROR(__xludf.DUMMYFUNCTION("""COMPUTED_VALUE"""),"c80ae9f2")</f>
        <v>c80ae9f2</v>
      </c>
      <c r="B144" s="1" t="str">
        <f>IFERROR(__xludf.DUMMYFUNCTION("""COMPUTED_VALUE"""),"Yumi Zak")</f>
        <v>Yumi Zak</v>
      </c>
    </row>
    <row r="145">
      <c r="A145" s="1" t="str">
        <f>IFERROR(__xludf.DUMMYFUNCTION("""COMPUTED_VALUE"""),"1039e79c")</f>
        <v>1039e79c</v>
      </c>
      <c r="B145" s="1" t="str">
        <f>IFERROR(__xludf.DUMMYFUNCTION("""COMPUTED_VALUE"""),"Activ")</f>
        <v>Activ</v>
      </c>
    </row>
    <row r="146">
      <c r="A146" s="1" t="str">
        <f>IFERROR(__xludf.DUMMYFUNCTION("""COMPUTED_VALUE"""),"cb9e809e")</f>
        <v>cb9e809e</v>
      </c>
      <c r="B146" s="1" t="str">
        <f>IFERROR(__xludf.DUMMYFUNCTION("""COMPUTED_VALUE"""),"Sweeto Jelly")</f>
        <v>Sweeto Jelly</v>
      </c>
    </row>
    <row r="147">
      <c r="A147" s="1" t="str">
        <f>IFERROR(__xludf.DUMMYFUNCTION("""COMPUTED_VALUE"""),"a19879cf")</f>
        <v>a19879cf</v>
      </c>
      <c r="B147" s="1" t="str">
        <f>IFERROR(__xludf.DUMMYFUNCTION("""COMPUTED_VALUE"""),"Galaxy Wafer roll")</f>
        <v>Galaxy Wafer roll</v>
      </c>
    </row>
    <row r="148">
      <c r="A148" s="1" t="str">
        <f>IFERROR(__xludf.DUMMYFUNCTION("""COMPUTED_VALUE"""),"27c8f623")</f>
        <v>27c8f623</v>
      </c>
      <c r="B148" s="1" t="str">
        <f>IFERROR(__xludf.DUMMYFUNCTION("""COMPUTED_VALUE"""),"Bounty Wafer roll")</f>
        <v>Bounty Wafer roll</v>
      </c>
    </row>
    <row r="149">
      <c r="A149" s="1" t="str">
        <f>IFERROR(__xludf.DUMMYFUNCTION("""COMPUTED_VALUE"""),"02d86a9b")</f>
        <v>02d86a9b</v>
      </c>
      <c r="B149" s="1" t="str">
        <f>IFERROR(__xludf.DUMMYFUNCTION("""COMPUTED_VALUE"""),"Twix wafer roll")</f>
        <v>Twix wafer roll</v>
      </c>
    </row>
    <row r="150">
      <c r="A150" s="1"/>
      <c r="B150" s="1"/>
    </row>
    <row r="151">
      <c r="A151" s="1" t="str">
        <f>IFERROR(__xludf.DUMMYFUNCTION("""COMPUTED_VALUE"""),"57a5617b")</f>
        <v>57a5617b</v>
      </c>
      <c r="B151" s="1" t="str">
        <f>IFERROR(__xludf.DUMMYFUNCTION("""COMPUTED_VALUE"""),"Mirinda orange")</f>
        <v>Mirinda orange</v>
      </c>
    </row>
    <row r="152">
      <c r="A152" s="1" t="str">
        <f>IFERROR(__xludf.DUMMYFUNCTION("""COMPUTED_VALUE"""),"bb4d1bd1")</f>
        <v>bb4d1bd1</v>
      </c>
      <c r="B152" s="1" t="str">
        <f>IFERROR(__xludf.DUMMYFUNCTION("""COMPUTED_VALUE"""),"Snickers wafer roll")</f>
        <v>Snickers wafer roll</v>
      </c>
    </row>
    <row r="153">
      <c r="A153" s="1" t="str">
        <f>IFERROR(__xludf.DUMMYFUNCTION("""COMPUTED_VALUE"""),"406a1fee")</f>
        <v>406a1fee</v>
      </c>
      <c r="B153" s="1" t="str">
        <f>IFERROR(__xludf.DUMMYFUNCTION("""COMPUTED_VALUE"""),"Mirinda Bitter Soda")</f>
        <v>Mirinda Bitter Soda</v>
      </c>
    </row>
    <row r="154">
      <c r="A154" s="1" t="str">
        <f>IFERROR(__xludf.DUMMYFUNCTION("""COMPUTED_VALUE"""),"561399a6")</f>
        <v>561399a6</v>
      </c>
      <c r="B154" s="1" t="str">
        <f>IFERROR(__xludf.DUMMYFUNCTION("""COMPUTED_VALUE"""),"Yupi")</f>
        <v>Yupi</v>
      </c>
    </row>
    <row r="155">
      <c r="A155" s="1" t="str">
        <f>IFERROR(__xludf.DUMMYFUNCTION("""COMPUTED_VALUE"""),"e9e2a383")</f>
        <v>e9e2a383</v>
      </c>
      <c r="B155" s="1" t="str">
        <f>IFERROR(__xludf.DUMMYFUNCTION("""COMPUTED_VALUE"""),"Be happy")</f>
        <v>Be happy</v>
      </c>
    </row>
    <row r="156">
      <c r="A156" s="1" t="str">
        <f>IFERROR(__xludf.DUMMYFUNCTION("""COMPUTED_VALUE"""),"8ed00567")</f>
        <v>8ed00567</v>
      </c>
      <c r="B156" s="1" t="str">
        <f>IFERROR(__xludf.DUMMYFUNCTION("""COMPUTED_VALUE"""),"BEM&amp;Bo")</f>
        <v>BEM&amp;Bo</v>
      </c>
    </row>
    <row r="157">
      <c r="A157" s="1" t="str">
        <f>IFERROR(__xludf.DUMMYFUNCTION("""COMPUTED_VALUE"""),"220a28b9")</f>
        <v>220a28b9</v>
      </c>
      <c r="B157" s="1" t="str">
        <f>IFERROR(__xludf.DUMMYFUNCTION("""COMPUTED_VALUE"""),"Milka")</f>
        <v>Milka</v>
      </c>
    </row>
    <row r="158">
      <c r="A158" s="1" t="str">
        <f>IFERROR(__xludf.DUMMYFUNCTION("""COMPUTED_VALUE"""),"f998044c")</f>
        <v>f998044c</v>
      </c>
      <c r="B158" s="1" t="str">
        <f>IFERROR(__xludf.DUMMYFUNCTION("""COMPUTED_VALUE"""),"Kinder schokolade")</f>
        <v>Kinder schokolade</v>
      </c>
    </row>
    <row r="159">
      <c r="A159" s="1" t="str">
        <f>IFERROR(__xludf.DUMMYFUNCTION("""COMPUTED_VALUE"""),"70bdbe11")</f>
        <v>70bdbe11</v>
      </c>
      <c r="B159" s="1" t="str">
        <f>IFERROR(__xludf.DUMMYFUNCTION("""COMPUTED_VALUE"""),"Schweppes pineapple")</f>
        <v>Schweppes pineapple</v>
      </c>
    </row>
    <row r="160">
      <c r="A160" s="1" t="str">
        <f>IFERROR(__xludf.DUMMYFUNCTION("""COMPUTED_VALUE"""),"eda833ca")</f>
        <v>eda833ca</v>
      </c>
      <c r="B160" s="1" t="str">
        <f>IFERROR(__xludf.DUMMYFUNCTION("""COMPUTED_VALUE"""),"Mr crunch normal")</f>
        <v>Mr crunch normal</v>
      </c>
    </row>
    <row r="161">
      <c r="A161" s="1" t="str">
        <f>IFERROR(__xludf.DUMMYFUNCTION("""COMPUTED_VALUE"""),"951a092f")</f>
        <v>951a092f</v>
      </c>
      <c r="B161" s="1" t="str">
        <f>IFERROR(__xludf.DUMMYFUNCTION("""COMPUTED_VALUE"""),"Daddy chips")</f>
        <v>Daddy chips</v>
      </c>
    </row>
    <row r="162">
      <c r="A162" s="1" t="str">
        <f>IFERROR(__xludf.DUMMYFUNCTION("""COMPUTED_VALUE"""),"6c787857")</f>
        <v>6c787857</v>
      </c>
      <c r="B162" s="1" t="str">
        <f>IFERROR(__xludf.DUMMYFUNCTION("""COMPUTED_VALUE"""),"Minicco")</f>
        <v>Minicco</v>
      </c>
    </row>
    <row r="163">
      <c r="A163" s="1" t="str">
        <f>IFERROR(__xludf.DUMMYFUNCTION("""COMPUTED_VALUE"""),"7221daf3")</f>
        <v>7221daf3</v>
      </c>
      <c r="B163" s="1" t="str">
        <f>IFERROR(__xludf.DUMMYFUNCTION("""COMPUTED_VALUE"""),"Milka")</f>
        <v>Milka</v>
      </c>
    </row>
    <row r="164">
      <c r="A164" s="1" t="str">
        <f>IFERROR(__xludf.DUMMYFUNCTION("""COMPUTED_VALUE"""),"c22010ef")</f>
        <v>c22010ef</v>
      </c>
      <c r="B164" s="1" t="str">
        <f>IFERROR(__xludf.DUMMYFUNCTION("""COMPUTED_VALUE"""),"Doritos ketchup jalapeno")</f>
        <v>Doritos ketchup jalapeno</v>
      </c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274</v>
      </c>
      <c r="B1" s="2" t="s">
        <v>275</v>
      </c>
      <c r="C1" s="2" t="s">
        <v>276</v>
      </c>
    </row>
    <row r="2">
      <c r="A2" s="2" t="s">
        <v>129</v>
      </c>
      <c r="B2" s="1" t="s">
        <v>277</v>
      </c>
      <c r="C2" s="2" t="s">
        <v>278</v>
      </c>
    </row>
    <row r="3">
      <c r="A3" s="1" t="s">
        <v>74</v>
      </c>
      <c r="B3" s="1" t="s">
        <v>279</v>
      </c>
      <c r="C3" s="1" t="s">
        <v>74</v>
      </c>
    </row>
    <row r="4">
      <c r="A4" s="1" t="s">
        <v>125</v>
      </c>
      <c r="B4" s="1" t="s">
        <v>280</v>
      </c>
      <c r="C4" s="1" t="s">
        <v>125</v>
      </c>
    </row>
    <row r="5">
      <c r="A5" s="1" t="s">
        <v>131</v>
      </c>
      <c r="B5" s="1" t="s">
        <v>281</v>
      </c>
      <c r="C5" s="1" t="s">
        <v>131</v>
      </c>
    </row>
    <row r="6">
      <c r="A6" s="1" t="s">
        <v>109</v>
      </c>
      <c r="B6" s="34"/>
      <c r="C6" s="1" t="s">
        <v>109</v>
      </c>
    </row>
    <row r="7">
      <c r="A7" s="1" t="s">
        <v>206</v>
      </c>
      <c r="B7" s="34"/>
      <c r="C7" s="1" t="s">
        <v>206</v>
      </c>
    </row>
    <row r="8">
      <c r="A8" s="1" t="s">
        <v>86</v>
      </c>
      <c r="B8" s="1" t="s">
        <v>282</v>
      </c>
      <c r="C8" s="1" t="s">
        <v>86</v>
      </c>
    </row>
    <row r="9">
      <c r="A9" s="1" t="s">
        <v>136</v>
      </c>
      <c r="B9" s="1" t="s">
        <v>283</v>
      </c>
      <c r="C9" s="1" t="s">
        <v>136</v>
      </c>
    </row>
    <row r="10">
      <c r="A10" s="1" t="s">
        <v>138</v>
      </c>
      <c r="B10" s="1" t="s">
        <v>284</v>
      </c>
      <c r="C10" s="1" t="s">
        <v>138</v>
      </c>
    </row>
    <row r="11">
      <c r="A11" s="1" t="s">
        <v>72</v>
      </c>
      <c r="B11" s="1" t="s">
        <v>285</v>
      </c>
      <c r="C11" s="1" t="s">
        <v>72</v>
      </c>
    </row>
    <row r="12">
      <c r="A12" s="1" t="s">
        <v>79</v>
      </c>
      <c r="B12" s="1" t="s">
        <v>286</v>
      </c>
      <c r="C12" s="1" t="s">
        <v>79</v>
      </c>
    </row>
    <row r="13">
      <c r="A13" s="1" t="s">
        <v>144</v>
      </c>
      <c r="B13" s="1" t="s">
        <v>287</v>
      </c>
      <c r="C13" s="1" t="s">
        <v>144</v>
      </c>
    </row>
    <row r="14">
      <c r="A14" s="1" t="s">
        <v>73</v>
      </c>
      <c r="B14" s="1" t="s">
        <v>288</v>
      </c>
      <c r="C14" s="1" t="s">
        <v>73</v>
      </c>
    </row>
    <row r="15">
      <c r="A15" s="1" t="s">
        <v>146</v>
      </c>
      <c r="C15" s="1" t="s">
        <v>146</v>
      </c>
    </row>
    <row r="16">
      <c r="A16" s="1" t="s">
        <v>147</v>
      </c>
      <c r="B16" s="1" t="s">
        <v>289</v>
      </c>
      <c r="C16" s="1" t="s">
        <v>147</v>
      </c>
    </row>
    <row r="17">
      <c r="A17" s="1" t="s">
        <v>148</v>
      </c>
      <c r="C17" s="1" t="s">
        <v>148</v>
      </c>
    </row>
    <row r="18">
      <c r="A18" s="2" t="s">
        <v>150</v>
      </c>
      <c r="B18" s="1" t="s">
        <v>290</v>
      </c>
      <c r="C18" s="2" t="s">
        <v>150</v>
      </c>
    </row>
    <row r="19">
      <c r="A19" s="1" t="s">
        <v>151</v>
      </c>
      <c r="B19" s="1" t="s">
        <v>291</v>
      </c>
      <c r="C19" s="1" t="s">
        <v>151</v>
      </c>
    </row>
    <row r="20">
      <c r="A20" s="1" t="s">
        <v>153</v>
      </c>
      <c r="C20" s="1" t="s">
        <v>153</v>
      </c>
    </row>
    <row r="21">
      <c r="A21" s="1" t="s">
        <v>154</v>
      </c>
      <c r="C21" s="1" t="s">
        <v>154</v>
      </c>
    </row>
    <row r="22">
      <c r="A22" s="1" t="s">
        <v>155</v>
      </c>
      <c r="B22" s="1" t="s">
        <v>292</v>
      </c>
      <c r="C22" s="1" t="s">
        <v>155</v>
      </c>
    </row>
    <row r="23">
      <c r="A23" s="1" t="s">
        <v>157</v>
      </c>
      <c r="C23" s="1" t="s">
        <v>157</v>
      </c>
    </row>
    <row r="24">
      <c r="A24" s="1" t="s">
        <v>160</v>
      </c>
      <c r="C24" s="1" t="s">
        <v>160</v>
      </c>
    </row>
    <row r="25">
      <c r="A25" s="1" t="s">
        <v>163</v>
      </c>
      <c r="C25" s="1" t="s">
        <v>163</v>
      </c>
    </row>
    <row r="26">
      <c r="A26" s="2" t="s">
        <v>62</v>
      </c>
      <c r="B26" s="1" t="s">
        <v>293</v>
      </c>
      <c r="C26" s="2" t="s">
        <v>294</v>
      </c>
    </row>
    <row r="27">
      <c r="A27" s="1" t="s">
        <v>168</v>
      </c>
      <c r="B27" s="1" t="s">
        <v>295</v>
      </c>
      <c r="C27" s="1" t="s">
        <v>168</v>
      </c>
    </row>
    <row r="28">
      <c r="A28" s="1" t="s">
        <v>173</v>
      </c>
      <c r="B28" s="1" t="s">
        <v>296</v>
      </c>
      <c r="C28" s="1" t="s">
        <v>173</v>
      </c>
    </row>
    <row r="29">
      <c r="A29" s="1" t="s">
        <v>175</v>
      </c>
      <c r="C29" s="1" t="s">
        <v>175</v>
      </c>
    </row>
    <row r="30">
      <c r="A30" s="1" t="s">
        <v>176</v>
      </c>
      <c r="C30" s="1" t="s">
        <v>176</v>
      </c>
    </row>
    <row r="31">
      <c r="A31" s="1" t="s">
        <v>215</v>
      </c>
      <c r="B31" s="1" t="s">
        <v>297</v>
      </c>
      <c r="C31" s="2" t="s">
        <v>298</v>
      </c>
    </row>
    <row r="32">
      <c r="A32" s="1" t="s">
        <v>218</v>
      </c>
      <c r="B32" s="1" t="s">
        <v>299</v>
      </c>
      <c r="C32" s="1" t="s">
        <v>218</v>
      </c>
    </row>
    <row r="33">
      <c r="A33" s="1" t="s">
        <v>165</v>
      </c>
      <c r="B33" s="1" t="s">
        <v>300</v>
      </c>
      <c r="C33" s="1" t="s">
        <v>165</v>
      </c>
    </row>
    <row r="34">
      <c r="A34" s="2" t="s">
        <v>201</v>
      </c>
      <c r="B34" s="1" t="s">
        <v>301</v>
      </c>
      <c r="C34" s="2" t="s">
        <v>201</v>
      </c>
    </row>
    <row r="35">
      <c r="A35" s="1" t="s">
        <v>224</v>
      </c>
      <c r="B35" s="1" t="s">
        <v>302</v>
      </c>
      <c r="C35" s="1" t="s">
        <v>224</v>
      </c>
    </row>
    <row r="36">
      <c r="A36" s="2" t="s">
        <v>227</v>
      </c>
      <c r="B36" s="1" t="s">
        <v>303</v>
      </c>
      <c r="C36" s="2" t="s">
        <v>227</v>
      </c>
    </row>
    <row r="37">
      <c r="A37" s="2" t="s">
        <v>253</v>
      </c>
      <c r="B37" s="1" t="s">
        <v>304</v>
      </c>
      <c r="C37" s="2" t="s">
        <v>305</v>
      </c>
    </row>
    <row r="38">
      <c r="A38" s="2" t="s">
        <v>254</v>
      </c>
      <c r="B38" s="1" t="s">
        <v>306</v>
      </c>
      <c r="C38" s="2" t="s">
        <v>254</v>
      </c>
    </row>
    <row r="39">
      <c r="A39" s="1" t="s">
        <v>255</v>
      </c>
      <c r="B39" s="1" t="s">
        <v>307</v>
      </c>
      <c r="C39" s="1" t="s">
        <v>255</v>
      </c>
    </row>
    <row r="40">
      <c r="A40" s="2" t="s">
        <v>256</v>
      </c>
      <c r="B40" s="1" t="s">
        <v>308</v>
      </c>
      <c r="C40" s="2" t="s">
        <v>256</v>
      </c>
    </row>
    <row r="41">
      <c r="A41" s="1" t="s">
        <v>257</v>
      </c>
      <c r="B41" s="1" t="s">
        <v>309</v>
      </c>
      <c r="C41" s="1" t="s">
        <v>257</v>
      </c>
    </row>
    <row r="42">
      <c r="A42" s="2" t="s">
        <v>158</v>
      </c>
      <c r="B42" s="1" t="s">
        <v>310</v>
      </c>
      <c r="C42" s="2" t="s">
        <v>158</v>
      </c>
    </row>
    <row r="43">
      <c r="A43" s="1" t="s">
        <v>115</v>
      </c>
      <c r="B43" s="1" t="s">
        <v>311</v>
      </c>
      <c r="C43" s="1" t="s">
        <v>115</v>
      </c>
    </row>
    <row r="44">
      <c r="A44" s="1" t="s">
        <v>212</v>
      </c>
      <c r="B44" s="1" t="s">
        <v>312</v>
      </c>
      <c r="C44" s="1" t="s">
        <v>212</v>
      </c>
    </row>
    <row r="45">
      <c r="A45" s="1" t="s">
        <v>253</v>
      </c>
      <c r="B45" s="1" t="s">
        <v>304</v>
      </c>
      <c r="C45" s="1" t="s">
        <v>253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
""https://docs.google.com/spreadsheets/d/1z3lBO0G19O9pxWxzzd6uEwOioi5MmgxU0XfjcR7wLHo/edit?gid=1302549668#gid=1302549668"",""Transactions!A:h14""
)
"),"")</f>
        <v/>
      </c>
      <c r="B1" s="1" t="str">
        <f>IFERROR(__xludf.DUMMYFUNCTION("""COMPUTED_VALUE"""),"Anas")</f>
        <v>Anas</v>
      </c>
      <c r="C1" s="35">
        <f>IFERROR(__xludf.DUMMYFUNCTION("""COMPUTED_VALUE"""),1500.0)</f>
        <v>1500</v>
      </c>
      <c r="D1" s="1" t="str">
        <f>IFERROR(__xludf.DUMMYFUNCTION("""COMPUTED_VALUE"""),"LYD")</f>
        <v>LYD</v>
      </c>
      <c r="E1" s="1" t="str">
        <f>IFERROR(__xludf.DUMMYFUNCTION("""COMPUTED_VALUE"""),"Money Out")</f>
        <v>Money Out</v>
      </c>
      <c r="F1" s="1"/>
      <c r="G1" s="1"/>
      <c r="H1" s="1" t="str">
        <f>IFERROR(__xludf.DUMMYFUNCTION("""COMPUTED_VALUE"""),"فتح حساب في مصرف السراي")</f>
        <v>فتح حساب في مصرف السراي</v>
      </c>
    </row>
    <row r="2">
      <c r="A2" s="1"/>
      <c r="B2" s="1" t="str">
        <f>IFERROR(__xludf.DUMMYFUNCTION("""COMPUTED_VALUE"""),"Anas")</f>
        <v>Anas</v>
      </c>
      <c r="C2" s="35">
        <f>IFERROR(__xludf.DUMMYFUNCTION("""COMPUTED_VALUE"""),50.0)</f>
        <v>50</v>
      </c>
      <c r="D2" s="1" t="str">
        <f>IFERROR(__xludf.DUMMYFUNCTION("""COMPUTED_VALUE"""),"$")</f>
        <v>$</v>
      </c>
      <c r="E2" s="1" t="str">
        <f>IFERROR(__xludf.DUMMYFUNCTION("""COMPUTED_VALUE"""),"Money Out")</f>
        <v>Money Out</v>
      </c>
      <c r="F2" s="1"/>
      <c r="G2" s="1"/>
      <c r="H2" s="1" t="str">
        <f>IFERROR(__xludf.DUMMYFUNCTION("""COMPUTED_VALUE"""),"سعر تحويل من مصرف الى مصرف عند شراء الماكينه")</f>
        <v>سعر تحويل من مصرف الى مصرف عند شراء الماكينه</v>
      </c>
    </row>
    <row r="3">
      <c r="A3" s="1"/>
      <c r="B3" s="1" t="str">
        <f>IFERROR(__xludf.DUMMYFUNCTION("""COMPUTED_VALUE"""),"Anas")</f>
        <v>Anas</v>
      </c>
      <c r="C3" s="35">
        <f>IFERROR(__xludf.DUMMYFUNCTION("""COMPUTED_VALUE"""),750.0)</f>
        <v>750</v>
      </c>
      <c r="D3" s="1" t="str">
        <f>IFERROR(__xludf.DUMMYFUNCTION("""COMPUTED_VALUE"""),"LYD")</f>
        <v>LYD</v>
      </c>
      <c r="E3" s="1" t="str">
        <f>IFERROR(__xludf.DUMMYFUNCTION("""COMPUTED_VALUE"""),"Money Out")</f>
        <v>Money Out</v>
      </c>
      <c r="F3" s="1" t="str">
        <f>IFERROR(__xludf.DUMMYFUNCTION("""COMPUTED_VALUE"""),"Product Restocking")</f>
        <v>Product Restocking</v>
      </c>
      <c r="G3" s="1"/>
      <c r="H3" s="1" t="str">
        <f>IFERROR(__xludf.DUMMYFUNCTION("""COMPUTED_VALUE"""),"بضاعه")</f>
        <v>بضاعه</v>
      </c>
    </row>
    <row r="4">
      <c r="A4" s="1"/>
      <c r="B4" s="1" t="str">
        <f>IFERROR(__xludf.DUMMYFUNCTION("""COMPUTED_VALUE"""),"Anas")</f>
        <v>Anas</v>
      </c>
      <c r="C4" s="35">
        <f>IFERROR(__xludf.DUMMYFUNCTION("""COMPUTED_VALUE"""),40.0)</f>
        <v>40</v>
      </c>
      <c r="D4" s="1" t="str">
        <f>IFERROR(__xludf.DUMMYFUNCTION("""COMPUTED_VALUE"""),"LYD")</f>
        <v>LYD</v>
      </c>
      <c r="E4" s="1" t="str">
        <f>IFERROR(__xludf.DUMMYFUNCTION("""COMPUTED_VALUE"""),"Money Out")</f>
        <v>Money Out</v>
      </c>
      <c r="F4" s="1" t="str">
        <f>IFERROR(__xludf.DUMMYFUNCTION("""COMPUTED_VALUE"""),"Product Restocking")</f>
        <v>Product Restocking</v>
      </c>
      <c r="G4" s="1"/>
      <c r="H4" s="1" t="str">
        <f>IFERROR(__xludf.DUMMYFUNCTION("""COMPUTED_VALUE"""),"بضاعه (مياه)")</f>
        <v>بضاعه (مياه)</v>
      </c>
    </row>
    <row r="5">
      <c r="A5" s="1"/>
      <c r="B5" s="1" t="str">
        <f>IFERROR(__xludf.DUMMYFUNCTION("""COMPUTED_VALUE"""),"Anas")</f>
        <v>Anas</v>
      </c>
      <c r="C5" s="35">
        <f>IFERROR(__xludf.DUMMYFUNCTION("""COMPUTED_VALUE"""),300.0)</f>
        <v>300</v>
      </c>
      <c r="D5" s="1" t="str">
        <f>IFERROR(__xludf.DUMMYFUNCTION("""COMPUTED_VALUE"""),"LYD")</f>
        <v>LYD</v>
      </c>
      <c r="E5" s="1" t="str">
        <f>IFERROR(__xludf.DUMMYFUNCTION("""COMPUTED_VALUE"""),"Money Out")</f>
        <v>Money Out</v>
      </c>
      <c r="F5" s="1"/>
      <c r="G5" s="1"/>
      <c r="H5" s="1" t="str">
        <f>IFERROR(__xludf.DUMMYFUNCTION("""COMPUTED_VALUE"""),"توصيل الماكينه بالونش")</f>
        <v>توصيل الماكينه بالونش</v>
      </c>
    </row>
    <row r="6">
      <c r="A6" s="1"/>
      <c r="B6" s="1" t="str">
        <f>IFERROR(__xludf.DUMMYFUNCTION("""COMPUTED_VALUE"""),"Anas")</f>
        <v>Anas</v>
      </c>
      <c r="C6" s="35">
        <f>IFERROR(__xludf.DUMMYFUNCTION("""COMPUTED_VALUE"""),70.0)</f>
        <v>70</v>
      </c>
      <c r="D6" s="1" t="str">
        <f>IFERROR(__xludf.DUMMYFUNCTION("""COMPUTED_VALUE"""),"LYD")</f>
        <v>LYD</v>
      </c>
      <c r="E6" s="1" t="str">
        <f>IFERROR(__xludf.DUMMYFUNCTION("""COMPUTED_VALUE"""),"Money Out")</f>
        <v>Money Out</v>
      </c>
      <c r="F6" s="1"/>
      <c r="G6" s="1"/>
      <c r="H6" s="1" t="str">
        <f>IFERROR(__xludf.DUMMYFUNCTION("""COMPUTED_VALUE"""),"بضاعه (مياه)")</f>
        <v>بضاعه (مياه)</v>
      </c>
    </row>
    <row r="7">
      <c r="A7" s="1"/>
      <c r="B7" s="1" t="str">
        <f>IFERROR(__xludf.DUMMYFUNCTION("""COMPUTED_VALUE"""),"Anas")</f>
        <v>Anas</v>
      </c>
      <c r="C7" s="35">
        <f>IFERROR(__xludf.DUMMYFUNCTION("""COMPUTED_VALUE"""),340.0)</f>
        <v>340</v>
      </c>
      <c r="D7" s="1" t="str">
        <f>IFERROR(__xludf.DUMMYFUNCTION("""COMPUTED_VALUE"""),"LYD")</f>
        <v>LYD</v>
      </c>
      <c r="E7" s="1" t="str">
        <f>IFERROR(__xludf.DUMMYFUNCTION("""COMPUTED_VALUE"""),"Money Out")</f>
        <v>Money Out</v>
      </c>
      <c r="F7" s="1"/>
      <c r="G7" s="1"/>
      <c r="H7" s="1" t="str">
        <f>IFERROR(__xludf.DUMMYFUNCTION("""COMPUTED_VALUE"""),"بضاعه")</f>
        <v>بضاعه</v>
      </c>
    </row>
    <row r="8">
      <c r="A8" s="1"/>
      <c r="B8" s="1" t="str">
        <f>IFERROR(__xludf.DUMMYFUNCTION("""COMPUTED_VALUE"""),"Anas")</f>
        <v>Anas</v>
      </c>
      <c r="C8" s="35">
        <f>IFERROR(__xludf.DUMMYFUNCTION("""COMPUTED_VALUE"""),885.0)</f>
        <v>885</v>
      </c>
      <c r="D8" s="1" t="str">
        <f>IFERROR(__xludf.DUMMYFUNCTION("""COMPUTED_VALUE"""),"LYD")</f>
        <v>LYD</v>
      </c>
      <c r="E8" s="1" t="str">
        <f>IFERROR(__xludf.DUMMYFUNCTION("""COMPUTED_VALUE"""),"Money Out")</f>
        <v>Money Out</v>
      </c>
      <c r="F8" s="1"/>
      <c r="G8" s="1"/>
      <c r="H8" s="1" t="str">
        <f>IFERROR(__xludf.DUMMYFUNCTION("""COMPUTED_VALUE"""),"طباعه وتصميم")</f>
        <v>طباعه وتصميم</v>
      </c>
    </row>
    <row r="9">
      <c r="A9" s="1"/>
      <c r="B9" s="1" t="str">
        <f>IFERROR(__xludf.DUMMYFUNCTION("""COMPUTED_VALUE"""),"Anas")</f>
        <v>Anas</v>
      </c>
      <c r="C9" s="35">
        <f>IFERROR(__xludf.DUMMYFUNCTION("""COMPUTED_VALUE"""),702.0)</f>
        <v>702</v>
      </c>
      <c r="D9" s="1" t="str">
        <f>IFERROR(__xludf.DUMMYFUNCTION("""COMPUTED_VALUE"""),"LYD")</f>
        <v>LYD</v>
      </c>
      <c r="E9" s="1" t="str">
        <f>IFERROR(__xludf.DUMMYFUNCTION("""COMPUTED_VALUE"""),"Money Out")</f>
        <v>Money Out</v>
      </c>
      <c r="F9" s="1"/>
      <c r="G9" s="1"/>
      <c r="H9" s="1" t="str">
        <f>IFERROR(__xludf.DUMMYFUNCTION("""COMPUTED_VALUE"""),"بضاعه")</f>
        <v>بضاعه</v>
      </c>
    </row>
    <row r="10">
      <c r="A10" s="1"/>
      <c r="B10" s="1" t="str">
        <f>IFERROR(__xludf.DUMMYFUNCTION("""COMPUTED_VALUE"""),"Anas")</f>
        <v>Anas</v>
      </c>
      <c r="C10" s="35">
        <f>IFERROR(__xludf.DUMMYFUNCTION("""COMPUTED_VALUE"""),5.0)</f>
        <v>5</v>
      </c>
      <c r="D10" s="1" t="str">
        <f>IFERROR(__xludf.DUMMYFUNCTION("""COMPUTED_VALUE"""),"$")</f>
        <v>$</v>
      </c>
      <c r="E10" s="1" t="str">
        <f>IFERROR(__xludf.DUMMYFUNCTION("""COMPUTED_VALUE"""),"Money Out")</f>
        <v>Money Out</v>
      </c>
      <c r="F10" s="1"/>
      <c r="G10" s="1"/>
      <c r="H10" s="1" t="str">
        <f>IFERROR(__xludf.DUMMYFUNCTION("""COMPUTED_VALUE"""),"سعر الشحن من شاهين شحنة الخيط")</f>
        <v>سعر الشحن من شاهين شحنة الخيط</v>
      </c>
    </row>
    <row r="11">
      <c r="A11" s="1"/>
      <c r="B11" s="1" t="str">
        <f>IFERROR(__xludf.DUMMYFUNCTION("""COMPUTED_VALUE"""),"Anas")</f>
        <v>Anas</v>
      </c>
      <c r="C11" s="35">
        <f>IFERROR(__xludf.DUMMYFUNCTION("""COMPUTED_VALUE"""),59.5)</f>
        <v>59.5</v>
      </c>
      <c r="D11" s="1" t="str">
        <f>IFERROR(__xludf.DUMMYFUNCTION("""COMPUTED_VALUE"""),"LYD")</f>
        <v>LYD</v>
      </c>
      <c r="E11" s="1" t="str">
        <f>IFERROR(__xludf.DUMMYFUNCTION("""COMPUTED_VALUE"""),"Money Out")</f>
        <v>Money Out</v>
      </c>
      <c r="F11" s="1"/>
      <c r="G11" s="1"/>
      <c r="H11" s="1" t="str">
        <f>IFERROR(__xludf.DUMMYFUNCTION("""COMPUTED_VALUE"""),"بضاعه (مياه)")</f>
        <v>بضاعه (مياه)</v>
      </c>
    </row>
    <row r="12">
      <c r="A12" s="1"/>
      <c r="B12" s="1" t="str">
        <f>IFERROR(__xludf.DUMMYFUNCTION("""COMPUTED_VALUE"""),"Anas")</f>
        <v>Anas</v>
      </c>
      <c r="C12" s="35">
        <f>IFERROR(__xludf.DUMMYFUNCTION("""COMPUTED_VALUE"""),60.0)</f>
        <v>60</v>
      </c>
      <c r="D12" s="1" t="str">
        <f>IFERROR(__xludf.DUMMYFUNCTION("""COMPUTED_VALUE"""),"LYD")</f>
        <v>LYD</v>
      </c>
      <c r="E12" s="1" t="str">
        <f>IFERROR(__xludf.DUMMYFUNCTION("""COMPUTED_VALUE"""),"Money Out")</f>
        <v>Money Out</v>
      </c>
      <c r="F12" s="1"/>
      <c r="G12" s="1"/>
      <c r="H12" s="1" t="str">
        <f>IFERROR(__xludf.DUMMYFUNCTION("""COMPUTED_VALUE"""),"بضاعه (مياه)")</f>
        <v>بضاعه (مياه)</v>
      </c>
    </row>
    <row r="13">
      <c r="A13" s="1"/>
      <c r="B13" s="1" t="str">
        <f>IFERROR(__xludf.DUMMYFUNCTION("""COMPUTED_VALUE"""),"Anas")</f>
        <v>Anas</v>
      </c>
      <c r="C13" s="35">
        <f>IFERROR(__xludf.DUMMYFUNCTION("""COMPUTED_VALUE"""),15.0)</f>
        <v>15</v>
      </c>
      <c r="D13" s="1" t="str">
        <f>IFERROR(__xludf.DUMMYFUNCTION("""COMPUTED_VALUE"""),"LYD")</f>
        <v>LYD</v>
      </c>
      <c r="E13" s="1" t="str">
        <f>IFERROR(__xludf.DUMMYFUNCTION("""COMPUTED_VALUE"""),"Money Out")</f>
        <v>Money Out</v>
      </c>
      <c r="F13" s="1"/>
      <c r="G13" s="1"/>
      <c r="H13" s="1" t="str">
        <f>IFERROR(__xludf.DUMMYFUNCTION("""COMPUTED_VALUE"""),"كرت LTT")</f>
        <v>كرت LTT</v>
      </c>
    </row>
    <row r="14">
      <c r="A14" s="1"/>
      <c r="B14" s="1" t="str">
        <f>IFERROR(__xludf.DUMMYFUNCTION("""COMPUTED_VALUE"""),"Snacky")</f>
        <v>Snacky</v>
      </c>
      <c r="C14" s="35">
        <f>IFERROR(__xludf.DUMMYFUNCTION("""COMPUTED_VALUE"""),1882.0)</f>
        <v>1882</v>
      </c>
      <c r="D14" s="1" t="str">
        <f>IFERROR(__xludf.DUMMYFUNCTION("""COMPUTED_VALUE"""),"LYD")</f>
        <v>LYD</v>
      </c>
      <c r="E14" s="1" t="str">
        <f>IFERROR(__xludf.DUMMYFUNCTION("""COMPUTED_VALUE"""),"Money Out")</f>
        <v>Money Out</v>
      </c>
      <c r="F14" s="1" t="str">
        <f>IFERROR(__xludf.DUMMYFUNCTION("""COMPUTED_VALUE"""),"Product Restocking")</f>
        <v>Product Restocking</v>
      </c>
      <c r="G14" s="1"/>
      <c r="H14" s="1" t="str">
        <f>IFERROR(__xludf.DUMMYFUNCTION("""COMPUTED_VALUE"""),"بضاعه")</f>
        <v>بضاعه</v>
      </c>
    </row>
    <row r="15">
      <c r="A15" s="1"/>
      <c r="B15" s="1" t="str">
        <f>IFERROR(__xludf.DUMMYFUNCTION("""COMPUTED_VALUE"""),"Anas")</f>
        <v>Anas</v>
      </c>
      <c r="C15" s="35">
        <f>IFERROR(__xludf.DUMMYFUNCTION("""COMPUTED_VALUE"""),61.0)</f>
        <v>61</v>
      </c>
      <c r="D15" s="1" t="str">
        <f>IFERROR(__xludf.DUMMYFUNCTION("""COMPUTED_VALUE"""),"LYD")</f>
        <v>LYD</v>
      </c>
      <c r="E15" s="1" t="str">
        <f>IFERROR(__xludf.DUMMYFUNCTION("""COMPUTED_VALUE"""),"Money Out")</f>
        <v>Money Out</v>
      </c>
      <c r="F15" s="1" t="str">
        <f>IFERROR(__xludf.DUMMYFUNCTION("""COMPUTED_VALUE"""),"Product Restocking")</f>
        <v>Product Restocking</v>
      </c>
      <c r="G15" s="1"/>
      <c r="H15" s="1" t="str">
        <f>IFERROR(__xludf.DUMMYFUNCTION("""COMPUTED_VALUE"""),"بضاعه (مياه)")</f>
        <v>بضاعه (مياه)</v>
      </c>
    </row>
    <row r="16">
      <c r="A16" s="36">
        <f>IFERROR(__xludf.DUMMYFUNCTION("""COMPUTED_VALUE"""),45634.0)</f>
        <v>45634</v>
      </c>
      <c r="B16" s="1" t="str">
        <f>IFERROR(__xludf.DUMMYFUNCTION("""COMPUTED_VALUE"""),"Snacky")</f>
        <v>Snacky</v>
      </c>
      <c r="C16" s="35">
        <f>IFERROR(__xludf.DUMMYFUNCTION("""COMPUTED_VALUE"""),1943.0)</f>
        <v>1943</v>
      </c>
      <c r="D16" s="1" t="str">
        <f>IFERROR(__xludf.DUMMYFUNCTION("""COMPUTED_VALUE"""),"LYD")</f>
        <v>LYD</v>
      </c>
      <c r="E16" s="1" t="str">
        <f>IFERROR(__xludf.DUMMYFUNCTION("""COMPUTED_VALUE"""),"Money In")</f>
        <v>Money In</v>
      </c>
      <c r="F16" s="1" t="str">
        <f>IFERROR(__xludf.DUMMYFUNCTION("""COMPUTED_VALUE"""),"Revenue")</f>
        <v>Revenue</v>
      </c>
      <c r="G16" s="1" t="str">
        <f>IFERROR(__xludf.DUMMYFUNCTION("""COMPUTED_VALUE"""),"deplomacyMall")</f>
        <v>deplomacyMall</v>
      </c>
      <c r="H16" s="1" t="str">
        <f>IFERROR(__xludf.DUMMYFUNCTION("""COMPUTED_VALUE"""),"قيمة اول 5 ايام")</f>
        <v>قيمة اول 5 ايام</v>
      </c>
    </row>
    <row r="17">
      <c r="A17" s="36">
        <f>IFERROR(__xludf.DUMMYFUNCTION("""COMPUTED_VALUE"""),45641.0)</f>
        <v>45641</v>
      </c>
      <c r="B17" s="1" t="str">
        <f>IFERROR(__xludf.DUMMYFUNCTION("""COMPUTED_VALUE"""),"Snacky")</f>
        <v>Snacky</v>
      </c>
      <c r="C17" s="35">
        <f>IFERROR(__xludf.DUMMYFUNCTION("""COMPUTED_VALUE"""),779.0)</f>
        <v>779</v>
      </c>
      <c r="D17" s="1" t="str">
        <f>IFERROR(__xludf.DUMMYFUNCTION("""COMPUTED_VALUE"""),"LYD")</f>
        <v>LYD</v>
      </c>
      <c r="E17" s="1" t="str">
        <f>IFERROR(__xludf.DUMMYFUNCTION("""COMPUTED_VALUE"""),"Money In")</f>
        <v>Money In</v>
      </c>
      <c r="F17" s="1" t="str">
        <f>IFERROR(__xludf.DUMMYFUNCTION("""COMPUTED_VALUE"""),"Revenue")</f>
        <v>Revenue</v>
      </c>
      <c r="G17" s="1" t="str">
        <f>IFERROR(__xludf.DUMMYFUNCTION("""COMPUTED_VALUE"""),"deplomacyMall")</f>
        <v>deplomacyMall</v>
      </c>
      <c r="H17" s="1"/>
    </row>
    <row r="18">
      <c r="A18" s="36">
        <f>IFERROR(__xludf.DUMMYFUNCTION("""COMPUTED_VALUE"""),45644.0)</f>
        <v>45644</v>
      </c>
      <c r="B18" s="1" t="str">
        <f>IFERROR(__xludf.DUMMYFUNCTION("""COMPUTED_VALUE"""),"Snacky")</f>
        <v>Snacky</v>
      </c>
      <c r="C18" s="35">
        <f>IFERROR(__xludf.DUMMYFUNCTION("""COMPUTED_VALUE"""),20.0)</f>
        <v>20</v>
      </c>
      <c r="D18" s="1" t="str">
        <f>IFERROR(__xludf.DUMMYFUNCTION("""COMPUTED_VALUE"""),"LYD")</f>
        <v>LYD</v>
      </c>
      <c r="E18" s="1" t="str">
        <f>IFERROR(__xludf.DUMMYFUNCTION("""COMPUTED_VALUE"""),"Money Out")</f>
        <v>Money Out</v>
      </c>
      <c r="F18" s="1" t="str">
        <f>IFERROR(__xludf.DUMMYFUNCTION("""COMPUTED_VALUE"""),"Product Restocking")</f>
        <v>Product Restocking</v>
      </c>
      <c r="G18" s="1"/>
      <c r="H18" s="1" t="str">
        <f>IFERROR(__xludf.DUMMYFUNCTION("""COMPUTED_VALUE"""),"بضاعه (مياه)")</f>
        <v>بضاعه (مياه)</v>
      </c>
    </row>
    <row r="19">
      <c r="A19" s="36">
        <f>IFERROR(__xludf.DUMMYFUNCTION("""COMPUTED_VALUE"""),45523.0)</f>
        <v>45523</v>
      </c>
      <c r="B19" s="1" t="str">
        <f>IFERROR(__xludf.DUMMYFUNCTION("""COMPUTED_VALUE"""),"Snacky")</f>
        <v>Snacky</v>
      </c>
      <c r="C19" s="35">
        <f>IFERROR(__xludf.DUMMYFUNCTION("""COMPUTED_VALUE"""),46.0)</f>
        <v>46</v>
      </c>
      <c r="D19" s="1" t="str">
        <f>IFERROR(__xludf.DUMMYFUNCTION("""COMPUTED_VALUE"""),"LYD")</f>
        <v>LYD</v>
      </c>
      <c r="E19" s="1" t="str">
        <f>IFERROR(__xludf.DUMMYFUNCTION("""COMPUTED_VALUE"""),"Money Out")</f>
        <v>Money Out</v>
      </c>
      <c r="F19" s="1"/>
      <c r="G19" s="1"/>
      <c r="H19" s="1" t="str">
        <f>IFERROR(__xludf.DUMMYFUNCTION("""COMPUTED_VALUE"""),"مياه + لصقة دبل فيس")</f>
        <v>مياه + لصقة دبل فيس</v>
      </c>
    </row>
    <row r="20">
      <c r="A20" s="36">
        <f>IFERROR(__xludf.DUMMYFUNCTION("""COMPUTED_VALUE"""),45524.0)</f>
        <v>45524</v>
      </c>
      <c r="B20" s="1" t="str">
        <f>IFERROR(__xludf.DUMMYFUNCTION("""COMPUTED_VALUE"""),"Snacky")</f>
        <v>Snacky</v>
      </c>
      <c r="C20" s="35">
        <f>IFERROR(__xludf.DUMMYFUNCTION("""COMPUTED_VALUE"""),1225.0)</f>
        <v>1225</v>
      </c>
      <c r="D20" s="1" t="str">
        <f>IFERROR(__xludf.DUMMYFUNCTION("""COMPUTED_VALUE"""),"LYD")</f>
        <v>LYD</v>
      </c>
      <c r="E20" s="1" t="str">
        <f>IFERROR(__xludf.DUMMYFUNCTION("""COMPUTED_VALUE"""),"Money In")</f>
        <v>Money In</v>
      </c>
      <c r="F20" s="1" t="str">
        <f>IFERROR(__xludf.DUMMYFUNCTION("""COMPUTED_VALUE"""),"Revenue")</f>
        <v>Revenue</v>
      </c>
      <c r="G20" s="1" t="str">
        <f>IFERROR(__xludf.DUMMYFUNCTION("""COMPUTED_VALUE"""),"deplomacyMall")</f>
        <v>deplomacyMall</v>
      </c>
      <c r="H20" s="1"/>
    </row>
    <row r="21">
      <c r="A21" s="36">
        <f>IFERROR(__xludf.DUMMYFUNCTION("""COMPUTED_VALUE"""),45525.0)</f>
        <v>45525</v>
      </c>
      <c r="B21" s="1" t="str">
        <f>IFERROR(__xludf.DUMMYFUNCTION("""COMPUTED_VALUE"""),"Snacky")</f>
        <v>Snacky</v>
      </c>
      <c r="C21" s="35">
        <f>IFERROR(__xludf.DUMMYFUNCTION("""COMPUTED_VALUE"""),180.0)</f>
        <v>180</v>
      </c>
      <c r="D21" s="1" t="str">
        <f>IFERROR(__xludf.DUMMYFUNCTION("""COMPUTED_VALUE"""),"LYD")</f>
        <v>LYD</v>
      </c>
      <c r="E21" s="1" t="str">
        <f>IFERROR(__xludf.DUMMYFUNCTION("""COMPUTED_VALUE"""),"Money Out")</f>
        <v>Money Out</v>
      </c>
      <c r="F21" s="1"/>
      <c r="G21" s="1"/>
      <c r="H21" s="1" t="str">
        <f>IFERROR(__xludf.DUMMYFUNCTION("""COMPUTED_VALUE"""),"طباعة توربو للايت بوكس")</f>
        <v>طباعة توربو للايت بوكس</v>
      </c>
    </row>
    <row r="22">
      <c r="A22" s="36">
        <f>IFERROR(__xludf.DUMMYFUNCTION("""COMPUTED_VALUE"""),45525.0)</f>
        <v>45525</v>
      </c>
      <c r="B22" s="1" t="str">
        <f>IFERROR(__xludf.DUMMYFUNCTION("""COMPUTED_VALUE"""),"Snacky")</f>
        <v>Snacky</v>
      </c>
      <c r="C22" s="35">
        <f>IFERROR(__xludf.DUMMYFUNCTION("""COMPUTED_VALUE"""),2500.0)</f>
        <v>2500</v>
      </c>
      <c r="D22" s="1" t="str">
        <f>IFERROR(__xludf.DUMMYFUNCTION("""COMPUTED_VALUE"""),"LYD")</f>
        <v>LYD</v>
      </c>
      <c r="E22" s="1" t="str">
        <f>IFERROR(__xludf.DUMMYFUNCTION("""COMPUTED_VALUE"""),"Money In")</f>
        <v>Money In</v>
      </c>
      <c r="F22" s="1" t="str">
        <f>IFERROR(__xludf.DUMMYFUNCTION("""COMPUTED_VALUE"""),"ads")</f>
        <v>ads</v>
      </c>
      <c r="G22" s="1"/>
      <c r="H22" s="1" t="str">
        <f>IFERROR(__xludf.DUMMYFUNCTION("""COMPUTED_VALUE""")," دعاية توربو ( من نص 9 الى نص 12)")</f>
        <v> دعاية توربو ( من نص 9 الى نص 12)</v>
      </c>
    </row>
    <row r="23">
      <c r="A23" s="36">
        <f>IFERROR(__xludf.DUMMYFUNCTION("""COMPUTED_VALUE"""),45528.0)</f>
        <v>45528</v>
      </c>
      <c r="B23" s="1" t="str">
        <f>IFERROR(__xludf.DUMMYFUNCTION("""COMPUTED_VALUE"""),"Snacky")</f>
        <v>Snacky</v>
      </c>
      <c r="C23" s="35">
        <f>IFERROR(__xludf.DUMMYFUNCTION("""COMPUTED_VALUE"""),50.0)</f>
        <v>50</v>
      </c>
      <c r="D23" s="1" t="str">
        <f>IFERROR(__xludf.DUMMYFUNCTION("""COMPUTED_VALUE"""),"LYD")</f>
        <v>LYD</v>
      </c>
      <c r="E23" s="1" t="str">
        <f>IFERROR(__xludf.DUMMYFUNCTION("""COMPUTED_VALUE"""),"Money Out")</f>
        <v>Money Out</v>
      </c>
      <c r="F23" s="1"/>
      <c r="G23" s="1"/>
      <c r="H23" s="1"/>
    </row>
    <row r="24">
      <c r="A24" s="36">
        <f>IFERROR(__xludf.DUMMYFUNCTION("""COMPUTED_VALUE"""),45528.0)</f>
        <v>45528</v>
      </c>
      <c r="B24" s="1" t="str">
        <f>IFERROR(__xludf.DUMMYFUNCTION("""COMPUTED_VALUE"""),"Anas")</f>
        <v>Anas</v>
      </c>
      <c r="C24" s="35">
        <f>IFERROR(__xludf.DUMMYFUNCTION("""COMPUTED_VALUE"""),50.0)</f>
        <v>50</v>
      </c>
      <c r="D24" s="1" t="str">
        <f>IFERROR(__xludf.DUMMYFUNCTION("""COMPUTED_VALUE"""),"LYD")</f>
        <v>LYD</v>
      </c>
      <c r="E24" s="1" t="str">
        <f>IFERROR(__xludf.DUMMYFUNCTION("""COMPUTED_VALUE"""),"Money In")</f>
        <v>Money In</v>
      </c>
      <c r="F24" s="1"/>
      <c r="G24" s="1"/>
      <c r="H24" s="1"/>
    </row>
    <row r="25">
      <c r="A25" s="36">
        <f>IFERROR(__xludf.DUMMYFUNCTION("""COMPUTED_VALUE"""),45528.0)</f>
        <v>45528</v>
      </c>
      <c r="B25" s="1" t="str">
        <f>IFERROR(__xludf.DUMMYFUNCTION("""COMPUTED_VALUE"""),"Snacky")</f>
        <v>Snacky</v>
      </c>
      <c r="C25" s="35">
        <f>IFERROR(__xludf.DUMMYFUNCTION("""COMPUTED_VALUE"""),40.0)</f>
        <v>40</v>
      </c>
      <c r="D25" s="1" t="str">
        <f>IFERROR(__xludf.DUMMYFUNCTION("""COMPUTED_VALUE"""),"LYD")</f>
        <v>LYD</v>
      </c>
      <c r="E25" s="1" t="str">
        <f>IFERROR(__xludf.DUMMYFUNCTION("""COMPUTED_VALUE"""),"Money Out")</f>
        <v>Money Out</v>
      </c>
      <c r="F25" s="1" t="str">
        <f>IFERROR(__xludf.DUMMYFUNCTION("""COMPUTED_VALUE"""),"Product Restocking")</f>
        <v>Product Restocking</v>
      </c>
      <c r="G25" s="1"/>
      <c r="H25" s="1" t="str">
        <f>IFERROR(__xludf.DUMMYFUNCTION("""COMPUTED_VALUE"""),"بضاعه (مياه)")</f>
        <v>بضاعه (مياه)</v>
      </c>
    </row>
    <row r="26">
      <c r="A26" s="36">
        <f>IFERROR(__xludf.DUMMYFUNCTION("""COMPUTED_VALUE"""),45530.0)</f>
        <v>45530</v>
      </c>
      <c r="B26" s="1" t="str">
        <f>IFERROR(__xludf.DUMMYFUNCTION("""COMPUTED_VALUE"""),"Snacky")</f>
        <v>Snacky</v>
      </c>
      <c r="C26" s="35">
        <f>IFERROR(__xludf.DUMMYFUNCTION("""COMPUTED_VALUE"""),1140.0)</f>
        <v>1140</v>
      </c>
      <c r="D26" s="1" t="str">
        <f>IFERROR(__xludf.DUMMYFUNCTION("""COMPUTED_VALUE"""),"LYD")</f>
        <v>LYD</v>
      </c>
      <c r="E26" s="1" t="str">
        <f>IFERROR(__xludf.DUMMYFUNCTION("""COMPUTED_VALUE"""),"Money Out")</f>
        <v>Money Out</v>
      </c>
      <c r="F26" s="1" t="str">
        <f>IFERROR(__xludf.DUMMYFUNCTION("""COMPUTED_VALUE"""),"Product Restocking")</f>
        <v>Product Restocking</v>
      </c>
      <c r="G26" s="1"/>
      <c r="H26" s="1" t="str">
        <f>IFERROR(__xludf.DUMMYFUNCTION("""COMPUTED_VALUE"""),"بضاعه ")</f>
        <v>بضاعه </v>
      </c>
    </row>
    <row r="27">
      <c r="A27" s="36">
        <f>IFERROR(__xludf.DUMMYFUNCTION("""COMPUTED_VALUE"""),45530.0)</f>
        <v>45530</v>
      </c>
      <c r="B27" s="1" t="str">
        <f>IFERROR(__xludf.DUMMYFUNCTION("""COMPUTED_VALUE"""),"Snacky")</f>
        <v>Snacky</v>
      </c>
      <c r="C27" s="35">
        <f>IFERROR(__xludf.DUMMYFUNCTION("""COMPUTED_VALUE"""),900.0)</f>
        <v>900</v>
      </c>
      <c r="D27" s="1" t="str">
        <f>IFERROR(__xludf.DUMMYFUNCTION("""COMPUTED_VALUE"""),"LYD")</f>
        <v>LYD</v>
      </c>
      <c r="E27" s="1" t="str">
        <f>IFERROR(__xludf.DUMMYFUNCTION("""COMPUTED_VALUE"""),"Money In")</f>
        <v>Money In</v>
      </c>
      <c r="F27" s="1" t="str">
        <f>IFERROR(__xludf.DUMMYFUNCTION("""COMPUTED_VALUE"""),"Revenue")</f>
        <v>Revenue</v>
      </c>
      <c r="G27" s="1" t="str">
        <f>IFERROR(__xludf.DUMMYFUNCTION("""COMPUTED_VALUE"""),"deplomacyMall")</f>
        <v>deplomacyMall</v>
      </c>
      <c r="H27" s="1"/>
    </row>
    <row r="28">
      <c r="A28" s="36">
        <f>IFERROR(__xludf.DUMMYFUNCTION("""COMPUTED_VALUE"""),45533.0)</f>
        <v>45533</v>
      </c>
      <c r="B28" s="1" t="str">
        <f>IFERROR(__xludf.DUMMYFUNCTION("""COMPUTED_VALUE"""),"Snacky")</f>
        <v>Snacky</v>
      </c>
      <c r="C28" s="35">
        <f>IFERROR(__xludf.DUMMYFUNCTION("""COMPUTED_VALUE"""),60.0)</f>
        <v>60</v>
      </c>
      <c r="D28" s="1" t="str">
        <f>IFERROR(__xludf.DUMMYFUNCTION("""COMPUTED_VALUE"""),"LYD")</f>
        <v>LYD</v>
      </c>
      <c r="E28" s="1" t="str">
        <f>IFERROR(__xludf.DUMMYFUNCTION("""COMPUTED_VALUE"""),"Money Out")</f>
        <v>Money Out</v>
      </c>
      <c r="F28" s="1" t="str">
        <f>IFERROR(__xludf.DUMMYFUNCTION("""COMPUTED_VALUE"""),"Product Restocking")</f>
        <v>Product Restocking</v>
      </c>
      <c r="G28" s="1"/>
      <c r="H28" s="1" t="str">
        <f>IFERROR(__xludf.DUMMYFUNCTION("""COMPUTED_VALUE"""),"بضاعه (مياه)")</f>
        <v>بضاعه (مياه)</v>
      </c>
    </row>
    <row r="29">
      <c r="A29" s="36">
        <f>IFERROR(__xludf.DUMMYFUNCTION("""COMPUTED_VALUE"""),45535.0)</f>
        <v>45535</v>
      </c>
      <c r="B29" s="1" t="str">
        <f>IFERROR(__xludf.DUMMYFUNCTION("""COMPUTED_VALUE"""),"Snacky")</f>
        <v>Snacky</v>
      </c>
      <c r="C29" s="35">
        <f>IFERROR(__xludf.DUMMYFUNCTION("""COMPUTED_VALUE"""),18.0)</f>
        <v>18</v>
      </c>
      <c r="D29" s="1" t="str">
        <f>IFERROR(__xludf.DUMMYFUNCTION("""COMPUTED_VALUE"""),"LYD")</f>
        <v>LYD</v>
      </c>
      <c r="E29" s="1" t="str">
        <f>IFERROR(__xludf.DUMMYFUNCTION("""COMPUTED_VALUE"""),"Money Out")</f>
        <v>Money Out</v>
      </c>
      <c r="F29" s="1" t="str">
        <f>IFERROR(__xludf.DUMMYFUNCTION("""COMPUTED_VALUE"""),"Product Restocking")</f>
        <v>Product Restocking</v>
      </c>
      <c r="G29" s="1"/>
      <c r="H29" s="1" t="str">
        <f>IFERROR(__xludf.DUMMYFUNCTION("""COMPUTED_VALUE"""),"بضاعه (مياه)")</f>
        <v>بضاعه (مياه)</v>
      </c>
    </row>
    <row r="30">
      <c r="A30" s="36">
        <f>IFERROR(__xludf.DUMMYFUNCTION("""COMPUTED_VALUE"""),45535.0)</f>
        <v>45535</v>
      </c>
      <c r="B30" s="1" t="str">
        <f>IFERROR(__xludf.DUMMYFUNCTION("""COMPUTED_VALUE"""),"Snacky")</f>
        <v>Snacky</v>
      </c>
      <c r="C30" s="35">
        <f>IFERROR(__xludf.DUMMYFUNCTION("""COMPUTED_VALUE"""),1158.0)</f>
        <v>1158</v>
      </c>
      <c r="D30" s="1" t="str">
        <f>IFERROR(__xludf.DUMMYFUNCTION("""COMPUTED_VALUE"""),"LYD")</f>
        <v>LYD</v>
      </c>
      <c r="E30" s="1" t="str">
        <f>IFERROR(__xludf.DUMMYFUNCTION("""COMPUTED_VALUE"""),"Money In")</f>
        <v>Money In</v>
      </c>
      <c r="F30" s="1" t="str">
        <f>IFERROR(__xludf.DUMMYFUNCTION("""COMPUTED_VALUE"""),"Revenue")</f>
        <v>Revenue</v>
      </c>
      <c r="G30" s="1" t="str">
        <f>IFERROR(__xludf.DUMMYFUNCTION("""COMPUTED_VALUE"""),"deplomacyMall")</f>
        <v>deplomacyMall</v>
      </c>
      <c r="H30" s="1"/>
    </row>
    <row r="31">
      <c r="A31" s="36">
        <f>IFERROR(__xludf.DUMMYFUNCTION("""COMPUTED_VALUE"""),45535.0)</f>
        <v>45535</v>
      </c>
      <c r="B31" s="1" t="str">
        <f>IFERROR(__xludf.DUMMYFUNCTION("""COMPUTED_VALUE"""),"Anas")</f>
        <v>Anas</v>
      </c>
      <c r="C31" s="35">
        <f>IFERROR(__xludf.DUMMYFUNCTION("""COMPUTED_VALUE"""),15.0)</f>
        <v>15</v>
      </c>
      <c r="D31" s="1" t="str">
        <f>IFERROR(__xludf.DUMMYFUNCTION("""COMPUTED_VALUE"""),"LYD")</f>
        <v>LYD</v>
      </c>
      <c r="E31" s="1" t="str">
        <f>IFERROR(__xludf.DUMMYFUNCTION("""COMPUTED_VALUE"""),"Money In")</f>
        <v>Money In</v>
      </c>
      <c r="F31" s="1"/>
      <c r="G31" s="1"/>
      <c r="H31" s="1"/>
    </row>
    <row r="32">
      <c r="A32" s="36">
        <f>IFERROR(__xludf.DUMMYFUNCTION("""COMPUTED_VALUE"""),45535.0)</f>
        <v>45535</v>
      </c>
      <c r="B32" s="1" t="str">
        <f>IFERROR(__xludf.DUMMYFUNCTION("""COMPUTED_VALUE"""),"Snacky")</f>
        <v>Snacky</v>
      </c>
      <c r="C32" s="35">
        <f>IFERROR(__xludf.DUMMYFUNCTION("""COMPUTED_VALUE"""),15.0)</f>
        <v>15</v>
      </c>
      <c r="D32" s="1" t="str">
        <f>IFERROR(__xludf.DUMMYFUNCTION("""COMPUTED_VALUE"""),"LYD")</f>
        <v>LYD</v>
      </c>
      <c r="E32" s="1" t="str">
        <f>IFERROR(__xludf.DUMMYFUNCTION("""COMPUTED_VALUE"""),"Money Out")</f>
        <v>Money Out</v>
      </c>
      <c r="F32" s="1"/>
      <c r="G32" s="1"/>
      <c r="H32" s="1"/>
    </row>
    <row r="33">
      <c r="A33" s="36">
        <f>IFERROR(__xludf.DUMMYFUNCTION("""COMPUTED_VALUE"""),45536.0)</f>
        <v>45536</v>
      </c>
      <c r="B33" s="1" t="str">
        <f>IFERROR(__xludf.DUMMYFUNCTION("""COMPUTED_VALUE"""),"Snacky")</f>
        <v>Snacky</v>
      </c>
      <c r="C33" s="35">
        <f>IFERROR(__xludf.DUMMYFUNCTION("""COMPUTED_VALUE"""),190.0)</f>
        <v>190</v>
      </c>
      <c r="D33" s="1" t="str">
        <f>IFERROR(__xludf.DUMMYFUNCTION("""COMPUTED_VALUE"""),"LYD")</f>
        <v>LYD</v>
      </c>
      <c r="E33" s="1" t="str">
        <f>IFERROR(__xludf.DUMMYFUNCTION("""COMPUTED_VALUE"""),"Money Out")</f>
        <v>Money Out</v>
      </c>
      <c r="F33" s="1"/>
      <c r="G33" s="1"/>
      <c r="H33" s="1" t="str">
        <f>IFERROR(__xludf.DUMMYFUNCTION("""COMPUTED_VALUE"""),"تعديل الميزانيه")</f>
        <v>تعديل الميزانيه</v>
      </c>
    </row>
    <row r="34">
      <c r="A34" s="36">
        <f>IFERROR(__xludf.DUMMYFUNCTION("""COMPUTED_VALUE"""),45536.0)</f>
        <v>45536</v>
      </c>
      <c r="B34" s="1" t="str">
        <f>IFERROR(__xludf.DUMMYFUNCTION("""COMPUTED_VALUE"""),"Snacky")</f>
        <v>Snacky</v>
      </c>
      <c r="C34" s="35">
        <f>IFERROR(__xludf.DUMMYFUNCTION("""COMPUTED_VALUE"""),827.0)</f>
        <v>827</v>
      </c>
      <c r="D34" s="1" t="str">
        <f>IFERROR(__xludf.DUMMYFUNCTION("""COMPUTED_VALUE"""),"LYD")</f>
        <v>LYD</v>
      </c>
      <c r="E34" s="1" t="str">
        <f>IFERROR(__xludf.DUMMYFUNCTION("""COMPUTED_VALUE"""),"Money Out")</f>
        <v>Money Out</v>
      </c>
      <c r="F34" s="1" t="str">
        <f>IFERROR(__xludf.DUMMYFUNCTION("""COMPUTED_VALUE"""),"Product Restocking")</f>
        <v>Product Restocking</v>
      </c>
      <c r="G34" s="1"/>
      <c r="H34" s="1" t="str">
        <f>IFERROR(__xludf.DUMMYFUNCTION("""COMPUTED_VALUE"""),"بضاعه ")</f>
        <v>بضاعه </v>
      </c>
    </row>
    <row r="35">
      <c r="A35" s="36">
        <f>IFERROR(__xludf.DUMMYFUNCTION("""COMPUTED_VALUE"""),45537.0)</f>
        <v>45537</v>
      </c>
      <c r="B35" s="1" t="str">
        <f>IFERROR(__xludf.DUMMYFUNCTION("""COMPUTED_VALUE"""),"Snacky")</f>
        <v>Snacky</v>
      </c>
      <c r="C35" s="35">
        <f>IFERROR(__xludf.DUMMYFUNCTION("""COMPUTED_VALUE"""),40.0)</f>
        <v>40</v>
      </c>
      <c r="D35" s="1" t="str">
        <f>IFERROR(__xludf.DUMMYFUNCTION("""COMPUTED_VALUE"""),"LYD")</f>
        <v>LYD</v>
      </c>
      <c r="E35" s="1" t="str">
        <f>IFERROR(__xludf.DUMMYFUNCTION("""COMPUTED_VALUE"""),"Money Out")</f>
        <v>Money Out</v>
      </c>
      <c r="F35" s="1" t="str">
        <f>IFERROR(__xludf.DUMMYFUNCTION("""COMPUTED_VALUE"""),"Product Restocking")</f>
        <v>Product Restocking</v>
      </c>
      <c r="G35" s="1"/>
      <c r="H35" s="1" t="str">
        <f>IFERROR(__xludf.DUMMYFUNCTION("""COMPUTED_VALUE"""),"بضاعه (مياه)")</f>
        <v>بضاعه (مياه)</v>
      </c>
    </row>
    <row r="36">
      <c r="A36" s="36">
        <f>IFERROR(__xludf.DUMMYFUNCTION("""COMPUTED_VALUE"""),45539.0)</f>
        <v>45539</v>
      </c>
      <c r="B36" s="1" t="str">
        <f>IFERROR(__xludf.DUMMYFUNCTION("""COMPUTED_VALUE"""),"Snacky")</f>
        <v>Snacky</v>
      </c>
      <c r="C36" s="35">
        <f>IFERROR(__xludf.DUMMYFUNCTION("""COMPUTED_VALUE"""),1082.0)</f>
        <v>1082</v>
      </c>
      <c r="D36" s="1" t="str">
        <f>IFERROR(__xludf.DUMMYFUNCTION("""COMPUTED_VALUE"""),"LYD")</f>
        <v>LYD</v>
      </c>
      <c r="E36" s="1" t="str">
        <f>IFERROR(__xludf.DUMMYFUNCTION("""COMPUTED_VALUE"""),"Money In")</f>
        <v>Money In</v>
      </c>
      <c r="F36" s="1" t="str">
        <f>IFERROR(__xludf.DUMMYFUNCTION("""COMPUTED_VALUE"""),"Revenue")</f>
        <v>Revenue</v>
      </c>
      <c r="G36" s="1" t="str">
        <f>IFERROR(__xludf.DUMMYFUNCTION("""COMPUTED_VALUE"""),"deplomacyMall")</f>
        <v>deplomacyMall</v>
      </c>
      <c r="H36" s="1"/>
    </row>
    <row r="37">
      <c r="A37" s="36">
        <f>IFERROR(__xludf.DUMMYFUNCTION("""COMPUTED_VALUE"""),45539.0)</f>
        <v>45539</v>
      </c>
      <c r="B37" s="1" t="str">
        <f>IFERROR(__xludf.DUMMYFUNCTION("""COMPUTED_VALUE"""),"Snacky")</f>
        <v>Snacky</v>
      </c>
      <c r="C37" s="35">
        <f>IFERROR(__xludf.DUMMYFUNCTION("""COMPUTED_VALUE"""),40.0)</f>
        <v>40</v>
      </c>
      <c r="D37" s="1" t="str">
        <f>IFERROR(__xludf.DUMMYFUNCTION("""COMPUTED_VALUE"""),"LYD")</f>
        <v>LYD</v>
      </c>
      <c r="E37" s="1" t="str">
        <f>IFERROR(__xludf.DUMMYFUNCTION("""COMPUTED_VALUE"""),"Money Out")</f>
        <v>Money Out</v>
      </c>
      <c r="F37" s="1" t="str">
        <f>IFERROR(__xludf.DUMMYFUNCTION("""COMPUTED_VALUE"""),"Product Restocking")</f>
        <v>Product Restocking</v>
      </c>
      <c r="G37" s="1"/>
      <c r="H37" s="1" t="str">
        <f>IFERROR(__xludf.DUMMYFUNCTION("""COMPUTED_VALUE"""),"بضاعه (مياه)")</f>
        <v>بضاعه (مياه)</v>
      </c>
    </row>
    <row r="38">
      <c r="A38" s="36">
        <f>IFERROR(__xludf.DUMMYFUNCTION("""COMPUTED_VALUE"""),45540.0)</f>
        <v>45540</v>
      </c>
      <c r="B38" s="1" t="str">
        <f>IFERROR(__xludf.DUMMYFUNCTION("""COMPUTED_VALUE"""),"Snacky")</f>
        <v>Snacky</v>
      </c>
      <c r="C38" s="35">
        <f>IFERROR(__xludf.DUMMYFUNCTION("""COMPUTED_VALUE"""),64.0)</f>
        <v>64</v>
      </c>
      <c r="D38" s="1" t="str">
        <f>IFERROR(__xludf.DUMMYFUNCTION("""COMPUTED_VALUE"""),"LYD")</f>
        <v>LYD</v>
      </c>
      <c r="E38" s="1" t="str">
        <f>IFERROR(__xludf.DUMMYFUNCTION("""COMPUTED_VALUE"""),"Money Out")</f>
        <v>Money Out</v>
      </c>
      <c r="F38" s="1" t="str">
        <f>IFERROR(__xludf.DUMMYFUNCTION("""COMPUTED_VALUE"""),"Product Restocking")</f>
        <v>Product Restocking</v>
      </c>
      <c r="G38" s="1"/>
      <c r="H38" s="1" t="str">
        <f>IFERROR(__xludf.DUMMYFUNCTION("""COMPUTED_VALUE"""),"بضاعه (مياه)")</f>
        <v>بضاعه (مياه)</v>
      </c>
    </row>
    <row r="39">
      <c r="A39" s="36">
        <f>IFERROR(__xludf.DUMMYFUNCTION("""COMPUTED_VALUE"""),45542.0)</f>
        <v>45542</v>
      </c>
      <c r="B39" s="1" t="str">
        <f>IFERROR(__xludf.DUMMYFUNCTION("""COMPUTED_VALUE"""),"Snacky")</f>
        <v>Snacky</v>
      </c>
      <c r="C39" s="35">
        <f>IFERROR(__xludf.DUMMYFUNCTION("""COMPUTED_VALUE"""),1574.0)</f>
        <v>1574</v>
      </c>
      <c r="D39" s="1" t="str">
        <f>IFERROR(__xludf.DUMMYFUNCTION("""COMPUTED_VALUE"""),"LYD")</f>
        <v>LYD</v>
      </c>
      <c r="E39" s="1" t="str">
        <f>IFERROR(__xludf.DUMMYFUNCTION("""COMPUTED_VALUE"""),"Money Out")</f>
        <v>Money Out</v>
      </c>
      <c r="F39" s="1" t="str">
        <f>IFERROR(__xludf.DUMMYFUNCTION("""COMPUTED_VALUE"""),"Product Restocking")</f>
        <v>Product Restocking</v>
      </c>
      <c r="G39" s="1"/>
      <c r="H39" s="1" t="str">
        <f>IFERROR(__xludf.DUMMYFUNCTION("""COMPUTED_VALUE"""),"بضاعه ")</f>
        <v>بضاعه </v>
      </c>
    </row>
    <row r="40">
      <c r="A40" s="36">
        <f>IFERROR(__xludf.DUMMYFUNCTION("""COMPUTED_VALUE"""),45542.0)</f>
        <v>45542</v>
      </c>
      <c r="B40" s="1" t="str">
        <f>IFERROR(__xludf.DUMMYFUNCTION("""COMPUTED_VALUE"""),"Snacky")</f>
        <v>Snacky</v>
      </c>
      <c r="C40" s="35">
        <f>IFERROR(__xludf.DUMMYFUNCTION("""COMPUTED_VALUE"""),20.0)</f>
        <v>20</v>
      </c>
      <c r="D40" s="1" t="str">
        <f>IFERROR(__xludf.DUMMYFUNCTION("""COMPUTED_VALUE"""),"LYD")</f>
        <v>LYD</v>
      </c>
      <c r="E40" s="1" t="str">
        <f>IFERROR(__xludf.DUMMYFUNCTION("""COMPUTED_VALUE"""),"Money Out")</f>
        <v>Money Out</v>
      </c>
      <c r="F40" s="1" t="str">
        <f>IFERROR(__xludf.DUMMYFUNCTION("""COMPUTED_VALUE"""),"Product Restocking")</f>
        <v>Product Restocking</v>
      </c>
      <c r="G40" s="1"/>
      <c r="H40" s="1" t="str">
        <f>IFERROR(__xludf.DUMMYFUNCTION("""COMPUTED_VALUE"""),"بضاعه (مياه)")</f>
        <v>بضاعه (مياه)</v>
      </c>
    </row>
    <row r="41">
      <c r="A41" s="36">
        <f>IFERROR(__xludf.DUMMYFUNCTION("""COMPUTED_VALUE"""),45543.0)</f>
        <v>45543</v>
      </c>
      <c r="B41" s="1" t="str">
        <f>IFERROR(__xludf.DUMMYFUNCTION("""COMPUTED_VALUE"""),"Snacky")</f>
        <v>Snacky</v>
      </c>
      <c r="C41" s="35">
        <f>IFERROR(__xludf.DUMMYFUNCTION("""COMPUTED_VALUE"""),40.0)</f>
        <v>40</v>
      </c>
      <c r="D41" s="1" t="str">
        <f>IFERROR(__xludf.DUMMYFUNCTION("""COMPUTED_VALUE"""),"LYD")</f>
        <v>LYD</v>
      </c>
      <c r="E41" s="1" t="str">
        <f>IFERROR(__xludf.DUMMYFUNCTION("""COMPUTED_VALUE"""),"Money Out")</f>
        <v>Money Out</v>
      </c>
      <c r="F41" s="1" t="str">
        <f>IFERROR(__xludf.DUMMYFUNCTION("""COMPUTED_VALUE"""),"Product Restocking")</f>
        <v>Product Restocking</v>
      </c>
      <c r="G41" s="1"/>
      <c r="H41" s="1" t="str">
        <f>IFERROR(__xludf.DUMMYFUNCTION("""COMPUTED_VALUE"""),"بضاعه (مياه)")</f>
        <v>بضاعه (مياه)</v>
      </c>
    </row>
    <row r="42">
      <c r="A42" s="36">
        <f>IFERROR(__xludf.DUMMYFUNCTION("""COMPUTED_VALUE"""),45544.0)</f>
        <v>45544</v>
      </c>
      <c r="B42" s="1" t="str">
        <f>IFERROR(__xludf.DUMMYFUNCTION("""COMPUTED_VALUE"""),"Snacky")</f>
        <v>Snacky</v>
      </c>
      <c r="C42" s="35">
        <f>IFERROR(__xludf.DUMMYFUNCTION("""COMPUTED_VALUE"""),1896.0)</f>
        <v>1896</v>
      </c>
      <c r="D42" s="1" t="str">
        <f>IFERROR(__xludf.DUMMYFUNCTION("""COMPUTED_VALUE"""),"LYD")</f>
        <v>LYD</v>
      </c>
      <c r="E42" s="1" t="str">
        <f>IFERROR(__xludf.DUMMYFUNCTION("""COMPUTED_VALUE"""),"Money In")</f>
        <v>Money In</v>
      </c>
      <c r="F42" s="1" t="str">
        <f>IFERROR(__xludf.DUMMYFUNCTION("""COMPUTED_VALUE"""),"Revenue")</f>
        <v>Revenue</v>
      </c>
      <c r="G42" s="1" t="str">
        <f>IFERROR(__xludf.DUMMYFUNCTION("""COMPUTED_VALUE"""),"deplomacyMall")</f>
        <v>deplomacyMall</v>
      </c>
      <c r="H42" s="1"/>
    </row>
    <row r="43">
      <c r="A43" s="36">
        <f>IFERROR(__xludf.DUMMYFUNCTION("""COMPUTED_VALUE"""),45544.0)</f>
        <v>45544</v>
      </c>
      <c r="B43" s="1" t="str">
        <f>IFERROR(__xludf.DUMMYFUNCTION("""COMPUTED_VALUE"""),"Snacky")</f>
        <v>Snacky</v>
      </c>
      <c r="C43" s="35">
        <f>IFERROR(__xludf.DUMMYFUNCTION("""COMPUTED_VALUE"""),40.0)</f>
        <v>40</v>
      </c>
      <c r="D43" s="1" t="str">
        <f>IFERROR(__xludf.DUMMYFUNCTION("""COMPUTED_VALUE"""),"LYD")</f>
        <v>LYD</v>
      </c>
      <c r="E43" s="1" t="str">
        <f>IFERROR(__xludf.DUMMYFUNCTION("""COMPUTED_VALUE"""),"Money Out")</f>
        <v>Money Out</v>
      </c>
      <c r="F43" s="1" t="str">
        <f>IFERROR(__xludf.DUMMYFUNCTION("""COMPUTED_VALUE"""),"Product Restocking")</f>
        <v>Product Restocking</v>
      </c>
      <c r="G43" s="1"/>
      <c r="H43" s="1" t="str">
        <f>IFERROR(__xludf.DUMMYFUNCTION("""COMPUTED_VALUE"""),"بضاعه (مياه)")</f>
        <v>بضاعه (مياه)</v>
      </c>
    </row>
    <row r="44">
      <c r="A44" s="36">
        <f>IFERROR(__xludf.DUMMYFUNCTION("""COMPUTED_VALUE"""),45545.0)</f>
        <v>45545</v>
      </c>
      <c r="B44" s="1" t="str">
        <f>IFERROR(__xludf.DUMMYFUNCTION("""COMPUTED_VALUE"""),"Snacky")</f>
        <v>Snacky</v>
      </c>
      <c r="C44" s="35">
        <f>IFERROR(__xludf.DUMMYFUNCTION("""COMPUTED_VALUE"""),225.0)</f>
        <v>225</v>
      </c>
      <c r="D44" s="1" t="str">
        <f>IFERROR(__xludf.DUMMYFUNCTION("""COMPUTED_VALUE"""),"LYD")</f>
        <v>LYD</v>
      </c>
      <c r="E44" s="1" t="str">
        <f>IFERROR(__xludf.DUMMYFUNCTION("""COMPUTED_VALUE"""),"Money Out")</f>
        <v>Money Out</v>
      </c>
      <c r="F44" s="1" t="str">
        <f>IFERROR(__xludf.DUMMYFUNCTION("""COMPUTED_VALUE"""),"Product Restocking")</f>
        <v>Product Restocking</v>
      </c>
      <c r="G44" s="1"/>
      <c r="H44" s="1"/>
    </row>
    <row r="45">
      <c r="A45" s="36">
        <f>IFERROR(__xludf.DUMMYFUNCTION("""COMPUTED_VALUE"""),45545.0)</f>
        <v>45545</v>
      </c>
      <c r="B45" s="1" t="str">
        <f>IFERROR(__xludf.DUMMYFUNCTION("""COMPUTED_VALUE"""),"Snacky")</f>
        <v>Snacky</v>
      </c>
      <c r="C45" s="35">
        <f>IFERROR(__xludf.DUMMYFUNCTION("""COMPUTED_VALUE"""),325.0)</f>
        <v>325</v>
      </c>
      <c r="D45" s="1" t="str">
        <f>IFERROR(__xludf.DUMMYFUNCTION("""COMPUTED_VALUE"""),"LYD")</f>
        <v>LYD</v>
      </c>
      <c r="E45" s="1" t="str">
        <f>IFERROR(__xludf.DUMMYFUNCTION("""COMPUTED_VALUE"""),"Money Out")</f>
        <v>Money Out</v>
      </c>
      <c r="F45" s="1" t="str">
        <f>IFERROR(__xludf.DUMMYFUNCTION("""COMPUTED_VALUE"""),"Product Restocking")</f>
        <v>Product Restocking</v>
      </c>
      <c r="G45" s="1"/>
      <c r="H45" s="1"/>
    </row>
    <row r="46">
      <c r="A46" s="36">
        <f>IFERROR(__xludf.DUMMYFUNCTION("""COMPUTED_VALUE"""),45546.0)</f>
        <v>45546</v>
      </c>
      <c r="B46" s="1" t="str">
        <f>IFERROR(__xludf.DUMMYFUNCTION("""COMPUTED_VALUE"""),"Snacky")</f>
        <v>Snacky</v>
      </c>
      <c r="C46" s="35">
        <f>IFERROR(__xludf.DUMMYFUNCTION("""COMPUTED_VALUE"""),57.75)</f>
        <v>57.75</v>
      </c>
      <c r="D46" s="1" t="str">
        <f>IFERROR(__xludf.DUMMYFUNCTION("""COMPUTED_VALUE"""),"LYD")</f>
        <v>LYD</v>
      </c>
      <c r="E46" s="1" t="str">
        <f>IFERROR(__xludf.DUMMYFUNCTION("""COMPUTED_VALUE"""),"Money Out")</f>
        <v>Money Out</v>
      </c>
      <c r="F46" s="1" t="str">
        <f>IFERROR(__xludf.DUMMYFUNCTION("""COMPUTED_VALUE"""),"Product Restocking")</f>
        <v>Product Restocking</v>
      </c>
      <c r="G46" s="1"/>
      <c r="H46" s="1" t="str">
        <f>IFERROR(__xludf.DUMMYFUNCTION("""COMPUTED_VALUE"""),"بضاعه (مياه)")</f>
        <v>بضاعه (مياه)</v>
      </c>
    </row>
    <row r="47">
      <c r="A47" s="36">
        <f>IFERROR(__xludf.DUMMYFUNCTION("""COMPUTED_VALUE"""),45547.0)</f>
        <v>45547</v>
      </c>
      <c r="B47" s="1" t="str">
        <f>IFERROR(__xludf.DUMMYFUNCTION("""COMPUTED_VALUE"""),"Snacky")</f>
        <v>Snacky</v>
      </c>
      <c r="C47" s="35">
        <f>IFERROR(__xludf.DUMMYFUNCTION("""COMPUTED_VALUE"""),1134.0)</f>
        <v>1134</v>
      </c>
      <c r="D47" s="1" t="str">
        <f>IFERROR(__xludf.DUMMYFUNCTION("""COMPUTED_VALUE"""),"LYD")</f>
        <v>LYD</v>
      </c>
      <c r="E47" s="1" t="str">
        <f>IFERROR(__xludf.DUMMYFUNCTION("""COMPUTED_VALUE"""),"Money In")</f>
        <v>Money In</v>
      </c>
      <c r="F47" s="1" t="str">
        <f>IFERROR(__xludf.DUMMYFUNCTION("""COMPUTED_VALUE"""),"Revenue")</f>
        <v>Revenue</v>
      </c>
      <c r="G47" s="1" t="str">
        <f>IFERROR(__xludf.DUMMYFUNCTION("""COMPUTED_VALUE"""),"deplomacyMall")</f>
        <v>deplomacyMall</v>
      </c>
      <c r="H47" s="1"/>
    </row>
    <row r="48">
      <c r="A48" s="36">
        <f>IFERROR(__xludf.DUMMYFUNCTION("""COMPUTED_VALUE"""),45547.0)</f>
        <v>45547</v>
      </c>
      <c r="B48" s="1" t="str">
        <f>IFERROR(__xludf.DUMMYFUNCTION("""COMPUTED_VALUE"""),"Snacky")</f>
        <v>Snacky</v>
      </c>
      <c r="C48" s="35">
        <f>IFERROR(__xludf.DUMMYFUNCTION("""COMPUTED_VALUE"""),446.0)</f>
        <v>446</v>
      </c>
      <c r="D48" s="1" t="str">
        <f>IFERROR(__xludf.DUMMYFUNCTION("""COMPUTED_VALUE"""),"LYD")</f>
        <v>LYD</v>
      </c>
      <c r="E48" s="1" t="str">
        <f>IFERROR(__xludf.DUMMYFUNCTION("""COMPUTED_VALUE"""),"Money Out")</f>
        <v>Money Out</v>
      </c>
      <c r="F48" s="1" t="str">
        <f>IFERROR(__xludf.DUMMYFUNCTION("""COMPUTED_VALUE"""),"Product Restocking")</f>
        <v>Product Restocking</v>
      </c>
      <c r="G48" s="1"/>
      <c r="H48" s="1"/>
    </row>
    <row r="49">
      <c r="A49" s="36">
        <f>IFERROR(__xludf.DUMMYFUNCTION("""COMPUTED_VALUE"""),45546.0)</f>
        <v>45546</v>
      </c>
      <c r="B49" s="1" t="str">
        <f>IFERROR(__xludf.DUMMYFUNCTION("""COMPUTED_VALUE"""),"Snacky")</f>
        <v>Snacky</v>
      </c>
      <c r="C49" s="35">
        <f>IFERROR(__xludf.DUMMYFUNCTION("""COMPUTED_VALUE"""),61.0)</f>
        <v>61</v>
      </c>
      <c r="D49" s="1" t="str">
        <f>IFERROR(__xludf.DUMMYFUNCTION("""COMPUTED_VALUE"""),"LYD")</f>
        <v>LYD</v>
      </c>
      <c r="E49" s="1" t="str">
        <f>IFERROR(__xludf.DUMMYFUNCTION("""COMPUTED_VALUE"""),"Money Out")</f>
        <v>Money Out</v>
      </c>
      <c r="F49" s="1" t="str">
        <f>IFERROR(__xludf.DUMMYFUNCTION("""COMPUTED_VALUE"""),"Product Restocking")</f>
        <v>Product Restocking</v>
      </c>
      <c r="G49" s="1"/>
      <c r="H49" s="1"/>
    </row>
    <row r="50">
      <c r="A50" s="36">
        <f>IFERROR(__xludf.DUMMYFUNCTION("""COMPUTED_VALUE"""),45547.0)</f>
        <v>45547</v>
      </c>
      <c r="B50" s="1" t="str">
        <f>IFERROR(__xludf.DUMMYFUNCTION("""COMPUTED_VALUE"""),"Snacky")</f>
        <v>Snacky</v>
      </c>
      <c r="C50" s="35">
        <f>IFERROR(__xludf.DUMMYFUNCTION("""COMPUTED_VALUE"""),72.0)</f>
        <v>72</v>
      </c>
      <c r="D50" s="1" t="str">
        <f>IFERROR(__xludf.DUMMYFUNCTION("""COMPUTED_VALUE"""),"LYD")</f>
        <v>LYD</v>
      </c>
      <c r="E50" s="1" t="str">
        <f>IFERROR(__xludf.DUMMYFUNCTION("""COMPUTED_VALUE"""),"Money Out")</f>
        <v>Money Out</v>
      </c>
      <c r="F50" s="1" t="str">
        <f>IFERROR(__xludf.DUMMYFUNCTION("""COMPUTED_VALUE"""),"Product Restocking")</f>
        <v>Product Restocking</v>
      </c>
      <c r="G50" s="1"/>
      <c r="H50" s="1" t="str">
        <f>IFERROR(__xludf.DUMMYFUNCTION("""COMPUTED_VALUE"""),"بضاعه (مياه)")</f>
        <v>بضاعه (مياه)</v>
      </c>
    </row>
    <row r="51">
      <c r="A51" s="36">
        <f>IFERROR(__xludf.DUMMYFUNCTION("""COMPUTED_VALUE"""),45549.0)</f>
        <v>45549</v>
      </c>
      <c r="B51" s="1" t="str">
        <f>IFERROR(__xludf.DUMMYFUNCTION("""COMPUTED_VALUE"""),"Snacky")</f>
        <v>Snacky</v>
      </c>
      <c r="C51" s="35">
        <f>IFERROR(__xludf.DUMMYFUNCTION("""COMPUTED_VALUE"""),177.0)</f>
        <v>177</v>
      </c>
      <c r="D51" s="1" t="str">
        <f>IFERROR(__xludf.DUMMYFUNCTION("""COMPUTED_VALUE"""),"LYD")</f>
        <v>LYD</v>
      </c>
      <c r="E51" s="1" t="str">
        <f>IFERROR(__xludf.DUMMYFUNCTION("""COMPUTED_VALUE"""),"Money Out")</f>
        <v>Money Out</v>
      </c>
      <c r="F51" s="1" t="str">
        <f>IFERROR(__xludf.DUMMYFUNCTION("""COMPUTED_VALUE"""),"Product Restocking")</f>
        <v>Product Restocking</v>
      </c>
      <c r="G51" s="1"/>
      <c r="H51" s="1"/>
    </row>
    <row r="52">
      <c r="A52" s="36">
        <f>IFERROR(__xludf.DUMMYFUNCTION("""COMPUTED_VALUE"""),45550.0)</f>
        <v>45550</v>
      </c>
      <c r="B52" s="1" t="str">
        <f>IFERROR(__xludf.DUMMYFUNCTION("""COMPUTED_VALUE"""),"Snacky")</f>
        <v>Snacky</v>
      </c>
      <c r="C52" s="35">
        <f>IFERROR(__xludf.DUMMYFUNCTION("""COMPUTED_VALUE"""),1280.0)</f>
        <v>1280</v>
      </c>
      <c r="D52" s="1" t="str">
        <f>IFERROR(__xludf.DUMMYFUNCTION("""COMPUTED_VALUE"""),"LYD")</f>
        <v>LYD</v>
      </c>
      <c r="E52" s="1" t="str">
        <f>IFERROR(__xludf.DUMMYFUNCTION("""COMPUTED_VALUE"""),"Money In")</f>
        <v>Money In</v>
      </c>
      <c r="F52" s="1" t="str">
        <f>IFERROR(__xludf.DUMMYFUNCTION("""COMPUTED_VALUE"""),"Revenue")</f>
        <v>Revenue</v>
      </c>
      <c r="G52" s="1" t="str">
        <f>IFERROR(__xludf.DUMMYFUNCTION("""COMPUTED_VALUE"""),"deplomacyMall")</f>
        <v>deplomacyMall</v>
      </c>
      <c r="H52" s="1"/>
    </row>
    <row r="53">
      <c r="A53" s="36">
        <f>IFERROR(__xludf.DUMMYFUNCTION("""COMPUTED_VALUE"""),45551.0)</f>
        <v>45551</v>
      </c>
      <c r="B53" s="1" t="str">
        <f>IFERROR(__xludf.DUMMYFUNCTION("""COMPUTED_VALUE"""),"Snacky")</f>
        <v>Snacky</v>
      </c>
      <c r="C53" s="35">
        <f>IFERROR(__xludf.DUMMYFUNCTION("""COMPUTED_VALUE"""),72.0)</f>
        <v>72</v>
      </c>
      <c r="D53" s="1" t="str">
        <f>IFERROR(__xludf.DUMMYFUNCTION("""COMPUTED_VALUE"""),"LYD")</f>
        <v>LYD</v>
      </c>
      <c r="E53" s="1" t="str">
        <f>IFERROR(__xludf.DUMMYFUNCTION("""COMPUTED_VALUE"""),"Money Out")</f>
        <v>Money Out</v>
      </c>
      <c r="F53" s="1" t="str">
        <f>IFERROR(__xludf.DUMMYFUNCTION("""COMPUTED_VALUE"""),"Product Restocking")</f>
        <v>Product Restocking</v>
      </c>
      <c r="G53" s="1"/>
      <c r="H53" s="1" t="str">
        <f>IFERROR(__xludf.DUMMYFUNCTION("""COMPUTED_VALUE"""),"بضاعه (مياه)")</f>
        <v>بضاعه (مياه)</v>
      </c>
    </row>
    <row r="54">
      <c r="A54" s="36">
        <f>IFERROR(__xludf.DUMMYFUNCTION("""COMPUTED_VALUE"""),45551.0)</f>
        <v>45551</v>
      </c>
      <c r="B54" s="1" t="str">
        <f>IFERROR(__xludf.DUMMYFUNCTION("""COMPUTED_VALUE"""),"Snacky")</f>
        <v>Snacky</v>
      </c>
      <c r="C54" s="35">
        <f>IFERROR(__xludf.DUMMYFUNCTION("""COMPUTED_VALUE"""),585.0)</f>
        <v>585</v>
      </c>
      <c r="D54" s="1" t="str">
        <f>IFERROR(__xludf.DUMMYFUNCTION("""COMPUTED_VALUE"""),"LYD")</f>
        <v>LYD</v>
      </c>
      <c r="E54" s="1" t="str">
        <f>IFERROR(__xludf.DUMMYFUNCTION("""COMPUTED_VALUE"""),"Money In")</f>
        <v>Money In</v>
      </c>
      <c r="F54" s="1" t="str">
        <f>IFERROR(__xludf.DUMMYFUNCTION("""COMPUTED_VALUE"""),"Revenue")</f>
        <v>Revenue</v>
      </c>
      <c r="G54" s="1" t="str">
        <f>IFERROR(__xludf.DUMMYFUNCTION("""COMPUTED_VALUE"""),"deplomacyMall")</f>
        <v>deplomacyMall</v>
      </c>
      <c r="H54" s="1"/>
    </row>
    <row r="55">
      <c r="A55" s="36">
        <f>IFERROR(__xludf.DUMMYFUNCTION("""COMPUTED_VALUE"""),45551.0)</f>
        <v>45551</v>
      </c>
      <c r="B55" s="1" t="str">
        <f>IFERROR(__xludf.DUMMYFUNCTION("""COMPUTED_VALUE"""),"Snacky")</f>
        <v>Snacky</v>
      </c>
      <c r="C55" s="35">
        <f>IFERROR(__xludf.DUMMYFUNCTION("""COMPUTED_VALUE"""),164.0)</f>
        <v>164</v>
      </c>
      <c r="D55" s="1" t="str">
        <f>IFERROR(__xludf.DUMMYFUNCTION("""COMPUTED_VALUE"""),"LYD")</f>
        <v>LYD</v>
      </c>
      <c r="E55" s="1" t="str">
        <f>IFERROR(__xludf.DUMMYFUNCTION("""COMPUTED_VALUE"""),"Money Out")</f>
        <v>Money Out</v>
      </c>
      <c r="F55" s="1" t="str">
        <f>IFERROR(__xludf.DUMMYFUNCTION("""COMPUTED_VALUE"""),"Product Restocking")</f>
        <v>Product Restocking</v>
      </c>
      <c r="G55" s="1"/>
      <c r="H55" s="1"/>
    </row>
    <row r="56">
      <c r="A56" s="36">
        <f>IFERROR(__xludf.DUMMYFUNCTION("""COMPUTED_VALUE"""),45553.0)</f>
        <v>45553</v>
      </c>
      <c r="B56" s="1" t="str">
        <f>IFERROR(__xludf.DUMMYFUNCTION("""COMPUTED_VALUE"""),"Snacky")</f>
        <v>Snacky</v>
      </c>
      <c r="C56" s="35">
        <f>IFERROR(__xludf.DUMMYFUNCTION("""COMPUTED_VALUE"""),718.0)</f>
        <v>718</v>
      </c>
      <c r="D56" s="1" t="str">
        <f>IFERROR(__xludf.DUMMYFUNCTION("""COMPUTED_VALUE"""),"LYD")</f>
        <v>LYD</v>
      </c>
      <c r="E56" s="1" t="str">
        <f>IFERROR(__xludf.DUMMYFUNCTION("""COMPUTED_VALUE"""),"Money Out")</f>
        <v>Money Out</v>
      </c>
      <c r="F56" s="1" t="str">
        <f>IFERROR(__xludf.DUMMYFUNCTION("""COMPUTED_VALUE"""),"Product Restocking")</f>
        <v>Product Restocking</v>
      </c>
      <c r="G56" s="1"/>
      <c r="H56" s="1"/>
    </row>
    <row r="57">
      <c r="A57" s="36">
        <f>IFERROR(__xludf.DUMMYFUNCTION("""COMPUTED_VALUE"""),45554.0)</f>
        <v>45554</v>
      </c>
      <c r="B57" s="1" t="str">
        <f>IFERROR(__xludf.DUMMYFUNCTION("""COMPUTED_VALUE"""),"Snacky")</f>
        <v>Snacky</v>
      </c>
      <c r="C57" s="35">
        <f>IFERROR(__xludf.DUMMYFUNCTION("""COMPUTED_VALUE"""),792.0)</f>
        <v>792</v>
      </c>
      <c r="D57" s="1" t="str">
        <f>IFERROR(__xludf.DUMMYFUNCTION("""COMPUTED_VALUE"""),"LYD")</f>
        <v>LYD</v>
      </c>
      <c r="E57" s="1" t="str">
        <f>IFERROR(__xludf.DUMMYFUNCTION("""COMPUTED_VALUE"""),"Money In")</f>
        <v>Money In</v>
      </c>
      <c r="F57" s="1" t="str">
        <f>IFERROR(__xludf.DUMMYFUNCTION("""COMPUTED_VALUE"""),"Revenue")</f>
        <v>Revenue</v>
      </c>
      <c r="G57" s="1" t="str">
        <f>IFERROR(__xludf.DUMMYFUNCTION("""COMPUTED_VALUE"""),"deplomacyMall")</f>
        <v>deplomacyMall</v>
      </c>
      <c r="H57" s="1"/>
    </row>
    <row r="58">
      <c r="A58" s="36">
        <f>IFERROR(__xludf.DUMMYFUNCTION("""COMPUTED_VALUE"""),45554.0)</f>
        <v>45554</v>
      </c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36">
        <f>IFERROR(__xludf.DUMMYFUNCTION("""COMPUTED_VALUE"""),45556.0)</f>
        <v>45556</v>
      </c>
      <c r="B60" s="1" t="str">
        <f>IFERROR(__xludf.DUMMYFUNCTION("""COMPUTED_VALUE"""),"Snacky")</f>
        <v>Snacky</v>
      </c>
      <c r="C60" s="35">
        <f>IFERROR(__xludf.DUMMYFUNCTION("""COMPUTED_VALUE"""),1144.0)</f>
        <v>1144</v>
      </c>
      <c r="D60" s="1" t="str">
        <f>IFERROR(__xludf.DUMMYFUNCTION("""COMPUTED_VALUE"""),"LYD")</f>
        <v>LYD</v>
      </c>
      <c r="E60" s="1" t="str">
        <f>IFERROR(__xludf.DUMMYFUNCTION("""COMPUTED_VALUE"""),"Money In")</f>
        <v>Money In</v>
      </c>
      <c r="F60" s="1" t="str">
        <f>IFERROR(__xludf.DUMMYFUNCTION("""COMPUTED_VALUE"""),"Revenue")</f>
        <v>Revenue</v>
      </c>
      <c r="G60" s="1" t="str">
        <f>IFERROR(__xludf.DUMMYFUNCTION("""COMPUTED_VALUE"""),"deplomacyMall")</f>
        <v>deplomacyMall</v>
      </c>
      <c r="H60" s="1"/>
    </row>
    <row r="61">
      <c r="A61" s="36">
        <f>IFERROR(__xludf.DUMMYFUNCTION("""COMPUTED_VALUE"""),45556.0)</f>
        <v>45556</v>
      </c>
      <c r="B61" s="1" t="str">
        <f>IFERROR(__xludf.DUMMYFUNCTION("""COMPUTED_VALUE"""),"Snacky")</f>
        <v>Snacky</v>
      </c>
      <c r="C61" s="35">
        <f>IFERROR(__xludf.DUMMYFUNCTION("""COMPUTED_VALUE"""),51.0)</f>
        <v>51</v>
      </c>
      <c r="D61" s="1" t="str">
        <f>IFERROR(__xludf.DUMMYFUNCTION("""COMPUTED_VALUE"""),"LYD")</f>
        <v>LYD</v>
      </c>
      <c r="E61" s="1" t="str">
        <f>IFERROR(__xludf.DUMMYFUNCTION("""COMPUTED_VALUE"""),"Money Out")</f>
        <v>Money Out</v>
      </c>
      <c r="F61" s="1" t="str">
        <f>IFERROR(__xludf.DUMMYFUNCTION("""COMPUTED_VALUE"""),"Product Restocking")</f>
        <v>Product Restocking</v>
      </c>
      <c r="G61" s="1"/>
      <c r="H61" s="1" t="str">
        <f>IFERROR(__xludf.DUMMYFUNCTION("""COMPUTED_VALUE"""),"بضاعه (مياه)")</f>
        <v>بضاعه (مياه)</v>
      </c>
    </row>
    <row r="62">
      <c r="A62" s="36">
        <f>IFERROR(__xludf.DUMMYFUNCTION("""COMPUTED_VALUE"""),45557.0)</f>
        <v>45557</v>
      </c>
      <c r="B62" s="1" t="str">
        <f>IFERROR(__xludf.DUMMYFUNCTION("""COMPUTED_VALUE"""),"Snacky")</f>
        <v>Snacky</v>
      </c>
      <c r="C62" s="35">
        <f>IFERROR(__xludf.DUMMYFUNCTION("""COMPUTED_VALUE"""),540.0)</f>
        <v>540</v>
      </c>
      <c r="D62" s="1" t="str">
        <f>IFERROR(__xludf.DUMMYFUNCTION("""COMPUTED_VALUE"""),"LYD")</f>
        <v>LYD</v>
      </c>
      <c r="E62" s="1" t="str">
        <f>IFERROR(__xludf.DUMMYFUNCTION("""COMPUTED_VALUE"""),"Money Out")</f>
        <v>Money Out</v>
      </c>
      <c r="F62" s="1" t="str">
        <f>IFERROR(__xludf.DUMMYFUNCTION("""COMPUTED_VALUE"""),"Product Restocking")</f>
        <v>Product Restocking</v>
      </c>
      <c r="G62" s="1"/>
      <c r="H62" s="1"/>
    </row>
    <row r="63">
      <c r="A63" s="36">
        <f>IFERROR(__xludf.DUMMYFUNCTION("""COMPUTED_VALUE"""),45556.0)</f>
        <v>45556</v>
      </c>
      <c r="B63" s="1" t="str">
        <f>IFERROR(__xludf.DUMMYFUNCTION("""COMPUTED_VALUE"""),"Snacky")</f>
        <v>Snacky</v>
      </c>
      <c r="C63" s="35">
        <f>IFERROR(__xludf.DUMMYFUNCTION("""COMPUTED_VALUE"""),101.0)</f>
        <v>101</v>
      </c>
      <c r="D63" s="1" t="str">
        <f>IFERROR(__xludf.DUMMYFUNCTION("""COMPUTED_VALUE"""),"LYD")</f>
        <v>LYD</v>
      </c>
      <c r="E63" s="1" t="str">
        <f>IFERROR(__xludf.DUMMYFUNCTION("""COMPUTED_VALUE"""),"Money Out")</f>
        <v>Money Out</v>
      </c>
      <c r="F63" s="1" t="str">
        <f>IFERROR(__xludf.DUMMYFUNCTION("""COMPUTED_VALUE"""),"Product Restocking")</f>
        <v>Product Restocking</v>
      </c>
      <c r="G63" s="1"/>
      <c r="H63" s="1"/>
    </row>
    <row r="64">
      <c r="A64" s="36">
        <f>IFERROR(__xludf.DUMMYFUNCTION("""COMPUTED_VALUE"""),45560.0)</f>
        <v>45560</v>
      </c>
      <c r="B64" s="1" t="str">
        <f>IFERROR(__xludf.DUMMYFUNCTION("""COMPUTED_VALUE"""),"Snacky")</f>
        <v>Snacky</v>
      </c>
      <c r="C64" s="35">
        <f>IFERROR(__xludf.DUMMYFUNCTION("""COMPUTED_VALUE"""),87.0)</f>
        <v>87</v>
      </c>
      <c r="D64" s="1" t="str">
        <f>IFERROR(__xludf.DUMMYFUNCTION("""COMPUTED_VALUE"""),"LYD")</f>
        <v>LYD</v>
      </c>
      <c r="E64" s="1" t="str">
        <f>IFERROR(__xludf.DUMMYFUNCTION("""COMPUTED_VALUE"""),"Money Out")</f>
        <v>Money Out</v>
      </c>
      <c r="F64" s="1" t="str">
        <f>IFERROR(__xludf.DUMMYFUNCTION("""COMPUTED_VALUE"""),"Product Restocking")</f>
        <v>Product Restocking</v>
      </c>
      <c r="G64" s="1"/>
      <c r="H64" s="1"/>
    </row>
    <row r="65">
      <c r="A65" s="36">
        <f>IFERROR(__xludf.DUMMYFUNCTION("""COMPUTED_VALUE"""),45561.0)</f>
        <v>45561</v>
      </c>
      <c r="B65" s="1" t="str">
        <f>IFERROR(__xludf.DUMMYFUNCTION("""COMPUTED_VALUE"""),"Snacky")</f>
        <v>Snacky</v>
      </c>
      <c r="C65" s="35">
        <f>IFERROR(__xludf.DUMMYFUNCTION("""COMPUTED_VALUE"""),50.5)</f>
        <v>50.5</v>
      </c>
      <c r="D65" s="1" t="str">
        <f>IFERROR(__xludf.DUMMYFUNCTION("""COMPUTED_VALUE"""),"LYD")</f>
        <v>LYD</v>
      </c>
      <c r="E65" s="1" t="str">
        <f>IFERROR(__xludf.DUMMYFUNCTION("""COMPUTED_VALUE"""),"Money Out")</f>
        <v>Money Out</v>
      </c>
      <c r="F65" s="1" t="str">
        <f>IFERROR(__xludf.DUMMYFUNCTION("""COMPUTED_VALUE"""),"Product Restocking")</f>
        <v>Product Restocking</v>
      </c>
      <c r="G65" s="1"/>
      <c r="H65" s="1" t="str">
        <f>IFERROR(__xludf.DUMMYFUNCTION("""COMPUTED_VALUE"""),"بضاعه (مياه)")</f>
        <v>بضاعه (مياه)</v>
      </c>
    </row>
    <row r="66">
      <c r="A66" s="36">
        <f>IFERROR(__xludf.DUMMYFUNCTION("""COMPUTED_VALUE"""),45561.0)</f>
        <v>45561</v>
      </c>
      <c r="B66" s="1" t="str">
        <f>IFERROR(__xludf.DUMMYFUNCTION("""COMPUTED_VALUE"""),"Snacky")</f>
        <v>Snacky</v>
      </c>
      <c r="C66" s="35">
        <f>IFERROR(__xludf.DUMMYFUNCTION("""COMPUTED_VALUE"""),1311.0)</f>
        <v>1311</v>
      </c>
      <c r="D66" s="1" t="str">
        <f>IFERROR(__xludf.DUMMYFUNCTION("""COMPUTED_VALUE"""),"LYD")</f>
        <v>LYD</v>
      </c>
      <c r="E66" s="1" t="str">
        <f>IFERROR(__xludf.DUMMYFUNCTION("""COMPUTED_VALUE"""),"Money In")</f>
        <v>Money In</v>
      </c>
      <c r="F66" s="1" t="str">
        <f>IFERROR(__xludf.DUMMYFUNCTION("""COMPUTED_VALUE"""),"Revenue")</f>
        <v>Revenue</v>
      </c>
      <c r="G66" s="1" t="str">
        <f>IFERROR(__xludf.DUMMYFUNCTION("""COMPUTED_VALUE"""),"deplomacyMall")</f>
        <v>deplomacyMall</v>
      </c>
      <c r="H66" s="1"/>
    </row>
    <row r="67">
      <c r="A67" s="36">
        <f>IFERROR(__xludf.DUMMYFUNCTION("""COMPUTED_VALUE"""),45563.0)</f>
        <v>45563</v>
      </c>
      <c r="B67" s="1" t="str">
        <f>IFERROR(__xludf.DUMMYFUNCTION("""COMPUTED_VALUE"""),"Snacky")</f>
        <v>Snacky</v>
      </c>
      <c r="C67" s="35">
        <f>IFERROR(__xludf.DUMMYFUNCTION("""COMPUTED_VALUE"""),960.0)</f>
        <v>960</v>
      </c>
      <c r="D67" s="1" t="str">
        <f>IFERROR(__xludf.DUMMYFUNCTION("""COMPUTED_VALUE"""),"LYD")</f>
        <v>LYD</v>
      </c>
      <c r="E67" s="1" t="str">
        <f>IFERROR(__xludf.DUMMYFUNCTION("""COMPUTED_VALUE"""),"Money Out")</f>
        <v>Money Out</v>
      </c>
      <c r="F67" s="1" t="str">
        <f>IFERROR(__xludf.DUMMYFUNCTION("""COMPUTED_VALUE"""),"Product Restocking")</f>
        <v>Product Restocking</v>
      </c>
      <c r="G67" s="1"/>
      <c r="H67" s="1"/>
    </row>
    <row r="68">
      <c r="A68" s="36">
        <f>IFERROR(__xludf.DUMMYFUNCTION("""COMPUTED_VALUE"""),45563.0)</f>
        <v>45563</v>
      </c>
      <c r="B68" s="1" t="str">
        <f>IFERROR(__xludf.DUMMYFUNCTION("""COMPUTED_VALUE"""),"Snacky")</f>
        <v>Snacky</v>
      </c>
      <c r="C68" s="35">
        <f>IFERROR(__xludf.DUMMYFUNCTION("""COMPUTED_VALUE"""),49.0)</f>
        <v>49</v>
      </c>
      <c r="D68" s="1" t="str">
        <f>IFERROR(__xludf.DUMMYFUNCTION("""COMPUTED_VALUE"""),"LYD")</f>
        <v>LYD</v>
      </c>
      <c r="E68" s="1" t="str">
        <f>IFERROR(__xludf.DUMMYFUNCTION("""COMPUTED_VALUE"""),"Money Out")</f>
        <v>Money Out</v>
      </c>
      <c r="F68" s="1" t="str">
        <f>IFERROR(__xludf.DUMMYFUNCTION("""COMPUTED_VALUE"""),"Product Restocking")</f>
        <v>Product Restocking</v>
      </c>
      <c r="G68" s="1"/>
      <c r="H68" s="1" t="str">
        <f>IFERROR(__xludf.DUMMYFUNCTION("""COMPUTED_VALUE"""),"بضاعه (مياه)")</f>
        <v>بضاعه (مياه)</v>
      </c>
    </row>
    <row r="69">
      <c r="A69" s="36">
        <f>IFERROR(__xludf.DUMMYFUNCTION("""COMPUTED_VALUE"""),45562.0)</f>
        <v>45562</v>
      </c>
      <c r="B69" s="1" t="str">
        <f>IFERROR(__xludf.DUMMYFUNCTION("""COMPUTED_VALUE"""),"Snacky")</f>
        <v>Snacky</v>
      </c>
      <c r="C69" s="35">
        <f>IFERROR(__xludf.DUMMYFUNCTION("""COMPUTED_VALUE"""),80.0)</f>
        <v>80</v>
      </c>
      <c r="D69" s="1" t="str">
        <f>IFERROR(__xludf.DUMMYFUNCTION("""COMPUTED_VALUE"""),"LYD")</f>
        <v>LYD</v>
      </c>
      <c r="E69" s="1" t="str">
        <f>IFERROR(__xludf.DUMMYFUNCTION("""COMPUTED_VALUE"""),"Money Out")</f>
        <v>Money Out</v>
      </c>
      <c r="F69" s="1"/>
      <c r="G69" s="1"/>
      <c r="H69" s="1" t="str">
        <f>IFERROR(__xludf.DUMMYFUNCTION("""COMPUTED_VALUE"""),"تركيب اللافته عل تلاجه")</f>
        <v>تركيب اللافته عل تلاجه</v>
      </c>
    </row>
    <row r="70">
      <c r="A70" s="36">
        <f>IFERROR(__xludf.DUMMYFUNCTION("""COMPUTED_VALUE"""),45566.0)</f>
        <v>45566</v>
      </c>
      <c r="B70" s="1" t="str">
        <f>IFERROR(__xludf.DUMMYFUNCTION("""COMPUTED_VALUE"""),"Anas")</f>
        <v>Anas</v>
      </c>
      <c r="C70" s="35">
        <f>IFERROR(__xludf.DUMMYFUNCTION("""COMPUTED_VALUE"""),375.0)</f>
        <v>375</v>
      </c>
      <c r="D70" s="1" t="str">
        <f>IFERROR(__xludf.DUMMYFUNCTION("""COMPUTED_VALUE"""),"LYD")</f>
        <v>LYD</v>
      </c>
      <c r="E70" s="1" t="str">
        <f>IFERROR(__xludf.DUMMYFUNCTION("""COMPUTED_VALUE"""),"Money Out")</f>
        <v>Money Out</v>
      </c>
      <c r="F70" s="1"/>
      <c r="G70" s="1"/>
      <c r="H70" s="1" t="str">
        <f>IFERROR(__xludf.DUMMYFUNCTION("""COMPUTED_VALUE"""),"ارسال (change box, motherboard) الى الصين")</f>
        <v>ارسال (change box, motherboard) الى الصين</v>
      </c>
    </row>
    <row r="71">
      <c r="A71" s="1"/>
      <c r="B71" s="1" t="str">
        <f>IFERROR(__xludf.DUMMYFUNCTION("""COMPUTED_VALUE"""),"Snacky")</f>
        <v>Snacky</v>
      </c>
      <c r="C71" s="35">
        <f>IFERROR(__xludf.DUMMYFUNCTION("""COMPUTED_VALUE"""),100.0)</f>
        <v>100</v>
      </c>
      <c r="D71" s="1" t="str">
        <f>IFERROR(__xludf.DUMMYFUNCTION("""COMPUTED_VALUE"""),"LYD")</f>
        <v>LYD</v>
      </c>
      <c r="E71" s="1" t="str">
        <f>IFERROR(__xludf.DUMMYFUNCTION("""COMPUTED_VALUE"""),"Money Out")</f>
        <v>Money Out</v>
      </c>
      <c r="F71" s="1" t="str">
        <f>IFERROR(__xludf.DUMMYFUNCTION("""COMPUTED_VALUE"""),"Anas")</f>
        <v>Anas</v>
      </c>
      <c r="G71" s="1"/>
      <c r="H71" s="1"/>
    </row>
    <row r="72">
      <c r="A72" s="1"/>
      <c r="B72" s="1" t="str">
        <f>IFERROR(__xludf.DUMMYFUNCTION("""COMPUTED_VALUE"""),"Anas")</f>
        <v>Anas</v>
      </c>
      <c r="C72" s="35">
        <f>IFERROR(__xludf.DUMMYFUNCTION("""COMPUTED_VALUE"""),100.0)</f>
        <v>100</v>
      </c>
      <c r="D72" s="1" t="str">
        <f>IFERROR(__xludf.DUMMYFUNCTION("""COMPUTED_VALUE"""),"LYD")</f>
        <v>LYD</v>
      </c>
      <c r="E72" s="1" t="str">
        <f>IFERROR(__xludf.DUMMYFUNCTION("""COMPUTED_VALUE"""),"Money In")</f>
        <v>Money In</v>
      </c>
      <c r="F72" s="1" t="str">
        <f>IFERROR(__xludf.DUMMYFUNCTION("""COMPUTED_VALUE"""),"from snacky")</f>
        <v>from snacky</v>
      </c>
      <c r="G72" s="1"/>
      <c r="H72" s="1"/>
    </row>
    <row r="73">
      <c r="A73" s="36">
        <f>IFERROR(__xludf.DUMMYFUNCTION("""COMPUTED_VALUE"""),45567.0)</f>
        <v>45567</v>
      </c>
      <c r="B73" s="1" t="str">
        <f>IFERROR(__xludf.DUMMYFUNCTION("""COMPUTED_VALUE"""),"Anas")</f>
        <v>Anas</v>
      </c>
      <c r="C73" s="35">
        <f>IFERROR(__xludf.DUMMYFUNCTION("""COMPUTED_VALUE"""),1500.0)</f>
        <v>1500</v>
      </c>
      <c r="D73" s="1" t="str">
        <f>IFERROR(__xludf.DUMMYFUNCTION("""COMPUTED_VALUE"""),"LYD")</f>
        <v>LYD</v>
      </c>
      <c r="E73" s="1" t="str">
        <f>IFERROR(__xludf.DUMMYFUNCTION("""COMPUTED_VALUE"""),"Money Out")</f>
        <v>Money Out</v>
      </c>
      <c r="F73" s="1"/>
      <c r="G73" s="1"/>
      <c r="H73" s="1" t="str">
        <f>IFERROR(__xludf.DUMMYFUNCTION("""COMPUTED_VALUE"""),"ارجاع قيمة الى محمد العتيري")</f>
        <v>ارجاع قيمة الى محمد العتيري</v>
      </c>
    </row>
    <row r="74">
      <c r="A74" s="36">
        <f>IFERROR(__xludf.DUMMYFUNCTION("""COMPUTED_VALUE"""),45565.0)</f>
        <v>45565</v>
      </c>
      <c r="B74" s="1" t="str">
        <f>IFERROR(__xludf.DUMMYFUNCTION("""COMPUTED_VALUE"""),"Snacky")</f>
        <v>Snacky</v>
      </c>
      <c r="C74" s="35">
        <f>IFERROR(__xludf.DUMMYFUNCTION("""COMPUTED_VALUE"""),935.0)</f>
        <v>935</v>
      </c>
      <c r="D74" s="1" t="str">
        <f>IFERROR(__xludf.DUMMYFUNCTION("""COMPUTED_VALUE"""),"LYD")</f>
        <v>LYD</v>
      </c>
      <c r="E74" s="1" t="str">
        <f>IFERROR(__xludf.DUMMYFUNCTION("""COMPUTED_VALUE"""),"Money In")</f>
        <v>Money In</v>
      </c>
      <c r="F74" s="1" t="str">
        <f>IFERROR(__xludf.DUMMYFUNCTION("""COMPUTED_VALUE"""),"Revenue")</f>
        <v>Revenue</v>
      </c>
      <c r="G74" s="1" t="str">
        <f>IFERROR(__xludf.DUMMYFUNCTION("""COMPUTED_VALUE"""),"deplomacyMall")</f>
        <v>deplomacyMall</v>
      </c>
      <c r="H74" s="1"/>
    </row>
    <row r="75">
      <c r="A75" s="36">
        <f>IFERROR(__xludf.DUMMYFUNCTION("""COMPUTED_VALUE"""),45625.0)</f>
        <v>45625</v>
      </c>
      <c r="B75" s="1" t="str">
        <f>IFERROR(__xludf.DUMMYFUNCTION("""COMPUTED_VALUE"""),"Snacky")</f>
        <v>Snacky</v>
      </c>
      <c r="C75" s="35">
        <f>IFERROR(__xludf.DUMMYFUNCTION("""COMPUTED_VALUE"""),836.0)</f>
        <v>836</v>
      </c>
      <c r="D75" s="1" t="str">
        <f>IFERROR(__xludf.DUMMYFUNCTION("""COMPUTED_VALUE"""),"LYD")</f>
        <v>LYD</v>
      </c>
      <c r="E75" s="1" t="str">
        <f>IFERROR(__xludf.DUMMYFUNCTION("""COMPUTED_VALUE"""),"Money In")</f>
        <v>Money In</v>
      </c>
      <c r="F75" s="1" t="str">
        <f>IFERROR(__xludf.DUMMYFUNCTION("""COMPUTED_VALUE"""),"Revenue")</f>
        <v>Revenue</v>
      </c>
      <c r="G75" s="1" t="str">
        <f>IFERROR(__xludf.DUMMYFUNCTION("""COMPUTED_VALUE"""),"deplomacyMall")</f>
        <v>deplomacyMall</v>
      </c>
      <c r="H75" s="1"/>
    </row>
    <row r="76">
      <c r="A76" s="36">
        <f>IFERROR(__xludf.DUMMYFUNCTION("""COMPUTED_VALUE"""),45625.0)</f>
        <v>45625</v>
      </c>
      <c r="B76" s="1" t="str">
        <f>IFERROR(__xludf.DUMMYFUNCTION("""COMPUTED_VALUE"""),"Snacky")</f>
        <v>Snacky</v>
      </c>
      <c r="C76" s="35">
        <f>IFERROR(__xludf.DUMMYFUNCTION("""COMPUTED_VALUE"""),70.0)</f>
        <v>70</v>
      </c>
      <c r="D76" s="1" t="str">
        <f>IFERROR(__xludf.DUMMYFUNCTION("""COMPUTED_VALUE"""),"LYD")</f>
        <v>LYD</v>
      </c>
      <c r="E76" s="1" t="str">
        <f>IFERROR(__xludf.DUMMYFUNCTION("""COMPUTED_VALUE"""),"Money Out")</f>
        <v>Money Out</v>
      </c>
      <c r="F76" s="1"/>
      <c r="G76" s="1"/>
      <c r="H76" s="1" t="str">
        <f>IFERROR(__xludf.DUMMYFUNCTION("""COMPUTED_VALUE"""),"ارجاع شحن (change box, motherboard)")</f>
        <v>ارجاع شحن (change box, motherboard)</v>
      </c>
    </row>
    <row r="77">
      <c r="A77" s="36">
        <f>IFERROR(__xludf.DUMMYFUNCTION("""COMPUTED_VALUE"""),45625.0)</f>
        <v>45625</v>
      </c>
      <c r="B77" s="1" t="str">
        <f>IFERROR(__xludf.DUMMYFUNCTION("""COMPUTED_VALUE"""),"Snacky")</f>
        <v>Snacky</v>
      </c>
      <c r="C77" s="35">
        <f>IFERROR(__xludf.DUMMYFUNCTION("""COMPUTED_VALUE"""),65.0)</f>
        <v>65</v>
      </c>
      <c r="D77" s="1" t="str">
        <f>IFERROR(__xludf.DUMMYFUNCTION("""COMPUTED_VALUE"""),"LYD")</f>
        <v>LYD</v>
      </c>
      <c r="E77" s="1" t="str">
        <f>IFERROR(__xludf.DUMMYFUNCTION("""COMPUTED_VALUE"""),"Money Out")</f>
        <v>Money Out</v>
      </c>
      <c r="F77" s="1" t="str">
        <f>IFERROR(__xludf.DUMMYFUNCTION("""COMPUTED_VALUE"""),"Product Restocking")</f>
        <v>Product Restocking</v>
      </c>
      <c r="G77" s="1"/>
      <c r="H77" s="1" t="str">
        <f>IFERROR(__xludf.DUMMYFUNCTION("""COMPUTED_VALUE"""),"بضاعه من محل لجنب دبلوماسي")</f>
        <v>بضاعه من محل لجنب دبلوماسي</v>
      </c>
    </row>
    <row r="78">
      <c r="A78" s="36">
        <f>IFERROR(__xludf.DUMMYFUNCTION("""COMPUTED_VALUE"""),45626.0)</f>
        <v>45626</v>
      </c>
      <c r="B78" s="1" t="str">
        <f>IFERROR(__xludf.DUMMYFUNCTION("""COMPUTED_VALUE"""),"Snacky")</f>
        <v>Snacky</v>
      </c>
      <c r="C78" s="35">
        <f>IFERROR(__xludf.DUMMYFUNCTION("""COMPUTED_VALUE"""),1029.0)</f>
        <v>1029</v>
      </c>
      <c r="D78" s="1" t="str">
        <f>IFERROR(__xludf.DUMMYFUNCTION("""COMPUTED_VALUE"""),"LYD")</f>
        <v>LYD</v>
      </c>
      <c r="E78" s="1" t="str">
        <f>IFERROR(__xludf.DUMMYFUNCTION("""COMPUTED_VALUE"""),"Money Out")</f>
        <v>Money Out</v>
      </c>
      <c r="F78" s="1" t="str">
        <f>IFERROR(__xludf.DUMMYFUNCTION("""COMPUTED_VALUE"""),"Product Restocking")</f>
        <v>Product Restocking</v>
      </c>
      <c r="G78" s="1"/>
      <c r="H78" s="1"/>
    </row>
    <row r="79">
      <c r="A79" s="36">
        <f>IFERROR(__xludf.DUMMYFUNCTION("""COMPUTED_VALUE"""),45629.0)</f>
        <v>45629</v>
      </c>
      <c r="B79" s="1" t="str">
        <f>IFERROR(__xludf.DUMMYFUNCTION("""COMPUTED_VALUE"""),"Snacky")</f>
        <v>Snacky</v>
      </c>
      <c r="C79" s="35">
        <f>IFERROR(__xludf.DUMMYFUNCTION("""COMPUTED_VALUE"""),50.0)</f>
        <v>50</v>
      </c>
      <c r="D79" s="1" t="str">
        <f>IFERROR(__xludf.DUMMYFUNCTION("""COMPUTED_VALUE"""),"LYD")</f>
        <v>LYD</v>
      </c>
      <c r="E79" s="1" t="str">
        <f>IFERROR(__xludf.DUMMYFUNCTION("""COMPUTED_VALUE"""),"Money Out")</f>
        <v>Money Out</v>
      </c>
      <c r="F79" s="1"/>
      <c r="G79" s="1"/>
      <c r="H79" s="1" t="str">
        <f>IFERROR(__xludf.DUMMYFUNCTION("""COMPUTED_VALUE"""),"اجار فوركه لتحريك المكينه ")</f>
        <v>اجار فوركه لتحريك المكينه </v>
      </c>
    </row>
    <row r="80">
      <c r="A80" s="36">
        <f>IFERROR(__xludf.DUMMYFUNCTION("""COMPUTED_VALUE"""),45631.0)</f>
        <v>45631</v>
      </c>
      <c r="B80" s="1" t="str">
        <f>IFERROR(__xludf.DUMMYFUNCTION("""COMPUTED_VALUE"""),"Snacky")</f>
        <v>Snacky</v>
      </c>
      <c r="C80" s="35">
        <f>IFERROR(__xludf.DUMMYFUNCTION("""COMPUTED_VALUE"""),850.0)</f>
        <v>850</v>
      </c>
      <c r="D80" s="1" t="str">
        <f>IFERROR(__xludf.DUMMYFUNCTION("""COMPUTED_VALUE"""),"LYD")</f>
        <v>LYD</v>
      </c>
      <c r="E80" s="1" t="str">
        <f>IFERROR(__xludf.DUMMYFUNCTION("""COMPUTED_VALUE"""),"Money Out")</f>
        <v>Money Out</v>
      </c>
      <c r="F80" s="1" t="str">
        <f>IFERROR(__xludf.DUMMYFUNCTION("""COMPUTED_VALUE"""),"Product Restocking")</f>
        <v>Product Restocking</v>
      </c>
      <c r="G80" s="1"/>
      <c r="H80" s="1" t="str">
        <f>IFERROR(__xludf.DUMMYFUNCTION("""COMPUTED_VALUE"""),"بضاعه من المتحده والمحل لديما ناخد منه")</f>
        <v>بضاعه من المتحده والمحل لديما ناخد منه</v>
      </c>
    </row>
    <row r="81">
      <c r="A81" s="36">
        <f>IFERROR(__xludf.DUMMYFUNCTION("""COMPUTED_VALUE"""),45627.0)</f>
        <v>45627</v>
      </c>
      <c r="B81" s="1" t="str">
        <f>IFERROR(__xludf.DUMMYFUNCTION("""COMPUTED_VALUE"""),"Anas")</f>
        <v>Anas</v>
      </c>
      <c r="C81" s="35">
        <f>IFERROR(__xludf.DUMMYFUNCTION("""COMPUTED_VALUE"""),1800.0)</f>
        <v>1800</v>
      </c>
      <c r="D81" s="1" t="str">
        <f>IFERROR(__xludf.DUMMYFUNCTION("""COMPUTED_VALUE"""),"$")</f>
        <v>$</v>
      </c>
      <c r="E81" s="1" t="str">
        <f>IFERROR(__xludf.DUMMYFUNCTION("""COMPUTED_VALUE"""),"Money In")</f>
        <v>Money In</v>
      </c>
      <c r="F81" s="1"/>
      <c r="G81" s="1"/>
      <c r="H81" s="1" t="str">
        <f>IFERROR(__xludf.DUMMYFUNCTION("""COMPUTED_VALUE"""),"تمت تسوية سعر الماكينه مع تيسير")</f>
        <v>تمت تسوية سعر الماكينه مع تيسير</v>
      </c>
    </row>
    <row r="82">
      <c r="A82" s="36">
        <f>IFERROR(__xludf.DUMMYFUNCTION("""COMPUTED_VALUE"""),45635.0)</f>
        <v>45635</v>
      </c>
      <c r="B82" s="1" t="str">
        <f>IFERROR(__xludf.DUMMYFUNCTION("""COMPUTED_VALUE"""),"Snacky")</f>
        <v>Snacky</v>
      </c>
      <c r="C82" s="35">
        <f>IFERROR(__xludf.DUMMYFUNCTION("""COMPUTED_VALUE"""),1111.0)</f>
        <v>1111</v>
      </c>
      <c r="D82" s="1" t="str">
        <f>IFERROR(__xludf.DUMMYFUNCTION("""COMPUTED_VALUE"""),"LYD")</f>
        <v>LYD</v>
      </c>
      <c r="E82" s="1" t="str">
        <f>IFERROR(__xludf.DUMMYFUNCTION("""COMPUTED_VALUE"""),"Money In")</f>
        <v>Money In</v>
      </c>
      <c r="F82" s="1" t="str">
        <f>IFERROR(__xludf.DUMMYFUNCTION("""COMPUTED_VALUE"""),"Revenue")</f>
        <v>Revenue</v>
      </c>
      <c r="G82" s="1" t="str">
        <f>IFERROR(__xludf.DUMMYFUNCTION("""COMPUTED_VALUE"""),"deplomacyMall")</f>
        <v>deplomacyMall</v>
      </c>
      <c r="H82" s="1"/>
    </row>
    <row r="83">
      <c r="A83" s="36">
        <f>IFERROR(__xludf.DUMMYFUNCTION("""COMPUTED_VALUE"""),45636.0)</f>
        <v>45636</v>
      </c>
      <c r="B83" s="1" t="str">
        <f>IFERROR(__xludf.DUMMYFUNCTION("""COMPUTED_VALUE"""),"Snacky")</f>
        <v>Snacky</v>
      </c>
      <c r="C83" s="35">
        <f>IFERROR(__xludf.DUMMYFUNCTION("""COMPUTED_VALUE"""),455.0)</f>
        <v>455</v>
      </c>
      <c r="D83" s="1" t="str">
        <f>IFERROR(__xludf.DUMMYFUNCTION("""COMPUTED_VALUE"""),"LYD")</f>
        <v>LYD</v>
      </c>
      <c r="E83" s="1" t="str">
        <f>IFERROR(__xludf.DUMMYFUNCTION("""COMPUTED_VALUE"""),"Money Out")</f>
        <v>Money Out</v>
      </c>
      <c r="F83" s="1"/>
      <c r="G83" s="1"/>
      <c r="H83" s="37" t="str">
        <f>IFERROR(__xludf.DUMMYFUNCTION("""COMPUTED_VALUE"""),"فواتير")</f>
        <v>فواتير</v>
      </c>
    </row>
    <row r="84">
      <c r="A84" s="36">
        <f>IFERROR(__xludf.DUMMYFUNCTION("""COMPUTED_VALUE"""),45637.0)</f>
        <v>45637</v>
      </c>
      <c r="B84" s="1" t="str">
        <f>IFERROR(__xludf.DUMMYFUNCTION("""COMPUTED_VALUE"""),"Anas")</f>
        <v>Anas</v>
      </c>
      <c r="C84" s="35">
        <f>IFERROR(__xludf.DUMMYFUNCTION("""COMPUTED_VALUE"""),9000.0)</f>
        <v>9000</v>
      </c>
      <c r="D84" s="1" t="str">
        <f>IFERROR(__xludf.DUMMYFUNCTION("""COMPUTED_VALUE"""),"LYD")</f>
        <v>LYD</v>
      </c>
      <c r="E84" s="1" t="str">
        <f>IFERROR(__xludf.DUMMYFUNCTION("""COMPUTED_VALUE"""),"Money In")</f>
        <v>Money In</v>
      </c>
      <c r="F84" s="1"/>
      <c r="G84" s="1"/>
      <c r="H84" s="1" t="str">
        <f>IFERROR(__xludf.DUMMYFUNCTION("""COMPUTED_VALUE"""),"سحبت فلوس الايداع لفتح شركه")</f>
        <v>سحبت فلوس الايداع لفتح شركه</v>
      </c>
    </row>
    <row r="85">
      <c r="A85" s="36">
        <f>IFERROR(__xludf.DUMMYFUNCTION("""COMPUTED_VALUE"""),45640.0)</f>
        <v>45640</v>
      </c>
      <c r="B85" s="1" t="str">
        <f>IFERROR(__xludf.DUMMYFUNCTION("""COMPUTED_VALUE"""),"Snacky")</f>
        <v>Snacky</v>
      </c>
      <c r="C85" s="35">
        <f>IFERROR(__xludf.DUMMYFUNCTION("""COMPUTED_VALUE"""),980.0)</f>
        <v>980</v>
      </c>
      <c r="D85" s="1" t="str">
        <f>IFERROR(__xludf.DUMMYFUNCTION("""COMPUTED_VALUE"""),"LYD")</f>
        <v>LYD</v>
      </c>
      <c r="E85" s="1" t="str">
        <f>IFERROR(__xludf.DUMMYFUNCTION("""COMPUTED_VALUE"""),"Money In")</f>
        <v>Money In</v>
      </c>
      <c r="F85" s="1" t="str">
        <f>IFERROR(__xludf.DUMMYFUNCTION("""COMPUTED_VALUE"""),"Revenue")</f>
        <v>Revenue</v>
      </c>
      <c r="G85" s="1" t="str">
        <f>IFERROR(__xludf.DUMMYFUNCTION("""COMPUTED_VALUE"""),"deplomacyMall")</f>
        <v>deplomacyMall</v>
      </c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36">
        <f>IFERROR(__xludf.DUMMYFUNCTION("""COMPUTED_VALUE"""),45641.0)</f>
        <v>45641</v>
      </c>
      <c r="B87" s="1" t="str">
        <f>IFERROR(__xludf.DUMMYFUNCTION("""COMPUTED_VALUE"""),"Snacky")</f>
        <v>Snacky</v>
      </c>
      <c r="C87" s="35">
        <f>IFERROR(__xludf.DUMMYFUNCTION("""COMPUTED_VALUE"""),2500.0)</f>
        <v>2500</v>
      </c>
      <c r="D87" s="1" t="str">
        <f>IFERROR(__xludf.DUMMYFUNCTION("""COMPUTED_VALUE"""),"LYD")</f>
        <v>LYD</v>
      </c>
      <c r="E87" s="1" t="str">
        <f>IFERROR(__xludf.DUMMYFUNCTION("""COMPUTED_VALUE"""),"Money In")</f>
        <v>Money In</v>
      </c>
      <c r="F87" s="1" t="str">
        <f>IFERROR(__xludf.DUMMYFUNCTION("""COMPUTED_VALUE"""),"ads")</f>
        <v>ads</v>
      </c>
      <c r="G87" s="1"/>
      <c r="H87" s="1" t="str">
        <f>IFERROR(__xludf.DUMMYFUNCTION("""COMPUTED_VALUE"""),"توربو من نص 12 الى نص 3")</f>
        <v>توربو من نص 12 الى نص 3</v>
      </c>
    </row>
    <row r="88">
      <c r="A88" s="36">
        <f>IFERROR(__xludf.DUMMYFUNCTION("""COMPUTED_VALUE"""),45643.0)</f>
        <v>45643</v>
      </c>
      <c r="B88" s="1" t="str">
        <f>IFERROR(__xludf.DUMMYFUNCTION("""COMPUTED_VALUE"""),"Snacky")</f>
        <v>Snacky</v>
      </c>
      <c r="C88" s="35">
        <f>IFERROR(__xludf.DUMMYFUNCTION("""COMPUTED_VALUE"""),1097.0)</f>
        <v>1097</v>
      </c>
      <c r="D88" s="1" t="str">
        <f>IFERROR(__xludf.DUMMYFUNCTION("""COMPUTED_VALUE"""),"LYD")</f>
        <v>LYD</v>
      </c>
      <c r="E88" s="1" t="str">
        <f>IFERROR(__xludf.DUMMYFUNCTION("""COMPUTED_VALUE"""),"Money Out")</f>
        <v>Money Out</v>
      </c>
      <c r="F88" s="1" t="str">
        <f>IFERROR(__xludf.DUMMYFUNCTION("""COMPUTED_VALUE"""),"Product Restocking")</f>
        <v>Product Restocking</v>
      </c>
      <c r="G88" s="1"/>
      <c r="H88" s="1"/>
    </row>
    <row r="89">
      <c r="A89" s="36">
        <f>IFERROR(__xludf.DUMMYFUNCTION("""COMPUTED_VALUE"""),45645.0)</f>
        <v>45645</v>
      </c>
      <c r="B89" s="1" t="str">
        <f>IFERROR(__xludf.DUMMYFUNCTION("""COMPUTED_VALUE"""),"Snacky")</f>
        <v>Snacky</v>
      </c>
      <c r="C89" s="35">
        <f>IFERROR(__xludf.DUMMYFUNCTION("""COMPUTED_VALUE"""),1600.0)</f>
        <v>1600</v>
      </c>
      <c r="D89" s="1" t="str">
        <f>IFERROR(__xludf.DUMMYFUNCTION("""COMPUTED_VALUE"""),"LYD")</f>
        <v>LYD</v>
      </c>
      <c r="E89" s="1" t="str">
        <f>IFERROR(__xludf.DUMMYFUNCTION("""COMPUTED_VALUE"""),"Money In")</f>
        <v>Money In</v>
      </c>
      <c r="F89" s="1" t="str">
        <f>IFERROR(__xludf.DUMMYFUNCTION("""COMPUTED_VALUE"""),"Revenue")</f>
        <v>Revenue</v>
      </c>
      <c r="G89" s="1" t="str">
        <f>IFERROR(__xludf.DUMMYFUNCTION("""COMPUTED_VALUE"""),"deplomacyMall")</f>
        <v>deplomacyMall</v>
      </c>
      <c r="H89" s="1"/>
    </row>
    <row r="90">
      <c r="A90" s="36">
        <f>IFERROR(__xludf.DUMMYFUNCTION("""COMPUTED_VALUE"""),45645.0)</f>
        <v>45645</v>
      </c>
      <c r="B90" s="1" t="str">
        <f>IFERROR(__xludf.DUMMYFUNCTION("""COMPUTED_VALUE"""),"Snacky")</f>
        <v>Snacky</v>
      </c>
      <c r="C90" s="35">
        <f>IFERROR(__xludf.DUMMYFUNCTION("""COMPUTED_VALUE"""),1223.0)</f>
        <v>1223</v>
      </c>
      <c r="D90" s="1" t="str">
        <f>IFERROR(__xludf.DUMMYFUNCTION("""COMPUTED_VALUE"""),"LYD")</f>
        <v>LYD</v>
      </c>
      <c r="E90" s="1" t="str">
        <f>IFERROR(__xludf.DUMMYFUNCTION("""COMPUTED_VALUE"""),"Money Out")</f>
        <v>Money Out</v>
      </c>
      <c r="F90" s="1" t="str">
        <f>IFERROR(__xludf.DUMMYFUNCTION("""COMPUTED_VALUE"""),"Product Restocking")</f>
        <v>Product Restocking</v>
      </c>
      <c r="G90" s="1"/>
      <c r="H90" s="1"/>
    </row>
    <row r="91">
      <c r="A91" s="36">
        <f>IFERROR(__xludf.DUMMYFUNCTION("""COMPUTED_VALUE"""),45648.0)</f>
        <v>45648</v>
      </c>
      <c r="B91" s="1" t="str">
        <f>IFERROR(__xludf.DUMMYFUNCTION("""COMPUTED_VALUE"""),"Snacky")</f>
        <v>Snacky</v>
      </c>
      <c r="C91" s="35">
        <f>IFERROR(__xludf.DUMMYFUNCTION("""COMPUTED_VALUE"""),1140.0)</f>
        <v>1140</v>
      </c>
      <c r="D91" s="1" t="str">
        <f>IFERROR(__xludf.DUMMYFUNCTION("""COMPUTED_VALUE"""),"LYD")</f>
        <v>LYD</v>
      </c>
      <c r="E91" s="1" t="str">
        <f>IFERROR(__xludf.DUMMYFUNCTION("""COMPUTED_VALUE"""),"Money In")</f>
        <v>Money In</v>
      </c>
      <c r="F91" s="1" t="str">
        <f>IFERROR(__xludf.DUMMYFUNCTION("""COMPUTED_VALUE"""),"Revenue")</f>
        <v>Revenue</v>
      </c>
      <c r="G91" s="1" t="str">
        <f>IFERROR(__xludf.DUMMYFUNCTION("""COMPUTED_VALUE"""),"deplomacyMall")</f>
        <v>deplomacyMall</v>
      </c>
      <c r="H91" s="1"/>
    </row>
    <row r="92">
      <c r="A92" s="36">
        <f>IFERROR(__xludf.DUMMYFUNCTION("""COMPUTED_VALUE"""),45654.0)</f>
        <v>45654</v>
      </c>
      <c r="B92" s="1" t="str">
        <f>IFERROR(__xludf.DUMMYFUNCTION("""COMPUTED_VALUE"""),"Snacky")</f>
        <v>Snacky</v>
      </c>
      <c r="C92" s="35">
        <f>IFERROR(__xludf.DUMMYFUNCTION("""COMPUTED_VALUE"""),150.0)</f>
        <v>150</v>
      </c>
      <c r="D92" s="1" t="str">
        <f>IFERROR(__xludf.DUMMYFUNCTION("""COMPUTED_VALUE"""),"LYD")</f>
        <v>LYD</v>
      </c>
      <c r="E92" s="1" t="str">
        <f>IFERROR(__xludf.DUMMYFUNCTION("""COMPUTED_VALUE"""),"Money Out")</f>
        <v>Money Out</v>
      </c>
      <c r="F92" s="1"/>
      <c r="G92" s="1"/>
      <c r="H92" s="1" t="str">
        <f>IFERROR(__xludf.DUMMYFUNCTION("""COMPUTED_VALUE"""),"الى دعاء المصممه")</f>
        <v>الى دعاء المصممه</v>
      </c>
    </row>
    <row r="93">
      <c r="A93" s="36">
        <f>IFERROR(__xludf.DUMMYFUNCTION("""COMPUTED_VALUE"""),45654.0)</f>
        <v>45654</v>
      </c>
      <c r="B93" s="1" t="str">
        <f>IFERROR(__xludf.DUMMYFUNCTION("""COMPUTED_VALUE"""),"Snacky")</f>
        <v>Snacky</v>
      </c>
      <c r="C93" s="35">
        <f>IFERROR(__xludf.DUMMYFUNCTION("""COMPUTED_VALUE"""),60.0)</f>
        <v>60</v>
      </c>
      <c r="D93" s="1" t="str">
        <f>IFERROR(__xludf.DUMMYFUNCTION("""COMPUTED_VALUE"""),"LYD")</f>
        <v>LYD</v>
      </c>
      <c r="E93" s="1" t="str">
        <f>IFERROR(__xludf.DUMMYFUNCTION("""COMPUTED_VALUE"""),"Money Out")</f>
        <v>Money Out</v>
      </c>
      <c r="F93" s="1"/>
      <c r="G93" s="1"/>
      <c r="H93" s="1" t="str">
        <f>IFERROR(__xludf.DUMMYFUNCTION("""COMPUTED_VALUE"""),"طباعة الستكر لعصير البرتقال")</f>
        <v>طباعة الستكر لعصير البرتقال</v>
      </c>
    </row>
    <row r="94">
      <c r="A94" s="36">
        <f>IFERROR(__xludf.DUMMYFUNCTION("""COMPUTED_VALUE"""),45659.0)</f>
        <v>45659</v>
      </c>
      <c r="B94" s="1" t="str">
        <f>IFERROR(__xludf.DUMMYFUNCTION("""COMPUTED_VALUE"""),"Snacky")</f>
        <v>Snacky</v>
      </c>
      <c r="C94" s="35">
        <f>IFERROR(__xludf.DUMMYFUNCTION("""COMPUTED_VALUE"""),1047.0)</f>
        <v>1047</v>
      </c>
      <c r="D94" s="1" t="str">
        <f>IFERROR(__xludf.DUMMYFUNCTION("""COMPUTED_VALUE"""),"LYD")</f>
        <v>LYD</v>
      </c>
      <c r="E94" s="1" t="str">
        <f>IFERROR(__xludf.DUMMYFUNCTION("""COMPUTED_VALUE"""),"Money In")</f>
        <v>Money In</v>
      </c>
      <c r="F94" s="1" t="str">
        <f>IFERROR(__xludf.DUMMYFUNCTION("""COMPUTED_VALUE"""),"Revenue")</f>
        <v>Revenue</v>
      </c>
      <c r="G94" s="1" t="str">
        <f>IFERROR(__xludf.DUMMYFUNCTION("""COMPUTED_VALUE"""),"deplomacyMall")</f>
        <v>deplomacyMall</v>
      </c>
      <c r="H94" s="1"/>
    </row>
    <row r="95">
      <c r="A95" s="36">
        <f>IFERROR(__xludf.DUMMYFUNCTION("""COMPUTED_VALUE"""),45659.0)</f>
        <v>45659</v>
      </c>
      <c r="B95" s="1" t="str">
        <f>IFERROR(__xludf.DUMMYFUNCTION("""COMPUTED_VALUE"""),"Snacky")</f>
        <v>Snacky</v>
      </c>
      <c r="C95" s="35">
        <f>IFERROR(__xludf.DUMMYFUNCTION("""COMPUTED_VALUE"""),769.0)</f>
        <v>769</v>
      </c>
      <c r="D95" s="1" t="str">
        <f>IFERROR(__xludf.DUMMYFUNCTION("""COMPUTED_VALUE"""),"LYD")</f>
        <v>LYD</v>
      </c>
      <c r="E95" s="1" t="str">
        <f>IFERROR(__xludf.DUMMYFUNCTION("""COMPUTED_VALUE"""),"Money Out")</f>
        <v>Money Out</v>
      </c>
      <c r="F95" s="1" t="str">
        <f>IFERROR(__xludf.DUMMYFUNCTION("""COMPUTED_VALUE"""),"Product Restocking")</f>
        <v>Product Restocking</v>
      </c>
      <c r="G95" s="1"/>
      <c r="H95" s="1"/>
    </row>
    <row r="96">
      <c r="A96" s="36">
        <f>IFERROR(__xludf.DUMMYFUNCTION("""COMPUTED_VALUE"""),45662.0)</f>
        <v>45662</v>
      </c>
      <c r="B96" s="1" t="str">
        <f>IFERROR(__xludf.DUMMYFUNCTION("""COMPUTED_VALUE"""),"Snacky")</f>
        <v>Snacky</v>
      </c>
      <c r="C96" s="35">
        <f>IFERROR(__xludf.DUMMYFUNCTION("""COMPUTED_VALUE"""),1189.0)</f>
        <v>1189</v>
      </c>
      <c r="D96" s="1" t="str">
        <f>IFERROR(__xludf.DUMMYFUNCTION("""COMPUTED_VALUE"""),"LYD")</f>
        <v>LYD</v>
      </c>
      <c r="E96" s="1" t="str">
        <f>IFERROR(__xludf.DUMMYFUNCTION("""COMPUTED_VALUE"""),"Money In")</f>
        <v>Money In</v>
      </c>
      <c r="F96" s="1" t="str">
        <f>IFERROR(__xludf.DUMMYFUNCTION("""COMPUTED_VALUE"""),"Revenue")</f>
        <v>Revenue</v>
      </c>
      <c r="G96" s="1" t="str">
        <f>IFERROR(__xludf.DUMMYFUNCTION("""COMPUTED_VALUE"""),"deplomacyMall")</f>
        <v>deplomacyMall</v>
      </c>
      <c r="H96" s="1"/>
    </row>
    <row r="97">
      <c r="A97" s="36">
        <f>IFERROR(__xludf.DUMMYFUNCTION("""COMPUTED_VALUE"""),45662.0)</f>
        <v>45662</v>
      </c>
      <c r="B97" s="1" t="str">
        <f>IFERROR(__xludf.DUMMYFUNCTION("""COMPUTED_VALUE"""),"Snacky")</f>
        <v>Snacky</v>
      </c>
      <c r="C97" s="35">
        <f>IFERROR(__xludf.DUMMYFUNCTION("""COMPUTED_VALUE"""),221.0)</f>
        <v>221</v>
      </c>
      <c r="D97" s="1" t="str">
        <f>IFERROR(__xludf.DUMMYFUNCTION("""COMPUTED_VALUE"""),"LYD")</f>
        <v>LYD</v>
      </c>
      <c r="E97" s="1" t="str">
        <f>IFERROR(__xludf.DUMMYFUNCTION("""COMPUTED_VALUE"""),"Money Out")</f>
        <v>Money Out</v>
      </c>
      <c r="F97" s="1" t="str">
        <f>IFERROR(__xludf.DUMMYFUNCTION("""COMPUTED_VALUE"""),"Product Restocking")</f>
        <v>Product Restocking</v>
      </c>
      <c r="G97" s="1"/>
      <c r="H97" s="1"/>
    </row>
    <row r="98">
      <c r="A98" s="36">
        <f>IFERROR(__xludf.DUMMYFUNCTION("""COMPUTED_VALUE"""),45663.0)</f>
        <v>45663</v>
      </c>
      <c r="B98" s="1" t="str">
        <f>IFERROR(__xludf.DUMMYFUNCTION("""COMPUTED_VALUE"""),"Snacky")</f>
        <v>Snacky</v>
      </c>
      <c r="C98" s="35">
        <f>IFERROR(__xludf.DUMMYFUNCTION("""COMPUTED_VALUE"""),640.0)</f>
        <v>640</v>
      </c>
      <c r="D98" s="1" t="str">
        <f>IFERROR(__xludf.DUMMYFUNCTION("""COMPUTED_VALUE"""),"LYD")</f>
        <v>LYD</v>
      </c>
      <c r="E98" s="1" t="str">
        <f>IFERROR(__xludf.DUMMYFUNCTION("""COMPUTED_VALUE"""),"Money Out")</f>
        <v>Money Out</v>
      </c>
      <c r="F98" s="1" t="str">
        <f>IFERROR(__xludf.DUMMYFUNCTION("""COMPUTED_VALUE"""),"Product Restocking")</f>
        <v>Product Restocking</v>
      </c>
      <c r="G98" s="1"/>
      <c r="H98" s="1"/>
    </row>
    <row r="99">
      <c r="A99" s="36">
        <f>IFERROR(__xludf.DUMMYFUNCTION("""COMPUTED_VALUE"""),45665.0)</f>
        <v>45665</v>
      </c>
      <c r="B99" s="1" t="str">
        <f>IFERROR(__xludf.DUMMYFUNCTION("""COMPUTED_VALUE"""),"Anas")</f>
        <v>Anas</v>
      </c>
      <c r="C99" s="35">
        <f>IFERROR(__xludf.DUMMYFUNCTION("""COMPUTED_VALUE"""),782.0)</f>
        <v>782</v>
      </c>
      <c r="D99" s="1" t="str">
        <f>IFERROR(__xludf.DUMMYFUNCTION("""COMPUTED_VALUE"""),"LYD")</f>
        <v>LYD</v>
      </c>
      <c r="E99" s="1" t="str">
        <f>IFERROR(__xludf.DUMMYFUNCTION("""COMPUTED_VALUE"""),"Money Out")</f>
        <v>Money Out</v>
      </c>
      <c r="F99" s="1" t="str">
        <f>IFERROR(__xludf.DUMMYFUNCTION("""COMPUTED_VALUE"""),"Product Restocking")</f>
        <v>Product Restocking</v>
      </c>
      <c r="G99" s="1"/>
      <c r="H99" s="1"/>
    </row>
    <row r="100">
      <c r="A100" s="36">
        <f>IFERROR(__xludf.DUMMYFUNCTION("""COMPUTED_VALUE"""),45665.0)</f>
        <v>45665</v>
      </c>
      <c r="B100" s="1" t="str">
        <f>IFERROR(__xludf.DUMMYFUNCTION("""COMPUTED_VALUE"""),"Snacky")</f>
        <v>Snacky</v>
      </c>
      <c r="C100" s="35">
        <f>IFERROR(__xludf.DUMMYFUNCTION("""COMPUTED_VALUE"""),1768.0)</f>
        <v>1768</v>
      </c>
      <c r="D100" s="1" t="str">
        <f>IFERROR(__xludf.DUMMYFUNCTION("""COMPUTED_VALUE"""),"LYD")</f>
        <v>LYD</v>
      </c>
      <c r="E100" s="1" t="str">
        <f>IFERROR(__xludf.DUMMYFUNCTION("""COMPUTED_VALUE"""),"Money In")</f>
        <v>Money In</v>
      </c>
      <c r="F100" s="1" t="str">
        <f>IFERROR(__xludf.DUMMYFUNCTION("""COMPUTED_VALUE"""),"Revenue")</f>
        <v>Revenue</v>
      </c>
      <c r="G100" s="1" t="str">
        <f>IFERROR(__xludf.DUMMYFUNCTION("""COMPUTED_VALUE"""),"deplomacyMall")</f>
        <v>deplomacyMall</v>
      </c>
      <c r="H100" s="1"/>
    </row>
    <row r="101">
      <c r="A101" s="36">
        <f>IFERROR(__xludf.DUMMYFUNCTION("""COMPUTED_VALUE"""),45666.0)</f>
        <v>45666</v>
      </c>
      <c r="B101" s="1" t="str">
        <f>IFERROR(__xludf.DUMMYFUNCTION("""COMPUTED_VALUE"""),"Anas")</f>
        <v>Anas</v>
      </c>
      <c r="C101" s="35">
        <f>IFERROR(__xludf.DUMMYFUNCTION("""COMPUTED_VALUE"""),1206.0)</f>
        <v>1206</v>
      </c>
      <c r="D101" s="1" t="str">
        <f>IFERROR(__xludf.DUMMYFUNCTION("""COMPUTED_VALUE"""),"LYD")</f>
        <v>LYD</v>
      </c>
      <c r="E101" s="1" t="str">
        <f>IFERROR(__xludf.DUMMYFUNCTION("""COMPUTED_VALUE"""),"Money Out")</f>
        <v>Money Out</v>
      </c>
      <c r="F101" s="1" t="str">
        <f>IFERROR(__xludf.DUMMYFUNCTION("""COMPUTED_VALUE"""),"Product Restocking")</f>
        <v>Product Restocking</v>
      </c>
      <c r="G101" s="1"/>
      <c r="H101" s="1"/>
    </row>
    <row r="102">
      <c r="A102" s="36">
        <f>IFERROR(__xludf.DUMMYFUNCTION("""COMPUTED_VALUE"""),45666.0)</f>
        <v>45666</v>
      </c>
      <c r="B102" s="1" t="str">
        <f>IFERROR(__xludf.DUMMYFUNCTION("""COMPUTED_VALUE"""),"Snacky")</f>
        <v>Snacky</v>
      </c>
      <c r="C102" s="35">
        <f>IFERROR(__xludf.DUMMYFUNCTION("""COMPUTED_VALUE"""),1947.0)</f>
        <v>1947</v>
      </c>
      <c r="D102" s="1" t="str">
        <f>IFERROR(__xludf.DUMMYFUNCTION("""COMPUTED_VALUE"""),"LYD")</f>
        <v>LYD</v>
      </c>
      <c r="E102" s="1" t="str">
        <f>IFERROR(__xludf.DUMMYFUNCTION("""COMPUTED_VALUE"""),"Money In")</f>
        <v>Money In</v>
      </c>
      <c r="F102" s="1" t="str">
        <f>IFERROR(__xludf.DUMMYFUNCTION("""COMPUTED_VALUE"""),"Revenue")</f>
        <v>Revenue</v>
      </c>
      <c r="G102" s="1" t="str">
        <f>IFERROR(__xludf.DUMMYFUNCTION("""COMPUTED_VALUE"""),"deplomacyMall")</f>
        <v>deplomacyMall</v>
      </c>
      <c r="H102" s="1"/>
    </row>
    <row r="103">
      <c r="A103" s="36">
        <f>IFERROR(__xludf.DUMMYFUNCTION("""COMPUTED_VALUE"""),45668.0)</f>
        <v>45668</v>
      </c>
      <c r="B103" s="1" t="str">
        <f>IFERROR(__xludf.DUMMYFUNCTION("""COMPUTED_VALUE"""),"Snacky")</f>
        <v>Snacky</v>
      </c>
      <c r="C103" s="35">
        <f>IFERROR(__xludf.DUMMYFUNCTION("""COMPUTED_VALUE"""),1191.0)</f>
        <v>1191</v>
      </c>
      <c r="D103" s="1" t="str">
        <f>IFERROR(__xludf.DUMMYFUNCTION("""COMPUTED_VALUE"""),"LYD")</f>
        <v>LYD</v>
      </c>
      <c r="E103" s="1" t="str">
        <f>IFERROR(__xludf.DUMMYFUNCTION("""COMPUTED_VALUE"""),"Money In")</f>
        <v>Money In</v>
      </c>
      <c r="F103" s="1" t="str">
        <f>IFERROR(__xludf.DUMMYFUNCTION("""COMPUTED_VALUE"""),"Revenue")</f>
        <v>Revenue</v>
      </c>
      <c r="G103" s="1" t="str">
        <f>IFERROR(__xludf.DUMMYFUNCTION("""COMPUTED_VALUE"""),"deplomacyMall")</f>
        <v>deplomacyMall</v>
      </c>
      <c r="H103" s="1"/>
    </row>
    <row r="104">
      <c r="A104" s="36">
        <f>IFERROR(__xludf.DUMMYFUNCTION("""COMPUTED_VALUE"""),45668.0)</f>
        <v>45668</v>
      </c>
      <c r="B104" s="1" t="str">
        <f>IFERROR(__xludf.DUMMYFUNCTION("""COMPUTED_VALUE"""),"Anas")</f>
        <v>Anas</v>
      </c>
      <c r="C104" s="35">
        <f>IFERROR(__xludf.DUMMYFUNCTION("""COMPUTED_VALUE"""),525.0)</f>
        <v>525</v>
      </c>
      <c r="D104" s="1" t="str">
        <f>IFERROR(__xludf.DUMMYFUNCTION("""COMPUTED_VALUE"""),"LYD")</f>
        <v>LYD</v>
      </c>
      <c r="E104" s="1" t="str">
        <f>IFERROR(__xludf.DUMMYFUNCTION("""COMPUTED_VALUE"""),"Money Out")</f>
        <v>Money Out</v>
      </c>
      <c r="F104" s="1" t="str">
        <f>IFERROR(__xludf.DUMMYFUNCTION("""COMPUTED_VALUE"""),"Product Restocking")</f>
        <v>Product Restocking</v>
      </c>
      <c r="G104" s="1"/>
      <c r="H104" s="1"/>
    </row>
    <row r="105">
      <c r="A105" s="36">
        <f>IFERROR(__xludf.DUMMYFUNCTION("""COMPUTED_VALUE"""),45667.0)</f>
        <v>45667</v>
      </c>
      <c r="B105" s="1" t="str">
        <f>IFERROR(__xludf.DUMMYFUNCTION("""COMPUTED_VALUE"""),"Snacky")</f>
        <v>Snacky</v>
      </c>
      <c r="C105" s="35">
        <f>IFERROR(__xludf.DUMMYFUNCTION("""COMPUTED_VALUE"""),31.0)</f>
        <v>31</v>
      </c>
      <c r="D105" s="1" t="str">
        <f>IFERROR(__xludf.DUMMYFUNCTION("""COMPUTED_VALUE"""),"LYD")</f>
        <v>LYD</v>
      </c>
      <c r="E105" s="1" t="str">
        <f>IFERROR(__xludf.DUMMYFUNCTION("""COMPUTED_VALUE"""),"Money Out")</f>
        <v>Money Out</v>
      </c>
      <c r="F105" s="1" t="str">
        <f>IFERROR(__xludf.DUMMYFUNCTION("""COMPUTED_VALUE"""),"Product Restocking")</f>
        <v>Product Restocking</v>
      </c>
      <c r="G105" s="1"/>
      <c r="H105" s="1"/>
    </row>
    <row r="106">
      <c r="A106" s="36">
        <f>IFERROR(__xludf.DUMMYFUNCTION("""COMPUTED_VALUE"""),45671.0)</f>
        <v>45671</v>
      </c>
      <c r="B106" s="1" t="str">
        <f>IFERROR(__xludf.DUMMYFUNCTION("""COMPUTED_VALUE"""),"Anas")</f>
        <v>Anas</v>
      </c>
      <c r="C106" s="35">
        <f>IFERROR(__xludf.DUMMYFUNCTION("""COMPUTED_VALUE"""),8217.0)</f>
        <v>8217</v>
      </c>
      <c r="D106" s="1" t="str">
        <f>IFERROR(__xludf.DUMMYFUNCTION("""COMPUTED_VALUE"""),"LYD")</f>
        <v>LYD</v>
      </c>
      <c r="E106" s="1" t="str">
        <f>IFERROR(__xludf.DUMMYFUNCTION("""COMPUTED_VALUE"""),"Money Out")</f>
        <v>Money Out</v>
      </c>
      <c r="F106" s="1" t="str">
        <f>IFERROR(__xludf.DUMMYFUNCTION("""COMPUTED_VALUE"""),"to snacky")</f>
        <v>to snacky</v>
      </c>
      <c r="G106" s="1"/>
      <c r="H106" s="1" t="str">
        <f>IFERROR(__xludf.DUMMYFUNCTION("""COMPUTED_VALUE"""),"لشراء ماكينات")</f>
        <v>لشراء ماكينات</v>
      </c>
    </row>
    <row r="107">
      <c r="A107" s="36">
        <f>IFERROR(__xludf.DUMMYFUNCTION("""COMPUTED_VALUE"""),45671.0)</f>
        <v>45671</v>
      </c>
      <c r="B107" s="1" t="str">
        <f>IFERROR(__xludf.DUMMYFUNCTION("""COMPUTED_VALUE"""),"Snacky")</f>
        <v>Snacky</v>
      </c>
      <c r="C107" s="35">
        <f>IFERROR(__xludf.DUMMYFUNCTION("""COMPUTED_VALUE"""),13000.0)</f>
        <v>13000</v>
      </c>
      <c r="D107" s="1" t="str">
        <f>IFERROR(__xludf.DUMMYFUNCTION("""COMPUTED_VALUE"""),"LYD")</f>
        <v>LYD</v>
      </c>
      <c r="E107" s="1" t="str">
        <f>IFERROR(__xludf.DUMMYFUNCTION("""COMPUTED_VALUE"""),"Money Out")</f>
        <v>Money Out</v>
      </c>
      <c r="F107" s="1"/>
      <c r="G107" s="1"/>
      <c r="H107" s="1" t="str">
        <f>IFERROR(__xludf.DUMMYFUNCTION("""COMPUTED_VALUE"""),"دفع قيمة 21,217 دينار لشراء عدد اثنان مكينات")</f>
        <v>دفع قيمة 21,217 دينار لشراء عدد اثنان مكينات</v>
      </c>
    </row>
    <row r="108">
      <c r="A108" s="36">
        <f>IFERROR(__xludf.DUMMYFUNCTION("""COMPUTED_VALUE"""),45673.0)</f>
        <v>45673</v>
      </c>
      <c r="B108" s="1" t="str">
        <f>IFERROR(__xludf.DUMMYFUNCTION("""COMPUTED_VALUE"""),"Snacky")</f>
        <v>Snacky</v>
      </c>
      <c r="C108" s="35">
        <f>IFERROR(__xludf.DUMMYFUNCTION("""COMPUTED_VALUE"""),448.0)</f>
        <v>448</v>
      </c>
      <c r="D108" s="1" t="str">
        <f>IFERROR(__xludf.DUMMYFUNCTION("""COMPUTED_VALUE"""),"LYD")</f>
        <v>LYD</v>
      </c>
      <c r="E108" s="1" t="str">
        <f>IFERROR(__xludf.DUMMYFUNCTION("""COMPUTED_VALUE"""),"Money Out")</f>
        <v>Money Out</v>
      </c>
      <c r="F108" s="1" t="str">
        <f>IFERROR(__xludf.DUMMYFUNCTION("""COMPUTED_VALUE"""),"Product Restocking")</f>
        <v>Product Restocking</v>
      </c>
      <c r="G108" s="1"/>
      <c r="H108" s="1"/>
    </row>
    <row r="109">
      <c r="A109" s="36">
        <f>IFERROR(__xludf.DUMMYFUNCTION("""COMPUTED_VALUE"""),45679.0)</f>
        <v>45679</v>
      </c>
      <c r="B109" s="1" t="str">
        <f>IFERROR(__xludf.DUMMYFUNCTION("""COMPUTED_VALUE"""),"Snacky")</f>
        <v>Snacky</v>
      </c>
      <c r="C109" s="35">
        <f>IFERROR(__xludf.DUMMYFUNCTION("""COMPUTED_VALUE"""),70.0)</f>
        <v>70</v>
      </c>
      <c r="D109" s="1" t="str">
        <f>IFERROR(__xludf.DUMMYFUNCTION("""COMPUTED_VALUE"""),"LYD")</f>
        <v>LYD</v>
      </c>
      <c r="E109" s="1" t="str">
        <f>IFERROR(__xludf.DUMMYFUNCTION("""COMPUTED_VALUE"""),"Money Out")</f>
        <v>Money Out</v>
      </c>
      <c r="F109" s="1" t="str">
        <f>IFERROR(__xludf.DUMMYFUNCTION("""COMPUTED_VALUE"""),"shipping")</f>
        <v>shipping</v>
      </c>
      <c r="G109" s="1"/>
      <c r="H109" s="1" t="str">
        <f>IFERROR(__xludf.DUMMYFUNCTION("""COMPUTED_VALUE"""),"توصيل change box من شاهين")</f>
        <v>توصيل change box من شاهين</v>
      </c>
    </row>
    <row r="110">
      <c r="A110" s="36">
        <f>IFERROR(__xludf.DUMMYFUNCTION("""COMPUTED_VALUE"""),45681.0)</f>
        <v>45681</v>
      </c>
      <c r="B110" s="1" t="str">
        <f>IFERROR(__xludf.DUMMYFUNCTION("""COMPUTED_VALUE"""),"Snacky")</f>
        <v>Snacky</v>
      </c>
      <c r="C110" s="35">
        <f>IFERROR(__xludf.DUMMYFUNCTION("""COMPUTED_VALUE"""),693.0)</f>
        <v>693</v>
      </c>
      <c r="D110" s="1" t="str">
        <f>IFERROR(__xludf.DUMMYFUNCTION("""COMPUTED_VALUE"""),"LYD")</f>
        <v>LYD</v>
      </c>
      <c r="E110" s="1" t="str">
        <f>IFERROR(__xludf.DUMMYFUNCTION("""COMPUTED_VALUE"""),"Money In")</f>
        <v>Money In</v>
      </c>
      <c r="F110" s="1" t="str">
        <f>IFERROR(__xludf.DUMMYFUNCTION("""COMPUTED_VALUE"""),"Revenue")</f>
        <v>Revenue</v>
      </c>
      <c r="G110" s="1" t="str">
        <f>IFERROR(__xludf.DUMMYFUNCTION("""COMPUTED_VALUE"""),"deplomacyMall")</f>
        <v>deplomacyMall</v>
      </c>
      <c r="H110" s="1"/>
    </row>
    <row r="111">
      <c r="A111" s="36">
        <f>IFERROR(__xludf.DUMMYFUNCTION("""COMPUTED_VALUE"""),45682.0)</f>
        <v>45682</v>
      </c>
      <c r="B111" s="1" t="str">
        <f>IFERROR(__xludf.DUMMYFUNCTION("""COMPUTED_VALUE"""),"Snacky")</f>
        <v>Snacky</v>
      </c>
      <c r="C111" s="35">
        <f>IFERROR(__xludf.DUMMYFUNCTION("""COMPUTED_VALUE"""),559.0)</f>
        <v>559</v>
      </c>
      <c r="D111" s="1" t="str">
        <f>IFERROR(__xludf.DUMMYFUNCTION("""COMPUTED_VALUE"""),"LYD")</f>
        <v>LYD</v>
      </c>
      <c r="E111" s="1" t="str">
        <f>IFERROR(__xludf.DUMMYFUNCTION("""COMPUTED_VALUE"""),"Money Out")</f>
        <v>Money Out</v>
      </c>
      <c r="F111" s="1" t="str">
        <f>IFERROR(__xludf.DUMMYFUNCTION("""COMPUTED_VALUE"""),"Product Restocking")</f>
        <v>Product Restocking</v>
      </c>
      <c r="G111" s="1"/>
      <c r="H111" s="1"/>
    </row>
    <row r="112">
      <c r="A112" s="36">
        <f>IFERROR(__xludf.DUMMYFUNCTION("""COMPUTED_VALUE"""),45683.0)</f>
        <v>45683</v>
      </c>
      <c r="B112" s="1" t="str">
        <f>IFERROR(__xludf.DUMMYFUNCTION("""COMPUTED_VALUE"""),"Snacky")</f>
        <v>Snacky</v>
      </c>
      <c r="C112" s="35">
        <f>IFERROR(__xludf.DUMMYFUNCTION("""COMPUTED_VALUE"""),453.0)</f>
        <v>453</v>
      </c>
      <c r="D112" s="1" t="str">
        <f>IFERROR(__xludf.DUMMYFUNCTION("""COMPUTED_VALUE"""),"LYD")</f>
        <v>LYD</v>
      </c>
      <c r="E112" s="1" t="str">
        <f>IFERROR(__xludf.DUMMYFUNCTION("""COMPUTED_VALUE"""),"Money In")</f>
        <v>Money In</v>
      </c>
      <c r="F112" s="1" t="str">
        <f>IFERROR(__xludf.DUMMYFUNCTION("""COMPUTED_VALUE"""),"Revenue")</f>
        <v>Revenue</v>
      </c>
      <c r="G112" s="1" t="str">
        <f>IFERROR(__xludf.DUMMYFUNCTION("""COMPUTED_VALUE"""),"deplomacyMall")</f>
        <v>deplomacyMall</v>
      </c>
      <c r="H112" s="1"/>
    </row>
    <row r="113">
      <c r="A113" s="36">
        <f>IFERROR(__xludf.DUMMYFUNCTION("""COMPUTED_VALUE"""),45689.0)</f>
        <v>45689</v>
      </c>
      <c r="B113" s="1" t="str">
        <f>IFERROR(__xludf.DUMMYFUNCTION("""COMPUTED_VALUE"""),"Anas")</f>
        <v>Anas</v>
      </c>
      <c r="C113" s="35">
        <f>IFERROR(__xludf.DUMMYFUNCTION("""COMPUTED_VALUE"""),491.0)</f>
        <v>491</v>
      </c>
      <c r="D113" s="1" t="str">
        <f>IFERROR(__xludf.DUMMYFUNCTION("""COMPUTED_VALUE"""),"LYD")</f>
        <v>LYD</v>
      </c>
      <c r="E113" s="1" t="str">
        <f>IFERROR(__xludf.DUMMYFUNCTION("""COMPUTED_VALUE"""),"Money Out")</f>
        <v>Money Out</v>
      </c>
      <c r="F113" s="1" t="str">
        <f>IFERROR(__xludf.DUMMYFUNCTION("""COMPUTED_VALUE"""),"Product Restocking")</f>
        <v>Product Restocking</v>
      </c>
      <c r="G113" s="1"/>
      <c r="H113" s="1"/>
    </row>
    <row r="114">
      <c r="A114" s="36">
        <f>IFERROR(__xludf.DUMMYFUNCTION("""COMPUTED_VALUE"""),45692.0)</f>
        <v>45692</v>
      </c>
      <c r="B114" s="1" t="str">
        <f>IFERROR(__xludf.DUMMYFUNCTION("""COMPUTED_VALUE"""),"Snacky")</f>
        <v>Snacky</v>
      </c>
      <c r="C114" s="35">
        <f>IFERROR(__xludf.DUMMYFUNCTION("""COMPUTED_VALUE"""),1240.0)</f>
        <v>1240</v>
      </c>
      <c r="D114" s="1" t="str">
        <f>IFERROR(__xludf.DUMMYFUNCTION("""COMPUTED_VALUE"""),"LYD")</f>
        <v>LYD</v>
      </c>
      <c r="E114" s="1" t="str">
        <f>IFERROR(__xludf.DUMMYFUNCTION("""COMPUTED_VALUE"""),"Money In")</f>
        <v>Money In</v>
      </c>
      <c r="F114" s="1" t="str">
        <f>IFERROR(__xludf.DUMMYFUNCTION("""COMPUTED_VALUE"""),"Revenue")</f>
        <v>Revenue</v>
      </c>
      <c r="G114" s="1" t="str">
        <f>IFERROR(__xludf.DUMMYFUNCTION("""COMPUTED_VALUE"""),"deplomacyMall")</f>
        <v>deplomacyMall</v>
      </c>
      <c r="H114" s="1"/>
    </row>
    <row r="115">
      <c r="A115" s="36">
        <f>IFERROR(__xludf.DUMMYFUNCTION("""COMPUTED_VALUE"""),45694.0)</f>
        <v>45694</v>
      </c>
      <c r="B115" s="1" t="str">
        <f>IFERROR(__xludf.DUMMYFUNCTION("""COMPUTED_VALUE"""),"Snacky")</f>
        <v>Snacky</v>
      </c>
      <c r="C115" s="35">
        <f>IFERROR(__xludf.DUMMYFUNCTION("""COMPUTED_VALUE"""),357.0)</f>
        <v>357</v>
      </c>
      <c r="D115" s="1" t="str">
        <f>IFERROR(__xludf.DUMMYFUNCTION("""COMPUTED_VALUE"""),"LYD")</f>
        <v>LYD</v>
      </c>
      <c r="E115" s="1" t="str">
        <f>IFERROR(__xludf.DUMMYFUNCTION("""COMPUTED_VALUE"""),"Money Out")</f>
        <v>Money Out</v>
      </c>
      <c r="F115" s="1" t="str">
        <f>IFERROR(__xludf.DUMMYFUNCTION("""COMPUTED_VALUE"""),"Product Restocking")</f>
        <v>Product Restocking</v>
      </c>
      <c r="G115" s="1"/>
      <c r="H115" s="1"/>
    </row>
    <row r="116">
      <c r="A116" s="36">
        <f>IFERROR(__xludf.DUMMYFUNCTION("""COMPUTED_VALUE"""),45701.0)</f>
        <v>45701</v>
      </c>
      <c r="B116" s="1" t="str">
        <f>IFERROR(__xludf.DUMMYFUNCTION("""COMPUTED_VALUE"""),"Snacky")</f>
        <v>Snacky</v>
      </c>
      <c r="C116" s="35">
        <f>IFERROR(__xludf.DUMMYFUNCTION("""COMPUTED_VALUE"""),1809.0)</f>
        <v>1809</v>
      </c>
      <c r="D116" s="1" t="str">
        <f>IFERROR(__xludf.DUMMYFUNCTION("""COMPUTED_VALUE"""),"LYD")</f>
        <v>LYD</v>
      </c>
      <c r="E116" s="1" t="str">
        <f>IFERROR(__xludf.DUMMYFUNCTION("""COMPUTED_VALUE"""),"Money In")</f>
        <v>Money In</v>
      </c>
      <c r="F116" s="1" t="str">
        <f>IFERROR(__xludf.DUMMYFUNCTION("""COMPUTED_VALUE"""),"Revenue")</f>
        <v>Revenue</v>
      </c>
      <c r="G116" s="1" t="str">
        <f>IFERROR(__xludf.DUMMYFUNCTION("""COMPUTED_VALUE"""),"deplomacyMall")</f>
        <v>deplomacyMall</v>
      </c>
      <c r="H116" s="1"/>
    </row>
    <row r="117">
      <c r="A117" s="36">
        <f>IFERROR(__xludf.DUMMYFUNCTION("""COMPUTED_VALUE"""),45701.0)</f>
        <v>45701</v>
      </c>
      <c r="B117" s="1" t="str">
        <f>IFERROR(__xludf.DUMMYFUNCTION("""COMPUTED_VALUE"""),"Anas")</f>
        <v>Anas</v>
      </c>
      <c r="C117" s="35">
        <f>IFERROR(__xludf.DUMMYFUNCTION("""COMPUTED_VALUE"""),548.0)</f>
        <v>548</v>
      </c>
      <c r="D117" s="1" t="str">
        <f>IFERROR(__xludf.DUMMYFUNCTION("""COMPUTED_VALUE"""),"LYD")</f>
        <v>LYD</v>
      </c>
      <c r="E117" s="1" t="str">
        <f>IFERROR(__xludf.DUMMYFUNCTION("""COMPUTED_VALUE"""),"Money Out")</f>
        <v>Money Out</v>
      </c>
      <c r="F117" s="1"/>
      <c r="G117" s="1"/>
      <c r="H117" s="1"/>
    </row>
    <row r="118">
      <c r="A118" s="36">
        <f>IFERROR(__xludf.DUMMYFUNCTION("""COMPUTED_VALUE"""),45703.0)</f>
        <v>45703</v>
      </c>
      <c r="B118" s="1" t="str">
        <f>IFERROR(__xludf.DUMMYFUNCTION("""COMPUTED_VALUE"""),"Snacky")</f>
        <v>Snacky</v>
      </c>
      <c r="C118" s="35">
        <f>IFERROR(__xludf.DUMMYFUNCTION("""COMPUTED_VALUE"""),1381.0)</f>
        <v>1381</v>
      </c>
      <c r="D118" s="1" t="str">
        <f>IFERROR(__xludf.DUMMYFUNCTION("""COMPUTED_VALUE"""),"LYD")</f>
        <v>LYD</v>
      </c>
      <c r="E118" s="1" t="str">
        <f>IFERROR(__xludf.DUMMYFUNCTION("""COMPUTED_VALUE"""),"Money In")</f>
        <v>Money In</v>
      </c>
      <c r="F118" s="1" t="str">
        <f>IFERROR(__xludf.DUMMYFUNCTION("""COMPUTED_VALUE"""),"Revenue")</f>
        <v>Revenue</v>
      </c>
      <c r="G118" s="1" t="str">
        <f>IFERROR(__xludf.DUMMYFUNCTION("""COMPUTED_VALUE"""),"deplomacyMall")</f>
        <v>deplomacyMall</v>
      </c>
      <c r="H118" s="1"/>
    </row>
    <row r="119">
      <c r="A119" s="36">
        <f>IFERROR(__xludf.DUMMYFUNCTION("""COMPUTED_VALUE"""),45703.0)</f>
        <v>45703</v>
      </c>
      <c r="B119" s="1" t="str">
        <f>IFERROR(__xludf.DUMMYFUNCTION("""COMPUTED_VALUE"""),"Snacky")</f>
        <v>Snacky</v>
      </c>
      <c r="C119" s="35">
        <f>IFERROR(__xludf.DUMMYFUNCTION("""COMPUTED_VALUE"""),756.0)</f>
        <v>756</v>
      </c>
      <c r="D119" s="1" t="str">
        <f>IFERROR(__xludf.DUMMYFUNCTION("""COMPUTED_VALUE"""),"LYD")</f>
        <v>LYD</v>
      </c>
      <c r="E119" s="1" t="str">
        <f>IFERROR(__xludf.DUMMYFUNCTION("""COMPUTED_VALUE"""),"Money Out")</f>
        <v>Money Out</v>
      </c>
      <c r="F119" s="1" t="str">
        <f>IFERROR(__xludf.DUMMYFUNCTION("""COMPUTED_VALUE"""),"Product Restocking")</f>
        <v>Product Restocking</v>
      </c>
      <c r="G119" s="1"/>
      <c r="H119" s="1"/>
    </row>
    <row r="120">
      <c r="A120" s="36">
        <f>IFERROR(__xludf.DUMMYFUNCTION("""COMPUTED_VALUE"""),45703.0)</f>
        <v>45703</v>
      </c>
      <c r="B120" s="1" t="str">
        <f>IFERROR(__xludf.DUMMYFUNCTION("""COMPUTED_VALUE"""),"Anas")</f>
        <v>Anas</v>
      </c>
      <c r="C120" s="35">
        <f>IFERROR(__xludf.DUMMYFUNCTION("""COMPUTED_VALUE"""),150.0)</f>
        <v>150</v>
      </c>
      <c r="D120" s="1" t="str">
        <f>IFERROR(__xludf.DUMMYFUNCTION("""COMPUTED_VALUE"""),"LYD")</f>
        <v>LYD</v>
      </c>
      <c r="E120" s="1" t="str">
        <f>IFERROR(__xludf.DUMMYFUNCTION("""COMPUTED_VALUE"""),"Money Out")</f>
        <v>Money Out</v>
      </c>
      <c r="F120" s="1"/>
      <c r="G120" s="1"/>
      <c r="H120" s="1"/>
    </row>
    <row r="121">
      <c r="A121" s="36">
        <f>IFERROR(__xludf.DUMMYFUNCTION("""COMPUTED_VALUE"""),45703.0)</f>
        <v>45703</v>
      </c>
      <c r="B121" s="1" t="str">
        <f>IFERROR(__xludf.DUMMYFUNCTION("""COMPUTED_VALUE"""),"Snacky")</f>
        <v>Snacky</v>
      </c>
      <c r="C121" s="35">
        <f>IFERROR(__xludf.DUMMYFUNCTION("""COMPUTED_VALUE"""),335.0)</f>
        <v>335</v>
      </c>
      <c r="D121" s="1" t="str">
        <f>IFERROR(__xludf.DUMMYFUNCTION("""COMPUTED_VALUE"""),"LYD")</f>
        <v>LYD</v>
      </c>
      <c r="E121" s="1" t="str">
        <f>IFERROR(__xludf.DUMMYFUNCTION("""COMPUTED_VALUE"""),"Money Out")</f>
        <v>Money Out</v>
      </c>
      <c r="F121" s="1" t="str">
        <f>IFERROR(__xludf.DUMMYFUNCTION("""COMPUTED_VALUE"""),"Anas")</f>
        <v>Anas</v>
      </c>
      <c r="G121" s="1"/>
      <c r="H121" s="1" t="str">
        <f>IFERROR(__xludf.DUMMYFUNCTION("""COMPUTED_VALUE"""),"ارجاع بعض القيمه اللتي تمت دفعها في البضاعه")</f>
        <v>ارجاع بعض القيمه اللتي تمت دفعها في البضاعه</v>
      </c>
    </row>
    <row r="122">
      <c r="A122" s="36">
        <f>IFERROR(__xludf.DUMMYFUNCTION("""COMPUTED_VALUE"""),45703.0)</f>
        <v>45703</v>
      </c>
      <c r="B122" s="1" t="str">
        <f>IFERROR(__xludf.DUMMYFUNCTION("""COMPUTED_VALUE"""),"Anas")</f>
        <v>Anas</v>
      </c>
      <c r="C122" s="35">
        <f>IFERROR(__xludf.DUMMYFUNCTION("""COMPUTED_VALUE"""),335.0)</f>
        <v>335</v>
      </c>
      <c r="D122" s="1" t="str">
        <f>IFERROR(__xludf.DUMMYFUNCTION("""COMPUTED_VALUE"""),"LYD")</f>
        <v>LYD</v>
      </c>
      <c r="E122" s="1" t="str">
        <f>IFERROR(__xludf.DUMMYFUNCTION("""COMPUTED_VALUE"""),"Money In")</f>
        <v>Money In</v>
      </c>
      <c r="F122" s="1" t="str">
        <f>IFERROR(__xludf.DUMMYFUNCTION("""COMPUTED_VALUE"""),"from snacky")</f>
        <v>from snacky</v>
      </c>
      <c r="G122" s="1"/>
      <c r="H122" s="1"/>
    </row>
    <row r="123">
      <c r="A123" s="36">
        <f>IFERROR(__xludf.DUMMYFUNCTION("""COMPUTED_VALUE"""),45703.0)</f>
        <v>45703</v>
      </c>
      <c r="B123" s="1" t="str">
        <f>IFERROR(__xludf.DUMMYFUNCTION("""COMPUTED_VALUE"""),"Snacky")</f>
        <v>Snacky</v>
      </c>
      <c r="C123" s="35">
        <f>IFERROR(__xludf.DUMMYFUNCTION("""COMPUTED_VALUE"""),147.0)</f>
        <v>147</v>
      </c>
      <c r="D123" s="1" t="str">
        <f>IFERROR(__xludf.DUMMYFUNCTION("""COMPUTED_VALUE"""),"LYD")</f>
        <v>LYD</v>
      </c>
      <c r="E123" s="1" t="str">
        <f>IFERROR(__xludf.DUMMYFUNCTION("""COMPUTED_VALUE"""),"Money Out")</f>
        <v>Money Out</v>
      </c>
      <c r="F123" s="1"/>
      <c r="G123" s="1"/>
      <c r="H123" s="1" t="str">
        <f>IFERROR(__xludf.DUMMYFUNCTION("""COMPUTED_VALUE"""),"تعديل ميزانيه")</f>
        <v>تعديل ميزانيه</v>
      </c>
    </row>
    <row r="124">
      <c r="A124" s="36">
        <f>IFERROR(__xludf.DUMMYFUNCTION("""COMPUTED_VALUE"""),45704.0)</f>
        <v>45704</v>
      </c>
      <c r="B124" s="1" t="str">
        <f>IFERROR(__xludf.DUMMYFUNCTION("""COMPUTED_VALUE"""),"Snacky")</f>
        <v>Snacky</v>
      </c>
      <c r="C124" s="35">
        <f>IFERROR(__xludf.DUMMYFUNCTION("""COMPUTED_VALUE"""),321.0)</f>
        <v>321</v>
      </c>
      <c r="D124" s="1" t="str">
        <f>IFERROR(__xludf.DUMMYFUNCTION("""COMPUTED_VALUE"""),"LYD")</f>
        <v>LYD</v>
      </c>
      <c r="E124" s="1" t="str">
        <f>IFERROR(__xludf.DUMMYFUNCTION("""COMPUTED_VALUE"""),"Money Out")</f>
        <v>Money Out</v>
      </c>
      <c r="F124" s="1" t="str">
        <f>IFERROR(__xludf.DUMMYFUNCTION("""COMPUTED_VALUE"""),"Product Restocking")</f>
        <v>Product Restocking</v>
      </c>
      <c r="G124" s="1"/>
      <c r="H124" s="1"/>
    </row>
    <row r="125">
      <c r="A125" s="36">
        <f>IFERROR(__xludf.DUMMYFUNCTION("""COMPUTED_VALUE"""),45707.0)</f>
        <v>45707</v>
      </c>
      <c r="B125" s="1" t="str">
        <f>IFERROR(__xludf.DUMMYFUNCTION("""COMPUTED_VALUE"""),"Snacky")</f>
        <v>Snacky</v>
      </c>
      <c r="C125" s="35">
        <f>IFERROR(__xludf.DUMMYFUNCTION("""COMPUTED_VALUE"""),448.0)</f>
        <v>448</v>
      </c>
      <c r="D125" s="1" t="str">
        <f>IFERROR(__xludf.DUMMYFUNCTION("""COMPUTED_VALUE"""),"LYD")</f>
        <v>LYD</v>
      </c>
      <c r="E125" s="1" t="str">
        <f>IFERROR(__xludf.DUMMYFUNCTION("""COMPUTED_VALUE"""),"Money Out")</f>
        <v>Money Out</v>
      </c>
      <c r="F125" s="1" t="str">
        <f>IFERROR(__xludf.DUMMYFUNCTION("""COMPUTED_VALUE"""),"Product Restocking")</f>
        <v>Product Restocking</v>
      </c>
      <c r="G125" s="1"/>
      <c r="H125" s="1"/>
    </row>
    <row r="126">
      <c r="A126" s="36">
        <f>IFERROR(__xludf.DUMMYFUNCTION("""COMPUTED_VALUE"""),45707.0)</f>
        <v>45707</v>
      </c>
      <c r="B126" s="1" t="str">
        <f>IFERROR(__xludf.DUMMYFUNCTION("""COMPUTED_VALUE"""),"Snacky")</f>
        <v>Snacky</v>
      </c>
      <c r="C126" s="35">
        <f>IFERROR(__xludf.DUMMYFUNCTION("""COMPUTED_VALUE"""),1345.0)</f>
        <v>1345</v>
      </c>
      <c r="D126" s="1" t="str">
        <f>IFERROR(__xludf.DUMMYFUNCTION("""COMPUTED_VALUE"""),"LYD")</f>
        <v>LYD</v>
      </c>
      <c r="E126" s="1" t="str">
        <f>IFERROR(__xludf.DUMMYFUNCTION("""COMPUTED_VALUE"""),"Money In")</f>
        <v>Money In</v>
      </c>
      <c r="F126" s="1" t="str">
        <f>IFERROR(__xludf.DUMMYFUNCTION("""COMPUTED_VALUE"""),"Revenue")</f>
        <v>Revenue</v>
      </c>
      <c r="G126" s="1" t="str">
        <f>IFERROR(__xludf.DUMMYFUNCTION("""COMPUTED_VALUE"""),"deplomacyMall")</f>
        <v>deplomacyMall</v>
      </c>
      <c r="H126" s="1"/>
    </row>
    <row r="127">
      <c r="A127" s="36">
        <f>IFERROR(__xludf.DUMMYFUNCTION("""COMPUTED_VALUE"""),45707.0)</f>
        <v>45707</v>
      </c>
      <c r="B127" s="1" t="str">
        <f>IFERROR(__xludf.DUMMYFUNCTION("""COMPUTED_VALUE"""),"Snacky")</f>
        <v>Snacky</v>
      </c>
      <c r="C127" s="35">
        <f>IFERROR(__xludf.DUMMYFUNCTION("""COMPUTED_VALUE"""),1000.0)</f>
        <v>1000</v>
      </c>
      <c r="D127" s="1" t="str">
        <f>IFERROR(__xludf.DUMMYFUNCTION("""COMPUTED_VALUE"""),"LYD")</f>
        <v>LYD</v>
      </c>
      <c r="E127" s="1" t="str">
        <f>IFERROR(__xludf.DUMMYFUNCTION("""COMPUTED_VALUE"""),"Money Out")</f>
        <v>Money Out</v>
      </c>
      <c r="F127" s="1" t="str">
        <f>IFERROR(__xludf.DUMMYFUNCTION("""COMPUTED_VALUE"""),"Rent")</f>
        <v>Rent</v>
      </c>
      <c r="G127" s="1"/>
      <c r="H127" s="1" t="str">
        <f>IFERROR(__xludf.DUMMYFUNCTION("""COMPUTED_VALUE"""),"ايجار الدبلوماسي شهر 11 و 12")</f>
        <v>ايجار الدبلوماسي شهر 11 و 12</v>
      </c>
    </row>
    <row r="128">
      <c r="A128" s="36">
        <f>IFERROR(__xludf.DUMMYFUNCTION("""COMPUTED_VALUE"""),45708.0)</f>
        <v>45708</v>
      </c>
      <c r="B128" s="1" t="str">
        <f>IFERROR(__xludf.DUMMYFUNCTION("""COMPUTED_VALUE"""),"Snacky")</f>
        <v>Snacky</v>
      </c>
      <c r="C128" s="35">
        <f>IFERROR(__xludf.DUMMYFUNCTION("""COMPUTED_VALUE"""),589.0)</f>
        <v>589</v>
      </c>
      <c r="D128" s="1" t="str">
        <f>IFERROR(__xludf.DUMMYFUNCTION("""COMPUTED_VALUE"""),"LYD")</f>
        <v>LYD</v>
      </c>
      <c r="E128" s="1" t="str">
        <f>IFERROR(__xludf.DUMMYFUNCTION("""COMPUTED_VALUE"""),"Money Out")</f>
        <v>Money Out</v>
      </c>
      <c r="F128" s="1" t="str">
        <f>IFERROR(__xludf.DUMMYFUNCTION("""COMPUTED_VALUE"""),"Product Restocking")</f>
        <v>Product Restocking</v>
      </c>
      <c r="G128" s="1"/>
      <c r="H128" s="1"/>
    </row>
    <row r="129">
      <c r="A129" s="36">
        <f>IFERROR(__xludf.DUMMYFUNCTION("""COMPUTED_VALUE"""),45714.0)</f>
        <v>45714</v>
      </c>
      <c r="B129" s="1" t="str">
        <f>IFERROR(__xludf.DUMMYFUNCTION("""COMPUTED_VALUE"""),"Snacky")</f>
        <v>Snacky</v>
      </c>
      <c r="C129" s="35">
        <f>IFERROR(__xludf.DUMMYFUNCTION("""COMPUTED_VALUE"""),619.0)</f>
        <v>619</v>
      </c>
      <c r="D129" s="1" t="str">
        <f>IFERROR(__xludf.DUMMYFUNCTION("""COMPUTED_VALUE"""),"LYD")</f>
        <v>LYD</v>
      </c>
      <c r="E129" s="1" t="str">
        <f>IFERROR(__xludf.DUMMYFUNCTION("""COMPUTED_VALUE"""),"Money Out")</f>
        <v>Money Out</v>
      </c>
      <c r="F129" s="1" t="str">
        <f>IFERROR(__xludf.DUMMYFUNCTION("""COMPUTED_VALUE"""),"Product Restocking")</f>
        <v>Product Restocking</v>
      </c>
      <c r="G129" s="1"/>
      <c r="H129" s="1"/>
    </row>
    <row r="130">
      <c r="A130" s="36">
        <f>IFERROR(__xludf.DUMMYFUNCTION("""COMPUTED_VALUE"""),45714.0)</f>
        <v>45714</v>
      </c>
      <c r="B130" s="1" t="str">
        <f>IFERROR(__xludf.DUMMYFUNCTION("""COMPUTED_VALUE"""),"Snacky")</f>
        <v>Snacky</v>
      </c>
      <c r="C130" s="35">
        <f>IFERROR(__xludf.DUMMYFUNCTION("""COMPUTED_VALUE"""),1705.0)</f>
        <v>1705</v>
      </c>
      <c r="D130" s="1" t="str">
        <f>IFERROR(__xludf.DUMMYFUNCTION("""COMPUTED_VALUE"""),"LYD")</f>
        <v>LYD</v>
      </c>
      <c r="E130" s="1" t="str">
        <f>IFERROR(__xludf.DUMMYFUNCTION("""COMPUTED_VALUE"""),"Money In")</f>
        <v>Money In</v>
      </c>
      <c r="F130" s="1" t="str">
        <f>IFERROR(__xludf.DUMMYFUNCTION("""COMPUTED_VALUE"""),"Revenue")</f>
        <v>Revenue</v>
      </c>
      <c r="G130" s="1" t="str">
        <f>IFERROR(__xludf.DUMMYFUNCTION("""COMPUTED_VALUE"""),"deplomacyMall")</f>
        <v>deplomacyMall</v>
      </c>
      <c r="H130" s="1"/>
    </row>
    <row r="131">
      <c r="A131" s="36">
        <f>IFERROR(__xludf.DUMMYFUNCTION("""COMPUTED_VALUE"""),45715.0)</f>
        <v>45715</v>
      </c>
      <c r="B131" s="1" t="str">
        <f>IFERROR(__xludf.DUMMYFUNCTION("""COMPUTED_VALUE"""),"Anas")</f>
        <v>Anas</v>
      </c>
      <c r="C131" s="35">
        <f>IFERROR(__xludf.DUMMYFUNCTION("""COMPUTED_VALUE"""),3174.0)</f>
        <v>3174</v>
      </c>
      <c r="D131" s="1" t="str">
        <f>IFERROR(__xludf.DUMMYFUNCTION("""COMPUTED_VALUE"""),"LYD")</f>
        <v>LYD</v>
      </c>
      <c r="E131" s="1" t="str">
        <f>IFERROR(__xludf.DUMMYFUNCTION("""COMPUTED_VALUE"""),"Money Out")</f>
        <v>Money Out</v>
      </c>
      <c r="F131" s="1" t="str">
        <f>IFERROR(__xludf.DUMMYFUNCTION("""COMPUTED_VALUE"""),"shipping")</f>
        <v>shipping</v>
      </c>
      <c r="G131" s="1"/>
      <c r="H131" s="1" t="str">
        <f>IFERROR(__xludf.DUMMYFUNCTION("""COMPUTED_VALUE"""),"شحن الماكينه التانيه من شاهين")</f>
        <v>شحن الماكينه التانيه من شاهين</v>
      </c>
    </row>
    <row r="132">
      <c r="A132" s="36">
        <f>IFERROR(__xludf.DUMMYFUNCTION("""COMPUTED_VALUE"""),45716.0)</f>
        <v>45716</v>
      </c>
      <c r="B132" s="1" t="str">
        <f>IFERROR(__xludf.DUMMYFUNCTION("""COMPUTED_VALUE"""),"Snacky")</f>
        <v>Snacky</v>
      </c>
      <c r="C132" s="35">
        <f>IFERROR(__xludf.DUMMYFUNCTION("""COMPUTED_VALUE"""),528.0)</f>
        <v>528</v>
      </c>
      <c r="D132" s="1" t="str">
        <f>IFERROR(__xludf.DUMMYFUNCTION("""COMPUTED_VALUE"""),"LYD")</f>
        <v>LYD</v>
      </c>
      <c r="E132" s="1" t="str">
        <f>IFERROR(__xludf.DUMMYFUNCTION("""COMPUTED_VALUE"""),"Money Out")</f>
        <v>Money Out</v>
      </c>
      <c r="F132" s="1" t="str">
        <f>IFERROR(__xludf.DUMMYFUNCTION("""COMPUTED_VALUE"""),"Product Restocking")</f>
        <v>Product Restocking</v>
      </c>
      <c r="G132" s="1"/>
      <c r="H132" s="1"/>
    </row>
    <row r="133">
      <c r="A133" s="36">
        <f>IFERROR(__xludf.DUMMYFUNCTION("""COMPUTED_VALUE"""),45720.0)</f>
        <v>45720</v>
      </c>
      <c r="B133" s="1" t="str">
        <f>IFERROR(__xludf.DUMMYFUNCTION("""COMPUTED_VALUE"""),"Snacky")</f>
        <v>Snacky</v>
      </c>
      <c r="C133" s="35">
        <f>IFERROR(__xludf.DUMMYFUNCTION("""COMPUTED_VALUE"""),1105.0)</f>
        <v>1105</v>
      </c>
      <c r="D133" s="1" t="str">
        <f>IFERROR(__xludf.DUMMYFUNCTION("""COMPUTED_VALUE"""),"LYD")</f>
        <v>LYD</v>
      </c>
      <c r="E133" s="1" t="str">
        <f>IFERROR(__xludf.DUMMYFUNCTION("""COMPUTED_VALUE"""),"Money Out")</f>
        <v>Money Out</v>
      </c>
      <c r="F133" s="1" t="str">
        <f>IFERROR(__xludf.DUMMYFUNCTION("""COMPUTED_VALUE"""),"Anas")</f>
        <v>Anas</v>
      </c>
      <c r="G133" s="1"/>
      <c r="H133" s="1"/>
    </row>
    <row r="134">
      <c r="A134" s="36">
        <f>IFERROR(__xludf.DUMMYFUNCTION("""COMPUTED_VALUE"""),45720.0)</f>
        <v>45720</v>
      </c>
      <c r="B134" s="1" t="str">
        <f>IFERROR(__xludf.DUMMYFUNCTION("""COMPUTED_VALUE"""),"Anas")</f>
        <v>Anas</v>
      </c>
      <c r="C134" s="35">
        <f>IFERROR(__xludf.DUMMYFUNCTION("""COMPUTED_VALUE"""),1105.0)</f>
        <v>1105</v>
      </c>
      <c r="D134" s="1" t="str">
        <f>IFERROR(__xludf.DUMMYFUNCTION("""COMPUTED_VALUE"""),"LYD")</f>
        <v>LYD</v>
      </c>
      <c r="E134" s="1" t="str">
        <f>IFERROR(__xludf.DUMMYFUNCTION("""COMPUTED_VALUE"""),"Money In")</f>
        <v>Money In</v>
      </c>
      <c r="F134" s="1"/>
      <c r="G134" s="1"/>
      <c r="H134" s="1"/>
    </row>
    <row r="135">
      <c r="A135" s="36">
        <f>IFERROR(__xludf.DUMMYFUNCTION("""COMPUTED_VALUE"""),45720.0)</f>
        <v>45720</v>
      </c>
      <c r="B135" s="1" t="str">
        <f>IFERROR(__xludf.DUMMYFUNCTION("""COMPUTED_VALUE"""),"Snacky")</f>
        <v>Snacky</v>
      </c>
      <c r="C135" s="35">
        <f>IFERROR(__xludf.DUMMYFUNCTION("""COMPUTED_VALUE"""),500.0)</f>
        <v>500</v>
      </c>
      <c r="D135" s="1" t="str">
        <f>IFERROR(__xludf.DUMMYFUNCTION("""COMPUTED_VALUE"""),"LYD")</f>
        <v>LYD</v>
      </c>
      <c r="E135" s="1" t="str">
        <f>IFERROR(__xludf.DUMMYFUNCTION("""COMPUTED_VALUE"""),"Money Out")</f>
        <v>Money Out</v>
      </c>
      <c r="F135" s="1" t="str">
        <f>IFERROR(__xludf.DUMMYFUNCTION("""COMPUTED_VALUE"""),"Rent")</f>
        <v>Rent</v>
      </c>
      <c r="G135" s="1"/>
      <c r="H135" s="1" t="str">
        <f>IFERROR(__xludf.DUMMYFUNCTION("""COMPUTED_VALUE"""),"شهر 3")</f>
        <v>شهر 3</v>
      </c>
    </row>
    <row r="136">
      <c r="A136" s="36">
        <f>IFERROR(__xludf.DUMMYFUNCTION("""COMPUTED_VALUE"""),45720.0)</f>
        <v>45720</v>
      </c>
      <c r="B136" s="1" t="str">
        <f>IFERROR(__xludf.DUMMYFUNCTION("""COMPUTED_VALUE"""),"Snacky")</f>
        <v>Snacky</v>
      </c>
      <c r="C136" s="35">
        <f>IFERROR(__xludf.DUMMYFUNCTION("""COMPUTED_VALUE"""),1500.0)</f>
        <v>1500</v>
      </c>
      <c r="D136" s="1" t="str">
        <f>IFERROR(__xludf.DUMMYFUNCTION("""COMPUTED_VALUE"""),"LYD")</f>
        <v>LYD</v>
      </c>
      <c r="E136" s="1" t="str">
        <f>IFERROR(__xludf.DUMMYFUNCTION("""COMPUTED_VALUE"""),"Money In")</f>
        <v>Money In</v>
      </c>
      <c r="F136" s="1" t="str">
        <f>IFERROR(__xludf.DUMMYFUNCTION("""COMPUTED_VALUE"""),"ads")</f>
        <v>ads</v>
      </c>
      <c r="G136" s="1"/>
      <c r="H136" s="1" t="str">
        <f>IFERROR(__xludf.DUMMYFUNCTION("""COMPUTED_VALUE"""),"نصف قيمة دعايه توربو تلاته اشهر")</f>
        <v>نصف قيمة دعايه توربو تلاته اشهر</v>
      </c>
    </row>
    <row r="137">
      <c r="A137" s="36">
        <f>IFERROR(__xludf.DUMMYFUNCTION("""COMPUTED_VALUE"""),45724.0)</f>
        <v>45724</v>
      </c>
      <c r="B137" s="1" t="str">
        <f>IFERROR(__xludf.DUMMYFUNCTION("""COMPUTED_VALUE"""),"Snacky")</f>
        <v>Snacky</v>
      </c>
      <c r="C137" s="35">
        <f>IFERROR(__xludf.DUMMYFUNCTION("""COMPUTED_VALUE"""),1735.0)</f>
        <v>1735</v>
      </c>
      <c r="D137" s="1" t="str">
        <f>IFERROR(__xludf.DUMMYFUNCTION("""COMPUTED_VALUE"""),"LYD")</f>
        <v>LYD</v>
      </c>
      <c r="E137" s="1" t="str">
        <f>IFERROR(__xludf.DUMMYFUNCTION("""COMPUTED_VALUE"""),"Money In")</f>
        <v>Money In</v>
      </c>
      <c r="F137" s="1" t="str">
        <f>IFERROR(__xludf.DUMMYFUNCTION("""COMPUTED_VALUE"""),"Revenue")</f>
        <v>Revenue</v>
      </c>
      <c r="G137" s="1" t="str">
        <f>IFERROR(__xludf.DUMMYFUNCTION("""COMPUTED_VALUE"""),"deplomacyMall")</f>
        <v>deplomacyMall</v>
      </c>
      <c r="H137" s="1"/>
    </row>
    <row r="138">
      <c r="A138" s="36">
        <f>IFERROR(__xludf.DUMMYFUNCTION("""COMPUTED_VALUE"""),45724.0)</f>
        <v>45724</v>
      </c>
      <c r="B138" s="1" t="str">
        <f>IFERROR(__xludf.DUMMYFUNCTION("""COMPUTED_VALUE"""),"Snacky")</f>
        <v>Snacky</v>
      </c>
      <c r="C138" s="35">
        <f>IFERROR(__xludf.DUMMYFUNCTION("""COMPUTED_VALUE"""),892.0)</f>
        <v>892</v>
      </c>
      <c r="D138" s="1" t="str">
        <f>IFERROR(__xludf.DUMMYFUNCTION("""COMPUTED_VALUE"""),"LYD")</f>
        <v>LYD</v>
      </c>
      <c r="E138" s="1" t="str">
        <f>IFERROR(__xludf.DUMMYFUNCTION("""COMPUTED_VALUE"""),"Money Out")</f>
        <v>Money Out</v>
      </c>
      <c r="F138" s="1" t="str">
        <f>IFERROR(__xludf.DUMMYFUNCTION("""COMPUTED_VALUE"""),"Product Restocking")</f>
        <v>Product Restocking</v>
      </c>
      <c r="G138" s="1"/>
      <c r="H138" s="1"/>
    </row>
    <row r="139">
      <c r="A139" s="36">
        <f>IFERROR(__xludf.DUMMYFUNCTION("""COMPUTED_VALUE"""),45724.0)</f>
        <v>45724</v>
      </c>
      <c r="B139" s="1" t="str">
        <f>IFERROR(__xludf.DUMMYFUNCTION("""COMPUTED_VALUE"""),"Anas")</f>
        <v>Anas</v>
      </c>
      <c r="C139" s="35">
        <f>IFERROR(__xludf.DUMMYFUNCTION("""COMPUTED_VALUE"""),200.0)</f>
        <v>200</v>
      </c>
      <c r="D139" s="1" t="str">
        <f>IFERROR(__xludf.DUMMYFUNCTION("""COMPUTED_VALUE"""),"LYD")</f>
        <v>LYD</v>
      </c>
      <c r="E139" s="1" t="str">
        <f>IFERROR(__xludf.DUMMYFUNCTION("""COMPUTED_VALUE"""),"Money Out")</f>
        <v>Money Out</v>
      </c>
      <c r="F139" s="1" t="str">
        <f>IFERROR(__xludf.DUMMYFUNCTION("""COMPUTED_VALUE"""),"Product Restocking")</f>
        <v>Product Restocking</v>
      </c>
      <c r="G139" s="1"/>
      <c r="H139" s="1"/>
    </row>
    <row r="140">
      <c r="A140" s="36">
        <f>IFERROR(__xludf.DUMMYFUNCTION("""COMPUTED_VALUE"""),45726.0)</f>
        <v>45726</v>
      </c>
      <c r="B140" s="1" t="str">
        <f>IFERROR(__xludf.DUMMYFUNCTION("""COMPUTED_VALUE"""),"Snacky")</f>
        <v>Snacky</v>
      </c>
      <c r="C140" s="35">
        <f>IFERROR(__xludf.DUMMYFUNCTION("""COMPUTED_VALUE"""),100.0)</f>
        <v>100</v>
      </c>
      <c r="D140" s="1" t="str">
        <f>IFERROR(__xludf.DUMMYFUNCTION("""COMPUTED_VALUE"""),"LYD")</f>
        <v>LYD</v>
      </c>
      <c r="E140" s="1" t="str">
        <f>IFERROR(__xludf.DUMMYFUNCTION("""COMPUTED_VALUE"""),"Money Out")</f>
        <v>Money Out</v>
      </c>
      <c r="F140" s="1" t="str">
        <f>IFERROR(__xludf.DUMMYFUNCTION("""COMPUTED_VALUE"""),"Anas")</f>
        <v>Anas</v>
      </c>
      <c r="G140" s="1"/>
      <c r="H140" s="1"/>
    </row>
    <row r="141">
      <c r="A141" s="36">
        <f>IFERROR(__xludf.DUMMYFUNCTION("""COMPUTED_VALUE"""),45726.0)</f>
        <v>45726</v>
      </c>
      <c r="B141" s="1" t="str">
        <f>IFERROR(__xludf.DUMMYFUNCTION("""COMPUTED_VALUE"""),"Anas")</f>
        <v>Anas</v>
      </c>
      <c r="C141" s="35">
        <f>IFERROR(__xludf.DUMMYFUNCTION("""COMPUTED_VALUE"""),100.0)</f>
        <v>100</v>
      </c>
      <c r="D141" s="1" t="str">
        <f>IFERROR(__xludf.DUMMYFUNCTION("""COMPUTED_VALUE"""),"LYD")</f>
        <v>LYD</v>
      </c>
      <c r="E141" s="1" t="str">
        <f>IFERROR(__xludf.DUMMYFUNCTION("""COMPUTED_VALUE"""),"Money In")</f>
        <v>Money In</v>
      </c>
      <c r="F141" s="1"/>
      <c r="G141" s="1"/>
      <c r="H141" s="1"/>
    </row>
    <row r="142">
      <c r="A142" s="36">
        <f>IFERROR(__xludf.DUMMYFUNCTION("""COMPUTED_VALUE"""),45727.0)</f>
        <v>45727</v>
      </c>
      <c r="B142" s="1" t="str">
        <f>IFERROR(__xludf.DUMMYFUNCTION("""COMPUTED_VALUE"""),"Snacky")</f>
        <v>Snacky</v>
      </c>
      <c r="C142" s="35">
        <f>IFERROR(__xludf.DUMMYFUNCTION("""COMPUTED_VALUE"""),20.0)</f>
        <v>20</v>
      </c>
      <c r="D142" s="1" t="str">
        <f>IFERROR(__xludf.DUMMYFUNCTION("""COMPUTED_VALUE"""),"LYD")</f>
        <v>LYD</v>
      </c>
      <c r="E142" s="1" t="str">
        <f>IFERROR(__xludf.DUMMYFUNCTION("""COMPUTED_VALUE"""),"Money Out")</f>
        <v>Money Out</v>
      </c>
      <c r="F142" s="1" t="str">
        <f>IFERROR(__xludf.DUMMYFUNCTION("""COMPUTED_VALUE"""),"Product Restocking")</f>
        <v>Product Restocking</v>
      </c>
      <c r="G142" s="1"/>
      <c r="H142" s="1"/>
    </row>
    <row r="143">
      <c r="A143" s="36">
        <f>IFERROR(__xludf.DUMMYFUNCTION("""COMPUTED_VALUE"""),45728.0)</f>
        <v>45728</v>
      </c>
      <c r="B143" s="1" t="str">
        <f>IFERROR(__xludf.DUMMYFUNCTION("""COMPUTED_VALUE"""),"Snacky")</f>
        <v>Snacky</v>
      </c>
      <c r="C143" s="35">
        <f>IFERROR(__xludf.DUMMYFUNCTION("""COMPUTED_VALUE"""),656.0)</f>
        <v>656</v>
      </c>
      <c r="D143" s="1" t="str">
        <f>IFERROR(__xludf.DUMMYFUNCTION("""COMPUTED_VALUE"""),"LYD")</f>
        <v>LYD</v>
      </c>
      <c r="E143" s="1" t="str">
        <f>IFERROR(__xludf.DUMMYFUNCTION("""COMPUTED_VALUE"""),"Money Out")</f>
        <v>Money Out</v>
      </c>
      <c r="F143" s="1" t="str">
        <f>IFERROR(__xludf.DUMMYFUNCTION("""COMPUTED_VALUE"""),"Product Restocking")</f>
        <v>Product Restocking</v>
      </c>
      <c r="G143" s="1"/>
      <c r="H143" s="1"/>
    </row>
    <row r="144">
      <c r="A144" s="36">
        <f>IFERROR(__xludf.DUMMYFUNCTION("""COMPUTED_VALUE"""),45729.0)</f>
        <v>45729</v>
      </c>
      <c r="B144" s="1" t="str">
        <f>IFERROR(__xludf.DUMMYFUNCTION("""COMPUTED_VALUE"""),"Snacky")</f>
        <v>Snacky</v>
      </c>
      <c r="C144" s="35">
        <f>IFERROR(__xludf.DUMMYFUNCTION("""COMPUTED_VALUE"""),384.0)</f>
        <v>384</v>
      </c>
      <c r="D144" s="1" t="str">
        <f>IFERROR(__xludf.DUMMYFUNCTION("""COMPUTED_VALUE"""),"LYD")</f>
        <v>LYD</v>
      </c>
      <c r="E144" s="1" t="str">
        <f>IFERROR(__xludf.DUMMYFUNCTION("""COMPUTED_VALUE"""),"Money Out")</f>
        <v>Money Out</v>
      </c>
      <c r="F144" s="1" t="str">
        <f>IFERROR(__xludf.DUMMYFUNCTION("""COMPUTED_VALUE"""),"Product Restocking")</f>
        <v>Product Restocking</v>
      </c>
      <c r="G144" s="1"/>
      <c r="H144" s="1"/>
    </row>
    <row r="145">
      <c r="A145" s="36">
        <f>IFERROR(__xludf.DUMMYFUNCTION("""COMPUTED_VALUE"""),45730.0)</f>
        <v>45730</v>
      </c>
      <c r="B145" s="1" t="str">
        <f>IFERROR(__xludf.DUMMYFUNCTION("""COMPUTED_VALUE"""),"Snacky")</f>
        <v>Snacky</v>
      </c>
      <c r="C145" s="35">
        <f>IFERROR(__xludf.DUMMYFUNCTION("""COMPUTED_VALUE"""),277.0)</f>
        <v>277</v>
      </c>
      <c r="D145" s="1" t="str">
        <f>IFERROR(__xludf.DUMMYFUNCTION("""COMPUTED_VALUE"""),"LYD")</f>
        <v>LYD</v>
      </c>
      <c r="E145" s="1" t="str">
        <f>IFERROR(__xludf.DUMMYFUNCTION("""COMPUTED_VALUE"""),"Money Out")</f>
        <v>Money Out</v>
      </c>
      <c r="F145" s="1"/>
      <c r="G145" s="1"/>
      <c r="H145" s="1" t="str">
        <f>IFERROR(__xludf.DUMMYFUNCTION("""COMPUTED_VALUE"""),"تعديل الميزانية")</f>
        <v>تعديل الميزانية</v>
      </c>
    </row>
    <row r="146">
      <c r="A146" s="36">
        <f>IFERROR(__xludf.DUMMYFUNCTION("""COMPUTED_VALUE"""),45730.0)</f>
        <v>45730</v>
      </c>
      <c r="B146" s="1" t="str">
        <f>IFERROR(__xludf.DUMMYFUNCTION("""COMPUTED_VALUE"""),"Snacky")</f>
        <v>Snacky</v>
      </c>
      <c r="C146" s="35">
        <f>IFERROR(__xludf.DUMMYFUNCTION("""COMPUTED_VALUE"""),50.0)</f>
        <v>50</v>
      </c>
      <c r="D146" s="1" t="str">
        <f>IFERROR(__xludf.DUMMYFUNCTION("""COMPUTED_VALUE"""),"LYD")</f>
        <v>LYD</v>
      </c>
      <c r="E146" s="1" t="str">
        <f>IFERROR(__xludf.DUMMYFUNCTION("""COMPUTED_VALUE"""),"Money Out")</f>
        <v>Money Out</v>
      </c>
      <c r="F146" s="1" t="str">
        <f>IFERROR(__xludf.DUMMYFUNCTION("""COMPUTED_VALUE"""),"Anas")</f>
        <v>Anas</v>
      </c>
      <c r="G146" s="1"/>
      <c r="H146" s="1"/>
    </row>
    <row r="147">
      <c r="A147" s="36">
        <f>IFERROR(__xludf.DUMMYFUNCTION("""COMPUTED_VALUE"""),45730.0)</f>
        <v>45730</v>
      </c>
      <c r="B147" s="1" t="str">
        <f>IFERROR(__xludf.DUMMYFUNCTION("""COMPUTED_VALUE"""),"Anas")</f>
        <v>Anas</v>
      </c>
      <c r="C147" s="35">
        <f>IFERROR(__xludf.DUMMYFUNCTION("""COMPUTED_VALUE"""),50.0)</f>
        <v>50</v>
      </c>
      <c r="D147" s="1" t="str">
        <f>IFERROR(__xludf.DUMMYFUNCTION("""COMPUTED_VALUE"""),"LYD")</f>
        <v>LYD</v>
      </c>
      <c r="E147" s="1" t="str">
        <f>IFERROR(__xludf.DUMMYFUNCTION("""COMPUTED_VALUE"""),"Money In")</f>
        <v>Money In</v>
      </c>
      <c r="F147" s="1" t="str">
        <f>IFERROR(__xludf.DUMMYFUNCTION("""COMPUTED_VALUE"""),"from snacky")</f>
        <v>from snacky</v>
      </c>
      <c r="G147" s="1"/>
      <c r="H147" s="1"/>
    </row>
    <row r="148">
      <c r="A148" s="36">
        <f>IFERROR(__xludf.DUMMYFUNCTION("""COMPUTED_VALUE"""),45730.0)</f>
        <v>45730</v>
      </c>
      <c r="B148" s="1" t="str">
        <f>IFERROR(__xludf.DUMMYFUNCTION("""COMPUTED_VALUE"""),"Snacky")</f>
        <v>Snacky</v>
      </c>
      <c r="C148" s="35">
        <f>IFERROR(__xludf.DUMMYFUNCTION("""COMPUTED_VALUE"""),1852.0)</f>
        <v>1852</v>
      </c>
      <c r="D148" s="1" t="str">
        <f>IFERROR(__xludf.DUMMYFUNCTION("""COMPUTED_VALUE"""),"LYD")</f>
        <v>LYD</v>
      </c>
      <c r="E148" s="1" t="str">
        <f>IFERROR(__xludf.DUMMYFUNCTION("""COMPUTED_VALUE"""),"Money In")</f>
        <v>Money In</v>
      </c>
      <c r="F148" s="1" t="str">
        <f>IFERROR(__xludf.DUMMYFUNCTION("""COMPUTED_VALUE"""),"Revenue")</f>
        <v>Revenue</v>
      </c>
      <c r="G148" s="1" t="str">
        <f>IFERROR(__xludf.DUMMYFUNCTION("""COMPUTED_VALUE"""),"deplomacyMall")</f>
        <v>deplomacyMall</v>
      </c>
      <c r="H148" s="1"/>
    </row>
    <row r="149">
      <c r="A149" s="36">
        <f>IFERROR(__xludf.DUMMYFUNCTION("""COMPUTED_VALUE"""),45732.0)</f>
        <v>45732</v>
      </c>
      <c r="B149" s="1" t="str">
        <f>IFERROR(__xludf.DUMMYFUNCTION("""COMPUTED_VALUE"""),"Snacky")</f>
        <v>Snacky</v>
      </c>
      <c r="C149" s="35">
        <f>IFERROR(__xludf.DUMMYFUNCTION("""COMPUTED_VALUE"""),300.0)</f>
        <v>300</v>
      </c>
      <c r="D149" s="1" t="str">
        <f>IFERROR(__xludf.DUMMYFUNCTION("""COMPUTED_VALUE"""),"LYD")</f>
        <v>LYD</v>
      </c>
      <c r="E149" s="1" t="str">
        <f>IFERROR(__xludf.DUMMYFUNCTION("""COMPUTED_VALUE"""),"Money Out")</f>
        <v>Money Out</v>
      </c>
      <c r="F149" s="1" t="str">
        <f>IFERROR(__xludf.DUMMYFUNCTION("""COMPUTED_VALUE"""),"Product Restocking")</f>
        <v>Product Restocking</v>
      </c>
      <c r="G149" s="1"/>
      <c r="H149" s="1"/>
    </row>
    <row r="150">
      <c r="A150" s="36">
        <f>IFERROR(__xludf.DUMMYFUNCTION("""COMPUTED_VALUE"""),45733.0)</f>
        <v>45733</v>
      </c>
      <c r="B150" s="1" t="str">
        <f>IFERROR(__xludf.DUMMYFUNCTION("""COMPUTED_VALUE"""),"Anas")</f>
        <v>Anas</v>
      </c>
      <c r="C150" s="35">
        <f>IFERROR(__xludf.DUMMYFUNCTION("""COMPUTED_VALUE"""),65.0)</f>
        <v>65</v>
      </c>
      <c r="D150" s="1" t="str">
        <f>IFERROR(__xludf.DUMMYFUNCTION("""COMPUTED_VALUE"""),"LYD")</f>
        <v>LYD</v>
      </c>
      <c r="E150" s="1" t="str">
        <f>IFERROR(__xludf.DUMMYFUNCTION("""COMPUTED_VALUE"""),"Money In")</f>
        <v>Money In</v>
      </c>
      <c r="F150" s="1" t="str">
        <f>IFERROR(__xludf.DUMMYFUNCTION("""COMPUTED_VALUE"""),"from snacky")</f>
        <v>from snacky</v>
      </c>
      <c r="G150" s="1"/>
      <c r="H150" s="1"/>
    </row>
    <row r="151">
      <c r="A151" s="36">
        <f>IFERROR(__xludf.DUMMYFUNCTION("""COMPUTED_VALUE"""),45733.0)</f>
        <v>45733</v>
      </c>
      <c r="B151" s="1" t="str">
        <f>IFERROR(__xludf.DUMMYFUNCTION("""COMPUTED_VALUE"""),"Snacky")</f>
        <v>Snacky</v>
      </c>
      <c r="C151" s="35">
        <f>IFERROR(__xludf.DUMMYFUNCTION("""COMPUTED_VALUE"""),65.0)</f>
        <v>65</v>
      </c>
      <c r="D151" s="1" t="str">
        <f>IFERROR(__xludf.DUMMYFUNCTION("""COMPUTED_VALUE"""),"LYD")</f>
        <v>LYD</v>
      </c>
      <c r="E151" s="1" t="str">
        <f>IFERROR(__xludf.DUMMYFUNCTION("""COMPUTED_VALUE"""),"Money Out")</f>
        <v>Money Out</v>
      </c>
      <c r="F151" s="1" t="str">
        <f>IFERROR(__xludf.DUMMYFUNCTION("""COMPUTED_VALUE""")," Anas")</f>
        <v> Anas</v>
      </c>
      <c r="G151" s="1"/>
      <c r="H151" s="1"/>
    </row>
    <row r="152">
      <c r="A152" s="36">
        <f>IFERROR(__xludf.DUMMYFUNCTION("""COMPUTED_VALUE"""),45733.0)</f>
        <v>45733</v>
      </c>
      <c r="B152" s="1" t="str">
        <f>IFERROR(__xludf.DUMMYFUNCTION("""COMPUTED_VALUE"""),"Snacky")</f>
        <v>Snacky</v>
      </c>
      <c r="C152" s="35">
        <f>IFERROR(__xludf.DUMMYFUNCTION("""COMPUTED_VALUE"""),429.0)</f>
        <v>429</v>
      </c>
      <c r="D152" s="1" t="str">
        <f>IFERROR(__xludf.DUMMYFUNCTION("""COMPUTED_VALUE"""),"LYD")</f>
        <v>LYD</v>
      </c>
      <c r="E152" s="1" t="str">
        <f>IFERROR(__xludf.DUMMYFUNCTION("""COMPUTED_VALUE"""),"Money Out")</f>
        <v>Money Out</v>
      </c>
      <c r="F152" s="1" t="str">
        <f>IFERROR(__xludf.DUMMYFUNCTION("""COMPUTED_VALUE"""),"Product Restocking")</f>
        <v>Product Restocking</v>
      </c>
      <c r="G152" s="1"/>
      <c r="H152" s="1"/>
    </row>
    <row r="153">
      <c r="A153" s="36">
        <f>IFERROR(__xludf.DUMMYFUNCTION("""COMPUTED_VALUE"""),45734.0)</f>
        <v>45734</v>
      </c>
      <c r="B153" s="1" t="str">
        <f>IFERROR(__xludf.DUMMYFUNCTION("""COMPUTED_VALUE"""),"Snacky")</f>
        <v>Snacky</v>
      </c>
      <c r="C153" s="35">
        <f>IFERROR(__xludf.DUMMYFUNCTION("""COMPUTED_VALUE"""),1434.0)</f>
        <v>1434</v>
      </c>
      <c r="D153" s="1" t="str">
        <f>IFERROR(__xludf.DUMMYFUNCTION("""COMPUTED_VALUE"""),"LYD")</f>
        <v>LYD</v>
      </c>
      <c r="E153" s="1" t="str">
        <f>IFERROR(__xludf.DUMMYFUNCTION("""COMPUTED_VALUE"""),"Money In")</f>
        <v>Money In</v>
      </c>
      <c r="F153" s="1" t="str">
        <f>IFERROR(__xludf.DUMMYFUNCTION("""COMPUTED_VALUE"""),"Revenue")</f>
        <v>Revenue</v>
      </c>
      <c r="G153" s="1" t="str">
        <f>IFERROR(__xludf.DUMMYFUNCTION("""COMPUTED_VALUE"""),"deplomacyMall")</f>
        <v>deplomacyMall</v>
      </c>
      <c r="H153" s="1"/>
    </row>
    <row r="154">
      <c r="A154" s="36">
        <f>IFERROR(__xludf.DUMMYFUNCTION("""COMPUTED_VALUE"""),45735.0)</f>
        <v>45735</v>
      </c>
      <c r="B154" s="1" t="str">
        <f>IFERROR(__xludf.DUMMYFUNCTION("""COMPUTED_VALUE"""),"Snacky")</f>
        <v>Snacky</v>
      </c>
      <c r="C154" s="35">
        <f>IFERROR(__xludf.DUMMYFUNCTION("""COMPUTED_VALUE"""),384.0)</f>
        <v>384</v>
      </c>
      <c r="D154" s="1" t="str">
        <f>IFERROR(__xludf.DUMMYFUNCTION("""COMPUTED_VALUE"""),"LYD")</f>
        <v>LYD</v>
      </c>
      <c r="E154" s="1" t="str">
        <f>IFERROR(__xludf.DUMMYFUNCTION("""COMPUTED_VALUE"""),"Money Out")</f>
        <v>Money Out</v>
      </c>
      <c r="F154" s="1" t="str">
        <f>IFERROR(__xludf.DUMMYFUNCTION("""COMPUTED_VALUE"""),"Product Restocking")</f>
        <v>Product Restocking</v>
      </c>
      <c r="G154" s="1"/>
      <c r="H154" s="1"/>
    </row>
    <row r="155">
      <c r="A155" s="36">
        <f>IFERROR(__xludf.DUMMYFUNCTION("""COMPUTED_VALUE"""),45736.0)</f>
        <v>45736</v>
      </c>
      <c r="B155" s="1" t="str">
        <f>IFERROR(__xludf.DUMMYFUNCTION("""COMPUTED_VALUE"""),"Snacky")</f>
        <v>Snacky</v>
      </c>
      <c r="C155" s="35">
        <f>IFERROR(__xludf.DUMMYFUNCTION("""COMPUTED_VALUE"""),563.0)</f>
        <v>563</v>
      </c>
      <c r="D155" s="1" t="str">
        <f>IFERROR(__xludf.DUMMYFUNCTION("""COMPUTED_VALUE"""),"LYD")</f>
        <v>LYD</v>
      </c>
      <c r="E155" s="1" t="str">
        <f>IFERROR(__xludf.DUMMYFUNCTION("""COMPUTED_VALUE"""),"Money Out")</f>
        <v>Money Out</v>
      </c>
      <c r="F155" s="1" t="str">
        <f>IFERROR(__xludf.DUMMYFUNCTION("""COMPUTED_VALUE"""),"Product Restocking")</f>
        <v>Product Restocking</v>
      </c>
      <c r="G155" s="1"/>
      <c r="H155" s="1"/>
    </row>
    <row r="156">
      <c r="A156" s="36">
        <f>IFERROR(__xludf.DUMMYFUNCTION("""COMPUTED_VALUE"""),45738.0)</f>
        <v>45738</v>
      </c>
      <c r="B156" s="1" t="str">
        <f>IFERROR(__xludf.DUMMYFUNCTION("""COMPUTED_VALUE"""),"Snacky")</f>
        <v>Snacky</v>
      </c>
      <c r="C156" s="35">
        <f>IFERROR(__xludf.DUMMYFUNCTION("""COMPUTED_VALUE"""),245.0)</f>
        <v>245</v>
      </c>
      <c r="D156" s="1" t="str">
        <f>IFERROR(__xludf.DUMMYFUNCTION("""COMPUTED_VALUE"""),"LYD")</f>
        <v>LYD</v>
      </c>
      <c r="E156" s="1" t="str">
        <f>IFERROR(__xludf.DUMMYFUNCTION("""COMPUTED_VALUE"""),"Money Out")</f>
        <v>Money Out</v>
      </c>
      <c r="F156" s="1" t="str">
        <f>IFERROR(__xludf.DUMMYFUNCTION("""COMPUTED_VALUE"""),"Product Restocking")</f>
        <v>Product Restocking</v>
      </c>
      <c r="G156" s="1"/>
      <c r="H156" s="1"/>
    </row>
    <row r="157">
      <c r="A157" s="36">
        <f>IFERROR(__xludf.DUMMYFUNCTION("""COMPUTED_VALUE"""),45741.0)</f>
        <v>45741</v>
      </c>
      <c r="B157" s="1" t="str">
        <f>IFERROR(__xludf.DUMMYFUNCTION("""COMPUTED_VALUE"""),"Snacky")</f>
        <v>Snacky</v>
      </c>
      <c r="C157" s="35">
        <f>IFERROR(__xludf.DUMMYFUNCTION("""COMPUTED_VALUE"""),1350.0)</f>
        <v>1350</v>
      </c>
      <c r="D157" s="1" t="str">
        <f>IFERROR(__xludf.DUMMYFUNCTION("""COMPUTED_VALUE"""),"LYD")</f>
        <v>LYD</v>
      </c>
      <c r="E157" s="1" t="str">
        <f>IFERROR(__xludf.DUMMYFUNCTION("""COMPUTED_VALUE"""),"Money In")</f>
        <v>Money In</v>
      </c>
      <c r="F157" s="1" t="str">
        <f>IFERROR(__xludf.DUMMYFUNCTION("""COMPUTED_VALUE"""),"Revenue")</f>
        <v>Revenue</v>
      </c>
      <c r="G157" s="1" t="str">
        <f>IFERROR(__xludf.DUMMYFUNCTION("""COMPUTED_VALUE"""),"deplomacyMall")</f>
        <v>deplomacyMall</v>
      </c>
      <c r="H157" s="1"/>
    </row>
    <row r="158">
      <c r="A158" s="36">
        <f>IFERROR(__xludf.DUMMYFUNCTION("""COMPUTED_VALUE"""),45741.0)</f>
        <v>45741</v>
      </c>
      <c r="B158" s="1" t="str">
        <f>IFERROR(__xludf.DUMMYFUNCTION("""COMPUTED_VALUE"""),"Snacky")</f>
        <v>Snacky</v>
      </c>
      <c r="C158" s="35">
        <f>IFERROR(__xludf.DUMMYFUNCTION("""COMPUTED_VALUE"""),557.0)</f>
        <v>557</v>
      </c>
      <c r="D158" s="1" t="str">
        <f>IFERROR(__xludf.DUMMYFUNCTION("""COMPUTED_VALUE"""),"LYD")</f>
        <v>LYD</v>
      </c>
      <c r="E158" s="1" t="str">
        <f>IFERROR(__xludf.DUMMYFUNCTION("""COMPUTED_VALUE"""),"Money Out")</f>
        <v>Money Out</v>
      </c>
      <c r="F158" s="1" t="str">
        <f>IFERROR(__xludf.DUMMYFUNCTION("""COMPUTED_VALUE"""),"Product Restocking")</f>
        <v>Product Restocking</v>
      </c>
      <c r="G158" s="1"/>
      <c r="H158" s="1"/>
    </row>
    <row r="159">
      <c r="A159" s="36">
        <f>IFERROR(__xludf.DUMMYFUNCTION("""COMPUTED_VALUE"""),45742.0)</f>
        <v>45742</v>
      </c>
      <c r="B159" s="1" t="str">
        <f>IFERROR(__xludf.DUMMYFUNCTION("""COMPUTED_VALUE"""),"Snacky")</f>
        <v>Snacky</v>
      </c>
      <c r="C159" s="35">
        <f>IFERROR(__xludf.DUMMYFUNCTION("""COMPUTED_VALUE"""),696.0)</f>
        <v>696</v>
      </c>
      <c r="D159" s="1" t="str">
        <f>IFERROR(__xludf.DUMMYFUNCTION("""COMPUTED_VALUE"""),"LYD")</f>
        <v>LYD</v>
      </c>
      <c r="E159" s="1" t="str">
        <f>IFERROR(__xludf.DUMMYFUNCTION("""COMPUTED_VALUE"""),"Money Out")</f>
        <v>Money Out</v>
      </c>
      <c r="F159" s="1" t="str">
        <f>IFERROR(__xludf.DUMMYFUNCTION("""COMPUTED_VALUE"""),"Product Restocking")</f>
        <v>Product Restocking</v>
      </c>
      <c r="G159" s="1"/>
      <c r="H159" s="1"/>
    </row>
    <row r="160">
      <c r="A160" s="36">
        <f>IFERROR(__xludf.DUMMYFUNCTION("""COMPUTED_VALUE"""),45744.0)</f>
        <v>45744</v>
      </c>
      <c r="B160" s="1" t="str">
        <f>IFERROR(__xludf.DUMMYFUNCTION("""COMPUTED_VALUE"""),"Snacky")</f>
        <v>Snacky</v>
      </c>
      <c r="C160" s="35">
        <f>IFERROR(__xludf.DUMMYFUNCTION("""COMPUTED_VALUE"""),1724.0)</f>
        <v>1724</v>
      </c>
      <c r="D160" s="1" t="str">
        <f>IFERROR(__xludf.DUMMYFUNCTION("""COMPUTED_VALUE"""),"LYD")</f>
        <v>LYD</v>
      </c>
      <c r="E160" s="1" t="str">
        <f>IFERROR(__xludf.DUMMYFUNCTION("""COMPUTED_VALUE"""),"Money In")</f>
        <v>Money In</v>
      </c>
      <c r="F160" s="1" t="str">
        <f>IFERROR(__xludf.DUMMYFUNCTION("""COMPUTED_VALUE"""),"Revenue")</f>
        <v>Revenue</v>
      </c>
      <c r="G160" s="1" t="str">
        <f>IFERROR(__xludf.DUMMYFUNCTION("""COMPUTED_VALUE"""),"deplomacyMall")</f>
        <v>deplomacyMall</v>
      </c>
      <c r="H160" s="1"/>
    </row>
    <row r="161">
      <c r="A161" s="36">
        <f>IFERROR(__xludf.DUMMYFUNCTION("""COMPUTED_VALUE"""),45745.0)</f>
        <v>45745</v>
      </c>
      <c r="B161" s="1" t="str">
        <f>IFERROR(__xludf.DUMMYFUNCTION("""COMPUTED_VALUE"""),"Snacky")</f>
        <v>Snacky</v>
      </c>
      <c r="C161" s="35">
        <f>IFERROR(__xludf.DUMMYFUNCTION("""COMPUTED_VALUE"""),205.0)</f>
        <v>205</v>
      </c>
      <c r="D161" s="1" t="str">
        <f>IFERROR(__xludf.DUMMYFUNCTION("""COMPUTED_VALUE"""),"LYD")</f>
        <v>LYD</v>
      </c>
      <c r="E161" s="1" t="str">
        <f>IFERROR(__xludf.DUMMYFUNCTION("""COMPUTED_VALUE"""),"Money Out")</f>
        <v>Money Out</v>
      </c>
      <c r="F161" s="1" t="str">
        <f>IFERROR(__xludf.DUMMYFUNCTION("""COMPUTED_VALUE"""),"Product Restocking")</f>
        <v>Product Restocking</v>
      </c>
      <c r="G161" s="1"/>
      <c r="H161" s="1"/>
    </row>
    <row r="162">
      <c r="A162" s="36">
        <f>IFERROR(__xludf.DUMMYFUNCTION("""COMPUTED_VALUE"""),45746.0)</f>
        <v>45746</v>
      </c>
      <c r="B162" s="1" t="str">
        <f>IFERROR(__xludf.DUMMYFUNCTION("""COMPUTED_VALUE"""),"Snacky")</f>
        <v>Snacky</v>
      </c>
      <c r="C162" s="35">
        <f>IFERROR(__xludf.DUMMYFUNCTION("""COMPUTED_VALUE"""),692.0)</f>
        <v>692</v>
      </c>
      <c r="D162" s="1" t="str">
        <f>IFERROR(__xludf.DUMMYFUNCTION("""COMPUTED_VALUE"""),"LYD")</f>
        <v>LYD</v>
      </c>
      <c r="E162" s="1" t="str">
        <f>IFERROR(__xludf.DUMMYFUNCTION("""COMPUTED_VALUE"""),"Money Out")</f>
        <v>Money Out</v>
      </c>
      <c r="F162" s="1" t="str">
        <f>IFERROR(__xludf.DUMMYFUNCTION("""COMPUTED_VALUE"""),"Product Restocking")</f>
        <v>Product Restocking</v>
      </c>
      <c r="G162" s="1"/>
      <c r="H162" s="1"/>
    </row>
    <row r="163">
      <c r="A163" s="36">
        <f>IFERROR(__xludf.DUMMYFUNCTION("""COMPUTED_VALUE"""),45747.0)</f>
        <v>45747</v>
      </c>
      <c r="B163" s="1" t="str">
        <f>IFERROR(__xludf.DUMMYFUNCTION("""COMPUTED_VALUE"""),"Snacky")</f>
        <v>Snacky</v>
      </c>
      <c r="C163" s="35">
        <f>IFERROR(__xludf.DUMMYFUNCTION("""COMPUTED_VALUE"""),830.0)</f>
        <v>830</v>
      </c>
      <c r="D163" s="1" t="str">
        <f>IFERROR(__xludf.DUMMYFUNCTION("""COMPUTED_VALUE"""),"LYD")</f>
        <v>LYD</v>
      </c>
      <c r="E163" s="1" t="str">
        <f>IFERROR(__xludf.DUMMYFUNCTION("""COMPUTED_VALUE"""),"Money In")</f>
        <v>Money In</v>
      </c>
      <c r="F163" s="1" t="str">
        <f>IFERROR(__xludf.DUMMYFUNCTION("""COMPUTED_VALUE"""),"Revenue")</f>
        <v>Revenue</v>
      </c>
      <c r="G163" s="1" t="str">
        <f>IFERROR(__xludf.DUMMYFUNCTION("""COMPUTED_VALUE"""),"deplomacyMall")</f>
        <v>deplomacyMall</v>
      </c>
      <c r="H163" s="1"/>
    </row>
    <row r="164">
      <c r="A164" s="36">
        <f>IFERROR(__xludf.DUMMYFUNCTION("""COMPUTED_VALUE"""),45749.0)</f>
        <v>45749</v>
      </c>
      <c r="B164" s="1" t="str">
        <f>IFERROR(__xludf.DUMMYFUNCTION("""COMPUTED_VALUE"""),"Snacky")</f>
        <v>Snacky</v>
      </c>
      <c r="C164" s="35">
        <f>IFERROR(__xludf.DUMMYFUNCTION("""COMPUTED_VALUE"""),1120.0)</f>
        <v>1120</v>
      </c>
      <c r="D164" s="1" t="str">
        <f>IFERROR(__xludf.DUMMYFUNCTION("""COMPUTED_VALUE"""),"LYD")</f>
        <v>LYD</v>
      </c>
      <c r="E164" s="1" t="str">
        <f>IFERROR(__xludf.DUMMYFUNCTION("""COMPUTED_VALUE"""),"Money Out")</f>
        <v>Money Out</v>
      </c>
      <c r="F164" s="1" t="str">
        <f>IFERROR(__xludf.DUMMYFUNCTION("""COMPUTED_VALUE"""),"Product Restocking")</f>
        <v>Product Restocking</v>
      </c>
      <c r="G164" s="1"/>
      <c r="H164" s="1"/>
    </row>
    <row r="165">
      <c r="A165" s="36">
        <f>IFERROR(__xludf.DUMMYFUNCTION("""COMPUTED_VALUE"""),45749.0)</f>
        <v>45749</v>
      </c>
      <c r="B165" s="1" t="str">
        <f>IFERROR(__xludf.DUMMYFUNCTION("""COMPUTED_VALUE"""),"Snacky")</f>
        <v>Snacky</v>
      </c>
      <c r="C165" s="35">
        <f>IFERROR(__xludf.DUMMYFUNCTION("""COMPUTED_VALUE"""),2823.0)</f>
        <v>2823</v>
      </c>
      <c r="D165" s="1" t="str">
        <f>IFERROR(__xludf.DUMMYFUNCTION("""COMPUTED_VALUE"""),"LYD")</f>
        <v>LYD</v>
      </c>
      <c r="E165" s="1" t="str">
        <f>IFERROR(__xludf.DUMMYFUNCTION("""COMPUTED_VALUE"""),"Money In")</f>
        <v>Money In</v>
      </c>
      <c r="F165" s="1" t="str">
        <f>IFERROR(__xludf.DUMMYFUNCTION("""COMPUTED_VALUE"""),"Revenue")</f>
        <v>Revenue</v>
      </c>
      <c r="G165" s="1" t="str">
        <f>IFERROR(__xludf.DUMMYFUNCTION("""COMPUTED_VALUE"""),"deplomacyMall")</f>
        <v>deplomacyMall</v>
      </c>
      <c r="H165" s="1" t="str">
        <f>IFERROR(__xludf.DUMMYFUNCTION("""COMPUTED_VALUE"""),"ايام العيد")</f>
        <v>ايام العيد</v>
      </c>
    </row>
    <row r="166">
      <c r="A166" s="36">
        <f>IFERROR(__xludf.DUMMYFUNCTION("""COMPUTED_VALUE"""),45750.0)</f>
        <v>45750</v>
      </c>
      <c r="B166" s="1" t="str">
        <f>IFERROR(__xludf.DUMMYFUNCTION("""COMPUTED_VALUE"""),"Snacky")</f>
        <v>Snacky</v>
      </c>
      <c r="C166" s="35">
        <f>IFERROR(__xludf.DUMMYFUNCTION("""COMPUTED_VALUE"""),1553.0)</f>
        <v>1553</v>
      </c>
      <c r="D166" s="1" t="str">
        <f>IFERROR(__xludf.DUMMYFUNCTION("""COMPUTED_VALUE"""),"LYD")</f>
        <v>LYD</v>
      </c>
      <c r="E166" s="1" t="str">
        <f>IFERROR(__xludf.DUMMYFUNCTION("""COMPUTED_VALUE"""),"Money In")</f>
        <v>Money In</v>
      </c>
      <c r="F166" s="1" t="str">
        <f>IFERROR(__xludf.DUMMYFUNCTION("""COMPUTED_VALUE"""),"Revenue")</f>
        <v>Revenue</v>
      </c>
      <c r="G166" s="1" t="str">
        <f>IFERROR(__xludf.DUMMYFUNCTION("""COMPUTED_VALUE"""),"deplomacyMall")</f>
        <v>deplomacyMall</v>
      </c>
      <c r="H166" s="1"/>
    </row>
    <row r="167">
      <c r="A167" s="36">
        <f>IFERROR(__xludf.DUMMYFUNCTION("""COMPUTED_VALUE"""),45750.0)</f>
        <v>45750</v>
      </c>
      <c r="B167" s="1" t="str">
        <f>IFERROR(__xludf.DUMMYFUNCTION("""COMPUTED_VALUE"""),"Snacky")</f>
        <v>Snacky</v>
      </c>
      <c r="C167" s="35">
        <f>IFERROR(__xludf.DUMMYFUNCTION("""COMPUTED_VALUE"""),1025.0)</f>
        <v>1025</v>
      </c>
      <c r="D167" s="1" t="str">
        <f>IFERROR(__xludf.DUMMYFUNCTION("""COMPUTED_VALUE"""),"LYD")</f>
        <v>LYD</v>
      </c>
      <c r="E167" s="1" t="str">
        <f>IFERROR(__xludf.DUMMYFUNCTION("""COMPUTED_VALUE"""),"Money Out")</f>
        <v>Money Out</v>
      </c>
      <c r="F167" s="1" t="str">
        <f>IFERROR(__xludf.DUMMYFUNCTION("""COMPUTED_VALUE"""),"Product Restocking")</f>
        <v>Product Restocking</v>
      </c>
      <c r="G167" s="1"/>
      <c r="H167" s="1"/>
    </row>
    <row r="168">
      <c r="A168" s="36">
        <f>IFERROR(__xludf.DUMMYFUNCTION("""COMPUTED_VALUE"""),45751.0)</f>
        <v>45751</v>
      </c>
      <c r="B168" s="1" t="str">
        <f>IFERROR(__xludf.DUMMYFUNCTION("""COMPUTED_VALUE"""),"Snacky")</f>
        <v>Snacky</v>
      </c>
      <c r="C168" s="35">
        <f>IFERROR(__xludf.DUMMYFUNCTION("""COMPUTED_VALUE"""),300.0)</f>
        <v>300</v>
      </c>
      <c r="D168" s="1" t="str">
        <f>IFERROR(__xludf.DUMMYFUNCTION("""COMPUTED_VALUE"""),"LYD")</f>
        <v>LYD</v>
      </c>
      <c r="E168" s="1" t="str">
        <f>IFERROR(__xludf.DUMMYFUNCTION("""COMPUTED_VALUE"""),"Money Out")</f>
        <v>Money Out</v>
      </c>
      <c r="F168" s="1" t="str">
        <f>IFERROR(__xludf.DUMMYFUNCTION("""COMPUTED_VALUE"""),"Product Restocking")</f>
        <v>Product Restocking</v>
      </c>
      <c r="G168" s="1"/>
      <c r="H168" s="1"/>
    </row>
    <row r="169">
      <c r="A169" s="36">
        <f>IFERROR(__xludf.DUMMYFUNCTION("""COMPUTED_VALUE"""),45751.0)</f>
        <v>45751</v>
      </c>
      <c r="B169" s="1" t="str">
        <f>IFERROR(__xludf.DUMMYFUNCTION("""COMPUTED_VALUE"""),"Snacky")</f>
        <v>Snacky</v>
      </c>
      <c r="C169" s="35">
        <f>IFERROR(__xludf.DUMMYFUNCTION("""COMPUTED_VALUE"""),1334.0)</f>
        <v>1334</v>
      </c>
      <c r="D169" s="1" t="str">
        <f>IFERROR(__xludf.DUMMYFUNCTION("""COMPUTED_VALUE"""),"LYD")</f>
        <v>LYD</v>
      </c>
      <c r="E169" s="1" t="str">
        <f>IFERROR(__xludf.DUMMYFUNCTION("""COMPUTED_VALUE"""),"Money In")</f>
        <v>Money In</v>
      </c>
      <c r="F169" s="1" t="str">
        <f>IFERROR(__xludf.DUMMYFUNCTION("""COMPUTED_VALUE"""),"Revenue")</f>
        <v>Revenue</v>
      </c>
      <c r="G169" s="1" t="str">
        <f>IFERROR(__xludf.DUMMYFUNCTION("""COMPUTED_VALUE"""),"deplomacyMall")</f>
        <v>deplomacyMall</v>
      </c>
      <c r="H169" s="1"/>
    </row>
    <row r="170">
      <c r="A170" s="36">
        <f>IFERROR(__xludf.DUMMYFUNCTION("""COMPUTED_VALUE"""),45752.0)</f>
        <v>45752</v>
      </c>
      <c r="B170" s="1" t="str">
        <f>IFERROR(__xludf.DUMMYFUNCTION("""COMPUTED_VALUE"""),"Snacky")</f>
        <v>Snacky</v>
      </c>
      <c r="C170" s="35">
        <f>IFERROR(__xludf.DUMMYFUNCTION("""COMPUTED_VALUE"""),1500.0)</f>
        <v>1500</v>
      </c>
      <c r="D170" s="1" t="str">
        <f>IFERROR(__xludf.DUMMYFUNCTION("""COMPUTED_VALUE"""),"LYD")</f>
        <v>LYD</v>
      </c>
      <c r="E170" s="1" t="str">
        <f>IFERROR(__xludf.DUMMYFUNCTION("""COMPUTED_VALUE"""),"Money Out")</f>
        <v>Money Out</v>
      </c>
      <c r="F170" s="1" t="str">
        <f>IFERROR(__xludf.DUMMYFUNCTION("""COMPUTED_VALUE"""),"Rent")</f>
        <v>Rent</v>
      </c>
      <c r="G170" s="1"/>
      <c r="H170" s="1" t="str">
        <f>IFERROR(__xludf.DUMMYFUNCTION("""COMPUTED_VALUE"""),"دبلوماسي شهر تنين وتلاته واربعه")</f>
        <v>دبلوماسي شهر تنين وتلاته واربعه</v>
      </c>
    </row>
    <row r="171">
      <c r="A171" s="36">
        <f>IFERROR(__xludf.DUMMYFUNCTION("""COMPUTED_VALUE"""),45752.0)</f>
        <v>45752</v>
      </c>
      <c r="B171" s="1" t="str">
        <f>IFERROR(__xludf.DUMMYFUNCTION("""COMPUTED_VALUE"""),"Snacky")</f>
        <v>Snacky</v>
      </c>
      <c r="C171" s="35">
        <f>IFERROR(__xludf.DUMMYFUNCTION("""COMPUTED_VALUE"""),1448.0)</f>
        <v>1448</v>
      </c>
      <c r="D171" s="1" t="str">
        <f>IFERROR(__xludf.DUMMYFUNCTION("""COMPUTED_VALUE"""),"LYD")</f>
        <v>LYD</v>
      </c>
      <c r="E171" s="1" t="str">
        <f>IFERROR(__xludf.DUMMYFUNCTION("""COMPUTED_VALUE"""),"Money Out")</f>
        <v>Money Out</v>
      </c>
      <c r="F171" s="1" t="str">
        <f>IFERROR(__xludf.DUMMYFUNCTION("""COMPUTED_VALUE"""),"Product Restocking")</f>
        <v>Product Restocking</v>
      </c>
      <c r="G171" s="1"/>
      <c r="H171" s="1"/>
    </row>
    <row r="172">
      <c r="A172" s="36">
        <f>IFERROR(__xludf.DUMMYFUNCTION("""COMPUTED_VALUE"""),45757.0)</f>
        <v>45757</v>
      </c>
      <c r="B172" s="1" t="str">
        <f>IFERROR(__xludf.DUMMYFUNCTION("""COMPUTED_VALUE"""),"Snacky")</f>
        <v>Snacky</v>
      </c>
      <c r="C172" s="35">
        <f>IFERROR(__xludf.DUMMYFUNCTION("""COMPUTED_VALUE"""),895.0)</f>
        <v>895</v>
      </c>
      <c r="D172" s="1" t="str">
        <f>IFERROR(__xludf.DUMMYFUNCTION("""COMPUTED_VALUE"""),"LYD")</f>
        <v>LYD</v>
      </c>
      <c r="E172" s="1" t="str">
        <f>IFERROR(__xludf.DUMMYFUNCTION("""COMPUTED_VALUE"""),"Money Out")</f>
        <v>Money Out</v>
      </c>
      <c r="F172" s="1" t="str">
        <f>IFERROR(__xludf.DUMMYFUNCTION("""COMPUTED_VALUE"""),"Product Restocking")</f>
        <v>Product Restocking</v>
      </c>
      <c r="G172" s="1"/>
      <c r="H172" s="1"/>
    </row>
    <row r="173">
      <c r="A173" s="36">
        <f>IFERROR(__xludf.DUMMYFUNCTION("""COMPUTED_VALUE"""),45758.0)</f>
        <v>45758</v>
      </c>
      <c r="B173" s="1" t="str">
        <f>IFERROR(__xludf.DUMMYFUNCTION("""COMPUTED_VALUE"""),"Snacky")</f>
        <v>Snacky</v>
      </c>
      <c r="C173" s="35">
        <f>IFERROR(__xludf.DUMMYFUNCTION("""COMPUTED_VALUE"""),2188.0)</f>
        <v>2188</v>
      </c>
      <c r="D173" s="1" t="str">
        <f>IFERROR(__xludf.DUMMYFUNCTION("""COMPUTED_VALUE"""),"LYD")</f>
        <v>LYD</v>
      </c>
      <c r="E173" s="1" t="str">
        <f>IFERROR(__xludf.DUMMYFUNCTION("""COMPUTED_VALUE"""),"Money In")</f>
        <v>Money In</v>
      </c>
      <c r="F173" s="1" t="str">
        <f>IFERROR(__xludf.DUMMYFUNCTION("""COMPUTED_VALUE"""),"Revenue")</f>
        <v>Revenue</v>
      </c>
      <c r="G173" s="1" t="str">
        <f>IFERROR(__xludf.DUMMYFUNCTION("""COMPUTED_VALUE"""),"deplomacyMall")</f>
        <v>deplomacyMall</v>
      </c>
      <c r="H173" s="1"/>
    </row>
    <row r="174">
      <c r="A174" s="36">
        <f>IFERROR(__xludf.DUMMYFUNCTION("""COMPUTED_VALUE"""),45759.0)</f>
        <v>45759</v>
      </c>
      <c r="B174" s="1" t="str">
        <f>IFERROR(__xludf.DUMMYFUNCTION("""COMPUTED_VALUE"""),"Snacky")</f>
        <v>Snacky</v>
      </c>
      <c r="C174" s="35">
        <f>IFERROR(__xludf.DUMMYFUNCTION("""COMPUTED_VALUE"""),550.0)</f>
        <v>550</v>
      </c>
      <c r="D174" s="1" t="str">
        <f>IFERROR(__xludf.DUMMYFUNCTION("""COMPUTED_VALUE"""),"LYD")</f>
        <v>LYD</v>
      </c>
      <c r="E174" s="1" t="str">
        <f>IFERROR(__xludf.DUMMYFUNCTION("""COMPUTED_VALUE"""),"Money In")</f>
        <v>Money In</v>
      </c>
      <c r="F174" s="1"/>
      <c r="G174" s="1"/>
      <c r="H174" s="1" t="str">
        <f>IFERROR(__xludf.DUMMYFUNCTION("""COMPUTED_VALUE"""),"تعديل ميزانيه")</f>
        <v>تعديل ميزانيه</v>
      </c>
    </row>
    <row r="175">
      <c r="A175" s="36">
        <f>IFERROR(__xludf.DUMMYFUNCTION("""COMPUTED_VALUE"""),45759.0)</f>
        <v>45759</v>
      </c>
      <c r="B175" s="1" t="str">
        <f>IFERROR(__xludf.DUMMYFUNCTION("""COMPUTED_VALUE"""),"Snacky")</f>
        <v>Snacky</v>
      </c>
      <c r="C175" s="35">
        <f>IFERROR(__xludf.DUMMYFUNCTION("""COMPUTED_VALUE"""),1650.0)</f>
        <v>1650</v>
      </c>
      <c r="D175" s="1" t="str">
        <f>IFERROR(__xludf.DUMMYFUNCTION("""COMPUTED_VALUE"""),"LYD")</f>
        <v>LYD</v>
      </c>
      <c r="E175" s="1" t="str">
        <f>IFERROR(__xludf.DUMMYFUNCTION("""COMPUTED_VALUE"""),"Money Out")</f>
        <v>Money Out</v>
      </c>
      <c r="F175" s="1" t="str">
        <f>IFERROR(__xludf.DUMMYFUNCTION("""COMPUTED_VALUE"""),"Product Restocking")</f>
        <v>Product Restocking</v>
      </c>
      <c r="G175" s="1"/>
      <c r="H175" s="1"/>
    </row>
    <row r="176">
      <c r="A176" s="36">
        <f>IFERROR(__xludf.DUMMYFUNCTION("""COMPUTED_VALUE"""),45763.0)</f>
        <v>45763</v>
      </c>
      <c r="B176" s="1" t="str">
        <f>IFERROR(__xludf.DUMMYFUNCTION("""COMPUTED_VALUE"""),"Snacky")</f>
        <v>Snacky</v>
      </c>
      <c r="C176" s="35">
        <f>IFERROR(__xludf.DUMMYFUNCTION("""COMPUTED_VALUE"""),800.0)</f>
        <v>800</v>
      </c>
      <c r="D176" s="1" t="str">
        <f>IFERROR(__xludf.DUMMYFUNCTION("""COMPUTED_VALUE"""),"LYD")</f>
        <v>LYD</v>
      </c>
      <c r="E176" s="1" t="str">
        <f>IFERROR(__xludf.DUMMYFUNCTION("""COMPUTED_VALUE"""),"Money Out")</f>
        <v>Money Out</v>
      </c>
      <c r="F176" s="1" t="str">
        <f>IFERROR(__xludf.DUMMYFUNCTION("""COMPUTED_VALUE"""),"charity")</f>
        <v>charity</v>
      </c>
      <c r="G176" s="1"/>
      <c r="H176" s="1"/>
    </row>
    <row r="177">
      <c r="A177" s="36">
        <f>IFERROR(__xludf.DUMMYFUNCTION("""COMPUTED_VALUE"""),45764.0)</f>
        <v>45764</v>
      </c>
      <c r="B177" s="1" t="str">
        <f>IFERROR(__xludf.DUMMYFUNCTION("""COMPUTED_VALUE"""),"Snacky")</f>
        <v>Snacky</v>
      </c>
      <c r="C177" s="35">
        <f>IFERROR(__xludf.DUMMYFUNCTION("""COMPUTED_VALUE"""),1363.0)</f>
        <v>1363</v>
      </c>
      <c r="D177" s="1" t="str">
        <f>IFERROR(__xludf.DUMMYFUNCTION("""COMPUTED_VALUE"""),"LYD")</f>
        <v>LYD</v>
      </c>
      <c r="E177" s="1" t="str">
        <f>IFERROR(__xludf.DUMMYFUNCTION("""COMPUTED_VALUE"""),"Money Out")</f>
        <v>Money Out</v>
      </c>
      <c r="F177" s="1" t="str">
        <f>IFERROR(__xludf.DUMMYFUNCTION("""COMPUTED_VALUE"""),"Product Restocking")</f>
        <v>Product Restocking</v>
      </c>
      <c r="G177" s="1"/>
      <c r="H177" s="1"/>
    </row>
    <row r="178">
      <c r="A178" s="36">
        <f>IFERROR(__xludf.DUMMYFUNCTION("""COMPUTED_VALUE"""),45766.0)</f>
        <v>45766</v>
      </c>
      <c r="B178" s="1" t="str">
        <f>IFERROR(__xludf.DUMMYFUNCTION("""COMPUTED_VALUE"""),"Snacky")</f>
        <v>Snacky</v>
      </c>
      <c r="C178" s="35">
        <f>IFERROR(__xludf.DUMMYFUNCTION("""COMPUTED_VALUE"""),2748.0)</f>
        <v>2748</v>
      </c>
      <c r="D178" s="1" t="str">
        <f>IFERROR(__xludf.DUMMYFUNCTION("""COMPUTED_VALUE"""),"LYD")</f>
        <v>LYD</v>
      </c>
      <c r="E178" s="1" t="str">
        <f>IFERROR(__xludf.DUMMYFUNCTION("""COMPUTED_VALUE"""),"Money In")</f>
        <v>Money In</v>
      </c>
      <c r="F178" s="1" t="str">
        <f>IFERROR(__xludf.DUMMYFUNCTION("""COMPUTED_VALUE"""),"Revenue")</f>
        <v>Revenue</v>
      </c>
      <c r="G178" s="1" t="str">
        <f>IFERROR(__xludf.DUMMYFUNCTION("""COMPUTED_VALUE"""),"deplomacyMall")</f>
        <v>deplomacyMall</v>
      </c>
      <c r="H178" s="1"/>
    </row>
    <row r="179">
      <c r="A179" s="36">
        <f>IFERROR(__xludf.DUMMYFUNCTION("""COMPUTED_VALUE"""),45766.0)</f>
        <v>45766</v>
      </c>
      <c r="B179" s="1" t="str">
        <f>IFERROR(__xludf.DUMMYFUNCTION("""COMPUTED_VALUE"""),"Snacky")</f>
        <v>Snacky</v>
      </c>
      <c r="C179" s="35">
        <f>IFERROR(__xludf.DUMMYFUNCTION("""COMPUTED_VALUE"""),532.0)</f>
        <v>532</v>
      </c>
      <c r="D179" s="1" t="str">
        <f>IFERROR(__xludf.DUMMYFUNCTION("""COMPUTED_VALUE"""),"LYD")</f>
        <v>LYD</v>
      </c>
      <c r="E179" s="1" t="str">
        <f>IFERROR(__xludf.DUMMYFUNCTION("""COMPUTED_VALUE"""),"Money Out")</f>
        <v>Money Out</v>
      </c>
      <c r="F179" s="1" t="str">
        <f>IFERROR(__xludf.DUMMYFUNCTION("""COMPUTED_VALUE"""),"Product Restocking")</f>
        <v>Product Restocking</v>
      </c>
      <c r="G179" s="1"/>
      <c r="H179" s="1"/>
    </row>
    <row r="180">
      <c r="A180" s="36">
        <f>IFERROR(__xludf.DUMMYFUNCTION("""COMPUTED_VALUE"""),45768.0)</f>
        <v>45768</v>
      </c>
      <c r="B180" s="1" t="str">
        <f>IFERROR(__xludf.DUMMYFUNCTION("""COMPUTED_VALUE"""),"Snacky")</f>
        <v>Snacky</v>
      </c>
      <c r="C180" s="35">
        <f>IFERROR(__xludf.DUMMYFUNCTION("""COMPUTED_VALUE"""),532.0)</f>
        <v>532</v>
      </c>
      <c r="D180" s="1" t="str">
        <f>IFERROR(__xludf.DUMMYFUNCTION("""COMPUTED_VALUE"""),"LYD")</f>
        <v>LYD</v>
      </c>
      <c r="E180" s="1" t="str">
        <f>IFERROR(__xludf.DUMMYFUNCTION("""COMPUTED_VALUE"""),"Money Out")</f>
        <v>Money Out</v>
      </c>
      <c r="F180" s="1" t="str">
        <f>IFERROR(__xludf.DUMMYFUNCTION("""COMPUTED_VALUE"""),"Product Restocking")</f>
        <v>Product Restocking</v>
      </c>
      <c r="G180" s="1"/>
      <c r="H180" s="1"/>
    </row>
    <row r="181">
      <c r="A181" s="36">
        <f>IFERROR(__xludf.DUMMYFUNCTION("""COMPUTED_VALUE"""),45770.0)</f>
        <v>45770</v>
      </c>
      <c r="B181" s="1" t="str">
        <f>IFERROR(__xludf.DUMMYFUNCTION("""COMPUTED_VALUE"""),"Snacky")</f>
        <v>Snacky</v>
      </c>
      <c r="C181" s="35">
        <f>IFERROR(__xludf.DUMMYFUNCTION("""COMPUTED_VALUE"""),1430.0)</f>
        <v>1430</v>
      </c>
      <c r="D181" s="1" t="str">
        <f>IFERROR(__xludf.DUMMYFUNCTION("""COMPUTED_VALUE"""),"LYD")</f>
        <v>LYD</v>
      </c>
      <c r="E181" s="1" t="str">
        <f>IFERROR(__xludf.DUMMYFUNCTION("""COMPUTED_VALUE"""),"Money Out")</f>
        <v>Money Out</v>
      </c>
      <c r="F181" s="1" t="str">
        <f>IFERROR(__xludf.DUMMYFUNCTION("""COMPUTED_VALUE"""),"Product Restocking")</f>
        <v>Product Restocking</v>
      </c>
      <c r="G181" s="1"/>
      <c r="H181" s="1"/>
    </row>
    <row r="182">
      <c r="A182" s="36">
        <f>IFERROR(__xludf.DUMMYFUNCTION("""COMPUTED_VALUE"""),45770.0)</f>
        <v>45770</v>
      </c>
      <c r="B182" s="1" t="str">
        <f>IFERROR(__xludf.DUMMYFUNCTION("""COMPUTED_VALUE"""),"Snacky")</f>
        <v>Snacky</v>
      </c>
      <c r="C182" s="35">
        <f>IFERROR(__xludf.DUMMYFUNCTION("""COMPUTED_VALUE"""),2495.0)</f>
        <v>2495</v>
      </c>
      <c r="D182" s="1" t="str">
        <f>IFERROR(__xludf.DUMMYFUNCTION("""COMPUTED_VALUE"""),"LYD")</f>
        <v>LYD</v>
      </c>
      <c r="E182" s="1" t="str">
        <f>IFERROR(__xludf.DUMMYFUNCTION("""COMPUTED_VALUE"""),"Money In")</f>
        <v>Money In</v>
      </c>
      <c r="F182" s="1" t="str">
        <f>IFERROR(__xludf.DUMMYFUNCTION("""COMPUTED_VALUE"""),"Revenue")</f>
        <v>Revenue</v>
      </c>
      <c r="G182" s="1" t="str">
        <f>IFERROR(__xludf.DUMMYFUNCTION("""COMPUTED_VALUE"""),"deplomacyMall")</f>
        <v>deplomacyMall</v>
      </c>
      <c r="H182" s="1"/>
    </row>
    <row r="183">
      <c r="A183" s="36">
        <f>IFERROR(__xludf.DUMMYFUNCTION("""COMPUTED_VALUE"""),45771.0)</f>
        <v>45771</v>
      </c>
      <c r="B183" s="1" t="str">
        <f>IFERROR(__xludf.DUMMYFUNCTION("""COMPUTED_VALUE"""),"Snacky")</f>
        <v>Snacky</v>
      </c>
      <c r="C183" s="35">
        <f>IFERROR(__xludf.DUMMYFUNCTION("""COMPUTED_VALUE"""),40.0)</f>
        <v>40</v>
      </c>
      <c r="D183" s="1" t="str">
        <f>IFERROR(__xludf.DUMMYFUNCTION("""COMPUTED_VALUE"""),"LYD")</f>
        <v>LYD</v>
      </c>
      <c r="E183" s="1" t="str">
        <f>IFERROR(__xludf.DUMMYFUNCTION("""COMPUTED_VALUE"""),"Money Out")</f>
        <v>Money Out</v>
      </c>
      <c r="F183" s="1" t="str">
        <f>IFERROR(__xludf.DUMMYFUNCTION("""COMPUTED_VALUE""")," Anas")</f>
        <v> Anas</v>
      </c>
      <c r="G183" s="1"/>
      <c r="H183" s="1"/>
    </row>
    <row r="184">
      <c r="A184" s="36">
        <f>IFERROR(__xludf.DUMMYFUNCTION("""COMPUTED_VALUE"""),45773.0)</f>
        <v>45773</v>
      </c>
      <c r="B184" s="1" t="str">
        <f>IFERROR(__xludf.DUMMYFUNCTION("""COMPUTED_VALUE"""),"Snacky")</f>
        <v>Snacky</v>
      </c>
      <c r="C184" s="35">
        <f>IFERROR(__xludf.DUMMYFUNCTION("""COMPUTED_VALUE"""),788.0)</f>
        <v>788</v>
      </c>
      <c r="D184" s="1" t="str">
        <f>IFERROR(__xludf.DUMMYFUNCTION("""COMPUTED_VALUE"""),"LYD")</f>
        <v>LYD</v>
      </c>
      <c r="E184" s="1" t="str">
        <f>IFERROR(__xludf.DUMMYFUNCTION("""COMPUTED_VALUE"""),"Money Out")</f>
        <v>Money Out</v>
      </c>
      <c r="F184" s="1" t="str">
        <f>IFERROR(__xludf.DUMMYFUNCTION("""COMPUTED_VALUE"""),"Product Restocking")</f>
        <v>Product Restocking</v>
      </c>
      <c r="G184" s="1"/>
      <c r="H184" s="1"/>
    </row>
    <row r="185">
      <c r="A185" s="36">
        <f>IFERROR(__xludf.DUMMYFUNCTION("""COMPUTED_VALUE"""),45777.0)</f>
        <v>45777</v>
      </c>
      <c r="B185" s="1" t="str">
        <f>IFERROR(__xludf.DUMMYFUNCTION("""COMPUTED_VALUE"""),"Snacky")</f>
        <v>Snacky</v>
      </c>
      <c r="C185" s="35">
        <f>IFERROR(__xludf.DUMMYFUNCTION("""COMPUTED_VALUE"""),2706.0)</f>
        <v>2706</v>
      </c>
      <c r="D185" s="1" t="str">
        <f>IFERROR(__xludf.DUMMYFUNCTION("""COMPUTED_VALUE"""),"LYD")</f>
        <v>LYD</v>
      </c>
      <c r="E185" s="1" t="str">
        <f>IFERROR(__xludf.DUMMYFUNCTION("""COMPUTED_VALUE"""),"Money In")</f>
        <v>Money In</v>
      </c>
      <c r="F185" s="1" t="str">
        <f>IFERROR(__xludf.DUMMYFUNCTION("""COMPUTED_VALUE"""),"Revenue")</f>
        <v>Revenue</v>
      </c>
      <c r="G185" s="1" t="str">
        <f>IFERROR(__xludf.DUMMYFUNCTION("""COMPUTED_VALUE"""),"deplomacyMall")</f>
        <v>deplomacyMall</v>
      </c>
      <c r="H185" s="1"/>
    </row>
    <row r="186">
      <c r="A186" s="36">
        <f>IFERROR(__xludf.DUMMYFUNCTION("""COMPUTED_VALUE"""),45777.0)</f>
        <v>45777</v>
      </c>
      <c r="B186" s="1" t="str">
        <f>IFERROR(__xludf.DUMMYFUNCTION("""COMPUTED_VALUE"""),"Snacky")</f>
        <v>Snacky</v>
      </c>
      <c r="C186" s="35">
        <f>IFERROR(__xludf.DUMMYFUNCTION("""COMPUTED_VALUE"""),553.0)</f>
        <v>553</v>
      </c>
      <c r="D186" s="1" t="str">
        <f>IFERROR(__xludf.DUMMYFUNCTION("""COMPUTED_VALUE"""),"LYD")</f>
        <v>LYD</v>
      </c>
      <c r="E186" s="1" t="str">
        <f>IFERROR(__xludf.DUMMYFUNCTION("""COMPUTED_VALUE"""),"Money Out")</f>
        <v>Money Out</v>
      </c>
      <c r="F186" s="1" t="str">
        <f>IFERROR(__xludf.DUMMYFUNCTION("""COMPUTED_VALUE"""),"Product Restocking")</f>
        <v>Product Restocking</v>
      </c>
      <c r="G186" s="1"/>
      <c r="H186" s="1"/>
    </row>
    <row r="187">
      <c r="A187" s="36">
        <f>IFERROR(__xludf.DUMMYFUNCTION("""COMPUTED_VALUE"""),45777.0)</f>
        <v>45777</v>
      </c>
      <c r="B187" s="1" t="str">
        <f>IFERROR(__xludf.DUMMYFUNCTION("""COMPUTED_VALUE"""),"Snacky")</f>
        <v>Snacky</v>
      </c>
      <c r="C187" s="35">
        <f>IFERROR(__xludf.DUMMYFUNCTION("""COMPUTED_VALUE"""),1500.0)</f>
        <v>1500</v>
      </c>
      <c r="D187" s="1" t="str">
        <f>IFERROR(__xludf.DUMMYFUNCTION("""COMPUTED_VALUE"""),"LYD")</f>
        <v>LYD</v>
      </c>
      <c r="E187" s="1" t="str">
        <f>IFERROR(__xludf.DUMMYFUNCTION("""COMPUTED_VALUE"""),"Money In")</f>
        <v>Money In</v>
      </c>
      <c r="F187" s="1" t="str">
        <f>IFERROR(__xludf.DUMMYFUNCTION("""COMPUTED_VALUE"""),"ads")</f>
        <v>ads</v>
      </c>
      <c r="G187" s="1"/>
      <c r="H187" s="1" t="str">
        <f>IFERROR(__xludf.DUMMYFUNCTION("""COMPUTED_VALUE"""),"نصف قيمة التاني دعايه توربو تلاته اشهر")</f>
        <v>نصف قيمة التاني دعايه توربو تلاته اشهر</v>
      </c>
    </row>
    <row r="188">
      <c r="A188" s="36">
        <f>IFERROR(__xludf.DUMMYFUNCTION("""COMPUTED_VALUE"""),45780.0)</f>
        <v>45780</v>
      </c>
      <c r="B188" s="1" t="str">
        <f>IFERROR(__xludf.DUMMYFUNCTION("""COMPUTED_VALUE"""),"Snacky")</f>
        <v>Snacky</v>
      </c>
      <c r="C188" s="35">
        <f>IFERROR(__xludf.DUMMYFUNCTION("""COMPUTED_VALUE"""),761.0)</f>
        <v>761</v>
      </c>
      <c r="D188" s="1" t="str">
        <f>IFERROR(__xludf.DUMMYFUNCTION("""COMPUTED_VALUE"""),"LYD")</f>
        <v>LYD</v>
      </c>
      <c r="E188" s="1" t="str">
        <f>IFERROR(__xludf.DUMMYFUNCTION("""COMPUTED_VALUE"""),"Money Out")</f>
        <v>Money Out</v>
      </c>
      <c r="F188" s="1" t="str">
        <f>IFERROR(__xludf.DUMMYFUNCTION("""COMPUTED_VALUE"""),"Product Restocking")</f>
        <v>Product Restocking</v>
      </c>
      <c r="G188" s="1"/>
      <c r="H188" s="1"/>
    </row>
    <row r="189">
      <c r="A189" s="36">
        <f>IFERROR(__xludf.DUMMYFUNCTION("""COMPUTED_VALUE"""),45781.0)</f>
        <v>45781</v>
      </c>
      <c r="B189" s="1" t="str">
        <f>IFERROR(__xludf.DUMMYFUNCTION("""COMPUTED_VALUE"""),"Snacky")</f>
        <v>Snacky</v>
      </c>
      <c r="C189" s="35">
        <f>IFERROR(__xludf.DUMMYFUNCTION("""COMPUTED_VALUE"""),50.0)</f>
        <v>50</v>
      </c>
      <c r="D189" s="1" t="str">
        <f>IFERROR(__xludf.DUMMYFUNCTION("""COMPUTED_VALUE"""),"LYD")</f>
        <v>LYD</v>
      </c>
      <c r="E189" s="1" t="str">
        <f>IFERROR(__xludf.DUMMYFUNCTION("""COMPUTED_VALUE"""),"Money Out")</f>
        <v>Money Out</v>
      </c>
      <c r="F189" s="1" t="str">
        <f>IFERROR(__xludf.DUMMYFUNCTION("""COMPUTED_VALUE"""),"Doaa")</f>
        <v>Doaa</v>
      </c>
      <c r="G189" s="1"/>
      <c r="H189" s="1"/>
    </row>
    <row r="190">
      <c r="A190" s="36">
        <f>IFERROR(__xludf.DUMMYFUNCTION("""COMPUTED_VALUE"""),45781.0)</f>
        <v>45781</v>
      </c>
      <c r="B190" s="1" t="str">
        <f>IFERROR(__xludf.DUMMYFUNCTION("""COMPUTED_VALUE"""),"Snacky")</f>
        <v>Snacky</v>
      </c>
      <c r="C190" s="35">
        <f>IFERROR(__xludf.DUMMYFUNCTION("""COMPUTED_VALUE"""),300.0)</f>
        <v>300</v>
      </c>
      <c r="D190" s="1" t="str">
        <f>IFERROR(__xludf.DUMMYFUNCTION("""COMPUTED_VALUE"""),"LYD")</f>
        <v>LYD</v>
      </c>
      <c r="E190" s="1" t="str">
        <f>IFERROR(__xludf.DUMMYFUNCTION("""COMPUTED_VALUE"""),"Money Out")</f>
        <v>Money Out</v>
      </c>
      <c r="F190" s="1"/>
      <c r="G190" s="1"/>
      <c r="H190" s="1"/>
    </row>
    <row r="191">
      <c r="A191" s="36">
        <f>IFERROR(__xludf.DUMMYFUNCTION("""COMPUTED_VALUE"""),45785.0)</f>
        <v>45785</v>
      </c>
      <c r="B191" s="1" t="str">
        <f>IFERROR(__xludf.DUMMYFUNCTION("""COMPUTED_VALUE"""),"Snacky")</f>
        <v>Snacky</v>
      </c>
      <c r="C191" s="35">
        <f>IFERROR(__xludf.DUMMYFUNCTION("""COMPUTED_VALUE"""),673.0)</f>
        <v>673</v>
      </c>
      <c r="D191" s="1" t="str">
        <f>IFERROR(__xludf.DUMMYFUNCTION("""COMPUTED_VALUE"""),"LYD")</f>
        <v>LYD</v>
      </c>
      <c r="E191" s="1" t="str">
        <f>IFERROR(__xludf.DUMMYFUNCTION("""COMPUTED_VALUE"""),"Money Out")</f>
        <v>Money Out</v>
      </c>
      <c r="F191" s="1" t="str">
        <f>IFERROR(__xludf.DUMMYFUNCTION("""COMPUTED_VALUE"""),"Product Restocking")</f>
        <v>Product Restocking</v>
      </c>
      <c r="G191" s="1"/>
      <c r="H191" s="1"/>
    </row>
    <row r="192">
      <c r="A192" s="36">
        <f>IFERROR(__xludf.DUMMYFUNCTION("""COMPUTED_VALUE"""),45786.0)</f>
        <v>45786</v>
      </c>
      <c r="B192" s="1" t="str">
        <f>IFERROR(__xludf.DUMMYFUNCTION("""COMPUTED_VALUE"""),"Snacky")</f>
        <v>Snacky</v>
      </c>
      <c r="C192" s="35">
        <f>IFERROR(__xludf.DUMMYFUNCTION("""COMPUTED_VALUE"""),3063.0)</f>
        <v>3063</v>
      </c>
      <c r="D192" s="1" t="str">
        <f>IFERROR(__xludf.DUMMYFUNCTION("""COMPUTED_VALUE"""),"LYD")</f>
        <v>LYD</v>
      </c>
      <c r="E192" s="1" t="str">
        <f>IFERROR(__xludf.DUMMYFUNCTION("""COMPUTED_VALUE"""),"Money In")</f>
        <v>Money In</v>
      </c>
      <c r="F192" s="1" t="str">
        <f>IFERROR(__xludf.DUMMYFUNCTION("""COMPUTED_VALUE"""),"Revenue")</f>
        <v>Revenue</v>
      </c>
      <c r="G192" s="1" t="str">
        <f>IFERROR(__xludf.DUMMYFUNCTION("""COMPUTED_VALUE"""),"deplomacyMall")</f>
        <v>deplomacyMall</v>
      </c>
      <c r="H192" s="1"/>
    </row>
    <row r="193">
      <c r="A193" s="36">
        <f>IFERROR(__xludf.DUMMYFUNCTION("""COMPUTED_VALUE"""),45794.0)</f>
        <v>45794</v>
      </c>
      <c r="B193" s="1" t="str">
        <f>IFERROR(__xludf.DUMMYFUNCTION("""COMPUTED_VALUE"""),"Anas")</f>
        <v>Anas</v>
      </c>
      <c r="C193" s="35">
        <f>IFERROR(__xludf.DUMMYFUNCTION("""COMPUTED_VALUE"""),4000.0)</f>
        <v>4000</v>
      </c>
      <c r="D193" s="1" t="str">
        <f>IFERROR(__xludf.DUMMYFUNCTION("""COMPUTED_VALUE"""),"LYD")</f>
        <v>LYD</v>
      </c>
      <c r="E193" s="1" t="str">
        <f>IFERROR(__xludf.DUMMYFUNCTION("""COMPUTED_VALUE"""),"Money Out")</f>
        <v>Money Out</v>
      </c>
      <c r="F193" s="1" t="str">
        <f>IFERROR(__xludf.DUMMYFUNCTION("""COMPUTED_VALUE"""),"to snacky")</f>
        <v>to snacky</v>
      </c>
      <c r="G193" s="1"/>
      <c r="H193" s="1"/>
    </row>
    <row r="194">
      <c r="A194" s="36">
        <f>IFERROR(__xludf.DUMMYFUNCTION("""COMPUTED_VALUE"""),45794.0)</f>
        <v>45794</v>
      </c>
      <c r="B194" s="1" t="str">
        <f>IFERROR(__xludf.DUMMYFUNCTION("""COMPUTED_VALUE"""),"Snacky")</f>
        <v>Snacky</v>
      </c>
      <c r="C194" s="35">
        <f>IFERROR(__xludf.DUMMYFUNCTION("""COMPUTED_VALUE"""),4000.0)</f>
        <v>4000</v>
      </c>
      <c r="D194" s="1" t="str">
        <f>IFERROR(__xludf.DUMMYFUNCTION("""COMPUTED_VALUE"""),"LYD")</f>
        <v>LYD</v>
      </c>
      <c r="E194" s="1" t="str">
        <f>IFERROR(__xludf.DUMMYFUNCTION("""COMPUTED_VALUE"""),"Money In")</f>
        <v>Money In</v>
      </c>
      <c r="F194" s="1"/>
      <c r="G194" s="1"/>
      <c r="H194" s="1"/>
    </row>
    <row r="195">
      <c r="A195" s="36">
        <f>IFERROR(__xludf.DUMMYFUNCTION("""COMPUTED_VALUE"""),45794.0)</f>
        <v>45794</v>
      </c>
      <c r="B195" s="1" t="str">
        <f>IFERROR(__xludf.DUMMYFUNCTION("""COMPUTED_VALUE"""),"Snacky")</f>
        <v>Snacky</v>
      </c>
      <c r="C195" s="35">
        <f>IFERROR(__xludf.DUMMYFUNCTION("""COMPUTED_VALUE"""),6400.0)</f>
        <v>6400</v>
      </c>
      <c r="D195" s="1" t="str">
        <f>IFERROR(__xludf.DUMMYFUNCTION("""COMPUTED_VALUE"""),"LYD")</f>
        <v>LYD</v>
      </c>
      <c r="E195" s="1" t="str">
        <f>IFERROR(__xludf.DUMMYFUNCTION("""COMPUTED_VALUE"""),"Money Out")</f>
        <v>Money Out</v>
      </c>
      <c r="F195" s="1" t="str">
        <f>IFERROR(__xludf.DUMMYFUNCTION("""COMPUTED_VALUE"""),"shipping")</f>
        <v>shipping</v>
      </c>
      <c r="G195" s="1"/>
      <c r="H195" s="1" t="str">
        <f>IFERROR(__xludf.DUMMYFUNCTION("""COMPUTED_VALUE"""),"تخليص الشحن مكينتين")</f>
        <v>تخليص الشحن مكينتين</v>
      </c>
    </row>
    <row r="196">
      <c r="A196" s="36">
        <f>IFERROR(__xludf.DUMMYFUNCTION("""COMPUTED_VALUE"""),45794.0)</f>
        <v>45794</v>
      </c>
      <c r="B196" s="1" t="str">
        <f>IFERROR(__xludf.DUMMYFUNCTION("""COMPUTED_VALUE"""),"Snacky")</f>
        <v>Snacky</v>
      </c>
      <c r="C196" s="35">
        <f>IFERROR(__xludf.DUMMYFUNCTION("""COMPUTED_VALUE"""),600.0)</f>
        <v>600</v>
      </c>
      <c r="D196" s="1" t="str">
        <f>IFERROR(__xludf.DUMMYFUNCTION("""COMPUTED_VALUE"""),"LYD")</f>
        <v>LYD</v>
      </c>
      <c r="E196" s="1" t="str">
        <f>IFERROR(__xludf.DUMMYFUNCTION("""COMPUTED_VALUE"""),"Money Out")</f>
        <v>Money Out</v>
      </c>
      <c r="F196" s="1" t="str">
        <f>IFERROR(__xludf.DUMMYFUNCTION("""COMPUTED_VALUE"""),"Anas")</f>
        <v>Anas</v>
      </c>
      <c r="G196" s="1"/>
      <c r="H196" s="1"/>
    </row>
    <row r="197">
      <c r="A197" s="36">
        <f>IFERROR(__xludf.DUMMYFUNCTION("""COMPUTED_VALUE"""),45794.0)</f>
        <v>45794</v>
      </c>
      <c r="B197" s="1" t="str">
        <f>IFERROR(__xludf.DUMMYFUNCTION("""COMPUTED_VALUE"""),"Anas")</f>
        <v>Anas</v>
      </c>
      <c r="C197" s="35">
        <f>IFERROR(__xludf.DUMMYFUNCTION("""COMPUTED_VALUE"""),600.0)</f>
        <v>600</v>
      </c>
      <c r="D197" s="1" t="str">
        <f>IFERROR(__xludf.DUMMYFUNCTION("""COMPUTED_VALUE"""),"LYD")</f>
        <v>LYD</v>
      </c>
      <c r="E197" s="1" t="str">
        <f>IFERROR(__xludf.DUMMYFUNCTION("""COMPUTED_VALUE"""),"Money In")</f>
        <v>Money In</v>
      </c>
      <c r="F197" s="1" t="str">
        <f>IFERROR(__xludf.DUMMYFUNCTION("""COMPUTED_VALUE"""),"from snacky")</f>
        <v>from snacky</v>
      </c>
      <c r="G197" s="1"/>
      <c r="H197" s="1"/>
    </row>
    <row r="198">
      <c r="A198" s="36">
        <f>IFERROR(__xludf.DUMMYFUNCTION("""COMPUTED_VALUE"""),45796.0)</f>
        <v>45796</v>
      </c>
      <c r="B198" s="1" t="str">
        <f>IFERROR(__xludf.DUMMYFUNCTION("""COMPUTED_VALUE"""),"Snacky")</f>
        <v>Snacky</v>
      </c>
      <c r="C198" s="35">
        <f>IFERROR(__xludf.DUMMYFUNCTION("""COMPUTED_VALUE"""),1766.0)</f>
        <v>1766</v>
      </c>
      <c r="D198" s="1" t="str">
        <f>IFERROR(__xludf.DUMMYFUNCTION("""COMPUTED_VALUE"""),"LYD")</f>
        <v>LYD</v>
      </c>
      <c r="E198" s="1" t="str">
        <f>IFERROR(__xludf.DUMMYFUNCTION("""COMPUTED_VALUE"""),"Money In")</f>
        <v>Money In</v>
      </c>
      <c r="F198" s="1" t="str">
        <f>IFERROR(__xludf.DUMMYFUNCTION("""COMPUTED_VALUE"""),"Revenue")</f>
        <v>Revenue</v>
      </c>
      <c r="G198" s="1" t="str">
        <f>IFERROR(__xludf.DUMMYFUNCTION("""COMPUTED_VALUE"""),"deplomacyMall")</f>
        <v>deplomacyMall</v>
      </c>
      <c r="H198" s="1"/>
    </row>
    <row r="199">
      <c r="A199" s="36">
        <f>IFERROR(__xludf.DUMMYFUNCTION("""COMPUTED_VALUE"""),45796.0)</f>
        <v>45796</v>
      </c>
      <c r="B199" s="1" t="str">
        <f>IFERROR(__xludf.DUMMYFUNCTION("""COMPUTED_VALUE"""),"Snacky")</f>
        <v>Snacky</v>
      </c>
      <c r="C199" s="35">
        <f>IFERROR(__xludf.DUMMYFUNCTION("""COMPUTED_VALUE"""),1000.0)</f>
        <v>1000</v>
      </c>
      <c r="D199" s="1" t="str">
        <f>IFERROR(__xludf.DUMMYFUNCTION("""COMPUTED_VALUE"""),"LYD")</f>
        <v>LYD</v>
      </c>
      <c r="E199" s="1" t="str">
        <f>IFERROR(__xludf.DUMMYFUNCTION("""COMPUTED_VALUE"""),"Money Out")</f>
        <v>Money Out</v>
      </c>
      <c r="F199" s="1" t="str">
        <f>IFERROR(__xludf.DUMMYFUNCTION("""COMPUTED_VALUE"""),"Product Restocking")</f>
        <v>Product Restocking</v>
      </c>
      <c r="G199" s="1"/>
      <c r="H199" s="1"/>
    </row>
    <row r="200">
      <c r="A200" s="36">
        <f>IFERROR(__xludf.DUMMYFUNCTION("""COMPUTED_VALUE"""),45797.0)</f>
        <v>45797</v>
      </c>
      <c r="B200" s="1" t="str">
        <f>IFERROR(__xludf.DUMMYFUNCTION("""COMPUTED_VALUE"""),"Snacky")</f>
        <v>Snacky</v>
      </c>
      <c r="C200" s="35">
        <f>IFERROR(__xludf.DUMMYFUNCTION("""COMPUTED_VALUE"""),318.0)</f>
        <v>318</v>
      </c>
      <c r="D200" s="1" t="str">
        <f>IFERROR(__xludf.DUMMYFUNCTION("""COMPUTED_VALUE"""),"LYD")</f>
        <v>LYD</v>
      </c>
      <c r="E200" s="1" t="str">
        <f>IFERROR(__xludf.DUMMYFUNCTION("""COMPUTED_VALUE"""),"Money Out")</f>
        <v>Money Out</v>
      </c>
      <c r="F200" s="1" t="str">
        <f>IFERROR(__xludf.DUMMYFUNCTION("""COMPUTED_VALUE"""),"Product Restocking")</f>
        <v>Product Restocking</v>
      </c>
      <c r="G200" s="1"/>
      <c r="H200" s="1"/>
    </row>
    <row r="201">
      <c r="A201" s="36">
        <f>IFERROR(__xludf.DUMMYFUNCTION("""COMPUTED_VALUE"""),45804.0)</f>
        <v>45804</v>
      </c>
      <c r="B201" s="1" t="str">
        <f>IFERROR(__xludf.DUMMYFUNCTION("""COMPUTED_VALUE"""),"Snacky")</f>
        <v>Snacky</v>
      </c>
      <c r="C201" s="35">
        <f>IFERROR(__xludf.DUMMYFUNCTION("""COMPUTED_VALUE"""),350.0)</f>
        <v>350</v>
      </c>
      <c r="D201" s="1" t="str">
        <f>IFERROR(__xludf.DUMMYFUNCTION("""COMPUTED_VALUE"""),"LYD")</f>
        <v>LYD</v>
      </c>
      <c r="E201" s="1" t="str">
        <f>IFERROR(__xludf.DUMMYFUNCTION("""COMPUTED_VALUE"""),"Money Out")</f>
        <v>Money Out</v>
      </c>
      <c r="F201" s="1" t="str">
        <f>IFERROR(__xludf.DUMMYFUNCTION("""COMPUTED_VALUE"""),"Product Restocking")</f>
        <v>Product Restocking</v>
      </c>
      <c r="G201" s="1"/>
      <c r="H201" s="1"/>
    </row>
    <row r="202">
      <c r="A202" s="36">
        <f>IFERROR(__xludf.DUMMYFUNCTION("""COMPUTED_VALUE"""),45805.0)</f>
        <v>45805</v>
      </c>
      <c r="B202" s="1" t="str">
        <f>IFERROR(__xludf.DUMMYFUNCTION("""COMPUTED_VALUE"""),"Snacky")</f>
        <v>Snacky</v>
      </c>
      <c r="C202" s="35">
        <f>IFERROR(__xludf.DUMMYFUNCTION("""COMPUTED_VALUE"""),49.0)</f>
        <v>49</v>
      </c>
      <c r="D202" s="1" t="str">
        <f>IFERROR(__xludf.DUMMYFUNCTION("""COMPUTED_VALUE"""),"LYD")</f>
        <v>LYD</v>
      </c>
      <c r="E202" s="1" t="str">
        <f>IFERROR(__xludf.DUMMYFUNCTION("""COMPUTED_VALUE"""),"Money Out")</f>
        <v>Money Out</v>
      </c>
      <c r="F202" s="1" t="str">
        <f>IFERROR(__xludf.DUMMYFUNCTION("""COMPUTED_VALUE"""),"Product Restocking")</f>
        <v>Product Restocking</v>
      </c>
      <c r="G202" s="1"/>
      <c r="H202" s="1"/>
    </row>
    <row r="203">
      <c r="A203" s="36">
        <f>IFERROR(__xludf.DUMMYFUNCTION("""COMPUTED_VALUE"""),45806.0)</f>
        <v>45806</v>
      </c>
      <c r="B203" s="1" t="str">
        <f>IFERROR(__xludf.DUMMYFUNCTION("""COMPUTED_VALUE"""),"Snacky")</f>
        <v>Snacky</v>
      </c>
      <c r="C203" s="35">
        <f>IFERROR(__xludf.DUMMYFUNCTION("""COMPUTED_VALUE"""),1086.0)</f>
        <v>1086</v>
      </c>
      <c r="D203" s="1" t="str">
        <f>IFERROR(__xludf.DUMMYFUNCTION("""COMPUTED_VALUE"""),"LYD")</f>
        <v>LYD</v>
      </c>
      <c r="E203" s="1" t="str">
        <f>IFERROR(__xludf.DUMMYFUNCTION("""COMPUTED_VALUE"""),"Money Out")</f>
        <v>Money Out</v>
      </c>
      <c r="F203" s="1" t="str">
        <f>IFERROR(__xludf.DUMMYFUNCTION("""COMPUTED_VALUE"""),"Product Restocking")</f>
        <v>Product Restocking</v>
      </c>
      <c r="G203" s="1"/>
      <c r="H203" s="1"/>
    </row>
    <row r="204">
      <c r="A204" s="36">
        <f>IFERROR(__xludf.DUMMYFUNCTION("""COMPUTED_VALUE"""),45806.0)</f>
        <v>45806</v>
      </c>
      <c r="B204" s="1" t="str">
        <f>IFERROR(__xludf.DUMMYFUNCTION("""COMPUTED_VALUE"""),"Snacky")</f>
        <v>Snacky</v>
      </c>
      <c r="C204" s="35">
        <f>IFERROR(__xludf.DUMMYFUNCTION("""COMPUTED_VALUE"""),5400.0)</f>
        <v>5400</v>
      </c>
      <c r="D204" s="1" t="str">
        <f>IFERROR(__xludf.DUMMYFUNCTION("""COMPUTED_VALUE"""),"LYD")</f>
        <v>LYD</v>
      </c>
      <c r="E204" s="1" t="str">
        <f>IFERROR(__xludf.DUMMYFUNCTION("""COMPUTED_VALUE"""),"Money Out")</f>
        <v>Money Out</v>
      </c>
      <c r="F204" s="1" t="str">
        <f>IFERROR(__xludf.DUMMYFUNCTION("""COMPUTED_VALUE"""),"Rent")</f>
        <v>Rent</v>
      </c>
      <c r="G204" s="1" t="str">
        <f>IFERROR(__xludf.DUMMYFUNCTION("""COMPUTED_VALUE"""),"HTMall")</f>
        <v>HTMall</v>
      </c>
      <c r="H204" s="1" t="str">
        <f>IFERROR(__xludf.DUMMYFUNCTION("""COMPUTED_VALUE"""),"ايجار سته شهور مقدم HTmall")</f>
        <v>ايجار سته شهور مقدم HTmall</v>
      </c>
    </row>
    <row r="205">
      <c r="A205" s="36">
        <f>IFERROR(__xludf.DUMMYFUNCTION("""COMPUTED_VALUE"""),45807.0)</f>
        <v>45807</v>
      </c>
      <c r="B205" s="1" t="str">
        <f>IFERROR(__xludf.DUMMYFUNCTION("""COMPUTED_VALUE"""),"Snacky")</f>
        <v>Snacky</v>
      </c>
      <c r="C205" s="35">
        <f>IFERROR(__xludf.DUMMYFUNCTION("""COMPUTED_VALUE"""),88.0)</f>
        <v>88</v>
      </c>
      <c r="D205" s="1" t="str">
        <f>IFERROR(__xludf.DUMMYFUNCTION("""COMPUTED_VALUE"""),"LYD")</f>
        <v>LYD</v>
      </c>
      <c r="E205" s="1" t="str">
        <f>IFERROR(__xludf.DUMMYFUNCTION("""COMPUTED_VALUE"""),"Money Out")</f>
        <v>Money Out</v>
      </c>
      <c r="F205" s="1" t="str">
        <f>IFERROR(__xludf.DUMMYFUNCTION("""COMPUTED_VALUE"""),"Product Restocking")</f>
        <v>Product Restocking</v>
      </c>
      <c r="G205" s="1"/>
      <c r="H205" s="1"/>
    </row>
    <row r="206">
      <c r="A206" s="36">
        <f>IFERROR(__xludf.DUMMYFUNCTION("""COMPUTED_VALUE"""),45808.0)</f>
        <v>45808</v>
      </c>
      <c r="B206" s="1" t="str">
        <f>IFERROR(__xludf.DUMMYFUNCTION("""COMPUTED_VALUE"""),"Snacky")</f>
        <v>Snacky</v>
      </c>
      <c r="C206" s="35">
        <f>IFERROR(__xludf.DUMMYFUNCTION("""COMPUTED_VALUE"""),333.0)</f>
        <v>333</v>
      </c>
      <c r="D206" s="1" t="str">
        <f>IFERROR(__xludf.DUMMYFUNCTION("""COMPUTED_VALUE"""),"LYD")</f>
        <v>LYD</v>
      </c>
      <c r="E206" s="1" t="str">
        <f>IFERROR(__xludf.DUMMYFUNCTION("""COMPUTED_VALUE"""),"Money Out")</f>
        <v>Money Out</v>
      </c>
      <c r="F206" s="1" t="str">
        <f>IFERROR(__xludf.DUMMYFUNCTION("""COMPUTED_VALUE"""),"Product Restocking")</f>
        <v>Product Restocking</v>
      </c>
      <c r="G206" s="1"/>
      <c r="H206" s="1"/>
    </row>
    <row r="207">
      <c r="A207" s="36">
        <f>IFERROR(__xludf.DUMMYFUNCTION("""COMPUTED_VALUE"""),45808.0)</f>
        <v>45808</v>
      </c>
      <c r="B207" s="1" t="str">
        <f>IFERROR(__xludf.DUMMYFUNCTION("""COMPUTED_VALUE"""),"Snacky")</f>
        <v>Snacky</v>
      </c>
      <c r="C207" s="35">
        <f>IFERROR(__xludf.DUMMYFUNCTION("""COMPUTED_VALUE"""),2440.0)</f>
        <v>2440</v>
      </c>
      <c r="D207" s="1" t="str">
        <f>IFERROR(__xludf.DUMMYFUNCTION("""COMPUTED_VALUE"""),"LYD")</f>
        <v>LYD</v>
      </c>
      <c r="E207" s="1" t="str">
        <f>IFERROR(__xludf.DUMMYFUNCTION("""COMPUTED_VALUE"""),"Money In")</f>
        <v>Money In</v>
      </c>
      <c r="F207" s="1" t="str">
        <f>IFERROR(__xludf.DUMMYFUNCTION("""COMPUTED_VALUE"""),"Revenue")</f>
        <v>Revenue</v>
      </c>
      <c r="G207" s="1" t="str">
        <f>IFERROR(__xludf.DUMMYFUNCTION("""COMPUTED_VALUE"""),"deplomacyMall")</f>
        <v>deplomacyMall</v>
      </c>
      <c r="H207" s="1"/>
    </row>
    <row r="208">
      <c r="A208" s="36">
        <f>IFERROR(__xludf.DUMMYFUNCTION("""COMPUTED_VALUE"""),45808.0)</f>
        <v>45808</v>
      </c>
      <c r="B208" s="1" t="str">
        <f>IFERROR(__xludf.DUMMYFUNCTION("""COMPUTED_VALUE"""),"Snacky")</f>
        <v>Snacky</v>
      </c>
      <c r="C208" s="35">
        <f>IFERROR(__xludf.DUMMYFUNCTION("""COMPUTED_VALUE"""),1157.0)</f>
        <v>1157</v>
      </c>
      <c r="D208" s="1" t="str">
        <f>IFERROR(__xludf.DUMMYFUNCTION("""COMPUTED_VALUE"""),"LYD")</f>
        <v>LYD</v>
      </c>
      <c r="E208" s="1" t="str">
        <f>IFERROR(__xludf.DUMMYFUNCTION("""COMPUTED_VALUE"""),"Money In")</f>
        <v>Money In</v>
      </c>
      <c r="F208" s="1" t="str">
        <f>IFERROR(__xludf.DUMMYFUNCTION("""COMPUTED_VALUE"""),"Revenue")</f>
        <v>Revenue</v>
      </c>
      <c r="G208" s="1" t="str">
        <f>IFERROR(__xludf.DUMMYFUNCTION("""COMPUTED_VALUE"""),"HTMall")</f>
        <v>HTMall</v>
      </c>
      <c r="H208" s="1"/>
    </row>
    <row r="209">
      <c r="A209" s="36">
        <f>IFERROR(__xludf.DUMMYFUNCTION("""COMPUTED_VALUE"""),45809.0)</f>
        <v>45809</v>
      </c>
      <c r="B209" s="1" t="str">
        <f>IFERROR(__xludf.DUMMYFUNCTION("""COMPUTED_VALUE"""),"Snacky")</f>
        <v>Snacky</v>
      </c>
      <c r="C209" s="35">
        <f>IFERROR(__xludf.DUMMYFUNCTION("""COMPUTED_VALUE"""),3000.0)</f>
        <v>3000</v>
      </c>
      <c r="D209" s="1" t="str">
        <f>IFERROR(__xludf.DUMMYFUNCTION("""COMPUTED_VALUE"""),"LYD")</f>
        <v>LYD</v>
      </c>
      <c r="E209" s="1" t="str">
        <f>IFERROR(__xludf.DUMMYFUNCTION("""COMPUTED_VALUE"""),"Money In")</f>
        <v>Money In</v>
      </c>
      <c r="F209" s="1" t="str">
        <f>IFERROR(__xludf.DUMMYFUNCTION("""COMPUTED_VALUE"""),"ads")</f>
        <v>ads</v>
      </c>
      <c r="G209" s="1" t="str">
        <f>IFERROR(__xludf.DUMMYFUNCTION("""COMPUTED_VALUE"""),"deplomacyMall")</f>
        <v>deplomacyMall</v>
      </c>
      <c r="H209" s="1" t="str">
        <f>IFERROR(__xludf.DUMMYFUNCTION("""COMPUTED_VALUE"""),"دعايه توربو تلاته اشهر ")</f>
        <v>دعايه توربو تلاته اشهر </v>
      </c>
    </row>
    <row r="210">
      <c r="A210" s="36">
        <f>IFERROR(__xludf.DUMMYFUNCTION("""COMPUTED_VALUE"""),45810.0)</f>
        <v>45810</v>
      </c>
      <c r="B210" s="1" t="str">
        <f>IFERROR(__xludf.DUMMYFUNCTION("""COMPUTED_VALUE"""),"Snacky")</f>
        <v>Snacky</v>
      </c>
      <c r="C210" s="35">
        <f>IFERROR(__xludf.DUMMYFUNCTION("""COMPUTED_VALUE"""),1220.0)</f>
        <v>1220</v>
      </c>
      <c r="D210" s="1" t="str">
        <f>IFERROR(__xludf.DUMMYFUNCTION("""COMPUTED_VALUE"""),"LYD")</f>
        <v>LYD</v>
      </c>
      <c r="E210" s="1" t="str">
        <f>IFERROR(__xludf.DUMMYFUNCTION("""COMPUTED_VALUE"""),"Money Out")</f>
        <v>Money Out</v>
      </c>
      <c r="F210" s="1" t="str">
        <f>IFERROR(__xludf.DUMMYFUNCTION("""COMPUTED_VALUE"""),"Product Restocking")</f>
        <v>Product Restocking</v>
      </c>
      <c r="G210" s="1"/>
      <c r="H210" s="1"/>
    </row>
    <row r="211">
      <c r="A211" s="36">
        <f>IFERROR(__xludf.DUMMYFUNCTION("""COMPUTED_VALUE"""),45812.0)</f>
        <v>45812</v>
      </c>
      <c r="B211" s="1" t="str">
        <f>IFERROR(__xludf.DUMMYFUNCTION("""COMPUTED_VALUE"""),"Snacky")</f>
        <v>Snacky</v>
      </c>
      <c r="C211" s="35">
        <f>IFERROR(__xludf.DUMMYFUNCTION("""COMPUTED_VALUE"""),1771.0)</f>
        <v>1771</v>
      </c>
      <c r="D211" s="1" t="str">
        <f>IFERROR(__xludf.DUMMYFUNCTION("""COMPUTED_VALUE"""),"LYD")</f>
        <v>LYD</v>
      </c>
      <c r="E211" s="1" t="str">
        <f>IFERROR(__xludf.DUMMYFUNCTION("""COMPUTED_VALUE"""),"Money Out")</f>
        <v>Money Out</v>
      </c>
      <c r="F211" s="1" t="str">
        <f>IFERROR(__xludf.DUMMYFUNCTION("""COMPUTED_VALUE"""),"Product Restocking")</f>
        <v>Product Restocking</v>
      </c>
      <c r="G211" s="1"/>
      <c r="H211" s="1"/>
    </row>
    <row r="212">
      <c r="A212" s="36">
        <f>IFERROR(__xludf.DUMMYFUNCTION("""COMPUTED_VALUE"""),45813.0)</f>
        <v>45813</v>
      </c>
      <c r="B212" s="1" t="str">
        <f>IFERROR(__xludf.DUMMYFUNCTION("""COMPUTED_VALUE"""),"Snacky")</f>
        <v>Snacky</v>
      </c>
      <c r="C212" s="35">
        <f>IFERROR(__xludf.DUMMYFUNCTION("""COMPUTED_VALUE"""),1535.0)</f>
        <v>1535</v>
      </c>
      <c r="D212" s="1" t="str">
        <f>IFERROR(__xludf.DUMMYFUNCTION("""COMPUTED_VALUE"""),"LYD")</f>
        <v>LYD</v>
      </c>
      <c r="E212" s="1" t="str">
        <f>IFERROR(__xludf.DUMMYFUNCTION("""COMPUTED_VALUE"""),"Money In")</f>
        <v>Money In</v>
      </c>
      <c r="F212" s="1" t="str">
        <f>IFERROR(__xludf.DUMMYFUNCTION("""COMPUTED_VALUE"""),"Revenue")</f>
        <v>Revenue</v>
      </c>
      <c r="G212" s="1" t="str">
        <f>IFERROR(__xludf.DUMMYFUNCTION("""COMPUTED_VALUE"""),"HTMall")</f>
        <v>HTMall</v>
      </c>
      <c r="H212" s="1"/>
    </row>
    <row r="213">
      <c r="A213" s="36">
        <f>IFERROR(__xludf.DUMMYFUNCTION("""COMPUTED_VALUE"""),45818.0)</f>
        <v>45818</v>
      </c>
      <c r="B213" s="1" t="str">
        <f>IFERROR(__xludf.DUMMYFUNCTION("""COMPUTED_VALUE"""),"Snacky")</f>
        <v>Snacky</v>
      </c>
      <c r="C213" s="35">
        <f>IFERROR(__xludf.DUMMYFUNCTION("""COMPUTED_VALUE"""),681.0)</f>
        <v>681</v>
      </c>
      <c r="D213" s="1" t="str">
        <f>IFERROR(__xludf.DUMMYFUNCTION("""COMPUTED_VALUE"""),"LYD")</f>
        <v>LYD</v>
      </c>
      <c r="E213" s="1" t="str">
        <f>IFERROR(__xludf.DUMMYFUNCTION("""COMPUTED_VALUE"""),"Money Out")</f>
        <v>Money Out</v>
      </c>
      <c r="F213" s="1" t="str">
        <f>IFERROR(__xludf.DUMMYFUNCTION("""COMPUTED_VALUE"""),"Product Restocking")</f>
        <v>Product Restocking</v>
      </c>
      <c r="G213" s="1"/>
      <c r="H213" s="1"/>
    </row>
    <row r="214">
      <c r="A214" s="36">
        <f>IFERROR(__xludf.DUMMYFUNCTION("""COMPUTED_VALUE"""),45819.0)</f>
        <v>45819</v>
      </c>
      <c r="B214" s="1" t="str">
        <f>IFERROR(__xludf.DUMMYFUNCTION("""COMPUTED_VALUE"""),"Snacky")</f>
        <v>Snacky</v>
      </c>
      <c r="C214" s="35">
        <f>IFERROR(__xludf.DUMMYFUNCTION("""COMPUTED_VALUE"""),398.0)</f>
        <v>398</v>
      </c>
      <c r="D214" s="1" t="str">
        <f>IFERROR(__xludf.DUMMYFUNCTION("""COMPUTED_VALUE"""),"LYD")</f>
        <v>LYD</v>
      </c>
      <c r="E214" s="1" t="str">
        <f>IFERROR(__xludf.DUMMYFUNCTION("""COMPUTED_VALUE"""),"Money Out")</f>
        <v>Money Out</v>
      </c>
      <c r="F214" s="1" t="str">
        <f>IFERROR(__xludf.DUMMYFUNCTION("""COMPUTED_VALUE"""),"Product Restocking")</f>
        <v>Product Restocking</v>
      </c>
      <c r="G214" s="1"/>
      <c r="H214" s="1"/>
    </row>
    <row r="215">
      <c r="A215" s="36">
        <f>IFERROR(__xludf.DUMMYFUNCTION("""COMPUTED_VALUE"""),45820.0)</f>
        <v>45820</v>
      </c>
      <c r="B215" s="1" t="str">
        <f>IFERROR(__xludf.DUMMYFUNCTION("""COMPUTED_VALUE"""),"Snacky")</f>
        <v>Snacky</v>
      </c>
      <c r="C215" s="35">
        <f>IFERROR(__xludf.DUMMYFUNCTION("""COMPUTED_VALUE"""),702.0)</f>
        <v>702</v>
      </c>
      <c r="D215" s="1" t="str">
        <f>IFERROR(__xludf.DUMMYFUNCTION("""COMPUTED_VALUE"""),"LYD")</f>
        <v>LYD</v>
      </c>
      <c r="E215" s="1" t="str">
        <f>IFERROR(__xludf.DUMMYFUNCTION("""COMPUTED_VALUE"""),"Money Out")</f>
        <v>Money Out</v>
      </c>
      <c r="F215" s="1" t="str">
        <f>IFERROR(__xludf.DUMMYFUNCTION("""COMPUTED_VALUE"""),"Product Restocking")</f>
        <v>Product Restocking</v>
      </c>
      <c r="G215" s="1"/>
      <c r="H215" s="1"/>
    </row>
    <row r="216">
      <c r="A216" s="36">
        <f>IFERROR(__xludf.DUMMYFUNCTION("""COMPUTED_VALUE"""),45821.0)</f>
        <v>45821</v>
      </c>
      <c r="B216" s="1" t="str">
        <f>IFERROR(__xludf.DUMMYFUNCTION("""COMPUTED_VALUE"""),"Snacky")</f>
        <v>Snacky</v>
      </c>
      <c r="C216" s="35">
        <f>IFERROR(__xludf.DUMMYFUNCTION("""COMPUTED_VALUE"""),1303.0)</f>
        <v>1303</v>
      </c>
      <c r="D216" s="1" t="str">
        <f>IFERROR(__xludf.DUMMYFUNCTION("""COMPUTED_VALUE"""),"LYD")</f>
        <v>LYD</v>
      </c>
      <c r="E216" s="1" t="str">
        <f>IFERROR(__xludf.DUMMYFUNCTION("""COMPUTED_VALUE"""),"Money In")</f>
        <v>Money In</v>
      </c>
      <c r="F216" s="1" t="str">
        <f>IFERROR(__xludf.DUMMYFUNCTION("""COMPUTED_VALUE"""),"Revenue")</f>
        <v>Revenue</v>
      </c>
      <c r="G216" s="1" t="str">
        <f>IFERROR(__xludf.DUMMYFUNCTION("""COMPUTED_VALUE"""),"HappyLand")</f>
        <v>HappyLand</v>
      </c>
      <c r="H216" s="1"/>
    </row>
    <row r="217">
      <c r="A217" s="36">
        <f>IFERROR(__xludf.DUMMYFUNCTION("""COMPUTED_VALUE"""),45821.0)</f>
        <v>45821</v>
      </c>
      <c r="B217" s="1" t="str">
        <f>IFERROR(__xludf.DUMMYFUNCTION("""COMPUTED_VALUE"""),"Snacky")</f>
        <v>Snacky</v>
      </c>
      <c r="C217" s="35">
        <f>IFERROR(__xludf.DUMMYFUNCTION("""COMPUTED_VALUE"""),2397.0)</f>
        <v>2397</v>
      </c>
      <c r="D217" s="1" t="str">
        <f>IFERROR(__xludf.DUMMYFUNCTION("""COMPUTED_VALUE"""),"LYD")</f>
        <v>LYD</v>
      </c>
      <c r="E217" s="1" t="str">
        <f>IFERROR(__xludf.DUMMYFUNCTION("""COMPUTED_VALUE"""),"Money In")</f>
        <v>Money In</v>
      </c>
      <c r="F217" s="1" t="str">
        <f>IFERROR(__xludf.DUMMYFUNCTION("""COMPUTED_VALUE"""),"Revenue")</f>
        <v>Revenue</v>
      </c>
      <c r="G217" s="1" t="str">
        <f>IFERROR(__xludf.DUMMYFUNCTION("""COMPUTED_VALUE"""),"deplomacyMall")</f>
        <v>deplomacyMall</v>
      </c>
      <c r="H217" s="1"/>
    </row>
    <row r="218">
      <c r="A218" s="36">
        <f>IFERROR(__xludf.DUMMYFUNCTION("""COMPUTED_VALUE"""),45821.0)</f>
        <v>45821</v>
      </c>
      <c r="B218" s="1" t="str">
        <f>IFERROR(__xludf.DUMMYFUNCTION("""COMPUTED_VALUE"""),"Snacky")</f>
        <v>Snacky</v>
      </c>
      <c r="C218" s="35">
        <f>IFERROR(__xludf.DUMMYFUNCTION("""COMPUTED_VALUE"""),3130.0)</f>
        <v>3130</v>
      </c>
      <c r="D218" s="1" t="str">
        <f>IFERROR(__xludf.DUMMYFUNCTION("""COMPUTED_VALUE"""),"LYD")</f>
        <v>LYD</v>
      </c>
      <c r="E218" s="1" t="str">
        <f>IFERROR(__xludf.DUMMYFUNCTION("""COMPUTED_VALUE"""),"Money In")</f>
        <v>Money In</v>
      </c>
      <c r="F218" s="1" t="str">
        <f>IFERROR(__xludf.DUMMYFUNCTION("""COMPUTED_VALUE"""),"Revenue")</f>
        <v>Revenue</v>
      </c>
      <c r="G218" s="1" t="str">
        <f>IFERROR(__xludf.DUMMYFUNCTION("""COMPUTED_VALUE"""),"HTMall")</f>
        <v>HTMall</v>
      </c>
      <c r="H218" s="1"/>
    </row>
    <row r="219">
      <c r="A219" s="36">
        <f>IFERROR(__xludf.DUMMYFUNCTION("""COMPUTED_VALUE"""),45822.0)</f>
        <v>45822</v>
      </c>
      <c r="B219" s="1" t="str">
        <f>IFERROR(__xludf.DUMMYFUNCTION("""COMPUTED_VALUE"""),"Snacky")</f>
        <v>Snacky</v>
      </c>
      <c r="C219" s="35">
        <f>IFERROR(__xludf.DUMMYFUNCTION("""COMPUTED_VALUE"""),250.0)</f>
        <v>250</v>
      </c>
      <c r="D219" s="1" t="str">
        <f>IFERROR(__xludf.DUMMYFUNCTION("""COMPUTED_VALUE"""),"LYD")</f>
        <v>LYD</v>
      </c>
      <c r="E219" s="1" t="str">
        <f>IFERROR(__xludf.DUMMYFUNCTION("""COMPUTED_VALUE"""),"Money Out")</f>
        <v>Money Out</v>
      </c>
      <c r="F219" s="1" t="str">
        <f>IFERROR(__xludf.DUMMYFUNCTION("""COMPUTED_VALUE"""),"Rent")</f>
        <v>Rent</v>
      </c>
      <c r="G219" s="1" t="str">
        <f>IFERROR(__xludf.DUMMYFUNCTION("""COMPUTED_VALUE"""),"deplomacyMall")</f>
        <v>deplomacyMall</v>
      </c>
      <c r="H219" s="1"/>
    </row>
    <row r="220">
      <c r="A220" s="36">
        <f>IFERROR(__xludf.DUMMYFUNCTION("""COMPUTED_VALUE"""),45822.0)</f>
        <v>45822</v>
      </c>
      <c r="B220" s="1" t="str">
        <f>IFERROR(__xludf.DUMMYFUNCTION("""COMPUTED_VALUE"""),"Snacky")</f>
        <v>Snacky</v>
      </c>
      <c r="C220" s="35">
        <f>IFERROR(__xludf.DUMMYFUNCTION("""COMPUTED_VALUE"""),900.0)</f>
        <v>900</v>
      </c>
      <c r="D220" s="1" t="str">
        <f>IFERROR(__xludf.DUMMYFUNCTION("""COMPUTED_VALUE"""),"LYD")</f>
        <v>LYD</v>
      </c>
      <c r="E220" s="1" t="str">
        <f>IFERROR(__xludf.DUMMYFUNCTION("""COMPUTED_VALUE"""),"Money Out")</f>
        <v>Money Out</v>
      </c>
      <c r="F220" s="1" t="str">
        <f>IFERROR(__xludf.DUMMYFUNCTION("""COMPUTED_VALUE"""),"Rent")</f>
        <v>Rent</v>
      </c>
      <c r="G220" s="1" t="str">
        <f>IFERROR(__xludf.DUMMYFUNCTION("""COMPUTED_VALUE"""),"HappyLand")</f>
        <v>HappyLand</v>
      </c>
      <c r="H220" s="1"/>
    </row>
    <row r="221">
      <c r="A221" s="36">
        <f>IFERROR(__xludf.DUMMYFUNCTION("""COMPUTED_VALUE"""),45822.0)</f>
        <v>45822</v>
      </c>
      <c r="B221" s="1" t="str">
        <f>IFERROR(__xludf.DUMMYFUNCTION("""COMPUTED_VALUE"""),"Snacky")</f>
        <v>Snacky</v>
      </c>
      <c r="C221" s="35">
        <f>IFERROR(__xludf.DUMMYFUNCTION("""COMPUTED_VALUE"""),420.0)</f>
        <v>420</v>
      </c>
      <c r="D221" s="1" t="str">
        <f>IFERROR(__xludf.DUMMYFUNCTION("""COMPUTED_VALUE"""),"LYD")</f>
        <v>LYD</v>
      </c>
      <c r="E221" s="1" t="str">
        <f>IFERROR(__xludf.DUMMYFUNCTION("""COMPUTED_VALUE"""),"Money Out")</f>
        <v>Money Out</v>
      </c>
      <c r="F221" s="1" t="str">
        <f>IFERROR(__xludf.DUMMYFUNCTION("""COMPUTED_VALUE"""),"charity")</f>
        <v>charity</v>
      </c>
      <c r="G221" s="1"/>
      <c r="H221" s="1"/>
    </row>
    <row r="222">
      <c r="A222" s="36">
        <f>IFERROR(__xludf.DUMMYFUNCTION("""COMPUTED_VALUE"""),45822.0)</f>
        <v>45822</v>
      </c>
      <c r="B222" s="1" t="str">
        <f>IFERROR(__xludf.DUMMYFUNCTION("""COMPUTED_VALUE"""),"Snacky")</f>
        <v>Snacky</v>
      </c>
      <c r="C222" s="35">
        <f>IFERROR(__xludf.DUMMYFUNCTION("""COMPUTED_VALUE"""),1100.0)</f>
        <v>1100</v>
      </c>
      <c r="D222" s="1" t="str">
        <f>IFERROR(__xludf.DUMMYFUNCTION("""COMPUTED_VALUE"""),"LYD")</f>
        <v>LYD</v>
      </c>
      <c r="E222" s="1" t="str">
        <f>IFERROR(__xludf.DUMMYFUNCTION("""COMPUTED_VALUE"""),"Money Out")</f>
        <v>Money Out</v>
      </c>
      <c r="F222" s="1" t="str">
        <f>IFERROR(__xludf.DUMMYFUNCTION("""COMPUTED_VALUE"""),"Product Restocking")</f>
        <v>Product Restocking</v>
      </c>
      <c r="G222" s="1"/>
      <c r="H222" s="1"/>
    </row>
    <row r="223">
      <c r="A223" s="36">
        <f>IFERROR(__xludf.DUMMYFUNCTION("""COMPUTED_VALUE"""),45759.0)</f>
        <v>45759</v>
      </c>
      <c r="B223" s="1" t="str">
        <f>IFERROR(__xludf.DUMMYFUNCTION("""COMPUTED_VALUE"""),"Snacky")</f>
        <v>Snacky</v>
      </c>
      <c r="C223" s="35">
        <f>IFERROR(__xludf.DUMMYFUNCTION("""COMPUTED_VALUE"""),550.0)</f>
        <v>550</v>
      </c>
      <c r="D223" s="1" t="str">
        <f>IFERROR(__xludf.DUMMYFUNCTION("""COMPUTED_VALUE"""),"LYD")</f>
        <v>LYD</v>
      </c>
      <c r="E223" s="1" t="str">
        <f>IFERROR(__xludf.DUMMYFUNCTION("""COMPUTED_VALUE"""),"Money Out")</f>
        <v>Money Out</v>
      </c>
      <c r="F223" s="1"/>
      <c r="G223" s="1"/>
      <c r="H223" s="1" t="str">
        <f>IFERROR(__xludf.DUMMYFUNCTION("""COMPUTED_VALUE"""),"تعديل ميزانيه")</f>
        <v>تعديل ميزانيه</v>
      </c>
    </row>
    <row r="224">
      <c r="A224" s="36">
        <f>IFERROR(__xludf.DUMMYFUNCTION("""COMPUTED_VALUE"""),45824.0)</f>
        <v>45824</v>
      </c>
      <c r="B224" s="1" t="str">
        <f>IFERROR(__xludf.DUMMYFUNCTION("""COMPUTED_VALUE"""),"Snacky")</f>
        <v>Snacky</v>
      </c>
      <c r="C224" s="35">
        <f>IFERROR(__xludf.DUMMYFUNCTION("""COMPUTED_VALUE"""),924.0)</f>
        <v>924</v>
      </c>
      <c r="D224" s="1" t="str">
        <f>IFERROR(__xludf.DUMMYFUNCTION("""COMPUTED_VALUE"""),"LYD")</f>
        <v>LYD</v>
      </c>
      <c r="E224" s="1" t="str">
        <f>IFERROR(__xludf.DUMMYFUNCTION("""COMPUTED_VALUE"""),"Money Out")</f>
        <v>Money Out</v>
      </c>
      <c r="F224" s="1" t="str">
        <f>IFERROR(__xludf.DUMMYFUNCTION("""COMPUTED_VALUE"""),"Product Restocking")</f>
        <v>Product Restocking</v>
      </c>
      <c r="G224" s="1"/>
      <c r="H224" s="1"/>
    </row>
    <row r="225">
      <c r="A225" s="36">
        <f>IFERROR(__xludf.DUMMYFUNCTION("""COMPUTED_VALUE"""),45824.0)</f>
        <v>45824</v>
      </c>
      <c r="B225" s="1" t="str">
        <f>IFERROR(__xludf.DUMMYFUNCTION("""COMPUTED_VALUE"""),"Snacky")</f>
        <v>Snacky</v>
      </c>
      <c r="C225" s="35">
        <f>IFERROR(__xludf.DUMMYFUNCTION("""COMPUTED_VALUE"""),1200.0)</f>
        <v>1200</v>
      </c>
      <c r="D225" s="1" t="str">
        <f>IFERROR(__xludf.DUMMYFUNCTION("""COMPUTED_VALUE"""),"LYD")</f>
        <v>LYD</v>
      </c>
      <c r="E225" s="1" t="str">
        <f>IFERROR(__xludf.DUMMYFUNCTION("""COMPUTED_VALUE"""),"Money In")</f>
        <v>Money In</v>
      </c>
      <c r="F225" s="1" t="str">
        <f>IFERROR(__xludf.DUMMYFUNCTION("""COMPUTED_VALUE"""),"Revenue")</f>
        <v>Revenue</v>
      </c>
      <c r="G225" s="1" t="str">
        <f>IFERROR(__xludf.DUMMYFUNCTION("""COMPUTED_VALUE"""),"HappyLand")</f>
        <v>HappyLand</v>
      </c>
      <c r="H225" s="1"/>
    </row>
    <row r="226">
      <c r="A226" s="36">
        <f>IFERROR(__xludf.DUMMYFUNCTION("""COMPUTED_VALUE"""),45825.0)</f>
        <v>45825</v>
      </c>
      <c r="B226" s="1" t="str">
        <f>IFERROR(__xludf.DUMMYFUNCTION("""COMPUTED_VALUE"""),"Snacky")</f>
        <v>Snacky</v>
      </c>
      <c r="C226" s="35">
        <f>IFERROR(__xludf.DUMMYFUNCTION("""COMPUTED_VALUE"""),513.0)</f>
        <v>513</v>
      </c>
      <c r="D226" s="1" t="str">
        <f>IFERROR(__xludf.DUMMYFUNCTION("""COMPUTED_VALUE"""),"LYD")</f>
        <v>LYD</v>
      </c>
      <c r="E226" s="1" t="str">
        <f>IFERROR(__xludf.DUMMYFUNCTION("""COMPUTED_VALUE"""),"Money Out")</f>
        <v>Money Out</v>
      </c>
      <c r="F226" s="1" t="str">
        <f>IFERROR(__xludf.DUMMYFUNCTION("""COMPUTED_VALUE"""),"Product Restocking")</f>
        <v>Product Restocking</v>
      </c>
      <c r="G226" s="1"/>
      <c r="H226" s="1"/>
    </row>
    <row r="227">
      <c r="A227" s="36">
        <f>IFERROR(__xludf.DUMMYFUNCTION("""COMPUTED_VALUE"""),45826.0)</f>
        <v>45826</v>
      </c>
      <c r="B227" s="1" t="str">
        <f>IFERROR(__xludf.DUMMYFUNCTION("""COMPUTED_VALUE"""),"Snacky")</f>
        <v>Snacky</v>
      </c>
      <c r="C227" s="35">
        <f>IFERROR(__xludf.DUMMYFUNCTION("""COMPUTED_VALUE"""),801.0)</f>
        <v>801</v>
      </c>
      <c r="D227" s="1" t="str">
        <f>IFERROR(__xludf.DUMMYFUNCTION("""COMPUTED_VALUE"""),"LYD")</f>
        <v>LYD</v>
      </c>
      <c r="E227" s="1" t="str">
        <f>IFERROR(__xludf.DUMMYFUNCTION("""COMPUTED_VALUE"""),"Money Out")</f>
        <v>Money Out</v>
      </c>
      <c r="F227" s="1" t="str">
        <f>IFERROR(__xludf.DUMMYFUNCTION("""COMPUTED_VALUE"""),"Product Restocking")</f>
        <v>Product Restocking</v>
      </c>
      <c r="G227" s="1"/>
      <c r="H227" s="1"/>
    </row>
    <row r="228">
      <c r="A228" s="36">
        <f>IFERROR(__xludf.DUMMYFUNCTION("""COMPUTED_VALUE"""),45827.0)</f>
        <v>45827</v>
      </c>
      <c r="B228" s="1" t="str">
        <f>IFERROR(__xludf.DUMMYFUNCTION("""COMPUTED_VALUE"""),"Snacky")</f>
        <v>Snacky</v>
      </c>
      <c r="C228" s="35">
        <f>IFERROR(__xludf.DUMMYFUNCTION("""COMPUTED_VALUE"""),896.0)</f>
        <v>896</v>
      </c>
      <c r="D228" s="1" t="str">
        <f>IFERROR(__xludf.DUMMYFUNCTION("""COMPUTED_VALUE"""),"LYD")</f>
        <v>LYD</v>
      </c>
      <c r="E228" s="1" t="str">
        <f>IFERROR(__xludf.DUMMYFUNCTION("""COMPUTED_VALUE"""),"Money Out")</f>
        <v>Money Out</v>
      </c>
      <c r="F228" s="1" t="str">
        <f>IFERROR(__xludf.DUMMYFUNCTION("""COMPUTED_VALUE"""),"Product Restocking")</f>
        <v>Product Restocking</v>
      </c>
      <c r="G228" s="1"/>
      <c r="H228" s="1"/>
    </row>
    <row r="229">
      <c r="A229" s="36">
        <f>IFERROR(__xludf.DUMMYFUNCTION("""COMPUTED_VALUE"""),45828.0)</f>
        <v>45828</v>
      </c>
      <c r="B229" s="1" t="str">
        <f>IFERROR(__xludf.DUMMYFUNCTION("""COMPUTED_VALUE"""),"Snacky")</f>
        <v>Snacky</v>
      </c>
      <c r="C229" s="35">
        <f>IFERROR(__xludf.DUMMYFUNCTION("""COMPUTED_VALUE"""),3435.0)</f>
        <v>3435</v>
      </c>
      <c r="D229" s="1" t="str">
        <f>IFERROR(__xludf.DUMMYFUNCTION("""COMPUTED_VALUE"""),"LYD")</f>
        <v>LYD</v>
      </c>
      <c r="E229" s="1" t="str">
        <f>IFERROR(__xludf.DUMMYFUNCTION("""COMPUTED_VALUE"""),"Money In")</f>
        <v>Money In</v>
      </c>
      <c r="F229" s="1" t="str">
        <f>IFERROR(__xludf.DUMMYFUNCTION("""COMPUTED_VALUE"""),"Revenue")</f>
        <v>Revenue</v>
      </c>
      <c r="G229" s="1" t="str">
        <f>IFERROR(__xludf.DUMMYFUNCTION("""COMPUTED_VALUE"""),"HTMall")</f>
        <v>HTMall</v>
      </c>
      <c r="H229" s="1"/>
    </row>
    <row r="230">
      <c r="A230" s="36">
        <f>IFERROR(__xludf.DUMMYFUNCTION("""COMPUTED_VALUE"""),45829.0)</f>
        <v>45829</v>
      </c>
      <c r="B230" s="1" t="str">
        <f>IFERROR(__xludf.DUMMYFUNCTION("""COMPUTED_VALUE"""),"Snacky")</f>
        <v>Snacky</v>
      </c>
      <c r="C230" s="35">
        <f>IFERROR(__xludf.DUMMYFUNCTION("""COMPUTED_VALUE"""),530.0)</f>
        <v>530</v>
      </c>
      <c r="D230" s="1" t="str">
        <f>IFERROR(__xludf.DUMMYFUNCTION("""COMPUTED_VALUE"""),"LYD")</f>
        <v>LYD</v>
      </c>
      <c r="E230" s="1" t="str">
        <f>IFERROR(__xludf.DUMMYFUNCTION("""COMPUTED_VALUE"""),"Money Out")</f>
        <v>Money Out</v>
      </c>
      <c r="F230" s="1" t="str">
        <f>IFERROR(__xludf.DUMMYFUNCTION("""COMPUTED_VALUE"""),"Product Restocking")</f>
        <v>Product Restocking</v>
      </c>
      <c r="G230" s="1"/>
      <c r="H230" s="1"/>
    </row>
    <row r="231">
      <c r="A231" s="36">
        <f>IFERROR(__xludf.DUMMYFUNCTION("""COMPUTED_VALUE"""),45830.0)</f>
        <v>45830</v>
      </c>
      <c r="B231" s="1" t="str">
        <f>IFERROR(__xludf.DUMMYFUNCTION("""COMPUTED_VALUE"""),"Snacky")</f>
        <v>Snacky</v>
      </c>
      <c r="C231" s="35">
        <f>IFERROR(__xludf.DUMMYFUNCTION("""COMPUTED_VALUE"""),2332.0)</f>
        <v>2332</v>
      </c>
      <c r="D231" s="1" t="str">
        <f>IFERROR(__xludf.DUMMYFUNCTION("""COMPUTED_VALUE"""),"LYD")</f>
        <v>LYD</v>
      </c>
      <c r="E231" s="1" t="str">
        <f>IFERROR(__xludf.DUMMYFUNCTION("""COMPUTED_VALUE"""),"Money In")</f>
        <v>Money In</v>
      </c>
      <c r="F231" s="1" t="str">
        <f>IFERROR(__xludf.DUMMYFUNCTION("""COMPUTED_VALUE"""),"Revenue")</f>
        <v>Revenue</v>
      </c>
      <c r="G231" s="1" t="str">
        <f>IFERROR(__xludf.DUMMYFUNCTION("""COMPUTED_VALUE"""),"deplomacyMall")</f>
        <v>deplomacyMall</v>
      </c>
      <c r="H231" s="1"/>
    </row>
    <row r="232">
      <c r="A232" s="36">
        <f>IFERROR(__xludf.DUMMYFUNCTION("""COMPUTED_VALUE"""),45831.0)</f>
        <v>45831</v>
      </c>
      <c r="B232" s="1" t="str">
        <f>IFERROR(__xludf.DUMMYFUNCTION("""COMPUTED_VALUE"""),"Snacky")</f>
        <v>Snacky</v>
      </c>
      <c r="C232" s="35">
        <f>IFERROR(__xludf.DUMMYFUNCTION("""COMPUTED_VALUE"""),1840.0)</f>
        <v>1840</v>
      </c>
      <c r="D232" s="1" t="str">
        <f>IFERROR(__xludf.DUMMYFUNCTION("""COMPUTED_VALUE"""),"LYD")</f>
        <v>LYD</v>
      </c>
      <c r="E232" s="1" t="str">
        <f>IFERROR(__xludf.DUMMYFUNCTION("""COMPUTED_VALUE"""),"Money Out")</f>
        <v>Money Out</v>
      </c>
      <c r="F232" s="1" t="str">
        <f>IFERROR(__xludf.DUMMYFUNCTION("""COMPUTED_VALUE"""),"charity")</f>
        <v>charity</v>
      </c>
      <c r="G232" s="1"/>
      <c r="H232" s="1"/>
    </row>
    <row r="233">
      <c r="A233" s="36">
        <f>IFERROR(__xludf.DUMMYFUNCTION("""COMPUTED_VALUE"""),45832.0)</f>
        <v>45832</v>
      </c>
      <c r="B233" s="1" t="str">
        <f>IFERROR(__xludf.DUMMYFUNCTION("""COMPUTED_VALUE"""),"Snacky")</f>
        <v>Snacky</v>
      </c>
      <c r="C233" s="35">
        <f>IFERROR(__xludf.DUMMYFUNCTION("""COMPUTED_VALUE"""),598.0)</f>
        <v>598</v>
      </c>
      <c r="D233" s="1" t="str">
        <f>IFERROR(__xludf.DUMMYFUNCTION("""COMPUTED_VALUE"""),"LYD")</f>
        <v>LYD</v>
      </c>
      <c r="E233" s="1" t="str">
        <f>IFERROR(__xludf.DUMMYFUNCTION("""COMPUTED_VALUE"""),"Money Out")</f>
        <v>Money Out</v>
      </c>
      <c r="F233" s="1" t="str">
        <f>IFERROR(__xludf.DUMMYFUNCTION("""COMPUTED_VALUE"""),"Product Restocking")</f>
        <v>Product Restocking</v>
      </c>
      <c r="G233" s="1"/>
      <c r="H233" s="1"/>
    </row>
    <row r="234">
      <c r="A234" s="36">
        <f>IFERROR(__xludf.DUMMYFUNCTION("""COMPUTED_VALUE"""),45833.0)</f>
        <v>45833</v>
      </c>
      <c r="B234" s="1" t="str">
        <f>IFERROR(__xludf.DUMMYFUNCTION("""COMPUTED_VALUE"""),"Snacky")</f>
        <v>Snacky</v>
      </c>
      <c r="C234" s="35">
        <f>IFERROR(__xludf.DUMMYFUNCTION("""COMPUTED_VALUE"""),595.0)</f>
        <v>595</v>
      </c>
      <c r="D234" s="1" t="str">
        <f>IFERROR(__xludf.DUMMYFUNCTION("""COMPUTED_VALUE"""),"LYD")</f>
        <v>LYD</v>
      </c>
      <c r="E234" s="1" t="str">
        <f>IFERROR(__xludf.DUMMYFUNCTION("""COMPUTED_VALUE"""),"Money Out")</f>
        <v>Money Out</v>
      </c>
      <c r="F234" s="1" t="str">
        <f>IFERROR(__xludf.DUMMYFUNCTION("""COMPUTED_VALUE"""),"Product Restocking")</f>
        <v>Product Restocking</v>
      </c>
      <c r="G234" s="1"/>
      <c r="H234" s="1"/>
    </row>
    <row r="235">
      <c r="A235" s="36">
        <f>IFERROR(__xludf.DUMMYFUNCTION("""COMPUTED_VALUE"""),45834.0)</f>
        <v>45834</v>
      </c>
      <c r="B235" s="1" t="str">
        <f>IFERROR(__xludf.DUMMYFUNCTION("""COMPUTED_VALUE"""),"Snacky")</f>
        <v>Snacky</v>
      </c>
      <c r="C235" s="35">
        <f>IFERROR(__xludf.DUMMYFUNCTION("""COMPUTED_VALUE"""),696.0)</f>
        <v>696</v>
      </c>
      <c r="D235" s="1" t="str">
        <f>IFERROR(__xludf.DUMMYFUNCTION("""COMPUTED_VALUE"""),"LYD")</f>
        <v>LYD</v>
      </c>
      <c r="E235" s="1" t="str">
        <f>IFERROR(__xludf.DUMMYFUNCTION("""COMPUTED_VALUE"""),"Money Out")</f>
        <v>Money Out</v>
      </c>
      <c r="F235" s="1" t="str">
        <f>IFERROR(__xludf.DUMMYFUNCTION("""COMPUTED_VALUE"""),"Product Restocking")</f>
        <v>Product Restocking</v>
      </c>
      <c r="G235" s="1"/>
      <c r="H235" s="1"/>
    </row>
    <row r="236">
      <c r="A236" s="36">
        <f>IFERROR(__xludf.DUMMYFUNCTION("""COMPUTED_VALUE"""),45836.0)</f>
        <v>45836</v>
      </c>
      <c r="B236" s="1" t="str">
        <f>IFERROR(__xludf.DUMMYFUNCTION("""COMPUTED_VALUE"""),"Snacky")</f>
        <v>Snacky</v>
      </c>
      <c r="C236" s="35">
        <f>IFERROR(__xludf.DUMMYFUNCTION("""COMPUTED_VALUE"""),145.0)</f>
        <v>145</v>
      </c>
      <c r="D236" s="1" t="str">
        <f>IFERROR(__xludf.DUMMYFUNCTION("""COMPUTED_VALUE"""),"LYD")</f>
        <v>LYD</v>
      </c>
      <c r="E236" s="1" t="str">
        <f>IFERROR(__xludf.DUMMYFUNCTION("""COMPUTED_VALUE"""),"Money Out")</f>
        <v>Money Out</v>
      </c>
      <c r="F236" s="1" t="str">
        <f>IFERROR(__xludf.DUMMYFUNCTION("""COMPUTED_VALUE"""),"Product Restocking")</f>
        <v>Product Restocking</v>
      </c>
      <c r="G236" s="1"/>
      <c r="H236" s="1"/>
    </row>
    <row r="237">
      <c r="A237" s="36">
        <f>IFERROR(__xludf.DUMMYFUNCTION("""COMPUTED_VALUE"""),45838.0)</f>
        <v>45838</v>
      </c>
      <c r="B237" s="1" t="str">
        <f>IFERROR(__xludf.DUMMYFUNCTION("""COMPUTED_VALUE"""),"Snacky")</f>
        <v>Snacky</v>
      </c>
      <c r="C237" s="35">
        <f>IFERROR(__xludf.DUMMYFUNCTION("""COMPUTED_VALUE"""),207.0)</f>
        <v>207</v>
      </c>
      <c r="D237" s="1" t="str">
        <f>IFERROR(__xludf.DUMMYFUNCTION("""COMPUTED_VALUE"""),"LYD")</f>
        <v>LYD</v>
      </c>
      <c r="E237" s="1" t="str">
        <f>IFERROR(__xludf.DUMMYFUNCTION("""COMPUTED_VALUE"""),"Money Out")</f>
        <v>Money Out</v>
      </c>
      <c r="F237" s="1" t="str">
        <f>IFERROR(__xludf.DUMMYFUNCTION("""COMPUTED_VALUE"""),"Product Restocking")</f>
        <v>Product Restocking</v>
      </c>
      <c r="G237" s="1"/>
      <c r="H237" s="1"/>
    </row>
    <row r="238">
      <c r="A238" s="36">
        <f>IFERROR(__xludf.DUMMYFUNCTION("""COMPUTED_VALUE"""),45838.0)</f>
        <v>45838</v>
      </c>
      <c r="B238" s="1" t="str">
        <f>IFERROR(__xludf.DUMMYFUNCTION("""COMPUTED_VALUE"""),"Snacky")</f>
        <v>Snacky</v>
      </c>
      <c r="C238" s="35">
        <f>IFERROR(__xludf.DUMMYFUNCTION("""COMPUTED_VALUE"""),3313.0)</f>
        <v>3313</v>
      </c>
      <c r="D238" s="1" t="str">
        <f>IFERROR(__xludf.DUMMYFUNCTION("""COMPUTED_VALUE"""),"LYD")</f>
        <v>LYD</v>
      </c>
      <c r="E238" s="1" t="str">
        <f>IFERROR(__xludf.DUMMYFUNCTION("""COMPUTED_VALUE"""),"Money In")</f>
        <v>Money In</v>
      </c>
      <c r="F238" s="1" t="str">
        <f>IFERROR(__xludf.DUMMYFUNCTION("""COMPUTED_VALUE"""),"Revenue")</f>
        <v>Revenue</v>
      </c>
      <c r="G238" s="1" t="str">
        <f>IFERROR(__xludf.DUMMYFUNCTION("""COMPUTED_VALUE"""),"HTMall")</f>
        <v>HTMall</v>
      </c>
      <c r="H238" s="1"/>
    </row>
    <row r="239">
      <c r="A239" s="36">
        <f>IFERROR(__xludf.DUMMYFUNCTION("""COMPUTED_VALUE"""),45838.0)</f>
        <v>45838</v>
      </c>
      <c r="B239" s="1" t="str">
        <f>IFERROR(__xludf.DUMMYFUNCTION("""COMPUTED_VALUE"""),"Snacky")</f>
        <v>Snacky</v>
      </c>
      <c r="C239" s="35">
        <f>IFERROR(__xludf.DUMMYFUNCTION("""COMPUTED_VALUE"""),2467.0)</f>
        <v>2467</v>
      </c>
      <c r="D239" s="1" t="str">
        <f>IFERROR(__xludf.DUMMYFUNCTION("""COMPUTED_VALUE"""),"LYD")</f>
        <v>LYD</v>
      </c>
      <c r="E239" s="1" t="str">
        <f>IFERROR(__xludf.DUMMYFUNCTION("""COMPUTED_VALUE"""),"Money In")</f>
        <v>Money In</v>
      </c>
      <c r="F239" s="1" t="str">
        <f>IFERROR(__xludf.DUMMYFUNCTION("""COMPUTED_VALUE"""),"Revenue")</f>
        <v>Revenue</v>
      </c>
      <c r="G239" s="1" t="str">
        <f>IFERROR(__xludf.DUMMYFUNCTION("""COMPUTED_VALUE"""),"deplomacyMall")</f>
        <v>deplomacyMall</v>
      </c>
      <c r="H239" s="1"/>
    </row>
    <row r="240">
      <c r="A240" s="36">
        <f>IFERROR(__xludf.DUMMYFUNCTION("""COMPUTED_VALUE"""),45839.0)</f>
        <v>45839</v>
      </c>
      <c r="B240" s="1" t="str">
        <f>IFERROR(__xludf.DUMMYFUNCTION("""COMPUTED_VALUE"""),"Snacky")</f>
        <v>Snacky</v>
      </c>
      <c r="C240" s="35">
        <f>IFERROR(__xludf.DUMMYFUNCTION("""COMPUTED_VALUE"""),462.0)</f>
        <v>462</v>
      </c>
      <c r="D240" s="1" t="str">
        <f>IFERROR(__xludf.DUMMYFUNCTION("""COMPUTED_VALUE"""),"LYD")</f>
        <v>LYD</v>
      </c>
      <c r="E240" s="1" t="str">
        <f>IFERROR(__xludf.DUMMYFUNCTION("""COMPUTED_VALUE"""),"Money Out")</f>
        <v>Money Out</v>
      </c>
      <c r="F240" s="1" t="str">
        <f>IFERROR(__xludf.DUMMYFUNCTION("""COMPUTED_VALUE"""),"Product Restocking")</f>
        <v>Product Restocking</v>
      </c>
      <c r="G240" s="1"/>
      <c r="H240" s="1"/>
    </row>
    <row r="241">
      <c r="A241" s="36">
        <f>IFERROR(__xludf.DUMMYFUNCTION("""COMPUTED_VALUE"""),45840.0)</f>
        <v>45840</v>
      </c>
      <c r="B241" s="1" t="str">
        <f>IFERROR(__xludf.DUMMYFUNCTION("""COMPUTED_VALUE"""),"Snacky")</f>
        <v>Snacky</v>
      </c>
      <c r="C241" s="35">
        <f>IFERROR(__xludf.DUMMYFUNCTION("""COMPUTED_VALUE"""),188.0)</f>
        <v>188</v>
      </c>
      <c r="D241" s="1" t="str">
        <f>IFERROR(__xludf.DUMMYFUNCTION("""COMPUTED_VALUE"""),"LYD")</f>
        <v>LYD</v>
      </c>
      <c r="E241" s="1" t="str">
        <f>IFERROR(__xludf.DUMMYFUNCTION("""COMPUTED_VALUE"""),"Money Out")</f>
        <v>Money Out</v>
      </c>
      <c r="F241" s="1" t="str">
        <f>IFERROR(__xludf.DUMMYFUNCTION("""COMPUTED_VALUE"""),"Product Restocking")</f>
        <v>Product Restocking</v>
      </c>
      <c r="G241" s="1"/>
      <c r="H241" s="1"/>
    </row>
    <row r="242">
      <c r="A242" s="36">
        <f>IFERROR(__xludf.DUMMYFUNCTION("""COMPUTED_VALUE"""),45841.0)</f>
        <v>45841</v>
      </c>
      <c r="B242" s="1" t="str">
        <f>IFERROR(__xludf.DUMMYFUNCTION("""COMPUTED_VALUE"""),"Snacky")</f>
        <v>Snacky</v>
      </c>
      <c r="C242" s="35">
        <f>IFERROR(__xludf.DUMMYFUNCTION("""COMPUTED_VALUE"""),870.0)</f>
        <v>870</v>
      </c>
      <c r="D242" s="1" t="str">
        <f>IFERROR(__xludf.DUMMYFUNCTION("""COMPUTED_VALUE"""),"LYD")</f>
        <v>LYD</v>
      </c>
      <c r="E242" s="1" t="str">
        <f>IFERROR(__xludf.DUMMYFUNCTION("""COMPUTED_VALUE"""),"Money Out")</f>
        <v>Money Out</v>
      </c>
      <c r="F242" s="1" t="str">
        <f>IFERROR(__xludf.DUMMYFUNCTION("""COMPUTED_VALUE"""),"Product Restocking")</f>
        <v>Product Restocking</v>
      </c>
      <c r="G242" s="1"/>
      <c r="H242" s="1"/>
    </row>
    <row r="243">
      <c r="A243" s="36">
        <f>IFERROR(__xludf.DUMMYFUNCTION("""COMPUTED_VALUE"""),45843.0)</f>
        <v>45843</v>
      </c>
      <c r="B243" s="1" t="str">
        <f>IFERROR(__xludf.DUMMYFUNCTION("""COMPUTED_VALUE"""),"Snacky")</f>
        <v>Snacky</v>
      </c>
      <c r="C243" s="35">
        <f>IFERROR(__xludf.DUMMYFUNCTION("""COMPUTED_VALUE"""),768.0)</f>
        <v>768</v>
      </c>
      <c r="D243" s="1" t="str">
        <f>IFERROR(__xludf.DUMMYFUNCTION("""COMPUTED_VALUE"""),"LYD")</f>
        <v>LYD</v>
      </c>
      <c r="E243" s="1" t="str">
        <f>IFERROR(__xludf.DUMMYFUNCTION("""COMPUTED_VALUE"""),"Money Out")</f>
        <v>Money Out</v>
      </c>
      <c r="F243" s="1" t="str">
        <f>IFERROR(__xludf.DUMMYFUNCTION("""COMPUTED_VALUE"""),"Product Restocking")</f>
        <v>Product Restocking</v>
      </c>
      <c r="G243" s="1"/>
      <c r="H243" s="1"/>
    </row>
    <row r="244">
      <c r="A244" s="36">
        <f>IFERROR(__xludf.DUMMYFUNCTION("""COMPUTED_VALUE"""),45845.0)</f>
        <v>45845</v>
      </c>
      <c r="B244" s="1" t="str">
        <f>IFERROR(__xludf.DUMMYFUNCTION("""COMPUTED_VALUE"""),"Snacky")</f>
        <v>Snacky</v>
      </c>
      <c r="C244" s="35">
        <f>IFERROR(__xludf.DUMMYFUNCTION("""COMPUTED_VALUE"""),1024.0)</f>
        <v>1024</v>
      </c>
      <c r="D244" s="1" t="str">
        <f>IFERROR(__xludf.DUMMYFUNCTION("""COMPUTED_VALUE"""),"LYD")</f>
        <v>LYD</v>
      </c>
      <c r="E244" s="1" t="str">
        <f>IFERROR(__xludf.DUMMYFUNCTION("""COMPUTED_VALUE"""),"Money Out")</f>
        <v>Money Out</v>
      </c>
      <c r="F244" s="1" t="str">
        <f>IFERROR(__xludf.DUMMYFUNCTION("""COMPUTED_VALUE"""),"Product Restocking")</f>
        <v>Product Restocking</v>
      </c>
      <c r="G244" s="1"/>
      <c r="H244" s="1"/>
    </row>
    <row r="245">
      <c r="A245" s="36">
        <f>IFERROR(__xludf.DUMMYFUNCTION("""COMPUTED_VALUE"""),45847.0)</f>
        <v>45847</v>
      </c>
      <c r="B245" s="1" t="str">
        <f>IFERROR(__xludf.DUMMYFUNCTION("""COMPUTED_VALUE"""),"Snacky")</f>
        <v>Snacky</v>
      </c>
      <c r="C245" s="35">
        <f>IFERROR(__xludf.DUMMYFUNCTION("""COMPUTED_VALUE"""),12.0)</f>
        <v>12</v>
      </c>
      <c r="D245" s="1" t="str">
        <f>IFERROR(__xludf.DUMMYFUNCTION("""COMPUTED_VALUE"""),"LYD")</f>
        <v>LYD</v>
      </c>
      <c r="E245" s="1" t="str">
        <f>IFERROR(__xludf.DUMMYFUNCTION("""COMPUTED_VALUE"""),"Money Out")</f>
        <v>Money Out</v>
      </c>
      <c r="F245" s="1" t="str">
        <f>IFERROR(__xludf.DUMMYFUNCTION("""COMPUTED_VALUE"""),"Product Restocking")</f>
        <v>Product Restocking</v>
      </c>
      <c r="G245" s="1"/>
      <c r="H245" s="1"/>
    </row>
    <row r="246">
      <c r="A246" s="36">
        <f>IFERROR(__xludf.DUMMYFUNCTION("""COMPUTED_VALUE"""),45848.0)</f>
        <v>45848</v>
      </c>
      <c r="B246" s="1" t="str">
        <f>IFERROR(__xludf.DUMMYFUNCTION("""COMPUTED_VALUE"""),"Snacky")</f>
        <v>Snacky</v>
      </c>
      <c r="C246" s="35">
        <f>IFERROR(__xludf.DUMMYFUNCTION("""COMPUTED_VALUE"""),729.0)</f>
        <v>729</v>
      </c>
      <c r="D246" s="1" t="str">
        <f>IFERROR(__xludf.DUMMYFUNCTION("""COMPUTED_VALUE"""),"LYD")</f>
        <v>LYD</v>
      </c>
      <c r="E246" s="1" t="str">
        <f>IFERROR(__xludf.DUMMYFUNCTION("""COMPUTED_VALUE"""),"Money Out")</f>
        <v>Money Out</v>
      </c>
      <c r="F246" s="1" t="str">
        <f>IFERROR(__xludf.DUMMYFUNCTION("""COMPUTED_VALUE"""),"Product Restocking")</f>
        <v>Product Restocking</v>
      </c>
      <c r="G246" s="1"/>
      <c r="H246" s="1"/>
    </row>
    <row r="247">
      <c r="A247" s="36">
        <f>IFERROR(__xludf.DUMMYFUNCTION("""COMPUTED_VALUE"""),45850.0)</f>
        <v>45850</v>
      </c>
      <c r="B247" s="1" t="str">
        <f>IFERROR(__xludf.DUMMYFUNCTION("""COMPUTED_VALUE"""),"Snacky")</f>
        <v>Snacky</v>
      </c>
      <c r="C247" s="35">
        <f>IFERROR(__xludf.DUMMYFUNCTION("""COMPUTED_VALUE"""),3420.0)</f>
        <v>3420</v>
      </c>
      <c r="D247" s="1" t="str">
        <f>IFERROR(__xludf.DUMMYFUNCTION("""COMPUTED_VALUE"""),"LYD")</f>
        <v>LYD</v>
      </c>
      <c r="E247" s="1" t="str">
        <f>IFERROR(__xludf.DUMMYFUNCTION("""COMPUTED_VALUE"""),"Money In")</f>
        <v>Money In</v>
      </c>
      <c r="F247" s="1" t="str">
        <f>IFERROR(__xludf.DUMMYFUNCTION("""COMPUTED_VALUE"""),"Revenue")</f>
        <v>Revenue</v>
      </c>
      <c r="G247" s="1" t="str">
        <f>IFERROR(__xludf.DUMMYFUNCTION("""COMPUTED_VALUE"""),"HTMall")</f>
        <v>HTMall</v>
      </c>
      <c r="H247" s="1"/>
    </row>
    <row r="248">
      <c r="A248" s="36">
        <f>IFERROR(__xludf.DUMMYFUNCTION("""COMPUTED_VALUE"""),45850.0)</f>
        <v>45850</v>
      </c>
      <c r="B248" s="1" t="str">
        <f>IFERROR(__xludf.DUMMYFUNCTION("""COMPUTED_VALUE"""),"Snacky")</f>
        <v>Snacky</v>
      </c>
      <c r="C248" s="35">
        <f>IFERROR(__xludf.DUMMYFUNCTION("""COMPUTED_VALUE"""),2936.0)</f>
        <v>2936</v>
      </c>
      <c r="D248" s="1" t="str">
        <f>IFERROR(__xludf.DUMMYFUNCTION("""COMPUTED_VALUE"""),"LYD")</f>
        <v>LYD</v>
      </c>
      <c r="E248" s="1" t="str">
        <f>IFERROR(__xludf.DUMMYFUNCTION("""COMPUTED_VALUE"""),"Money In")</f>
        <v>Money In</v>
      </c>
      <c r="F248" s="1" t="str">
        <f>IFERROR(__xludf.DUMMYFUNCTION("""COMPUTED_VALUE"""),"Revenue")</f>
        <v>Revenue</v>
      </c>
      <c r="G248" s="1" t="str">
        <f>IFERROR(__xludf.DUMMYFUNCTION("""COMPUTED_VALUE"""),"deplomacyMall")</f>
        <v>deplomacyMall</v>
      </c>
      <c r="H248" s="1"/>
    </row>
    <row r="249">
      <c r="A249" s="36">
        <f>IFERROR(__xludf.DUMMYFUNCTION("""COMPUTED_VALUE"""),45852.0)</f>
        <v>45852</v>
      </c>
      <c r="B249" s="1" t="str">
        <f>IFERROR(__xludf.DUMMYFUNCTION("""COMPUTED_VALUE"""),"Snacky")</f>
        <v>Snacky</v>
      </c>
      <c r="C249" s="35">
        <f>IFERROR(__xludf.DUMMYFUNCTION("""COMPUTED_VALUE"""),298.0)</f>
        <v>298</v>
      </c>
      <c r="D249" s="1" t="str">
        <f>IFERROR(__xludf.DUMMYFUNCTION("""COMPUTED_VALUE"""),"LYD")</f>
        <v>LYD</v>
      </c>
      <c r="E249" s="1" t="str">
        <f>IFERROR(__xludf.DUMMYFUNCTION("""COMPUTED_VALUE"""),"Money Out")</f>
        <v>Money Out</v>
      </c>
      <c r="F249" s="1" t="str">
        <f>IFERROR(__xludf.DUMMYFUNCTION("""COMPUTED_VALUE"""),"Product Restocking")</f>
        <v>Product Restocking</v>
      </c>
      <c r="G249" s="1"/>
      <c r="H249" s="1"/>
    </row>
    <row r="250">
      <c r="A250" s="36">
        <f>IFERROR(__xludf.DUMMYFUNCTION("""COMPUTED_VALUE"""),45853.0)</f>
        <v>45853</v>
      </c>
      <c r="B250" s="1" t="str">
        <f>IFERROR(__xludf.DUMMYFUNCTION("""COMPUTED_VALUE"""),"Snacky")</f>
        <v>Snacky</v>
      </c>
      <c r="C250" s="35">
        <f>IFERROR(__xludf.DUMMYFUNCTION("""COMPUTED_VALUE"""),1618.0)</f>
        <v>1618</v>
      </c>
      <c r="D250" s="1" t="str">
        <f>IFERROR(__xludf.DUMMYFUNCTION("""COMPUTED_VALUE"""),"LYD")</f>
        <v>LYD</v>
      </c>
      <c r="E250" s="1" t="str">
        <f>IFERROR(__xludf.DUMMYFUNCTION("""COMPUTED_VALUE"""),"Money Out")</f>
        <v>Money Out</v>
      </c>
      <c r="F250" s="1" t="str">
        <f>IFERROR(__xludf.DUMMYFUNCTION("""COMPUTED_VALUE"""),"Product Restocking")</f>
        <v>Product Restocking</v>
      </c>
      <c r="G250" s="1"/>
      <c r="H250" s="1"/>
    </row>
    <row r="251">
      <c r="A251" s="36">
        <f>IFERROR(__xludf.DUMMYFUNCTION("""COMPUTED_VALUE"""),45853.0)</f>
        <v>45853</v>
      </c>
      <c r="B251" s="1" t="str">
        <f>IFERROR(__xludf.DUMMYFUNCTION("""COMPUTED_VALUE"""),"Snacky")</f>
        <v>Snacky</v>
      </c>
      <c r="C251" s="35">
        <f>IFERROR(__xludf.DUMMYFUNCTION("""COMPUTED_VALUE"""),300.0)</f>
        <v>300</v>
      </c>
      <c r="D251" s="1" t="str">
        <f>IFERROR(__xludf.DUMMYFUNCTION("""COMPUTED_VALUE"""),"LYD")</f>
        <v>LYD</v>
      </c>
      <c r="E251" s="1" t="str">
        <f>IFERROR(__xludf.DUMMYFUNCTION("""COMPUTED_VALUE"""),"Money Out")</f>
        <v>Money Out</v>
      </c>
      <c r="F251" s="1"/>
      <c r="G251" s="1"/>
      <c r="H251" s="1" t="str">
        <f>IFERROR(__xludf.DUMMYFUNCTION("""COMPUTED_VALUE"""),"ونش لنقل الماكينه")</f>
        <v>ونش لنقل الماكينه</v>
      </c>
    </row>
    <row r="252">
      <c r="A252" s="36">
        <f>IFERROR(__xludf.DUMMYFUNCTION("""COMPUTED_VALUE"""),45855.0)</f>
        <v>45855</v>
      </c>
      <c r="B252" s="1" t="str">
        <f>IFERROR(__xludf.DUMMYFUNCTION("""COMPUTED_VALUE"""),"Snacky")</f>
        <v>Snacky</v>
      </c>
      <c r="C252" s="35">
        <f>IFERROR(__xludf.DUMMYFUNCTION("""COMPUTED_VALUE"""),786.0)</f>
        <v>786</v>
      </c>
      <c r="D252" s="1" t="str">
        <f>IFERROR(__xludf.DUMMYFUNCTION("""COMPUTED_VALUE"""),"LYD")</f>
        <v>LYD</v>
      </c>
      <c r="E252" s="1" t="str">
        <f>IFERROR(__xludf.DUMMYFUNCTION("""COMPUTED_VALUE"""),"Money Out")</f>
        <v>Money Out</v>
      </c>
      <c r="F252" s="1" t="str">
        <f>IFERROR(__xludf.DUMMYFUNCTION("""COMPUTED_VALUE"""),"Product Restocking")</f>
        <v>Product Restocking</v>
      </c>
      <c r="G252" s="1"/>
      <c r="H252" s="1"/>
    </row>
    <row r="253">
      <c r="A253" s="36">
        <f>IFERROR(__xludf.DUMMYFUNCTION("""COMPUTED_VALUE"""),45857.0)</f>
        <v>45857</v>
      </c>
      <c r="B253" s="1" t="str">
        <f>IFERROR(__xludf.DUMMYFUNCTION("""COMPUTED_VALUE"""),"Snacky")</f>
        <v>Snacky</v>
      </c>
      <c r="C253" s="35">
        <f>IFERROR(__xludf.DUMMYFUNCTION("""COMPUTED_VALUE"""),563.0)</f>
        <v>563</v>
      </c>
      <c r="D253" s="1" t="str">
        <f>IFERROR(__xludf.DUMMYFUNCTION("""COMPUTED_VALUE"""),"LYD")</f>
        <v>LYD</v>
      </c>
      <c r="E253" s="1" t="str">
        <f>IFERROR(__xludf.DUMMYFUNCTION("""COMPUTED_VALUE"""),"Money Out")</f>
        <v>Money Out</v>
      </c>
      <c r="F253" s="1" t="str">
        <f>IFERROR(__xludf.DUMMYFUNCTION("""COMPUTED_VALUE"""),"Product Restocking")</f>
        <v>Product Restocking</v>
      </c>
      <c r="G253" s="1"/>
      <c r="H253" s="1"/>
    </row>
    <row r="254">
      <c r="A254" s="36">
        <f>IFERROR(__xludf.DUMMYFUNCTION("""COMPUTED_VALUE"""),45858.0)</f>
        <v>45858</v>
      </c>
      <c r="B254" s="1" t="str">
        <f>IFERROR(__xludf.DUMMYFUNCTION("""COMPUTED_VALUE"""),"Snacky")</f>
        <v>Snacky</v>
      </c>
      <c r="C254" s="35">
        <f>IFERROR(__xludf.DUMMYFUNCTION("""COMPUTED_VALUE"""),266.0)</f>
        <v>266</v>
      </c>
      <c r="D254" s="1" t="str">
        <f>IFERROR(__xludf.DUMMYFUNCTION("""COMPUTED_VALUE"""),"LYD")</f>
        <v>LYD</v>
      </c>
      <c r="E254" s="1" t="str">
        <f>IFERROR(__xludf.DUMMYFUNCTION("""COMPUTED_VALUE"""),"Money Out")</f>
        <v>Money Out</v>
      </c>
      <c r="F254" s="1" t="str">
        <f>IFERROR(__xludf.DUMMYFUNCTION("""COMPUTED_VALUE"""),"Product Restocking")</f>
        <v>Product Restocking</v>
      </c>
      <c r="G254" s="1"/>
      <c r="H254" s="1"/>
    </row>
    <row r="255">
      <c r="A255" s="36">
        <f>IFERROR(__xludf.DUMMYFUNCTION("""COMPUTED_VALUE"""),45858.0)</f>
        <v>45858</v>
      </c>
      <c r="B255" s="1" t="str">
        <f>IFERROR(__xludf.DUMMYFUNCTION("""COMPUTED_VALUE"""),"Snacky")</f>
        <v>Snacky</v>
      </c>
      <c r="C255" s="35">
        <f>IFERROR(__xludf.DUMMYFUNCTION("""COMPUTED_VALUE"""),2000.0)</f>
        <v>2000</v>
      </c>
      <c r="D255" s="1" t="str">
        <f>IFERROR(__xludf.DUMMYFUNCTION("""COMPUTED_VALUE"""),"LYD")</f>
        <v>LYD</v>
      </c>
      <c r="E255" s="1" t="str">
        <f>IFERROR(__xludf.DUMMYFUNCTION("""COMPUTED_VALUE"""),"Money Out")</f>
        <v>Money Out</v>
      </c>
      <c r="F255" s="1" t="str">
        <f>IFERROR(__xludf.DUMMYFUNCTION("""COMPUTED_VALUE"""),"charity")</f>
        <v>charity</v>
      </c>
      <c r="G255" s="1"/>
      <c r="H255" s="1"/>
    </row>
    <row r="256">
      <c r="A256" s="36">
        <f>IFERROR(__xludf.DUMMYFUNCTION("""COMPUTED_VALUE"""),45859.0)</f>
        <v>45859</v>
      </c>
      <c r="B256" s="1" t="str">
        <f>IFERROR(__xludf.DUMMYFUNCTION("""COMPUTED_VALUE"""),"Snacky")</f>
        <v>Snacky</v>
      </c>
      <c r="C256" s="35">
        <f>IFERROR(__xludf.DUMMYFUNCTION("""COMPUTED_VALUE"""),961.0)</f>
        <v>961</v>
      </c>
      <c r="D256" s="1" t="str">
        <f>IFERROR(__xludf.DUMMYFUNCTION("""COMPUTED_VALUE"""),"LYD")</f>
        <v>LYD</v>
      </c>
      <c r="E256" s="1" t="str">
        <f>IFERROR(__xludf.DUMMYFUNCTION("""COMPUTED_VALUE"""),"Money Out")</f>
        <v>Money Out</v>
      </c>
      <c r="F256" s="1" t="str">
        <f>IFERROR(__xludf.DUMMYFUNCTION("""COMPUTED_VALUE"""),"Product Restocking")</f>
        <v>Product Restocking</v>
      </c>
      <c r="G256" s="1"/>
      <c r="H256" s="1"/>
    </row>
    <row r="257">
      <c r="A257" s="36">
        <f>IFERROR(__xludf.DUMMYFUNCTION("""COMPUTED_VALUE"""),45860.0)</f>
        <v>45860</v>
      </c>
      <c r="B257" s="1" t="str">
        <f>IFERROR(__xludf.DUMMYFUNCTION("""COMPUTED_VALUE"""),"Snacky")</f>
        <v>Snacky</v>
      </c>
      <c r="C257" s="35">
        <f>IFERROR(__xludf.DUMMYFUNCTION("""COMPUTED_VALUE"""),622.0)</f>
        <v>622</v>
      </c>
      <c r="D257" s="1" t="str">
        <f>IFERROR(__xludf.DUMMYFUNCTION("""COMPUTED_VALUE"""),"LYD")</f>
        <v>LYD</v>
      </c>
      <c r="E257" s="1" t="str">
        <f>IFERROR(__xludf.DUMMYFUNCTION("""COMPUTED_VALUE"""),"Money Out")</f>
        <v>Money Out</v>
      </c>
      <c r="F257" s="1" t="str">
        <f>IFERROR(__xludf.DUMMYFUNCTION("""COMPUTED_VALUE"""),"Product Restocking")</f>
        <v>Product Restocking</v>
      </c>
      <c r="G257" s="1"/>
      <c r="H257" s="1"/>
    </row>
    <row r="258">
      <c r="A258" s="36">
        <f>IFERROR(__xludf.DUMMYFUNCTION("""COMPUTED_VALUE"""),45860.0)</f>
        <v>45860</v>
      </c>
      <c r="B258" s="1" t="str">
        <f>IFERROR(__xludf.DUMMYFUNCTION("""COMPUTED_VALUE"""),"Snacky")</f>
        <v>Snacky</v>
      </c>
      <c r="C258" s="35">
        <f>IFERROR(__xludf.DUMMYFUNCTION("""COMPUTED_VALUE"""),420.0)</f>
        <v>420</v>
      </c>
      <c r="D258" s="1" t="str">
        <f>IFERROR(__xludf.DUMMYFUNCTION("""COMPUTED_VALUE"""),"LYD")</f>
        <v>LYD</v>
      </c>
      <c r="E258" s="1" t="str">
        <f>IFERROR(__xludf.DUMMYFUNCTION("""COMPUTED_VALUE"""),"Money Out")</f>
        <v>Money Out</v>
      </c>
      <c r="F258" s="1" t="str">
        <f>IFERROR(__xludf.DUMMYFUNCTION("""COMPUTED_VALUE"""),"charity")</f>
        <v>charity</v>
      </c>
      <c r="G258" s="1"/>
      <c r="H258" s="1"/>
    </row>
    <row r="259">
      <c r="A259" s="36">
        <f>IFERROR(__xludf.DUMMYFUNCTION("""COMPUTED_VALUE"""),45860.0)</f>
        <v>45860</v>
      </c>
      <c r="B259" s="1" t="str">
        <f>IFERROR(__xludf.DUMMYFUNCTION("""COMPUTED_VALUE"""),"Snacky")</f>
        <v>Snacky</v>
      </c>
      <c r="C259" s="35">
        <f>IFERROR(__xludf.DUMMYFUNCTION("""COMPUTED_VALUE"""),592.0)</f>
        <v>592</v>
      </c>
      <c r="D259" s="1" t="str">
        <f>IFERROR(__xludf.DUMMYFUNCTION("""COMPUTED_VALUE"""),"LYD")</f>
        <v>LYD</v>
      </c>
      <c r="E259" s="1" t="str">
        <f>IFERROR(__xludf.DUMMYFUNCTION("""COMPUTED_VALUE"""),"Money Out")</f>
        <v>Money Out</v>
      </c>
      <c r="F259" s="1" t="str">
        <f>IFERROR(__xludf.DUMMYFUNCTION("""COMPUTED_VALUE"""),"Product Restocking")</f>
        <v>Product Restocking</v>
      </c>
      <c r="G259" s="1"/>
      <c r="H259" s="1"/>
    </row>
    <row r="260">
      <c r="A260" s="36">
        <f>IFERROR(__xludf.DUMMYFUNCTION("""COMPUTED_VALUE"""),45862.0)</f>
        <v>45862</v>
      </c>
      <c r="B260" s="1" t="str">
        <f>IFERROR(__xludf.DUMMYFUNCTION("""COMPUTED_VALUE"""),"Snacky")</f>
        <v>Snacky</v>
      </c>
      <c r="C260" s="35">
        <f>IFERROR(__xludf.DUMMYFUNCTION("""COMPUTED_VALUE"""),130.0)</f>
        <v>130</v>
      </c>
      <c r="D260" s="1" t="str">
        <f>IFERROR(__xludf.DUMMYFUNCTION("""COMPUTED_VALUE"""),"LYD")</f>
        <v>LYD</v>
      </c>
      <c r="E260" s="1" t="str">
        <f>IFERROR(__xludf.DUMMYFUNCTION("""COMPUTED_VALUE"""),"Money Out")</f>
        <v>Money Out</v>
      </c>
      <c r="F260" s="1" t="str">
        <f>IFERROR(__xludf.DUMMYFUNCTION("""COMPUTED_VALUE"""),"Product Restocking")</f>
        <v>Product Restocking</v>
      </c>
      <c r="G260" s="1"/>
      <c r="H260" s="1"/>
    </row>
    <row r="261">
      <c r="A261" s="36">
        <f>IFERROR(__xludf.DUMMYFUNCTION("""COMPUTED_VALUE"""),45863.0)</f>
        <v>45863</v>
      </c>
      <c r="B261" s="1" t="str">
        <f>IFERROR(__xludf.DUMMYFUNCTION("""COMPUTED_VALUE"""),"Snacky")</f>
        <v>Snacky</v>
      </c>
      <c r="C261" s="35">
        <f>IFERROR(__xludf.DUMMYFUNCTION("""COMPUTED_VALUE"""),3712.0)</f>
        <v>3712</v>
      </c>
      <c r="D261" s="1" t="str">
        <f>IFERROR(__xludf.DUMMYFUNCTION("""COMPUTED_VALUE"""),"LYD")</f>
        <v>LYD</v>
      </c>
      <c r="E261" s="1" t="str">
        <f>IFERROR(__xludf.DUMMYFUNCTION("""COMPUTED_VALUE"""),"Money In")</f>
        <v>Money In</v>
      </c>
      <c r="F261" s="1" t="str">
        <f>IFERROR(__xludf.DUMMYFUNCTION("""COMPUTED_VALUE"""),"Revenue")</f>
        <v>Revenue</v>
      </c>
      <c r="G261" s="1" t="str">
        <f>IFERROR(__xludf.DUMMYFUNCTION("""COMPUTED_VALUE"""),"HTMall")</f>
        <v>HTMall</v>
      </c>
      <c r="H261" s="1"/>
    </row>
    <row r="262">
      <c r="A262" s="36">
        <f>IFERROR(__xludf.DUMMYFUNCTION("""COMPUTED_VALUE"""),45864.0)</f>
        <v>45864</v>
      </c>
      <c r="B262" s="1" t="str">
        <f>IFERROR(__xludf.DUMMYFUNCTION("""COMPUTED_VALUE"""),"Snacky")</f>
        <v>Snacky</v>
      </c>
      <c r="C262" s="35">
        <f>IFERROR(__xludf.DUMMYFUNCTION("""COMPUTED_VALUE"""),341.0)</f>
        <v>341</v>
      </c>
      <c r="D262" s="1" t="str">
        <f>IFERROR(__xludf.DUMMYFUNCTION("""COMPUTED_VALUE"""),"LYD")</f>
        <v>LYD</v>
      </c>
      <c r="E262" s="1" t="str">
        <f>IFERROR(__xludf.DUMMYFUNCTION("""COMPUTED_VALUE"""),"Money Out")</f>
        <v>Money Out</v>
      </c>
      <c r="F262" s="1" t="str">
        <f>IFERROR(__xludf.DUMMYFUNCTION("""COMPUTED_VALUE"""),"Product Restocking")</f>
        <v>Product Restocking</v>
      </c>
      <c r="G262" s="1"/>
      <c r="H262" s="1"/>
    </row>
    <row r="263">
      <c r="A263" s="36">
        <f>IFERROR(__xludf.DUMMYFUNCTION("""COMPUTED_VALUE"""),45864.0)</f>
        <v>45864</v>
      </c>
      <c r="B263" s="1" t="str">
        <f>IFERROR(__xludf.DUMMYFUNCTION("""COMPUTED_VALUE"""),"Snacky")</f>
        <v>Snacky</v>
      </c>
      <c r="C263" s="35">
        <f>IFERROR(__xludf.DUMMYFUNCTION("""COMPUTED_VALUE"""),2279.0)</f>
        <v>2279</v>
      </c>
      <c r="D263" s="1" t="str">
        <f>IFERROR(__xludf.DUMMYFUNCTION("""COMPUTED_VALUE"""),"LYD")</f>
        <v>LYD</v>
      </c>
      <c r="E263" s="1" t="str">
        <f>IFERROR(__xludf.DUMMYFUNCTION("""COMPUTED_VALUE"""),"Money Out")</f>
        <v>Money Out</v>
      </c>
      <c r="F263" s="1"/>
      <c r="G263" s="1"/>
      <c r="H263" s="1" t="str">
        <f>IFERROR(__xludf.DUMMYFUNCTION("""COMPUTED_VALUE"""),"تعديل الميزانيه")</f>
        <v>تعديل الميزانيه</v>
      </c>
    </row>
    <row r="264">
      <c r="A264" s="36">
        <f>IFERROR(__xludf.DUMMYFUNCTION("""COMPUTED_VALUE"""),45865.0)</f>
        <v>45865</v>
      </c>
      <c r="B264" s="1" t="str">
        <f>IFERROR(__xludf.DUMMYFUNCTION("""COMPUTED_VALUE"""),"Snacky")</f>
        <v>Snacky</v>
      </c>
      <c r="C264" s="35">
        <f>IFERROR(__xludf.DUMMYFUNCTION("""COMPUTED_VALUE"""),3000.0)</f>
        <v>3000</v>
      </c>
      <c r="D264" s="1" t="str">
        <f>IFERROR(__xludf.DUMMYFUNCTION("""COMPUTED_VALUE"""),"LYD")</f>
        <v>LYD</v>
      </c>
      <c r="E264" s="1" t="str">
        <f>IFERROR(__xludf.DUMMYFUNCTION("""COMPUTED_VALUE"""),"Money In")</f>
        <v>Money In</v>
      </c>
      <c r="F264" s="1" t="str">
        <f>IFERROR(__xludf.DUMMYFUNCTION("""COMPUTED_VALUE"""),"ads")</f>
        <v>ads</v>
      </c>
      <c r="G264" s="1" t="str">
        <f>IFERROR(__xludf.DUMMYFUNCTION("""COMPUTED_VALUE"""),"HTMall")</f>
        <v>HTMall</v>
      </c>
      <c r="H264" s="1" t="str">
        <f>IFERROR(__xludf.DUMMYFUNCTION("""COMPUTED_VALUE"""),"دعاية توربو تلاته اشهر")</f>
        <v>دعاية توربو تلاته اشهر</v>
      </c>
    </row>
    <row r="265">
      <c r="A265" s="36">
        <f>IFERROR(__xludf.DUMMYFUNCTION("""COMPUTED_VALUE"""),45865.0)</f>
        <v>45865</v>
      </c>
      <c r="B265" s="1" t="str">
        <f>IFERROR(__xludf.DUMMYFUNCTION("""COMPUTED_VALUE"""),"Snacky")</f>
        <v>Snacky</v>
      </c>
      <c r="C265" s="35">
        <f>IFERROR(__xludf.DUMMYFUNCTION("""COMPUTED_VALUE"""),401.0)</f>
        <v>401</v>
      </c>
      <c r="D265" s="1" t="str">
        <f>IFERROR(__xludf.DUMMYFUNCTION("""COMPUTED_VALUE"""),"LYD")</f>
        <v>LYD</v>
      </c>
      <c r="E265" s="1" t="str">
        <f>IFERROR(__xludf.DUMMYFUNCTION("""COMPUTED_VALUE"""),"Money Out")</f>
        <v>Money Out</v>
      </c>
      <c r="F265" s="1" t="str">
        <f>IFERROR(__xludf.DUMMYFUNCTION("""COMPUTED_VALUE"""),"Product Restocking")</f>
        <v>Product Restocking</v>
      </c>
      <c r="G265" s="1"/>
      <c r="H265" s="1"/>
    </row>
    <row r="266">
      <c r="A266" s="36">
        <f>IFERROR(__xludf.DUMMYFUNCTION("""COMPUTED_VALUE"""),45867.0)</f>
        <v>45867</v>
      </c>
      <c r="B266" s="1" t="str">
        <f>IFERROR(__xludf.DUMMYFUNCTION("""COMPUTED_VALUE"""),"Snacky")</f>
        <v>Snacky</v>
      </c>
      <c r="C266" s="35">
        <f>IFERROR(__xludf.DUMMYFUNCTION("""COMPUTED_VALUE"""),568.0)</f>
        <v>568</v>
      </c>
      <c r="D266" s="1" t="str">
        <f>IFERROR(__xludf.DUMMYFUNCTION("""COMPUTED_VALUE"""),"LYD")</f>
        <v>LYD</v>
      </c>
      <c r="E266" s="1" t="str">
        <f>IFERROR(__xludf.DUMMYFUNCTION("""COMPUTED_VALUE"""),"Money Out")</f>
        <v>Money Out</v>
      </c>
      <c r="F266" s="1" t="str">
        <f>IFERROR(__xludf.DUMMYFUNCTION("""COMPUTED_VALUE"""),"Product Restocking")</f>
        <v>Product Restocking</v>
      </c>
      <c r="G266" s="1"/>
      <c r="H266" s="1"/>
    </row>
    <row r="267">
      <c r="A267" s="36">
        <f>IFERROR(__xludf.DUMMYFUNCTION("""COMPUTED_VALUE"""),45869.0)</f>
        <v>45869</v>
      </c>
      <c r="B267" s="1" t="str">
        <f>IFERROR(__xludf.DUMMYFUNCTION("""COMPUTED_VALUE"""),"Snacky")</f>
        <v>Snacky</v>
      </c>
      <c r="C267" s="35">
        <f>IFERROR(__xludf.DUMMYFUNCTION("""COMPUTED_VALUE"""),3323.0)</f>
        <v>3323</v>
      </c>
      <c r="D267" s="1" t="str">
        <f>IFERROR(__xludf.DUMMYFUNCTION("""COMPUTED_VALUE"""),"LYD")</f>
        <v>LYD</v>
      </c>
      <c r="E267" s="1" t="str">
        <f>IFERROR(__xludf.DUMMYFUNCTION("""COMPUTED_VALUE"""),"Money In")</f>
        <v>Money In</v>
      </c>
      <c r="F267" s="1" t="str">
        <f>IFERROR(__xludf.DUMMYFUNCTION("""COMPUTED_VALUE"""),"Revenue")</f>
        <v>Revenue</v>
      </c>
      <c r="G267" s="1" t="str">
        <f>IFERROR(__xludf.DUMMYFUNCTION("""COMPUTED_VALUE"""),"AlmouasafatHospital")</f>
        <v>AlmouasafatHospital</v>
      </c>
      <c r="H267" s="1"/>
    </row>
    <row r="268">
      <c r="A268" s="36">
        <f>IFERROR(__xludf.DUMMYFUNCTION("""COMPUTED_VALUE"""),45869.0)</f>
        <v>45869</v>
      </c>
      <c r="B268" s="1" t="str">
        <f>IFERROR(__xludf.DUMMYFUNCTION("""COMPUTED_VALUE"""),"Snacky")</f>
        <v>Snacky</v>
      </c>
      <c r="C268" s="35">
        <f>IFERROR(__xludf.DUMMYFUNCTION("""COMPUTED_VALUE"""),1561.0)</f>
        <v>1561</v>
      </c>
      <c r="D268" s="1" t="str">
        <f>IFERROR(__xludf.DUMMYFUNCTION("""COMPUTED_VALUE"""),"LYD")</f>
        <v>LYD</v>
      </c>
      <c r="E268" s="1" t="str">
        <f>IFERROR(__xludf.DUMMYFUNCTION("""COMPUTED_VALUE"""),"Money In")</f>
        <v>Money In</v>
      </c>
      <c r="F268" s="1" t="str">
        <f>IFERROR(__xludf.DUMMYFUNCTION("""COMPUTED_VALUE"""),"Revenue")</f>
        <v>Revenue</v>
      </c>
      <c r="G268" s="1" t="str">
        <f>IFERROR(__xludf.DUMMYFUNCTION("""COMPUTED_VALUE"""),"HTMall")</f>
        <v>HTMall</v>
      </c>
      <c r="H268" s="1"/>
    </row>
    <row r="269">
      <c r="A269" s="36">
        <f>IFERROR(__xludf.DUMMYFUNCTION("""COMPUTED_VALUE"""),45869.0)</f>
        <v>45869</v>
      </c>
      <c r="B269" s="1" t="str">
        <f>IFERROR(__xludf.DUMMYFUNCTION("""COMPUTED_VALUE"""),"Snacky")</f>
        <v>Snacky</v>
      </c>
      <c r="C269" s="35">
        <f>IFERROR(__xludf.DUMMYFUNCTION("""COMPUTED_VALUE"""),4498.0)</f>
        <v>4498</v>
      </c>
      <c r="D269" s="1" t="str">
        <f>IFERROR(__xludf.DUMMYFUNCTION("""COMPUTED_VALUE"""),"LYD")</f>
        <v>LYD</v>
      </c>
      <c r="E269" s="1" t="str">
        <f>IFERROR(__xludf.DUMMYFUNCTION("""COMPUTED_VALUE"""),"Money In")</f>
        <v>Money In</v>
      </c>
      <c r="F269" s="1" t="str">
        <f>IFERROR(__xludf.DUMMYFUNCTION("""COMPUTED_VALUE"""),"Revenue")</f>
        <v>Revenue</v>
      </c>
      <c r="G269" s="1" t="str">
        <f>IFERROR(__xludf.DUMMYFUNCTION("""COMPUTED_VALUE"""),"deplomacyMall")</f>
        <v>deplomacyMall</v>
      </c>
      <c r="H269" s="1"/>
    </row>
    <row r="270">
      <c r="A270" s="36">
        <f>IFERROR(__xludf.DUMMYFUNCTION("""COMPUTED_VALUE"""),45870.0)</f>
        <v>45870</v>
      </c>
      <c r="B270" s="1" t="str">
        <f>IFERROR(__xludf.DUMMYFUNCTION("""COMPUTED_VALUE"""),"Snacky")</f>
        <v>Snacky</v>
      </c>
      <c r="C270" s="35">
        <f>IFERROR(__xludf.DUMMYFUNCTION("""COMPUTED_VALUE"""),188.0)</f>
        <v>188</v>
      </c>
      <c r="D270" s="1" t="str">
        <f>IFERROR(__xludf.DUMMYFUNCTION("""COMPUTED_VALUE"""),"LYD")</f>
        <v>LYD</v>
      </c>
      <c r="E270" s="1" t="str">
        <f>IFERROR(__xludf.DUMMYFUNCTION("""COMPUTED_VALUE"""),"Money Out")</f>
        <v>Money Out</v>
      </c>
      <c r="F270" s="1" t="str">
        <f>IFERROR(__xludf.DUMMYFUNCTION("""COMPUTED_VALUE"""),"Product Restocking")</f>
        <v>Product Restocking</v>
      </c>
      <c r="G270" s="1"/>
      <c r="H270" s="1"/>
    </row>
    <row r="271">
      <c r="A271" s="36">
        <f>IFERROR(__xludf.DUMMYFUNCTION("""COMPUTED_VALUE"""),45871.0)</f>
        <v>45871</v>
      </c>
      <c r="B271" s="1" t="str">
        <f>IFERROR(__xludf.DUMMYFUNCTION("""COMPUTED_VALUE"""),"Snacky")</f>
        <v>Snacky</v>
      </c>
      <c r="C271" s="35">
        <f>IFERROR(__xludf.DUMMYFUNCTION("""COMPUTED_VALUE"""),170.0)</f>
        <v>170</v>
      </c>
      <c r="D271" s="1" t="str">
        <f>IFERROR(__xludf.DUMMYFUNCTION("""COMPUTED_VALUE"""),"LYD")</f>
        <v>LYD</v>
      </c>
      <c r="E271" s="1" t="str">
        <f>IFERROR(__xludf.DUMMYFUNCTION("""COMPUTED_VALUE"""),"Money Out")</f>
        <v>Money Out</v>
      </c>
      <c r="F271" s="1" t="str">
        <f>IFERROR(__xludf.DUMMYFUNCTION("""COMPUTED_VALUE"""),"Anas")</f>
        <v>Anas</v>
      </c>
      <c r="G271" s="1"/>
      <c r="H271" s="1"/>
    </row>
    <row r="272">
      <c r="A272" s="36">
        <f>IFERROR(__xludf.DUMMYFUNCTION("""COMPUTED_VALUE"""),45871.0)</f>
        <v>45871</v>
      </c>
      <c r="B272" s="1" t="str">
        <f>IFERROR(__xludf.DUMMYFUNCTION("""COMPUTED_VALUE"""),"Anas")</f>
        <v>Anas</v>
      </c>
      <c r="C272" s="35">
        <f>IFERROR(__xludf.DUMMYFUNCTION("""COMPUTED_VALUE"""),170.0)</f>
        <v>170</v>
      </c>
      <c r="D272" s="1" t="str">
        <f>IFERROR(__xludf.DUMMYFUNCTION("""COMPUTED_VALUE"""),"LYD")</f>
        <v>LYD</v>
      </c>
      <c r="E272" s="1" t="str">
        <f>IFERROR(__xludf.DUMMYFUNCTION("""COMPUTED_VALUE"""),"Money In")</f>
        <v>Money In</v>
      </c>
      <c r="F272" s="1" t="str">
        <f>IFERROR(__xludf.DUMMYFUNCTION("""COMPUTED_VALUE"""),"from snacky")</f>
        <v>from snacky</v>
      </c>
      <c r="G272" s="1"/>
      <c r="H272" s="1"/>
    </row>
    <row r="273">
      <c r="A273" s="36">
        <f>IFERROR(__xludf.DUMMYFUNCTION("""COMPUTED_VALUE"""),45871.0)</f>
        <v>45871</v>
      </c>
      <c r="B273" s="1" t="str">
        <f>IFERROR(__xludf.DUMMYFUNCTION("""COMPUTED_VALUE"""),"Snacky")</f>
        <v>Snacky</v>
      </c>
      <c r="C273" s="35">
        <f>IFERROR(__xludf.DUMMYFUNCTION("""COMPUTED_VALUE"""),571.0)</f>
        <v>571</v>
      </c>
      <c r="D273" s="1" t="str">
        <f>IFERROR(__xludf.DUMMYFUNCTION("""COMPUTED_VALUE"""),"LYD")</f>
        <v>LYD</v>
      </c>
      <c r="E273" s="1" t="str">
        <f>IFERROR(__xludf.DUMMYFUNCTION("""COMPUTED_VALUE"""),"Money Out")</f>
        <v>Money Out</v>
      </c>
      <c r="F273" s="1" t="str">
        <f>IFERROR(__xludf.DUMMYFUNCTION("""COMPUTED_VALUE"""),"Product Restocking")</f>
        <v>Product Restocking</v>
      </c>
      <c r="G273" s="1"/>
      <c r="H273" s="1"/>
    </row>
    <row r="274">
      <c r="A274" s="36">
        <f>IFERROR(__xludf.DUMMYFUNCTION("""COMPUTED_VALUE"""),45872.0)</f>
        <v>45872</v>
      </c>
      <c r="B274" s="1" t="str">
        <f>IFERROR(__xludf.DUMMYFUNCTION("""COMPUTED_VALUE"""),"Snacky")</f>
        <v>Snacky</v>
      </c>
      <c r="C274" s="35">
        <f>IFERROR(__xludf.DUMMYFUNCTION("""COMPUTED_VALUE"""),251.0)</f>
        <v>251</v>
      </c>
      <c r="D274" s="1" t="str">
        <f>IFERROR(__xludf.DUMMYFUNCTION("""COMPUTED_VALUE"""),"LYD")</f>
        <v>LYD</v>
      </c>
      <c r="E274" s="1" t="str">
        <f>IFERROR(__xludf.DUMMYFUNCTION("""COMPUTED_VALUE"""),"Money Out")</f>
        <v>Money Out</v>
      </c>
      <c r="F274" s="1" t="str">
        <f>IFERROR(__xludf.DUMMYFUNCTION("""COMPUTED_VALUE"""),"Product Restocking")</f>
        <v>Product Restocking</v>
      </c>
      <c r="G274" s="1"/>
      <c r="H274" s="1"/>
    </row>
    <row r="275">
      <c r="A275" s="36">
        <f>IFERROR(__xludf.DUMMYFUNCTION("""COMPUTED_VALUE"""),45873.0)</f>
        <v>45873</v>
      </c>
      <c r="B275" s="1" t="str">
        <f>IFERROR(__xludf.DUMMYFUNCTION("""COMPUTED_VALUE"""),"Snacky")</f>
        <v>Snacky</v>
      </c>
      <c r="C275" s="35">
        <f>IFERROR(__xludf.DUMMYFUNCTION("""COMPUTED_VALUE"""),352.0)</f>
        <v>352</v>
      </c>
      <c r="D275" s="1" t="str">
        <f>IFERROR(__xludf.DUMMYFUNCTION("""COMPUTED_VALUE"""),"LYD")</f>
        <v>LYD</v>
      </c>
      <c r="E275" s="1" t="str">
        <f>IFERROR(__xludf.DUMMYFUNCTION("""COMPUTED_VALUE"""),"Money Out")</f>
        <v>Money Out</v>
      </c>
      <c r="F275" s="1" t="str">
        <f>IFERROR(__xludf.DUMMYFUNCTION("""COMPUTED_VALUE"""),"Product Restocking")</f>
        <v>Product Restocking</v>
      </c>
      <c r="G275" s="1"/>
      <c r="H275" s="1"/>
    </row>
    <row r="276">
      <c r="A276" s="36">
        <f>IFERROR(__xludf.DUMMYFUNCTION("""COMPUTED_VALUE"""),45873.0)</f>
        <v>45873</v>
      </c>
      <c r="B276" s="1" t="str">
        <f>IFERROR(__xludf.DUMMYFUNCTION("""COMPUTED_VALUE"""),"Snacky")</f>
        <v>Snacky</v>
      </c>
      <c r="C276" s="35">
        <f>IFERROR(__xludf.DUMMYFUNCTION("""COMPUTED_VALUE"""),2007.0)</f>
        <v>2007</v>
      </c>
      <c r="D276" s="1" t="str">
        <f>IFERROR(__xludf.DUMMYFUNCTION("""COMPUTED_VALUE"""),"LYD")</f>
        <v>LYD</v>
      </c>
      <c r="E276" s="1" t="str">
        <f>IFERROR(__xludf.DUMMYFUNCTION("""COMPUTED_VALUE"""),"Money Out")</f>
        <v>Money Out</v>
      </c>
      <c r="F276" s="1"/>
      <c r="G276" s="1"/>
      <c r="H276" s="1" t="str">
        <f>IFERROR(__xludf.DUMMYFUNCTION("""COMPUTED_VALUE"""),"الى تيسير سعر شراء (bill accepter)")</f>
        <v>الى تيسير سعر شراء (bill accepter)</v>
      </c>
    </row>
    <row r="277">
      <c r="A277" s="36">
        <f>IFERROR(__xludf.DUMMYFUNCTION("""COMPUTED_VALUE"""),45874.0)</f>
        <v>45874</v>
      </c>
      <c r="B277" s="1" t="str">
        <f>IFERROR(__xludf.DUMMYFUNCTION("""COMPUTED_VALUE"""),"Snacky")</f>
        <v>Snacky</v>
      </c>
      <c r="C277" s="35">
        <f>IFERROR(__xludf.DUMMYFUNCTION("""COMPUTED_VALUE"""),707.0)</f>
        <v>707</v>
      </c>
      <c r="D277" s="1" t="str">
        <f>IFERROR(__xludf.DUMMYFUNCTION("""COMPUTED_VALUE"""),"LYD")</f>
        <v>LYD</v>
      </c>
      <c r="E277" s="1" t="str">
        <f>IFERROR(__xludf.DUMMYFUNCTION("""COMPUTED_VALUE"""),"Money Out")</f>
        <v>Money Out</v>
      </c>
      <c r="F277" s="1" t="str">
        <f>IFERROR(__xludf.DUMMYFUNCTION("""COMPUTED_VALUE"""),"Product Restocking")</f>
        <v>Product Restocking</v>
      </c>
      <c r="G277" s="1"/>
      <c r="H277" s="1"/>
    </row>
    <row r="278">
      <c r="A278" s="36">
        <f>IFERROR(__xludf.DUMMYFUNCTION("""COMPUTED_VALUE"""),45876.0)</f>
        <v>45876</v>
      </c>
      <c r="B278" s="1" t="str">
        <f>IFERROR(__xludf.DUMMYFUNCTION("""COMPUTED_VALUE"""),"Snacky")</f>
        <v>Snacky</v>
      </c>
      <c r="C278" s="35">
        <f>IFERROR(__xludf.DUMMYFUNCTION("""COMPUTED_VALUE"""),817.0)</f>
        <v>817</v>
      </c>
      <c r="D278" s="1" t="str">
        <f>IFERROR(__xludf.DUMMYFUNCTION("""COMPUTED_VALUE"""),"LYD")</f>
        <v>LYD</v>
      </c>
      <c r="E278" s="1" t="str">
        <f>IFERROR(__xludf.DUMMYFUNCTION("""COMPUTED_VALUE"""),"Money Out")</f>
        <v>Money Out</v>
      </c>
      <c r="F278" s="1" t="str">
        <f>IFERROR(__xludf.DUMMYFUNCTION("""COMPUTED_VALUE"""),"Product Restocking")</f>
        <v>Product Restocking</v>
      </c>
      <c r="G278" s="1"/>
      <c r="H278" s="1"/>
    </row>
    <row r="279">
      <c r="A279" s="36">
        <f>IFERROR(__xludf.DUMMYFUNCTION("""COMPUTED_VALUE"""),45880.0)</f>
        <v>45880</v>
      </c>
      <c r="B279" s="1" t="str">
        <f>IFERROR(__xludf.DUMMYFUNCTION("""COMPUTED_VALUE"""),"Snacky")</f>
        <v>Snacky</v>
      </c>
      <c r="C279" s="35">
        <f>IFERROR(__xludf.DUMMYFUNCTION("""COMPUTED_VALUE"""),3232.0)</f>
        <v>3232</v>
      </c>
      <c r="D279" s="1" t="str">
        <f>IFERROR(__xludf.DUMMYFUNCTION("""COMPUTED_VALUE"""),"LYD")</f>
        <v>LYD</v>
      </c>
      <c r="E279" s="1" t="str">
        <f>IFERROR(__xludf.DUMMYFUNCTION("""COMPUTED_VALUE"""),"Money In")</f>
        <v>Money In</v>
      </c>
      <c r="F279" s="1" t="str">
        <f>IFERROR(__xludf.DUMMYFUNCTION("""COMPUTED_VALUE"""),"Revenue")</f>
        <v>Revenue</v>
      </c>
      <c r="G279" s="1" t="str">
        <f>IFERROR(__xludf.DUMMYFUNCTION("""COMPUTED_VALUE"""),"HTMall")</f>
        <v>HTMall</v>
      </c>
      <c r="H279" s="1"/>
    </row>
    <row r="280">
      <c r="A280" s="36">
        <f>IFERROR(__xludf.DUMMYFUNCTION("""COMPUTED_VALUE"""),45880.0)</f>
        <v>45880</v>
      </c>
      <c r="B280" s="1" t="str">
        <f>IFERROR(__xludf.DUMMYFUNCTION("""COMPUTED_VALUE"""),"Snacky")</f>
        <v>Snacky</v>
      </c>
      <c r="C280" s="35">
        <f>IFERROR(__xludf.DUMMYFUNCTION("""COMPUTED_VALUE"""),211.0)</f>
        <v>211</v>
      </c>
      <c r="D280" s="1" t="str">
        <f>IFERROR(__xludf.DUMMYFUNCTION("""COMPUTED_VALUE"""),"LYD")</f>
        <v>LYD</v>
      </c>
      <c r="E280" s="1" t="str">
        <f>IFERROR(__xludf.DUMMYFUNCTION("""COMPUTED_VALUE"""),"Money Out")</f>
        <v>Money Out</v>
      </c>
      <c r="F280" s="1" t="str">
        <f>IFERROR(__xludf.DUMMYFUNCTION("""COMPUTED_VALUE"""),"Product Restocking")</f>
        <v>Product Restocking</v>
      </c>
      <c r="G280" s="1"/>
      <c r="H280" s="1"/>
    </row>
    <row r="281">
      <c r="A281" s="36">
        <f>IFERROR(__xludf.DUMMYFUNCTION("""COMPUTED_VALUE"""),45881.0)</f>
        <v>45881</v>
      </c>
      <c r="B281" s="1" t="str">
        <f>IFERROR(__xludf.DUMMYFUNCTION("""COMPUTED_VALUE"""),"Snacky")</f>
        <v>Snacky</v>
      </c>
      <c r="C281" s="35">
        <f>IFERROR(__xludf.DUMMYFUNCTION("""COMPUTED_VALUE"""),774.0)</f>
        <v>774</v>
      </c>
      <c r="D281" s="1" t="str">
        <f>IFERROR(__xludf.DUMMYFUNCTION("""COMPUTED_VALUE"""),"LYD")</f>
        <v>LYD</v>
      </c>
      <c r="E281" s="1" t="str">
        <f>IFERROR(__xludf.DUMMYFUNCTION("""COMPUTED_VALUE"""),"Money Out")</f>
        <v>Money Out</v>
      </c>
      <c r="F281" s="1" t="str">
        <f>IFERROR(__xludf.DUMMYFUNCTION("""COMPUTED_VALUE"""),"Product Restocking")</f>
        <v>Product Restocking</v>
      </c>
      <c r="G281" s="1"/>
      <c r="H281" s="1"/>
    </row>
    <row r="282">
      <c r="A282" s="36">
        <f>IFERROR(__xludf.DUMMYFUNCTION("""COMPUTED_VALUE"""),45882.0)</f>
        <v>45882</v>
      </c>
      <c r="B282" s="1" t="str">
        <f>IFERROR(__xludf.DUMMYFUNCTION("""COMPUTED_VALUE"""),"Snacky")</f>
        <v>Snacky</v>
      </c>
      <c r="C282" s="35">
        <f>IFERROR(__xludf.DUMMYFUNCTION("""COMPUTED_VALUE"""),362.0)</f>
        <v>362</v>
      </c>
      <c r="D282" s="1" t="str">
        <f>IFERROR(__xludf.DUMMYFUNCTION("""COMPUTED_VALUE"""),"LYD")</f>
        <v>LYD</v>
      </c>
      <c r="E282" s="1" t="str">
        <f>IFERROR(__xludf.DUMMYFUNCTION("""COMPUTED_VALUE"""),"Money Out")</f>
        <v>Money Out</v>
      </c>
      <c r="F282" s="1" t="str">
        <f>IFERROR(__xludf.DUMMYFUNCTION("""COMPUTED_VALUE"""),"Product Restocking")</f>
        <v>Product Restocking</v>
      </c>
      <c r="G282" s="1"/>
      <c r="H282" s="1"/>
    </row>
    <row r="283">
      <c r="A283" s="36">
        <f>IFERROR(__xludf.DUMMYFUNCTION("""COMPUTED_VALUE"""),45883.0)</f>
        <v>45883</v>
      </c>
      <c r="B283" s="1" t="str">
        <f>IFERROR(__xludf.DUMMYFUNCTION("""COMPUTED_VALUE"""),"Snacky")</f>
        <v>Snacky</v>
      </c>
      <c r="C283" s="35">
        <f>IFERROR(__xludf.DUMMYFUNCTION("""COMPUTED_VALUE"""),796.0)</f>
        <v>796</v>
      </c>
      <c r="D283" s="1" t="str">
        <f>IFERROR(__xludf.DUMMYFUNCTION("""COMPUTED_VALUE"""),"LYD")</f>
        <v>LYD</v>
      </c>
      <c r="E283" s="1" t="str">
        <f>IFERROR(__xludf.DUMMYFUNCTION("""COMPUTED_VALUE"""),"Money Out")</f>
        <v>Money Out</v>
      </c>
      <c r="F283" s="1" t="str">
        <f>IFERROR(__xludf.DUMMYFUNCTION("""COMPUTED_VALUE"""),"Product Restocking")</f>
        <v>Product Restocking</v>
      </c>
      <c r="G283" s="1"/>
      <c r="H283" s="1"/>
    </row>
    <row r="284">
      <c r="A284" s="36">
        <f>IFERROR(__xludf.DUMMYFUNCTION("""COMPUTED_VALUE"""),45885.0)</f>
        <v>45885</v>
      </c>
      <c r="B284" s="1" t="str">
        <f>IFERROR(__xludf.DUMMYFUNCTION("""COMPUTED_VALUE"""),"Snacky")</f>
        <v>Snacky</v>
      </c>
      <c r="C284" s="35">
        <f>IFERROR(__xludf.DUMMYFUNCTION("""COMPUTED_VALUE"""),442.0)</f>
        <v>442</v>
      </c>
      <c r="D284" s="1" t="str">
        <f>IFERROR(__xludf.DUMMYFUNCTION("""COMPUTED_VALUE"""),"LYD")</f>
        <v>LYD</v>
      </c>
      <c r="E284" s="1" t="str">
        <f>IFERROR(__xludf.DUMMYFUNCTION("""COMPUTED_VALUE"""),"Money Out")</f>
        <v>Money Out</v>
      </c>
      <c r="F284" s="1" t="str">
        <f>IFERROR(__xludf.DUMMYFUNCTION("""COMPUTED_VALUE"""),"Product Restocking")</f>
        <v>Product Restocking</v>
      </c>
      <c r="G284" s="1"/>
      <c r="H284" s="1"/>
    </row>
    <row r="285">
      <c r="A285" s="36">
        <f>IFERROR(__xludf.DUMMYFUNCTION("""COMPUTED_VALUE"""),45886.0)</f>
        <v>45886</v>
      </c>
      <c r="B285" s="1" t="str">
        <f>IFERROR(__xludf.DUMMYFUNCTION("""COMPUTED_VALUE"""),"Snacky")</f>
        <v>Snacky</v>
      </c>
      <c r="C285" s="35">
        <f>IFERROR(__xludf.DUMMYFUNCTION("""COMPUTED_VALUE"""),170.0)</f>
        <v>170</v>
      </c>
      <c r="D285" s="1" t="str">
        <f>IFERROR(__xludf.DUMMYFUNCTION("""COMPUTED_VALUE"""),"LYD")</f>
        <v>LYD</v>
      </c>
      <c r="E285" s="1" t="str">
        <f>IFERROR(__xludf.DUMMYFUNCTION("""COMPUTED_VALUE"""),"Money Out")</f>
        <v>Money Out</v>
      </c>
      <c r="F285" s="1" t="str">
        <f>IFERROR(__xludf.DUMMYFUNCTION("""COMPUTED_VALUE"""),"Product Restocking")</f>
        <v>Product Restocking</v>
      </c>
      <c r="G285" s="1"/>
      <c r="H285" s="1"/>
    </row>
    <row r="286">
      <c r="A286" s="36">
        <f>IFERROR(__xludf.DUMMYFUNCTION("""COMPUTED_VALUE"""),45887.0)</f>
        <v>45887</v>
      </c>
      <c r="B286" s="1" t="str">
        <f>IFERROR(__xludf.DUMMYFUNCTION("""COMPUTED_VALUE"""),"Snacky")</f>
        <v>Snacky</v>
      </c>
      <c r="C286" s="35">
        <f>IFERROR(__xludf.DUMMYFUNCTION("""COMPUTED_VALUE"""),195.0)</f>
        <v>195</v>
      </c>
      <c r="D286" s="1" t="str">
        <f>IFERROR(__xludf.DUMMYFUNCTION("""COMPUTED_VALUE"""),"LYD")</f>
        <v>LYD</v>
      </c>
      <c r="E286" s="1" t="str">
        <f>IFERROR(__xludf.DUMMYFUNCTION("""COMPUTED_VALUE"""),"Money Out")</f>
        <v>Money Out</v>
      </c>
      <c r="F286" s="1" t="str">
        <f>IFERROR(__xludf.DUMMYFUNCTION("""COMPUTED_VALUE"""),"Product Restocking")</f>
        <v>Product Restocking</v>
      </c>
      <c r="G286" s="1"/>
      <c r="H286" s="1"/>
    </row>
    <row r="287">
      <c r="A287" s="36">
        <f>IFERROR(__xludf.DUMMYFUNCTION("""COMPUTED_VALUE"""),45888.0)</f>
        <v>45888</v>
      </c>
      <c r="B287" s="1" t="str">
        <f>IFERROR(__xludf.DUMMYFUNCTION("""COMPUTED_VALUE"""),"Snacky")</f>
        <v>Snacky</v>
      </c>
      <c r="C287" s="35">
        <f>IFERROR(__xludf.DUMMYFUNCTION("""COMPUTED_VALUE"""),641.0)</f>
        <v>641</v>
      </c>
      <c r="D287" s="1" t="str">
        <f>IFERROR(__xludf.DUMMYFUNCTION("""COMPUTED_VALUE"""),"LYD")</f>
        <v>LYD</v>
      </c>
      <c r="E287" s="1" t="str">
        <f>IFERROR(__xludf.DUMMYFUNCTION("""COMPUTED_VALUE"""),"Money Out")</f>
        <v>Money Out</v>
      </c>
      <c r="F287" s="1" t="str">
        <f>IFERROR(__xludf.DUMMYFUNCTION("""COMPUTED_VALUE"""),"Product Restocking")</f>
        <v>Product Restocking</v>
      </c>
      <c r="G287" s="1"/>
      <c r="H287" s="1"/>
    </row>
    <row r="288">
      <c r="A288" s="36">
        <f>IFERROR(__xludf.DUMMYFUNCTION("""COMPUTED_VALUE"""),45890.0)</f>
        <v>45890</v>
      </c>
      <c r="B288" s="1" t="str">
        <f>IFERROR(__xludf.DUMMYFUNCTION("""COMPUTED_VALUE"""),"Snacky")</f>
        <v>Snacky</v>
      </c>
      <c r="C288" s="35">
        <f>IFERROR(__xludf.DUMMYFUNCTION("""COMPUTED_VALUE"""),1264.0)</f>
        <v>1264</v>
      </c>
      <c r="D288" s="1" t="str">
        <f>IFERROR(__xludf.DUMMYFUNCTION("""COMPUTED_VALUE"""),"LYD")</f>
        <v>LYD</v>
      </c>
      <c r="E288" s="1" t="str">
        <f>IFERROR(__xludf.DUMMYFUNCTION("""COMPUTED_VALUE"""),"Money Out")</f>
        <v>Money Out</v>
      </c>
      <c r="F288" s="1" t="str">
        <f>IFERROR(__xludf.DUMMYFUNCTION("""COMPUTED_VALUE"""),"Product Restocking")</f>
        <v>Product Restocking</v>
      </c>
      <c r="G288" s="1"/>
      <c r="H288" s="1"/>
    </row>
    <row r="289">
      <c r="A289" s="36">
        <f>IFERROR(__xludf.DUMMYFUNCTION("""COMPUTED_VALUE"""),45892.0)</f>
        <v>45892</v>
      </c>
      <c r="B289" s="1" t="str">
        <f>IFERROR(__xludf.DUMMYFUNCTION("""COMPUTED_VALUE"""),"Snacky")</f>
        <v>Snacky</v>
      </c>
      <c r="C289" s="35">
        <f>IFERROR(__xludf.DUMMYFUNCTION("""COMPUTED_VALUE"""),332.0)</f>
        <v>332</v>
      </c>
      <c r="D289" s="1" t="str">
        <f>IFERROR(__xludf.DUMMYFUNCTION("""COMPUTED_VALUE"""),"LYD")</f>
        <v>LYD</v>
      </c>
      <c r="E289" s="1" t="str">
        <f>IFERROR(__xludf.DUMMYFUNCTION("""COMPUTED_VALUE"""),"Money Out")</f>
        <v>Money Out</v>
      </c>
      <c r="F289" s="1" t="str">
        <f>IFERROR(__xludf.DUMMYFUNCTION("""COMPUTED_VALUE"""),"Product Restocking")</f>
        <v>Product Restocking</v>
      </c>
      <c r="G289" s="1"/>
      <c r="H289" s="1"/>
    </row>
    <row r="290">
      <c r="A290" s="36">
        <f>IFERROR(__xludf.DUMMYFUNCTION("""COMPUTED_VALUE"""),45892.0)</f>
        <v>45892</v>
      </c>
      <c r="B290" s="1" t="str">
        <f>IFERROR(__xludf.DUMMYFUNCTION("""COMPUTED_VALUE"""),"Snacky")</f>
        <v>Snacky</v>
      </c>
      <c r="C290" s="35">
        <f>IFERROR(__xludf.DUMMYFUNCTION("""COMPUTED_VALUE"""),4345.0)</f>
        <v>4345</v>
      </c>
      <c r="D290" s="1" t="str">
        <f>IFERROR(__xludf.DUMMYFUNCTION("""COMPUTED_VALUE"""),"LYD")</f>
        <v>LYD</v>
      </c>
      <c r="E290" s="1" t="str">
        <f>IFERROR(__xludf.DUMMYFUNCTION("""COMPUTED_VALUE"""),"Money In")</f>
        <v>Money In</v>
      </c>
      <c r="F290" s="1" t="str">
        <f>IFERROR(__xludf.DUMMYFUNCTION("""COMPUTED_VALUE"""),"Revenue")</f>
        <v>Revenue</v>
      </c>
      <c r="G290" s="1" t="str">
        <f>IFERROR(__xludf.DUMMYFUNCTION("""COMPUTED_VALUE"""),"deplomacyMall")</f>
        <v>deplomacyMall</v>
      </c>
      <c r="H290" s="1"/>
    </row>
    <row r="291">
      <c r="A291" s="36">
        <f>IFERROR(__xludf.DUMMYFUNCTION("""COMPUTED_VALUE"""),45895.0)</f>
        <v>45895</v>
      </c>
      <c r="B291" s="1" t="str">
        <f>IFERROR(__xludf.DUMMYFUNCTION("""COMPUTED_VALUE"""),"Snacky")</f>
        <v>Snacky</v>
      </c>
      <c r="C291" s="35">
        <f>IFERROR(__xludf.DUMMYFUNCTION("""COMPUTED_VALUE"""),210.0)</f>
        <v>210</v>
      </c>
      <c r="D291" s="1" t="str">
        <f>IFERROR(__xludf.DUMMYFUNCTION("""COMPUTED_VALUE"""),"LYD")</f>
        <v>LYD</v>
      </c>
      <c r="E291" s="1" t="str">
        <f>IFERROR(__xludf.DUMMYFUNCTION("""COMPUTED_VALUE"""),"Money Out")</f>
        <v>Money Out</v>
      </c>
      <c r="F291" s="1" t="str">
        <f>IFERROR(__xludf.DUMMYFUNCTION("""COMPUTED_VALUE"""),"Product Restocking")</f>
        <v>Product Restocking</v>
      </c>
      <c r="G291" s="1"/>
      <c r="H291" s="1"/>
    </row>
    <row r="292">
      <c r="A292" s="36">
        <f>IFERROR(__xludf.DUMMYFUNCTION("""COMPUTED_VALUE"""),45896.0)</f>
        <v>45896</v>
      </c>
      <c r="B292" s="1" t="str">
        <f>IFERROR(__xludf.DUMMYFUNCTION("""COMPUTED_VALUE"""),"Snacky")</f>
        <v>Snacky</v>
      </c>
      <c r="C292" s="35">
        <f>IFERROR(__xludf.DUMMYFUNCTION("""COMPUTED_VALUE"""),4668.0)</f>
        <v>4668</v>
      </c>
      <c r="D292" s="1" t="str">
        <f>IFERROR(__xludf.DUMMYFUNCTION("""COMPUTED_VALUE"""),"LYD")</f>
        <v>LYD</v>
      </c>
      <c r="E292" s="1" t="str">
        <f>IFERROR(__xludf.DUMMYFUNCTION("""COMPUTED_VALUE"""),"Money In")</f>
        <v>Money In</v>
      </c>
      <c r="F292" s="1" t="str">
        <f>IFERROR(__xludf.DUMMYFUNCTION("""COMPUTED_VALUE"""),"Revenue")</f>
        <v>Revenue</v>
      </c>
      <c r="G292" s="1" t="str">
        <f>IFERROR(__xludf.DUMMYFUNCTION("""COMPUTED_VALUE"""),"AlmouasafatHospital")</f>
        <v>AlmouasafatHospital</v>
      </c>
      <c r="H292" s="1"/>
    </row>
    <row r="293">
      <c r="A293" s="36">
        <f>IFERROR(__xludf.DUMMYFUNCTION("""COMPUTED_VALUE"""),45897.0)</f>
        <v>45897</v>
      </c>
      <c r="B293" s="1" t="str">
        <f>IFERROR(__xludf.DUMMYFUNCTION("""COMPUTED_VALUE"""),"Snacky")</f>
        <v>Snacky</v>
      </c>
      <c r="C293" s="35">
        <f>IFERROR(__xludf.DUMMYFUNCTION("""COMPUTED_VALUE"""),591.0)</f>
        <v>591</v>
      </c>
      <c r="D293" s="1" t="str">
        <f>IFERROR(__xludf.DUMMYFUNCTION("""COMPUTED_VALUE"""),"LYD")</f>
        <v>LYD</v>
      </c>
      <c r="E293" s="1" t="str">
        <f>IFERROR(__xludf.DUMMYFUNCTION("""COMPUTED_VALUE"""),"Money Out")</f>
        <v>Money Out</v>
      </c>
      <c r="F293" s="1" t="str">
        <f>IFERROR(__xludf.DUMMYFUNCTION("""COMPUTED_VALUE"""),"Product Restocking")</f>
        <v>Product Restocking</v>
      </c>
      <c r="G293" s="1"/>
      <c r="H293" s="1"/>
    </row>
    <row r="294">
      <c r="A294" s="36">
        <f>IFERROR(__xludf.DUMMYFUNCTION("""COMPUTED_VALUE"""),45897.0)</f>
        <v>45897</v>
      </c>
      <c r="B294" s="1" t="str">
        <f>IFERROR(__xludf.DUMMYFUNCTION("""COMPUTED_VALUE"""),"Snacky")</f>
        <v>Snacky</v>
      </c>
      <c r="C294" s="35">
        <f>IFERROR(__xludf.DUMMYFUNCTION("""COMPUTED_VALUE"""),3276.0)</f>
        <v>3276</v>
      </c>
      <c r="D294" s="1" t="str">
        <f>IFERROR(__xludf.DUMMYFUNCTION("""COMPUTED_VALUE"""),"LYD")</f>
        <v>LYD</v>
      </c>
      <c r="E294" s="1" t="str">
        <f>IFERROR(__xludf.DUMMYFUNCTION("""COMPUTED_VALUE"""),"Money In")</f>
        <v>Money In</v>
      </c>
      <c r="F294" s="1" t="str">
        <f>IFERROR(__xludf.DUMMYFUNCTION("""COMPUTED_VALUE"""),"Revenue")</f>
        <v>Revenue</v>
      </c>
      <c r="G294" s="1" t="str">
        <f>IFERROR(__xludf.DUMMYFUNCTION("""COMPUTED_VALUE"""),"HTMall")</f>
        <v>HTMall</v>
      </c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36">
        <f>IFERROR(__xludf.DUMMYFUNCTION("""COMPUTED_VALUE"""),45897.0)</f>
        <v>45897</v>
      </c>
      <c r="B296" s="1" t="str">
        <f>IFERROR(__xludf.DUMMYFUNCTION("""COMPUTED_VALUE"""),"Snacky")</f>
        <v>Snacky</v>
      </c>
      <c r="C296" s="35">
        <f>IFERROR(__xludf.DUMMYFUNCTION("""COMPUTED_VALUE"""),4349.0)</f>
        <v>4349</v>
      </c>
      <c r="D296" s="1" t="str">
        <f>IFERROR(__xludf.DUMMYFUNCTION("""COMPUTED_VALUE"""),"LYD")</f>
        <v>LYD</v>
      </c>
      <c r="E296" s="1" t="str">
        <f>IFERROR(__xludf.DUMMYFUNCTION("""COMPUTED_VALUE"""),"Money Out")</f>
        <v>Money Out</v>
      </c>
      <c r="F296" s="1"/>
      <c r="G296" s="1"/>
      <c r="H296" s="1" t="str">
        <f>IFERROR(__xludf.DUMMYFUNCTION("""COMPUTED_VALUE"""),"تعديل ميزانيه ")</f>
        <v>تعديل ميزانيه </v>
      </c>
    </row>
    <row r="297">
      <c r="A297" s="36">
        <f>IFERROR(__xludf.DUMMYFUNCTION("""COMPUTED_VALUE"""),45898.0)</f>
        <v>45898</v>
      </c>
      <c r="B297" s="1" t="str">
        <f>IFERROR(__xludf.DUMMYFUNCTION("""COMPUTED_VALUE"""),"Snacky")</f>
        <v>Snacky</v>
      </c>
      <c r="C297" s="35">
        <f>IFERROR(__xludf.DUMMYFUNCTION("""COMPUTED_VALUE"""),176.0)</f>
        <v>176</v>
      </c>
      <c r="D297" s="1" t="str">
        <f>IFERROR(__xludf.DUMMYFUNCTION("""COMPUTED_VALUE"""),"LYD")</f>
        <v>LYD</v>
      </c>
      <c r="E297" s="1" t="str">
        <f>IFERROR(__xludf.DUMMYFUNCTION("""COMPUTED_VALUE"""),"Money Out")</f>
        <v>Money Out</v>
      </c>
      <c r="F297" s="1" t="str">
        <f>IFERROR(__xludf.DUMMYFUNCTION("""COMPUTED_VALUE"""),"Product Restocking")</f>
        <v>Product Restocking</v>
      </c>
      <c r="G297" s="1"/>
      <c r="H297" s="1"/>
    </row>
    <row r="298">
      <c r="A298" s="36">
        <f>IFERROR(__xludf.DUMMYFUNCTION("""COMPUTED_VALUE"""),45899.0)</f>
        <v>45899</v>
      </c>
      <c r="B298" s="1" t="str">
        <f>IFERROR(__xludf.DUMMYFUNCTION("""COMPUTED_VALUE"""),"Snacky")</f>
        <v>Snacky</v>
      </c>
      <c r="C298" s="35">
        <f>IFERROR(__xludf.DUMMYFUNCTION("""COMPUTED_VALUE"""),237.0)</f>
        <v>237</v>
      </c>
      <c r="D298" s="1" t="str">
        <f>IFERROR(__xludf.DUMMYFUNCTION("""COMPUTED_VALUE"""),"LYD")</f>
        <v>LYD</v>
      </c>
      <c r="E298" s="1" t="str">
        <f>IFERROR(__xludf.DUMMYFUNCTION("""COMPUTED_VALUE"""),"Money Out")</f>
        <v>Money Out</v>
      </c>
      <c r="F298" s="1" t="str">
        <f>IFERROR(__xludf.DUMMYFUNCTION("""COMPUTED_VALUE"""),"Product Restocking")</f>
        <v>Product Restocking</v>
      </c>
      <c r="G298" s="1"/>
      <c r="H298" s="1"/>
    </row>
    <row r="299">
      <c r="A299" s="36">
        <f>IFERROR(__xludf.DUMMYFUNCTION("""COMPUTED_VALUE"""),45900.0)</f>
        <v>45900</v>
      </c>
      <c r="B299" s="1" t="str">
        <f>IFERROR(__xludf.DUMMYFUNCTION("""COMPUTED_VALUE"""),"Snacky")</f>
        <v>Snacky</v>
      </c>
      <c r="C299" s="35">
        <f>IFERROR(__xludf.DUMMYFUNCTION("""COMPUTED_VALUE"""),554.0)</f>
        <v>554</v>
      </c>
      <c r="D299" s="1" t="str">
        <f>IFERROR(__xludf.DUMMYFUNCTION("""COMPUTED_VALUE"""),"LYD")</f>
        <v>LYD</v>
      </c>
      <c r="E299" s="1" t="str">
        <f>IFERROR(__xludf.DUMMYFUNCTION("""COMPUTED_VALUE"""),"Money Out")</f>
        <v>Money Out</v>
      </c>
      <c r="F299" s="1" t="str">
        <f>IFERROR(__xludf.DUMMYFUNCTION("""COMPUTED_VALUE"""),"Product Restocking")</f>
        <v>Product Restocking</v>
      </c>
      <c r="G299" s="1"/>
      <c r="H299" s="1"/>
    </row>
    <row r="300">
      <c r="A300" s="36">
        <f>IFERROR(__xludf.DUMMYFUNCTION("""COMPUTED_VALUE"""),45900.0)</f>
        <v>45900</v>
      </c>
      <c r="B300" s="1" t="str">
        <f>IFERROR(__xludf.DUMMYFUNCTION("""COMPUTED_VALUE"""),"Snacky")</f>
        <v>Snacky</v>
      </c>
      <c r="C300" s="35">
        <f>IFERROR(__xludf.DUMMYFUNCTION("""COMPUTED_VALUE"""),960.0)</f>
        <v>960</v>
      </c>
      <c r="D300" s="1" t="str">
        <f>IFERROR(__xludf.DUMMYFUNCTION("""COMPUTED_VALUE"""),"LYD")</f>
        <v>LYD</v>
      </c>
      <c r="E300" s="1" t="str">
        <f>IFERROR(__xludf.DUMMYFUNCTION("""COMPUTED_VALUE"""),"Money In")</f>
        <v>Money In</v>
      </c>
      <c r="F300" s="1" t="str">
        <f>IFERROR(__xludf.DUMMYFUNCTION("""COMPUTED_VALUE"""),"Revenue")</f>
        <v>Revenue</v>
      </c>
      <c r="G300" s="1" t="str">
        <f>IFERROR(__xludf.DUMMYFUNCTION("""COMPUTED_VALUE"""),"AlmouasafatHospital")</f>
        <v>AlmouasafatHospital</v>
      </c>
      <c r="H300" s="1"/>
    </row>
    <row r="301">
      <c r="A301" s="36">
        <f>IFERROR(__xludf.DUMMYFUNCTION("""COMPUTED_VALUE"""),45900.0)</f>
        <v>45900</v>
      </c>
      <c r="B301" s="1" t="str">
        <f>IFERROR(__xludf.DUMMYFUNCTION("""COMPUTED_VALUE"""),"Snacky")</f>
        <v>Snacky</v>
      </c>
      <c r="C301" s="35">
        <f>IFERROR(__xludf.DUMMYFUNCTION("""COMPUTED_VALUE"""),1277.0)</f>
        <v>1277</v>
      </c>
      <c r="D301" s="1" t="str">
        <f>IFERROR(__xludf.DUMMYFUNCTION("""COMPUTED_VALUE"""),"LYD")</f>
        <v>LYD</v>
      </c>
      <c r="E301" s="1" t="str">
        <f>IFERROR(__xludf.DUMMYFUNCTION("""COMPUTED_VALUE"""),"Money In")</f>
        <v>Money In</v>
      </c>
      <c r="F301" s="1" t="str">
        <f>IFERROR(__xludf.DUMMYFUNCTION("""COMPUTED_VALUE"""),"Revenue")</f>
        <v>Revenue</v>
      </c>
      <c r="G301" s="1" t="str">
        <f>IFERROR(__xludf.DUMMYFUNCTION("""COMPUTED_VALUE"""),"deplomacyMall")</f>
        <v>deplomacyMall</v>
      </c>
      <c r="H301" s="1"/>
    </row>
    <row r="302">
      <c r="A302" s="36">
        <f>IFERROR(__xludf.DUMMYFUNCTION("""COMPUTED_VALUE"""),45900.0)</f>
        <v>45900</v>
      </c>
      <c r="B302" s="1" t="str">
        <f>IFERROR(__xludf.DUMMYFUNCTION("""COMPUTED_VALUE"""),"Snacky")</f>
        <v>Snacky</v>
      </c>
      <c r="C302" s="35">
        <f>IFERROR(__xludf.DUMMYFUNCTION("""COMPUTED_VALUE"""),1992.0)</f>
        <v>1992</v>
      </c>
      <c r="D302" s="1" t="str">
        <f>IFERROR(__xludf.DUMMYFUNCTION("""COMPUTED_VALUE"""),"LYD")</f>
        <v>LYD</v>
      </c>
      <c r="E302" s="1" t="str">
        <f>IFERROR(__xludf.DUMMYFUNCTION("""COMPUTED_VALUE"""),"Money In")</f>
        <v>Money In</v>
      </c>
      <c r="F302" s="1" t="str">
        <f>IFERROR(__xludf.DUMMYFUNCTION("""COMPUTED_VALUE"""),"Revenue")</f>
        <v>Revenue</v>
      </c>
      <c r="G302" s="1" t="str">
        <f>IFERROR(__xludf.DUMMYFUNCTION("""COMPUTED_VALUE"""),"HTMall")</f>
        <v>HTMall</v>
      </c>
      <c r="H302" s="1"/>
    </row>
    <row r="303">
      <c r="A303" s="36">
        <f>IFERROR(__xludf.DUMMYFUNCTION("""COMPUTED_VALUE"""),45901.0)</f>
        <v>45901</v>
      </c>
      <c r="B303" s="1" t="str">
        <f>IFERROR(__xludf.DUMMYFUNCTION("""COMPUTED_VALUE"""),"Snacky")</f>
        <v>Snacky</v>
      </c>
      <c r="C303" s="1"/>
      <c r="D303" s="1"/>
      <c r="E303" s="1"/>
      <c r="F303" s="1"/>
      <c r="G303" s="1"/>
      <c r="H303" s="1"/>
    </row>
    <row r="304">
      <c r="A304" s="36">
        <f>IFERROR(__xludf.DUMMYFUNCTION("""COMPUTED_VALUE"""),45901.0)</f>
        <v>45901</v>
      </c>
      <c r="B304" s="1" t="str">
        <f>IFERROR(__xludf.DUMMYFUNCTION("""COMPUTED_VALUE"""),"Snacky")</f>
        <v>Snacky</v>
      </c>
      <c r="C304" s="35">
        <f>IFERROR(__xludf.DUMMYFUNCTION("""COMPUTED_VALUE"""),685.0)</f>
        <v>685</v>
      </c>
      <c r="D304" s="1" t="str">
        <f>IFERROR(__xludf.DUMMYFUNCTION("""COMPUTED_VALUE"""),"LYD")</f>
        <v>LYD</v>
      </c>
      <c r="E304" s="1" t="str">
        <f>IFERROR(__xludf.DUMMYFUNCTION("""COMPUTED_VALUE"""),"Money In")</f>
        <v>Money In</v>
      </c>
      <c r="F304" s="1" t="str">
        <f>IFERROR(__xludf.DUMMYFUNCTION("""COMPUTED_VALUE"""),"Revenue")</f>
        <v>Revenue</v>
      </c>
      <c r="G304" s="1" t="str">
        <f>IFERROR(__xludf.DUMMYFUNCTION("""COMPUTED_VALUE"""),"deplomacyMall")</f>
        <v>deplomacyMall</v>
      </c>
      <c r="H304" s="1"/>
    </row>
    <row r="305">
      <c r="A305" s="36">
        <f>IFERROR(__xludf.DUMMYFUNCTION("""COMPUTED_VALUE"""),45901.0)</f>
        <v>45901</v>
      </c>
      <c r="B305" s="1" t="str">
        <f>IFERROR(__xludf.DUMMYFUNCTION("""COMPUTED_VALUE"""),"Snacky")</f>
        <v>Snacky</v>
      </c>
      <c r="C305" s="35">
        <f>IFERROR(__xludf.DUMMYFUNCTION("""COMPUTED_VALUE"""),6000.0)</f>
        <v>6000</v>
      </c>
      <c r="D305" s="1" t="str">
        <f>IFERROR(__xludf.DUMMYFUNCTION("""COMPUTED_VALUE"""),"LYD")</f>
        <v>LYD</v>
      </c>
      <c r="E305" s="1" t="str">
        <f>IFERROR(__xludf.DUMMYFUNCTION("""COMPUTED_VALUE"""),"Money In")</f>
        <v>Money In</v>
      </c>
      <c r="F305" s="1" t="str">
        <f>IFERROR(__xludf.DUMMYFUNCTION("""COMPUTED_VALUE"""),"ads")</f>
        <v>ads</v>
      </c>
      <c r="G305" s="1" t="str">
        <f>IFERROR(__xludf.DUMMYFUNCTION("""COMPUTED_VALUE"""),"HTMall")</f>
        <v>HTMall</v>
      </c>
      <c r="H305" s="1" t="str">
        <f>IFERROR(__xludf.DUMMYFUNCTION("""COMPUTED_VALUE"""),"دعاية توربو الى شهر 3/2026")</f>
        <v>دعاية توربو الى شهر 3/2026</v>
      </c>
    </row>
    <row r="306">
      <c r="A306" s="36">
        <f>IFERROR(__xludf.DUMMYFUNCTION("""COMPUTED_VALUE"""),45901.0)</f>
        <v>45901</v>
      </c>
      <c r="B306" s="1" t="str">
        <f>IFERROR(__xludf.DUMMYFUNCTION("""COMPUTED_VALUE"""),"Snacky")</f>
        <v>Snacky</v>
      </c>
      <c r="C306" s="35">
        <f>IFERROR(__xludf.DUMMYFUNCTION("""COMPUTED_VALUE"""),4000.0)</f>
        <v>4000</v>
      </c>
      <c r="D306" s="1" t="str">
        <f>IFERROR(__xludf.DUMMYFUNCTION("""COMPUTED_VALUE"""),"LYD")</f>
        <v>LYD</v>
      </c>
      <c r="E306" s="1" t="str">
        <f>IFERROR(__xludf.DUMMYFUNCTION("""COMPUTED_VALUE"""),"Money In")</f>
        <v>Money In</v>
      </c>
      <c r="F306" s="1" t="str">
        <f>IFERROR(__xludf.DUMMYFUNCTION("""COMPUTED_VALUE"""),"ads")</f>
        <v>ads</v>
      </c>
      <c r="G306" s="1" t="str">
        <f>IFERROR(__xludf.DUMMYFUNCTION("""COMPUTED_VALUE"""),"deplomacyMall")</f>
        <v>deplomacyMall</v>
      </c>
      <c r="H306" s="1" t="str">
        <f>IFERROR(__xludf.DUMMYFUNCTION("""COMPUTED_VALUE"""),"دعاية توربو الى شهر 3/2026")</f>
        <v>دعاية توربو الى شهر 3/2026</v>
      </c>
    </row>
    <row r="307">
      <c r="A307" s="36">
        <f>IFERROR(__xludf.DUMMYFUNCTION("""COMPUTED_VALUE"""),45902.0)</f>
        <v>45902</v>
      </c>
      <c r="B307" s="1" t="str">
        <f>IFERROR(__xludf.DUMMYFUNCTION("""COMPUTED_VALUE"""),"Snacky")</f>
        <v>Snacky</v>
      </c>
      <c r="C307" s="35">
        <f>IFERROR(__xludf.DUMMYFUNCTION("""COMPUTED_VALUE"""),670.0)</f>
        <v>670</v>
      </c>
      <c r="D307" s="1" t="str">
        <f>IFERROR(__xludf.DUMMYFUNCTION("""COMPUTED_VALUE"""),"LYD")</f>
        <v>LYD</v>
      </c>
      <c r="E307" s="1" t="str">
        <f>IFERROR(__xludf.DUMMYFUNCTION("""COMPUTED_VALUE"""),"Money Out")</f>
        <v>Money Out</v>
      </c>
      <c r="F307" s="1" t="str">
        <f>IFERROR(__xludf.DUMMYFUNCTION("""COMPUTED_VALUE"""),"Product Restocking")</f>
        <v>Product Restocking</v>
      </c>
      <c r="G307" s="1"/>
      <c r="H307" s="1"/>
    </row>
    <row r="308">
      <c r="A308" s="36">
        <f>IFERROR(__xludf.DUMMYFUNCTION("""COMPUTED_VALUE"""),45904.0)</f>
        <v>45904</v>
      </c>
      <c r="B308" s="1" t="str">
        <f>IFERROR(__xludf.DUMMYFUNCTION("""COMPUTED_VALUE"""),"Snacky")</f>
        <v>Snacky</v>
      </c>
      <c r="C308" s="35">
        <f>IFERROR(__xludf.DUMMYFUNCTION("""COMPUTED_VALUE"""),630.0)</f>
        <v>630</v>
      </c>
      <c r="D308" s="1" t="str">
        <f>IFERROR(__xludf.DUMMYFUNCTION("""COMPUTED_VALUE"""),"LYD")</f>
        <v>LYD</v>
      </c>
      <c r="E308" s="1" t="str">
        <f>IFERROR(__xludf.DUMMYFUNCTION("""COMPUTED_VALUE"""),"Money Out")</f>
        <v>Money Out</v>
      </c>
      <c r="F308" s="1" t="str">
        <f>IFERROR(__xludf.DUMMYFUNCTION("""COMPUTED_VALUE"""),"Product Restocking")</f>
        <v>Product Restocking</v>
      </c>
      <c r="G308" s="1"/>
      <c r="H308" s="1"/>
    </row>
    <row r="309">
      <c r="A309" s="36">
        <f>IFERROR(__xludf.DUMMYFUNCTION("""COMPUTED_VALUE"""),45908.0)</f>
        <v>45908</v>
      </c>
      <c r="B309" s="1" t="str">
        <f>IFERROR(__xludf.DUMMYFUNCTION("""COMPUTED_VALUE"""),"Snacky")</f>
        <v>Snacky</v>
      </c>
      <c r="C309" s="35">
        <f>IFERROR(__xludf.DUMMYFUNCTION("""COMPUTED_VALUE"""),510.0)</f>
        <v>510</v>
      </c>
      <c r="D309" s="1" t="str">
        <f>IFERROR(__xludf.DUMMYFUNCTION("""COMPUTED_VALUE"""),"LYD")</f>
        <v>LYD</v>
      </c>
      <c r="E309" s="1" t="str">
        <f>IFERROR(__xludf.DUMMYFUNCTION("""COMPUTED_VALUE"""),"Money Out")</f>
        <v>Money Out</v>
      </c>
      <c r="F309" s="1" t="str">
        <f>IFERROR(__xludf.DUMMYFUNCTION("""COMPUTED_VALUE"""),"Product Restocking")</f>
        <v>Product Restocking</v>
      </c>
      <c r="G309" s="1"/>
      <c r="H309" s="1"/>
    </row>
    <row r="310">
      <c r="A310" s="36">
        <f>IFERROR(__xludf.DUMMYFUNCTION("""COMPUTED_VALUE"""),45908.0)</f>
        <v>45908</v>
      </c>
      <c r="B310" s="1" t="str">
        <f>IFERROR(__xludf.DUMMYFUNCTION("""COMPUTED_VALUE"""),"Snacky")</f>
        <v>Snacky</v>
      </c>
      <c r="C310" s="35">
        <f>IFERROR(__xludf.DUMMYFUNCTION("""COMPUTED_VALUE"""),250.0)</f>
        <v>250</v>
      </c>
      <c r="D310" s="1" t="str">
        <f>IFERROR(__xludf.DUMMYFUNCTION("""COMPUTED_VALUE"""),"LYD")</f>
        <v>LYD</v>
      </c>
      <c r="E310" s="1" t="str">
        <f>IFERROR(__xludf.DUMMYFUNCTION("""COMPUTED_VALUE"""),"Money Out")</f>
        <v>Money Out</v>
      </c>
      <c r="F310" s="1"/>
      <c r="G310" s="1"/>
      <c r="H310" s="1" t="str">
        <f>IFERROR(__xludf.DUMMYFUNCTION("""COMPUTED_VALUE"""),"نقل الماكينه")</f>
        <v>نقل الماكينه</v>
      </c>
    </row>
    <row r="311">
      <c r="A311" s="36">
        <f>IFERROR(__xludf.DUMMYFUNCTION("""COMPUTED_VALUE"""),45909.0)</f>
        <v>45909</v>
      </c>
      <c r="B311" s="1" t="str">
        <f>IFERROR(__xludf.DUMMYFUNCTION("""COMPUTED_VALUE"""),"Snacky")</f>
        <v>Snacky</v>
      </c>
      <c r="C311" s="35">
        <f>IFERROR(__xludf.DUMMYFUNCTION("""COMPUTED_VALUE"""),442.0)</f>
        <v>442</v>
      </c>
      <c r="D311" s="1" t="str">
        <f>IFERROR(__xludf.DUMMYFUNCTION("""COMPUTED_VALUE"""),"LYD")</f>
        <v>LYD</v>
      </c>
      <c r="E311" s="1" t="str">
        <f>IFERROR(__xludf.DUMMYFUNCTION("""COMPUTED_VALUE"""),"Money Out")</f>
        <v>Money Out</v>
      </c>
      <c r="F311" s="1" t="str">
        <f>IFERROR(__xludf.DUMMYFUNCTION("""COMPUTED_VALUE"""),"Product Restocking")</f>
        <v>Product Restocking</v>
      </c>
      <c r="G311" s="1"/>
      <c r="H311" s="1"/>
    </row>
    <row r="312">
      <c r="A312" s="36">
        <f>IFERROR(__xludf.DUMMYFUNCTION("""COMPUTED_VALUE"""),45910.0)</f>
        <v>45910</v>
      </c>
      <c r="B312" s="1" t="str">
        <f>IFERROR(__xludf.DUMMYFUNCTION("""COMPUTED_VALUE"""),"Snacky")</f>
        <v>Snacky</v>
      </c>
      <c r="C312" s="35">
        <f>IFERROR(__xludf.DUMMYFUNCTION("""COMPUTED_VALUE"""),471.0)</f>
        <v>471</v>
      </c>
      <c r="D312" s="1" t="str">
        <f>IFERROR(__xludf.DUMMYFUNCTION("""COMPUTED_VALUE"""),"LYD")</f>
        <v>LYD</v>
      </c>
      <c r="E312" s="1" t="str">
        <f>IFERROR(__xludf.DUMMYFUNCTION("""COMPUTED_VALUE"""),"Money Out")</f>
        <v>Money Out</v>
      </c>
      <c r="F312" s="1" t="str">
        <f>IFERROR(__xludf.DUMMYFUNCTION("""COMPUTED_VALUE"""),"Product Restocking")</f>
        <v>Product Restocking</v>
      </c>
      <c r="G312" s="1"/>
      <c r="H312" s="1"/>
    </row>
    <row r="313">
      <c r="A313" s="36">
        <f>IFERROR(__xludf.DUMMYFUNCTION("""COMPUTED_VALUE"""),45911.0)</f>
        <v>45911</v>
      </c>
      <c r="B313" s="1" t="str">
        <f>IFERROR(__xludf.DUMMYFUNCTION("""COMPUTED_VALUE"""),"Snacky")</f>
        <v>Snacky</v>
      </c>
      <c r="C313" s="35">
        <f>IFERROR(__xludf.DUMMYFUNCTION("""COMPUTED_VALUE"""),133.0)</f>
        <v>133</v>
      </c>
      <c r="D313" s="1" t="str">
        <f>IFERROR(__xludf.DUMMYFUNCTION("""COMPUTED_VALUE"""),"LYD")</f>
        <v>LYD</v>
      </c>
      <c r="E313" s="1" t="str">
        <f>IFERROR(__xludf.DUMMYFUNCTION("""COMPUTED_VALUE"""),"Money Out")</f>
        <v>Money Out</v>
      </c>
      <c r="F313" s="1" t="str">
        <f>IFERROR(__xludf.DUMMYFUNCTION("""COMPUTED_VALUE"""),"Product Restocking")</f>
        <v>Product Restocking</v>
      </c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36">
        <f>IFERROR(__xludf.DUMMYFUNCTION("""COMPUTED_VALUE"""),45913.0)</f>
        <v>45913</v>
      </c>
      <c r="B315" s="1" t="str">
        <f>IFERROR(__xludf.DUMMYFUNCTION("""COMPUTED_VALUE"""),"Snacky")</f>
        <v>Snacky</v>
      </c>
      <c r="C315" s="35">
        <f>IFERROR(__xludf.DUMMYFUNCTION("""COMPUTED_VALUE"""),1033.0)</f>
        <v>1033</v>
      </c>
      <c r="D315" s="1" t="str">
        <f>IFERROR(__xludf.DUMMYFUNCTION("""COMPUTED_VALUE"""),"LYD")</f>
        <v>LYD</v>
      </c>
      <c r="E315" s="1" t="str">
        <f>IFERROR(__xludf.DUMMYFUNCTION("""COMPUTED_VALUE"""),"Money Out")</f>
        <v>Money Out</v>
      </c>
      <c r="F315" s="1" t="str">
        <f>IFERROR(__xludf.DUMMYFUNCTION("""COMPUTED_VALUE"""),"Product Restocking")</f>
        <v>Product Restocking</v>
      </c>
      <c r="G315" s="1"/>
      <c r="H315" s="1"/>
    </row>
    <row r="316">
      <c r="A316" s="36">
        <f>IFERROR(__xludf.DUMMYFUNCTION("""COMPUTED_VALUE"""),45913.0)</f>
        <v>45913</v>
      </c>
      <c r="B316" s="1" t="str">
        <f>IFERROR(__xludf.DUMMYFUNCTION("""COMPUTED_VALUE"""),"Snacky")</f>
        <v>Snacky</v>
      </c>
      <c r="C316" s="35">
        <f>IFERROR(__xludf.DUMMYFUNCTION("""COMPUTED_VALUE"""),530.0)</f>
        <v>530</v>
      </c>
      <c r="D316" s="1" t="str">
        <f>IFERROR(__xludf.DUMMYFUNCTION("""COMPUTED_VALUE"""),"LYD")</f>
        <v>LYD</v>
      </c>
      <c r="E316" s="1" t="str">
        <f>IFERROR(__xludf.DUMMYFUNCTION("""COMPUTED_VALUE"""),"Money Out")</f>
        <v>Money Out</v>
      </c>
      <c r="F316" s="1"/>
      <c r="G316" s="1"/>
      <c r="H316" s="1" t="str">
        <f>IFERROR(__xludf.DUMMYFUNCTION("""COMPUTED_VALUE"""),"تحويل دولار")</f>
        <v>تحويل دولار</v>
      </c>
    </row>
    <row r="317">
      <c r="A317" s="36">
        <f>IFERROR(__xludf.DUMMYFUNCTION("""COMPUTED_VALUE"""),45914.0)</f>
        <v>45914</v>
      </c>
      <c r="B317" s="1" t="str">
        <f>IFERROR(__xludf.DUMMYFUNCTION("""COMPUTED_VALUE"""),"Snacky")</f>
        <v>Snacky</v>
      </c>
      <c r="C317" s="35">
        <f>IFERROR(__xludf.DUMMYFUNCTION("""COMPUTED_VALUE"""),2909.0)</f>
        <v>2909</v>
      </c>
      <c r="D317" s="1" t="str">
        <f>IFERROR(__xludf.DUMMYFUNCTION("""COMPUTED_VALUE"""),"LYD")</f>
        <v>LYD</v>
      </c>
      <c r="E317" s="1" t="str">
        <f>IFERROR(__xludf.DUMMYFUNCTION("""COMPUTED_VALUE"""),"Money In")</f>
        <v>Money In</v>
      </c>
      <c r="F317" s="1" t="str">
        <f>IFERROR(__xludf.DUMMYFUNCTION("""COMPUTED_VALUE"""),"Revenue")</f>
        <v>Revenue</v>
      </c>
      <c r="G317" s="1" t="str">
        <f>IFERROR(__xludf.DUMMYFUNCTION("""COMPUTED_VALUE"""),"HTMall")</f>
        <v>HTMall</v>
      </c>
      <c r="H317" s="1"/>
    </row>
    <row r="318">
      <c r="A318" s="36">
        <f>IFERROR(__xludf.DUMMYFUNCTION("""COMPUTED_VALUE"""),45915.0)</f>
        <v>45915</v>
      </c>
      <c r="B318" s="1" t="str">
        <f>IFERROR(__xludf.DUMMYFUNCTION("""COMPUTED_VALUE"""),"Snacky")</f>
        <v>Snacky</v>
      </c>
      <c r="C318" s="35">
        <f>IFERROR(__xludf.DUMMYFUNCTION("""COMPUTED_VALUE"""),300.0)</f>
        <v>300</v>
      </c>
      <c r="D318" s="1" t="str">
        <f>IFERROR(__xludf.DUMMYFUNCTION("""COMPUTED_VALUE"""),"LYD")</f>
        <v>LYD</v>
      </c>
      <c r="E318" s="1" t="str">
        <f>IFERROR(__xludf.DUMMYFUNCTION("""COMPUTED_VALUE"""),"Money Out")</f>
        <v>Money Out</v>
      </c>
      <c r="F318" s="1"/>
      <c r="G318" s="1" t="str">
        <f>IFERROR(__xludf.DUMMYFUNCTION("""COMPUTED_VALUE"""),"HTMall")</f>
        <v>HTMall</v>
      </c>
      <c r="H318" s="1" t="str">
        <f>IFERROR(__xludf.DUMMYFUNCTION("""COMPUTED_VALUE"""),"كهرباء شهر 6/7/8")</f>
        <v>كهرباء شهر 6/7/8</v>
      </c>
    </row>
    <row r="319">
      <c r="A319" s="36">
        <f>IFERROR(__xludf.DUMMYFUNCTION("""COMPUTED_VALUE"""),45917.0)</f>
        <v>45917</v>
      </c>
      <c r="B319" s="1" t="str">
        <f>IFERROR(__xludf.DUMMYFUNCTION("""COMPUTED_VALUE"""),"Snacky")</f>
        <v>Snacky</v>
      </c>
      <c r="C319" s="35">
        <f>IFERROR(__xludf.DUMMYFUNCTION("""COMPUTED_VALUE"""),665.0)</f>
        <v>665</v>
      </c>
      <c r="D319" s="1" t="str">
        <f>IFERROR(__xludf.DUMMYFUNCTION("""COMPUTED_VALUE"""),"LYD")</f>
        <v>LYD</v>
      </c>
      <c r="E319" s="1" t="str">
        <f>IFERROR(__xludf.DUMMYFUNCTION("""COMPUTED_VALUE"""),"Money Out")</f>
        <v>Money Out</v>
      </c>
      <c r="F319" s="1" t="str">
        <f>IFERROR(__xludf.DUMMYFUNCTION("""COMPUTED_VALUE"""),"Product Restocking")</f>
        <v>Product Restocking</v>
      </c>
      <c r="G319" s="1"/>
      <c r="H319" s="1"/>
    </row>
    <row r="320">
      <c r="A320" s="36">
        <f>IFERROR(__xludf.DUMMYFUNCTION("""COMPUTED_VALUE"""),45920.0)</f>
        <v>45920</v>
      </c>
      <c r="B320" s="1" t="str">
        <f>IFERROR(__xludf.DUMMYFUNCTION("""COMPUTED_VALUE"""),"Snacky")</f>
        <v>Snacky</v>
      </c>
      <c r="C320" s="35">
        <f>IFERROR(__xludf.DUMMYFUNCTION("""COMPUTED_VALUE"""),252.0)</f>
        <v>252</v>
      </c>
      <c r="D320" s="1" t="str">
        <f>IFERROR(__xludf.DUMMYFUNCTION("""COMPUTED_VALUE"""),"LYD")</f>
        <v>LYD</v>
      </c>
      <c r="E320" s="1" t="str">
        <f>IFERROR(__xludf.DUMMYFUNCTION("""COMPUTED_VALUE"""),"Money Out")</f>
        <v>Money Out</v>
      </c>
      <c r="F320" s="1" t="str">
        <f>IFERROR(__xludf.DUMMYFUNCTION("""COMPUTED_VALUE"""),"Product Restocking")</f>
        <v>Product Restocking</v>
      </c>
      <c r="G320" s="1"/>
      <c r="H320" s="1"/>
    </row>
    <row r="321">
      <c r="A321" s="36">
        <f>IFERROR(__xludf.DUMMYFUNCTION("""COMPUTED_VALUE"""),45920.0)</f>
        <v>45920</v>
      </c>
      <c r="B321" s="1" t="str">
        <f>IFERROR(__xludf.DUMMYFUNCTION("""COMPUTED_VALUE"""),"Snacky")</f>
        <v>Snacky</v>
      </c>
      <c r="C321" s="35">
        <f>IFERROR(__xludf.DUMMYFUNCTION("""COMPUTED_VALUE"""),2611.0)</f>
        <v>2611</v>
      </c>
      <c r="D321" s="1" t="str">
        <f>IFERROR(__xludf.DUMMYFUNCTION("""COMPUTED_VALUE"""),"LYD")</f>
        <v>LYD</v>
      </c>
      <c r="E321" s="1" t="str">
        <f>IFERROR(__xludf.DUMMYFUNCTION("""COMPUTED_VALUE"""),"Money In")</f>
        <v>Money In</v>
      </c>
      <c r="F321" s="1" t="str">
        <f>IFERROR(__xludf.DUMMYFUNCTION("""COMPUTED_VALUE"""),"Revenue")</f>
        <v>Revenue</v>
      </c>
      <c r="G321" s="1" t="str">
        <f>IFERROR(__xludf.DUMMYFUNCTION("""COMPUTED_VALUE"""),"AlmouasafatHospital")</f>
        <v>AlmouasafatHospital</v>
      </c>
      <c r="H321" s="1"/>
    </row>
    <row r="322">
      <c r="A322" s="36">
        <f>IFERROR(__xludf.DUMMYFUNCTION("""COMPUTED_VALUE"""),45920.0)</f>
        <v>45920</v>
      </c>
      <c r="B322" s="1" t="str">
        <f>IFERROR(__xludf.DUMMYFUNCTION("""COMPUTED_VALUE"""),"Snacky")</f>
        <v>Snacky</v>
      </c>
      <c r="C322" s="35">
        <f>IFERROR(__xludf.DUMMYFUNCTION("""COMPUTED_VALUE"""),2371.0)</f>
        <v>2371</v>
      </c>
      <c r="D322" s="1" t="str">
        <f>IFERROR(__xludf.DUMMYFUNCTION("""COMPUTED_VALUE"""),"LYD")</f>
        <v>LYD</v>
      </c>
      <c r="E322" s="1" t="str">
        <f>IFERROR(__xludf.DUMMYFUNCTION("""COMPUTED_VALUE"""),"Money In")</f>
        <v>Money In</v>
      </c>
      <c r="F322" s="1" t="str">
        <f>IFERROR(__xludf.DUMMYFUNCTION("""COMPUTED_VALUE"""),"Revenue")</f>
        <v>Revenue</v>
      </c>
      <c r="G322" s="1" t="str">
        <f>IFERROR(__xludf.DUMMYFUNCTION("""COMPUTED_VALUE"""),"deplomacyMall")</f>
        <v>deplomacyMall</v>
      </c>
      <c r="H322" s="1"/>
    </row>
    <row r="323">
      <c r="A323" s="36">
        <f>IFERROR(__xludf.DUMMYFUNCTION("""COMPUTED_VALUE"""),45921.0)</f>
        <v>45921</v>
      </c>
      <c r="B323" s="1" t="str">
        <f>IFERROR(__xludf.DUMMYFUNCTION("""COMPUTED_VALUE"""),"Snacky")</f>
        <v>Snacky</v>
      </c>
      <c r="C323" s="35">
        <f>IFERROR(__xludf.DUMMYFUNCTION("""COMPUTED_VALUE"""),1033.0)</f>
        <v>1033</v>
      </c>
      <c r="D323" s="1" t="str">
        <f>IFERROR(__xludf.DUMMYFUNCTION("""COMPUTED_VALUE"""),"LYD")</f>
        <v>LYD</v>
      </c>
      <c r="E323" s="1" t="str">
        <f>IFERROR(__xludf.DUMMYFUNCTION("""COMPUTED_VALUE"""),"Money Out")</f>
        <v>Money Out</v>
      </c>
      <c r="F323" s="1" t="str">
        <f>IFERROR(__xludf.DUMMYFUNCTION("""COMPUTED_VALUE"""),"Product Restocking")</f>
        <v>Product Restocking</v>
      </c>
      <c r="G323" s="1"/>
      <c r="H323" s="1"/>
    </row>
    <row r="324">
      <c r="A324" s="36">
        <f>IFERROR(__xludf.DUMMYFUNCTION("""COMPUTED_VALUE"""),45922.0)</f>
        <v>45922</v>
      </c>
      <c r="B324" s="1" t="str">
        <f>IFERROR(__xludf.DUMMYFUNCTION("""COMPUTED_VALUE"""),"Snacky")</f>
        <v>Snacky</v>
      </c>
      <c r="C324" s="35">
        <f>IFERROR(__xludf.DUMMYFUNCTION("""COMPUTED_VALUE"""),470.0)</f>
        <v>470</v>
      </c>
      <c r="D324" s="1" t="str">
        <f>IFERROR(__xludf.DUMMYFUNCTION("""COMPUTED_VALUE"""),"LYD")</f>
        <v>LYD</v>
      </c>
      <c r="E324" s="1" t="str">
        <f>IFERROR(__xludf.DUMMYFUNCTION("""COMPUTED_VALUE"""),"Money Out")</f>
        <v>Money Out</v>
      </c>
      <c r="F324" s="1" t="str">
        <f>IFERROR(__xludf.DUMMYFUNCTION("""COMPUTED_VALUE"""),"Product Restocking")</f>
        <v>Product Restocking</v>
      </c>
      <c r="G324" s="1"/>
      <c r="H324" s="1"/>
    </row>
    <row r="325">
      <c r="A325" s="36">
        <f>IFERROR(__xludf.DUMMYFUNCTION("""COMPUTED_VALUE"""),45924.0)</f>
        <v>45924</v>
      </c>
      <c r="B325" s="1" t="str">
        <f>IFERROR(__xludf.DUMMYFUNCTION("""COMPUTED_VALUE"""),"Snacky")</f>
        <v>Snacky</v>
      </c>
      <c r="C325" s="35">
        <f>IFERROR(__xludf.DUMMYFUNCTION("""COMPUTED_VALUE"""),1117.0)</f>
        <v>1117</v>
      </c>
      <c r="D325" s="1" t="str">
        <f>IFERROR(__xludf.DUMMYFUNCTION("""COMPUTED_VALUE"""),"LYD")</f>
        <v>LYD</v>
      </c>
      <c r="E325" s="1" t="str">
        <f>IFERROR(__xludf.DUMMYFUNCTION("""COMPUTED_VALUE"""),"Money Out")</f>
        <v>Money Out</v>
      </c>
      <c r="F325" s="1" t="str">
        <f>IFERROR(__xludf.DUMMYFUNCTION("""COMPUTED_VALUE"""),"Product Restocking")</f>
        <v>Product Restocking</v>
      </c>
      <c r="G325" s="1"/>
      <c r="H325" s="1"/>
    </row>
    <row r="326">
      <c r="A326" s="36">
        <f>IFERROR(__xludf.DUMMYFUNCTION("""COMPUTED_VALUE"""),45924.0)</f>
        <v>45924</v>
      </c>
      <c r="B326" s="1" t="str">
        <f>IFERROR(__xludf.DUMMYFUNCTION("""COMPUTED_VALUE"""),"Snacky")</f>
        <v>Snacky</v>
      </c>
      <c r="C326" s="35">
        <f>IFERROR(__xludf.DUMMYFUNCTION("""COMPUTED_VALUE"""),360.0)</f>
        <v>360</v>
      </c>
      <c r="D326" s="1" t="str">
        <f>IFERROR(__xludf.DUMMYFUNCTION("""COMPUTED_VALUE"""),"LYD")</f>
        <v>LYD</v>
      </c>
      <c r="E326" s="1" t="str">
        <f>IFERROR(__xludf.DUMMYFUNCTION("""COMPUTED_VALUE"""),"Money In")</f>
        <v>Money In</v>
      </c>
      <c r="F326" s="1" t="str">
        <f>IFERROR(__xludf.DUMMYFUNCTION("""COMPUTED_VALUE"""),"Revenue")</f>
        <v>Revenue</v>
      </c>
      <c r="G326" s="1" t="str">
        <f>IFERROR(__xludf.DUMMYFUNCTION("""COMPUTED_VALUE"""),"HTMall")</f>
        <v>HTMall</v>
      </c>
      <c r="H326" s="1"/>
    </row>
    <row r="327">
      <c r="A327" s="36">
        <f>IFERROR(__xludf.DUMMYFUNCTION("""COMPUTED_VALUE"""),45924.0)</f>
        <v>45924</v>
      </c>
      <c r="B327" s="1" t="str">
        <f>IFERROR(__xludf.DUMMYFUNCTION("""COMPUTED_VALUE"""),"Snacky")</f>
        <v>Snacky</v>
      </c>
      <c r="C327" s="35">
        <f>IFERROR(__xludf.DUMMYFUNCTION("""COMPUTED_VALUE"""),35.0)</f>
        <v>35</v>
      </c>
      <c r="D327" s="1" t="str">
        <f>IFERROR(__xludf.DUMMYFUNCTION("""COMPUTED_VALUE"""),"LYD")</f>
        <v>LYD</v>
      </c>
      <c r="E327" s="1" t="str">
        <f>IFERROR(__xludf.DUMMYFUNCTION("""COMPUTED_VALUE"""),"Money In")</f>
        <v>Money In</v>
      </c>
      <c r="F327" s="1" t="str">
        <f>IFERROR(__xludf.DUMMYFUNCTION("""COMPUTED_VALUE"""),"Revenue")</f>
        <v>Revenue</v>
      </c>
      <c r="G327" s="1" t="str">
        <f>IFERROR(__xludf.DUMMYFUNCTION("""COMPUTED_VALUE"""),"deplomacyMall")</f>
        <v>deplomacyMall</v>
      </c>
      <c r="H327" s="1"/>
    </row>
    <row r="328">
      <c r="A328" s="36">
        <f>IFERROR(__xludf.DUMMYFUNCTION("""COMPUTED_VALUE"""),45925.0)</f>
        <v>45925</v>
      </c>
      <c r="B328" s="1" t="str">
        <f>IFERROR(__xludf.DUMMYFUNCTION("""COMPUTED_VALUE"""),"Snacky")</f>
        <v>Snacky</v>
      </c>
      <c r="C328" s="35">
        <f>IFERROR(__xludf.DUMMYFUNCTION("""COMPUTED_VALUE"""),1240.0)</f>
        <v>1240</v>
      </c>
      <c r="D328" s="1" t="str">
        <f>IFERROR(__xludf.DUMMYFUNCTION("""COMPUTED_VALUE"""),"LYD")</f>
        <v>LYD</v>
      </c>
      <c r="E328" s="1" t="str">
        <f>IFERROR(__xludf.DUMMYFUNCTION("""COMPUTED_VALUE"""),"Money Out")</f>
        <v>Money Out</v>
      </c>
      <c r="F328" s="1" t="str">
        <f>IFERROR(__xludf.DUMMYFUNCTION("""COMPUTED_VALUE"""),"Product Restocking")</f>
        <v>Product Restocking</v>
      </c>
      <c r="G328" s="1"/>
      <c r="H328" s="1"/>
    </row>
    <row r="329">
      <c r="A329" s="1"/>
      <c r="B329" s="1" t="str">
        <f>IFERROR(__xludf.DUMMYFUNCTION("""COMPUTED_VALUE"""),"Snacky")</f>
        <v>Snacky</v>
      </c>
      <c r="C329" s="35">
        <f>IFERROR(__xludf.DUMMYFUNCTION("""COMPUTED_VALUE"""),20.0)</f>
        <v>20</v>
      </c>
      <c r="D329" s="1" t="str">
        <f>IFERROR(__xludf.DUMMYFUNCTION("""COMPUTED_VALUE"""),"LYD")</f>
        <v>LYD</v>
      </c>
      <c r="E329" s="1" t="str">
        <f>IFERROR(__xludf.DUMMYFUNCTION("""COMPUTED_VALUE"""),"Money Out")</f>
        <v>Money Out</v>
      </c>
      <c r="F329" s="1" t="str">
        <f>IFERROR(__xludf.DUMMYFUNCTION("""COMPUTED_VALUE"""),"Product Restocking")</f>
        <v>Product Restocking</v>
      </c>
      <c r="G329" s="1"/>
      <c r="H329" s="1"/>
    </row>
    <row r="330">
      <c r="A330" s="36">
        <f>IFERROR(__xludf.DUMMYFUNCTION("""COMPUTED_VALUE"""),45945.0)</f>
        <v>45945</v>
      </c>
      <c r="B330" s="1" t="str">
        <f>IFERROR(__xludf.DUMMYFUNCTION("""COMPUTED_VALUE"""),"Snacky")</f>
        <v>Snacky</v>
      </c>
      <c r="C330" s="35">
        <f>IFERROR(__xludf.DUMMYFUNCTION("""COMPUTED_VALUE"""),1224.0)</f>
        <v>1224</v>
      </c>
      <c r="D330" s="1" t="str">
        <f>IFERROR(__xludf.DUMMYFUNCTION("""COMPUTED_VALUE"""),"LYD")</f>
        <v>LYD</v>
      </c>
      <c r="E330" s="1" t="str">
        <f>IFERROR(__xludf.DUMMYFUNCTION("""COMPUTED_VALUE"""),"Money In")</f>
        <v>Money In</v>
      </c>
      <c r="F330" s="1" t="str">
        <f>IFERROR(__xludf.DUMMYFUNCTION("""COMPUTED_VALUE"""),"Revenue")</f>
        <v>Revenue</v>
      </c>
      <c r="G330" s="1" t="str">
        <f>IFERROR(__xludf.DUMMYFUNCTION("""COMPUTED_VALUE"""),"deplomacyMall")</f>
        <v>deplomacyMall</v>
      </c>
      <c r="H330" s="1"/>
    </row>
    <row r="331">
      <c r="A331" s="36">
        <f>IFERROR(__xludf.DUMMYFUNCTION("""COMPUTED_VALUE"""),45929.0)</f>
        <v>45929</v>
      </c>
      <c r="B331" s="1" t="str">
        <f>IFERROR(__xludf.DUMMYFUNCTION("""COMPUTED_VALUE"""),"Snacky")</f>
        <v>Snacky</v>
      </c>
      <c r="C331" s="35">
        <f>IFERROR(__xludf.DUMMYFUNCTION("""COMPUTED_VALUE"""),1341.0)</f>
        <v>1341</v>
      </c>
      <c r="D331" s="1" t="str">
        <f>IFERROR(__xludf.DUMMYFUNCTION("""COMPUTED_VALUE"""),"LYD")</f>
        <v>LYD</v>
      </c>
      <c r="E331" s="1" t="str">
        <f>IFERROR(__xludf.DUMMYFUNCTION("""COMPUTED_VALUE"""),"Money In")</f>
        <v>Money In</v>
      </c>
      <c r="F331" s="1" t="str">
        <f>IFERROR(__xludf.DUMMYFUNCTION("""COMPUTED_VALUE"""),"Revenue")</f>
        <v>Revenue</v>
      </c>
      <c r="G331" s="1" t="str">
        <f>IFERROR(__xludf.DUMMYFUNCTION("""COMPUTED_VALUE"""),"AlmouasafatHospital")</f>
        <v>AlmouasafatHospital</v>
      </c>
      <c r="H331" s="1"/>
    </row>
    <row r="332">
      <c r="A332" s="36">
        <f>IFERROR(__xludf.DUMMYFUNCTION("""COMPUTED_VALUE"""),45929.0)</f>
        <v>45929</v>
      </c>
      <c r="B332" s="1" t="str">
        <f>IFERROR(__xludf.DUMMYFUNCTION("""COMPUTED_VALUE"""),"Snacky")</f>
        <v>Snacky</v>
      </c>
      <c r="C332" s="35">
        <f>IFERROR(__xludf.DUMMYFUNCTION("""COMPUTED_VALUE"""),361.0)</f>
        <v>361</v>
      </c>
      <c r="D332" s="1" t="str">
        <f>IFERROR(__xludf.DUMMYFUNCTION("""COMPUTED_VALUE"""),"LYD")</f>
        <v>LYD</v>
      </c>
      <c r="E332" s="1" t="str">
        <f>IFERROR(__xludf.DUMMYFUNCTION("""COMPUTED_VALUE"""),"Money In")</f>
        <v>Money In</v>
      </c>
      <c r="F332" s="1" t="str">
        <f>IFERROR(__xludf.DUMMYFUNCTION("""COMPUTED_VALUE"""),"Revenue")</f>
        <v>Revenue</v>
      </c>
      <c r="G332" s="1" t="str">
        <f>IFERROR(__xludf.DUMMYFUNCTION("""COMPUTED_VALUE"""),"HTMall")</f>
        <v>HTMall</v>
      </c>
      <c r="H332" s="1"/>
    </row>
    <row r="333">
      <c r="A333" s="36">
        <f>IFERROR(__xludf.DUMMYFUNCTION("""COMPUTED_VALUE"""),45930.0)</f>
        <v>45930</v>
      </c>
      <c r="B333" s="1" t="str">
        <f>IFERROR(__xludf.DUMMYFUNCTION("""COMPUTED_VALUE"""),"Snacky")</f>
        <v>Snacky</v>
      </c>
      <c r="C333" s="35">
        <f>IFERROR(__xludf.DUMMYFUNCTION("""COMPUTED_VALUE"""),2254.0)</f>
        <v>2254</v>
      </c>
      <c r="D333" s="1" t="str">
        <f>IFERROR(__xludf.DUMMYFUNCTION("""COMPUTED_VALUE"""),"LYD")</f>
        <v>LYD</v>
      </c>
      <c r="E333" s="1" t="str">
        <f>IFERROR(__xludf.DUMMYFUNCTION("""COMPUTED_VALUE"""),"Money In")</f>
        <v>Money In</v>
      </c>
      <c r="F333" s="1" t="str">
        <f>IFERROR(__xludf.DUMMYFUNCTION("""COMPUTED_VALUE"""),"Revenue")</f>
        <v>Revenue</v>
      </c>
      <c r="G333" s="1" t="str">
        <f>IFERROR(__xludf.DUMMYFUNCTION("""COMPUTED_VALUE"""),"HTMall")</f>
        <v>HTMall</v>
      </c>
      <c r="H333" s="1"/>
    </row>
    <row r="334">
      <c r="A334" s="36">
        <f>IFERROR(__xludf.DUMMYFUNCTION("""COMPUTED_VALUE"""),45931.0)</f>
        <v>45931</v>
      </c>
      <c r="B334" s="1" t="str">
        <f>IFERROR(__xludf.DUMMYFUNCTION("""COMPUTED_VALUE"""),"Snacky")</f>
        <v>Snacky</v>
      </c>
      <c r="C334" s="35">
        <f>IFERROR(__xludf.DUMMYFUNCTION("""COMPUTED_VALUE"""),639.0)</f>
        <v>639</v>
      </c>
      <c r="D334" s="1" t="str">
        <f>IFERROR(__xludf.DUMMYFUNCTION("""COMPUTED_VALUE"""),"LYD")</f>
        <v>LYD</v>
      </c>
      <c r="E334" s="1" t="str">
        <f>IFERROR(__xludf.DUMMYFUNCTION("""COMPUTED_VALUE"""),"Money Out")</f>
        <v>Money Out</v>
      </c>
      <c r="F334" s="1" t="str">
        <f>IFERROR(__xludf.DUMMYFUNCTION("""COMPUTED_VALUE"""),"Product Restocking")</f>
        <v>Product Restocking</v>
      </c>
      <c r="G334" s="1"/>
      <c r="H334" s="1"/>
    </row>
    <row r="335">
      <c r="A335" s="36">
        <f>IFERROR(__xludf.DUMMYFUNCTION("""COMPUTED_VALUE"""),45934.0)</f>
        <v>45934</v>
      </c>
      <c r="B335" s="1" t="str">
        <f>IFERROR(__xludf.DUMMYFUNCTION("""COMPUTED_VALUE"""),"Snacky")</f>
        <v>Snacky</v>
      </c>
      <c r="C335" s="35">
        <f>IFERROR(__xludf.DUMMYFUNCTION("""COMPUTED_VALUE"""),985.0)</f>
        <v>985</v>
      </c>
      <c r="D335" s="1" t="str">
        <f>IFERROR(__xludf.DUMMYFUNCTION("""COMPUTED_VALUE"""),"LYD")</f>
        <v>LYD</v>
      </c>
      <c r="E335" s="1" t="str">
        <f>IFERROR(__xludf.DUMMYFUNCTION("""COMPUTED_VALUE"""),"Money Out")</f>
        <v>Money Out</v>
      </c>
      <c r="F335" s="1" t="str">
        <f>IFERROR(__xludf.DUMMYFUNCTION("""COMPUTED_VALUE"""),"Product Restocking")</f>
        <v>Product Restocking</v>
      </c>
      <c r="G335" s="1"/>
      <c r="H335" s="1"/>
    </row>
    <row r="336">
      <c r="A336" s="36">
        <f>IFERROR(__xludf.DUMMYFUNCTION("""COMPUTED_VALUE"""),45935.0)</f>
        <v>45935</v>
      </c>
      <c r="B336" s="1" t="str">
        <f>IFERROR(__xludf.DUMMYFUNCTION("""COMPUTED_VALUE"""),"Snacky")</f>
        <v>Snacky</v>
      </c>
      <c r="C336" s="35">
        <f>IFERROR(__xludf.DUMMYFUNCTION("""COMPUTED_VALUE"""),492.0)</f>
        <v>492</v>
      </c>
      <c r="D336" s="1" t="str">
        <f>IFERROR(__xludf.DUMMYFUNCTION("""COMPUTED_VALUE"""),"LYD")</f>
        <v>LYD</v>
      </c>
      <c r="E336" s="1" t="str">
        <f>IFERROR(__xludf.DUMMYFUNCTION("""COMPUTED_VALUE"""),"Money Out")</f>
        <v>Money Out</v>
      </c>
      <c r="F336" s="1" t="str">
        <f>IFERROR(__xludf.DUMMYFUNCTION("""COMPUTED_VALUE"""),"Product Restocking")</f>
        <v>Product Restocking</v>
      </c>
      <c r="G336" s="1"/>
      <c r="H336" s="1"/>
    </row>
    <row r="337">
      <c r="A337" s="36">
        <f>IFERROR(__xludf.DUMMYFUNCTION("""COMPUTED_VALUE"""),45936.0)</f>
        <v>45936</v>
      </c>
      <c r="B337" s="1" t="str">
        <f>IFERROR(__xludf.DUMMYFUNCTION("""COMPUTED_VALUE"""),"Snacky")</f>
        <v>Snacky</v>
      </c>
      <c r="C337" s="35">
        <f>IFERROR(__xludf.DUMMYFUNCTION("""COMPUTED_VALUE"""),1446.0)</f>
        <v>1446</v>
      </c>
      <c r="D337" s="1" t="str">
        <f>IFERROR(__xludf.DUMMYFUNCTION("""COMPUTED_VALUE"""),"LYD")</f>
        <v>LYD</v>
      </c>
      <c r="E337" s="1" t="str">
        <f>IFERROR(__xludf.DUMMYFUNCTION("""COMPUTED_VALUE"""),"Money Out")</f>
        <v>Money Out</v>
      </c>
      <c r="F337" s="1" t="str">
        <f>IFERROR(__xludf.DUMMYFUNCTION("""COMPUTED_VALUE"""),"Product Restocking")</f>
        <v>Product Restocking</v>
      </c>
      <c r="G337" s="1"/>
      <c r="H337" s="1"/>
    </row>
    <row r="338">
      <c r="A338" s="36">
        <f>IFERROR(__xludf.DUMMYFUNCTION("""COMPUTED_VALUE"""),45937.0)</f>
        <v>45937</v>
      </c>
      <c r="B338" s="1" t="str">
        <f>IFERROR(__xludf.DUMMYFUNCTION("""COMPUTED_VALUE"""),"Snacky")</f>
        <v>Snacky</v>
      </c>
      <c r="C338" s="35">
        <f>IFERROR(__xludf.DUMMYFUNCTION("""COMPUTED_VALUE"""),638.0)</f>
        <v>638</v>
      </c>
      <c r="D338" s="1" t="str">
        <f>IFERROR(__xludf.DUMMYFUNCTION("""COMPUTED_VALUE"""),"LYD")</f>
        <v>LYD</v>
      </c>
      <c r="E338" s="1" t="str">
        <f>IFERROR(__xludf.DUMMYFUNCTION("""COMPUTED_VALUE"""),"Money Out")</f>
        <v>Money Out</v>
      </c>
      <c r="F338" s="1" t="str">
        <f>IFERROR(__xludf.DUMMYFUNCTION("""COMPUTED_VALUE"""),"Product Restocking")</f>
        <v>Product Restocking</v>
      </c>
      <c r="G338" s="1"/>
      <c r="H338" s="1"/>
    </row>
    <row r="339">
      <c r="A339" s="36">
        <f>IFERROR(__xludf.DUMMYFUNCTION("""COMPUTED_VALUE"""),45938.0)</f>
        <v>45938</v>
      </c>
      <c r="B339" s="1" t="str">
        <f>IFERROR(__xludf.DUMMYFUNCTION("""COMPUTED_VALUE"""),"Snacky")</f>
        <v>Snacky</v>
      </c>
      <c r="C339" s="35">
        <f>IFERROR(__xludf.DUMMYFUNCTION("""COMPUTED_VALUE"""),202.0)</f>
        <v>202</v>
      </c>
      <c r="D339" s="1" t="str">
        <f>IFERROR(__xludf.DUMMYFUNCTION("""COMPUTED_VALUE"""),"LYD")</f>
        <v>LYD</v>
      </c>
      <c r="E339" s="1" t="str">
        <f>IFERROR(__xludf.DUMMYFUNCTION("""COMPUTED_VALUE"""),"Money Out")</f>
        <v>Money Out</v>
      </c>
      <c r="F339" s="1" t="str">
        <f>IFERROR(__xludf.DUMMYFUNCTION("""COMPUTED_VALUE"""),"Product Restocking")</f>
        <v>Product Restocking</v>
      </c>
      <c r="G339" s="1"/>
      <c r="H339" s="1"/>
    </row>
    <row r="340">
      <c r="A340" s="36">
        <f>IFERROR(__xludf.DUMMYFUNCTION("""COMPUTED_VALUE"""),45939.0)</f>
        <v>45939</v>
      </c>
      <c r="B340" s="1" t="str">
        <f>IFERROR(__xludf.DUMMYFUNCTION("""COMPUTED_VALUE"""),"Snacky")</f>
        <v>Snacky</v>
      </c>
      <c r="C340" s="35">
        <f>IFERROR(__xludf.DUMMYFUNCTION("""COMPUTED_VALUE"""),810.0)</f>
        <v>810</v>
      </c>
      <c r="D340" s="1" t="str">
        <f>IFERROR(__xludf.DUMMYFUNCTION("""COMPUTED_VALUE"""),"LYD")</f>
        <v>LYD</v>
      </c>
      <c r="E340" s="1" t="str">
        <f>IFERROR(__xludf.DUMMYFUNCTION("""COMPUTED_VALUE"""),"Money Out")</f>
        <v>Money Out</v>
      </c>
      <c r="F340" s="1" t="str">
        <f>IFERROR(__xludf.DUMMYFUNCTION("""COMPUTED_VALUE"""),"Product Restocking")</f>
        <v>Product Restocking</v>
      </c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36">
        <f>IFERROR(__xludf.DUMMYFUNCTION("""COMPUTED_VALUE"""),45941.0)</f>
        <v>45941</v>
      </c>
      <c r="B342" s="1" t="str">
        <f>IFERROR(__xludf.DUMMYFUNCTION("""COMPUTED_VALUE"""),"Snacky")</f>
        <v>Snacky</v>
      </c>
      <c r="C342" s="35">
        <f>IFERROR(__xludf.DUMMYFUNCTION("""COMPUTED_VALUE"""),300.0)</f>
        <v>300</v>
      </c>
      <c r="D342" s="1" t="str">
        <f>IFERROR(__xludf.DUMMYFUNCTION("""COMPUTED_VALUE"""),"LYD")</f>
        <v>LYD</v>
      </c>
      <c r="E342" s="1" t="str">
        <f>IFERROR(__xludf.DUMMYFUNCTION("""COMPUTED_VALUE"""),"Money Out")</f>
        <v>Money Out</v>
      </c>
      <c r="F342" s="1"/>
      <c r="G342" s="1"/>
      <c r="H342" s="1" t="str">
        <f>IFERROR(__xludf.DUMMYFUNCTION("""COMPUTED_VALUE"""),"توصيل ")</f>
        <v>توصيل </v>
      </c>
    </row>
    <row r="343">
      <c r="A343" s="36">
        <f>IFERROR(__xludf.DUMMYFUNCTION("""COMPUTED_VALUE"""),45941.0)</f>
        <v>45941</v>
      </c>
      <c r="B343" s="1" t="str">
        <f>IFERROR(__xludf.DUMMYFUNCTION("""COMPUTED_VALUE"""),"Snacky")</f>
        <v>Snacky</v>
      </c>
      <c r="C343" s="35">
        <f>IFERROR(__xludf.DUMMYFUNCTION("""COMPUTED_VALUE"""),1675.0)</f>
        <v>1675</v>
      </c>
      <c r="D343" s="1" t="str">
        <f>IFERROR(__xludf.DUMMYFUNCTION("""COMPUTED_VALUE"""),"LYD")</f>
        <v>LYD</v>
      </c>
      <c r="E343" s="1" t="str">
        <f>IFERROR(__xludf.DUMMYFUNCTION("""COMPUTED_VALUE"""),"Money Out")</f>
        <v>Money Out</v>
      </c>
      <c r="F343" s="1" t="str">
        <f>IFERROR(__xludf.DUMMYFUNCTION("""COMPUTED_VALUE"""),"Product Restocking")</f>
        <v>Product Restocking</v>
      </c>
      <c r="G343" s="1"/>
      <c r="H343" s="1"/>
    </row>
    <row r="344">
      <c r="A344" s="36">
        <f>IFERROR(__xludf.DUMMYFUNCTION("""COMPUTED_VALUE"""),45943.0)</f>
        <v>45943</v>
      </c>
      <c r="B344" s="1" t="str">
        <f>IFERROR(__xludf.DUMMYFUNCTION("""COMPUTED_VALUE"""),"Snacky")</f>
        <v>Snacky</v>
      </c>
      <c r="C344" s="35">
        <f>IFERROR(__xludf.DUMMYFUNCTION("""COMPUTED_VALUE"""),27.0)</f>
        <v>27</v>
      </c>
      <c r="D344" s="1" t="str">
        <f>IFERROR(__xludf.DUMMYFUNCTION("""COMPUTED_VALUE"""),"LYD")</f>
        <v>LYD</v>
      </c>
      <c r="E344" s="1" t="str">
        <f>IFERROR(__xludf.DUMMYFUNCTION("""COMPUTED_VALUE"""),"Money Out")</f>
        <v>Money Out</v>
      </c>
      <c r="F344" s="1" t="str">
        <f>IFERROR(__xludf.DUMMYFUNCTION("""COMPUTED_VALUE"""),"Product Restocking")</f>
        <v>Product Restocking</v>
      </c>
      <c r="G344" s="1"/>
      <c r="H344" s="1"/>
    </row>
    <row r="345">
      <c r="A345" s="36">
        <f>IFERROR(__xludf.DUMMYFUNCTION("""COMPUTED_VALUE"""),45944.0)</f>
        <v>45944</v>
      </c>
      <c r="B345" s="1" t="str">
        <f>IFERROR(__xludf.DUMMYFUNCTION("""COMPUTED_VALUE"""),"Snacky")</f>
        <v>Snacky</v>
      </c>
      <c r="C345" s="35">
        <f>IFERROR(__xludf.DUMMYFUNCTION("""COMPUTED_VALUE"""),600.0)</f>
        <v>600</v>
      </c>
      <c r="D345" s="1" t="str">
        <f>IFERROR(__xludf.DUMMYFUNCTION("""COMPUTED_VALUE"""),"LYD")</f>
        <v>LYD</v>
      </c>
      <c r="E345" s="1" t="str">
        <f>IFERROR(__xludf.DUMMYFUNCTION("""COMPUTED_VALUE"""),"Money Out")</f>
        <v>Money Out</v>
      </c>
      <c r="F345" s="1" t="str">
        <f>IFERROR(__xludf.DUMMYFUNCTION("""COMPUTED_VALUE"""),"Product Restocking")</f>
        <v>Product Restocking</v>
      </c>
      <c r="G345" s="1"/>
      <c r="H345" s="1"/>
    </row>
    <row r="346">
      <c r="A346" s="36">
        <f>IFERROR(__xludf.DUMMYFUNCTION("""COMPUTED_VALUE"""),45945.0)</f>
        <v>45945</v>
      </c>
      <c r="B346" s="1" t="str">
        <f>IFERROR(__xludf.DUMMYFUNCTION("""COMPUTED_VALUE"""),"Snacky")</f>
        <v>Snacky</v>
      </c>
      <c r="C346" s="35">
        <f>IFERROR(__xludf.DUMMYFUNCTION("""COMPUTED_VALUE"""),908.0)</f>
        <v>908</v>
      </c>
      <c r="D346" s="1" t="str">
        <f>IFERROR(__xludf.DUMMYFUNCTION("""COMPUTED_VALUE"""),"LYD")</f>
        <v>LYD</v>
      </c>
      <c r="E346" s="1" t="str">
        <f>IFERROR(__xludf.DUMMYFUNCTION("""COMPUTED_VALUE"""),"Money Out")</f>
        <v>Money Out</v>
      </c>
      <c r="F346" s="1" t="str">
        <f>IFERROR(__xludf.DUMMYFUNCTION("""COMPUTED_VALUE"""),"Product Restocking")</f>
        <v>Product Restocking</v>
      </c>
      <c r="G346" s="1"/>
      <c r="H346" s="1"/>
    </row>
    <row r="347">
      <c r="A347" s="36">
        <f>IFERROR(__xludf.DUMMYFUNCTION("""COMPUTED_VALUE"""),45945.0)</f>
        <v>45945</v>
      </c>
      <c r="B347" s="1" t="str">
        <f>IFERROR(__xludf.DUMMYFUNCTION("""COMPUTED_VALUE"""),"Snacky")</f>
        <v>Snacky</v>
      </c>
      <c r="C347" s="35">
        <f>IFERROR(__xludf.DUMMYFUNCTION("""COMPUTED_VALUE"""),3000.0)</f>
        <v>3000</v>
      </c>
      <c r="D347" s="1" t="str">
        <f>IFERROR(__xludf.DUMMYFUNCTION("""COMPUTED_VALUE"""),"LYD")</f>
        <v>LYD</v>
      </c>
      <c r="E347" s="1" t="str">
        <f>IFERROR(__xludf.DUMMYFUNCTION("""COMPUTED_VALUE"""),"Money Out")</f>
        <v>Money Out</v>
      </c>
      <c r="F347" s="1"/>
      <c r="G347" s="1"/>
      <c r="H347" s="1" t="str">
        <f>IFERROR(__xludf.DUMMYFUNCTION("""COMPUTED_VALUE"""),"تعديل ميزانيه")</f>
        <v>تعديل ميزانيه</v>
      </c>
    </row>
    <row r="348">
      <c r="A348" s="36">
        <f>IFERROR(__xludf.DUMMYFUNCTION("""COMPUTED_VALUE"""),45945.0)</f>
        <v>45945</v>
      </c>
      <c r="B348" s="1" t="str">
        <f>IFERROR(__xludf.DUMMYFUNCTION("""COMPUTED_VALUE"""),"Snacky")</f>
        <v>Snacky</v>
      </c>
      <c r="C348" s="35">
        <f>IFERROR(__xludf.DUMMYFUNCTION("""COMPUTED_VALUE"""),2765.0)</f>
        <v>2765</v>
      </c>
      <c r="D348" s="1" t="str">
        <f>IFERROR(__xludf.DUMMYFUNCTION("""COMPUTED_VALUE"""),"LYD")</f>
        <v>LYD</v>
      </c>
      <c r="E348" s="1" t="str">
        <f>IFERROR(__xludf.DUMMYFUNCTION("""COMPUTED_VALUE"""),"Money In")</f>
        <v>Money In</v>
      </c>
      <c r="F348" s="1" t="str">
        <f>IFERROR(__xludf.DUMMYFUNCTION("""COMPUTED_VALUE"""),"Revenue")</f>
        <v>Revenue</v>
      </c>
      <c r="G348" s="1" t="str">
        <f>IFERROR(__xludf.DUMMYFUNCTION("""COMPUTED_VALUE"""),"AlmouasafatHospital")</f>
        <v>AlmouasafatHospital</v>
      </c>
      <c r="H348" s="1"/>
    </row>
    <row r="349">
      <c r="A349" s="36">
        <f>IFERROR(__xludf.DUMMYFUNCTION("""COMPUTED_VALUE"""),45945.0)</f>
        <v>45945</v>
      </c>
      <c r="B349" s="1" t="str">
        <f>IFERROR(__xludf.DUMMYFUNCTION("""COMPUTED_VALUE"""),"Snacky")</f>
        <v>Snacky</v>
      </c>
      <c r="C349" s="35">
        <f>IFERROR(__xludf.DUMMYFUNCTION("""COMPUTED_VALUE"""),100.0)</f>
        <v>100</v>
      </c>
      <c r="D349" s="1" t="str">
        <f>IFERROR(__xludf.DUMMYFUNCTION("""COMPUTED_VALUE"""),"LYD")</f>
        <v>LYD</v>
      </c>
      <c r="E349" s="1" t="str">
        <f>IFERROR(__xludf.DUMMYFUNCTION("""COMPUTED_VALUE"""),"Money Out")</f>
        <v>Money Out</v>
      </c>
      <c r="F349" s="1"/>
      <c r="G349" s="1" t="str">
        <f>IFERROR(__xludf.DUMMYFUNCTION("""COMPUTED_VALUE"""),"HTMall")</f>
        <v>HTMall</v>
      </c>
      <c r="H349" s="1" t="str">
        <f>IFERROR(__xludf.DUMMYFUNCTION("""COMPUTED_VALUE"""),"كهرباء")</f>
        <v>كهرباء</v>
      </c>
    </row>
    <row r="350">
      <c r="A350" s="36">
        <f>IFERROR(__xludf.DUMMYFUNCTION("""COMPUTED_VALUE"""),45948.0)</f>
        <v>45948</v>
      </c>
      <c r="B350" s="1" t="str">
        <f>IFERROR(__xludf.DUMMYFUNCTION("""COMPUTED_VALUE"""),"Snacky")</f>
        <v>Snacky</v>
      </c>
      <c r="C350" s="35">
        <f>IFERROR(__xludf.DUMMYFUNCTION("""COMPUTED_VALUE"""),2435.0)</f>
        <v>2435</v>
      </c>
      <c r="D350" s="1" t="str">
        <f>IFERROR(__xludf.DUMMYFUNCTION("""COMPUTED_VALUE"""),"LYD")</f>
        <v>LYD</v>
      </c>
      <c r="E350" s="1" t="str">
        <f>IFERROR(__xludf.DUMMYFUNCTION("""COMPUTED_VALUE"""),"Money Out")</f>
        <v>Money Out</v>
      </c>
      <c r="F350" s="1"/>
      <c r="G350" s="1"/>
      <c r="H350" s="1" t="str">
        <f>IFERROR(__xludf.DUMMYFUNCTION("""COMPUTED_VALUE"""),"تحويل الى شهاب, 30% من سعر الماكينه الجديده وبغص مصاريف الدعايه")</f>
        <v>تحويل الى شهاب, 30% من سعر الماكينه الجديده وبغص مصاريف الدعايه</v>
      </c>
    </row>
    <row r="351">
      <c r="A351" s="36">
        <f>IFERROR(__xludf.DUMMYFUNCTION("""COMPUTED_VALUE"""),45948.0)</f>
        <v>45948</v>
      </c>
      <c r="B351" s="1" t="str">
        <f>IFERROR(__xludf.DUMMYFUNCTION("""COMPUTED_VALUE"""),"Snacky")</f>
        <v>Snacky</v>
      </c>
      <c r="C351" s="35">
        <f>IFERROR(__xludf.DUMMYFUNCTION("""COMPUTED_VALUE"""),840.0)</f>
        <v>840</v>
      </c>
      <c r="D351" s="1" t="str">
        <f>IFERROR(__xludf.DUMMYFUNCTION("""COMPUTED_VALUE"""),"LYD")</f>
        <v>LYD</v>
      </c>
      <c r="E351" s="1" t="str">
        <f>IFERROR(__xludf.DUMMYFUNCTION("""COMPUTED_VALUE"""),"Money Out")</f>
        <v>Money Out</v>
      </c>
      <c r="F351" s="1" t="str">
        <f>IFERROR(__xludf.DUMMYFUNCTION("""COMPUTED_VALUE"""),"charity")</f>
        <v>charity</v>
      </c>
      <c r="G351" s="1"/>
      <c r="H351" s="1"/>
    </row>
    <row r="352">
      <c r="A352" s="36">
        <f>IFERROR(__xludf.DUMMYFUNCTION("""COMPUTED_VALUE"""),45948.0)</f>
        <v>45948</v>
      </c>
      <c r="B352" s="1" t="str">
        <f>IFERROR(__xludf.DUMMYFUNCTION("""COMPUTED_VALUE"""),"Snacky")</f>
        <v>Snacky</v>
      </c>
      <c r="C352" s="35">
        <f>IFERROR(__xludf.DUMMYFUNCTION("""COMPUTED_VALUE"""),600.0)</f>
        <v>600</v>
      </c>
      <c r="D352" s="1" t="str">
        <f>IFERROR(__xludf.DUMMYFUNCTION("""COMPUTED_VALUE"""),"LYD")</f>
        <v>LYD</v>
      </c>
      <c r="E352" s="1" t="str">
        <f>IFERROR(__xludf.DUMMYFUNCTION("""COMPUTED_VALUE"""),"Money Out")</f>
        <v>Money Out</v>
      </c>
      <c r="F352" s="1" t="str">
        <f>IFERROR(__xludf.DUMMYFUNCTION("""COMPUTED_VALUE"""),"Product Restocking")</f>
        <v>Product Restocking</v>
      </c>
      <c r="G352" s="1"/>
      <c r="H352" s="1"/>
    </row>
    <row r="353">
      <c r="A353" s="36">
        <f>IFERROR(__xludf.DUMMYFUNCTION("""COMPUTED_VALUE"""),45950.0)</f>
        <v>45950</v>
      </c>
      <c r="B353" s="1" t="str">
        <f>IFERROR(__xludf.DUMMYFUNCTION("""COMPUTED_VALUE"""),"Snacky")</f>
        <v>Snacky</v>
      </c>
      <c r="C353" s="35">
        <f>IFERROR(__xludf.DUMMYFUNCTION("""COMPUTED_VALUE"""),211.0)</f>
        <v>211</v>
      </c>
      <c r="D353" s="1" t="str">
        <f>IFERROR(__xludf.DUMMYFUNCTION("""COMPUTED_VALUE"""),"LYD")</f>
        <v>LYD</v>
      </c>
      <c r="E353" s="1" t="str">
        <f>IFERROR(__xludf.DUMMYFUNCTION("""COMPUTED_VALUE"""),"Money Out")</f>
        <v>Money Out</v>
      </c>
      <c r="F353" s="1" t="str">
        <f>IFERROR(__xludf.DUMMYFUNCTION("""COMPUTED_VALUE"""),"Product Restocking")</f>
        <v>Product Restocking</v>
      </c>
      <c r="G353" s="1"/>
      <c r="H353" s="1"/>
    </row>
    <row r="354">
      <c r="A354" s="36">
        <f>IFERROR(__xludf.DUMMYFUNCTION("""COMPUTED_VALUE"""),45950.0)</f>
        <v>45950</v>
      </c>
      <c r="B354" s="1" t="str">
        <f>IFERROR(__xludf.DUMMYFUNCTION("""COMPUTED_VALUE"""),"Snacky")</f>
        <v>Snacky</v>
      </c>
      <c r="C354" s="35">
        <f>IFERROR(__xludf.DUMMYFUNCTION("""COMPUTED_VALUE"""),2593.0)</f>
        <v>2593</v>
      </c>
      <c r="D354" s="1" t="str">
        <f>IFERROR(__xludf.DUMMYFUNCTION("""COMPUTED_VALUE"""),"LYD")</f>
        <v>LYD</v>
      </c>
      <c r="E354" s="1" t="str">
        <f>IFERROR(__xludf.DUMMYFUNCTION("""COMPUTED_VALUE"""),"Money In")</f>
        <v>Money In</v>
      </c>
      <c r="F354" s="1" t="str">
        <f>IFERROR(__xludf.DUMMYFUNCTION("""COMPUTED_VALUE"""),"Revenue")</f>
        <v>Revenue</v>
      </c>
      <c r="G354" s="1" t="str">
        <f>IFERROR(__xludf.DUMMYFUNCTION("""COMPUTED_VALUE"""),"deplomacyMall")</f>
        <v>deplomacyMall</v>
      </c>
      <c r="H354" s="1"/>
    </row>
    <row r="355">
      <c r="A355" s="36">
        <f>IFERROR(__xludf.DUMMYFUNCTION("""COMPUTED_VALUE"""),45950.0)</f>
        <v>45950</v>
      </c>
      <c r="B355" s="1" t="str">
        <f>IFERROR(__xludf.DUMMYFUNCTION("""COMPUTED_VALUE"""),"Snacky")</f>
        <v>Snacky</v>
      </c>
      <c r="C355" s="35">
        <f>IFERROR(__xludf.DUMMYFUNCTION("""COMPUTED_VALUE"""),2599.0)</f>
        <v>2599</v>
      </c>
      <c r="D355" s="1" t="str">
        <f>IFERROR(__xludf.DUMMYFUNCTION("""COMPUTED_VALUE"""),"LYD")</f>
        <v>LYD</v>
      </c>
      <c r="E355" s="1" t="str">
        <f>IFERROR(__xludf.DUMMYFUNCTION("""COMPUTED_VALUE"""),"Money In")</f>
        <v>Money In</v>
      </c>
      <c r="F355" s="1" t="str">
        <f>IFERROR(__xludf.DUMMYFUNCTION("""COMPUTED_VALUE"""),"Revenue")</f>
        <v>Revenue</v>
      </c>
      <c r="G355" s="1" t="str">
        <f>IFERROR(__xludf.DUMMYFUNCTION("""COMPUTED_VALUE"""),"SeaCost")</f>
        <v>SeaCost</v>
      </c>
      <c r="H355" s="1"/>
    </row>
    <row r="356">
      <c r="A356" s="36">
        <f>IFERROR(__xludf.DUMMYFUNCTION("""COMPUTED_VALUE"""),45952.0)</f>
        <v>45952</v>
      </c>
      <c r="B356" s="1" t="str">
        <f>IFERROR(__xludf.DUMMYFUNCTION("""COMPUTED_VALUE"""),"Snacky")</f>
        <v>Snacky</v>
      </c>
      <c r="C356" s="35">
        <f>IFERROR(__xludf.DUMMYFUNCTION("""COMPUTED_VALUE"""),1103.0)</f>
        <v>1103</v>
      </c>
      <c r="D356" s="1" t="str">
        <f>IFERROR(__xludf.DUMMYFUNCTION("""COMPUTED_VALUE"""),"LYD")</f>
        <v>LYD</v>
      </c>
      <c r="E356" s="1" t="str">
        <f>IFERROR(__xludf.DUMMYFUNCTION("""COMPUTED_VALUE"""),"Money Out")</f>
        <v>Money Out</v>
      </c>
      <c r="F356" s="1" t="str">
        <f>IFERROR(__xludf.DUMMYFUNCTION("""COMPUTED_VALUE"""),"Product Restocking")</f>
        <v>Product Restocking</v>
      </c>
      <c r="G356" s="1"/>
      <c r="H356" s="1"/>
    </row>
    <row r="357">
      <c r="A357" s="36">
        <f>IFERROR(__xludf.DUMMYFUNCTION("""COMPUTED_VALUE"""),45950.0)</f>
        <v>45950</v>
      </c>
      <c r="B357" s="1" t="str">
        <f>IFERROR(__xludf.DUMMYFUNCTION("""COMPUTED_VALUE"""),"Snacky")</f>
        <v>Snacky</v>
      </c>
      <c r="C357" s="35">
        <f>IFERROR(__xludf.DUMMYFUNCTION("""COMPUTED_VALUE"""),3636.0)</f>
        <v>3636</v>
      </c>
      <c r="D357" s="1" t="str">
        <f>IFERROR(__xludf.DUMMYFUNCTION("""COMPUTED_VALUE"""),"LYD")</f>
        <v>LYD</v>
      </c>
      <c r="E357" s="1" t="str">
        <f>IFERROR(__xludf.DUMMYFUNCTION("""COMPUTED_VALUE"""),"Money In")</f>
        <v>Money In</v>
      </c>
      <c r="F357" s="1" t="str">
        <f>IFERROR(__xludf.DUMMYFUNCTION("""COMPUTED_VALUE"""),"Revenue")</f>
        <v>Revenue</v>
      </c>
      <c r="G357" s="1" t="str">
        <f>IFERROR(__xludf.DUMMYFUNCTION("""COMPUTED_VALUE"""),"HTMall")</f>
        <v>HTMall</v>
      </c>
      <c r="H357" s="1"/>
    </row>
    <row r="358">
      <c r="A358" s="1"/>
      <c r="B358" s="1" t="str">
        <f>IFERROR(__xludf.DUMMYFUNCTION("""COMPUTED_VALUE"""),"Snacky")</f>
        <v>Snacky</v>
      </c>
      <c r="C358" s="35">
        <f>IFERROR(__xludf.DUMMYFUNCTION("""COMPUTED_VALUE"""),300.0)</f>
        <v>300</v>
      </c>
      <c r="D358" s="1" t="str">
        <f>IFERROR(__xludf.DUMMYFUNCTION("""COMPUTED_VALUE"""),"LYD")</f>
        <v>LYD</v>
      </c>
      <c r="E358" s="1" t="str">
        <f>IFERROR(__xludf.DUMMYFUNCTION("""COMPUTED_VALUE"""),"Money Out")</f>
        <v>Money Out</v>
      </c>
      <c r="F358" s="1"/>
      <c r="G358" s="1"/>
      <c r="H358" s="1" t="str">
        <f>IFERROR(__xludf.DUMMYFUNCTION("""COMPUTED_VALUE"""),"حق نقل ترجيع الماكينه")</f>
        <v>حق نقل ترجيع الماكينه</v>
      </c>
    </row>
    <row r="359">
      <c r="A359" s="36">
        <f>IFERROR(__xludf.DUMMYFUNCTION("""COMPUTED_VALUE"""),45953.0)</f>
        <v>45953</v>
      </c>
      <c r="B359" s="1" t="str">
        <f>IFERROR(__xludf.DUMMYFUNCTION("""COMPUTED_VALUE"""),"Snacky")</f>
        <v>Snacky</v>
      </c>
      <c r="C359" s="35">
        <f>IFERROR(__xludf.DUMMYFUNCTION("""COMPUTED_VALUE"""),180.0)</f>
        <v>180</v>
      </c>
      <c r="D359" s="1" t="str">
        <f>IFERROR(__xludf.DUMMYFUNCTION("""COMPUTED_VALUE"""),"LYD")</f>
        <v>LYD</v>
      </c>
      <c r="E359" s="1" t="str">
        <f>IFERROR(__xludf.DUMMYFUNCTION("""COMPUTED_VALUE"""),"Money Out")</f>
        <v>Money Out</v>
      </c>
      <c r="F359" s="1" t="str">
        <f>IFERROR(__xludf.DUMMYFUNCTION("""COMPUTED_VALUE"""),"Product Restocking")</f>
        <v>Product Restocking</v>
      </c>
      <c r="G359" s="1"/>
      <c r="H359" s="1"/>
    </row>
    <row r="360">
      <c r="A360" s="36">
        <f>IFERROR(__xludf.DUMMYFUNCTION("""COMPUTED_VALUE"""),45955.0)</f>
        <v>45955</v>
      </c>
      <c r="B360" s="1" t="str">
        <f>IFERROR(__xludf.DUMMYFUNCTION("""COMPUTED_VALUE"""),"Snacky")</f>
        <v>Snacky</v>
      </c>
      <c r="C360" s="35">
        <f>IFERROR(__xludf.DUMMYFUNCTION("""COMPUTED_VALUE"""),404.0)</f>
        <v>404</v>
      </c>
      <c r="D360" s="1" t="str">
        <f>IFERROR(__xludf.DUMMYFUNCTION("""COMPUTED_VALUE"""),"LYD")</f>
        <v>LYD</v>
      </c>
      <c r="E360" s="1" t="str">
        <f>IFERROR(__xludf.DUMMYFUNCTION("""COMPUTED_VALUE"""),"Money Out")</f>
        <v>Money Out</v>
      </c>
      <c r="F360" s="1" t="str">
        <f>IFERROR(__xludf.DUMMYFUNCTION("""COMPUTED_VALUE"""),"Product Restocking")</f>
        <v>Product Restocking</v>
      </c>
      <c r="G360" s="1"/>
      <c r="H360" s="1"/>
    </row>
    <row r="361">
      <c r="A361" s="36">
        <f>IFERROR(__xludf.DUMMYFUNCTION("""COMPUTED_VALUE"""),45956.0)</f>
        <v>45956</v>
      </c>
      <c r="B361" s="1" t="str">
        <f>IFERROR(__xludf.DUMMYFUNCTION("""COMPUTED_VALUE"""),"Snacky")</f>
        <v>Snacky</v>
      </c>
      <c r="C361" s="35">
        <f>IFERROR(__xludf.DUMMYFUNCTION("""COMPUTED_VALUE"""),743.0)</f>
        <v>743</v>
      </c>
      <c r="D361" s="1" t="str">
        <f>IFERROR(__xludf.DUMMYFUNCTION("""COMPUTED_VALUE"""),"LYD")</f>
        <v>LYD</v>
      </c>
      <c r="E361" s="1" t="str">
        <f>IFERROR(__xludf.DUMMYFUNCTION("""COMPUTED_VALUE"""),"Money Out")</f>
        <v>Money Out</v>
      </c>
      <c r="F361" s="1" t="str">
        <f>IFERROR(__xludf.DUMMYFUNCTION("""COMPUTED_VALUE"""),"Product Restocking")</f>
        <v>Product Restocking</v>
      </c>
      <c r="G361" s="1"/>
      <c r="H361" s="1"/>
    </row>
    <row r="362">
      <c r="A362" s="36">
        <f>IFERROR(__xludf.DUMMYFUNCTION("""COMPUTED_VALUE"""),45957.0)</f>
        <v>45957</v>
      </c>
      <c r="B362" s="1" t="str">
        <f>IFERROR(__xludf.DUMMYFUNCTION("""COMPUTED_VALUE"""),"Snacky")</f>
        <v>Snacky</v>
      </c>
      <c r="C362" s="35">
        <f>IFERROR(__xludf.DUMMYFUNCTION("""COMPUTED_VALUE"""),378.0)</f>
        <v>378</v>
      </c>
      <c r="D362" s="1" t="str">
        <f>IFERROR(__xludf.DUMMYFUNCTION("""COMPUTED_VALUE"""),"LYD")</f>
        <v>LYD</v>
      </c>
      <c r="E362" s="1" t="str">
        <f>IFERROR(__xludf.DUMMYFUNCTION("""COMPUTED_VALUE"""),"Money Out")</f>
        <v>Money Out</v>
      </c>
      <c r="F362" s="1" t="str">
        <f>IFERROR(__xludf.DUMMYFUNCTION("""COMPUTED_VALUE"""),"Product Restocking")</f>
        <v>Product Restocking</v>
      </c>
      <c r="G362" s="1"/>
      <c r="H362" s="1"/>
    </row>
    <row r="363">
      <c r="A363" s="36">
        <f>IFERROR(__xludf.DUMMYFUNCTION("""COMPUTED_VALUE"""),45958.0)</f>
        <v>45958</v>
      </c>
      <c r="B363" s="1" t="str">
        <f>IFERROR(__xludf.DUMMYFUNCTION("""COMPUTED_VALUE"""),"Snacky")</f>
        <v>Snacky</v>
      </c>
      <c r="C363" s="35">
        <f>IFERROR(__xludf.DUMMYFUNCTION("""COMPUTED_VALUE"""),348.0)</f>
        <v>348</v>
      </c>
      <c r="D363" s="1" t="str">
        <f>IFERROR(__xludf.DUMMYFUNCTION("""COMPUTED_VALUE"""),"LYD")</f>
        <v>LYD</v>
      </c>
      <c r="E363" s="1" t="str">
        <f>IFERROR(__xludf.DUMMYFUNCTION("""COMPUTED_VALUE"""),"Money Out")</f>
        <v>Money Out</v>
      </c>
      <c r="F363" s="1" t="str">
        <f>IFERROR(__xludf.DUMMYFUNCTION("""COMPUTED_VALUE"""),"Product Restocking")</f>
        <v>Product Restocking</v>
      </c>
      <c r="G363" s="1"/>
      <c r="H363" s="1"/>
    </row>
    <row r="364">
      <c r="A364" s="36">
        <f>IFERROR(__xludf.DUMMYFUNCTION("""COMPUTED_VALUE"""),45959.0)</f>
        <v>45959</v>
      </c>
      <c r="B364" s="1" t="str">
        <f>IFERROR(__xludf.DUMMYFUNCTION("""COMPUTED_VALUE"""),"Snacky")</f>
        <v>Snacky</v>
      </c>
      <c r="C364" s="35">
        <f>IFERROR(__xludf.DUMMYFUNCTION("""COMPUTED_VALUE"""),987.0)</f>
        <v>987</v>
      </c>
      <c r="D364" s="1" t="str">
        <f>IFERROR(__xludf.DUMMYFUNCTION("""COMPUTED_VALUE"""),"LYD")</f>
        <v>LYD</v>
      </c>
      <c r="E364" s="1" t="str">
        <f>IFERROR(__xludf.DUMMYFUNCTION("""COMPUTED_VALUE"""),"Money Out")</f>
        <v>Money Out</v>
      </c>
      <c r="F364" s="1" t="str">
        <f>IFERROR(__xludf.DUMMYFUNCTION("""COMPUTED_VALUE"""),"Product Restocking")</f>
        <v>Product Restocking</v>
      </c>
      <c r="G364" s="1"/>
      <c r="H364" s="1"/>
    </row>
    <row r="365">
      <c r="A365" s="36">
        <f>IFERROR(__xludf.DUMMYFUNCTION("""COMPUTED_VALUE"""),45960.0)</f>
        <v>45960</v>
      </c>
      <c r="B365" s="1" t="str">
        <f>IFERROR(__xludf.DUMMYFUNCTION("""COMPUTED_VALUE"""),"Snacky")</f>
        <v>Snacky</v>
      </c>
      <c r="C365" s="35">
        <f>IFERROR(__xludf.DUMMYFUNCTION("""COMPUTED_VALUE"""),483.0)</f>
        <v>483</v>
      </c>
      <c r="D365" s="1" t="str">
        <f>IFERROR(__xludf.DUMMYFUNCTION("""COMPUTED_VALUE"""),"LYD")</f>
        <v>LYD</v>
      </c>
      <c r="E365" s="1" t="str">
        <f>IFERROR(__xludf.DUMMYFUNCTION("""COMPUTED_VALUE"""),"Money Out")</f>
        <v>Money Out</v>
      </c>
      <c r="F365" s="1" t="str">
        <f>IFERROR(__xludf.DUMMYFUNCTION("""COMPUTED_VALUE"""),"Product Restocking")</f>
        <v>Product Restocking</v>
      </c>
      <c r="G365" s="1"/>
      <c r="H365" s="1"/>
    </row>
    <row r="366">
      <c r="A366" s="36">
        <f>IFERROR(__xludf.DUMMYFUNCTION("""COMPUTED_VALUE"""),45961.0)</f>
        <v>45961</v>
      </c>
      <c r="B366" s="1" t="str">
        <f>IFERROR(__xludf.DUMMYFUNCTION("""COMPUTED_VALUE"""),"Snacky")</f>
        <v>Snacky</v>
      </c>
      <c r="C366" s="35">
        <f>IFERROR(__xludf.DUMMYFUNCTION("""COMPUTED_VALUE"""),3060.0)</f>
        <v>3060</v>
      </c>
      <c r="D366" s="1" t="str">
        <f>IFERROR(__xludf.DUMMYFUNCTION("""COMPUTED_VALUE"""),"LYD")</f>
        <v>LYD</v>
      </c>
      <c r="E366" s="1" t="str">
        <f>IFERROR(__xludf.DUMMYFUNCTION("""COMPUTED_VALUE"""),"Money In")</f>
        <v>Money In</v>
      </c>
      <c r="F366" s="1" t="str">
        <f>IFERROR(__xludf.DUMMYFUNCTION("""COMPUTED_VALUE"""),"Revenue")</f>
        <v>Revenue</v>
      </c>
      <c r="G366" s="1" t="str">
        <f>IFERROR(__xludf.DUMMYFUNCTION("""COMPUTED_VALUE"""),"HTMall")</f>
        <v>HTMall</v>
      </c>
      <c r="H366" s="1"/>
    </row>
    <row r="367">
      <c r="A367" s="36">
        <f>IFERROR(__xludf.DUMMYFUNCTION("""COMPUTED_VALUE"""),45961.0)</f>
        <v>45961</v>
      </c>
      <c r="B367" s="1" t="str">
        <f>IFERROR(__xludf.DUMMYFUNCTION("""COMPUTED_VALUE"""),"Snacky")</f>
        <v>Snacky</v>
      </c>
      <c r="C367" s="35">
        <f>IFERROR(__xludf.DUMMYFUNCTION("""COMPUTED_VALUE"""),1262.0)</f>
        <v>1262</v>
      </c>
      <c r="D367" s="1" t="str">
        <f>IFERROR(__xludf.DUMMYFUNCTION("""COMPUTED_VALUE"""),"LYD")</f>
        <v>LYD</v>
      </c>
      <c r="E367" s="1" t="str">
        <f>IFERROR(__xludf.DUMMYFUNCTION("""COMPUTED_VALUE"""),"Money In")</f>
        <v>Money In</v>
      </c>
      <c r="F367" s="1" t="str">
        <f>IFERROR(__xludf.DUMMYFUNCTION("""COMPUTED_VALUE"""),"Revenue")</f>
        <v>Revenue</v>
      </c>
      <c r="G367" s="1" t="str">
        <f>IFERROR(__xludf.DUMMYFUNCTION("""COMPUTED_VALUE"""),"SeaCost")</f>
        <v>SeaCost</v>
      </c>
      <c r="H367" s="1"/>
    </row>
    <row r="368">
      <c r="A368" s="36">
        <f>IFERROR(__xludf.DUMMYFUNCTION("""COMPUTED_VALUE"""),45961.0)</f>
        <v>45961</v>
      </c>
      <c r="B368" s="1" t="str">
        <f>IFERROR(__xludf.DUMMYFUNCTION("""COMPUTED_VALUE"""),"Snacky")</f>
        <v>Snacky</v>
      </c>
      <c r="C368" s="35">
        <f>IFERROR(__xludf.DUMMYFUNCTION("""COMPUTED_VALUE"""),2354.0)</f>
        <v>2354</v>
      </c>
      <c r="D368" s="1" t="str">
        <f>IFERROR(__xludf.DUMMYFUNCTION("""COMPUTED_VALUE"""),"LYD")</f>
        <v>LYD</v>
      </c>
      <c r="E368" s="1" t="str">
        <f>IFERROR(__xludf.DUMMYFUNCTION("""COMPUTED_VALUE"""),"Money In")</f>
        <v>Money In</v>
      </c>
      <c r="F368" s="1" t="str">
        <f>IFERROR(__xludf.DUMMYFUNCTION("""COMPUTED_VALUE"""),"Revenue")</f>
        <v>Revenue</v>
      </c>
      <c r="G368" s="1" t="str">
        <f>IFERROR(__xludf.DUMMYFUNCTION("""COMPUTED_VALUE"""),"AlmouasafatHospital")</f>
        <v>AlmouasafatHospital</v>
      </c>
      <c r="H368" s="1"/>
    </row>
    <row r="369">
      <c r="A369" s="36">
        <f>IFERROR(__xludf.DUMMYFUNCTION("""COMPUTED_VALUE"""),45961.0)</f>
        <v>45961</v>
      </c>
      <c r="B369" s="1" t="str">
        <f>IFERROR(__xludf.DUMMYFUNCTION("""COMPUTED_VALUE"""),"Snacky")</f>
        <v>Snacky</v>
      </c>
      <c r="C369" s="35">
        <f>IFERROR(__xludf.DUMMYFUNCTION("""COMPUTED_VALUE"""),819.0)</f>
        <v>819</v>
      </c>
      <c r="D369" s="1" t="str">
        <f>IFERROR(__xludf.DUMMYFUNCTION("""COMPUTED_VALUE"""),"LYD")</f>
        <v>LYD</v>
      </c>
      <c r="E369" s="1" t="str">
        <f>IFERROR(__xludf.DUMMYFUNCTION("""COMPUTED_VALUE"""),"Money In")</f>
        <v>Money In</v>
      </c>
      <c r="F369" s="1" t="str">
        <f>IFERROR(__xludf.DUMMYFUNCTION("""COMPUTED_VALUE"""),"Revenue")</f>
        <v>Revenue</v>
      </c>
      <c r="G369" s="1" t="str">
        <f>IFERROR(__xludf.DUMMYFUNCTION("""COMPUTED_VALUE"""),"deplomacyMall")</f>
        <v>deplomacyMall</v>
      </c>
      <c r="H369" s="1"/>
    </row>
    <row r="370">
      <c r="A370" s="36">
        <f>IFERROR(__xludf.DUMMYFUNCTION("""COMPUTED_VALUE"""),45963.0)</f>
        <v>45963</v>
      </c>
      <c r="B370" s="1" t="str">
        <f>IFERROR(__xludf.DUMMYFUNCTION("""COMPUTED_VALUE"""),"Snacky")</f>
        <v>Snacky</v>
      </c>
      <c r="C370" s="35">
        <f>IFERROR(__xludf.DUMMYFUNCTION("""COMPUTED_VALUE"""),521.0)</f>
        <v>521</v>
      </c>
      <c r="D370" s="1" t="str">
        <f>IFERROR(__xludf.DUMMYFUNCTION("""COMPUTED_VALUE"""),"LYD")</f>
        <v>LYD</v>
      </c>
      <c r="E370" s="1" t="str">
        <f>IFERROR(__xludf.DUMMYFUNCTION("""COMPUTED_VALUE"""),"Money Out")</f>
        <v>Money Out</v>
      </c>
      <c r="F370" s="1" t="str">
        <f>IFERROR(__xludf.DUMMYFUNCTION("""COMPUTED_VALUE"""),"Product Restocking")</f>
        <v>Product Restocking</v>
      </c>
      <c r="G370" s="1"/>
      <c r="H370" s="1"/>
    </row>
    <row r="371">
      <c r="A371" s="36">
        <f>IFERROR(__xludf.DUMMYFUNCTION("""COMPUTED_VALUE"""),45966.0)</f>
        <v>45966</v>
      </c>
      <c r="B371" s="1" t="str">
        <f>IFERROR(__xludf.DUMMYFUNCTION("""COMPUTED_VALUE"""),"Snacky")</f>
        <v>Snacky</v>
      </c>
      <c r="C371" s="35">
        <f>IFERROR(__xludf.DUMMYFUNCTION("""COMPUTED_VALUE"""),398.0)</f>
        <v>398</v>
      </c>
      <c r="D371" s="1" t="str">
        <f>IFERROR(__xludf.DUMMYFUNCTION("""COMPUTED_VALUE"""),"LYD")</f>
        <v>LYD</v>
      </c>
      <c r="E371" s="1" t="str">
        <f>IFERROR(__xludf.DUMMYFUNCTION("""COMPUTED_VALUE"""),"Money Out")</f>
        <v>Money Out</v>
      </c>
      <c r="F371" s="1" t="str">
        <f>IFERROR(__xludf.DUMMYFUNCTION("""COMPUTED_VALUE"""),"Product Restocking")</f>
        <v>Product Restocking</v>
      </c>
      <c r="G371" s="1"/>
      <c r="H371" s="1"/>
    </row>
    <row r="372">
      <c r="A372" s="36">
        <f>IFERROR(__xludf.DUMMYFUNCTION("""COMPUTED_VALUE"""),45967.0)</f>
        <v>45967</v>
      </c>
      <c r="B372" s="1" t="str">
        <f>IFERROR(__xludf.DUMMYFUNCTION("""COMPUTED_VALUE"""),"Snacky")</f>
        <v>Snacky</v>
      </c>
      <c r="C372" s="35">
        <f>IFERROR(__xludf.DUMMYFUNCTION("""COMPUTED_VALUE"""),748.0)</f>
        <v>748</v>
      </c>
      <c r="D372" s="1" t="str">
        <f>IFERROR(__xludf.DUMMYFUNCTION("""COMPUTED_VALUE"""),"LYD")</f>
        <v>LYD</v>
      </c>
      <c r="E372" s="1" t="str">
        <f>IFERROR(__xludf.DUMMYFUNCTION("""COMPUTED_VALUE"""),"Money Out")</f>
        <v>Money Out</v>
      </c>
      <c r="F372" s="1" t="str">
        <f>IFERROR(__xludf.DUMMYFUNCTION("""COMPUTED_VALUE"""),"Product Restocking")</f>
        <v>Product Restocking</v>
      </c>
      <c r="G372" s="1"/>
      <c r="H372" s="1"/>
    </row>
    <row r="373">
      <c r="A373" s="36">
        <f>IFERROR(__xludf.DUMMYFUNCTION("""COMPUTED_VALUE"""),45969.0)</f>
        <v>45969</v>
      </c>
      <c r="B373" s="1" t="str">
        <f>IFERROR(__xludf.DUMMYFUNCTION("""COMPUTED_VALUE"""),"Snacky")</f>
        <v>Snacky</v>
      </c>
      <c r="C373" s="35">
        <f>IFERROR(__xludf.DUMMYFUNCTION("""COMPUTED_VALUE"""),852.0)</f>
        <v>852</v>
      </c>
      <c r="D373" s="1" t="str">
        <f>IFERROR(__xludf.DUMMYFUNCTION("""COMPUTED_VALUE"""),"LYD")</f>
        <v>LYD</v>
      </c>
      <c r="E373" s="1" t="str">
        <f>IFERROR(__xludf.DUMMYFUNCTION("""COMPUTED_VALUE"""),"Money Out")</f>
        <v>Money Out</v>
      </c>
      <c r="F373" s="1" t="str">
        <f>IFERROR(__xludf.DUMMYFUNCTION("""COMPUTED_VALUE"""),"Product Restocking")</f>
        <v>Product Restocking</v>
      </c>
      <c r="G373" s="1"/>
      <c r="H373" s="1"/>
    </row>
    <row r="374">
      <c r="A374" s="1"/>
      <c r="B374" s="1" t="str">
        <f>IFERROR(__xludf.DUMMYFUNCTION("""COMPUTED_VALUE"""),"Snacky")</f>
        <v>Snacky</v>
      </c>
      <c r="C374" s="35">
        <f>IFERROR(__xludf.DUMMYFUNCTION("""COMPUTED_VALUE"""),6485.0)</f>
        <v>6485</v>
      </c>
      <c r="D374" s="1" t="str">
        <f>IFERROR(__xludf.DUMMYFUNCTION("""COMPUTED_VALUE"""),"LYD")</f>
        <v>LYD</v>
      </c>
      <c r="E374" s="1" t="str">
        <f>IFERROR(__xludf.DUMMYFUNCTION("""COMPUTED_VALUE"""),"Money Out")</f>
        <v>Money Out</v>
      </c>
      <c r="F374" s="1" t="str">
        <f>IFERROR(__xludf.DUMMYFUNCTION("""COMPUTED_VALUE"""),"Product Restocking")</f>
        <v>Product Restocking</v>
      </c>
      <c r="G374" s="1"/>
      <c r="H374" s="1"/>
    </row>
    <row r="375">
      <c r="A375" s="36">
        <f>IFERROR(__xludf.DUMMYFUNCTION("""COMPUTED_VALUE"""),45978.0)</f>
        <v>45978</v>
      </c>
      <c r="B375" s="1" t="str">
        <f>IFERROR(__xludf.DUMMYFUNCTION("""COMPUTED_VALUE"""),"Snacky")</f>
        <v>Snacky</v>
      </c>
      <c r="C375" s="35">
        <f>IFERROR(__xludf.DUMMYFUNCTION("""COMPUTED_VALUE"""),1421.0)</f>
        <v>1421</v>
      </c>
      <c r="D375" s="1" t="str">
        <f>IFERROR(__xludf.DUMMYFUNCTION("""COMPUTED_VALUE"""),"LYD")</f>
        <v>LYD</v>
      </c>
      <c r="E375" s="1" t="str">
        <f>IFERROR(__xludf.DUMMYFUNCTION("""COMPUTED_VALUE"""),"Money Out")</f>
        <v>Money Out</v>
      </c>
      <c r="F375" s="1"/>
      <c r="G375" s="1"/>
      <c r="H375" s="1" t="str">
        <f>IFERROR(__xludf.DUMMYFUNCTION("""COMPUTED_VALUE"""),"تعديل الميزانيه")</f>
        <v>تعديل الميزانيه</v>
      </c>
    </row>
    <row r="376">
      <c r="A376" s="36">
        <f>IFERROR(__xludf.DUMMYFUNCTION("""COMPUTED_VALUE"""),45979.0)</f>
        <v>45979</v>
      </c>
      <c r="B376" s="1" t="str">
        <f>IFERROR(__xludf.DUMMYFUNCTION("""COMPUTED_VALUE"""),"Snacky")</f>
        <v>Snacky</v>
      </c>
      <c r="C376" s="35">
        <f>IFERROR(__xludf.DUMMYFUNCTION("""COMPUTED_VALUE"""),13000.0)</f>
        <v>13000</v>
      </c>
      <c r="D376" s="1" t="str">
        <f>IFERROR(__xludf.DUMMYFUNCTION("""COMPUTED_VALUE"""),"LYD")</f>
        <v>LYD</v>
      </c>
      <c r="E376" s="1" t="str">
        <f>IFERROR(__xludf.DUMMYFUNCTION("""COMPUTED_VALUE"""),"Money Out")</f>
        <v>Money Out</v>
      </c>
      <c r="F376" s="1"/>
      <c r="G376" s="1"/>
      <c r="H376" s="1" t="str">
        <f>IFERROR(__xludf.DUMMYFUNCTION("""COMPUTED_VALUE"""),"new machine ")</f>
        <v>new machine </v>
      </c>
    </row>
    <row r="377">
      <c r="A377" s="36">
        <f>IFERROR(__xludf.DUMMYFUNCTION("""COMPUTED_VALUE"""),45979.0)</f>
        <v>45979</v>
      </c>
      <c r="B377" s="1" t="str">
        <f>IFERROR(__xludf.DUMMYFUNCTION("""COMPUTED_VALUE"""),"Snacky")</f>
        <v>Snacky</v>
      </c>
      <c r="C377" s="35">
        <f>IFERROR(__xludf.DUMMYFUNCTION("""COMPUTED_VALUE"""),3000.0)</f>
        <v>3000</v>
      </c>
      <c r="D377" s="1" t="str">
        <f>IFERROR(__xludf.DUMMYFUNCTION("""COMPUTED_VALUE"""),"LYD")</f>
        <v>LYD</v>
      </c>
      <c r="E377" s="1" t="str">
        <f>IFERROR(__xludf.DUMMYFUNCTION("""COMPUTED_VALUE"""),"Money Out")</f>
        <v>Money Out</v>
      </c>
      <c r="F377" s="1" t="str">
        <f>IFERROR(__xludf.DUMMYFUNCTION("""COMPUTED_VALUE"""),"Anas")</f>
        <v>Anas</v>
      </c>
      <c r="G377" s="1"/>
      <c r="H377" s="1"/>
    </row>
    <row r="378">
      <c r="A378" s="36">
        <f>IFERROR(__xludf.DUMMYFUNCTION("""COMPUTED_VALUE"""),45980.0)</f>
        <v>45980</v>
      </c>
      <c r="B378" s="1" t="str">
        <f>IFERROR(__xludf.DUMMYFUNCTION("""COMPUTED_VALUE"""),"Snacky")</f>
        <v>Snacky</v>
      </c>
      <c r="C378" s="35">
        <f>IFERROR(__xludf.DUMMYFUNCTION("""COMPUTED_VALUE"""),4942.0)</f>
        <v>4942</v>
      </c>
      <c r="D378" s="1" t="str">
        <f>IFERROR(__xludf.DUMMYFUNCTION("""COMPUTED_VALUE"""),"LYD")</f>
        <v>LYD</v>
      </c>
      <c r="E378" s="1" t="str">
        <f>IFERROR(__xludf.DUMMYFUNCTION("""COMPUTED_VALUE"""),"Money Out")</f>
        <v>Money Out</v>
      </c>
      <c r="F378" s="1" t="str">
        <f>IFERROR(__xludf.DUMMYFUNCTION("""COMPUTED_VALUE"""),"Product Restocking")</f>
        <v>Product Restocking</v>
      </c>
      <c r="G378" s="1"/>
      <c r="H378" s="1"/>
    </row>
    <row r="379">
      <c r="A379" s="36">
        <f>IFERROR(__xludf.DUMMYFUNCTION("""COMPUTED_VALUE"""),45991.0)</f>
        <v>45991</v>
      </c>
      <c r="B379" s="1" t="str">
        <f>IFERROR(__xludf.DUMMYFUNCTION("""COMPUTED_VALUE"""),"Snacky")</f>
        <v>Snacky</v>
      </c>
      <c r="C379" s="35">
        <f>IFERROR(__xludf.DUMMYFUNCTION("""COMPUTED_VALUE"""),3893.0)</f>
        <v>3893</v>
      </c>
      <c r="D379" s="1" t="str">
        <f>IFERROR(__xludf.DUMMYFUNCTION("""COMPUTED_VALUE"""),"LYD")</f>
        <v>LYD</v>
      </c>
      <c r="E379" s="1" t="str">
        <f>IFERROR(__xludf.DUMMYFUNCTION("""COMPUTED_VALUE"""),"Money In")</f>
        <v>Money In</v>
      </c>
      <c r="F379" s="1" t="str">
        <f>IFERROR(__xludf.DUMMYFUNCTION("""COMPUTED_VALUE"""),"Revenue")</f>
        <v>Revenue</v>
      </c>
      <c r="G379" s="1" t="str">
        <f>IFERROR(__xludf.DUMMYFUNCTION("""COMPUTED_VALUE"""),"deplomacyMall")</f>
        <v>deplomacyMall</v>
      </c>
      <c r="H379" s="1"/>
    </row>
    <row r="380">
      <c r="A380" s="36">
        <f>IFERROR(__xludf.DUMMYFUNCTION("""COMPUTED_VALUE"""),45991.0)</f>
        <v>45991</v>
      </c>
      <c r="B380" s="1" t="str">
        <f>IFERROR(__xludf.DUMMYFUNCTION("""COMPUTED_VALUE"""),"Snacky")</f>
        <v>Snacky</v>
      </c>
      <c r="C380" s="35">
        <f>IFERROR(__xludf.DUMMYFUNCTION("""COMPUTED_VALUE"""),4284.0)</f>
        <v>4284</v>
      </c>
      <c r="D380" s="1" t="str">
        <f>IFERROR(__xludf.DUMMYFUNCTION("""COMPUTED_VALUE"""),"LYD")</f>
        <v>LYD</v>
      </c>
      <c r="E380" s="1" t="str">
        <f>IFERROR(__xludf.DUMMYFUNCTION("""COMPUTED_VALUE"""),"Money In")</f>
        <v>Money In</v>
      </c>
      <c r="F380" s="1" t="str">
        <f>IFERROR(__xludf.DUMMYFUNCTION("""COMPUTED_VALUE"""),"Revenue")</f>
        <v>Revenue</v>
      </c>
      <c r="G380" s="1" t="str">
        <f>IFERROR(__xludf.DUMMYFUNCTION("""COMPUTED_VALUE"""),"AlmouasafatHospital")</f>
        <v>AlmouasafatHospital</v>
      </c>
      <c r="H380" s="1"/>
    </row>
    <row r="381">
      <c r="A381" s="36">
        <f>IFERROR(__xludf.DUMMYFUNCTION("""COMPUTED_VALUE"""),45991.0)</f>
        <v>45991</v>
      </c>
      <c r="B381" s="1" t="str">
        <f>IFERROR(__xludf.DUMMYFUNCTION("""COMPUTED_VALUE"""),"Snacky")</f>
        <v>Snacky</v>
      </c>
      <c r="C381" s="35">
        <f>IFERROR(__xludf.DUMMYFUNCTION("""COMPUTED_VALUE"""),3493.0)</f>
        <v>3493</v>
      </c>
      <c r="D381" s="1" t="str">
        <f>IFERROR(__xludf.DUMMYFUNCTION("""COMPUTED_VALUE"""),"LYD")</f>
        <v>LYD</v>
      </c>
      <c r="E381" s="1" t="str">
        <f>IFERROR(__xludf.DUMMYFUNCTION("""COMPUTED_VALUE"""),"Money In")</f>
        <v>Money In</v>
      </c>
      <c r="F381" s="1" t="str">
        <f>IFERROR(__xludf.DUMMYFUNCTION("""COMPUTED_VALUE"""),"Revenue")</f>
        <v>Revenue</v>
      </c>
      <c r="G381" s="1" t="str">
        <f>IFERROR(__xludf.DUMMYFUNCTION("""COMPUTED_VALUE"""),"SeaCost")</f>
        <v>SeaCost</v>
      </c>
      <c r="H381" s="1"/>
    </row>
    <row r="382">
      <c r="A382" s="36">
        <f>IFERROR(__xludf.DUMMYFUNCTION("""COMPUTED_VALUE"""),45991.0)</f>
        <v>45991</v>
      </c>
      <c r="B382" s="1" t="str">
        <f>IFERROR(__xludf.DUMMYFUNCTION("""COMPUTED_VALUE"""),"Snacky")</f>
        <v>Snacky</v>
      </c>
      <c r="C382" s="35">
        <f>IFERROR(__xludf.DUMMYFUNCTION("""COMPUTED_VALUE"""),5090.0)</f>
        <v>5090</v>
      </c>
      <c r="D382" s="1" t="str">
        <f>IFERROR(__xludf.DUMMYFUNCTION("""COMPUTED_VALUE"""),"LYD")</f>
        <v>LYD</v>
      </c>
      <c r="E382" s="1" t="str">
        <f>IFERROR(__xludf.DUMMYFUNCTION("""COMPUTED_VALUE"""),"Money In")</f>
        <v>Money In</v>
      </c>
      <c r="F382" s="1" t="str">
        <f>IFERROR(__xludf.DUMMYFUNCTION("""COMPUTED_VALUE"""),"Revenue")</f>
        <v>Revenue</v>
      </c>
      <c r="G382" s="1" t="str">
        <f>IFERROR(__xludf.DUMMYFUNCTION("""COMPUTED_VALUE"""),"HTMall")</f>
        <v>HTMall</v>
      </c>
      <c r="H382" s="1"/>
    </row>
    <row r="383">
      <c r="A383" s="36">
        <f>IFERROR(__xludf.DUMMYFUNCTION("""COMPUTED_VALUE"""),45995.0)</f>
        <v>45995</v>
      </c>
      <c r="B383" s="1" t="str">
        <f>IFERROR(__xludf.DUMMYFUNCTION("""COMPUTED_VALUE"""),"Snacky")</f>
        <v>Snacky</v>
      </c>
      <c r="C383" s="35">
        <f>IFERROR(__xludf.DUMMYFUNCTION("""COMPUTED_VALUE"""),500.0)</f>
        <v>500</v>
      </c>
      <c r="D383" s="1" t="str">
        <f>IFERROR(__xludf.DUMMYFUNCTION("""COMPUTED_VALUE"""),"LYD")</f>
        <v>LYD</v>
      </c>
      <c r="E383" s="1" t="str">
        <f>IFERROR(__xludf.DUMMYFUNCTION("""COMPUTED_VALUE"""),"Money Out")</f>
        <v>Money Out</v>
      </c>
      <c r="F383" s="1"/>
      <c r="G383" s="1"/>
      <c r="H383" s="1" t="str">
        <f>IFERROR(__xludf.DUMMYFUNCTION("""COMPUTED_VALUE"""),"عربون للمصمم")</f>
        <v>عربون للمصمم</v>
      </c>
    </row>
    <row r="384">
      <c r="A384" s="36">
        <f>IFERROR(__xludf.DUMMYFUNCTION("""COMPUTED_VALUE"""),45998.0)</f>
        <v>45998</v>
      </c>
      <c r="B384" s="1" t="str">
        <f>IFERROR(__xludf.DUMMYFUNCTION("""COMPUTED_VALUE"""),"Snacky")</f>
        <v>Snacky</v>
      </c>
      <c r="C384" s="35">
        <f>IFERROR(__xludf.DUMMYFUNCTION("""COMPUTED_VALUE"""),700.0)</f>
        <v>700</v>
      </c>
      <c r="D384" s="1" t="str">
        <f>IFERROR(__xludf.DUMMYFUNCTION("""COMPUTED_VALUE"""),"LYD")</f>
        <v>LYD</v>
      </c>
      <c r="E384" s="1" t="str">
        <f>IFERROR(__xludf.DUMMYFUNCTION("""COMPUTED_VALUE"""),"Money Out")</f>
        <v>Money Out</v>
      </c>
      <c r="F384" s="1"/>
      <c r="G384" s="1" t="str">
        <f>IFERROR(__xludf.DUMMYFUNCTION("""COMPUTED_VALUE"""),"SeaCost")</f>
        <v>SeaCost</v>
      </c>
      <c r="H384" s="1" t="str">
        <f>IFERROR(__xludf.DUMMYFUNCTION("""COMPUTED_VALUE"""),"ايجار seacost")</f>
        <v>ايجار seacost</v>
      </c>
    </row>
    <row r="385">
      <c r="A385" s="36">
        <f>IFERROR(__xludf.DUMMYFUNCTION("""COMPUTED_VALUE"""),45998.0)</f>
        <v>45998</v>
      </c>
      <c r="B385" s="1" t="str">
        <f>IFERROR(__xludf.DUMMYFUNCTION("""COMPUTED_VALUE"""),"Snacky")</f>
        <v>Snacky</v>
      </c>
      <c r="C385" s="35">
        <f>IFERROR(__xludf.DUMMYFUNCTION("""COMPUTED_VALUE"""),100.0)</f>
        <v>100</v>
      </c>
      <c r="D385" s="1" t="str">
        <f>IFERROR(__xludf.DUMMYFUNCTION("""COMPUTED_VALUE"""),"LYD")</f>
        <v>LYD</v>
      </c>
      <c r="E385" s="1" t="str">
        <f>IFERROR(__xludf.DUMMYFUNCTION("""COMPUTED_VALUE"""),"Money Out")</f>
        <v>Money Out</v>
      </c>
      <c r="F385" s="1"/>
      <c r="G385" s="1" t="str">
        <f>IFERROR(__xludf.DUMMYFUNCTION("""COMPUTED_VALUE"""),"HTMall")</f>
        <v>HTMall</v>
      </c>
      <c r="H385" s="1" t="str">
        <f>IFERROR(__xludf.DUMMYFUNCTION("""COMPUTED_VALUE"""),"كهرباء")</f>
        <v>كهرباء</v>
      </c>
    </row>
    <row r="386">
      <c r="A386" s="36">
        <f>IFERROR(__xludf.DUMMYFUNCTION("""COMPUTED_VALUE"""),45998.0)</f>
        <v>45998</v>
      </c>
      <c r="B386" s="1" t="str">
        <f>IFERROR(__xludf.DUMMYFUNCTION("""COMPUTED_VALUE"""),"Snacky")</f>
        <v>Snacky</v>
      </c>
      <c r="C386" s="35">
        <f>IFERROR(__xludf.DUMMYFUNCTION("""COMPUTED_VALUE"""),1400.0)</f>
        <v>1400</v>
      </c>
      <c r="D386" s="1" t="str">
        <f>IFERROR(__xludf.DUMMYFUNCTION("""COMPUTED_VALUE"""),"LYD")</f>
        <v>LYD</v>
      </c>
      <c r="E386" s="1" t="str">
        <f>IFERROR(__xludf.DUMMYFUNCTION("""COMPUTED_VALUE"""),"Money Out")</f>
        <v>Money Out</v>
      </c>
      <c r="F386" s="1" t="str">
        <f>IFERROR(__xludf.DUMMYFUNCTION("""COMPUTED_VALUE"""),"Ahmed")</f>
        <v>Ahmed</v>
      </c>
      <c r="G386" s="1"/>
      <c r="H386" s="1" t="str">
        <f>IFERROR(__xludf.DUMMYFUNCTION("""COMPUTED_VALUE"""),"مرتب شهر 11 احمد")</f>
        <v>مرتب شهر 11 احمد</v>
      </c>
    </row>
    <row r="387">
      <c r="A387" s="36">
        <f>IFERROR(__xludf.DUMMYFUNCTION("""COMPUTED_VALUE"""),45998.0)</f>
        <v>45998</v>
      </c>
      <c r="B387" s="1" t="str">
        <f>IFERROR(__xludf.DUMMYFUNCTION("""COMPUTED_VALUE"""),"Snacky")</f>
        <v>Snacky</v>
      </c>
      <c r="C387" s="35">
        <f>IFERROR(__xludf.DUMMYFUNCTION("""COMPUTED_VALUE"""),10656.0)</f>
        <v>10656</v>
      </c>
      <c r="D387" s="1" t="str">
        <f>IFERROR(__xludf.DUMMYFUNCTION("""COMPUTED_VALUE"""),"LYD")</f>
        <v>LYD</v>
      </c>
      <c r="E387" s="1" t="str">
        <f>IFERROR(__xludf.DUMMYFUNCTION("""COMPUTED_VALUE"""),"Money Out")</f>
        <v>Money Out</v>
      </c>
      <c r="F387" s="1" t="str">
        <f>IFERROR(__xludf.DUMMYFUNCTION("""COMPUTED_VALUE"""),"Product Restocking")</f>
        <v>Product Restocking</v>
      </c>
      <c r="G387" s="1"/>
      <c r="H387" s="1" t="str">
        <f>IFERROR(__xludf.DUMMYFUNCTION("""COMPUTED_VALUE"""),"لاحمد لشراء بضاعه")</f>
        <v>لاحمد لشراء بضاعه</v>
      </c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36">
        <f>IFERROR(__xludf.DUMMYFUNCTION("""COMPUTED_VALUE"""),46011.0)</f>
        <v>46011</v>
      </c>
      <c r="B389" s="1" t="str">
        <f>IFERROR(__xludf.DUMMYFUNCTION("""COMPUTED_VALUE"""),"Snacky")</f>
        <v>Snacky</v>
      </c>
      <c r="C389" s="35">
        <f>IFERROR(__xludf.DUMMYFUNCTION("""COMPUTED_VALUE"""),2329.0)</f>
        <v>2329</v>
      </c>
      <c r="D389" s="1" t="str">
        <f>IFERROR(__xludf.DUMMYFUNCTION("""COMPUTED_VALUE"""),"LYD")</f>
        <v>LYD</v>
      </c>
      <c r="E389" s="1" t="str">
        <f>IFERROR(__xludf.DUMMYFUNCTION("""COMPUTED_VALUE"""),"Money In")</f>
        <v>Money In</v>
      </c>
      <c r="F389" s="1" t="str">
        <f>IFERROR(__xludf.DUMMYFUNCTION("""COMPUTED_VALUE"""),"Revenue")</f>
        <v>Revenue</v>
      </c>
      <c r="G389" s="1" t="str">
        <f>IFERROR(__xludf.DUMMYFUNCTION("""COMPUTED_VALUE"""),"deplomacyMall")</f>
        <v>deplomacyMall</v>
      </c>
      <c r="H389" s="1"/>
    </row>
    <row r="390">
      <c r="A390" s="36">
        <f>IFERROR(__xludf.DUMMYFUNCTION("""COMPUTED_VALUE"""),46011.0)</f>
        <v>46011</v>
      </c>
      <c r="B390" s="1" t="str">
        <f>IFERROR(__xludf.DUMMYFUNCTION("""COMPUTED_VALUE"""),"Snacky")</f>
        <v>Snacky</v>
      </c>
      <c r="C390" s="35">
        <f>IFERROR(__xludf.DUMMYFUNCTION("""COMPUTED_VALUE"""),2766.0)</f>
        <v>2766</v>
      </c>
      <c r="D390" s="1" t="str">
        <f>IFERROR(__xludf.DUMMYFUNCTION("""COMPUTED_VALUE"""),"LYD")</f>
        <v>LYD</v>
      </c>
      <c r="E390" s="1" t="str">
        <f>IFERROR(__xludf.DUMMYFUNCTION("""COMPUTED_VALUE"""),"Money In")</f>
        <v>Money In</v>
      </c>
      <c r="F390" s="1" t="str">
        <f>IFERROR(__xludf.DUMMYFUNCTION("""COMPUTED_VALUE"""),"Revenue")</f>
        <v>Revenue</v>
      </c>
      <c r="G390" s="1" t="str">
        <f>IFERROR(__xludf.DUMMYFUNCTION("""COMPUTED_VALUE"""),"AlmouasafatHospital")</f>
        <v>AlmouasafatHospital</v>
      </c>
      <c r="H390" s="1"/>
    </row>
    <row r="391">
      <c r="A391" s="36">
        <f>IFERROR(__xludf.DUMMYFUNCTION("""COMPUTED_VALUE"""),46011.0)</f>
        <v>46011</v>
      </c>
      <c r="B391" s="1" t="str">
        <f>IFERROR(__xludf.DUMMYFUNCTION("""COMPUTED_VALUE"""),"Snacky")</f>
        <v>Snacky</v>
      </c>
      <c r="C391" s="35">
        <f>IFERROR(__xludf.DUMMYFUNCTION("""COMPUTED_VALUE"""),2607.0)</f>
        <v>2607</v>
      </c>
      <c r="D391" s="1" t="str">
        <f>IFERROR(__xludf.DUMMYFUNCTION("""COMPUTED_VALUE"""),"LYD")</f>
        <v>LYD</v>
      </c>
      <c r="E391" s="1" t="str">
        <f>IFERROR(__xludf.DUMMYFUNCTION("""COMPUTED_VALUE"""),"Money In")</f>
        <v>Money In</v>
      </c>
      <c r="F391" s="1" t="str">
        <f>IFERROR(__xludf.DUMMYFUNCTION("""COMPUTED_VALUE"""),"Revenue")</f>
        <v>Revenue</v>
      </c>
      <c r="G391" s="1" t="str">
        <f>IFERROR(__xludf.DUMMYFUNCTION("""COMPUTED_VALUE"""),"SeaCost")</f>
        <v>SeaCost</v>
      </c>
      <c r="H391" s="1"/>
    </row>
    <row r="392">
      <c r="A392" s="36">
        <f>IFERROR(__xludf.DUMMYFUNCTION("""COMPUTED_VALUE"""),46011.0)</f>
        <v>46011</v>
      </c>
      <c r="B392" s="1" t="str">
        <f>IFERROR(__xludf.DUMMYFUNCTION("""COMPUTED_VALUE"""),"Snacky")</f>
        <v>Snacky</v>
      </c>
      <c r="C392" s="35">
        <f>IFERROR(__xludf.DUMMYFUNCTION("""COMPUTED_VALUE"""),3085.0)</f>
        <v>3085</v>
      </c>
      <c r="D392" s="1" t="str">
        <f>IFERROR(__xludf.DUMMYFUNCTION("""COMPUTED_VALUE"""),"LYD")</f>
        <v>LYD</v>
      </c>
      <c r="E392" s="1" t="str">
        <f>IFERROR(__xludf.DUMMYFUNCTION("""COMPUTED_VALUE"""),"Money In")</f>
        <v>Money In</v>
      </c>
      <c r="F392" s="1" t="str">
        <f>IFERROR(__xludf.DUMMYFUNCTION("""COMPUTED_VALUE"""),"Revenue")</f>
        <v>Revenue</v>
      </c>
      <c r="G392" s="1" t="str">
        <f>IFERROR(__xludf.DUMMYFUNCTION("""COMPUTED_VALUE"""),"HTMall")</f>
        <v>HTMall</v>
      </c>
      <c r="H392" s="1"/>
    </row>
    <row r="393">
      <c r="A393" s="36">
        <f>IFERROR(__xludf.DUMMYFUNCTION("""COMPUTED_VALUE"""),46013.0)</f>
        <v>46013</v>
      </c>
      <c r="B393" s="1" t="str">
        <f>IFERROR(__xludf.DUMMYFUNCTION("""COMPUTED_VALUE"""),"Snacky")</f>
        <v>Snacky</v>
      </c>
      <c r="C393" s="35">
        <f>IFERROR(__xludf.DUMMYFUNCTION("""COMPUTED_VALUE"""),6400.0)</f>
        <v>6400</v>
      </c>
      <c r="D393" s="1" t="str">
        <f>IFERROR(__xludf.DUMMYFUNCTION("""COMPUTED_VALUE"""),"LYD")</f>
        <v>LYD</v>
      </c>
      <c r="E393" s="1" t="str">
        <f>IFERROR(__xludf.DUMMYFUNCTION("""COMPUTED_VALUE"""),"Money Out")</f>
        <v>Money Out</v>
      </c>
      <c r="F393" s="1"/>
      <c r="G393" s="1"/>
      <c r="H393" s="1" t="str">
        <f>IFERROR(__xludf.DUMMYFUNCTION("""COMPUTED_VALUE"""),"خضم ديون الى توربو")</f>
        <v>خضم ديون الى توربو</v>
      </c>
    </row>
    <row r="394">
      <c r="A394" s="36">
        <f>IFERROR(__xludf.DUMMYFUNCTION("""COMPUTED_VALUE"""),46020.0)</f>
        <v>46020</v>
      </c>
      <c r="B394" s="1" t="str">
        <f>IFERROR(__xludf.DUMMYFUNCTION("""COMPUTED_VALUE"""),"Snacky")</f>
        <v>Snacky</v>
      </c>
      <c r="C394" s="35">
        <f>IFERROR(__xludf.DUMMYFUNCTION("""COMPUTED_VALUE"""),1050.0)</f>
        <v>1050</v>
      </c>
      <c r="D394" s="1" t="str">
        <f>IFERROR(__xludf.DUMMYFUNCTION("""COMPUTED_VALUE"""),"LYD")</f>
        <v>LYD</v>
      </c>
      <c r="E394" s="1" t="str">
        <f>IFERROR(__xludf.DUMMYFUNCTION("""COMPUTED_VALUE"""),"Money Out")</f>
        <v>Money Out</v>
      </c>
      <c r="F394" s="1" t="str">
        <f>IFERROR(__xludf.DUMMYFUNCTION("""COMPUTED_VALUE"""),"Product Restocking")</f>
        <v>Product Restocking</v>
      </c>
      <c r="G394" s="1"/>
      <c r="H394" s="1"/>
    </row>
    <row r="395">
      <c r="A395" s="36">
        <f>IFERROR(__xludf.DUMMYFUNCTION("""COMPUTED_VALUE"""),46019.0)</f>
        <v>46019</v>
      </c>
      <c r="B395" s="1" t="str">
        <f>IFERROR(__xludf.DUMMYFUNCTION("""COMPUTED_VALUE"""),"Snacky")</f>
        <v>Snacky</v>
      </c>
      <c r="C395" s="35">
        <f>IFERROR(__xludf.DUMMYFUNCTION("""COMPUTED_VALUE"""),840.0)</f>
        <v>840</v>
      </c>
      <c r="D395" s="1" t="str">
        <f>IFERROR(__xludf.DUMMYFUNCTION("""COMPUTED_VALUE"""),"LYD")</f>
        <v>LYD</v>
      </c>
      <c r="E395" s="1" t="str">
        <f>IFERROR(__xludf.DUMMYFUNCTION("""COMPUTED_VALUE"""),"Money Out")</f>
        <v>Money Out</v>
      </c>
      <c r="F395" s="1" t="str">
        <f>IFERROR(__xludf.DUMMYFUNCTION("""COMPUTED_VALUE"""),"charity")</f>
        <v>charity</v>
      </c>
      <c r="G395" s="1"/>
      <c r="H395" s="1"/>
    </row>
    <row r="396">
      <c r="A396" s="36">
        <f>IFERROR(__xludf.DUMMYFUNCTION("""COMPUTED_VALUE"""),46019.0)</f>
        <v>46019</v>
      </c>
      <c r="B396" s="1" t="str">
        <f>IFERROR(__xludf.DUMMYFUNCTION("""COMPUTED_VALUE"""),"Snacky")</f>
        <v>Snacky</v>
      </c>
      <c r="C396" s="35">
        <f>IFERROR(__xludf.DUMMYFUNCTION("""COMPUTED_VALUE"""),4083.0)</f>
        <v>4083</v>
      </c>
      <c r="D396" s="1" t="str">
        <f>IFERROR(__xludf.DUMMYFUNCTION("""COMPUTED_VALUE"""),"LYD")</f>
        <v>LYD</v>
      </c>
      <c r="E396" s="1" t="str">
        <f>IFERROR(__xludf.DUMMYFUNCTION("""COMPUTED_VALUE"""),"Money In")</f>
        <v>Money In</v>
      </c>
      <c r="F396" s="1" t="str">
        <f>IFERROR(__xludf.DUMMYFUNCTION("""COMPUTED_VALUE"""),"Revenue")</f>
        <v>Revenue</v>
      </c>
      <c r="G396" s="1" t="str">
        <f>IFERROR(__xludf.DUMMYFUNCTION("""COMPUTED_VALUE"""),"HTMall")</f>
        <v>HTMall</v>
      </c>
      <c r="H396" s="1"/>
    </row>
    <row r="397">
      <c r="A397" s="36">
        <f>IFERROR(__xludf.DUMMYFUNCTION("""COMPUTED_VALUE"""),46022.0)</f>
        <v>46022</v>
      </c>
      <c r="B397" s="1" t="str">
        <f>IFERROR(__xludf.DUMMYFUNCTION("""COMPUTED_VALUE"""),"Snacky")</f>
        <v>Snacky</v>
      </c>
      <c r="C397" s="35">
        <f>IFERROR(__xludf.DUMMYFUNCTION("""COMPUTED_VALUE"""),924.0)</f>
        <v>924</v>
      </c>
      <c r="D397" s="1" t="str">
        <f>IFERROR(__xludf.DUMMYFUNCTION("""COMPUTED_VALUE"""),"LYD")</f>
        <v>LYD</v>
      </c>
      <c r="E397" s="1" t="str">
        <f>IFERROR(__xludf.DUMMYFUNCTION("""COMPUTED_VALUE"""),"Money In")</f>
        <v>Money In</v>
      </c>
      <c r="F397" s="1" t="str">
        <f>IFERROR(__xludf.DUMMYFUNCTION("""COMPUTED_VALUE"""),"Revenue")</f>
        <v>Revenue</v>
      </c>
      <c r="G397" s="1" t="str">
        <f>IFERROR(__xludf.DUMMYFUNCTION("""COMPUTED_VALUE"""),"HTMall")</f>
        <v>HTMall</v>
      </c>
      <c r="H397" s="1"/>
    </row>
    <row r="398">
      <c r="A398" s="36">
        <f>IFERROR(__xludf.DUMMYFUNCTION("""COMPUTED_VALUE"""),46022.0)</f>
        <v>46022</v>
      </c>
      <c r="B398" s="1" t="str">
        <f>IFERROR(__xludf.DUMMYFUNCTION("""COMPUTED_VALUE"""),"Snacky")</f>
        <v>Snacky</v>
      </c>
      <c r="C398" s="35">
        <f>IFERROR(__xludf.DUMMYFUNCTION("""COMPUTED_VALUE"""),2292.0)</f>
        <v>2292</v>
      </c>
      <c r="D398" s="1" t="str">
        <f>IFERROR(__xludf.DUMMYFUNCTION("""COMPUTED_VALUE"""),"LYD")</f>
        <v>LYD</v>
      </c>
      <c r="E398" s="1" t="str">
        <f>IFERROR(__xludf.DUMMYFUNCTION("""COMPUTED_VALUE"""),"Money In")</f>
        <v>Money In</v>
      </c>
      <c r="F398" s="1" t="str">
        <f>IFERROR(__xludf.DUMMYFUNCTION("""COMPUTED_VALUE"""),"Revenue")</f>
        <v>Revenue</v>
      </c>
      <c r="G398" s="1" t="str">
        <f>IFERROR(__xludf.DUMMYFUNCTION("""COMPUTED_VALUE"""),"deplomacyMall")</f>
        <v>deplomacyMall</v>
      </c>
      <c r="H398" s="1"/>
    </row>
    <row r="399">
      <c r="A399" s="36">
        <f>IFERROR(__xludf.DUMMYFUNCTION("""COMPUTED_VALUE"""),46022.0)</f>
        <v>46022</v>
      </c>
      <c r="B399" s="1" t="str">
        <f>IFERROR(__xludf.DUMMYFUNCTION("""COMPUTED_VALUE"""),"Snacky")</f>
        <v>Snacky</v>
      </c>
      <c r="C399" s="35">
        <f>IFERROR(__xludf.DUMMYFUNCTION("""COMPUTED_VALUE"""),1192.0)</f>
        <v>1192</v>
      </c>
      <c r="D399" s="1" t="str">
        <f>IFERROR(__xludf.DUMMYFUNCTION("""COMPUTED_VALUE"""),"LYD")</f>
        <v>LYD</v>
      </c>
      <c r="E399" s="1" t="str">
        <f>IFERROR(__xludf.DUMMYFUNCTION("""COMPUTED_VALUE"""),"Money In")</f>
        <v>Money In</v>
      </c>
      <c r="F399" s="1" t="str">
        <f>IFERROR(__xludf.DUMMYFUNCTION("""COMPUTED_VALUE"""),"Revenue")</f>
        <v>Revenue</v>
      </c>
      <c r="G399" s="1" t="str">
        <f>IFERROR(__xludf.DUMMYFUNCTION("""COMPUTED_VALUE"""),"SeaCost")</f>
        <v>SeaCost</v>
      </c>
      <c r="H399" s="1"/>
    </row>
    <row r="400">
      <c r="A400" s="36">
        <f>IFERROR(__xludf.DUMMYFUNCTION("""COMPUTED_VALUE"""),46022.0)</f>
        <v>46022</v>
      </c>
      <c r="B400" s="1" t="str">
        <f>IFERROR(__xludf.DUMMYFUNCTION("""COMPUTED_VALUE"""),"Snacky")</f>
        <v>Snacky</v>
      </c>
      <c r="C400" s="35">
        <f>IFERROR(__xludf.DUMMYFUNCTION("""COMPUTED_VALUE"""),2349.0)</f>
        <v>2349</v>
      </c>
      <c r="D400" s="1" t="str">
        <f>IFERROR(__xludf.DUMMYFUNCTION("""COMPUTED_VALUE"""),"LYD")</f>
        <v>LYD</v>
      </c>
      <c r="E400" s="1" t="str">
        <f>IFERROR(__xludf.DUMMYFUNCTION("""COMPUTED_VALUE"""),"Money In")</f>
        <v>Money In</v>
      </c>
      <c r="F400" s="1" t="str">
        <f>IFERROR(__xludf.DUMMYFUNCTION("""COMPUTED_VALUE"""),"Revenue")</f>
        <v>Revenue</v>
      </c>
      <c r="G400" s="1" t="str">
        <f>IFERROR(__xludf.DUMMYFUNCTION("""COMPUTED_VALUE"""),"AlmouasafatHospital")</f>
        <v>AlmouasafatHospital</v>
      </c>
      <c r="H400" s="1"/>
    </row>
    <row r="401">
      <c r="A401" s="36">
        <f>IFERROR(__xludf.DUMMYFUNCTION("""COMPUTED_VALUE"""),46027.0)</f>
        <v>46027</v>
      </c>
      <c r="B401" s="1" t="str">
        <f>IFERROR(__xludf.DUMMYFUNCTION("""COMPUTED_VALUE"""),"Snacky")</f>
        <v>Snacky</v>
      </c>
      <c r="C401" s="35">
        <f>IFERROR(__xludf.DUMMYFUNCTION("""COMPUTED_VALUE"""),11810.0)</f>
        <v>11810</v>
      </c>
      <c r="D401" s="1" t="str">
        <f>IFERROR(__xludf.DUMMYFUNCTION("""COMPUTED_VALUE"""),"LYD")</f>
        <v>LYD</v>
      </c>
      <c r="E401" s="1" t="str">
        <f>IFERROR(__xludf.DUMMYFUNCTION("""COMPUTED_VALUE"""),"Money Out")</f>
        <v>Money Out</v>
      </c>
      <c r="F401" s="1" t="str">
        <f>IFERROR(__xludf.DUMMYFUNCTION("""COMPUTED_VALUE"""),"shipping")</f>
        <v>shipping</v>
      </c>
      <c r="G401" s="1"/>
      <c r="H401" s="1"/>
    </row>
    <row r="402">
      <c r="A402" s="36">
        <f>IFERROR(__xludf.DUMMYFUNCTION("""COMPUTED_VALUE"""),46028.0)</f>
        <v>46028</v>
      </c>
      <c r="B402" s="1" t="str">
        <f>IFERROR(__xludf.DUMMYFUNCTION("""COMPUTED_VALUE"""),"Snacky")</f>
        <v>Snacky</v>
      </c>
      <c r="C402" s="35">
        <f>IFERROR(__xludf.DUMMYFUNCTION("""COMPUTED_VALUE"""),500.0)</f>
        <v>500</v>
      </c>
      <c r="D402" s="1" t="str">
        <f>IFERROR(__xludf.DUMMYFUNCTION("""COMPUTED_VALUE"""),"LYD")</f>
        <v>LYD</v>
      </c>
      <c r="E402" s="1" t="str">
        <f>IFERROR(__xludf.DUMMYFUNCTION("""COMPUTED_VALUE"""),"Money Out")</f>
        <v>Money Out</v>
      </c>
      <c r="F402" s="1"/>
      <c r="G402" s="1"/>
      <c r="H402" s="1" t="str">
        <f>IFERROR(__xludf.DUMMYFUNCTION("""COMPUTED_VALUE"""),"نقل ماكينات")</f>
        <v>نقل ماكينات</v>
      </c>
    </row>
    <row r="403">
      <c r="A403" s="36">
        <f>IFERROR(__xludf.DUMMYFUNCTION("""COMPUTED_VALUE"""),46038.0)</f>
        <v>46038</v>
      </c>
      <c r="B403" s="1" t="str">
        <f>IFERROR(__xludf.DUMMYFUNCTION("""COMPUTED_VALUE"""),"Snacky")</f>
        <v>Snacky</v>
      </c>
      <c r="C403" s="35">
        <f>IFERROR(__xludf.DUMMYFUNCTION("""COMPUTED_VALUE"""),8000.0)</f>
        <v>8000</v>
      </c>
      <c r="D403" s="1" t="str">
        <f>IFERROR(__xludf.DUMMYFUNCTION("""COMPUTED_VALUE"""),"LYD")</f>
        <v>LYD</v>
      </c>
      <c r="E403" s="1" t="str">
        <f>IFERROR(__xludf.DUMMYFUNCTION("""COMPUTED_VALUE"""),"Money Out")</f>
        <v>Money Out</v>
      </c>
      <c r="F403" s="1" t="str">
        <f>IFERROR(__xludf.DUMMYFUNCTION("""COMPUTED_VALUE"""),"Product Restocking")</f>
        <v>Product Restocking</v>
      </c>
      <c r="G403" s="1"/>
      <c r="H403" s="1"/>
    </row>
    <row r="404">
      <c r="A404" s="36">
        <f>IFERROR(__xludf.DUMMYFUNCTION("""COMPUTED_VALUE"""),46038.0)</f>
        <v>46038</v>
      </c>
      <c r="B404" s="1" t="str">
        <f>IFERROR(__xludf.DUMMYFUNCTION("""COMPUTED_VALUE"""),"Snacky")</f>
        <v>Snacky</v>
      </c>
      <c r="C404" s="35">
        <f>IFERROR(__xludf.DUMMYFUNCTION("""COMPUTED_VALUE"""),3040.0)</f>
        <v>3040</v>
      </c>
      <c r="D404" s="1" t="str">
        <f>IFERROR(__xludf.DUMMYFUNCTION("""COMPUTED_VALUE"""),"LYD")</f>
        <v>LYD</v>
      </c>
      <c r="E404" s="1" t="str">
        <f>IFERROR(__xludf.DUMMYFUNCTION("""COMPUTED_VALUE"""),"Money Out")</f>
        <v>Money Out</v>
      </c>
      <c r="F404" s="1" t="str">
        <f>IFERROR(__xludf.DUMMYFUNCTION("""COMPUTED_VALUE"""),"Product Restocking")</f>
        <v>Product Restocking</v>
      </c>
      <c r="G404" s="1"/>
      <c r="H404" s="1"/>
    </row>
    <row r="405">
      <c r="A405" s="36">
        <f>IFERROR(__xludf.DUMMYFUNCTION("""COMPUTED_VALUE"""),46037.0)</f>
        <v>46037</v>
      </c>
      <c r="B405" s="1" t="str">
        <f>IFERROR(__xludf.DUMMYFUNCTION("""COMPUTED_VALUE"""),"Snacky")</f>
        <v>Snacky</v>
      </c>
      <c r="C405" s="35">
        <f>IFERROR(__xludf.DUMMYFUNCTION("""COMPUTED_VALUE"""),2473.0)</f>
        <v>2473</v>
      </c>
      <c r="D405" s="1" t="str">
        <f>IFERROR(__xludf.DUMMYFUNCTION("""COMPUTED_VALUE"""),"LYD")</f>
        <v>LYD</v>
      </c>
      <c r="E405" s="1" t="str">
        <f>IFERROR(__xludf.DUMMYFUNCTION("""COMPUTED_VALUE"""),"Money In")</f>
        <v>Money In</v>
      </c>
      <c r="F405" s="1" t="str">
        <f>IFERROR(__xludf.DUMMYFUNCTION("""COMPUTED_VALUE"""),"Revenue")</f>
        <v>Revenue</v>
      </c>
      <c r="G405" s="1" t="str">
        <f>IFERROR(__xludf.DUMMYFUNCTION("""COMPUTED_VALUE"""),"SeaCost")</f>
        <v>SeaCost</v>
      </c>
      <c r="H405" s="1"/>
    </row>
    <row r="406">
      <c r="A406" s="36">
        <f>IFERROR(__xludf.DUMMYFUNCTION("""COMPUTED_VALUE"""),46037.0)</f>
        <v>46037</v>
      </c>
      <c r="B406" s="1" t="str">
        <f>IFERROR(__xludf.DUMMYFUNCTION("""COMPUTED_VALUE"""),"Snacky")</f>
        <v>Snacky</v>
      </c>
      <c r="C406" s="35">
        <f>IFERROR(__xludf.DUMMYFUNCTION("""COMPUTED_VALUE"""),4513.0)</f>
        <v>4513</v>
      </c>
      <c r="D406" s="1" t="str">
        <f>IFERROR(__xludf.DUMMYFUNCTION("""COMPUTED_VALUE"""),"LYD")</f>
        <v>LYD</v>
      </c>
      <c r="E406" s="1" t="str">
        <f>IFERROR(__xludf.DUMMYFUNCTION("""COMPUTED_VALUE"""),"Money In")</f>
        <v>Money In</v>
      </c>
      <c r="F406" s="1" t="str">
        <f>IFERROR(__xludf.DUMMYFUNCTION("""COMPUTED_VALUE"""),"Revenue")</f>
        <v>Revenue</v>
      </c>
      <c r="G406" s="1" t="str">
        <f>IFERROR(__xludf.DUMMYFUNCTION("""COMPUTED_VALUE"""),"HTMall")</f>
        <v>HTMall</v>
      </c>
      <c r="H406" s="1"/>
    </row>
    <row r="407">
      <c r="A407" s="36">
        <f>IFERROR(__xludf.DUMMYFUNCTION("""COMPUTED_VALUE"""),46040.0)</f>
        <v>46040</v>
      </c>
      <c r="B407" s="1" t="str">
        <f>IFERROR(__xludf.DUMMYFUNCTION("""COMPUTED_VALUE"""),"Snacky")</f>
        <v>Snacky</v>
      </c>
      <c r="C407" s="35">
        <f>IFERROR(__xludf.DUMMYFUNCTION("""COMPUTED_VALUE"""),1966.0)</f>
        <v>1966</v>
      </c>
      <c r="D407" s="1" t="str">
        <f>IFERROR(__xludf.DUMMYFUNCTION("""COMPUTED_VALUE"""),"LYD")</f>
        <v>LYD</v>
      </c>
      <c r="E407" s="1" t="str">
        <f>IFERROR(__xludf.DUMMYFUNCTION("""COMPUTED_VALUE"""),"Money Out")</f>
        <v>Money Out</v>
      </c>
      <c r="F407" s="1" t="str">
        <f>IFERROR(__xludf.DUMMYFUNCTION("""COMPUTED_VALUE"""),"Product Restocking")</f>
        <v>Product Restocking</v>
      </c>
      <c r="G407" s="1"/>
      <c r="H407" s="1"/>
    </row>
    <row r="408">
      <c r="A408" s="36">
        <f>IFERROR(__xludf.DUMMYFUNCTION("""COMPUTED_VALUE"""),46042.0)</f>
        <v>46042</v>
      </c>
      <c r="B408" s="1" t="str">
        <f>IFERROR(__xludf.DUMMYFUNCTION("""COMPUTED_VALUE"""),"Snacky")</f>
        <v>Snacky</v>
      </c>
      <c r="C408" s="35">
        <f>IFERROR(__xludf.DUMMYFUNCTION("""COMPUTED_VALUE"""),2383.0)</f>
        <v>2383</v>
      </c>
      <c r="D408" s="1" t="str">
        <f>IFERROR(__xludf.DUMMYFUNCTION("""COMPUTED_VALUE"""),"LYD")</f>
        <v>LYD</v>
      </c>
      <c r="E408" s="1" t="str">
        <f>IFERROR(__xludf.DUMMYFUNCTION("""COMPUTED_VALUE"""),"Money In")</f>
        <v>Money In</v>
      </c>
      <c r="F408" s="1" t="str">
        <f>IFERROR(__xludf.DUMMYFUNCTION("""COMPUTED_VALUE"""),"Revenue")</f>
        <v>Revenue</v>
      </c>
      <c r="G408" s="1" t="str">
        <f>IFERROR(__xludf.DUMMYFUNCTION("""COMPUTED_VALUE"""),"deplomacyMall")</f>
        <v>deplomacyMall</v>
      </c>
      <c r="H408" s="1"/>
    </row>
    <row r="409">
      <c r="A409" s="36">
        <f>IFERROR(__xludf.DUMMYFUNCTION("""COMPUTED_VALUE"""),46043.0)</f>
        <v>46043</v>
      </c>
      <c r="B409" s="1" t="str">
        <f>IFERROR(__xludf.DUMMYFUNCTION("""COMPUTED_VALUE"""),"Snacky")</f>
        <v>Snacky</v>
      </c>
      <c r="C409" s="35">
        <f>IFERROR(__xludf.DUMMYFUNCTION("""COMPUTED_VALUE"""),2426.0)</f>
        <v>2426</v>
      </c>
      <c r="D409" s="1" t="str">
        <f>IFERROR(__xludf.DUMMYFUNCTION("""COMPUTED_VALUE"""),"LYD")</f>
        <v>LYD</v>
      </c>
      <c r="E409" s="1" t="str">
        <f>IFERROR(__xludf.DUMMYFUNCTION("""COMPUTED_VALUE"""),"Money In")</f>
        <v>Money In</v>
      </c>
      <c r="F409" s="1" t="str">
        <f>IFERROR(__xludf.DUMMYFUNCTION("""COMPUTED_VALUE"""),"Revenue")</f>
        <v>Revenue</v>
      </c>
      <c r="G409" s="1" t="str">
        <f>IFERROR(__xludf.DUMMYFUNCTION("""COMPUTED_VALUE"""),"SeaCost")</f>
        <v>SeaCost</v>
      </c>
      <c r="H409" s="1"/>
    </row>
    <row r="410">
      <c r="A410" s="36">
        <f>IFERROR(__xludf.DUMMYFUNCTION("""COMPUTED_VALUE"""),46037.0)</f>
        <v>46037</v>
      </c>
      <c r="B410" s="1" t="str">
        <f>IFERROR(__xludf.DUMMYFUNCTION("""COMPUTED_VALUE"""),"Snacky")</f>
        <v>Snacky</v>
      </c>
      <c r="C410" s="35">
        <f>IFERROR(__xludf.DUMMYFUNCTION("""COMPUTED_VALUE"""),700.0)</f>
        <v>700</v>
      </c>
      <c r="D410" s="1" t="str">
        <f>IFERROR(__xludf.DUMMYFUNCTION("""COMPUTED_VALUE"""),"LYD")</f>
        <v>LYD</v>
      </c>
      <c r="E410" s="1" t="str">
        <f>IFERROR(__xludf.DUMMYFUNCTION("""COMPUTED_VALUE"""),"Money Out")</f>
        <v>Money Out</v>
      </c>
      <c r="F410" s="1"/>
      <c r="G410" s="1"/>
      <c r="H410" s="1" t="str">
        <f>IFERROR(__xludf.DUMMYFUNCTION("""COMPUTED_VALUE"""),"تكميل تصميم الراكون")</f>
        <v>تكميل تصميم الراكون</v>
      </c>
    </row>
    <row r="411">
      <c r="A411" s="36">
        <f>IFERROR(__xludf.DUMMYFUNCTION("""COMPUTED_VALUE"""),46044.0)</f>
        <v>46044</v>
      </c>
      <c r="B411" s="1" t="str">
        <f>IFERROR(__xludf.DUMMYFUNCTION("""COMPUTED_VALUE"""),"Snacky")</f>
        <v>Snacky</v>
      </c>
      <c r="C411" s="35">
        <f>IFERROR(__xludf.DUMMYFUNCTION("""COMPUTED_VALUE"""),300.0)</f>
        <v>300</v>
      </c>
      <c r="D411" s="1" t="str">
        <f>IFERROR(__xludf.DUMMYFUNCTION("""COMPUTED_VALUE"""),"LYD")</f>
        <v>LYD</v>
      </c>
      <c r="E411" s="1" t="str">
        <f>IFERROR(__xludf.DUMMYFUNCTION("""COMPUTED_VALUE"""),"Money Out")</f>
        <v>Money Out</v>
      </c>
      <c r="F411" s="1"/>
      <c r="G411" s="1"/>
      <c r="H411" s="1" t="str">
        <f>IFERROR(__xludf.DUMMYFUNCTION("""COMPUTED_VALUE"""),"تصميم الماكينه")</f>
        <v>تصميم الماكينه</v>
      </c>
    </row>
    <row r="412">
      <c r="A412" s="36">
        <f>IFERROR(__xludf.DUMMYFUNCTION("""COMPUTED_VALUE"""),46044.0)</f>
        <v>46044</v>
      </c>
      <c r="B412" s="1" t="str">
        <f>IFERROR(__xludf.DUMMYFUNCTION("""COMPUTED_VALUE"""),"Snacky")</f>
        <v>Snacky</v>
      </c>
      <c r="C412" s="35">
        <f>IFERROR(__xludf.DUMMYFUNCTION("""COMPUTED_VALUE"""),3397.0)</f>
        <v>3397</v>
      </c>
      <c r="D412" s="1" t="str">
        <f>IFERROR(__xludf.DUMMYFUNCTION("""COMPUTED_VALUE"""),"LYD")</f>
        <v>LYD</v>
      </c>
      <c r="E412" s="1" t="str">
        <f>IFERROR(__xludf.DUMMYFUNCTION("""COMPUTED_VALUE"""),"Money Out")</f>
        <v>Money Out</v>
      </c>
      <c r="F412" s="1" t="str">
        <f>IFERROR(__xludf.DUMMYFUNCTION("""COMPUTED_VALUE"""),"Product Restocking")</f>
        <v>Product Restocking</v>
      </c>
      <c r="G412" s="1"/>
      <c r="H412" s="1"/>
    </row>
    <row r="413">
      <c r="A413" s="36">
        <f>IFERROR(__xludf.DUMMYFUNCTION("""COMPUTED_VALUE"""),46045.0)</f>
        <v>46045</v>
      </c>
      <c r="B413" s="1" t="str">
        <f>IFERROR(__xludf.DUMMYFUNCTION("""COMPUTED_VALUE"""),"Snacky")</f>
        <v>Snacky</v>
      </c>
      <c r="C413" s="35">
        <f>IFERROR(__xludf.DUMMYFUNCTION("""COMPUTED_VALUE"""),2000.0)</f>
        <v>2000</v>
      </c>
      <c r="D413" s="1" t="str">
        <f>IFERROR(__xludf.DUMMYFUNCTION("""COMPUTED_VALUE"""),"LYD")</f>
        <v>LYD</v>
      </c>
      <c r="E413" s="1" t="str">
        <f>IFERROR(__xludf.DUMMYFUNCTION("""COMPUTED_VALUE"""),"Money Out")</f>
        <v>Money Out</v>
      </c>
      <c r="F413" s="1" t="str">
        <f>IFERROR(__xludf.DUMMYFUNCTION("""COMPUTED_VALUE"""),"storage")</f>
        <v>storage</v>
      </c>
      <c r="G413" s="1"/>
      <c r="H413" s="1" t="str">
        <f>IFERROR(__xludf.DUMMYFUNCTION("""COMPUTED_VALUE"""),"اجار المخزن")</f>
        <v>اجار المخزن</v>
      </c>
    </row>
    <row r="414">
      <c r="A414" s="36">
        <f>IFERROR(__xludf.DUMMYFUNCTION("""COMPUTED_VALUE"""),46045.0)</f>
        <v>46045</v>
      </c>
      <c r="B414" s="1" t="str">
        <f>IFERROR(__xludf.DUMMYFUNCTION("""COMPUTED_VALUE"""),"Snacky")</f>
        <v>Snacky</v>
      </c>
      <c r="C414" s="35">
        <f>IFERROR(__xludf.DUMMYFUNCTION("""COMPUTED_VALUE"""),3614.0)</f>
        <v>3614</v>
      </c>
      <c r="D414" s="1" t="str">
        <f>IFERROR(__xludf.DUMMYFUNCTION("""COMPUTED_VALUE"""),"LYD")</f>
        <v>LYD</v>
      </c>
      <c r="E414" s="1" t="str">
        <f>IFERROR(__xludf.DUMMYFUNCTION("""COMPUTED_VALUE"""),"Money In")</f>
        <v>Money In</v>
      </c>
      <c r="F414" s="1" t="str">
        <f>IFERROR(__xludf.DUMMYFUNCTION("""COMPUTED_VALUE"""),"Revenue")</f>
        <v>Revenue</v>
      </c>
      <c r="G414" s="1" t="str">
        <f>IFERROR(__xludf.DUMMYFUNCTION("""COMPUTED_VALUE"""),"AlmouasafatHospital")</f>
        <v>AlmouasafatHospital</v>
      </c>
      <c r="H414" s="1"/>
    </row>
    <row r="415">
      <c r="A415" s="36">
        <f>IFERROR(__xludf.DUMMYFUNCTION("""COMPUTED_VALUE"""),46047.0)</f>
        <v>46047</v>
      </c>
      <c r="B415" s="1" t="str">
        <f>IFERROR(__xludf.DUMMYFUNCTION("""COMPUTED_VALUE"""),"Snacky")</f>
        <v>Snacky</v>
      </c>
      <c r="C415" s="35">
        <f>IFERROR(__xludf.DUMMYFUNCTION("""COMPUTED_VALUE"""),320.0)</f>
        <v>320</v>
      </c>
      <c r="D415" s="1" t="str">
        <f>IFERROR(__xludf.DUMMYFUNCTION("""COMPUTED_VALUE"""),"LYD")</f>
        <v>LYD</v>
      </c>
      <c r="E415" s="1" t="str">
        <f>IFERROR(__xludf.DUMMYFUNCTION("""COMPUTED_VALUE"""),"Money Out")</f>
        <v>Money Out</v>
      </c>
      <c r="F415" s="1"/>
      <c r="G415" s="1"/>
      <c r="H415" s="1"/>
    </row>
    <row r="416">
      <c r="A416" s="36">
        <f>IFERROR(__xludf.DUMMYFUNCTION("""COMPUTED_VALUE"""),46047.0)</f>
        <v>46047</v>
      </c>
      <c r="B416" s="1" t="str">
        <f>IFERROR(__xludf.DUMMYFUNCTION("""COMPUTED_VALUE"""),"Snacky")</f>
        <v>Snacky</v>
      </c>
      <c r="C416" s="35">
        <f>IFERROR(__xludf.DUMMYFUNCTION("""COMPUTED_VALUE"""),140.0)</f>
        <v>140</v>
      </c>
      <c r="D416" s="1" t="str">
        <f>IFERROR(__xludf.DUMMYFUNCTION("""COMPUTED_VALUE"""),"LYD")</f>
        <v>LYD</v>
      </c>
      <c r="E416" s="1" t="str">
        <f>IFERROR(__xludf.DUMMYFUNCTION("""COMPUTED_VALUE"""),"Money Out")</f>
        <v>Money Out</v>
      </c>
      <c r="F416" s="1"/>
      <c r="G416" s="1"/>
      <c r="H416" s="1"/>
    </row>
    <row r="417">
      <c r="A417" s="36">
        <f>IFERROR(__xludf.DUMMYFUNCTION("""COMPUTED_VALUE"""),46049.0)</f>
        <v>46049</v>
      </c>
      <c r="B417" s="1" t="str">
        <f>IFERROR(__xludf.DUMMYFUNCTION("""COMPUTED_VALUE"""),"Snacky")</f>
        <v>Snacky</v>
      </c>
      <c r="C417" s="35">
        <f>IFERROR(__xludf.DUMMYFUNCTION("""COMPUTED_VALUE"""),2085.0)</f>
        <v>2085</v>
      </c>
      <c r="D417" s="1" t="str">
        <f>IFERROR(__xludf.DUMMYFUNCTION("""COMPUTED_VALUE"""),"LYD")</f>
        <v>LYD</v>
      </c>
      <c r="E417" s="1" t="str">
        <f>IFERROR(__xludf.DUMMYFUNCTION("""COMPUTED_VALUE"""),"Money Out")</f>
        <v>Money Out</v>
      </c>
      <c r="F417" s="1" t="str">
        <f>IFERROR(__xludf.DUMMYFUNCTION("""COMPUTED_VALUE"""),"Product Restocking")</f>
        <v>Product Restocking</v>
      </c>
      <c r="G417" s="1"/>
      <c r="H417" s="1"/>
    </row>
    <row r="418">
      <c r="A418" s="36">
        <f>IFERROR(__xludf.DUMMYFUNCTION("""COMPUTED_VALUE"""),46047.0)</f>
        <v>46047</v>
      </c>
      <c r="B418" s="1" t="str">
        <f>IFERROR(__xludf.DUMMYFUNCTION("""COMPUTED_VALUE"""),"Snacky")</f>
        <v>Snacky</v>
      </c>
      <c r="C418" s="35">
        <f>IFERROR(__xludf.DUMMYFUNCTION("""COMPUTED_VALUE"""),3621.0)</f>
        <v>3621</v>
      </c>
      <c r="D418" s="1" t="str">
        <f>IFERROR(__xludf.DUMMYFUNCTION("""COMPUTED_VALUE"""),"LYD")</f>
        <v>LYD</v>
      </c>
      <c r="E418" s="1" t="str">
        <f>IFERROR(__xludf.DUMMYFUNCTION("""COMPUTED_VALUE"""),"Money In")</f>
        <v>Money In</v>
      </c>
      <c r="F418" s="1" t="str">
        <f>IFERROR(__xludf.DUMMYFUNCTION("""COMPUTED_VALUE"""),"Revenue")</f>
        <v>Revenue</v>
      </c>
      <c r="G418" s="1" t="str">
        <f>IFERROR(__xludf.DUMMYFUNCTION("""COMPUTED_VALUE"""),"HTMall")</f>
        <v>HTMall</v>
      </c>
      <c r="H418" s="1"/>
    </row>
    <row r="419">
      <c r="A419" s="36">
        <f>IFERROR(__xludf.DUMMYFUNCTION("""COMPUTED_VALUE"""),46053.0)</f>
        <v>46053</v>
      </c>
      <c r="B419" s="1" t="str">
        <f>IFERROR(__xludf.DUMMYFUNCTION("""COMPUTED_VALUE"""),"Snacky")</f>
        <v>Snacky</v>
      </c>
      <c r="C419" s="35">
        <f>IFERROR(__xludf.DUMMYFUNCTION("""COMPUTED_VALUE"""),3018.0)</f>
        <v>3018</v>
      </c>
      <c r="D419" s="1" t="str">
        <f>IFERROR(__xludf.DUMMYFUNCTION("""COMPUTED_VALUE"""),"LYD")</f>
        <v>LYD</v>
      </c>
      <c r="E419" s="1" t="str">
        <f>IFERROR(__xludf.DUMMYFUNCTION("""COMPUTED_VALUE"""),"Money In")</f>
        <v>Money In</v>
      </c>
      <c r="F419" s="1" t="str">
        <f>IFERROR(__xludf.DUMMYFUNCTION("""COMPUTED_VALUE"""),"Revenue")</f>
        <v>Revenue</v>
      </c>
      <c r="G419" s="1" t="str">
        <f>IFERROR(__xludf.DUMMYFUNCTION("""COMPUTED_VALUE"""),"Istiklal")</f>
        <v>Istiklal</v>
      </c>
      <c r="H419" s="1"/>
    </row>
    <row r="420">
      <c r="A420" s="36">
        <f>IFERROR(__xludf.DUMMYFUNCTION("""COMPUTED_VALUE"""),46053.0)</f>
        <v>46053</v>
      </c>
      <c r="B420" s="1" t="str">
        <f>IFERROR(__xludf.DUMMYFUNCTION("""COMPUTED_VALUE"""),"Snacky")</f>
        <v>Snacky</v>
      </c>
      <c r="C420" s="35">
        <f>IFERROR(__xludf.DUMMYFUNCTION("""COMPUTED_VALUE"""),1265.0)</f>
        <v>1265</v>
      </c>
      <c r="D420" s="1" t="str">
        <f>IFERROR(__xludf.DUMMYFUNCTION("""COMPUTED_VALUE"""),"LYD")</f>
        <v>LYD</v>
      </c>
      <c r="E420" s="1" t="str">
        <f>IFERROR(__xludf.DUMMYFUNCTION("""COMPUTED_VALUE"""),"Money In")</f>
        <v>Money In</v>
      </c>
      <c r="F420" s="1" t="str">
        <f>IFERROR(__xludf.DUMMYFUNCTION("""COMPUTED_VALUE"""),"Revenue")</f>
        <v>Revenue</v>
      </c>
      <c r="G420" s="1" t="str">
        <f>IFERROR(__xludf.DUMMYFUNCTION("""COMPUTED_VALUE"""),"SeaCost")</f>
        <v>SeaCost</v>
      </c>
      <c r="H420" s="1"/>
    </row>
    <row r="421">
      <c r="A421" s="36">
        <f>IFERROR(__xludf.DUMMYFUNCTION("""COMPUTED_VALUE"""),46053.0)</f>
        <v>46053</v>
      </c>
      <c r="B421" s="1" t="str">
        <f>IFERROR(__xludf.DUMMYFUNCTION("""COMPUTED_VALUE"""),"Snacky")</f>
        <v>Snacky</v>
      </c>
      <c r="C421" s="35">
        <f>IFERROR(__xludf.DUMMYFUNCTION("""COMPUTED_VALUE"""),2210.0)</f>
        <v>2210</v>
      </c>
      <c r="D421" s="1" t="str">
        <f>IFERROR(__xludf.DUMMYFUNCTION("""COMPUTED_VALUE"""),"LYD")</f>
        <v>LYD</v>
      </c>
      <c r="E421" s="1" t="str">
        <f>IFERROR(__xludf.DUMMYFUNCTION("""COMPUTED_VALUE"""),"Money In")</f>
        <v>Money In</v>
      </c>
      <c r="F421" s="1" t="str">
        <f>IFERROR(__xludf.DUMMYFUNCTION("""COMPUTED_VALUE"""),"Revenue")</f>
        <v>Revenue</v>
      </c>
      <c r="G421" s="1" t="str">
        <f>IFERROR(__xludf.DUMMYFUNCTION("""COMPUTED_VALUE"""),"HTMall")</f>
        <v>HTMall</v>
      </c>
      <c r="H421" s="1"/>
    </row>
    <row r="422">
      <c r="A422" s="36">
        <f>IFERROR(__xludf.DUMMYFUNCTION("""COMPUTED_VALUE"""),46053.0)</f>
        <v>46053</v>
      </c>
      <c r="B422" s="1" t="str">
        <f>IFERROR(__xludf.DUMMYFUNCTION("""COMPUTED_VALUE"""),"Snacky")</f>
        <v>Snacky</v>
      </c>
      <c r="C422" s="35">
        <f>IFERROR(__xludf.DUMMYFUNCTION("""COMPUTED_VALUE"""),3000.0)</f>
        <v>3000</v>
      </c>
      <c r="D422" s="1" t="str">
        <f>IFERROR(__xludf.DUMMYFUNCTION("""COMPUTED_VALUE"""),"LYD")</f>
        <v>LYD</v>
      </c>
      <c r="E422" s="1" t="str">
        <f>IFERROR(__xludf.DUMMYFUNCTION("""COMPUTED_VALUE"""),"Money Out")</f>
        <v>Money Out</v>
      </c>
      <c r="F422" s="1"/>
      <c r="G422" s="1"/>
      <c r="H422" s="1"/>
    </row>
    <row r="423">
      <c r="A423" s="36">
        <f>IFERROR(__xludf.DUMMYFUNCTION("""COMPUTED_VALUE"""),46053.0)</f>
        <v>46053</v>
      </c>
      <c r="B423" s="1" t="str">
        <f>IFERROR(__xludf.DUMMYFUNCTION("""COMPUTED_VALUE"""),"Snacky")</f>
        <v>Snacky</v>
      </c>
      <c r="C423" s="35">
        <f>IFERROR(__xludf.DUMMYFUNCTION("""COMPUTED_VALUE"""),2921.0)</f>
        <v>2921</v>
      </c>
      <c r="D423" s="1" t="str">
        <f>IFERROR(__xludf.DUMMYFUNCTION("""COMPUTED_VALUE"""),"LYD")</f>
        <v>LYD</v>
      </c>
      <c r="E423" s="1" t="str">
        <f>IFERROR(__xludf.DUMMYFUNCTION("""COMPUTED_VALUE"""),"Money Out")</f>
        <v>Money Out</v>
      </c>
      <c r="F423" s="1"/>
      <c r="G423" s="1"/>
      <c r="H423" s="1"/>
    </row>
    <row r="424">
      <c r="A424" s="36">
        <f>IFERROR(__xludf.DUMMYFUNCTION("""COMPUTED_VALUE"""),46053.0)</f>
        <v>46053</v>
      </c>
      <c r="B424" s="1" t="str">
        <f>IFERROR(__xludf.DUMMYFUNCTION("""COMPUTED_VALUE"""),"Snacky")</f>
        <v>Snacky</v>
      </c>
      <c r="C424" s="35">
        <f>IFERROR(__xludf.DUMMYFUNCTION("""COMPUTED_VALUE"""),511.0)</f>
        <v>511</v>
      </c>
      <c r="D424" s="1" t="str">
        <f>IFERROR(__xludf.DUMMYFUNCTION("""COMPUTED_VALUE"""),"LYD")</f>
        <v>LYD</v>
      </c>
      <c r="E424" s="1" t="str">
        <f>IFERROR(__xludf.DUMMYFUNCTION("""COMPUTED_VALUE"""),"Money In")</f>
        <v>Money In</v>
      </c>
      <c r="F424" s="1" t="str">
        <f>IFERROR(__xludf.DUMMYFUNCTION("""COMPUTED_VALUE"""),"Revenue")</f>
        <v>Revenue</v>
      </c>
      <c r="G424" s="1" t="str">
        <f>IFERROR(__xludf.DUMMYFUNCTION("""COMPUTED_VALUE"""),"deplomacyMall")</f>
        <v>deplomacyMall</v>
      </c>
      <c r="H424" s="1"/>
    </row>
    <row r="425">
      <c r="A425" s="36">
        <f>IFERROR(__xludf.DUMMYFUNCTION("""COMPUTED_VALUE"""),46053.0)</f>
        <v>46053</v>
      </c>
      <c r="B425" s="1" t="str">
        <f>IFERROR(__xludf.DUMMYFUNCTION("""COMPUTED_VALUE"""),"Snacky")</f>
        <v>Snacky</v>
      </c>
      <c r="C425" s="35">
        <f>IFERROR(__xludf.DUMMYFUNCTION("""COMPUTED_VALUE"""),1378.0)</f>
        <v>1378</v>
      </c>
      <c r="D425" s="1" t="str">
        <f>IFERROR(__xludf.DUMMYFUNCTION("""COMPUTED_VALUE"""),"LYD")</f>
        <v>LYD</v>
      </c>
      <c r="E425" s="1" t="str">
        <f>IFERROR(__xludf.DUMMYFUNCTION("""COMPUTED_VALUE"""),"Money In")</f>
        <v>Money In</v>
      </c>
      <c r="F425" s="1" t="str">
        <f>IFERROR(__xludf.DUMMYFUNCTION("""COMPUTED_VALUE"""),"Revenue")</f>
        <v>Revenue</v>
      </c>
      <c r="G425" s="1" t="str">
        <f>IFERROR(__xludf.DUMMYFUNCTION("""COMPUTED_VALUE"""),"AlmouasafatHospital")</f>
        <v>AlmouasafatHospital</v>
      </c>
      <c r="H425" s="1"/>
    </row>
    <row r="426">
      <c r="A426" s="36">
        <f>IFERROR(__xludf.DUMMYFUNCTION("""COMPUTED_VALUE"""),46055.0)</f>
        <v>46055</v>
      </c>
      <c r="B426" s="1" t="str">
        <f>IFERROR(__xludf.DUMMYFUNCTION("""COMPUTED_VALUE"""),"Snacky")</f>
        <v>Snacky</v>
      </c>
      <c r="C426" s="35">
        <f>IFERROR(__xludf.DUMMYFUNCTION("""COMPUTED_VALUE"""),500.0)</f>
        <v>500</v>
      </c>
      <c r="D426" s="1" t="str">
        <f>IFERROR(__xludf.DUMMYFUNCTION("""COMPUTED_VALUE"""),"LYD")</f>
        <v>LYD</v>
      </c>
      <c r="E426" s="1" t="str">
        <f>IFERROR(__xludf.DUMMYFUNCTION("""COMPUTED_VALUE"""),"Money Out")</f>
        <v>Money Out</v>
      </c>
      <c r="F426" s="1"/>
      <c r="G426" s="1"/>
      <c r="H426" s="1" t="str">
        <f>IFERROR(__xludf.DUMMYFUNCTION("""COMPUTED_VALUE"""),"صمصار المخزن")</f>
        <v>صمصار المخزن</v>
      </c>
    </row>
    <row r="427">
      <c r="A427" s="36">
        <f>IFERROR(__xludf.DUMMYFUNCTION("""COMPUTED_VALUE"""),46055.0)</f>
        <v>46055</v>
      </c>
      <c r="B427" s="1" t="str">
        <f>IFERROR(__xludf.DUMMYFUNCTION("""COMPUTED_VALUE"""),"Snacky")</f>
        <v>Snacky</v>
      </c>
      <c r="C427" s="35">
        <f>IFERROR(__xludf.DUMMYFUNCTION("""COMPUTED_VALUE"""),500.0)</f>
        <v>500</v>
      </c>
      <c r="D427" s="1" t="str">
        <f>IFERROR(__xludf.DUMMYFUNCTION("""COMPUTED_VALUE"""),"LYD")</f>
        <v>LYD</v>
      </c>
      <c r="E427" s="1" t="str">
        <f>IFERROR(__xludf.DUMMYFUNCTION("""COMPUTED_VALUE"""),"Money Out")</f>
        <v>Money Out</v>
      </c>
      <c r="F427" s="1" t="str">
        <f>IFERROR(__xludf.DUMMYFUNCTION("""COMPUTED_VALUE"""),"Rent")</f>
        <v>Rent</v>
      </c>
      <c r="G427" s="1"/>
      <c r="H427" s="1" t="str">
        <f>IFERROR(__xludf.DUMMYFUNCTION("""COMPUTED_VALUE"""),"ايجار seacoast")</f>
        <v>ايجار seacoast</v>
      </c>
    </row>
    <row r="428">
      <c r="A428" s="36">
        <f>IFERROR(__xludf.DUMMYFUNCTION("""COMPUTED_VALUE"""),46056.0)</f>
        <v>46056</v>
      </c>
      <c r="B428" s="1" t="str">
        <f>IFERROR(__xludf.DUMMYFUNCTION("""COMPUTED_VALUE"""),"Snacky")</f>
        <v>Snacky</v>
      </c>
      <c r="C428" s="35">
        <f>IFERROR(__xludf.DUMMYFUNCTION("""COMPUTED_VALUE"""),3197.0)</f>
        <v>3197</v>
      </c>
      <c r="D428" s="1" t="str">
        <f>IFERROR(__xludf.DUMMYFUNCTION("""COMPUTED_VALUE"""),"LYD")</f>
        <v>LYD</v>
      </c>
      <c r="E428" s="1" t="str">
        <f>IFERROR(__xludf.DUMMYFUNCTION("""COMPUTED_VALUE"""),"Money Out")</f>
        <v>Money Out</v>
      </c>
      <c r="F428" s="1" t="str">
        <f>IFERROR(__xludf.DUMMYFUNCTION("""COMPUTED_VALUE"""),"Product Restocking")</f>
        <v>Product Restocking</v>
      </c>
      <c r="G428" s="1"/>
      <c r="H428" s="1"/>
    </row>
    <row r="429">
      <c r="A429" s="36">
        <f>IFERROR(__xludf.DUMMYFUNCTION("""COMPUTED_VALUE"""),46056.0)</f>
        <v>46056</v>
      </c>
      <c r="B429" s="1" t="str">
        <f>IFERROR(__xludf.DUMMYFUNCTION("""COMPUTED_VALUE"""),"Snacky")</f>
        <v>Snacky</v>
      </c>
      <c r="C429" s="35">
        <f>IFERROR(__xludf.DUMMYFUNCTION("""COMPUTED_VALUE"""),6000.0)</f>
        <v>6000</v>
      </c>
      <c r="D429" s="1" t="str">
        <f>IFERROR(__xludf.DUMMYFUNCTION("""COMPUTED_VALUE"""),"LYD")</f>
        <v>LYD</v>
      </c>
      <c r="E429" s="1" t="str">
        <f>IFERROR(__xludf.DUMMYFUNCTION("""COMPUTED_VALUE"""),"Money In")</f>
        <v>Money In</v>
      </c>
      <c r="F429" s="1" t="str">
        <f>IFERROR(__xludf.DUMMYFUNCTION("""COMPUTED_VALUE"""),"ads")</f>
        <v>ads</v>
      </c>
      <c r="G429" s="1"/>
      <c r="H429" s="1" t="str">
        <f>IFERROR(__xludf.DUMMYFUNCTION("""COMPUTED_VALUE"""),"دعاية توربو شهر 3,4,5")</f>
        <v>دعاية توربو شهر 3,4,5</v>
      </c>
    </row>
    <row r="430">
      <c r="A430" s="36">
        <f>IFERROR(__xludf.DUMMYFUNCTION("""COMPUTED_VALUE"""),46056.0)</f>
        <v>46056</v>
      </c>
      <c r="B430" s="1" t="str">
        <f>IFERROR(__xludf.DUMMYFUNCTION("""COMPUTED_VALUE"""),"Snacky")</f>
        <v>Snacky</v>
      </c>
      <c r="C430" s="35">
        <f>IFERROR(__xludf.DUMMYFUNCTION("""COMPUTED_VALUE"""),1500.0)</f>
        <v>1500</v>
      </c>
      <c r="D430" s="1" t="str">
        <f>IFERROR(__xludf.DUMMYFUNCTION("""COMPUTED_VALUE"""),"LYD")</f>
        <v>LYD</v>
      </c>
      <c r="E430" s="1" t="str">
        <f>IFERROR(__xludf.DUMMYFUNCTION("""COMPUTED_VALUE"""),"Money Out")</f>
        <v>Money Out</v>
      </c>
      <c r="F430" s="1" t="str">
        <f>IFERROR(__xludf.DUMMYFUNCTION("""COMPUTED_VALUE"""),"Ahmed")</f>
        <v>Ahmed</v>
      </c>
      <c r="G430" s="1"/>
      <c r="H430" s="1" t="str">
        <f>IFERROR(__xludf.DUMMYFUNCTION("""COMPUTED_VALUE"""),"مرتب شهر طناش وواحد")</f>
        <v>مرتب شهر طناش وواحد</v>
      </c>
    </row>
    <row r="431">
      <c r="A431" s="36">
        <f>IFERROR(__xludf.DUMMYFUNCTION("""COMPUTED_VALUE"""),46058.0)</f>
        <v>46058</v>
      </c>
      <c r="B431" s="1" t="str">
        <f>IFERROR(__xludf.DUMMYFUNCTION("""COMPUTED_VALUE"""),"Snacky")</f>
        <v>Snacky</v>
      </c>
      <c r="C431" s="35">
        <f>IFERROR(__xludf.DUMMYFUNCTION("""COMPUTED_VALUE"""),950.0)</f>
        <v>950</v>
      </c>
      <c r="D431" s="1" t="str">
        <f>IFERROR(__xludf.DUMMYFUNCTION("""COMPUTED_VALUE"""),"LYD")</f>
        <v>LYD</v>
      </c>
      <c r="E431" s="1" t="str">
        <f>IFERROR(__xludf.DUMMYFUNCTION("""COMPUTED_VALUE"""),"Money Out")</f>
        <v>Money Out</v>
      </c>
      <c r="F431" s="1" t="str">
        <f>IFERROR(__xludf.DUMMYFUNCTION("""COMPUTED_VALUE"""),"Anas")</f>
        <v>Anas</v>
      </c>
      <c r="G431" s="1"/>
      <c r="H431" s="1"/>
    </row>
    <row r="432">
      <c r="A432" s="36">
        <f>IFERROR(__xludf.DUMMYFUNCTION("""COMPUTED_VALUE"""),46060.0)</f>
        <v>46060</v>
      </c>
      <c r="B432" s="1" t="str">
        <f>IFERROR(__xludf.DUMMYFUNCTION("""COMPUTED_VALUE"""),"Snacky")</f>
        <v>Snacky</v>
      </c>
      <c r="C432" s="35">
        <f>IFERROR(__xludf.DUMMYFUNCTION("""COMPUTED_VALUE"""),557.0)</f>
        <v>557</v>
      </c>
      <c r="D432" s="1" t="str">
        <f>IFERROR(__xludf.DUMMYFUNCTION("""COMPUTED_VALUE"""),"LYD")</f>
        <v>LYD</v>
      </c>
      <c r="E432" s="1" t="str">
        <f>IFERROR(__xludf.DUMMYFUNCTION("""COMPUTED_VALUE"""),"Money In")</f>
        <v>Money In</v>
      </c>
      <c r="F432" s="1" t="str">
        <f>IFERROR(__xludf.DUMMYFUNCTION("""COMPUTED_VALUE"""),"Revenue")</f>
        <v>Revenue</v>
      </c>
      <c r="G432" s="1" t="str">
        <f>IFERROR(__xludf.DUMMYFUNCTION("""COMPUTED_VALUE"""),"AlmouasafatHospital")</f>
        <v>AlmouasafatHospital</v>
      </c>
      <c r="H432" s="1"/>
    </row>
    <row r="433">
      <c r="A433" s="36">
        <f>IFERROR(__xludf.DUMMYFUNCTION("""COMPUTED_VALUE"""),46060.0)</f>
        <v>46060</v>
      </c>
      <c r="B433" s="1" t="str">
        <f>IFERROR(__xludf.DUMMYFUNCTION("""COMPUTED_VALUE"""),"Snacky")</f>
        <v>Snacky</v>
      </c>
      <c r="C433" s="35">
        <f>IFERROR(__xludf.DUMMYFUNCTION("""COMPUTED_VALUE"""),1824.0)</f>
        <v>1824</v>
      </c>
      <c r="D433" s="1" t="str">
        <f>IFERROR(__xludf.DUMMYFUNCTION("""COMPUTED_VALUE"""),"LYD")</f>
        <v>LYD</v>
      </c>
      <c r="E433" s="1" t="str">
        <f>IFERROR(__xludf.DUMMYFUNCTION("""COMPUTED_VALUE"""),"Money In")</f>
        <v>Money In</v>
      </c>
      <c r="F433" s="1" t="str">
        <f>IFERROR(__xludf.DUMMYFUNCTION("""COMPUTED_VALUE"""),"Revenue")</f>
        <v>Revenue</v>
      </c>
      <c r="G433" s="1" t="str">
        <f>IFERROR(__xludf.DUMMYFUNCTION("""COMPUTED_VALUE"""),"AlTahaddy")</f>
        <v>AlTahaddy</v>
      </c>
      <c r="H433" s="1"/>
    </row>
    <row r="434">
      <c r="A434" s="36">
        <f>IFERROR(__xludf.DUMMYFUNCTION("""COMPUTED_VALUE"""),46060.0)</f>
        <v>46060</v>
      </c>
      <c r="B434" s="1" t="str">
        <f>IFERROR(__xludf.DUMMYFUNCTION("""COMPUTED_VALUE"""),"Snacky")</f>
        <v>Snacky</v>
      </c>
      <c r="C434" s="35">
        <f>IFERROR(__xludf.DUMMYFUNCTION("""COMPUTED_VALUE"""),2487.0)</f>
        <v>2487</v>
      </c>
      <c r="D434" s="1" t="str">
        <f>IFERROR(__xludf.DUMMYFUNCTION("""COMPUTED_VALUE"""),"LYD")</f>
        <v>LYD</v>
      </c>
      <c r="E434" s="1" t="str">
        <f>IFERROR(__xludf.DUMMYFUNCTION("""COMPUTED_VALUE"""),"Money In")</f>
        <v>Money In</v>
      </c>
      <c r="F434" s="1" t="str">
        <f>IFERROR(__xludf.DUMMYFUNCTION("""COMPUTED_VALUE"""),"Revenue")</f>
        <v>Revenue</v>
      </c>
      <c r="G434" s="1" t="str">
        <f>IFERROR(__xludf.DUMMYFUNCTION("""COMPUTED_VALUE"""),"HTMall")</f>
        <v>HTMall</v>
      </c>
      <c r="H434" s="1"/>
    </row>
    <row r="435">
      <c r="A435" s="36">
        <f>IFERROR(__xludf.DUMMYFUNCTION("""COMPUTED_VALUE"""),46060.0)</f>
        <v>46060</v>
      </c>
      <c r="B435" s="1" t="str">
        <f>IFERROR(__xludf.DUMMYFUNCTION("""COMPUTED_VALUE"""),"Snacky")</f>
        <v>Snacky</v>
      </c>
      <c r="C435" s="35">
        <f>IFERROR(__xludf.DUMMYFUNCTION("""COMPUTED_VALUE"""),771.0)</f>
        <v>771</v>
      </c>
      <c r="D435" s="1" t="str">
        <f>IFERROR(__xludf.DUMMYFUNCTION("""COMPUTED_VALUE"""),"LYD")</f>
        <v>LYD</v>
      </c>
      <c r="E435" s="1" t="str">
        <f>IFERROR(__xludf.DUMMYFUNCTION("""COMPUTED_VALUE"""),"Money Out")</f>
        <v>Money Out</v>
      </c>
      <c r="F435" s="1" t="str">
        <f>IFERROR(__xludf.DUMMYFUNCTION("""COMPUTED_VALUE"""),"Product Restocking")</f>
        <v>Product Restocking</v>
      </c>
      <c r="G435" s="1"/>
      <c r="H435" s="1"/>
    </row>
    <row r="436">
      <c r="A436" s="36">
        <f>IFERROR(__xludf.DUMMYFUNCTION("""COMPUTED_VALUE"""),46061.0)</f>
        <v>46061</v>
      </c>
      <c r="B436" s="1" t="str">
        <f>IFERROR(__xludf.DUMMYFUNCTION("""COMPUTED_VALUE"""),"Snacky")</f>
        <v>Snacky</v>
      </c>
      <c r="C436" s="35">
        <f>IFERROR(__xludf.DUMMYFUNCTION("""COMPUTED_VALUE"""),1727.0)</f>
        <v>1727</v>
      </c>
      <c r="D436" s="1" t="str">
        <f>IFERROR(__xludf.DUMMYFUNCTION("""COMPUTED_VALUE"""),"LYD")</f>
        <v>LYD</v>
      </c>
      <c r="E436" s="1" t="str">
        <f>IFERROR(__xludf.DUMMYFUNCTION("""COMPUTED_VALUE"""),"Money In")</f>
        <v>Money In</v>
      </c>
      <c r="F436" s="1" t="str">
        <f>IFERROR(__xludf.DUMMYFUNCTION("""COMPUTED_VALUE"""),"Revenue")</f>
        <v>Revenue</v>
      </c>
      <c r="G436" s="1" t="str">
        <f>IFERROR(__xludf.DUMMYFUNCTION("""COMPUTED_VALUE"""),"SeaCost")</f>
        <v>SeaCost</v>
      </c>
      <c r="H436" s="1"/>
    </row>
    <row r="437">
      <c r="A437" s="36">
        <f>IFERROR(__xludf.DUMMYFUNCTION("""COMPUTED_VALUE"""),46061.0)</f>
        <v>46061</v>
      </c>
      <c r="B437" s="1" t="str">
        <f>IFERROR(__xludf.DUMMYFUNCTION("""COMPUTED_VALUE"""),"Snacky")</f>
        <v>Snacky</v>
      </c>
      <c r="C437" s="35">
        <f>IFERROR(__xludf.DUMMYFUNCTION("""COMPUTED_VALUE"""),167.0)</f>
        <v>167</v>
      </c>
      <c r="D437" s="1" t="str">
        <f>IFERROR(__xludf.DUMMYFUNCTION("""COMPUTED_VALUE"""),"LYD")</f>
        <v>LYD</v>
      </c>
      <c r="E437" s="1" t="str">
        <f>IFERROR(__xludf.DUMMYFUNCTION("""COMPUTED_VALUE"""),"Money Out")</f>
        <v>Money Out</v>
      </c>
      <c r="F437" s="1" t="str">
        <f>IFERROR(__xludf.DUMMYFUNCTION("""COMPUTED_VALUE"""),"Product Restocking")</f>
        <v>Product Restocking</v>
      </c>
      <c r="G437" s="1"/>
      <c r="H437" s="1"/>
    </row>
    <row r="438">
      <c r="A438" s="36">
        <f>IFERROR(__xludf.DUMMYFUNCTION("""COMPUTED_VALUE"""),46062.0)</f>
        <v>46062</v>
      </c>
      <c r="B438" s="1" t="str">
        <f>IFERROR(__xludf.DUMMYFUNCTION("""COMPUTED_VALUE"""),"Snacky")</f>
        <v>Snacky</v>
      </c>
      <c r="C438" s="35">
        <f>IFERROR(__xludf.DUMMYFUNCTION("""COMPUTED_VALUE"""),340.0)</f>
        <v>340</v>
      </c>
      <c r="D438" s="1" t="str">
        <f>IFERROR(__xludf.DUMMYFUNCTION("""COMPUTED_VALUE"""),"LYD")</f>
        <v>LYD</v>
      </c>
      <c r="E438" s="1" t="str">
        <f>IFERROR(__xludf.DUMMYFUNCTION("""COMPUTED_VALUE"""),"Money Out")</f>
        <v>Money Out</v>
      </c>
      <c r="F438" s="1" t="str">
        <f>IFERROR(__xludf.DUMMYFUNCTION("""COMPUTED_VALUE"""),"Product Restocking")</f>
        <v>Product Restocking</v>
      </c>
      <c r="G438" s="1"/>
      <c r="H438" s="1"/>
    </row>
    <row r="439">
      <c r="A439" s="36">
        <f>IFERROR(__xludf.DUMMYFUNCTION("""COMPUTED_VALUE"""),46064.0)</f>
        <v>46064</v>
      </c>
      <c r="B439" s="1" t="str">
        <f>IFERROR(__xludf.DUMMYFUNCTION("""COMPUTED_VALUE"""),"Snacky")</f>
        <v>Snacky</v>
      </c>
      <c r="C439" s="35">
        <f>IFERROR(__xludf.DUMMYFUNCTION("""COMPUTED_VALUE"""),1251.0)</f>
        <v>1251</v>
      </c>
      <c r="D439" s="1" t="str">
        <f>IFERROR(__xludf.DUMMYFUNCTION("""COMPUTED_VALUE"""),"LYD")</f>
        <v>LYD</v>
      </c>
      <c r="E439" s="1" t="str">
        <f>IFERROR(__xludf.DUMMYFUNCTION("""COMPUTED_VALUE"""),"Money In")</f>
        <v>Money In</v>
      </c>
      <c r="F439" s="1" t="str">
        <f>IFERROR(__xludf.DUMMYFUNCTION("""COMPUTED_VALUE"""),"Revenue")</f>
        <v>Revenue</v>
      </c>
      <c r="G439" s="1" t="str">
        <f>IFERROR(__xludf.DUMMYFUNCTION("""COMPUTED_VALUE"""),"AlmouasafatHospital")</f>
        <v>AlmouasafatHospital</v>
      </c>
      <c r="H439" s="1"/>
    </row>
    <row r="440">
      <c r="A440" s="36">
        <f>IFERROR(__xludf.DUMMYFUNCTION("""COMPUTED_VALUE"""),46064.0)</f>
        <v>46064</v>
      </c>
      <c r="B440" s="1" t="str">
        <f>IFERROR(__xludf.DUMMYFUNCTION("""COMPUTED_VALUE"""),"Snacky")</f>
        <v>Snacky</v>
      </c>
      <c r="C440" s="35">
        <f>IFERROR(__xludf.DUMMYFUNCTION("""COMPUTED_VALUE"""),1196.0)</f>
        <v>1196</v>
      </c>
      <c r="D440" s="1" t="str">
        <f>IFERROR(__xludf.DUMMYFUNCTION("""COMPUTED_VALUE"""),"LYD")</f>
        <v>LYD</v>
      </c>
      <c r="E440" s="1" t="str">
        <f>IFERROR(__xludf.DUMMYFUNCTION("""COMPUTED_VALUE"""),"Money In")</f>
        <v>Money In</v>
      </c>
      <c r="F440" s="1" t="str">
        <f>IFERROR(__xludf.DUMMYFUNCTION("""COMPUTED_VALUE"""),"Revenue")</f>
        <v>Revenue</v>
      </c>
      <c r="G440" s="1" t="str">
        <f>IFERROR(__xludf.DUMMYFUNCTION("""COMPUTED_VALUE"""),"SeaCost")</f>
        <v>SeaCost</v>
      </c>
      <c r="H440" s="1"/>
    </row>
    <row r="441">
      <c r="A441" s="36">
        <f>IFERROR(__xludf.DUMMYFUNCTION("""COMPUTED_VALUE"""),46064.0)</f>
        <v>46064</v>
      </c>
      <c r="B441" s="1" t="str">
        <f>IFERROR(__xludf.DUMMYFUNCTION("""COMPUTED_VALUE"""),"Snacky")</f>
        <v>Snacky</v>
      </c>
      <c r="C441" s="35">
        <f>IFERROR(__xludf.DUMMYFUNCTION("""COMPUTED_VALUE"""),700.0)</f>
        <v>700</v>
      </c>
      <c r="D441" s="1" t="str">
        <f>IFERROR(__xludf.DUMMYFUNCTION("""COMPUTED_VALUE"""),"LYD")</f>
        <v>LYD</v>
      </c>
      <c r="E441" s="1" t="str">
        <f>IFERROR(__xludf.DUMMYFUNCTION("""COMPUTED_VALUE"""),"Money In")</f>
        <v>Money In</v>
      </c>
      <c r="F441" s="1" t="str">
        <f>IFERROR(__xludf.DUMMYFUNCTION("""COMPUTED_VALUE"""),"Revenue")</f>
        <v>Revenue</v>
      </c>
      <c r="G441" s="1" t="str">
        <f>IFERROR(__xludf.DUMMYFUNCTION("""COMPUTED_VALUE"""),"HTMall")</f>
        <v>HTMall</v>
      </c>
      <c r="H441" s="1"/>
    </row>
    <row r="442">
      <c r="A442" s="36">
        <f>IFERROR(__xludf.DUMMYFUNCTION("""COMPUTED_VALUE"""),46065.0)</f>
        <v>46065</v>
      </c>
      <c r="B442" s="1" t="str">
        <f>IFERROR(__xludf.DUMMYFUNCTION("""COMPUTED_VALUE"""),"Snacky")</f>
        <v>Snacky</v>
      </c>
      <c r="C442" s="35">
        <f>IFERROR(__xludf.DUMMYFUNCTION("""COMPUTED_VALUE"""),1050.0)</f>
        <v>1050</v>
      </c>
      <c r="D442" s="1" t="str">
        <f>IFERROR(__xludf.DUMMYFUNCTION("""COMPUTED_VALUE"""),"LYD")</f>
        <v>LYD</v>
      </c>
      <c r="E442" s="1" t="str">
        <f>IFERROR(__xludf.DUMMYFUNCTION("""COMPUTED_VALUE"""),"Money Out")</f>
        <v>Money Out</v>
      </c>
      <c r="F442" s="1" t="str">
        <f>IFERROR(__xludf.DUMMYFUNCTION("""COMPUTED_VALUE"""),"Product Restocking")</f>
        <v>Product Restocking</v>
      </c>
      <c r="G442" s="1"/>
      <c r="H442" s="1"/>
    </row>
    <row r="443">
      <c r="A443" s="36">
        <f>IFERROR(__xludf.DUMMYFUNCTION("""COMPUTED_VALUE"""),46066.0)</f>
        <v>46066</v>
      </c>
      <c r="B443" s="1" t="str">
        <f>IFERROR(__xludf.DUMMYFUNCTION("""COMPUTED_VALUE"""),"Snacky")</f>
        <v>Snacky</v>
      </c>
      <c r="C443" s="35">
        <f>IFERROR(__xludf.DUMMYFUNCTION("""COMPUTED_VALUE"""),2217.0)</f>
        <v>2217</v>
      </c>
      <c r="D443" s="1" t="str">
        <f>IFERROR(__xludf.DUMMYFUNCTION("""COMPUTED_VALUE"""),"LYD")</f>
        <v>LYD</v>
      </c>
      <c r="E443" s="1" t="str">
        <f>IFERROR(__xludf.DUMMYFUNCTION("""COMPUTED_VALUE"""),"Money Out")</f>
        <v>Money Out</v>
      </c>
      <c r="F443" s="1" t="str">
        <f>IFERROR(__xludf.DUMMYFUNCTION("""COMPUTED_VALUE"""),"Product Restocking")</f>
        <v>Product Restocking</v>
      </c>
      <c r="G443" s="1"/>
      <c r="H443" s="1"/>
    </row>
    <row r="444">
      <c r="A444" s="36">
        <f>IFERROR(__xludf.DUMMYFUNCTION("""COMPUTED_VALUE"""),46067.0)</f>
        <v>46067</v>
      </c>
      <c r="B444" s="1" t="str">
        <f>IFERROR(__xludf.DUMMYFUNCTION("""COMPUTED_VALUE"""),"Snacky")</f>
        <v>Snacky</v>
      </c>
      <c r="C444" s="35">
        <f>IFERROR(__xludf.DUMMYFUNCTION("""COMPUTED_VALUE"""),1753.0)</f>
        <v>1753</v>
      </c>
      <c r="D444" s="1" t="str">
        <f>IFERROR(__xludf.DUMMYFUNCTION("""COMPUTED_VALUE"""),"LYD")</f>
        <v>LYD</v>
      </c>
      <c r="E444" s="1" t="str">
        <f>IFERROR(__xludf.DUMMYFUNCTION("""COMPUTED_VALUE"""),"Money In")</f>
        <v>Money In</v>
      </c>
      <c r="F444" s="1" t="str">
        <f>IFERROR(__xludf.DUMMYFUNCTION("""COMPUTED_VALUE"""),"Revenue")</f>
        <v>Revenue</v>
      </c>
      <c r="G444" s="1" t="str">
        <f>IFERROR(__xludf.DUMMYFUNCTION("""COMPUTED_VALUE"""),"AlTahaddy")</f>
        <v>AlTahaddy</v>
      </c>
      <c r="H444" s="1"/>
    </row>
    <row r="445">
      <c r="A445" s="36">
        <f>IFERROR(__xludf.DUMMYFUNCTION("""COMPUTED_VALUE"""),46067.0)</f>
        <v>46067</v>
      </c>
      <c r="B445" s="1" t="str">
        <f>IFERROR(__xludf.DUMMYFUNCTION("""COMPUTED_VALUE"""),"Snacky")</f>
        <v>Snacky</v>
      </c>
      <c r="C445" s="35">
        <f>IFERROR(__xludf.DUMMYFUNCTION("""COMPUTED_VALUE"""),1146.0)</f>
        <v>1146</v>
      </c>
      <c r="D445" s="1" t="str">
        <f>IFERROR(__xludf.DUMMYFUNCTION("""COMPUTED_VALUE"""),"LYD")</f>
        <v>LYD</v>
      </c>
      <c r="E445" s="1" t="str">
        <f>IFERROR(__xludf.DUMMYFUNCTION("""COMPUTED_VALUE"""),"Money Out")</f>
        <v>Money Out</v>
      </c>
      <c r="F445" s="1" t="str">
        <f>IFERROR(__xludf.DUMMYFUNCTION("""COMPUTED_VALUE"""),"Product Restocking")</f>
        <v>Product Restocking</v>
      </c>
      <c r="G445" s="1"/>
      <c r="H445" s="1"/>
    </row>
    <row r="446">
      <c r="A446" s="36">
        <f>IFERROR(__xludf.DUMMYFUNCTION("""COMPUTED_VALUE"""),46068.0)</f>
        <v>46068</v>
      </c>
      <c r="B446" s="1" t="str">
        <f>IFERROR(__xludf.DUMMYFUNCTION("""COMPUTED_VALUE"""),"Snacky")</f>
        <v>Snacky</v>
      </c>
      <c r="C446" s="35">
        <f>IFERROR(__xludf.DUMMYFUNCTION("""COMPUTED_VALUE"""),1661.0)</f>
        <v>1661</v>
      </c>
      <c r="D446" s="1" t="str">
        <f>IFERROR(__xludf.DUMMYFUNCTION("""COMPUTED_VALUE"""),"LYD")</f>
        <v>LYD</v>
      </c>
      <c r="E446" s="1" t="str">
        <f>IFERROR(__xludf.DUMMYFUNCTION("""COMPUTED_VALUE"""),"Money Out")</f>
        <v>Money Out</v>
      </c>
      <c r="F446" s="1" t="str">
        <f>IFERROR(__xludf.DUMMYFUNCTION("""COMPUTED_VALUE"""),"Product Restocking")</f>
        <v>Product Restocking</v>
      </c>
      <c r="G446" s="1"/>
      <c r="H446" s="1"/>
    </row>
    <row r="447">
      <c r="A447" s="36">
        <f>IFERROR(__xludf.DUMMYFUNCTION("""COMPUTED_VALUE"""),46068.0)</f>
        <v>46068</v>
      </c>
      <c r="B447" s="1" t="str">
        <f>IFERROR(__xludf.DUMMYFUNCTION("""COMPUTED_VALUE"""),"Snacky")</f>
        <v>Snacky</v>
      </c>
      <c r="C447" s="35">
        <f>IFERROR(__xludf.DUMMYFUNCTION("""COMPUTED_VALUE"""),979.0)</f>
        <v>979</v>
      </c>
      <c r="D447" s="1" t="str">
        <f>IFERROR(__xludf.DUMMYFUNCTION("""COMPUTED_VALUE"""),"LYD")</f>
        <v>LYD</v>
      </c>
      <c r="E447" s="1" t="str">
        <f>IFERROR(__xludf.DUMMYFUNCTION("""COMPUTED_VALUE"""),"Money In")</f>
        <v>Money In</v>
      </c>
      <c r="F447" s="1" t="str">
        <f>IFERROR(__xludf.DUMMYFUNCTION("""COMPUTED_VALUE"""),"Revenue")</f>
        <v>Revenue</v>
      </c>
      <c r="G447" s="1" t="str">
        <f>IFERROR(__xludf.DUMMYFUNCTION("""COMPUTED_VALUE"""),"SeaCost")</f>
        <v>SeaCost</v>
      </c>
      <c r="H447" s="1"/>
    </row>
    <row r="448">
      <c r="A448" s="36">
        <f>IFERROR(__xludf.DUMMYFUNCTION("""COMPUTED_VALUE"""),46068.0)</f>
        <v>46068</v>
      </c>
      <c r="B448" s="1" t="str">
        <f>IFERROR(__xludf.DUMMYFUNCTION("""COMPUTED_VALUE"""),"Snacky")</f>
        <v>Snacky</v>
      </c>
      <c r="C448" s="35">
        <f>IFERROR(__xludf.DUMMYFUNCTION("""COMPUTED_VALUE"""),1667.0)</f>
        <v>1667</v>
      </c>
      <c r="D448" s="1" t="str">
        <f>IFERROR(__xludf.DUMMYFUNCTION("""COMPUTED_VALUE"""),"LYD")</f>
        <v>LYD</v>
      </c>
      <c r="E448" s="1" t="str">
        <f>IFERROR(__xludf.DUMMYFUNCTION("""COMPUTED_VALUE"""),"Money In")</f>
        <v>Money In</v>
      </c>
      <c r="F448" s="1" t="str">
        <f>IFERROR(__xludf.DUMMYFUNCTION("""COMPUTED_VALUE"""),"Revenue")</f>
        <v>Revenue</v>
      </c>
      <c r="G448" s="1" t="str">
        <f>IFERROR(__xludf.DUMMYFUNCTION("""COMPUTED_VALUE"""),"HTLand")</f>
        <v>HTLand</v>
      </c>
      <c r="H448" s="1"/>
    </row>
    <row r="449">
      <c r="A449" s="36">
        <f>IFERROR(__xludf.DUMMYFUNCTION("""COMPUTED_VALUE"""),46068.0)</f>
        <v>46068</v>
      </c>
      <c r="B449" s="1" t="str">
        <f>IFERROR(__xludf.DUMMYFUNCTION("""COMPUTED_VALUE"""),"Snacky")</f>
        <v>Snacky</v>
      </c>
      <c r="C449" s="35">
        <f>IFERROR(__xludf.DUMMYFUNCTION("""COMPUTED_VALUE"""),1300.0)</f>
        <v>1300</v>
      </c>
      <c r="D449" s="1" t="str">
        <f>IFERROR(__xludf.DUMMYFUNCTION("""COMPUTED_VALUE"""),"LYD")</f>
        <v>LYD</v>
      </c>
      <c r="E449" s="1" t="str">
        <f>IFERROR(__xludf.DUMMYFUNCTION("""COMPUTED_VALUE"""),"Money In")</f>
        <v>Money In</v>
      </c>
      <c r="F449" s="1" t="str">
        <f>IFERROR(__xludf.DUMMYFUNCTION("""COMPUTED_VALUE"""),"Revenue")</f>
        <v>Revenue</v>
      </c>
      <c r="G449" s="1" t="str">
        <f>IFERROR(__xludf.DUMMYFUNCTION("""COMPUTED_VALUE"""),"HTMall")</f>
        <v>HTMall</v>
      </c>
      <c r="H449" s="1"/>
    </row>
    <row r="450">
      <c r="A450" s="36">
        <f>IFERROR(__xludf.DUMMYFUNCTION("""COMPUTED_VALUE"""),46069.0)</f>
        <v>46069</v>
      </c>
      <c r="B450" s="1" t="str">
        <f>IFERROR(__xludf.DUMMYFUNCTION("""COMPUTED_VALUE"""),"Snacky")</f>
        <v>Snacky</v>
      </c>
      <c r="C450" s="35">
        <f>IFERROR(__xludf.DUMMYFUNCTION("""COMPUTED_VALUE"""),1501.0)</f>
        <v>1501</v>
      </c>
      <c r="D450" s="1" t="str">
        <f>IFERROR(__xludf.DUMMYFUNCTION("""COMPUTED_VALUE"""),"LYD")</f>
        <v>LYD</v>
      </c>
      <c r="E450" s="1" t="str">
        <f>IFERROR(__xludf.DUMMYFUNCTION("""COMPUTED_VALUE"""),"Money Out")</f>
        <v>Money Out</v>
      </c>
      <c r="F450" s="1" t="str">
        <f>IFERROR(__xludf.DUMMYFUNCTION("""COMPUTED_VALUE"""),"Product Restocking")</f>
        <v>Product Restocking</v>
      </c>
      <c r="G450" s="1"/>
      <c r="H450" s="1"/>
    </row>
    <row r="451">
      <c r="A451" s="36">
        <f>IFERROR(__xludf.DUMMYFUNCTION("""COMPUTED_VALUE"""),46070.0)</f>
        <v>46070</v>
      </c>
      <c r="B451" s="1" t="str">
        <f>IFERROR(__xludf.DUMMYFUNCTION("""COMPUTED_VALUE"""),"Snacky")</f>
        <v>Snacky</v>
      </c>
      <c r="C451" s="35">
        <f>IFERROR(__xludf.DUMMYFUNCTION("""COMPUTED_VALUE"""),1882.0)</f>
        <v>1882</v>
      </c>
      <c r="D451" s="1" t="str">
        <f>IFERROR(__xludf.DUMMYFUNCTION("""COMPUTED_VALUE"""),"LYD")</f>
        <v>LYD</v>
      </c>
      <c r="E451" s="1" t="str">
        <f>IFERROR(__xludf.DUMMYFUNCTION("""COMPUTED_VALUE"""),"Money In")</f>
        <v>Money In</v>
      </c>
      <c r="F451" s="1" t="str">
        <f>IFERROR(__xludf.DUMMYFUNCTION("""COMPUTED_VALUE"""),"Revenue")</f>
        <v>Revenue</v>
      </c>
      <c r="G451" s="1" t="str">
        <f>IFERROR(__xludf.DUMMYFUNCTION("""COMPUTED_VALUE"""),"deplomacyMall")</f>
        <v>deplomacyMall</v>
      </c>
      <c r="H451" s="1"/>
    </row>
    <row r="452">
      <c r="A452" s="36">
        <f>IFERROR(__xludf.DUMMYFUNCTION("""COMPUTED_VALUE"""),46070.0)</f>
        <v>46070</v>
      </c>
      <c r="B452" s="1" t="str">
        <f>IFERROR(__xludf.DUMMYFUNCTION("""COMPUTED_VALUE"""),"Snacky")</f>
        <v>Snacky</v>
      </c>
      <c r="C452" s="35">
        <f>IFERROR(__xludf.DUMMYFUNCTION("""COMPUTED_VALUE"""),2385.0)</f>
        <v>2385</v>
      </c>
      <c r="D452" s="1" t="str">
        <f>IFERROR(__xludf.DUMMYFUNCTION("""COMPUTED_VALUE"""),"LYD")</f>
        <v>LYD</v>
      </c>
      <c r="E452" s="1" t="str">
        <f>IFERROR(__xludf.DUMMYFUNCTION("""COMPUTED_VALUE"""),"Money In")</f>
        <v>Money In</v>
      </c>
      <c r="F452" s="1" t="str">
        <f>IFERROR(__xludf.DUMMYFUNCTION("""COMPUTED_VALUE"""),"Revenue")</f>
        <v>Revenue</v>
      </c>
      <c r="G452" s="1" t="str">
        <f>IFERROR(__xludf.DUMMYFUNCTION("""COMPUTED_VALUE"""),"Istiklal")</f>
        <v>Istiklal</v>
      </c>
      <c r="H452" s="1"/>
    </row>
    <row r="453">
      <c r="A453" s="36">
        <f>IFERROR(__xludf.DUMMYFUNCTION("""COMPUTED_VALUE"""),46071.0)</f>
        <v>46071</v>
      </c>
      <c r="B453" s="1" t="str">
        <f>IFERROR(__xludf.DUMMYFUNCTION("""COMPUTED_VALUE"""),"Snacky")</f>
        <v>Snacky</v>
      </c>
      <c r="C453" s="35">
        <f>IFERROR(__xludf.DUMMYFUNCTION("""COMPUTED_VALUE"""),987.0)</f>
        <v>987</v>
      </c>
      <c r="D453" s="1" t="str">
        <f>IFERROR(__xludf.DUMMYFUNCTION("""COMPUTED_VALUE"""),"LYD")</f>
        <v>LYD</v>
      </c>
      <c r="E453" s="1" t="str">
        <f>IFERROR(__xludf.DUMMYFUNCTION("""COMPUTED_VALUE"""),"Money Out")</f>
        <v>Money Out</v>
      </c>
      <c r="F453" s="1" t="str">
        <f>IFERROR(__xludf.DUMMYFUNCTION("""COMPUTED_VALUE"""),"Product Restocking")</f>
        <v>Product Restocking</v>
      </c>
      <c r="G453" s="1"/>
      <c r="H453" s="1"/>
    </row>
    <row r="454">
      <c r="A454" s="36">
        <f>IFERROR(__xludf.DUMMYFUNCTION("""COMPUTED_VALUE"""),46071.0)</f>
        <v>46071</v>
      </c>
      <c r="B454" s="1" t="str">
        <f>IFERROR(__xludf.DUMMYFUNCTION("""COMPUTED_VALUE"""),"Snacky")</f>
        <v>Snacky</v>
      </c>
      <c r="C454" s="35">
        <f>IFERROR(__xludf.DUMMYFUNCTION("""COMPUTED_VALUE"""),690.0)</f>
        <v>690</v>
      </c>
      <c r="D454" s="1" t="str">
        <f>IFERROR(__xludf.DUMMYFUNCTION("""COMPUTED_VALUE"""),"LYD")</f>
        <v>LYD</v>
      </c>
      <c r="E454" s="1" t="str">
        <f>IFERROR(__xludf.DUMMYFUNCTION("""COMPUTED_VALUE"""),"Money Out")</f>
        <v>Money Out</v>
      </c>
      <c r="F454" s="1"/>
      <c r="G454" s="1"/>
      <c r="H454" s="1" t="str">
        <f>IFERROR(__xludf.DUMMYFUNCTION("""COMPUTED_VALUE"""),"تركيب وتصميم ملصق التحدي")</f>
        <v>تركيب وتصميم ملصق التحدي</v>
      </c>
    </row>
    <row r="455">
      <c r="A455" s="36">
        <f>IFERROR(__xludf.DUMMYFUNCTION("""COMPUTED_VALUE"""),46065.0)</f>
        <v>46065</v>
      </c>
      <c r="B455" s="1" t="str">
        <f>IFERROR(__xludf.DUMMYFUNCTION("""COMPUTED_VALUE"""),"Snacky")</f>
        <v>Snacky</v>
      </c>
      <c r="C455" s="35">
        <f>IFERROR(__xludf.DUMMYFUNCTION("""COMPUTED_VALUE"""),700.0)</f>
        <v>700</v>
      </c>
      <c r="D455" s="1" t="str">
        <f>IFERROR(__xludf.DUMMYFUNCTION("""COMPUTED_VALUE"""),"LYD")</f>
        <v>LYD</v>
      </c>
      <c r="E455" s="1" t="str">
        <f>IFERROR(__xludf.DUMMYFUNCTION("""COMPUTED_VALUE"""),"Money Out")</f>
        <v>Money Out</v>
      </c>
      <c r="F455" s="1"/>
      <c r="G455" s="1"/>
      <c r="H455" s="1" t="str">
        <f>IFERROR(__xludf.DUMMYFUNCTION("""COMPUTED_VALUE"""),"نقل عدد اثنان ماكينه")</f>
        <v>نقل عدد اثنان ماكينه</v>
      </c>
    </row>
    <row r="456">
      <c r="A456" s="36">
        <f>IFERROR(__xludf.DUMMYFUNCTION("""COMPUTED_VALUE"""),46066.0)</f>
        <v>46066</v>
      </c>
      <c r="B456" s="1" t="str">
        <f>IFERROR(__xludf.DUMMYFUNCTION("""COMPUTED_VALUE"""),"Snacky")</f>
        <v>Snacky</v>
      </c>
      <c r="C456" s="35">
        <f>IFERROR(__xludf.DUMMYFUNCTION("""COMPUTED_VALUE"""),130.0)</f>
        <v>130</v>
      </c>
      <c r="D456" s="1" t="str">
        <f>IFERROR(__xludf.DUMMYFUNCTION("""COMPUTED_VALUE"""),"LYD")</f>
        <v>LYD</v>
      </c>
      <c r="E456" s="1" t="str">
        <f>IFERROR(__xludf.DUMMYFUNCTION("""COMPUTED_VALUE"""),"Money Out")</f>
        <v>Money Out</v>
      </c>
      <c r="F456" s="1"/>
      <c r="G456" s="1"/>
      <c r="H456" s="1" t="str">
        <f>IFERROR(__xludf.DUMMYFUNCTION("""COMPUTED_VALUE"""),"ايجار وعمال")</f>
        <v>ايجار وعمال</v>
      </c>
    </row>
    <row r="457">
      <c r="A457" s="36">
        <f>IFERROR(__xludf.DUMMYFUNCTION("""COMPUTED_VALUE"""),46068.0)</f>
        <v>46068</v>
      </c>
      <c r="B457" s="1" t="str">
        <f>IFERROR(__xludf.DUMMYFUNCTION("""COMPUTED_VALUE"""),"Snacky")</f>
        <v>Snacky</v>
      </c>
      <c r="C457" s="35">
        <f>IFERROR(__xludf.DUMMYFUNCTION("""COMPUTED_VALUE"""),3000.0)</f>
        <v>3000</v>
      </c>
      <c r="D457" s="1" t="str">
        <f>IFERROR(__xludf.DUMMYFUNCTION("""COMPUTED_VALUE"""),"LYD")</f>
        <v>LYD</v>
      </c>
      <c r="E457" s="1" t="str">
        <f>IFERROR(__xludf.DUMMYFUNCTION("""COMPUTED_VALUE"""),"Money Out")</f>
        <v>Money Out</v>
      </c>
      <c r="F457" s="1" t="str">
        <f>IFERROR(__xludf.DUMMYFUNCTION("""COMPUTED_VALUE"""),"Rent")</f>
        <v>Rent</v>
      </c>
      <c r="G457" s="1" t="str">
        <f>IFERROR(__xludf.DUMMYFUNCTION("""COMPUTED_VALUE"""),"deplomacyMall")</f>
        <v>deplomacyMall</v>
      </c>
      <c r="H457" s="1" t="str">
        <f>IFERROR(__xludf.DUMMYFUNCTION("""COMPUTED_VALUE"""),"ايجارسته شهور دبلوماسي من شهر 9 - الى شهر 2")</f>
        <v>ايجارسته شهور دبلوماسي من شهر 9 - الى شهر 2</v>
      </c>
    </row>
    <row r="458">
      <c r="A458" s="36">
        <f>IFERROR(__xludf.DUMMYFUNCTION("""COMPUTED_VALUE"""),46069.0)</f>
        <v>46069</v>
      </c>
      <c r="B458" s="1" t="str">
        <f>IFERROR(__xludf.DUMMYFUNCTION("""COMPUTED_VALUE"""),"Snacky")</f>
        <v>Snacky</v>
      </c>
      <c r="C458" s="35">
        <f>IFERROR(__xludf.DUMMYFUNCTION("""COMPUTED_VALUE"""),2800.0)</f>
        <v>2800</v>
      </c>
      <c r="D458" s="1" t="str">
        <f>IFERROR(__xludf.DUMMYFUNCTION("""COMPUTED_VALUE"""),"LYD")</f>
        <v>LYD</v>
      </c>
      <c r="E458" s="1" t="str">
        <f>IFERROR(__xludf.DUMMYFUNCTION("""COMPUTED_VALUE"""),"Money Out")</f>
        <v>Money Out</v>
      </c>
      <c r="F458" s="1" t="str">
        <f>IFERROR(__xludf.DUMMYFUNCTION("""COMPUTED_VALUE"""),"Rent")</f>
        <v>Rent</v>
      </c>
      <c r="G458" s="1" t="str">
        <f>IFERROR(__xludf.DUMMYFUNCTION("""COMPUTED_VALUE"""),"HTMall")</f>
        <v>HTMall</v>
      </c>
      <c r="H458" s="1" t="str">
        <f>IFERROR(__xludf.DUMMYFUNCTION("""COMPUTED_VALUE"""),"ايجار اتش تي ")</f>
        <v>ايجار اتش تي </v>
      </c>
    </row>
    <row r="459">
      <c r="A459" s="36">
        <f>IFERROR(__xludf.DUMMYFUNCTION("""COMPUTED_VALUE"""),46070.0)</f>
        <v>46070</v>
      </c>
      <c r="B459" s="1" t="str">
        <f>IFERROR(__xludf.DUMMYFUNCTION("""COMPUTED_VALUE"""),"Snacky")</f>
        <v>Snacky</v>
      </c>
      <c r="C459" s="35">
        <f>IFERROR(__xludf.DUMMYFUNCTION("""COMPUTED_VALUE"""),260.0)</f>
        <v>260</v>
      </c>
      <c r="D459" s="1" t="str">
        <f>IFERROR(__xludf.DUMMYFUNCTION("""COMPUTED_VALUE"""),"LYD")</f>
        <v>LYD</v>
      </c>
      <c r="E459" s="1" t="str">
        <f>IFERROR(__xludf.DUMMYFUNCTION("""COMPUTED_VALUE"""),"Money Out")</f>
        <v>Money Out</v>
      </c>
      <c r="F459" s="1"/>
      <c r="G459" s="1"/>
      <c r="H459" s="1"/>
    </row>
    <row r="460">
      <c r="A460" s="36">
        <f>IFERROR(__xludf.DUMMYFUNCTION("""COMPUTED_VALUE"""),46073.0)</f>
        <v>46073</v>
      </c>
      <c r="B460" s="1" t="str">
        <f>IFERROR(__xludf.DUMMYFUNCTION("""COMPUTED_VALUE"""),"Snacky")</f>
        <v>Snacky</v>
      </c>
      <c r="C460" s="35">
        <f>IFERROR(__xludf.DUMMYFUNCTION("""COMPUTED_VALUE"""),7500.0)</f>
        <v>7500</v>
      </c>
      <c r="D460" s="1" t="str">
        <f>IFERROR(__xludf.DUMMYFUNCTION("""COMPUTED_VALUE"""),"LYD")</f>
        <v>LYD</v>
      </c>
      <c r="E460" s="1" t="str">
        <f>IFERROR(__xludf.DUMMYFUNCTION("""COMPUTED_VALUE"""),"Money Out")</f>
        <v>Money Out</v>
      </c>
      <c r="F460" s="1"/>
      <c r="G460" s="1"/>
      <c r="H460" s="1" t="str">
        <f>IFERROR(__xludf.DUMMYFUNCTION("""COMPUTED_VALUE"""),"تعديل ميزانيه")</f>
        <v>تعديل ميزانيه</v>
      </c>
    </row>
    <row r="461">
      <c r="A461" s="36">
        <f>IFERROR(__xludf.DUMMYFUNCTION("""COMPUTED_VALUE"""),46073.0)</f>
        <v>46073</v>
      </c>
      <c r="B461" s="1" t="str">
        <f>IFERROR(__xludf.DUMMYFUNCTION("""COMPUTED_VALUE"""),"Snacky")</f>
        <v>Snacky</v>
      </c>
      <c r="C461" s="35">
        <f>IFERROR(__xludf.DUMMYFUNCTION("""COMPUTED_VALUE"""),500.0)</f>
        <v>500</v>
      </c>
      <c r="D461" s="1" t="str">
        <f>IFERROR(__xludf.DUMMYFUNCTION("""COMPUTED_VALUE"""),"LYD")</f>
        <v>LYD</v>
      </c>
      <c r="E461" s="1" t="str">
        <f>IFERROR(__xludf.DUMMYFUNCTION("""COMPUTED_VALUE"""),"Money Out")</f>
        <v>Money Out</v>
      </c>
      <c r="F461" s="1" t="str">
        <f>IFERROR(__xludf.DUMMYFUNCTION("""COMPUTED_VALUE"""),"Anas")</f>
        <v>Anas</v>
      </c>
      <c r="G461" s="1"/>
      <c r="H461" s="1"/>
    </row>
    <row r="462">
      <c r="A462" s="36">
        <f>IFERROR(__xludf.DUMMYFUNCTION("""COMPUTED_VALUE"""),46074.0)</f>
        <v>46074</v>
      </c>
      <c r="B462" s="1" t="str">
        <f>IFERROR(__xludf.DUMMYFUNCTION("""COMPUTED_VALUE"""),"Snacky")</f>
        <v>Snacky</v>
      </c>
      <c r="C462" s="35">
        <f>IFERROR(__xludf.DUMMYFUNCTION("""COMPUTED_VALUE"""),1487.0)</f>
        <v>1487</v>
      </c>
      <c r="D462" s="1" t="str">
        <f>IFERROR(__xludf.DUMMYFUNCTION("""COMPUTED_VALUE"""),"LYD")</f>
        <v>LYD</v>
      </c>
      <c r="E462" s="1" t="str">
        <f>IFERROR(__xludf.DUMMYFUNCTION("""COMPUTED_VALUE"""),"Money Out")</f>
        <v>Money Out</v>
      </c>
      <c r="F462" s="1" t="str">
        <f>IFERROR(__xludf.DUMMYFUNCTION("""COMPUTED_VALUE"""),"Product Restocking")</f>
        <v>Product Restocking</v>
      </c>
      <c r="G462" s="1"/>
      <c r="H462" s="1"/>
    </row>
    <row r="463">
      <c r="A463" s="36">
        <f>IFERROR(__xludf.DUMMYFUNCTION("""COMPUTED_VALUE"""),46081.0)</f>
        <v>46081</v>
      </c>
      <c r="B463" s="1" t="str">
        <f>IFERROR(__xludf.DUMMYFUNCTION("""COMPUTED_VALUE"""),"Snacky")</f>
        <v>Snacky</v>
      </c>
      <c r="C463" s="35">
        <f>IFERROR(__xludf.DUMMYFUNCTION("""COMPUTED_VALUE"""),2308.0)</f>
        <v>2308</v>
      </c>
      <c r="D463" s="1" t="str">
        <f>IFERROR(__xludf.DUMMYFUNCTION("""COMPUTED_VALUE"""),"LYD")</f>
        <v>LYD</v>
      </c>
      <c r="E463" s="1" t="str">
        <f>IFERROR(__xludf.DUMMYFUNCTION("""COMPUTED_VALUE"""),"Money Out")</f>
        <v>Money Out</v>
      </c>
      <c r="F463" s="1" t="str">
        <f>IFERROR(__xludf.DUMMYFUNCTION("""COMPUTED_VALUE"""),"Product Restocking")</f>
        <v>Product Restocking</v>
      </c>
      <c r="G463" s="1"/>
      <c r="H463" s="1"/>
    </row>
    <row r="464">
      <c r="A464" s="36">
        <f>IFERROR(__xludf.DUMMYFUNCTION("""COMPUTED_VALUE"""),46081.0)</f>
        <v>46081</v>
      </c>
      <c r="B464" s="1" t="str">
        <f>IFERROR(__xludf.DUMMYFUNCTION("""COMPUTED_VALUE"""),"Snacky")</f>
        <v>Snacky</v>
      </c>
      <c r="C464" s="35">
        <f>IFERROR(__xludf.DUMMYFUNCTION("""COMPUTED_VALUE"""),549.0)</f>
        <v>549</v>
      </c>
      <c r="D464" s="1" t="str">
        <f>IFERROR(__xludf.DUMMYFUNCTION("""COMPUTED_VALUE"""),"LYD")</f>
        <v>LYD</v>
      </c>
      <c r="E464" s="1" t="str">
        <f>IFERROR(__xludf.DUMMYFUNCTION("""COMPUTED_VALUE"""),"Money In")</f>
        <v>Money In</v>
      </c>
      <c r="F464" s="1" t="str">
        <f>IFERROR(__xludf.DUMMYFUNCTION("""COMPUTED_VALUE"""),"Revenue")</f>
        <v>Revenue</v>
      </c>
      <c r="G464" s="1" t="str">
        <f>IFERROR(__xludf.DUMMYFUNCTION("""COMPUTED_VALUE"""),"SeaCost")</f>
        <v>SeaCost</v>
      </c>
      <c r="H464" s="1"/>
    </row>
    <row r="465">
      <c r="A465" s="36">
        <f>IFERROR(__xludf.DUMMYFUNCTION("""COMPUTED_VALUE"""),46081.0)</f>
        <v>46081</v>
      </c>
      <c r="B465" s="1" t="str">
        <f>IFERROR(__xludf.DUMMYFUNCTION("""COMPUTED_VALUE"""),"Snacky")</f>
        <v>Snacky</v>
      </c>
      <c r="C465" s="35">
        <f>IFERROR(__xludf.DUMMYFUNCTION("""COMPUTED_VALUE"""),2380.0)</f>
        <v>2380</v>
      </c>
      <c r="D465" s="1" t="str">
        <f>IFERROR(__xludf.DUMMYFUNCTION("""COMPUTED_VALUE"""),"LYD")</f>
        <v>LYD</v>
      </c>
      <c r="E465" s="1" t="str">
        <f>IFERROR(__xludf.DUMMYFUNCTION("""COMPUTED_VALUE"""),"Money In")</f>
        <v>Money In</v>
      </c>
      <c r="F465" s="1" t="str">
        <f>IFERROR(__xludf.DUMMYFUNCTION("""COMPUTED_VALUE"""),"Revenue")</f>
        <v>Revenue</v>
      </c>
      <c r="G465" s="1" t="str">
        <f>IFERROR(__xludf.DUMMYFUNCTION("""COMPUTED_VALUE"""),"SeaCost2")</f>
        <v>SeaCost2</v>
      </c>
      <c r="H465" s="1"/>
    </row>
    <row r="466">
      <c r="A466" s="36">
        <f>IFERROR(__xludf.DUMMYFUNCTION("""COMPUTED_VALUE"""),46081.0)</f>
        <v>46081</v>
      </c>
      <c r="B466" s="1" t="str">
        <f>IFERROR(__xludf.DUMMYFUNCTION("""COMPUTED_VALUE"""),"Snacky")</f>
        <v>Snacky</v>
      </c>
      <c r="C466" s="35">
        <f>IFERROR(__xludf.DUMMYFUNCTION("""COMPUTED_VALUE"""),2433.0)</f>
        <v>2433</v>
      </c>
      <c r="D466" s="1" t="str">
        <f>IFERROR(__xludf.DUMMYFUNCTION("""COMPUTED_VALUE"""),"LYD")</f>
        <v>LYD</v>
      </c>
      <c r="E466" s="1" t="str">
        <f>IFERROR(__xludf.DUMMYFUNCTION("""COMPUTED_VALUE"""),"Money In")</f>
        <v>Money In</v>
      </c>
      <c r="F466" s="1" t="str">
        <f>IFERROR(__xludf.DUMMYFUNCTION("""COMPUTED_VALUE"""),"Revenue")</f>
        <v>Revenue</v>
      </c>
      <c r="G466" s="1" t="str">
        <f>IFERROR(__xludf.DUMMYFUNCTION("""COMPUTED_VALUE"""),"AlmouasafatHospital")</f>
        <v>AlmouasafatHospital</v>
      </c>
      <c r="H466" s="1"/>
    </row>
    <row r="467">
      <c r="A467" s="36">
        <f>IFERROR(__xludf.DUMMYFUNCTION("""COMPUTED_VALUE"""),46081.0)</f>
        <v>46081</v>
      </c>
      <c r="B467" s="1" t="str">
        <f>IFERROR(__xludf.DUMMYFUNCTION("""COMPUTED_VALUE"""),"Snacky")</f>
        <v>Snacky</v>
      </c>
      <c r="C467" s="35">
        <f>IFERROR(__xludf.DUMMYFUNCTION("""COMPUTED_VALUE"""),1129.0)</f>
        <v>1129</v>
      </c>
      <c r="D467" s="1" t="str">
        <f>IFERROR(__xludf.DUMMYFUNCTION("""COMPUTED_VALUE"""),"LYD")</f>
        <v>LYD</v>
      </c>
      <c r="E467" s="1" t="str">
        <f>IFERROR(__xludf.DUMMYFUNCTION("""COMPUTED_VALUE"""),"Money In")</f>
        <v>Money In</v>
      </c>
      <c r="F467" s="1" t="str">
        <f>IFERROR(__xludf.DUMMYFUNCTION("""COMPUTED_VALUE"""),"Revenue")</f>
        <v>Revenue</v>
      </c>
      <c r="G467" s="1" t="str">
        <f>IFERROR(__xludf.DUMMYFUNCTION("""COMPUTED_VALUE"""),"Istiklal")</f>
        <v>Istiklal</v>
      </c>
      <c r="H467" s="1"/>
    </row>
    <row r="468">
      <c r="A468" s="36">
        <f>IFERROR(__xludf.DUMMYFUNCTION("""COMPUTED_VALUE"""),46081.0)</f>
        <v>46081</v>
      </c>
      <c r="B468" s="1" t="str">
        <f>IFERROR(__xludf.DUMMYFUNCTION("""COMPUTED_VALUE"""),"Snacky")</f>
        <v>Snacky</v>
      </c>
      <c r="C468" s="35">
        <f>IFERROR(__xludf.DUMMYFUNCTION("""COMPUTED_VALUE"""),505.0)</f>
        <v>505</v>
      </c>
      <c r="D468" s="1" t="str">
        <f>IFERROR(__xludf.DUMMYFUNCTION("""COMPUTED_VALUE"""),"LYD")</f>
        <v>LYD</v>
      </c>
      <c r="E468" s="1" t="str">
        <f>IFERROR(__xludf.DUMMYFUNCTION("""COMPUTED_VALUE"""),"Money In")</f>
        <v>Money In</v>
      </c>
      <c r="F468" s="1" t="str">
        <f>IFERROR(__xludf.DUMMYFUNCTION("""COMPUTED_VALUE"""),"Revenue")</f>
        <v>Revenue</v>
      </c>
      <c r="G468" s="1" t="str">
        <f>IFERROR(__xludf.DUMMYFUNCTION("""COMPUTED_VALUE"""),"deplomacyMall")</f>
        <v>deplomacyMall</v>
      </c>
      <c r="H468" s="1"/>
    </row>
    <row r="469">
      <c r="A469" s="36">
        <f>IFERROR(__xludf.DUMMYFUNCTION("""COMPUTED_VALUE"""),46081.0)</f>
        <v>46081</v>
      </c>
      <c r="B469" s="1" t="str">
        <f>IFERROR(__xludf.DUMMYFUNCTION("""COMPUTED_VALUE"""),"Snacky")</f>
        <v>Snacky</v>
      </c>
      <c r="C469" s="35">
        <f>IFERROR(__xludf.DUMMYFUNCTION("""COMPUTED_VALUE"""),2486.0)</f>
        <v>2486</v>
      </c>
      <c r="D469" s="1" t="str">
        <f>IFERROR(__xludf.DUMMYFUNCTION("""COMPUTED_VALUE"""),"LYD")</f>
        <v>LYD</v>
      </c>
      <c r="E469" s="1" t="str">
        <f>IFERROR(__xludf.DUMMYFUNCTION("""COMPUTED_VALUE"""),"Money In")</f>
        <v>Money In</v>
      </c>
      <c r="F469" s="1" t="str">
        <f>IFERROR(__xludf.DUMMYFUNCTION("""COMPUTED_VALUE"""),"Revenue")</f>
        <v>Revenue</v>
      </c>
      <c r="G469" s="1" t="str">
        <f>IFERROR(__xludf.DUMMYFUNCTION("""COMPUTED_VALUE"""),"HTLand")</f>
        <v>HTLand</v>
      </c>
      <c r="H469" s="1"/>
    </row>
    <row r="470">
      <c r="A470" s="36">
        <f>IFERROR(__xludf.DUMMYFUNCTION("""COMPUTED_VALUE"""),46081.0)</f>
        <v>46081</v>
      </c>
      <c r="B470" s="1" t="str">
        <f>IFERROR(__xludf.DUMMYFUNCTION("""COMPUTED_VALUE"""),"Snacky")</f>
        <v>Snacky</v>
      </c>
      <c r="C470" s="35">
        <f>IFERROR(__xludf.DUMMYFUNCTION("""COMPUTED_VALUE"""),2987.0)</f>
        <v>2987</v>
      </c>
      <c r="D470" s="1" t="str">
        <f>IFERROR(__xludf.DUMMYFUNCTION("""COMPUTED_VALUE"""),"LYD")</f>
        <v>LYD</v>
      </c>
      <c r="E470" s="1" t="str">
        <f>IFERROR(__xludf.DUMMYFUNCTION("""COMPUTED_VALUE"""),"Money In")</f>
        <v>Money In</v>
      </c>
      <c r="F470" s="1" t="str">
        <f>IFERROR(__xludf.DUMMYFUNCTION("""COMPUTED_VALUE"""),"Revenue")</f>
        <v>Revenue</v>
      </c>
      <c r="G470" s="1" t="str">
        <f>IFERROR(__xludf.DUMMYFUNCTION("""COMPUTED_VALUE"""),"HTMall")</f>
        <v>HTMall</v>
      </c>
      <c r="H470" s="1"/>
    </row>
    <row r="471">
      <c r="A471" s="36">
        <f>IFERROR(__xludf.DUMMYFUNCTION("""COMPUTED_VALUE"""),46081.0)</f>
        <v>46081</v>
      </c>
      <c r="B471" s="1" t="str">
        <f>IFERROR(__xludf.DUMMYFUNCTION("""COMPUTED_VALUE"""),"Snacky")</f>
        <v>Snacky</v>
      </c>
      <c r="C471" s="35">
        <f>IFERROR(__xludf.DUMMYFUNCTION("""COMPUTED_VALUE"""),328.75)</f>
        <v>328.75</v>
      </c>
      <c r="D471" s="1" t="str">
        <f>IFERROR(__xludf.DUMMYFUNCTION("""COMPUTED_VALUE"""),"LYD")</f>
        <v>LYD</v>
      </c>
      <c r="E471" s="1" t="str">
        <f>IFERROR(__xludf.DUMMYFUNCTION("""COMPUTED_VALUE"""),"Money Out")</f>
        <v>Money Out</v>
      </c>
      <c r="F471" s="1" t="str">
        <f>IFERROR(__xludf.DUMMYFUNCTION("""COMPUTED_VALUE"""),"Anas")</f>
        <v>Anas</v>
      </c>
      <c r="G471" s="1"/>
      <c r="H471" s="1"/>
    </row>
    <row r="472">
      <c r="A472" s="36">
        <f>IFERROR(__xludf.DUMMYFUNCTION("""COMPUTED_VALUE"""),46082.0)</f>
        <v>46082</v>
      </c>
      <c r="B472" s="1" t="str">
        <f>IFERROR(__xludf.DUMMYFUNCTION("""COMPUTED_VALUE"""),"Snacky")</f>
        <v>Snacky</v>
      </c>
      <c r="C472" s="35">
        <f>IFERROR(__xludf.DUMMYFUNCTION("""COMPUTED_VALUE"""),1600.0)</f>
        <v>1600</v>
      </c>
      <c r="D472" s="1" t="str">
        <f>IFERROR(__xludf.DUMMYFUNCTION("""COMPUTED_VALUE"""),"LYD")</f>
        <v>LYD</v>
      </c>
      <c r="E472" s="1" t="str">
        <f>IFERROR(__xludf.DUMMYFUNCTION("""COMPUTED_VALUE"""),"Money Out")</f>
        <v>Money Out</v>
      </c>
      <c r="F472" s="1" t="str">
        <f>IFERROR(__xludf.DUMMYFUNCTION("""COMPUTED_VALUE"""),"Ahmed")</f>
        <v>Ahmed</v>
      </c>
      <c r="G472" s="1"/>
      <c r="H472" s="1"/>
    </row>
    <row r="473">
      <c r="A473" s="36">
        <f>IFERROR(__xludf.DUMMYFUNCTION("""COMPUTED_VALUE"""),46084.0)</f>
        <v>46084</v>
      </c>
      <c r="B473" s="1" t="str">
        <f>IFERROR(__xludf.DUMMYFUNCTION("""COMPUTED_VALUE"""),"Snacky")</f>
        <v>Snacky</v>
      </c>
      <c r="C473" s="35">
        <f>IFERROR(__xludf.DUMMYFUNCTION("""COMPUTED_VALUE"""),1058.0)</f>
        <v>1058</v>
      </c>
      <c r="D473" s="1" t="str">
        <f>IFERROR(__xludf.DUMMYFUNCTION("""COMPUTED_VALUE"""),"LYD")</f>
        <v>LYD</v>
      </c>
      <c r="E473" s="1" t="str">
        <f>IFERROR(__xludf.DUMMYFUNCTION("""COMPUTED_VALUE"""),"Money Out")</f>
        <v>Money Out</v>
      </c>
      <c r="F473" s="1" t="str">
        <f>IFERROR(__xludf.DUMMYFUNCTION("""COMPUTED_VALUE"""),"Product Restocking")</f>
        <v>Product Restocking</v>
      </c>
      <c r="G473" s="1"/>
      <c r="H473" s="1"/>
    </row>
    <row r="474">
      <c r="A474" s="36">
        <f>IFERROR(__xludf.DUMMYFUNCTION("""COMPUTED_VALUE"""),46088.0)</f>
        <v>46088</v>
      </c>
      <c r="B474" s="1" t="str">
        <f>IFERROR(__xludf.DUMMYFUNCTION("""COMPUTED_VALUE"""),"Snacky")</f>
        <v>Snacky</v>
      </c>
      <c r="C474" s="35">
        <f>IFERROR(__xludf.DUMMYFUNCTION("""COMPUTED_VALUE"""),2006.0)</f>
        <v>2006</v>
      </c>
      <c r="D474" s="1" t="str">
        <f>IFERROR(__xludf.DUMMYFUNCTION("""COMPUTED_VALUE"""),"LYD")</f>
        <v>LYD</v>
      </c>
      <c r="E474" s="1" t="str">
        <f>IFERROR(__xludf.DUMMYFUNCTION("""COMPUTED_VALUE"""),"Money Out")</f>
        <v>Money Out</v>
      </c>
      <c r="F474" s="1" t="str">
        <f>IFERROR(__xludf.DUMMYFUNCTION("""COMPUTED_VALUE"""),"Product Restocking")</f>
        <v>Product Restocking</v>
      </c>
      <c r="G474" s="1"/>
      <c r="H474" s="1"/>
    </row>
    <row r="475">
      <c r="A475" s="36">
        <f>IFERROR(__xludf.DUMMYFUNCTION("""COMPUTED_VALUE"""),46091.0)</f>
        <v>46091</v>
      </c>
      <c r="B475" s="1" t="str">
        <f>IFERROR(__xludf.DUMMYFUNCTION("""COMPUTED_VALUE"""),"Snacky")</f>
        <v>Snacky</v>
      </c>
      <c r="C475" s="35">
        <f>IFERROR(__xludf.DUMMYFUNCTION("""COMPUTED_VALUE"""),2844.0)</f>
        <v>2844</v>
      </c>
      <c r="D475" s="1" t="str">
        <f>IFERROR(__xludf.DUMMYFUNCTION("""COMPUTED_VALUE"""),"LYD")</f>
        <v>LYD</v>
      </c>
      <c r="E475" s="1" t="str">
        <f>IFERROR(__xludf.DUMMYFUNCTION("""COMPUTED_VALUE"""),"Money Out")</f>
        <v>Money Out</v>
      </c>
      <c r="F475" s="1" t="str">
        <f>IFERROR(__xludf.DUMMYFUNCTION("""COMPUTED_VALUE"""),"Product Restocking")</f>
        <v>Product Restocking</v>
      </c>
      <c r="G475" s="1"/>
      <c r="H475" s="1"/>
    </row>
    <row r="476">
      <c r="A476" s="36">
        <f>IFERROR(__xludf.DUMMYFUNCTION("""COMPUTED_VALUE"""),46094.0)</f>
        <v>46094</v>
      </c>
      <c r="B476" s="1" t="str">
        <f>IFERROR(__xludf.DUMMYFUNCTION("""COMPUTED_VALUE"""),"Snacky")</f>
        <v>Snacky</v>
      </c>
      <c r="C476" s="35">
        <f>IFERROR(__xludf.DUMMYFUNCTION("""COMPUTED_VALUE"""),561.0)</f>
        <v>561</v>
      </c>
      <c r="D476" s="1" t="str">
        <f>IFERROR(__xludf.DUMMYFUNCTION("""COMPUTED_VALUE"""),"LYD")</f>
        <v>LYD</v>
      </c>
      <c r="E476" s="1" t="str">
        <f>IFERROR(__xludf.DUMMYFUNCTION("""COMPUTED_VALUE"""),"Money Out")</f>
        <v>Money Out</v>
      </c>
      <c r="F476" s="1" t="str">
        <f>IFERROR(__xludf.DUMMYFUNCTION("""COMPUTED_VALUE"""),"Anas")</f>
        <v>Anas</v>
      </c>
      <c r="G476" s="1"/>
      <c r="H476" s="1"/>
    </row>
    <row r="477">
      <c r="A477" s="36">
        <f>IFERROR(__xludf.DUMMYFUNCTION("""COMPUTED_VALUE"""),46096.0)</f>
        <v>46096</v>
      </c>
      <c r="B477" s="1" t="str">
        <f>IFERROR(__xludf.DUMMYFUNCTION("""COMPUTED_VALUE"""),"Snacky")</f>
        <v>Snacky</v>
      </c>
      <c r="C477" s="35">
        <f>IFERROR(__xludf.DUMMYFUNCTION("""COMPUTED_VALUE"""),3184.0)</f>
        <v>3184</v>
      </c>
      <c r="D477" s="1" t="str">
        <f>IFERROR(__xludf.DUMMYFUNCTION("""COMPUTED_VALUE"""),"LYD")</f>
        <v>LYD</v>
      </c>
      <c r="E477" s="1" t="str">
        <f>IFERROR(__xludf.DUMMYFUNCTION("""COMPUTED_VALUE"""),"Money Out")</f>
        <v>Money Out</v>
      </c>
      <c r="F477" s="1" t="str">
        <f>IFERROR(__xludf.DUMMYFUNCTION("""COMPUTED_VALUE"""),"Product Restocking")</f>
        <v>Product Restocking</v>
      </c>
      <c r="G477" s="1"/>
      <c r="H477" s="1"/>
    </row>
    <row r="478">
      <c r="A478" s="36">
        <f>IFERROR(__xludf.DUMMYFUNCTION("""COMPUTED_VALUE"""),46098.0)</f>
        <v>46098</v>
      </c>
      <c r="B478" s="1" t="str">
        <f>IFERROR(__xludf.DUMMYFUNCTION("""COMPUTED_VALUE"""),"Snacky")</f>
        <v>Snacky</v>
      </c>
      <c r="C478" s="35">
        <f>IFERROR(__xludf.DUMMYFUNCTION("""COMPUTED_VALUE"""),3093.0)</f>
        <v>3093</v>
      </c>
      <c r="D478" s="1" t="str">
        <f>IFERROR(__xludf.DUMMYFUNCTION("""COMPUTED_VALUE"""),"LYD")</f>
        <v>LYD</v>
      </c>
      <c r="E478" s="1" t="str">
        <f>IFERROR(__xludf.DUMMYFUNCTION("""COMPUTED_VALUE"""),"Money In")</f>
        <v>Money In</v>
      </c>
      <c r="F478" s="1" t="str">
        <f>IFERROR(__xludf.DUMMYFUNCTION("""COMPUTED_VALUE"""),"Revenue")</f>
        <v>Revenue</v>
      </c>
      <c r="G478" s="1" t="str">
        <f>IFERROR(__xludf.DUMMYFUNCTION("""COMPUTED_VALUE"""),"deplomacyMall")</f>
        <v>deplomacyMall</v>
      </c>
      <c r="H478" s="1"/>
    </row>
    <row r="479">
      <c r="A479" s="36">
        <f>IFERROR(__xludf.DUMMYFUNCTION("""COMPUTED_VALUE"""),46098.0)</f>
        <v>46098</v>
      </c>
      <c r="B479" s="1" t="str">
        <f>IFERROR(__xludf.DUMMYFUNCTION("""COMPUTED_VALUE"""),"Snacky")</f>
        <v>Snacky</v>
      </c>
      <c r="C479" s="35">
        <f>IFERROR(__xludf.DUMMYFUNCTION("""COMPUTED_VALUE"""),841.0)</f>
        <v>841</v>
      </c>
      <c r="D479" s="1" t="str">
        <f>IFERROR(__xludf.DUMMYFUNCTION("""COMPUTED_VALUE"""),"LYD")</f>
        <v>LYD</v>
      </c>
      <c r="E479" s="1" t="str">
        <f>IFERROR(__xludf.DUMMYFUNCTION("""COMPUTED_VALUE"""),"Money In")</f>
        <v>Money In</v>
      </c>
      <c r="F479" s="1" t="str">
        <f>IFERROR(__xludf.DUMMYFUNCTION("""COMPUTED_VALUE"""),"Revenue")</f>
        <v>Revenue</v>
      </c>
      <c r="G479" s="1" t="str">
        <f>IFERROR(__xludf.DUMMYFUNCTION("""COMPUTED_VALUE"""),"SeaCost2")</f>
        <v>SeaCost2</v>
      </c>
      <c r="H479" s="1"/>
    </row>
    <row r="480">
      <c r="A480" s="36">
        <f>IFERROR(__xludf.DUMMYFUNCTION("""COMPUTED_VALUE"""),46100.0)</f>
        <v>46100</v>
      </c>
      <c r="B480" s="1" t="str">
        <f>IFERROR(__xludf.DUMMYFUNCTION("""COMPUTED_VALUE"""),"Snacky")</f>
        <v>Snacky</v>
      </c>
      <c r="C480" s="35">
        <f>IFERROR(__xludf.DUMMYFUNCTION("""COMPUTED_VALUE"""),2076.0)</f>
        <v>2076</v>
      </c>
      <c r="D480" s="1" t="str">
        <f>IFERROR(__xludf.DUMMYFUNCTION("""COMPUTED_VALUE"""),"LYD")</f>
        <v>LYD</v>
      </c>
      <c r="E480" s="1" t="str">
        <f>IFERROR(__xludf.DUMMYFUNCTION("""COMPUTED_VALUE"""),"Money Out")</f>
        <v>Money Out</v>
      </c>
      <c r="F480" s="1" t="str">
        <f>IFERROR(__xludf.DUMMYFUNCTION("""COMPUTED_VALUE"""),"Product Restocking")</f>
        <v>Product Restocking</v>
      </c>
      <c r="G480" s="1"/>
      <c r="H480" s="1"/>
    </row>
    <row r="481">
      <c r="A481" s="36">
        <f>IFERROR(__xludf.DUMMYFUNCTION("""COMPUTED_VALUE"""),46103.0)</f>
        <v>46103</v>
      </c>
      <c r="B481" s="1" t="str">
        <f>IFERROR(__xludf.DUMMYFUNCTION("""COMPUTED_VALUE"""),"Snacky")</f>
        <v>Snacky</v>
      </c>
      <c r="C481" s="35">
        <f>IFERROR(__xludf.DUMMYFUNCTION("""COMPUTED_VALUE"""),1215.0)</f>
        <v>1215</v>
      </c>
      <c r="D481" s="1" t="str">
        <f>IFERROR(__xludf.DUMMYFUNCTION("""COMPUTED_VALUE"""),"LYD")</f>
        <v>LYD</v>
      </c>
      <c r="E481" s="1" t="str">
        <f>IFERROR(__xludf.DUMMYFUNCTION("""COMPUTED_VALUE"""),"Money Out")</f>
        <v>Money Out</v>
      </c>
      <c r="F481" s="1" t="str">
        <f>IFERROR(__xludf.DUMMYFUNCTION("""COMPUTED_VALUE"""),"Product Restocking")</f>
        <v>Product Restocking</v>
      </c>
      <c r="G481" s="1"/>
      <c r="H481" s="1"/>
    </row>
    <row r="482">
      <c r="A482" s="36">
        <f>IFERROR(__xludf.DUMMYFUNCTION("""COMPUTED_VALUE"""),46104.0)</f>
        <v>46104</v>
      </c>
      <c r="B482" s="1" t="str">
        <f>IFERROR(__xludf.DUMMYFUNCTION("""COMPUTED_VALUE"""),"Snacky")</f>
        <v>Snacky</v>
      </c>
      <c r="C482" s="35">
        <f>IFERROR(__xludf.DUMMYFUNCTION("""COMPUTED_VALUE"""),1084.0)</f>
        <v>1084</v>
      </c>
      <c r="D482" s="1" t="str">
        <f>IFERROR(__xludf.DUMMYFUNCTION("""COMPUTED_VALUE"""),"LYD")</f>
        <v>LYD</v>
      </c>
      <c r="E482" s="1" t="str">
        <f>IFERROR(__xludf.DUMMYFUNCTION("""COMPUTED_VALUE"""),"Money Out")</f>
        <v>Money Out</v>
      </c>
      <c r="F482" s="1" t="str">
        <f>IFERROR(__xludf.DUMMYFUNCTION("""COMPUTED_VALUE"""),"Product Restocking")</f>
        <v>Product Restocking</v>
      </c>
      <c r="G482" s="1"/>
      <c r="H482" s="1"/>
    </row>
    <row r="483">
      <c r="A483" s="36">
        <f>IFERROR(__xludf.DUMMYFUNCTION("""COMPUTED_VALUE"""),46105.0)</f>
        <v>46105</v>
      </c>
      <c r="B483" s="1" t="str">
        <f>IFERROR(__xludf.DUMMYFUNCTION("""COMPUTED_VALUE"""),"Snacky")</f>
        <v>Snacky</v>
      </c>
      <c r="C483" s="35">
        <f>IFERROR(__xludf.DUMMYFUNCTION("""COMPUTED_VALUE"""),5020.0)</f>
        <v>5020</v>
      </c>
      <c r="D483" s="1" t="str">
        <f>IFERROR(__xludf.DUMMYFUNCTION("""COMPUTED_VALUE"""),"LYD")</f>
        <v>LYD</v>
      </c>
      <c r="E483" s="1" t="str">
        <f>IFERROR(__xludf.DUMMYFUNCTION("""COMPUTED_VALUE"""),"Money Out")</f>
        <v>Money Out</v>
      </c>
      <c r="F483" s="1" t="str">
        <f>IFERROR(__xludf.DUMMYFUNCTION("""COMPUTED_VALUE"""),"Product Restocking")</f>
        <v>Product Restocking</v>
      </c>
      <c r="G483" s="1"/>
      <c r="H483" s="1"/>
    </row>
    <row r="484">
      <c r="A484" s="36">
        <f>IFERROR(__xludf.DUMMYFUNCTION("""COMPUTED_VALUE"""),46106.0)</f>
        <v>46106</v>
      </c>
      <c r="B484" s="1" t="str">
        <f>IFERROR(__xludf.DUMMYFUNCTION("""COMPUTED_VALUE"""),"Snacky")</f>
        <v>Snacky</v>
      </c>
      <c r="C484" s="35">
        <f>IFERROR(__xludf.DUMMYFUNCTION("""COMPUTED_VALUE"""),789.0)</f>
        <v>789</v>
      </c>
      <c r="D484" s="1" t="str">
        <f>IFERROR(__xludf.DUMMYFUNCTION("""COMPUTED_VALUE"""),"LYD")</f>
        <v>LYD</v>
      </c>
      <c r="E484" s="1" t="str">
        <f>IFERROR(__xludf.DUMMYFUNCTION("""COMPUTED_VALUE"""),"Money Out")</f>
        <v>Money Out</v>
      </c>
      <c r="F484" s="1" t="str">
        <f>IFERROR(__xludf.DUMMYFUNCTION("""COMPUTED_VALUE"""),"Product Restocking")</f>
        <v>Product Restocking</v>
      </c>
      <c r="G484" s="1"/>
      <c r="H484" s="1"/>
    </row>
    <row r="485">
      <c r="A485" s="36">
        <f>IFERROR(__xludf.DUMMYFUNCTION("""COMPUTED_VALUE"""),46107.0)</f>
        <v>46107</v>
      </c>
      <c r="B485" s="1" t="str">
        <f>IFERROR(__xludf.DUMMYFUNCTION("""COMPUTED_VALUE"""),"Snacky")</f>
        <v>Snacky</v>
      </c>
      <c r="C485" s="35">
        <f>IFERROR(__xludf.DUMMYFUNCTION("""COMPUTED_VALUE"""),613.0)</f>
        <v>613</v>
      </c>
      <c r="D485" s="1" t="str">
        <f>IFERROR(__xludf.DUMMYFUNCTION("""COMPUTED_VALUE"""),"LYD")</f>
        <v>LYD</v>
      </c>
      <c r="E485" s="1" t="str">
        <f>IFERROR(__xludf.DUMMYFUNCTION("""COMPUTED_VALUE"""),"Money Out")</f>
        <v>Money Out</v>
      </c>
      <c r="F485" s="1" t="str">
        <f>IFERROR(__xludf.DUMMYFUNCTION("""COMPUTED_VALUE"""),"Product Restocking")</f>
        <v>Product Restocking</v>
      </c>
      <c r="G485" s="1"/>
      <c r="H485" s="1"/>
    </row>
    <row r="486">
      <c r="A486" s="36">
        <f>IFERROR(__xludf.DUMMYFUNCTION("""COMPUTED_VALUE"""),46108.0)</f>
        <v>46108</v>
      </c>
      <c r="B486" s="1" t="str">
        <f>IFERROR(__xludf.DUMMYFUNCTION("""COMPUTED_VALUE"""),"Snacky")</f>
        <v>Snacky</v>
      </c>
      <c r="C486" s="35">
        <f>IFERROR(__xludf.DUMMYFUNCTION("""COMPUTED_VALUE"""),338.0)</f>
        <v>338</v>
      </c>
      <c r="D486" s="1" t="str">
        <f>IFERROR(__xludf.DUMMYFUNCTION("""COMPUTED_VALUE"""),"LYD")</f>
        <v>LYD</v>
      </c>
      <c r="E486" s="1" t="str">
        <f>IFERROR(__xludf.DUMMYFUNCTION("""COMPUTED_VALUE"""),"Money Out")</f>
        <v>Money Out</v>
      </c>
      <c r="F486" s="1" t="str">
        <f>IFERROR(__xludf.DUMMYFUNCTION("""COMPUTED_VALUE"""),"Anas")</f>
        <v>Anas</v>
      </c>
      <c r="G486" s="1"/>
      <c r="H486" s="1"/>
    </row>
    <row r="487">
      <c r="A487" s="36">
        <f>IFERROR(__xludf.DUMMYFUNCTION("""COMPUTED_VALUE"""),46107.0)</f>
        <v>46107</v>
      </c>
      <c r="B487" s="1" t="str">
        <f>IFERROR(__xludf.DUMMYFUNCTION("""COMPUTED_VALUE"""),"Snacky")</f>
        <v>Snacky</v>
      </c>
      <c r="C487" s="35">
        <f>IFERROR(__xludf.DUMMYFUNCTION("""COMPUTED_VALUE"""),840.0)</f>
        <v>840</v>
      </c>
      <c r="D487" s="1" t="str">
        <f>IFERROR(__xludf.DUMMYFUNCTION("""COMPUTED_VALUE"""),"LYD")</f>
        <v>LYD</v>
      </c>
      <c r="E487" s="1" t="str">
        <f>IFERROR(__xludf.DUMMYFUNCTION("""COMPUTED_VALUE"""),"Money Out")</f>
        <v>Money Out</v>
      </c>
      <c r="F487" s="1" t="str">
        <f>IFERROR(__xludf.DUMMYFUNCTION("""COMPUTED_VALUE"""),"charity")</f>
        <v>charity</v>
      </c>
      <c r="G487" s="1"/>
      <c r="H487" s="1"/>
    </row>
    <row r="488">
      <c r="A488" s="36">
        <f>IFERROR(__xludf.DUMMYFUNCTION("""COMPUTED_VALUE"""),46108.0)</f>
        <v>46108</v>
      </c>
      <c r="B488" s="1" t="str">
        <f>IFERROR(__xludf.DUMMYFUNCTION("""COMPUTED_VALUE"""),"Snacky")</f>
        <v>Snacky</v>
      </c>
      <c r="C488" s="35">
        <f>IFERROR(__xludf.DUMMYFUNCTION("""COMPUTED_VALUE"""),100.0)</f>
        <v>100</v>
      </c>
      <c r="D488" s="1" t="str">
        <f>IFERROR(__xludf.DUMMYFUNCTION("""COMPUTED_VALUE"""),"LYD")</f>
        <v>LYD</v>
      </c>
      <c r="E488" s="1" t="str">
        <f>IFERROR(__xludf.DUMMYFUNCTION("""COMPUTED_VALUE"""),"Money Out")</f>
        <v>Money Out</v>
      </c>
      <c r="F488" s="1"/>
      <c r="G488" s="1"/>
      <c r="H488" s="1"/>
    </row>
    <row r="489">
      <c r="A489" s="36">
        <f>IFERROR(__xludf.DUMMYFUNCTION("""COMPUTED_VALUE"""),46109.0)</f>
        <v>46109</v>
      </c>
      <c r="B489" s="1" t="str">
        <f>IFERROR(__xludf.DUMMYFUNCTION("""COMPUTED_VALUE"""),"Snacky")</f>
        <v>Snacky</v>
      </c>
      <c r="C489" s="35">
        <f>IFERROR(__xludf.DUMMYFUNCTION("""COMPUTED_VALUE"""),950.0)</f>
        <v>950</v>
      </c>
      <c r="D489" s="1" t="str">
        <f>IFERROR(__xludf.DUMMYFUNCTION("""COMPUTED_VALUE"""),"LYD")</f>
        <v>LYD</v>
      </c>
      <c r="E489" s="1" t="str">
        <f>IFERROR(__xludf.DUMMYFUNCTION("""COMPUTED_VALUE"""),"Money Out")</f>
        <v>Money Out</v>
      </c>
      <c r="F489" s="1" t="str">
        <f>IFERROR(__xludf.DUMMYFUNCTION("""COMPUTED_VALUE"""),"Rent")</f>
        <v>Rent</v>
      </c>
      <c r="G489" s="1" t="str">
        <f>IFERROR(__xludf.DUMMYFUNCTION("""COMPUTED_VALUE"""),"HTMall")</f>
        <v>HTMall</v>
      </c>
      <c r="H489" s="1" t="str">
        <f>IFERROR(__xludf.DUMMYFUNCTION("""COMPUTED_VALUE"""),"ايجار")</f>
        <v>ايجار</v>
      </c>
    </row>
    <row r="490">
      <c r="A490" s="36">
        <f>IFERROR(__xludf.DUMMYFUNCTION("""COMPUTED_VALUE"""),46104.0)</f>
        <v>46104</v>
      </c>
      <c r="B490" s="1" t="str">
        <f>IFERROR(__xludf.DUMMYFUNCTION("""COMPUTED_VALUE"""),"Snacky")</f>
        <v>Snacky</v>
      </c>
      <c r="C490" s="35">
        <f>IFERROR(__xludf.DUMMYFUNCTION("""COMPUTED_VALUE"""),2756.0)</f>
        <v>2756</v>
      </c>
      <c r="D490" s="1" t="str">
        <f>IFERROR(__xludf.DUMMYFUNCTION("""COMPUTED_VALUE"""),"LYD")</f>
        <v>LYD</v>
      </c>
      <c r="E490" s="1" t="str">
        <f>IFERROR(__xludf.DUMMYFUNCTION("""COMPUTED_VALUE"""),"Money In")</f>
        <v>Money In</v>
      </c>
      <c r="F490" s="1" t="str">
        <f>IFERROR(__xludf.DUMMYFUNCTION("""COMPUTED_VALUE"""),"Revenue")</f>
        <v>Revenue</v>
      </c>
      <c r="G490" s="1" t="str">
        <f>IFERROR(__xludf.DUMMYFUNCTION("""COMPUTED_VALUE"""),"deplomacyMall")</f>
        <v>deplomacyMall</v>
      </c>
      <c r="H490" s="1"/>
    </row>
    <row r="491">
      <c r="A491" s="36">
        <f>IFERROR(__xludf.DUMMYFUNCTION("""COMPUTED_VALUE"""),46104.0)</f>
        <v>46104</v>
      </c>
      <c r="B491" s="1" t="str">
        <f>IFERROR(__xludf.DUMMYFUNCTION("""COMPUTED_VALUE"""),"Snacky")</f>
        <v>Snacky</v>
      </c>
      <c r="C491" s="35">
        <f>IFERROR(__xludf.DUMMYFUNCTION("""COMPUTED_VALUE"""),9865.0)</f>
        <v>9865</v>
      </c>
      <c r="D491" s="1" t="str">
        <f>IFERROR(__xludf.DUMMYFUNCTION("""COMPUTED_VALUE"""),"LYD")</f>
        <v>LYD</v>
      </c>
      <c r="E491" s="1" t="str">
        <f>IFERROR(__xludf.DUMMYFUNCTION("""COMPUTED_VALUE"""),"Money In")</f>
        <v>Money In</v>
      </c>
      <c r="F491" s="1" t="str">
        <f>IFERROR(__xludf.DUMMYFUNCTION("""COMPUTED_VALUE"""),"Revenue")</f>
        <v>Revenue</v>
      </c>
      <c r="G491" s="1" t="str">
        <f>IFERROR(__xludf.DUMMYFUNCTION("""COMPUTED_VALUE"""),"HTMall")</f>
        <v>HTMall</v>
      </c>
      <c r="H491" s="1"/>
    </row>
    <row r="492">
      <c r="A492" s="36">
        <f>IFERROR(__xludf.DUMMYFUNCTION("""COMPUTED_VALUE"""),46104.0)</f>
        <v>46104</v>
      </c>
      <c r="B492" s="1" t="str">
        <f>IFERROR(__xludf.DUMMYFUNCTION("""COMPUTED_VALUE"""),"Snacky")</f>
        <v>Snacky</v>
      </c>
      <c r="C492" s="35">
        <f>IFERROR(__xludf.DUMMYFUNCTION("""COMPUTED_VALUE"""),3805.0)</f>
        <v>3805</v>
      </c>
      <c r="D492" s="1" t="str">
        <f>IFERROR(__xludf.DUMMYFUNCTION("""COMPUTED_VALUE"""),"LYD")</f>
        <v>LYD</v>
      </c>
      <c r="E492" s="1" t="str">
        <f>IFERROR(__xludf.DUMMYFUNCTION("""COMPUTED_VALUE"""),"Money In")</f>
        <v>Money In</v>
      </c>
      <c r="F492" s="1" t="str">
        <f>IFERROR(__xludf.DUMMYFUNCTION("""COMPUTED_VALUE"""),"Revenue")</f>
        <v>Revenue</v>
      </c>
      <c r="G492" s="1" t="str">
        <f>IFERROR(__xludf.DUMMYFUNCTION("""COMPUTED_VALUE"""),"HTLand")</f>
        <v>HTLand</v>
      </c>
      <c r="H492" s="1"/>
    </row>
    <row r="493">
      <c r="A493" s="36">
        <f>IFERROR(__xludf.DUMMYFUNCTION("""COMPUTED_VALUE"""),46104.0)</f>
        <v>46104</v>
      </c>
      <c r="B493" s="1" t="str">
        <f>IFERROR(__xludf.DUMMYFUNCTION("""COMPUTED_VALUE"""),"Snacky")</f>
        <v>Snacky</v>
      </c>
      <c r="C493" s="35">
        <f>IFERROR(__xludf.DUMMYFUNCTION("""COMPUTED_VALUE"""),3161.0)</f>
        <v>3161</v>
      </c>
      <c r="D493" s="1" t="str">
        <f>IFERROR(__xludf.DUMMYFUNCTION("""COMPUTED_VALUE"""),"LYD")</f>
        <v>LYD</v>
      </c>
      <c r="E493" s="1" t="str">
        <f>IFERROR(__xludf.DUMMYFUNCTION("""COMPUTED_VALUE"""),"Money In")</f>
        <v>Money In</v>
      </c>
      <c r="F493" s="1" t="str">
        <f>IFERROR(__xludf.DUMMYFUNCTION("""COMPUTED_VALUE"""),"Revenue")</f>
        <v>Revenue</v>
      </c>
      <c r="G493" s="1" t="str">
        <f>IFERROR(__xludf.DUMMYFUNCTION("""COMPUTED_VALUE"""),"AlmouasafatHospital")</f>
        <v>AlmouasafatHospital</v>
      </c>
      <c r="H493" s="1"/>
    </row>
    <row r="494">
      <c r="A494" s="36">
        <f>IFERROR(__xludf.DUMMYFUNCTION("""COMPUTED_VALUE"""),46105.0)</f>
        <v>46105</v>
      </c>
      <c r="B494" s="1" t="str">
        <f>IFERROR(__xludf.DUMMYFUNCTION("""COMPUTED_VALUE"""),"Snacky")</f>
        <v>Snacky</v>
      </c>
      <c r="C494" s="35">
        <f>IFERROR(__xludf.DUMMYFUNCTION("""COMPUTED_VALUE"""),1395.0)</f>
        <v>1395</v>
      </c>
      <c r="D494" s="1" t="str">
        <f>IFERROR(__xludf.DUMMYFUNCTION("""COMPUTED_VALUE"""),"LYD")</f>
        <v>LYD</v>
      </c>
      <c r="E494" s="1" t="str">
        <f>IFERROR(__xludf.DUMMYFUNCTION("""COMPUTED_VALUE"""),"Money In")</f>
        <v>Money In</v>
      </c>
      <c r="F494" s="1" t="str">
        <f>IFERROR(__xludf.DUMMYFUNCTION("""COMPUTED_VALUE"""),"Revenue")</f>
        <v>Revenue</v>
      </c>
      <c r="G494" s="1" t="str">
        <f>IFERROR(__xludf.DUMMYFUNCTION("""COMPUTED_VALUE"""),"HTMall")</f>
        <v>HTMall</v>
      </c>
      <c r="H494" s="1"/>
    </row>
    <row r="495">
      <c r="A495" s="36">
        <f>IFERROR(__xludf.DUMMYFUNCTION("""COMPUTED_VALUE"""),46109.0)</f>
        <v>46109</v>
      </c>
      <c r="B495" s="1" t="str">
        <f>IFERROR(__xludf.DUMMYFUNCTION("""COMPUTED_VALUE"""),"Snacky")</f>
        <v>Snacky</v>
      </c>
      <c r="C495" s="35">
        <f>IFERROR(__xludf.DUMMYFUNCTION("""COMPUTED_VALUE"""),2820.0)</f>
        <v>2820</v>
      </c>
      <c r="D495" s="1" t="str">
        <f>IFERROR(__xludf.DUMMYFUNCTION("""COMPUTED_VALUE"""),"LYD")</f>
        <v>LYD</v>
      </c>
      <c r="E495" s="1" t="str">
        <f>IFERROR(__xludf.DUMMYFUNCTION("""COMPUTED_VALUE"""),"Money Out")</f>
        <v>Money Out</v>
      </c>
      <c r="F495" s="1" t="str">
        <f>IFERROR(__xludf.DUMMYFUNCTION("""COMPUTED_VALUE"""),"Product Restocking")</f>
        <v>Product Restocking</v>
      </c>
      <c r="G495" s="1"/>
      <c r="H495" s="1"/>
    </row>
    <row r="496">
      <c r="A496" s="36">
        <f>IFERROR(__xludf.DUMMYFUNCTION("""COMPUTED_VALUE"""),46112.0)</f>
        <v>46112</v>
      </c>
      <c r="B496" s="1" t="str">
        <f>IFERROR(__xludf.DUMMYFUNCTION("""COMPUTED_VALUE"""),"Snacky")</f>
        <v>Snacky</v>
      </c>
      <c r="C496" s="35">
        <f>IFERROR(__xludf.DUMMYFUNCTION("""COMPUTED_VALUE"""),2604.0)</f>
        <v>2604</v>
      </c>
      <c r="D496" s="1" t="str">
        <f>IFERROR(__xludf.DUMMYFUNCTION("""COMPUTED_VALUE"""),"LYD")</f>
        <v>LYD</v>
      </c>
      <c r="E496" s="1" t="str">
        <f>IFERROR(__xludf.DUMMYFUNCTION("""COMPUTED_VALUE"""),"Money In")</f>
        <v>Money In</v>
      </c>
      <c r="F496" s="1" t="str">
        <f>IFERROR(__xludf.DUMMYFUNCTION("""COMPUTED_VALUE"""),"Revenue")</f>
        <v>Revenue</v>
      </c>
      <c r="G496" s="1" t="str">
        <f>IFERROR(__xludf.DUMMYFUNCTION("""COMPUTED_VALUE"""),"deplomacyMall")</f>
        <v>deplomacyMall</v>
      </c>
      <c r="H496" s="1"/>
    </row>
    <row r="497">
      <c r="A497" s="36">
        <f>IFERROR(__xludf.DUMMYFUNCTION("""COMPUTED_VALUE"""),46112.0)</f>
        <v>46112</v>
      </c>
      <c r="B497" s="1" t="str">
        <f>IFERROR(__xludf.DUMMYFUNCTION("""COMPUTED_VALUE"""),"Snacky")</f>
        <v>Snacky</v>
      </c>
      <c r="C497" s="35">
        <f>IFERROR(__xludf.DUMMYFUNCTION("""COMPUTED_VALUE"""),1553.0)</f>
        <v>1553</v>
      </c>
      <c r="D497" s="1" t="str">
        <f>IFERROR(__xludf.DUMMYFUNCTION("""COMPUTED_VALUE"""),"LYD")</f>
        <v>LYD</v>
      </c>
      <c r="E497" s="1" t="str">
        <f>IFERROR(__xludf.DUMMYFUNCTION("""COMPUTED_VALUE"""),"Money In")</f>
        <v>Money In</v>
      </c>
      <c r="F497" s="1" t="str">
        <f>IFERROR(__xludf.DUMMYFUNCTION("""COMPUTED_VALUE"""),"Revenue")</f>
        <v>Revenue</v>
      </c>
      <c r="G497" s="1" t="str">
        <f>IFERROR(__xludf.DUMMYFUNCTION("""COMPUTED_VALUE"""),"AlmouasafatHospital")</f>
        <v>AlmouasafatHospital</v>
      </c>
      <c r="H497" s="1"/>
    </row>
    <row r="498">
      <c r="A498" s="36">
        <f>IFERROR(__xludf.DUMMYFUNCTION("""COMPUTED_VALUE"""),46112.0)</f>
        <v>46112</v>
      </c>
      <c r="B498" s="1" t="str">
        <f>IFERROR(__xludf.DUMMYFUNCTION("""COMPUTED_VALUE"""),"Snacky")</f>
        <v>Snacky</v>
      </c>
      <c r="C498" s="35">
        <f>IFERROR(__xludf.DUMMYFUNCTION("""COMPUTED_VALUE"""),3086.0)</f>
        <v>3086</v>
      </c>
      <c r="D498" s="1" t="str">
        <f>IFERROR(__xludf.DUMMYFUNCTION("""COMPUTED_VALUE"""),"LYD")</f>
        <v>LYD</v>
      </c>
      <c r="E498" s="1" t="str">
        <f>IFERROR(__xludf.DUMMYFUNCTION("""COMPUTED_VALUE"""),"Money In")</f>
        <v>Money In</v>
      </c>
      <c r="F498" s="1" t="str">
        <f>IFERROR(__xludf.DUMMYFUNCTION("""COMPUTED_VALUE"""),"Revenue")</f>
        <v>Revenue</v>
      </c>
      <c r="G498" s="1" t="str">
        <f>IFERROR(__xludf.DUMMYFUNCTION("""COMPUTED_VALUE"""),"HTMall")</f>
        <v>HTMall</v>
      </c>
      <c r="H498" s="1"/>
    </row>
    <row r="499">
      <c r="A499" s="36">
        <f>IFERROR(__xludf.DUMMYFUNCTION("""COMPUTED_VALUE"""),46112.0)</f>
        <v>46112</v>
      </c>
      <c r="B499" s="1" t="str">
        <f>IFERROR(__xludf.DUMMYFUNCTION("""COMPUTED_VALUE"""),"Snacky")</f>
        <v>Snacky</v>
      </c>
      <c r="C499" s="35">
        <f>IFERROR(__xludf.DUMMYFUNCTION("""COMPUTED_VALUE"""),1081.0)</f>
        <v>1081</v>
      </c>
      <c r="D499" s="1" t="str">
        <f>IFERROR(__xludf.DUMMYFUNCTION("""COMPUTED_VALUE"""),"LYD")</f>
        <v>LYD</v>
      </c>
      <c r="E499" s="1" t="str">
        <f>IFERROR(__xludf.DUMMYFUNCTION("""COMPUTED_VALUE"""),"Money In")</f>
        <v>Money In</v>
      </c>
      <c r="F499" s="1" t="str">
        <f>IFERROR(__xludf.DUMMYFUNCTION("""COMPUTED_VALUE"""),"Revenue")</f>
        <v>Revenue</v>
      </c>
      <c r="G499" s="1" t="str">
        <f>IFERROR(__xludf.DUMMYFUNCTION("""COMPUTED_VALUE"""),"AlTahaddy")</f>
        <v>AlTahaddy</v>
      </c>
      <c r="H499" s="1"/>
    </row>
    <row r="500">
      <c r="A500" s="36">
        <f>IFERROR(__xludf.DUMMYFUNCTION("""COMPUTED_VALUE"""),46112.0)</f>
        <v>46112</v>
      </c>
      <c r="B500" s="1" t="str">
        <f>IFERROR(__xludf.DUMMYFUNCTION("""COMPUTED_VALUE"""),"Snacky")</f>
        <v>Snacky</v>
      </c>
      <c r="C500" s="35">
        <f>IFERROR(__xludf.DUMMYFUNCTION("""COMPUTED_VALUE"""),2778.0)</f>
        <v>2778</v>
      </c>
      <c r="D500" s="1" t="str">
        <f>IFERROR(__xludf.DUMMYFUNCTION("""COMPUTED_VALUE"""),"LYD")</f>
        <v>LYD</v>
      </c>
      <c r="E500" s="1" t="str">
        <f>IFERROR(__xludf.DUMMYFUNCTION("""COMPUTED_VALUE"""),"Money In")</f>
        <v>Money In</v>
      </c>
      <c r="F500" s="1" t="str">
        <f>IFERROR(__xludf.DUMMYFUNCTION("""COMPUTED_VALUE"""),"Revenue")</f>
        <v>Revenue</v>
      </c>
      <c r="G500" s="1" t="str">
        <f>IFERROR(__xludf.DUMMYFUNCTION("""COMPUTED_VALUE"""),"HTLand")</f>
        <v>HTLand</v>
      </c>
      <c r="H500" s="1"/>
    </row>
    <row r="501">
      <c r="A501" s="36">
        <f>IFERROR(__xludf.DUMMYFUNCTION("""COMPUTED_VALUE"""),46112.0)</f>
        <v>46112</v>
      </c>
      <c r="B501" s="1" t="str">
        <f>IFERROR(__xludf.DUMMYFUNCTION("""COMPUTED_VALUE"""),"Snacky")</f>
        <v>Snacky</v>
      </c>
      <c r="C501" s="35">
        <f>IFERROR(__xludf.DUMMYFUNCTION("""COMPUTED_VALUE"""),350.0)</f>
        <v>350</v>
      </c>
      <c r="D501" s="1" t="str">
        <f>IFERROR(__xludf.DUMMYFUNCTION("""COMPUTED_VALUE"""),"LYD")</f>
        <v>LYD</v>
      </c>
      <c r="E501" s="1" t="str">
        <f>IFERROR(__xludf.DUMMYFUNCTION("""COMPUTED_VALUE"""),"Money Out")</f>
        <v>Money Out</v>
      </c>
      <c r="F501" s="1"/>
      <c r="G501" s="1"/>
      <c r="H501" s="1" t="str">
        <f>IFERROR(__xludf.DUMMYFUNCTION("""COMPUTED_VALUE"""),"نقل اله")</f>
        <v>نقل اله</v>
      </c>
    </row>
    <row r="502">
      <c r="A502" s="36">
        <f>IFERROR(__xludf.DUMMYFUNCTION("""COMPUTED_VALUE"""),46112.0)</f>
        <v>46112</v>
      </c>
      <c r="B502" s="1" t="str">
        <f>IFERROR(__xludf.DUMMYFUNCTION("""COMPUTED_VALUE"""),"Snacky")</f>
        <v>Snacky</v>
      </c>
      <c r="C502" s="35">
        <f>IFERROR(__xludf.DUMMYFUNCTION("""COMPUTED_VALUE"""),150.0)</f>
        <v>150</v>
      </c>
      <c r="D502" s="1" t="str">
        <f>IFERROR(__xludf.DUMMYFUNCTION("""COMPUTED_VALUE"""),"LYD")</f>
        <v>LYD</v>
      </c>
      <c r="E502" s="1" t="str">
        <f>IFERROR(__xludf.DUMMYFUNCTION("""COMPUTED_VALUE"""),"Money Out")</f>
        <v>Money Out</v>
      </c>
      <c r="F502" s="1" t="str">
        <f>IFERROR(__xludf.DUMMYFUNCTION("""COMPUTED_VALUE"""),"Anas")</f>
        <v>Anas</v>
      </c>
      <c r="G502" s="1"/>
      <c r="H502" s="1"/>
    </row>
    <row r="503">
      <c r="A503" s="36">
        <f>IFERROR(__xludf.DUMMYFUNCTION("""COMPUTED_VALUE"""),46114.0)</f>
        <v>46114</v>
      </c>
      <c r="B503" s="1" t="str">
        <f>IFERROR(__xludf.DUMMYFUNCTION("""COMPUTED_VALUE"""),"Snacky")</f>
        <v>Snacky</v>
      </c>
      <c r="C503" s="35">
        <f>IFERROR(__xludf.DUMMYFUNCTION("""COMPUTED_VALUE"""),3657.0)</f>
        <v>3657</v>
      </c>
      <c r="D503" s="1" t="str">
        <f>IFERROR(__xludf.DUMMYFUNCTION("""COMPUTED_VALUE"""),"LYD")</f>
        <v>LYD</v>
      </c>
      <c r="E503" s="1" t="str">
        <f>IFERROR(__xludf.DUMMYFUNCTION("""COMPUTED_VALUE"""),"Money Out")</f>
        <v>Money Out</v>
      </c>
      <c r="F503" s="1" t="str">
        <f>IFERROR(__xludf.DUMMYFUNCTION("""COMPUTED_VALUE"""),"Product Restocking")</f>
        <v>Product Restocking</v>
      </c>
      <c r="G503" s="1"/>
      <c r="H503" s="1"/>
    </row>
    <row r="504">
      <c r="A504" s="36">
        <f>IFERROR(__xludf.DUMMYFUNCTION("""COMPUTED_VALUE"""),46116.0)</f>
        <v>46116</v>
      </c>
      <c r="B504" s="1" t="str">
        <f>IFERROR(__xludf.DUMMYFUNCTION("""COMPUTED_VALUE"""),"Snacky")</f>
        <v>Snacky</v>
      </c>
      <c r="C504" s="35">
        <f>IFERROR(__xludf.DUMMYFUNCTION("""COMPUTED_VALUE"""),2000.0)</f>
        <v>2000</v>
      </c>
      <c r="D504" s="1" t="str">
        <f>IFERROR(__xludf.DUMMYFUNCTION("""COMPUTED_VALUE"""),"LYD")</f>
        <v>LYD</v>
      </c>
      <c r="E504" s="1" t="str">
        <f>IFERROR(__xludf.DUMMYFUNCTION("""COMPUTED_VALUE"""),"Money Out")</f>
        <v>Money Out</v>
      </c>
      <c r="F504" s="1" t="str">
        <f>IFERROR(__xludf.DUMMYFUNCTION("""COMPUTED_VALUE"""),"storage")</f>
        <v>storage</v>
      </c>
      <c r="G504" s="1"/>
      <c r="H504" s="1" t="str">
        <f>IFERROR(__xludf.DUMMYFUNCTION("""COMPUTED_VALUE"""),"ايجار مخزن")</f>
        <v>ايجار مخزن</v>
      </c>
    </row>
    <row r="505">
      <c r="A505" s="36">
        <f>IFERROR(__xludf.DUMMYFUNCTION("""COMPUTED_VALUE"""),46116.0)</f>
        <v>46116</v>
      </c>
      <c r="B505" s="1" t="str">
        <f>IFERROR(__xludf.DUMMYFUNCTION("""COMPUTED_VALUE"""),"Snacky")</f>
        <v>Snacky</v>
      </c>
      <c r="C505" s="35">
        <f>IFERROR(__xludf.DUMMYFUNCTION("""COMPUTED_VALUE"""),1225.0)</f>
        <v>1225</v>
      </c>
      <c r="D505" s="1" t="str">
        <f>IFERROR(__xludf.DUMMYFUNCTION("""COMPUTED_VALUE"""),"LYD")</f>
        <v>LYD</v>
      </c>
      <c r="E505" s="1" t="str">
        <f>IFERROR(__xludf.DUMMYFUNCTION("""COMPUTED_VALUE"""),"Money Out")</f>
        <v>Money Out</v>
      </c>
      <c r="F505" s="1" t="str">
        <f>IFERROR(__xludf.DUMMYFUNCTION("""COMPUTED_VALUE"""),"Product Restocking")</f>
        <v>Product Restocking</v>
      </c>
      <c r="G505" s="1"/>
      <c r="H505" s="1"/>
    </row>
    <row r="506">
      <c r="A506" s="36">
        <f>IFERROR(__xludf.DUMMYFUNCTION("""COMPUTED_VALUE"""),46118.0)</f>
        <v>46118</v>
      </c>
      <c r="B506" s="1" t="str">
        <f>IFERROR(__xludf.DUMMYFUNCTION("""COMPUTED_VALUE"""),"Snacky")</f>
        <v>Snacky</v>
      </c>
      <c r="C506" s="35">
        <f>IFERROR(__xludf.DUMMYFUNCTION("""COMPUTED_VALUE"""),180.0)</f>
        <v>180</v>
      </c>
      <c r="D506" s="1" t="str">
        <f>IFERROR(__xludf.DUMMYFUNCTION("""COMPUTED_VALUE"""),"LYD")</f>
        <v>LYD</v>
      </c>
      <c r="E506" s="1" t="str">
        <f>IFERROR(__xludf.DUMMYFUNCTION("""COMPUTED_VALUE"""),"Money Out")</f>
        <v>Money Out</v>
      </c>
      <c r="F506" s="1" t="str">
        <f>IFERROR(__xludf.DUMMYFUNCTION("""COMPUTED_VALUE"""),"Product Restocking")</f>
        <v>Product Restocking</v>
      </c>
      <c r="G506" s="1"/>
      <c r="H506" s="1"/>
    </row>
    <row r="507">
      <c r="A507" s="36">
        <f>IFERROR(__xludf.DUMMYFUNCTION("""COMPUTED_VALUE"""),46119.0)</f>
        <v>46119</v>
      </c>
      <c r="B507" s="1" t="str">
        <f>IFERROR(__xludf.DUMMYFUNCTION("""COMPUTED_VALUE"""),"Snacky")</f>
        <v>Snacky</v>
      </c>
      <c r="C507" s="35">
        <f>IFERROR(__xludf.DUMMYFUNCTION("""COMPUTED_VALUE"""),283.0)</f>
        <v>283</v>
      </c>
      <c r="D507" s="1" t="str">
        <f>IFERROR(__xludf.DUMMYFUNCTION("""COMPUTED_VALUE"""),"LYD")</f>
        <v>LYD</v>
      </c>
      <c r="E507" s="1" t="str">
        <f>IFERROR(__xludf.DUMMYFUNCTION("""COMPUTED_VALUE"""),"Money Out")</f>
        <v>Money Out</v>
      </c>
      <c r="F507" s="1" t="str">
        <f>IFERROR(__xludf.DUMMYFUNCTION("""COMPUTED_VALUE"""),"Product Restocking")</f>
        <v>Product Restocking</v>
      </c>
      <c r="G507" s="1"/>
      <c r="H507" s="1"/>
    </row>
    <row r="508">
      <c r="A508" s="36">
        <f>IFERROR(__xludf.DUMMYFUNCTION("""COMPUTED_VALUE"""),46112.0)</f>
        <v>46112</v>
      </c>
      <c r="B508" s="1" t="str">
        <f>IFERROR(__xludf.DUMMYFUNCTION("""COMPUTED_VALUE"""),"Snacky")</f>
        <v>Snacky</v>
      </c>
      <c r="C508" s="35">
        <f>IFERROR(__xludf.DUMMYFUNCTION("""COMPUTED_VALUE"""),1500.0)</f>
        <v>1500</v>
      </c>
      <c r="D508" s="1" t="str">
        <f>IFERROR(__xludf.DUMMYFUNCTION("""COMPUTED_VALUE"""),"LYD")</f>
        <v>LYD</v>
      </c>
      <c r="E508" s="1" t="str">
        <f>IFERROR(__xludf.DUMMYFUNCTION("""COMPUTED_VALUE"""),"Money Out")</f>
        <v>Money Out</v>
      </c>
      <c r="F508" s="1" t="str">
        <f>IFERROR(__xludf.DUMMYFUNCTION("""COMPUTED_VALUE"""),"Ahmed")</f>
        <v>Ahmed</v>
      </c>
      <c r="G508" s="1"/>
      <c r="H508" s="1"/>
    </row>
    <row r="509">
      <c r="A509" s="36">
        <f>IFERROR(__xludf.DUMMYFUNCTION("""COMPUTED_VALUE"""),46120.0)</f>
        <v>46120</v>
      </c>
      <c r="B509" s="1" t="str">
        <f>IFERROR(__xludf.DUMMYFUNCTION("""COMPUTED_VALUE"""),"Snacky")</f>
        <v>Snacky</v>
      </c>
      <c r="C509" s="35">
        <f>IFERROR(__xludf.DUMMYFUNCTION("""COMPUTED_VALUE"""),546.0)</f>
        <v>546</v>
      </c>
      <c r="D509" s="1" t="str">
        <f>IFERROR(__xludf.DUMMYFUNCTION("""COMPUTED_VALUE"""),"LYD")</f>
        <v>LYD</v>
      </c>
      <c r="E509" s="1" t="str">
        <f>IFERROR(__xludf.DUMMYFUNCTION("""COMPUTED_VALUE"""),"Money Out")</f>
        <v>Money Out</v>
      </c>
      <c r="F509" s="1"/>
      <c r="G509" s="1"/>
      <c r="H509" s="1" t="str">
        <f>IFERROR(__xludf.DUMMYFUNCTION("""COMPUTED_VALUE"""),"جزء الى نوري تركيب لصقه")</f>
        <v>جزء الى نوري تركيب لصقه</v>
      </c>
    </row>
    <row r="510">
      <c r="A510" s="36">
        <f>IFERROR(__xludf.DUMMYFUNCTION("""COMPUTED_VALUE"""),46121.0)</f>
        <v>46121</v>
      </c>
      <c r="B510" s="1" t="str">
        <f>IFERROR(__xludf.DUMMYFUNCTION("""COMPUTED_VALUE"""),"Snacky")</f>
        <v>Snacky</v>
      </c>
      <c r="C510" s="35">
        <f>IFERROR(__xludf.DUMMYFUNCTION("""COMPUTED_VALUE"""),1355.0)</f>
        <v>1355</v>
      </c>
      <c r="D510" s="1" t="str">
        <f>IFERROR(__xludf.DUMMYFUNCTION("""COMPUTED_VALUE"""),"LYD")</f>
        <v>LYD</v>
      </c>
      <c r="E510" s="1" t="str">
        <f>IFERROR(__xludf.DUMMYFUNCTION("""COMPUTED_VALUE"""),"Money Out")</f>
        <v>Money Out</v>
      </c>
      <c r="F510" s="1" t="str">
        <f>IFERROR(__xludf.DUMMYFUNCTION("""COMPUTED_VALUE"""),"Product Restocking")</f>
        <v>Product Restocking</v>
      </c>
      <c r="G510" s="1"/>
      <c r="H510" s="1"/>
    </row>
    <row r="511">
      <c r="A511" s="36">
        <f>IFERROR(__xludf.DUMMYFUNCTION("""COMPUTED_VALUE"""),46123.0)</f>
        <v>46123</v>
      </c>
      <c r="B511" s="1" t="str">
        <f>IFERROR(__xludf.DUMMYFUNCTION("""COMPUTED_VALUE"""),"Snacky")</f>
        <v>Snacky</v>
      </c>
      <c r="C511" s="35">
        <f>IFERROR(__xludf.DUMMYFUNCTION("""COMPUTED_VALUE"""),1651.0)</f>
        <v>1651</v>
      </c>
      <c r="D511" s="1" t="str">
        <f>IFERROR(__xludf.DUMMYFUNCTION("""COMPUTED_VALUE"""),"LYD")</f>
        <v>LYD</v>
      </c>
      <c r="E511" s="1" t="str">
        <f>IFERROR(__xludf.DUMMYFUNCTION("""COMPUTED_VALUE"""),"Money In")</f>
        <v>Money In</v>
      </c>
      <c r="F511" s="1" t="str">
        <f>IFERROR(__xludf.DUMMYFUNCTION("""COMPUTED_VALUE"""),"Revenue")</f>
        <v>Revenue</v>
      </c>
      <c r="G511" s="1" t="str">
        <f>IFERROR(__xludf.DUMMYFUNCTION("""COMPUTED_VALUE"""),"AlmouasafatHospital")</f>
        <v>AlmouasafatHospital</v>
      </c>
      <c r="H511" s="1"/>
    </row>
    <row r="512">
      <c r="A512" s="36">
        <f>IFERROR(__xludf.DUMMYFUNCTION("""COMPUTED_VALUE"""),46123.0)</f>
        <v>46123</v>
      </c>
      <c r="B512" s="1" t="str">
        <f>IFERROR(__xludf.DUMMYFUNCTION("""COMPUTED_VALUE"""),"Snacky")</f>
        <v>Snacky</v>
      </c>
      <c r="C512" s="35">
        <f>IFERROR(__xludf.DUMMYFUNCTION("""COMPUTED_VALUE"""),2170.0)</f>
        <v>2170</v>
      </c>
      <c r="D512" s="1" t="str">
        <f>IFERROR(__xludf.DUMMYFUNCTION("""COMPUTED_VALUE"""),"LYD")</f>
        <v>LYD</v>
      </c>
      <c r="E512" s="1" t="str">
        <f>IFERROR(__xludf.DUMMYFUNCTION("""COMPUTED_VALUE"""),"Money Out")</f>
        <v>Money Out</v>
      </c>
      <c r="F512" s="1" t="str">
        <f>IFERROR(__xludf.DUMMYFUNCTION("""COMPUTED_VALUE"""),"Product Restocking")</f>
        <v>Product Restocking</v>
      </c>
      <c r="G512" s="1"/>
      <c r="H512" s="1"/>
    </row>
    <row r="513">
      <c r="A513" s="36">
        <f>IFERROR(__xludf.DUMMYFUNCTION("""COMPUTED_VALUE"""),46124.0)</f>
        <v>46124</v>
      </c>
      <c r="B513" s="1" t="str">
        <f>IFERROR(__xludf.DUMMYFUNCTION("""COMPUTED_VALUE"""),"Snacky")</f>
        <v>Snacky</v>
      </c>
      <c r="C513" s="35">
        <f>IFERROR(__xludf.DUMMYFUNCTION("""COMPUTED_VALUE"""),3494.0)</f>
        <v>3494</v>
      </c>
      <c r="D513" s="1" t="str">
        <f>IFERROR(__xludf.DUMMYFUNCTION("""COMPUTED_VALUE"""),"LYD")</f>
        <v>LYD</v>
      </c>
      <c r="E513" s="1" t="str">
        <f>IFERROR(__xludf.DUMMYFUNCTION("""COMPUTED_VALUE"""),"Money In")</f>
        <v>Money In</v>
      </c>
      <c r="F513" s="1" t="str">
        <f>IFERROR(__xludf.DUMMYFUNCTION("""COMPUTED_VALUE"""),"Revenue")</f>
        <v>Revenue</v>
      </c>
      <c r="G513" s="1" t="str">
        <f>IFERROR(__xludf.DUMMYFUNCTION("""COMPUTED_VALUE"""),"AlTahaddy")</f>
        <v>AlTahaddy</v>
      </c>
      <c r="H513" s="1"/>
    </row>
    <row r="514">
      <c r="A514" s="36">
        <f>IFERROR(__xludf.DUMMYFUNCTION("""COMPUTED_VALUE"""),46124.0)</f>
        <v>46124</v>
      </c>
      <c r="B514" s="1" t="str">
        <f>IFERROR(__xludf.DUMMYFUNCTION("""COMPUTED_VALUE"""),"Snacky")</f>
        <v>Snacky</v>
      </c>
      <c r="C514" s="35">
        <f>IFERROR(__xludf.DUMMYFUNCTION("""COMPUTED_VALUE"""),1810.0)</f>
        <v>1810</v>
      </c>
      <c r="D514" s="1" t="str">
        <f>IFERROR(__xludf.DUMMYFUNCTION("""COMPUTED_VALUE"""),"LYD")</f>
        <v>LYD</v>
      </c>
      <c r="E514" s="1" t="str">
        <f>IFERROR(__xludf.DUMMYFUNCTION("""COMPUTED_VALUE"""),"Money In")</f>
        <v>Money In</v>
      </c>
      <c r="F514" s="1" t="str">
        <f>IFERROR(__xludf.DUMMYFUNCTION("""COMPUTED_VALUE"""),"Revenue")</f>
        <v>Revenue</v>
      </c>
      <c r="G514" s="1" t="str">
        <f>IFERROR(__xludf.DUMMYFUNCTION("""COMPUTED_VALUE"""),"KhalijUniversity")</f>
        <v>KhalijUniversity</v>
      </c>
      <c r="H514" s="1"/>
    </row>
    <row r="515">
      <c r="A515" s="36">
        <f>IFERROR(__xludf.DUMMYFUNCTION("""COMPUTED_VALUE"""),46126.0)</f>
        <v>46126</v>
      </c>
      <c r="B515" s="1" t="str">
        <f>IFERROR(__xludf.DUMMYFUNCTION("""COMPUTED_VALUE"""),"Snacky")</f>
        <v>Snacky</v>
      </c>
      <c r="C515" s="35">
        <f>IFERROR(__xludf.DUMMYFUNCTION("""COMPUTED_VALUE"""),1575.0)</f>
        <v>1575</v>
      </c>
      <c r="D515" s="1" t="str">
        <f>IFERROR(__xludf.DUMMYFUNCTION("""COMPUTED_VALUE"""),"LYD")</f>
        <v>LYD</v>
      </c>
      <c r="E515" s="1" t="str">
        <f>IFERROR(__xludf.DUMMYFUNCTION("""COMPUTED_VALUE"""),"Money Out")</f>
        <v>Money Out</v>
      </c>
      <c r="F515" s="1" t="str">
        <f>IFERROR(__xludf.DUMMYFUNCTION("""COMPUTED_VALUE"""),"Product Restocking")</f>
        <v>Product Restocking</v>
      </c>
      <c r="G515" s="1"/>
      <c r="H515" s="1"/>
    </row>
    <row r="516">
      <c r="A516" s="36">
        <f>IFERROR(__xludf.DUMMYFUNCTION("""COMPUTED_VALUE"""),46126.0)</f>
        <v>46126</v>
      </c>
      <c r="B516" s="1" t="str">
        <f>IFERROR(__xludf.DUMMYFUNCTION("""COMPUTED_VALUE"""),"Snacky")</f>
        <v>Snacky</v>
      </c>
      <c r="C516" s="35">
        <f>IFERROR(__xludf.DUMMYFUNCTION("""COMPUTED_VALUE"""),6568.0)</f>
        <v>6568</v>
      </c>
      <c r="D516" s="1" t="str">
        <f>IFERROR(__xludf.DUMMYFUNCTION("""COMPUTED_VALUE"""),"LYD")</f>
        <v>LYD</v>
      </c>
      <c r="E516" s="1" t="str">
        <f>IFERROR(__xludf.DUMMYFUNCTION("""COMPUTED_VALUE"""),"Money In")</f>
        <v>Money In</v>
      </c>
      <c r="F516" s="1" t="str">
        <f>IFERROR(__xludf.DUMMYFUNCTION("""COMPUTED_VALUE"""),"Revenue")</f>
        <v>Revenue</v>
      </c>
      <c r="G516" s="1" t="str">
        <f>IFERROR(__xludf.DUMMYFUNCTION("""COMPUTED_VALUE"""),"Istiklal")</f>
        <v>Istiklal</v>
      </c>
      <c r="H516" s="1"/>
    </row>
    <row r="517">
      <c r="A517" s="36">
        <f>IFERROR(__xludf.DUMMYFUNCTION("""COMPUTED_VALUE"""),46127.0)</f>
        <v>46127</v>
      </c>
      <c r="B517" s="1" t="str">
        <f>IFERROR(__xludf.DUMMYFUNCTION("""COMPUTED_VALUE"""),"Snacky")</f>
        <v>Snacky</v>
      </c>
      <c r="C517" s="35">
        <f>IFERROR(__xludf.DUMMYFUNCTION("""COMPUTED_VALUE"""),1888.0)</f>
        <v>1888</v>
      </c>
      <c r="D517" s="1" t="str">
        <f>IFERROR(__xludf.DUMMYFUNCTION("""COMPUTED_VALUE"""),"LYD")</f>
        <v>LYD</v>
      </c>
      <c r="E517" s="1" t="str">
        <f>IFERROR(__xludf.DUMMYFUNCTION("""COMPUTED_VALUE"""),"Money In")</f>
        <v>Money In</v>
      </c>
      <c r="F517" s="1" t="str">
        <f>IFERROR(__xludf.DUMMYFUNCTION("""COMPUTED_VALUE"""),"Revenue")</f>
        <v>Revenue</v>
      </c>
      <c r="G517" s="1" t="str">
        <f>IFERROR(__xludf.DUMMYFUNCTION("""COMPUTED_VALUE"""),"KhalijUniversity")</f>
        <v>KhalijUniversity</v>
      </c>
      <c r="H517" s="1"/>
    </row>
    <row r="518">
      <c r="A518" s="36">
        <f>IFERROR(__xludf.DUMMYFUNCTION("""COMPUTED_VALUE"""),46127.0)</f>
        <v>46127</v>
      </c>
      <c r="B518" s="1" t="str">
        <f>IFERROR(__xludf.DUMMYFUNCTION("""COMPUTED_VALUE"""),"Snacky")</f>
        <v>Snacky</v>
      </c>
      <c r="C518" s="35">
        <f>IFERROR(__xludf.DUMMYFUNCTION("""COMPUTED_VALUE"""),1008.0)</f>
        <v>1008</v>
      </c>
      <c r="D518" s="1" t="str">
        <f>IFERROR(__xludf.DUMMYFUNCTION("""COMPUTED_VALUE"""),"LYD")</f>
        <v>LYD</v>
      </c>
      <c r="E518" s="1" t="str">
        <f>IFERROR(__xludf.DUMMYFUNCTION("""COMPUTED_VALUE"""),"Money Out")</f>
        <v>Money Out</v>
      </c>
      <c r="F518" s="1" t="str">
        <f>IFERROR(__xludf.DUMMYFUNCTION("""COMPUTED_VALUE"""),"Product Restocking")</f>
        <v>Product Restocking</v>
      </c>
      <c r="G518" s="1"/>
      <c r="H518" s="1"/>
    </row>
    <row r="519">
      <c r="A519" s="36">
        <f>IFERROR(__xludf.DUMMYFUNCTION("""COMPUTED_VALUE"""),46128.0)</f>
        <v>46128</v>
      </c>
      <c r="B519" s="1" t="str">
        <f>IFERROR(__xludf.DUMMYFUNCTION("""COMPUTED_VALUE"""),"Snacky")</f>
        <v>Snacky</v>
      </c>
      <c r="C519" s="35">
        <f>IFERROR(__xludf.DUMMYFUNCTION("""COMPUTED_VALUE"""),4312.0)</f>
        <v>4312</v>
      </c>
      <c r="D519" s="1" t="str">
        <f>IFERROR(__xludf.DUMMYFUNCTION("""COMPUTED_VALUE"""),"LYD")</f>
        <v>LYD</v>
      </c>
      <c r="E519" s="1" t="str">
        <f>IFERROR(__xludf.DUMMYFUNCTION("""COMPUTED_VALUE"""),"Money In")</f>
        <v>Money In</v>
      </c>
      <c r="F519" s="1" t="str">
        <f>IFERROR(__xludf.DUMMYFUNCTION("""COMPUTED_VALUE"""),"Revenue")</f>
        <v>Revenue</v>
      </c>
      <c r="G519" s="1" t="str">
        <f>IFERROR(__xludf.DUMMYFUNCTION("""COMPUTED_VALUE"""),"HTMall")</f>
        <v>HTMall</v>
      </c>
      <c r="H519" s="1"/>
    </row>
    <row r="520">
      <c r="A520" s="36">
        <f>IFERROR(__xludf.DUMMYFUNCTION("""COMPUTED_VALUE"""),46128.0)</f>
        <v>46128</v>
      </c>
      <c r="B520" s="1" t="str">
        <f>IFERROR(__xludf.DUMMYFUNCTION("""COMPUTED_VALUE"""),"Snacky")</f>
        <v>Snacky</v>
      </c>
      <c r="C520" s="35">
        <f>IFERROR(__xludf.DUMMYFUNCTION("""COMPUTED_VALUE"""),2954.0)</f>
        <v>2954</v>
      </c>
      <c r="D520" s="1" t="str">
        <f>IFERROR(__xludf.DUMMYFUNCTION("""COMPUTED_VALUE"""),"LYD")</f>
        <v>LYD</v>
      </c>
      <c r="E520" s="1" t="str">
        <f>IFERROR(__xludf.DUMMYFUNCTION("""COMPUTED_VALUE"""),"Money In")</f>
        <v>Money In</v>
      </c>
      <c r="F520" s="1" t="str">
        <f>IFERROR(__xludf.DUMMYFUNCTION("""COMPUTED_VALUE"""),"Revenue")</f>
        <v>Revenue</v>
      </c>
      <c r="G520" s="1" t="str">
        <f>IFERROR(__xludf.DUMMYFUNCTION("""COMPUTED_VALUE"""),"HTLand")</f>
        <v>HTLand</v>
      </c>
      <c r="H520" s="1"/>
    </row>
    <row r="521">
      <c r="A521" s="36">
        <f>IFERROR(__xludf.DUMMYFUNCTION("""COMPUTED_VALUE"""),46129.0)</f>
        <v>46129</v>
      </c>
      <c r="B521" s="1" t="str">
        <f>IFERROR(__xludf.DUMMYFUNCTION("""COMPUTED_VALUE"""),"Snacky")</f>
        <v>Snacky</v>
      </c>
      <c r="C521" s="35">
        <f>IFERROR(__xludf.DUMMYFUNCTION("""COMPUTED_VALUE"""),1460.0)</f>
        <v>1460</v>
      </c>
      <c r="D521" s="1" t="str">
        <f>IFERROR(__xludf.DUMMYFUNCTION("""COMPUTED_VALUE"""),"LYD")</f>
        <v>LYD</v>
      </c>
      <c r="E521" s="1" t="str">
        <f>IFERROR(__xludf.DUMMYFUNCTION("""COMPUTED_VALUE"""),"Money In")</f>
        <v>Money In</v>
      </c>
      <c r="F521" s="1" t="str">
        <f>IFERROR(__xludf.DUMMYFUNCTION("""COMPUTED_VALUE"""),"Revenue")</f>
        <v>Revenue</v>
      </c>
      <c r="G521" s="1" t="str">
        <f>IFERROR(__xludf.DUMMYFUNCTION("""COMPUTED_VALUE"""),"AlTahaddy")</f>
        <v>AlTahaddy</v>
      </c>
      <c r="H521" s="1"/>
    </row>
    <row r="522">
      <c r="A522" s="36">
        <f>IFERROR(__xludf.DUMMYFUNCTION("""COMPUTED_VALUE"""),46129.0)</f>
        <v>46129</v>
      </c>
      <c r="B522" s="1" t="str">
        <f>IFERROR(__xludf.DUMMYFUNCTION("""COMPUTED_VALUE"""),"Snacky")</f>
        <v>Snacky</v>
      </c>
      <c r="C522" s="35">
        <f>IFERROR(__xludf.DUMMYFUNCTION("""COMPUTED_VALUE"""),488.0)</f>
        <v>488</v>
      </c>
      <c r="D522" s="1" t="str">
        <f>IFERROR(__xludf.DUMMYFUNCTION("""COMPUTED_VALUE"""),"LYD")</f>
        <v>LYD</v>
      </c>
      <c r="E522" s="1" t="str">
        <f>IFERROR(__xludf.DUMMYFUNCTION("""COMPUTED_VALUE"""),"Money Out")</f>
        <v>Money Out</v>
      </c>
      <c r="F522" s="1" t="str">
        <f>IFERROR(__xludf.DUMMYFUNCTION("""COMPUTED_VALUE"""),"Product Restocking")</f>
        <v>Product Restocking</v>
      </c>
      <c r="G522" s="1"/>
      <c r="H522" s="1"/>
    </row>
    <row r="523">
      <c r="A523" s="36">
        <f>IFERROR(__xludf.DUMMYFUNCTION("""COMPUTED_VALUE"""),46130.0)</f>
        <v>46130</v>
      </c>
      <c r="B523" s="1" t="str">
        <f>IFERROR(__xludf.DUMMYFUNCTION("""COMPUTED_VALUE"""),"Snacky")</f>
        <v>Snacky</v>
      </c>
      <c r="C523" s="35">
        <f>IFERROR(__xludf.DUMMYFUNCTION("""COMPUTED_VALUE"""),1077.0)</f>
        <v>1077</v>
      </c>
      <c r="D523" s="1" t="str">
        <f>IFERROR(__xludf.DUMMYFUNCTION("""COMPUTED_VALUE"""),"LYD")</f>
        <v>LYD</v>
      </c>
      <c r="E523" s="1" t="str">
        <f>IFERROR(__xludf.DUMMYFUNCTION("""COMPUTED_VALUE"""),"Money In")</f>
        <v>Money In</v>
      </c>
      <c r="F523" s="1" t="str">
        <f>IFERROR(__xludf.DUMMYFUNCTION("""COMPUTED_VALUE"""),"Revenue")</f>
        <v>Revenue</v>
      </c>
      <c r="G523" s="1" t="str">
        <f>IFERROR(__xludf.DUMMYFUNCTION("""COMPUTED_VALUE"""),"KhalijUniversity")</f>
        <v>KhalijUniversity</v>
      </c>
      <c r="H523" s="1"/>
    </row>
    <row r="524">
      <c r="A524" s="36">
        <f>IFERROR(__xludf.DUMMYFUNCTION("""COMPUTED_VALUE"""),46130.0)</f>
        <v>46130</v>
      </c>
      <c r="B524" s="1" t="str">
        <f>IFERROR(__xludf.DUMMYFUNCTION("""COMPUTED_VALUE"""),"Snacky")</f>
        <v>Snacky</v>
      </c>
      <c r="C524" s="35">
        <f>IFERROR(__xludf.DUMMYFUNCTION("""COMPUTED_VALUE"""),2220.0)</f>
        <v>2220</v>
      </c>
      <c r="D524" s="1" t="str">
        <f>IFERROR(__xludf.DUMMYFUNCTION("""COMPUTED_VALUE"""),"LYD")</f>
        <v>LYD</v>
      </c>
      <c r="E524" s="1" t="str">
        <f>IFERROR(__xludf.DUMMYFUNCTION("""COMPUTED_VALUE"""),"Money Out")</f>
        <v>Money Out</v>
      </c>
      <c r="F524" s="1" t="str">
        <f>IFERROR(__xludf.DUMMYFUNCTION("""COMPUTED_VALUE"""),"Product Restocking")</f>
        <v>Product Restocking</v>
      </c>
      <c r="G524" s="1"/>
      <c r="H524" s="1"/>
    </row>
    <row r="525">
      <c r="A525" s="36">
        <f>IFERROR(__xludf.DUMMYFUNCTION("""COMPUTED_VALUE"""),46131.0)</f>
        <v>46131</v>
      </c>
      <c r="B525" s="1" t="str">
        <f>IFERROR(__xludf.DUMMYFUNCTION("""COMPUTED_VALUE"""),"Snacky")</f>
        <v>Snacky</v>
      </c>
      <c r="C525" s="35">
        <f>IFERROR(__xludf.DUMMYFUNCTION("""COMPUTED_VALUE"""),653.0)</f>
        <v>653</v>
      </c>
      <c r="D525" s="1" t="str">
        <f>IFERROR(__xludf.DUMMYFUNCTION("""COMPUTED_VALUE"""),"LYD")</f>
        <v>LYD</v>
      </c>
      <c r="E525" s="1" t="str">
        <f>IFERROR(__xludf.DUMMYFUNCTION("""COMPUTED_VALUE"""),"Money Out")</f>
        <v>Money Out</v>
      </c>
      <c r="F525" s="1" t="str">
        <f>IFERROR(__xludf.DUMMYFUNCTION("""COMPUTED_VALUE"""),"Product Restocking")</f>
        <v>Product Restocking</v>
      </c>
      <c r="G525" s="1"/>
      <c r="H525" s="1"/>
    </row>
    <row r="526">
      <c r="A526" s="36">
        <f>IFERROR(__xludf.DUMMYFUNCTION("""COMPUTED_VALUE"""),46132.0)</f>
        <v>46132</v>
      </c>
      <c r="B526" s="1" t="str">
        <f>IFERROR(__xludf.DUMMYFUNCTION("""COMPUTED_VALUE"""),"Snacky")</f>
        <v>Snacky</v>
      </c>
      <c r="C526" s="35">
        <f>IFERROR(__xludf.DUMMYFUNCTION("""COMPUTED_VALUE"""),3068.0)</f>
        <v>3068</v>
      </c>
      <c r="D526" s="1" t="str">
        <f>IFERROR(__xludf.DUMMYFUNCTION("""COMPUTED_VALUE"""),"LYD")</f>
        <v>LYD</v>
      </c>
      <c r="E526" s="1" t="str">
        <f>IFERROR(__xludf.DUMMYFUNCTION("""COMPUTED_VALUE"""),"Money Out")</f>
        <v>Money Out</v>
      </c>
      <c r="F526" s="1" t="str">
        <f>IFERROR(__xludf.DUMMYFUNCTION("""COMPUTED_VALUE"""),"Product Restocking")</f>
        <v>Product Restocking</v>
      </c>
      <c r="G526" s="1"/>
      <c r="H526" s="1"/>
    </row>
    <row r="527">
      <c r="A527" s="36">
        <f>IFERROR(__xludf.DUMMYFUNCTION("""COMPUTED_VALUE"""),46134.0)</f>
        <v>46134</v>
      </c>
      <c r="B527" s="1" t="str">
        <f>IFERROR(__xludf.DUMMYFUNCTION("""COMPUTED_VALUE"""),"Snacky")</f>
        <v>Snacky</v>
      </c>
      <c r="C527" s="35">
        <f>IFERROR(__xludf.DUMMYFUNCTION("""COMPUTED_VALUE"""),1000.0)</f>
        <v>1000</v>
      </c>
      <c r="D527" s="1" t="str">
        <f>IFERROR(__xludf.DUMMYFUNCTION("""COMPUTED_VALUE"""),"LYD")</f>
        <v>LYD</v>
      </c>
      <c r="E527" s="1" t="str">
        <f>IFERROR(__xludf.DUMMYFUNCTION("""COMPUTED_VALUE"""),"Money Out")</f>
        <v>Money Out</v>
      </c>
      <c r="F527" s="1" t="str">
        <f>IFERROR(__xludf.DUMMYFUNCTION("""COMPUTED_VALUE"""),"Rent")</f>
        <v>Rent</v>
      </c>
      <c r="G527" s="1" t="str">
        <f>IFERROR(__xludf.DUMMYFUNCTION("""COMPUTED_VALUE"""),"HTMall")</f>
        <v>HTMall</v>
      </c>
      <c r="H527" s="1" t="str">
        <f>IFERROR(__xludf.DUMMYFUNCTION("""COMPUTED_VALUE"""),"ايجار شهر 4")</f>
        <v>ايجار شهر 4</v>
      </c>
    </row>
    <row r="528">
      <c r="A528" s="36">
        <f>IFERROR(__xludf.DUMMYFUNCTION("""COMPUTED_VALUE"""),46135.0)</f>
        <v>46135</v>
      </c>
      <c r="B528" s="1" t="str">
        <f>IFERROR(__xludf.DUMMYFUNCTION("""COMPUTED_VALUE"""),"Snacky")</f>
        <v>Snacky</v>
      </c>
      <c r="C528" s="35">
        <f>IFERROR(__xludf.DUMMYFUNCTION("""COMPUTED_VALUE"""),1700.0)</f>
        <v>1700</v>
      </c>
      <c r="D528" s="1" t="str">
        <f>IFERROR(__xludf.DUMMYFUNCTION("""COMPUTED_VALUE"""),"LYD")</f>
        <v>LYD</v>
      </c>
      <c r="E528" s="1" t="str">
        <f>IFERROR(__xludf.DUMMYFUNCTION("""COMPUTED_VALUE"""),"Money Out")</f>
        <v>Money Out</v>
      </c>
      <c r="F528" s="1"/>
      <c r="G528" s="1"/>
      <c r="H528" s="1" t="str">
        <f>IFERROR(__xludf.DUMMYFUNCTION("""COMPUTED_VALUE"""),"لنوري تركيب تصاميم")</f>
        <v>لنوري تركيب تصاميم</v>
      </c>
    </row>
    <row r="529">
      <c r="A529" s="36">
        <f>IFERROR(__xludf.DUMMYFUNCTION("""COMPUTED_VALUE"""),46135.0)</f>
        <v>46135</v>
      </c>
      <c r="B529" s="1" t="str">
        <f>IFERROR(__xludf.DUMMYFUNCTION("""COMPUTED_VALUE"""),"Snacky")</f>
        <v>Snacky</v>
      </c>
      <c r="C529" s="35">
        <f>IFERROR(__xludf.DUMMYFUNCTION("""COMPUTED_VALUE"""),1758.0)</f>
        <v>1758</v>
      </c>
      <c r="D529" s="1" t="str">
        <f>IFERROR(__xludf.DUMMYFUNCTION("""COMPUTED_VALUE"""),"LYD")</f>
        <v>LYD</v>
      </c>
      <c r="E529" s="1" t="str">
        <f>IFERROR(__xludf.DUMMYFUNCTION("""COMPUTED_VALUE"""),"Money In")</f>
        <v>Money In</v>
      </c>
      <c r="F529" s="1" t="str">
        <f>IFERROR(__xludf.DUMMYFUNCTION("""COMPUTED_VALUE"""),"Revenue")</f>
        <v>Revenue</v>
      </c>
      <c r="G529" s="1" t="str">
        <f>IFERROR(__xludf.DUMMYFUNCTION("""COMPUTED_VALUE"""),"KhalijUniversity")</f>
        <v>KhalijUniversity</v>
      </c>
      <c r="H529" s="1"/>
    </row>
    <row r="530">
      <c r="A530" s="36">
        <f>IFERROR(__xludf.DUMMYFUNCTION("""COMPUTED_VALUE"""),46136.0)</f>
        <v>46136</v>
      </c>
      <c r="B530" s="1" t="str">
        <f>IFERROR(__xludf.DUMMYFUNCTION("""COMPUTED_VALUE"""),"Snacky")</f>
        <v>Snacky</v>
      </c>
      <c r="C530" s="35">
        <f>IFERROR(__xludf.DUMMYFUNCTION("""COMPUTED_VALUE"""),1699.0)</f>
        <v>1699</v>
      </c>
      <c r="D530" s="1" t="str">
        <f>IFERROR(__xludf.DUMMYFUNCTION("""COMPUTED_VALUE"""),"LYD")</f>
        <v>LYD</v>
      </c>
      <c r="E530" s="1" t="str">
        <f>IFERROR(__xludf.DUMMYFUNCTION("""COMPUTED_VALUE"""),"Money In")</f>
        <v>Money In</v>
      </c>
      <c r="F530" s="1" t="str">
        <f>IFERROR(__xludf.DUMMYFUNCTION("""COMPUTED_VALUE"""),"Revenue")</f>
        <v>Revenue</v>
      </c>
      <c r="G530" s="1" t="str">
        <f>IFERROR(__xludf.DUMMYFUNCTION("""COMPUTED_VALUE"""),"AlTahaddy")</f>
        <v>AlTahaddy</v>
      </c>
      <c r="H530" s="1"/>
    </row>
    <row r="531">
      <c r="A531" s="36">
        <f>IFERROR(__xludf.DUMMYFUNCTION("""COMPUTED_VALUE"""),46137.0)</f>
        <v>46137</v>
      </c>
      <c r="B531" s="1" t="str">
        <f>IFERROR(__xludf.DUMMYFUNCTION("""COMPUTED_VALUE"""),"Snacky")</f>
        <v>Snacky</v>
      </c>
      <c r="C531" s="35">
        <f>IFERROR(__xludf.DUMMYFUNCTION("""COMPUTED_VALUE"""),2944.0)</f>
        <v>2944</v>
      </c>
      <c r="D531" s="1" t="str">
        <f>IFERROR(__xludf.DUMMYFUNCTION("""COMPUTED_VALUE"""),"LYD")</f>
        <v>LYD</v>
      </c>
      <c r="E531" s="1" t="str">
        <f>IFERROR(__xludf.DUMMYFUNCTION("""COMPUTED_VALUE"""),"Money In")</f>
        <v>Money In</v>
      </c>
      <c r="F531" s="1" t="str">
        <f>IFERROR(__xludf.DUMMYFUNCTION("""COMPUTED_VALUE"""),"Revenue")</f>
        <v>Revenue</v>
      </c>
      <c r="G531" s="1" t="str">
        <f>IFERROR(__xludf.DUMMYFUNCTION("""COMPUTED_VALUE"""),"AlmouasafatHospital")</f>
        <v>AlmouasafatHospital</v>
      </c>
      <c r="H531" s="1"/>
    </row>
    <row r="532">
      <c r="A532" s="36">
        <f>IFERROR(__xludf.DUMMYFUNCTION("""COMPUTED_VALUE"""),46137.0)</f>
        <v>46137</v>
      </c>
      <c r="B532" s="1" t="str">
        <f>IFERROR(__xludf.DUMMYFUNCTION("""COMPUTED_VALUE"""),"Snacky")</f>
        <v>Snacky</v>
      </c>
      <c r="C532" s="35">
        <f>IFERROR(__xludf.DUMMYFUNCTION("""COMPUTED_VALUE"""),1187.0)</f>
        <v>1187</v>
      </c>
      <c r="D532" s="1" t="str">
        <f>IFERROR(__xludf.DUMMYFUNCTION("""COMPUTED_VALUE"""),"LYD")</f>
        <v>LYD</v>
      </c>
      <c r="E532" s="1" t="str">
        <f>IFERROR(__xludf.DUMMYFUNCTION("""COMPUTED_VALUE"""),"Money In")</f>
        <v>Money In</v>
      </c>
      <c r="F532" s="1" t="str">
        <f>IFERROR(__xludf.DUMMYFUNCTION("""COMPUTED_VALUE"""),"Revenue")</f>
        <v>Revenue</v>
      </c>
      <c r="G532" s="1" t="str">
        <f>IFERROR(__xludf.DUMMYFUNCTION("""COMPUTED_VALUE"""),"KhalijUniversity")</f>
        <v>KhalijUniversity</v>
      </c>
      <c r="H532" s="1"/>
    </row>
    <row r="533">
      <c r="A533" s="36">
        <f>IFERROR(__xludf.DUMMYFUNCTION("""COMPUTED_VALUE"""),46138.0)</f>
        <v>46138</v>
      </c>
      <c r="B533" s="1" t="str">
        <f>IFERROR(__xludf.DUMMYFUNCTION("""COMPUTED_VALUE"""),"Snacky")</f>
        <v>Snacky</v>
      </c>
      <c r="C533" s="35">
        <f>IFERROR(__xludf.DUMMYFUNCTION("""COMPUTED_VALUE"""),2513.0)</f>
        <v>2513</v>
      </c>
      <c r="D533" s="1" t="str">
        <f>IFERROR(__xludf.DUMMYFUNCTION("""COMPUTED_VALUE"""),"LYD")</f>
        <v>LYD</v>
      </c>
      <c r="E533" s="1" t="str">
        <f>IFERROR(__xludf.DUMMYFUNCTION("""COMPUTED_VALUE"""),"Money In")</f>
        <v>Money In</v>
      </c>
      <c r="F533" s="1" t="str">
        <f>IFERROR(__xludf.DUMMYFUNCTION("""COMPUTED_VALUE"""),"Revenue")</f>
        <v>Revenue</v>
      </c>
      <c r="G533" s="1" t="str">
        <f>IFERROR(__xludf.DUMMYFUNCTION("""COMPUTED_VALUE"""),"HTMall")</f>
        <v>HTMall</v>
      </c>
      <c r="H533" s="1"/>
    </row>
    <row r="534">
      <c r="A534" s="36">
        <f>IFERROR(__xludf.DUMMYFUNCTION("""COMPUTED_VALUE"""),46137.0)</f>
        <v>46137</v>
      </c>
      <c r="B534" s="1" t="str">
        <f>IFERROR(__xludf.DUMMYFUNCTION("""COMPUTED_VALUE"""),"Snacky")</f>
        <v>Snacky</v>
      </c>
      <c r="C534" s="35">
        <f>IFERROR(__xludf.DUMMYFUNCTION("""COMPUTED_VALUE"""),1972.0)</f>
        <v>1972</v>
      </c>
      <c r="D534" s="1" t="str">
        <f>IFERROR(__xludf.DUMMYFUNCTION("""COMPUTED_VALUE"""),"LYD")</f>
        <v>LYD</v>
      </c>
      <c r="E534" s="1" t="str">
        <f>IFERROR(__xludf.DUMMYFUNCTION("""COMPUTED_VALUE"""),"Money Out")</f>
        <v>Money Out</v>
      </c>
      <c r="F534" s="1" t="str">
        <f>IFERROR(__xludf.DUMMYFUNCTION("""COMPUTED_VALUE"""),"Product Restocking")</f>
        <v>Product Restocking</v>
      </c>
      <c r="G534" s="1"/>
      <c r="H534" s="1"/>
    </row>
    <row r="535">
      <c r="A535" s="36">
        <f>IFERROR(__xludf.DUMMYFUNCTION("""COMPUTED_VALUE"""),46138.0)</f>
        <v>46138</v>
      </c>
      <c r="B535" s="1" t="str">
        <f>IFERROR(__xludf.DUMMYFUNCTION("""COMPUTED_VALUE"""),"Snacky")</f>
        <v>Snacky</v>
      </c>
      <c r="C535" s="35">
        <f>IFERROR(__xludf.DUMMYFUNCTION("""COMPUTED_VALUE"""),1967.0)</f>
        <v>1967</v>
      </c>
      <c r="D535" s="1" t="str">
        <f>IFERROR(__xludf.DUMMYFUNCTION("""COMPUTED_VALUE"""),"LYD")</f>
        <v>LYD</v>
      </c>
      <c r="E535" s="1" t="str">
        <f>IFERROR(__xludf.DUMMYFUNCTION("""COMPUTED_VALUE"""),"Money Out")</f>
        <v>Money Out</v>
      </c>
      <c r="F535" s="1" t="str">
        <f>IFERROR(__xludf.DUMMYFUNCTION("""COMPUTED_VALUE"""),"Product Restocking")</f>
        <v>Product Restocking</v>
      </c>
      <c r="G535" s="1"/>
      <c r="H535" s="1"/>
    </row>
    <row r="536">
      <c r="A536" s="36">
        <f>IFERROR(__xludf.DUMMYFUNCTION("""COMPUTED_VALUE"""),46140.0)</f>
        <v>46140</v>
      </c>
      <c r="B536" s="1" t="str">
        <f>IFERROR(__xludf.DUMMYFUNCTION("""COMPUTED_VALUE"""),"Snacky")</f>
        <v>Snacky</v>
      </c>
      <c r="C536" s="35">
        <f>IFERROR(__xludf.DUMMYFUNCTION("""COMPUTED_VALUE"""),400.0)</f>
        <v>400</v>
      </c>
      <c r="D536" s="1" t="str">
        <f>IFERROR(__xludf.DUMMYFUNCTION("""COMPUTED_VALUE"""),"LYD")</f>
        <v>LYD</v>
      </c>
      <c r="E536" s="1" t="str">
        <f>IFERROR(__xludf.DUMMYFUNCTION("""COMPUTED_VALUE"""),"Money Out")</f>
        <v>Money Out</v>
      </c>
      <c r="F536" s="1" t="str">
        <f>IFERROR(__xludf.DUMMYFUNCTION("""COMPUTED_VALUE"""),"Product Restocking")</f>
        <v>Product Restocking</v>
      </c>
      <c r="G536" s="1"/>
      <c r="H536" s="1"/>
    </row>
    <row r="537">
      <c r="A537" s="36">
        <f>IFERROR(__xludf.DUMMYFUNCTION("""COMPUTED_VALUE"""),46140.0)</f>
        <v>46140</v>
      </c>
      <c r="B537" s="1" t="str">
        <f>IFERROR(__xludf.DUMMYFUNCTION("""COMPUTED_VALUE"""),"Snacky")</f>
        <v>Snacky</v>
      </c>
      <c r="C537" s="35">
        <f>IFERROR(__xludf.DUMMYFUNCTION("""COMPUTED_VALUE"""),4680.0)</f>
        <v>4680</v>
      </c>
      <c r="D537" s="1" t="str">
        <f>IFERROR(__xludf.DUMMYFUNCTION("""COMPUTED_VALUE"""),"LYD")</f>
        <v>LYD</v>
      </c>
      <c r="E537" s="1" t="str">
        <f>IFERROR(__xludf.DUMMYFUNCTION("""COMPUTED_VALUE"""),"Money Out")</f>
        <v>Money Out</v>
      </c>
      <c r="F537" s="1"/>
      <c r="G537" s="1"/>
      <c r="H537" s="1" t="str">
        <f>IFERROR(__xludf.DUMMYFUNCTION("""COMPUTED_VALUE"""),"شراء دولار")</f>
        <v>شراء دولار</v>
      </c>
    </row>
    <row r="538">
      <c r="A538" s="36">
        <f>IFERROR(__xludf.DUMMYFUNCTION("""COMPUTED_VALUE"""),46141.0)</f>
        <v>46141</v>
      </c>
      <c r="B538" s="1" t="str">
        <f>IFERROR(__xludf.DUMMYFUNCTION("""COMPUTED_VALUE"""),"Snacky")</f>
        <v>Snacky</v>
      </c>
      <c r="C538" s="35">
        <f>IFERROR(__xludf.DUMMYFUNCTION("""COMPUTED_VALUE"""),900.0)</f>
        <v>900</v>
      </c>
      <c r="D538" s="1" t="str">
        <f>IFERROR(__xludf.DUMMYFUNCTION("""COMPUTED_VALUE"""),"LYD")</f>
        <v>LYD</v>
      </c>
      <c r="E538" s="1" t="str">
        <f>IFERROR(__xludf.DUMMYFUNCTION("""COMPUTED_VALUE"""),"Money Out")</f>
        <v>Money Out</v>
      </c>
      <c r="F538" s="1" t="str">
        <f>IFERROR(__xludf.DUMMYFUNCTION("""COMPUTED_VALUE"""),"Product Restocking")</f>
        <v>Product Restocking</v>
      </c>
      <c r="G538" s="1"/>
      <c r="H538" s="1"/>
    </row>
    <row r="539">
      <c r="A539" s="36">
        <f>IFERROR(__xludf.DUMMYFUNCTION("""COMPUTED_VALUE"""),46141.0)</f>
        <v>46141</v>
      </c>
      <c r="B539" s="1" t="str">
        <f>IFERROR(__xludf.DUMMYFUNCTION("""COMPUTED_VALUE"""),"Snacky")</f>
        <v>Snacky</v>
      </c>
      <c r="C539" s="35">
        <f>IFERROR(__xludf.DUMMYFUNCTION("""COMPUTED_VALUE"""),1566.0)</f>
        <v>1566</v>
      </c>
      <c r="D539" s="1" t="str">
        <f>IFERROR(__xludf.DUMMYFUNCTION("""COMPUTED_VALUE"""),"LYD")</f>
        <v>LYD</v>
      </c>
      <c r="E539" s="1" t="str">
        <f>IFERROR(__xludf.DUMMYFUNCTION("""COMPUTED_VALUE"""),"Money In")</f>
        <v>Money In</v>
      </c>
      <c r="F539" s="1" t="str">
        <f>IFERROR(__xludf.DUMMYFUNCTION("""COMPUTED_VALUE"""),"Revenue")</f>
        <v>Revenue</v>
      </c>
      <c r="G539" s="1" t="str">
        <f>IFERROR(__xludf.DUMMYFUNCTION("""COMPUTED_VALUE"""),"KhalijUniversity")</f>
        <v>KhalijUniversity</v>
      </c>
      <c r="H539" s="1"/>
    </row>
    <row r="540">
      <c r="A540" s="36">
        <f>IFERROR(__xludf.DUMMYFUNCTION("""COMPUTED_VALUE"""),46142.0)</f>
        <v>46142</v>
      </c>
      <c r="B540" s="1" t="str">
        <f>IFERROR(__xludf.DUMMYFUNCTION("""COMPUTED_VALUE"""),"Snacky")</f>
        <v>Snacky</v>
      </c>
      <c r="C540" s="35">
        <f>IFERROR(__xludf.DUMMYFUNCTION("""COMPUTED_VALUE"""),118.0)</f>
        <v>118</v>
      </c>
      <c r="D540" s="1" t="str">
        <f>IFERROR(__xludf.DUMMYFUNCTION("""COMPUTED_VALUE"""),"LYD")</f>
        <v>LYD</v>
      </c>
      <c r="E540" s="1" t="str">
        <f>IFERROR(__xludf.DUMMYFUNCTION("""COMPUTED_VALUE"""),"Money Out")</f>
        <v>Money Out</v>
      </c>
      <c r="F540" s="1"/>
      <c r="G540" s="1"/>
      <c r="H540" s="1" t="str">
        <f>IFERROR(__xludf.DUMMYFUNCTION("""COMPUTED_VALUE"""),"تفعيل مصرف")</f>
        <v>تفعيل مصرف</v>
      </c>
    </row>
    <row r="541">
      <c r="A541" s="36">
        <f>IFERROR(__xludf.DUMMYFUNCTION("""COMPUTED_VALUE"""),46142.0)</f>
        <v>46142</v>
      </c>
      <c r="B541" s="1" t="str">
        <f>IFERROR(__xludf.DUMMYFUNCTION("""COMPUTED_VALUE"""),"Snacky")</f>
        <v>Snacky</v>
      </c>
      <c r="C541" s="35">
        <f>IFERROR(__xludf.DUMMYFUNCTION("""COMPUTED_VALUE"""),1430.0)</f>
        <v>1430</v>
      </c>
      <c r="D541" s="1" t="str">
        <f>IFERROR(__xludf.DUMMYFUNCTION("""COMPUTED_VALUE"""),"LYD")</f>
        <v>LYD</v>
      </c>
      <c r="E541" s="1" t="str">
        <f>IFERROR(__xludf.DUMMYFUNCTION("""COMPUTED_VALUE"""),"Money Out")</f>
        <v>Money Out</v>
      </c>
      <c r="F541" s="1" t="str">
        <f>IFERROR(__xludf.DUMMYFUNCTION("""COMPUTED_VALUE"""),"Anas")</f>
        <v>Anas</v>
      </c>
      <c r="G541" s="1"/>
      <c r="H541" s="1"/>
    </row>
    <row r="542">
      <c r="A542" s="36">
        <f>IFERROR(__xludf.DUMMYFUNCTION("""COMPUTED_VALUE"""),46142.0)</f>
        <v>46142</v>
      </c>
      <c r="B542" s="1" t="str">
        <f>IFERROR(__xludf.DUMMYFUNCTION("""COMPUTED_VALUE"""),"Snacky")</f>
        <v>Snacky</v>
      </c>
      <c r="C542" s="35">
        <f>IFERROR(__xludf.DUMMYFUNCTION("""COMPUTED_VALUE"""),1610.0)</f>
        <v>1610</v>
      </c>
      <c r="D542" s="1" t="str">
        <f>IFERROR(__xludf.DUMMYFUNCTION("""COMPUTED_VALUE"""),"LYD")</f>
        <v>LYD</v>
      </c>
      <c r="E542" s="1" t="str">
        <f>IFERROR(__xludf.DUMMYFUNCTION("""COMPUTED_VALUE"""),"Money In")</f>
        <v>Money In</v>
      </c>
      <c r="F542" s="1" t="str">
        <f>IFERROR(__xludf.DUMMYFUNCTION("""COMPUTED_VALUE"""),"Revenue")</f>
        <v>Revenue</v>
      </c>
      <c r="G542" s="1" t="str">
        <f>IFERROR(__xludf.DUMMYFUNCTION("""COMPUTED_VALUE"""),"AlTahaddy")</f>
        <v>AlTahaddy</v>
      </c>
      <c r="H542" s="1"/>
    </row>
    <row r="543">
      <c r="A543" s="36">
        <f>IFERROR(__xludf.DUMMYFUNCTION("""COMPUTED_VALUE"""),46142.0)</f>
        <v>46142</v>
      </c>
      <c r="B543" s="1" t="str">
        <f>IFERROR(__xludf.DUMMYFUNCTION("""COMPUTED_VALUE"""),"Snacky")</f>
        <v>Snacky</v>
      </c>
      <c r="C543" s="35">
        <f>IFERROR(__xludf.DUMMYFUNCTION("""COMPUTED_VALUE"""),2564.0)</f>
        <v>2564</v>
      </c>
      <c r="D543" s="1" t="str">
        <f>IFERROR(__xludf.DUMMYFUNCTION("""COMPUTED_VALUE"""),"LYD")</f>
        <v>LYD</v>
      </c>
      <c r="E543" s="1" t="str">
        <f>IFERROR(__xludf.DUMMYFUNCTION("""COMPUTED_VALUE"""),"Money In")</f>
        <v>Money In</v>
      </c>
      <c r="F543" s="1" t="str">
        <f>IFERROR(__xludf.DUMMYFUNCTION("""COMPUTED_VALUE"""),"Revenue")</f>
        <v>Revenue</v>
      </c>
      <c r="G543" s="1" t="str">
        <f>IFERROR(__xludf.DUMMYFUNCTION("""COMPUTED_VALUE"""),"HTLand")</f>
        <v>HTLand</v>
      </c>
      <c r="H543" s="1"/>
    </row>
    <row r="544">
      <c r="A544" s="36">
        <f>IFERROR(__xludf.DUMMYFUNCTION("""COMPUTED_VALUE"""),46142.0)</f>
        <v>46142</v>
      </c>
      <c r="B544" s="1" t="str">
        <f>IFERROR(__xludf.DUMMYFUNCTION("""COMPUTED_VALUE"""),"Snacky")</f>
        <v>Snacky</v>
      </c>
      <c r="C544" s="35">
        <f>IFERROR(__xludf.DUMMYFUNCTION("""COMPUTED_VALUE"""),1276.0)</f>
        <v>1276</v>
      </c>
      <c r="D544" s="1" t="str">
        <f>IFERROR(__xludf.DUMMYFUNCTION("""COMPUTED_VALUE"""),"LYD")</f>
        <v>LYD</v>
      </c>
      <c r="E544" s="1" t="str">
        <f>IFERROR(__xludf.DUMMYFUNCTION("""COMPUTED_VALUE"""),"Money In")</f>
        <v>Money In</v>
      </c>
      <c r="F544" s="1" t="str">
        <f>IFERROR(__xludf.DUMMYFUNCTION("""COMPUTED_VALUE"""),"Revenue")</f>
        <v>Revenue</v>
      </c>
      <c r="G544" s="1" t="str">
        <f>IFERROR(__xludf.DUMMYFUNCTION("""COMPUTED_VALUE"""),"AlmouasafatHospital")</f>
        <v>AlmouasafatHospital</v>
      </c>
      <c r="H544" s="1"/>
    </row>
    <row r="545">
      <c r="A545" s="36">
        <f>IFERROR(__xludf.DUMMYFUNCTION("""COMPUTED_VALUE"""),46142.0)</f>
        <v>46142</v>
      </c>
      <c r="B545" s="1" t="str">
        <f>IFERROR(__xludf.DUMMYFUNCTION("""COMPUTED_VALUE"""),"Snacky")</f>
        <v>Snacky</v>
      </c>
      <c r="C545" s="35">
        <f>IFERROR(__xludf.DUMMYFUNCTION("""COMPUTED_VALUE"""),2335.0)</f>
        <v>2335</v>
      </c>
      <c r="D545" s="1" t="str">
        <f>IFERROR(__xludf.DUMMYFUNCTION("""COMPUTED_VALUE"""),"LYD")</f>
        <v>LYD</v>
      </c>
      <c r="E545" s="1" t="str">
        <f>IFERROR(__xludf.DUMMYFUNCTION("""COMPUTED_VALUE"""),"Money In")</f>
        <v>Money In</v>
      </c>
      <c r="F545" s="1" t="str">
        <f>IFERROR(__xludf.DUMMYFUNCTION("""COMPUTED_VALUE"""),"Revenue")</f>
        <v>Revenue</v>
      </c>
      <c r="G545" s="1" t="str">
        <f>IFERROR(__xludf.DUMMYFUNCTION("""COMPUTED_VALUE"""),"Istiklal")</f>
        <v>Istiklal</v>
      </c>
      <c r="H545" s="1"/>
    </row>
    <row r="546">
      <c r="A546" s="36">
        <f>IFERROR(__xludf.DUMMYFUNCTION("""COMPUTED_VALUE"""),46142.0)</f>
        <v>46142</v>
      </c>
      <c r="B546" s="1" t="str">
        <f>IFERROR(__xludf.DUMMYFUNCTION("""COMPUTED_VALUE"""),"Snacky")</f>
        <v>Snacky</v>
      </c>
      <c r="C546" s="35">
        <f>IFERROR(__xludf.DUMMYFUNCTION("""COMPUTED_VALUE"""),874.0)</f>
        <v>874</v>
      </c>
      <c r="D546" s="1" t="str">
        <f>IFERROR(__xludf.DUMMYFUNCTION("""COMPUTED_VALUE"""),"LYD")</f>
        <v>LYD</v>
      </c>
      <c r="E546" s="1" t="str">
        <f>IFERROR(__xludf.DUMMYFUNCTION("""COMPUTED_VALUE"""),"Money In")</f>
        <v>Money In</v>
      </c>
      <c r="F546" s="1" t="str">
        <f>IFERROR(__xludf.DUMMYFUNCTION("""COMPUTED_VALUE"""),"Revenue")</f>
        <v>Revenue</v>
      </c>
      <c r="G546" s="1" t="str">
        <f>IFERROR(__xludf.DUMMYFUNCTION("""COMPUTED_VALUE"""),"HTMall")</f>
        <v>HTMall</v>
      </c>
      <c r="H546" s="1"/>
    </row>
    <row r="547">
      <c r="A547" s="36">
        <f>IFERROR(__xludf.DUMMYFUNCTION("""COMPUTED_VALUE"""),46142.0)</f>
        <v>46142</v>
      </c>
      <c r="B547" s="1" t="str">
        <f>IFERROR(__xludf.DUMMYFUNCTION("""COMPUTED_VALUE"""),"Snacky")</f>
        <v>Snacky</v>
      </c>
      <c r="C547" s="35">
        <f>IFERROR(__xludf.DUMMYFUNCTION("""COMPUTED_VALUE"""),544.0)</f>
        <v>544</v>
      </c>
      <c r="D547" s="1" t="str">
        <f>IFERROR(__xludf.DUMMYFUNCTION("""COMPUTED_VALUE"""),"LYD")</f>
        <v>LYD</v>
      </c>
      <c r="E547" s="1" t="str">
        <f>IFERROR(__xludf.DUMMYFUNCTION("""COMPUTED_VALUE"""),"Money In")</f>
        <v>Money In</v>
      </c>
      <c r="F547" s="1" t="str">
        <f>IFERROR(__xludf.DUMMYFUNCTION("""COMPUTED_VALUE"""),"Revenue")</f>
        <v>Revenue</v>
      </c>
      <c r="G547" s="1" t="str">
        <f>IFERROR(__xludf.DUMMYFUNCTION("""COMPUTED_VALUE"""),"KhalijUniversity")</f>
        <v>KhalijUniversity</v>
      </c>
      <c r="H547" s="1"/>
    </row>
    <row r="548">
      <c r="A548" s="36">
        <f>IFERROR(__xludf.DUMMYFUNCTION("""COMPUTED_VALUE"""),46143.0)</f>
        <v>46143</v>
      </c>
      <c r="B548" s="1" t="str">
        <f>IFERROR(__xludf.DUMMYFUNCTION("""COMPUTED_VALUE"""),"Snacky")</f>
        <v>Snacky</v>
      </c>
      <c r="C548" s="35">
        <f>IFERROR(__xludf.DUMMYFUNCTION("""COMPUTED_VALUE"""),1488.0)</f>
        <v>1488</v>
      </c>
      <c r="D548" s="1" t="str">
        <f>IFERROR(__xludf.DUMMYFUNCTION("""COMPUTED_VALUE"""),"LYD")</f>
        <v>LYD</v>
      </c>
      <c r="E548" s="1" t="str">
        <f>IFERROR(__xludf.DUMMYFUNCTION("""COMPUTED_VALUE"""),"Money Out")</f>
        <v>Money Out</v>
      </c>
      <c r="F548" s="1" t="str">
        <f>IFERROR(__xludf.DUMMYFUNCTION("""COMPUTED_VALUE"""),"Product Restocking")</f>
        <v>Product Restocking</v>
      </c>
      <c r="G548" s="1"/>
      <c r="H548" s="1"/>
    </row>
    <row r="549">
      <c r="A549" s="36">
        <f>IFERROR(__xludf.DUMMYFUNCTION("""COMPUTED_VALUE"""),46144.0)</f>
        <v>46144</v>
      </c>
      <c r="B549" s="1" t="str">
        <f>IFERROR(__xludf.DUMMYFUNCTION("""COMPUTED_VALUE"""),"Snacky")</f>
        <v>Snacky</v>
      </c>
      <c r="C549" s="35">
        <f>IFERROR(__xludf.DUMMYFUNCTION("""COMPUTED_VALUE"""),1201.0)</f>
        <v>1201</v>
      </c>
      <c r="D549" s="1" t="str">
        <f>IFERROR(__xludf.DUMMYFUNCTION("""COMPUTED_VALUE"""),"LYD")</f>
        <v>LYD</v>
      </c>
      <c r="E549" s="1" t="str">
        <f>IFERROR(__xludf.DUMMYFUNCTION("""COMPUTED_VALUE"""),"Money Out")</f>
        <v>Money Out</v>
      </c>
      <c r="F549" s="1" t="str">
        <f>IFERROR(__xludf.DUMMYFUNCTION("""COMPUTED_VALUE"""),"Product Restocking")</f>
        <v>Product Restocking</v>
      </c>
      <c r="G549" s="1"/>
      <c r="H549" s="1"/>
    </row>
    <row r="550">
      <c r="A550" s="36">
        <f>IFERROR(__xludf.DUMMYFUNCTION("""COMPUTED_VALUE"""),46145.0)</f>
        <v>46145</v>
      </c>
      <c r="B550" s="1" t="str">
        <f>IFERROR(__xludf.DUMMYFUNCTION("""COMPUTED_VALUE"""),"Snacky")</f>
        <v>Snacky</v>
      </c>
      <c r="C550" s="35">
        <f>IFERROR(__xludf.DUMMYFUNCTION("""COMPUTED_VALUE"""),827.0)</f>
        <v>827</v>
      </c>
      <c r="D550" s="1" t="str">
        <f>IFERROR(__xludf.DUMMYFUNCTION("""COMPUTED_VALUE"""),"LYD")</f>
        <v>LYD</v>
      </c>
      <c r="E550" s="1" t="str">
        <f>IFERROR(__xludf.DUMMYFUNCTION("""COMPUTED_VALUE"""),"Money Out")</f>
        <v>Money Out</v>
      </c>
      <c r="F550" s="1" t="str">
        <f>IFERROR(__xludf.DUMMYFUNCTION("""COMPUTED_VALUE"""),"Product Restocking")</f>
        <v>Product Restocking</v>
      </c>
      <c r="G550" s="1"/>
      <c r="H550" s="1"/>
    </row>
    <row r="551">
      <c r="A551" s="36">
        <f>IFERROR(__xludf.DUMMYFUNCTION("""COMPUTED_VALUE"""),46147.0)</f>
        <v>46147</v>
      </c>
      <c r="B551" s="1" t="str">
        <f>IFERROR(__xludf.DUMMYFUNCTION("""COMPUTED_VALUE"""),"Snacky")</f>
        <v>Snacky</v>
      </c>
      <c r="C551" s="1"/>
      <c r="D551" s="1" t="str">
        <f>IFERROR(__xludf.DUMMYFUNCTION("""COMPUTED_VALUE"""),"LYD")</f>
        <v>LYD</v>
      </c>
      <c r="E551" s="1"/>
      <c r="F551" s="1"/>
      <c r="G551" s="1"/>
      <c r="H551" s="1"/>
    </row>
    <row r="552">
      <c r="A552" s="36">
        <f>IFERROR(__xludf.DUMMYFUNCTION("""COMPUTED_VALUE"""),46156.0)</f>
        <v>46156</v>
      </c>
      <c r="B552" s="1" t="str">
        <f>IFERROR(__xludf.DUMMYFUNCTION("""COMPUTED_VALUE"""),"Snacky")</f>
        <v>Snacky</v>
      </c>
      <c r="C552" s="1"/>
      <c r="D552" s="1" t="str">
        <f>IFERROR(__xludf.DUMMYFUNCTION("""COMPUTED_VALUE"""),"LYD")</f>
        <v>LYD</v>
      </c>
      <c r="E552" s="1"/>
      <c r="F552" s="1"/>
      <c r="G552" s="1"/>
      <c r="H552" s="1"/>
    </row>
    <row r="553">
      <c r="A553" s="36">
        <f>IFERROR(__xludf.DUMMYFUNCTION("""COMPUTED_VALUE"""),46157.0)</f>
        <v>46157</v>
      </c>
      <c r="B553" s="1" t="str">
        <f>IFERROR(__xludf.DUMMYFUNCTION("""COMPUTED_VALUE"""),"Snacky")</f>
        <v>Snacky</v>
      </c>
      <c r="C553" s="1"/>
      <c r="D553" s="1" t="str">
        <f>IFERROR(__xludf.DUMMYFUNCTION("""COMPUTED_VALUE"""),"LYD")</f>
        <v>LYD</v>
      </c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</sheetData>
  <hyperlinks>
    <hyperlink r:id="rId1" ref="H8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
""https://docs.google.com/spreadsheets/d/1ztUylHNRZZ49JZNwSA5fStR0A_FGNfCYjIeCVRPtVnc/edit?gid=1821668417#gid=1821668417"",
""MachineRefills!A:H""
)
"),"RefillID")</f>
        <v>RefillID</v>
      </c>
      <c r="B1" s="1" t="str">
        <f>IFERROR(__xludf.DUMMYFUNCTION("""COMPUTED_VALUE"""),"DateTime")</f>
        <v>DateTime</v>
      </c>
      <c r="C1" s="1" t="str">
        <f>IFERROR(__xludf.DUMMYFUNCTION("""COMPUTED_VALUE"""),"Machine Name")</f>
        <v>Machine Name</v>
      </c>
      <c r="D1" s="1" t="str">
        <f>IFERROR(__xludf.DUMMYFUNCTION("""COMPUTED_VALUE"""),"OperatorEmail")</f>
        <v>OperatorEmail</v>
      </c>
      <c r="E1" s="1" t="str">
        <f>IFERROR(__xludf.DUMMYFUNCTION("""COMPUTED_VALUE"""),"MachinePhoto")</f>
        <v>MachinePhoto</v>
      </c>
      <c r="F1" s="1" t="str">
        <f>IFERROR(__xludf.DUMMYFUNCTION("""COMPUTED_VALUE"""),"FillStatus")</f>
        <v>FillStatus</v>
      </c>
      <c r="G1" s="1" t="str">
        <f>IFERROR(__xludf.DUMMYFUNCTION("""COMPUTED_VALUE"""),"IssuesFound")</f>
        <v>IssuesFound</v>
      </c>
      <c r="H1" s="1" t="str">
        <f>IFERROR(__xludf.DUMMYFUNCTION("""COMPUTED_VALUE"""),"IssueNotes")</f>
        <v>IssueNotes</v>
      </c>
    </row>
    <row r="2">
      <c r="A2" s="1" t="str">
        <f>IFERROR(__xludf.DUMMYFUNCTION("""COMPUTED_VALUE"""),"33b497c1")</f>
        <v>33b497c1</v>
      </c>
      <c r="B2" s="30">
        <f>IFERROR(__xludf.DUMMYFUNCTION("""COMPUTED_VALUE"""),46008.0)</f>
        <v>46008</v>
      </c>
      <c r="C2" s="1">
        <f>IFERROR(__xludf.DUMMYFUNCTION("""COMPUTED_VALUE"""),2.404120076E9)</f>
        <v>2404120076</v>
      </c>
      <c r="D2" s="1" t="str">
        <f>IFERROR(__xludf.DUMMYFUNCTION("""COMPUTED_VALUE"""),"zegallai911@gmail.com")</f>
        <v>zegallai911@gmail.com</v>
      </c>
      <c r="E2" s="37" t="str">
        <f>IFERROR(__xludf.DUMMYFUNCTION("""COMPUTED_VALUE"""),"https://drive.google.com/open?id=107jD0YxZFMGwbFdDrpiUs-CM-tgO2G2O")</f>
        <v>https://drive.google.com/open?id=107jD0YxZFMGwbFdDrpiUs-CM-tgO2G2O</v>
      </c>
      <c r="F2" s="1" t="str">
        <f>IFERROR(__xludf.DUMMYFUNCTION("""COMPUTED_VALUE"""),"Partial ")</f>
        <v>Partial </v>
      </c>
      <c r="G2" s="1" t="b">
        <f>IFERROR(__xludf.DUMMYFUNCTION("""COMPUTED_VALUE"""),FALSE)</f>
        <v>0</v>
      </c>
      <c r="H2" s="1"/>
    </row>
    <row r="3">
      <c r="A3" s="1" t="str">
        <f>IFERROR(__xludf.DUMMYFUNCTION("""COMPUTED_VALUE"""),"33b497c3")</f>
        <v>33b497c3</v>
      </c>
      <c r="B3" s="30">
        <f>IFERROR(__xludf.DUMMYFUNCTION("""COMPUTED_VALUE"""),46014.0)</f>
        <v>46014</v>
      </c>
      <c r="C3" s="1">
        <f>IFERROR(__xludf.DUMMYFUNCTION("""COMPUTED_VALUE"""),2.411000046E9)</f>
        <v>2411000046</v>
      </c>
      <c r="D3" s="1" t="str">
        <f>IFERROR(__xludf.DUMMYFUNCTION("""COMPUTED_VALUE"""),"zegallai911@gmail.com")</f>
        <v>zegallai911@gmail.com</v>
      </c>
      <c r="E3" s="1" t="str">
        <f>IFERROR(__xludf.DUMMYFUNCTION("""COMPUTED_VALUE"""),"MachineRefills_Images/33b497c3.MachinePhoto.jpg")</f>
        <v>MachineRefills_Images/33b497c3.MachinePhoto.jpg</v>
      </c>
      <c r="F3" s="1" t="str">
        <f>IFERROR(__xludf.DUMMYFUNCTION("""COMPUTED_VALUE"""),"Partial ")</f>
        <v>Partial </v>
      </c>
      <c r="G3" s="1" t="b">
        <f>IFERROR(__xludf.DUMMYFUNCTION("""COMPUTED_VALUE"""),TRUE)</f>
        <v>1</v>
      </c>
      <c r="H3" s="1" t="str">
        <f>IFERROR(__xludf.DUMMYFUNCTION("""COMPUTED_VALUE"""),"قروش حاصلات")</f>
        <v>قروش حاصلات</v>
      </c>
    </row>
    <row r="4">
      <c r="A4" s="1" t="str">
        <f>IFERROR(__xludf.DUMMYFUNCTION("""COMPUTED_VALUE"""),"33b497c2")</f>
        <v>33b497c2</v>
      </c>
      <c r="B4" s="30">
        <f>IFERROR(__xludf.DUMMYFUNCTION("""COMPUTED_VALUE"""),46010.0)</f>
        <v>46010</v>
      </c>
      <c r="C4" s="1">
        <f>IFERROR(__xludf.DUMMYFUNCTION("""COMPUTED_VALUE"""),2.509000371E9)</f>
        <v>2509000371</v>
      </c>
      <c r="D4" s="1" t="str">
        <f>IFERROR(__xludf.DUMMYFUNCTION("""COMPUTED_VALUE"""),"anasgherfal@gmail.com")</f>
        <v>anasgherfal@gmail.com</v>
      </c>
      <c r="E4" s="1" t="str">
        <f>IFERROR(__xludf.DUMMYFUNCTION("""COMPUTED_VALUE"""),"MachineRefills_Images/33b497c2.MachinePhoto.225841.jpg")</f>
        <v>MachineRefills_Images/33b497c2.MachinePhoto.225841.jpg</v>
      </c>
      <c r="F4" s="1" t="str">
        <f>IFERROR(__xludf.DUMMYFUNCTION("""COMPUTED_VALUE"""),"Full")</f>
        <v>Full</v>
      </c>
      <c r="G4" s="1" t="b">
        <f>IFERROR(__xludf.DUMMYFUNCTION("""COMPUTED_VALUE"""),FALSE)</f>
        <v>0</v>
      </c>
      <c r="H4" s="1"/>
    </row>
    <row r="5">
      <c r="A5" s="1" t="str">
        <f>IFERROR(__xludf.DUMMYFUNCTION("""COMPUTED_VALUE"""),"33b497c4")</f>
        <v>33b497c4</v>
      </c>
      <c r="B5" s="30">
        <f>IFERROR(__xludf.DUMMYFUNCTION("""COMPUTED_VALUE"""),46015.0)</f>
        <v>46015</v>
      </c>
      <c r="C5" s="1">
        <f>IFERROR(__xludf.DUMMYFUNCTION("""COMPUTED_VALUE"""),2.509000371E9)</f>
        <v>2509000371</v>
      </c>
      <c r="D5" s="1" t="str">
        <f>IFERROR(__xludf.DUMMYFUNCTION("""COMPUTED_VALUE"""),"zegallai911@gmail.com")</f>
        <v>zegallai911@gmail.com</v>
      </c>
      <c r="E5" s="1" t="str">
        <f>IFERROR(__xludf.DUMMYFUNCTION("""COMPUTED_VALUE"""),"MachineRefills_Images/33b497c4.MachinePhoto.jpg")</f>
        <v>MachineRefills_Images/33b497c4.MachinePhoto.jpg</v>
      </c>
      <c r="F5" s="1" t="str">
        <f>IFERROR(__xludf.DUMMYFUNCTION("""COMPUTED_VALUE"""),"Full")</f>
        <v>Full</v>
      </c>
      <c r="G5" s="1" t="b">
        <f>IFERROR(__xludf.DUMMYFUNCTION("""COMPUTED_VALUE"""),FALSE)</f>
        <v>0</v>
      </c>
      <c r="H5" s="1"/>
    </row>
    <row r="6">
      <c r="A6" s="1" t="str">
        <f>IFERROR(__xludf.DUMMYFUNCTION("""COMPUTED_VALUE"""),"e6dfa089")</f>
        <v>e6dfa089</v>
      </c>
      <c r="B6" s="30">
        <f>IFERROR(__xludf.DUMMYFUNCTION("""COMPUTED_VALUE"""),46016.0)</f>
        <v>46016</v>
      </c>
      <c r="C6" s="1">
        <f>IFERROR(__xludf.DUMMYFUNCTION("""COMPUTED_VALUE"""),2.404120076E9)</f>
        <v>2404120076</v>
      </c>
      <c r="D6" s="1" t="str">
        <f>IFERROR(__xludf.DUMMYFUNCTION("""COMPUTED_VALUE"""),"anasgherfal@gmail.com")</f>
        <v>anasgherfal@gmail.com</v>
      </c>
      <c r="E6" s="1" t="str">
        <f>IFERROR(__xludf.DUMMYFUNCTION("""COMPUTED_VALUE"""),"MachineRefills_Images/e6dfa089.MachinePhoto.015932.jpg")</f>
        <v>MachineRefills_Images/e6dfa089.MachinePhoto.015932.jpg</v>
      </c>
      <c r="F6" s="1" t="str">
        <f>IFERROR(__xludf.DUMMYFUNCTION("""COMPUTED_VALUE"""),"Full")</f>
        <v>Full</v>
      </c>
      <c r="G6" s="1" t="b">
        <f>IFERROR(__xludf.DUMMYFUNCTION("""COMPUTED_VALUE"""),TRUE)</f>
        <v>1</v>
      </c>
      <c r="H6" s="1" t="str">
        <f>IFERROR(__xludf.DUMMYFUNCTION("""COMPUTED_VALUE"""),"جني مطبق")</f>
        <v>جني مطبق</v>
      </c>
    </row>
    <row r="7">
      <c r="A7" s="1" t="str">
        <f>IFERROR(__xludf.DUMMYFUNCTION("""COMPUTED_VALUE"""),"cf8d90e7")</f>
        <v>cf8d90e7</v>
      </c>
      <c r="B7" s="30">
        <f>IFERROR(__xludf.DUMMYFUNCTION("""COMPUTED_VALUE"""),46016.0)</f>
        <v>46016</v>
      </c>
      <c r="C7" s="1">
        <f>IFERROR(__xludf.DUMMYFUNCTION("""COMPUTED_VALUE"""),2.509000371E9)</f>
        <v>2509000371</v>
      </c>
      <c r="D7" s="1" t="str">
        <f>IFERROR(__xludf.DUMMYFUNCTION("""COMPUTED_VALUE"""),"zegallai911@gmail.com")</f>
        <v>zegallai911@gmail.com</v>
      </c>
      <c r="E7" s="1" t="str">
        <f>IFERROR(__xludf.DUMMYFUNCTION("""COMPUTED_VALUE"""),"MachineRefills_Images/cf8d90e7.MachinePhoto.055424.jpg")</f>
        <v>MachineRefills_Images/cf8d90e7.MachinePhoto.055424.jpg</v>
      </c>
      <c r="F7" s="1"/>
      <c r="G7" s="1" t="b">
        <f>IFERROR(__xludf.DUMMYFUNCTION("""COMPUTED_VALUE"""),FALSE)</f>
        <v>0</v>
      </c>
      <c r="H7" s="1"/>
    </row>
    <row r="8">
      <c r="A8" s="1" t="str">
        <f>IFERROR(__xludf.DUMMYFUNCTION("""COMPUTED_VALUE"""),"ae439d32")</f>
        <v>ae439d32</v>
      </c>
      <c r="B8" s="30">
        <f>IFERROR(__xludf.DUMMYFUNCTION("""COMPUTED_VALUE"""),46017.0)</f>
        <v>46017</v>
      </c>
      <c r="C8" s="1">
        <f>IFERROR(__xludf.DUMMYFUNCTION("""COMPUTED_VALUE"""),2.411000046E9)</f>
        <v>2411000046</v>
      </c>
      <c r="D8" s="1" t="str">
        <f>IFERROR(__xludf.DUMMYFUNCTION("""COMPUTED_VALUE"""),"zegallai911@gmail.com")</f>
        <v>zegallai911@gmail.com</v>
      </c>
      <c r="E8" s="1" t="str">
        <f>IFERROR(__xludf.DUMMYFUNCTION("""COMPUTED_VALUE"""),"MachineRefills_Images/ae439d32.MachinePhoto.090058.jpg")</f>
        <v>MachineRefills_Images/ae439d32.MachinePhoto.090058.jpg</v>
      </c>
      <c r="F8" s="1"/>
      <c r="G8" s="1" t="b">
        <f>IFERROR(__xludf.DUMMYFUNCTION("""COMPUTED_VALUE"""),FALSE)</f>
        <v>0</v>
      </c>
      <c r="H8" s="1"/>
    </row>
    <row r="9">
      <c r="A9" s="1" t="str">
        <f>IFERROR(__xludf.DUMMYFUNCTION("""COMPUTED_VALUE"""),"b87330d3")</f>
        <v>b87330d3</v>
      </c>
      <c r="B9" s="30">
        <f>IFERROR(__xludf.DUMMYFUNCTION("""COMPUTED_VALUE"""),46017.0)</f>
        <v>46017</v>
      </c>
      <c r="C9" s="1">
        <f>IFERROR(__xludf.DUMMYFUNCTION("""COMPUTED_VALUE"""),2.509000371E9)</f>
        <v>2509000371</v>
      </c>
      <c r="D9" s="1" t="str">
        <f>IFERROR(__xludf.DUMMYFUNCTION("""COMPUTED_VALUE"""),"zegallai911@gmail.com")</f>
        <v>zegallai911@gmail.com</v>
      </c>
      <c r="E9" s="1" t="str">
        <f>IFERROR(__xludf.DUMMYFUNCTION("""COMPUTED_VALUE"""),"MachineRefills_Images/b87330d3.MachinePhoto.135929.jpg")</f>
        <v>MachineRefills_Images/b87330d3.MachinePhoto.135929.jpg</v>
      </c>
      <c r="F9" s="1" t="str">
        <f>IFERROR(__xludf.DUMMYFUNCTION("""COMPUTED_VALUE"""),"Full")</f>
        <v>Full</v>
      </c>
      <c r="G9" s="1" t="b">
        <f>IFERROR(__xludf.DUMMYFUNCTION("""COMPUTED_VALUE"""),FALSE)</f>
        <v>0</v>
      </c>
      <c r="H9" s="1"/>
    </row>
    <row r="10">
      <c r="A10" s="1" t="str">
        <f>IFERROR(__xludf.DUMMYFUNCTION("""COMPUTED_VALUE"""),"ca8b7387")</f>
        <v>ca8b7387</v>
      </c>
      <c r="B10" s="30">
        <f>IFERROR(__xludf.DUMMYFUNCTION("""COMPUTED_VALUE"""),46018.0)</f>
        <v>46018</v>
      </c>
      <c r="C10" s="1">
        <f>IFERROR(__xludf.DUMMYFUNCTION("""COMPUTED_VALUE"""),2.509000371E9)</f>
        <v>2509000371</v>
      </c>
      <c r="D10" s="1" t="str">
        <f>IFERROR(__xludf.DUMMYFUNCTION("""COMPUTED_VALUE"""),"zegallai911@gmail.com")</f>
        <v>zegallai911@gmail.com</v>
      </c>
      <c r="E10" s="1" t="str">
        <f>IFERROR(__xludf.DUMMYFUNCTION("""COMPUTED_VALUE"""),"MachineRefills_Images/ca8b7387.MachinePhoto.121611.jpg")</f>
        <v>MachineRefills_Images/ca8b7387.MachinePhoto.121611.jpg</v>
      </c>
      <c r="F10" s="1" t="str">
        <f>IFERROR(__xludf.DUMMYFUNCTION("""COMPUTED_VALUE"""),"Full")</f>
        <v>Full</v>
      </c>
      <c r="G10" s="1" t="b">
        <f>IFERROR(__xludf.DUMMYFUNCTION("""COMPUTED_VALUE"""),FALSE)</f>
        <v>0</v>
      </c>
      <c r="H10" s="1"/>
    </row>
    <row r="11">
      <c r="A11" s="1" t="str">
        <f>IFERROR(__xludf.DUMMYFUNCTION("""COMPUTED_VALUE"""),"a9abc1bc")</f>
        <v>a9abc1bc</v>
      </c>
      <c r="B11" s="30">
        <f>IFERROR(__xludf.DUMMYFUNCTION("""COMPUTED_VALUE"""),46018.0)</f>
        <v>46018</v>
      </c>
      <c r="C11" s="1">
        <f>IFERROR(__xludf.DUMMYFUNCTION("""COMPUTED_VALUE"""),2.503000217E9)</f>
        <v>2503000217</v>
      </c>
      <c r="D11" s="1" t="str">
        <f>IFERROR(__xludf.DUMMYFUNCTION("""COMPUTED_VALUE"""),"zegallai911@gmail.com")</f>
        <v>zegallai911@gmail.com</v>
      </c>
      <c r="E11" s="1" t="str">
        <f>IFERROR(__xludf.DUMMYFUNCTION("""COMPUTED_VALUE"""),"MachineRefills_Images/a9abc1bc.MachinePhoto.215725.jpg")</f>
        <v>MachineRefills_Images/a9abc1bc.MachinePhoto.215725.jpg</v>
      </c>
      <c r="F11" s="1" t="str">
        <f>IFERROR(__xludf.DUMMYFUNCTION("""COMPUTED_VALUE"""),"Partial")</f>
        <v>Partial</v>
      </c>
      <c r="G11" s="1" t="b">
        <f>IFERROR(__xludf.DUMMYFUNCTION("""COMPUTED_VALUE"""),FALSE)</f>
        <v>0</v>
      </c>
      <c r="H11" s="1"/>
    </row>
    <row r="12">
      <c r="A12" s="1" t="str">
        <f>IFERROR(__xludf.DUMMYFUNCTION("""COMPUTED_VALUE"""),"6a5e279e")</f>
        <v>6a5e279e</v>
      </c>
      <c r="B12" s="30">
        <f>IFERROR(__xludf.DUMMYFUNCTION("""COMPUTED_VALUE"""),46020.0)</f>
        <v>46020</v>
      </c>
      <c r="C12" s="1">
        <f>IFERROR(__xludf.DUMMYFUNCTION("""COMPUTED_VALUE"""),2.411000046E9)</f>
        <v>2411000046</v>
      </c>
      <c r="D12" s="1" t="str">
        <f>IFERROR(__xludf.DUMMYFUNCTION("""COMPUTED_VALUE"""),"zegallai911@gmail.com")</f>
        <v>zegallai911@gmail.com</v>
      </c>
      <c r="E12" s="1" t="str">
        <f>IFERROR(__xludf.DUMMYFUNCTION("""COMPUTED_VALUE"""),"MachineRefills_Images/6a5e279e.MachinePhoto.000304.jpg")</f>
        <v>MachineRefills_Images/6a5e279e.MachinePhoto.000304.jpg</v>
      </c>
      <c r="F12" s="1" t="str">
        <f>IFERROR(__xludf.DUMMYFUNCTION("""COMPUTED_VALUE"""),"Partial")</f>
        <v>Partial</v>
      </c>
      <c r="G12" s="1" t="b">
        <f>IFERROR(__xludf.DUMMYFUNCTION("""COMPUTED_VALUE"""),FALSE)</f>
        <v>0</v>
      </c>
      <c r="H12" s="1"/>
    </row>
    <row r="13">
      <c r="A13" s="1" t="str">
        <f>IFERROR(__xludf.DUMMYFUNCTION("""COMPUTED_VALUE"""),"c489690f")</f>
        <v>c489690f</v>
      </c>
      <c r="B13" s="30">
        <f>IFERROR(__xludf.DUMMYFUNCTION("""COMPUTED_VALUE"""),46020.0)</f>
        <v>46020</v>
      </c>
      <c r="C13" s="1">
        <f>IFERROR(__xludf.DUMMYFUNCTION("""COMPUTED_VALUE"""),2.503000217E9)</f>
        <v>2503000217</v>
      </c>
      <c r="D13" s="1" t="str">
        <f>IFERROR(__xludf.DUMMYFUNCTION("""COMPUTED_VALUE"""),"zegallai911@gmail.com")</f>
        <v>zegallai911@gmail.com</v>
      </c>
      <c r="E13" s="1" t="str">
        <f>IFERROR(__xludf.DUMMYFUNCTION("""COMPUTED_VALUE"""),"MachineRefills_Images/c489690f.MachinePhoto.003649.jpg")</f>
        <v>MachineRefills_Images/c489690f.MachinePhoto.003649.jpg</v>
      </c>
      <c r="F13" s="1" t="str">
        <f>IFERROR(__xludf.DUMMYFUNCTION("""COMPUTED_VALUE"""),"Partial")</f>
        <v>Partial</v>
      </c>
      <c r="G13" s="1" t="b">
        <f>IFERROR(__xludf.DUMMYFUNCTION("""COMPUTED_VALUE"""),FALSE)</f>
        <v>0</v>
      </c>
      <c r="H13" s="1"/>
    </row>
    <row r="14">
      <c r="A14" s="1" t="str">
        <f>IFERROR(__xludf.DUMMYFUNCTION("""COMPUTED_VALUE"""),"bf752e10")</f>
        <v>bf752e10</v>
      </c>
      <c r="B14" s="30">
        <f>IFERROR(__xludf.DUMMYFUNCTION("""COMPUTED_VALUE"""),46021.0)</f>
        <v>46021</v>
      </c>
      <c r="C14" s="1">
        <f>IFERROR(__xludf.DUMMYFUNCTION("""COMPUTED_VALUE"""),2.509000371E9)</f>
        <v>2509000371</v>
      </c>
      <c r="D14" s="1" t="str">
        <f>IFERROR(__xludf.DUMMYFUNCTION("""COMPUTED_VALUE"""),"zegallai911@gmail.com")</f>
        <v>zegallai911@gmail.com</v>
      </c>
      <c r="E14" s="1" t="str">
        <f>IFERROR(__xludf.DUMMYFUNCTION("""COMPUTED_VALUE"""),"MachineRefills_Images/bf752e10.MachinePhoto.122231.jpg")</f>
        <v>MachineRefills_Images/bf752e10.MachinePhoto.122231.jpg</v>
      </c>
      <c r="F14" s="1" t="str">
        <f>IFERROR(__xludf.DUMMYFUNCTION("""COMPUTED_VALUE"""),"Partial")</f>
        <v>Partial</v>
      </c>
      <c r="G14" s="1" t="b">
        <f>IFERROR(__xludf.DUMMYFUNCTION("""COMPUTED_VALUE"""),FALSE)</f>
        <v>0</v>
      </c>
      <c r="H14" s="1"/>
    </row>
    <row r="15">
      <c r="A15" s="1" t="str">
        <f>IFERROR(__xludf.DUMMYFUNCTION("""COMPUTED_VALUE"""),"64ddba9d")</f>
        <v>64ddba9d</v>
      </c>
      <c r="B15" s="30">
        <f>IFERROR(__xludf.DUMMYFUNCTION("""COMPUTED_VALUE"""),46022.0)</f>
        <v>46022</v>
      </c>
      <c r="C15" s="1">
        <f>IFERROR(__xludf.DUMMYFUNCTION("""COMPUTED_VALUE"""),2.404120076E9)</f>
        <v>2404120076</v>
      </c>
      <c r="D15" s="1" t="str">
        <f>IFERROR(__xludf.DUMMYFUNCTION("""COMPUTED_VALUE"""),"zegallai911@gmail.com")</f>
        <v>zegallai911@gmail.com</v>
      </c>
      <c r="E15" s="1" t="str">
        <f>IFERROR(__xludf.DUMMYFUNCTION("""COMPUTED_VALUE"""),"MachineRefills_Images/64ddba9d.MachinePhoto.220415.jpg")</f>
        <v>MachineRefills_Images/64ddba9d.MachinePhoto.220415.jpg</v>
      </c>
      <c r="F15" s="1" t="str">
        <f>IFERROR(__xludf.DUMMYFUNCTION("""COMPUTED_VALUE"""),"Partial")</f>
        <v>Partial</v>
      </c>
      <c r="G15" s="1" t="b">
        <f>IFERROR(__xludf.DUMMYFUNCTION("""COMPUTED_VALUE"""),FALSE)</f>
        <v>0</v>
      </c>
      <c r="H15" s="1"/>
    </row>
    <row r="16">
      <c r="A16" s="1" t="str">
        <f>IFERROR(__xludf.DUMMYFUNCTION("""COMPUTED_VALUE"""),"ec428004")</f>
        <v>ec428004</v>
      </c>
      <c r="B16" s="30">
        <f>IFERROR(__xludf.DUMMYFUNCTION("""COMPUTED_VALUE"""),46022.0)</f>
        <v>46022</v>
      </c>
      <c r="C16" s="1">
        <f>IFERROR(__xludf.DUMMYFUNCTION("""COMPUTED_VALUE"""),2.503000217E9)</f>
        <v>2503000217</v>
      </c>
      <c r="D16" s="1" t="str">
        <f>IFERROR(__xludf.DUMMYFUNCTION("""COMPUTED_VALUE"""),"zegallai911@gmail.com")</f>
        <v>zegallai911@gmail.com</v>
      </c>
      <c r="E16" s="1" t="str">
        <f>IFERROR(__xludf.DUMMYFUNCTION("""COMPUTED_VALUE"""),"MachineRefills_Images/ec428004.MachinePhoto.234055.jpg")</f>
        <v>MachineRefills_Images/ec428004.MachinePhoto.234055.jpg</v>
      </c>
      <c r="F16" s="1" t="str">
        <f>IFERROR(__xludf.DUMMYFUNCTION("""COMPUTED_VALUE"""),"Partial")</f>
        <v>Partial</v>
      </c>
      <c r="G16" s="1" t="b">
        <f>IFERROR(__xludf.DUMMYFUNCTION("""COMPUTED_VALUE"""),TRUE)</f>
        <v>1</v>
      </c>
      <c r="H16" s="1" t="str">
        <f>IFERROR(__xludf.DUMMYFUNCTION("""COMPUTED_VALUE"""),"تشينج عالق")</f>
        <v>تشينج عالق</v>
      </c>
    </row>
    <row r="17">
      <c r="A17" s="1" t="str">
        <f>IFERROR(__xludf.DUMMYFUNCTION("""COMPUTED_VALUE"""),"9b1c9f32")</f>
        <v>9b1c9f32</v>
      </c>
      <c r="B17" s="30">
        <f>IFERROR(__xludf.DUMMYFUNCTION("""COMPUTED_VALUE"""),46022.0)</f>
        <v>46022</v>
      </c>
      <c r="C17" s="1">
        <f>IFERROR(__xludf.DUMMYFUNCTION("""COMPUTED_VALUE"""),2.503000217E9)</f>
        <v>2503000217</v>
      </c>
      <c r="D17" s="1" t="str">
        <f>IFERROR(__xludf.DUMMYFUNCTION("""COMPUTED_VALUE"""),"zegallai911@gmail.com")</f>
        <v>zegallai911@gmail.com</v>
      </c>
      <c r="E17" s="1" t="str">
        <f>IFERROR(__xludf.DUMMYFUNCTION("""COMPUTED_VALUE"""),"MachineRefills_Images/9b1c9f32.MachinePhoto.210325.jpg")</f>
        <v>MachineRefills_Images/9b1c9f32.MachinePhoto.210325.jpg</v>
      </c>
      <c r="F17" s="1" t="str">
        <f>IFERROR(__xludf.DUMMYFUNCTION("""COMPUTED_VALUE"""),"Partial")</f>
        <v>Partial</v>
      </c>
      <c r="G17" s="1" t="b">
        <f>IFERROR(__xludf.DUMMYFUNCTION("""COMPUTED_VALUE"""),FALSE)</f>
        <v>0</v>
      </c>
      <c r="H17" s="1"/>
    </row>
    <row r="18">
      <c r="A18" s="1" t="str">
        <f>IFERROR(__xludf.DUMMYFUNCTION("""COMPUTED_VALUE"""),"4a23ab6d")</f>
        <v>4a23ab6d</v>
      </c>
      <c r="B18" s="30">
        <f>IFERROR(__xludf.DUMMYFUNCTION("""COMPUTED_VALUE"""),46023.0)</f>
        <v>46023</v>
      </c>
      <c r="C18" s="1">
        <f>IFERROR(__xludf.DUMMYFUNCTION("""COMPUTED_VALUE"""),2.411000046E9)</f>
        <v>2411000046</v>
      </c>
      <c r="D18" s="1" t="str">
        <f>IFERROR(__xludf.DUMMYFUNCTION("""COMPUTED_VALUE"""),"zegallai911@gmail.com")</f>
        <v>zegallai911@gmail.com</v>
      </c>
      <c r="E18" s="1" t="str">
        <f>IFERROR(__xludf.DUMMYFUNCTION("""COMPUTED_VALUE"""),"MachineRefills_Images/4a23ab6d.MachinePhoto.221925.jpg")</f>
        <v>MachineRefills_Images/4a23ab6d.MachinePhoto.221925.jpg</v>
      </c>
      <c r="F18" s="1" t="str">
        <f>IFERROR(__xludf.DUMMYFUNCTION("""COMPUTED_VALUE"""),"Partial")</f>
        <v>Partial</v>
      </c>
      <c r="G18" s="1" t="b">
        <f>IFERROR(__xludf.DUMMYFUNCTION("""COMPUTED_VALUE"""),FALSE)</f>
        <v>0</v>
      </c>
      <c r="H18" s="1"/>
    </row>
    <row r="19">
      <c r="A19" s="1" t="str">
        <f>IFERROR(__xludf.DUMMYFUNCTION("""COMPUTED_VALUE"""),"7f273e51")</f>
        <v>7f273e51</v>
      </c>
      <c r="B19" s="30">
        <f>IFERROR(__xludf.DUMMYFUNCTION("""COMPUTED_VALUE"""),46023.0)</f>
        <v>46023</v>
      </c>
      <c r="C19" s="1">
        <f>IFERROR(__xludf.DUMMYFUNCTION("""COMPUTED_VALUE"""),2.509000371E9)</f>
        <v>2509000371</v>
      </c>
      <c r="D19" s="1" t="str">
        <f>IFERROR(__xludf.DUMMYFUNCTION("""COMPUTED_VALUE"""),"zegallai911@gmail.com")</f>
        <v>zegallai911@gmail.com</v>
      </c>
      <c r="E19" s="1" t="str">
        <f>IFERROR(__xludf.DUMMYFUNCTION("""COMPUTED_VALUE"""),"MachineRefills_Images/7f273e51.MachinePhoto.094011.jpg")</f>
        <v>MachineRefills_Images/7f273e51.MachinePhoto.094011.jpg</v>
      </c>
      <c r="F19" s="1" t="str">
        <f>IFERROR(__xludf.DUMMYFUNCTION("""COMPUTED_VALUE"""),"Partial")</f>
        <v>Partial</v>
      </c>
      <c r="G19" s="1" t="b">
        <f>IFERROR(__xludf.DUMMYFUNCTION("""COMPUTED_VALUE"""),TRUE)</f>
        <v>1</v>
      </c>
      <c r="H19" s="1" t="str">
        <f>IFERROR(__xludf.DUMMYFUNCTION("""COMPUTED_VALUE"""),"جني حاصل")</f>
        <v>جني حاصل</v>
      </c>
    </row>
    <row r="20">
      <c r="A20" s="1" t="str">
        <f>IFERROR(__xludf.DUMMYFUNCTION("""COMPUTED_VALUE"""),"7c579d32")</f>
        <v>7c579d32</v>
      </c>
      <c r="B20" s="30">
        <f>IFERROR(__xludf.DUMMYFUNCTION("""COMPUTED_VALUE"""),46023.0)</f>
        <v>46023</v>
      </c>
      <c r="C20" s="1">
        <f>IFERROR(__xludf.DUMMYFUNCTION("""COMPUTED_VALUE"""),2.404120076E9)</f>
        <v>2404120076</v>
      </c>
      <c r="D20" s="1" t="str">
        <f>IFERROR(__xludf.DUMMYFUNCTION("""COMPUTED_VALUE"""),"zegallai911@gmail.com")</f>
        <v>zegallai911@gmail.com</v>
      </c>
      <c r="E20" s="1" t="str">
        <f>IFERROR(__xludf.DUMMYFUNCTION("""COMPUTED_VALUE"""),"MachineRefills_Images/7c579d32.MachinePhoto.110133.jpg")</f>
        <v>MachineRefills_Images/7c579d32.MachinePhoto.110133.jpg</v>
      </c>
      <c r="F20" s="1" t="str">
        <f>IFERROR(__xludf.DUMMYFUNCTION("""COMPUTED_VALUE"""),"Partial")</f>
        <v>Partial</v>
      </c>
      <c r="G20" s="1" t="b">
        <f>IFERROR(__xludf.DUMMYFUNCTION("""COMPUTED_VALUE"""),FALSE)</f>
        <v>0</v>
      </c>
      <c r="H20" s="1"/>
    </row>
    <row r="21">
      <c r="A21" s="1" t="str">
        <f>IFERROR(__xludf.DUMMYFUNCTION("""COMPUTED_VALUE"""),"5cf74259")</f>
        <v>5cf74259</v>
      </c>
      <c r="B21" s="30">
        <f>IFERROR(__xludf.DUMMYFUNCTION("""COMPUTED_VALUE"""),46024.0)</f>
        <v>46024</v>
      </c>
      <c r="C21" s="1">
        <f>IFERROR(__xludf.DUMMYFUNCTION("""COMPUTED_VALUE"""),2.509000371E9)</f>
        <v>2509000371</v>
      </c>
      <c r="D21" s="1" t="str">
        <f>IFERROR(__xludf.DUMMYFUNCTION("""COMPUTED_VALUE"""),"anasgherfal@gmail.com")</f>
        <v>anasgherfal@gmail.com</v>
      </c>
      <c r="E21" s="1" t="str">
        <f>IFERROR(__xludf.DUMMYFUNCTION("""COMPUTED_VALUE"""),"MachineRefills_Images/5cf74259.MachinePhoto.154227.jpg")</f>
        <v>MachineRefills_Images/5cf74259.MachinePhoto.154227.jpg</v>
      </c>
      <c r="F21" s="1" t="str">
        <f>IFERROR(__xludf.DUMMYFUNCTION("""COMPUTED_VALUE"""),"Partial")</f>
        <v>Partial</v>
      </c>
      <c r="G21" s="1" t="b">
        <f>IFERROR(__xludf.DUMMYFUNCTION("""COMPUTED_VALUE"""),FALSE)</f>
        <v>0</v>
      </c>
      <c r="H21" s="1"/>
    </row>
    <row r="22">
      <c r="A22" s="1" t="str">
        <f>IFERROR(__xludf.DUMMYFUNCTION("""COMPUTED_VALUE"""),"8b2f2f8a")</f>
        <v>8b2f2f8a</v>
      </c>
      <c r="B22" s="30">
        <f>IFERROR(__xludf.DUMMYFUNCTION("""COMPUTED_VALUE"""),46025.0)</f>
        <v>46025</v>
      </c>
      <c r="C22" s="1">
        <f>IFERROR(__xludf.DUMMYFUNCTION("""COMPUTED_VALUE"""),2.404120076E9)</f>
        <v>2404120076</v>
      </c>
      <c r="D22" s="1" t="str">
        <f>IFERROR(__xludf.DUMMYFUNCTION("""COMPUTED_VALUE"""),"anasgherfal@gmail.com")</f>
        <v>anasgherfal@gmail.com</v>
      </c>
      <c r="E22" s="1" t="str">
        <f>IFERROR(__xludf.DUMMYFUNCTION("""COMPUTED_VALUE"""),"MachineRefills_Images/8b2f2f8a.MachinePhoto.093029.jpg")</f>
        <v>MachineRefills_Images/8b2f2f8a.MachinePhoto.093029.jpg</v>
      </c>
      <c r="F22" s="1" t="str">
        <f>IFERROR(__xludf.DUMMYFUNCTION("""COMPUTED_VALUE"""),"Partial")</f>
        <v>Partial</v>
      </c>
      <c r="G22" s="1" t="b">
        <f>IFERROR(__xludf.DUMMYFUNCTION("""COMPUTED_VALUE"""),FALSE)</f>
        <v>0</v>
      </c>
      <c r="H22" s="1"/>
    </row>
    <row r="23">
      <c r="A23" s="1" t="str">
        <f>IFERROR(__xludf.DUMMYFUNCTION("""COMPUTED_VALUE"""),"6f9cf986")</f>
        <v>6f9cf986</v>
      </c>
      <c r="B23" s="30">
        <f>IFERROR(__xludf.DUMMYFUNCTION("""COMPUTED_VALUE"""),46024.0)</f>
        <v>46024</v>
      </c>
      <c r="C23" s="1">
        <f>IFERROR(__xludf.DUMMYFUNCTION("""COMPUTED_VALUE"""),2.404120076E9)</f>
        <v>2404120076</v>
      </c>
      <c r="D23" s="1" t="str">
        <f>IFERROR(__xludf.DUMMYFUNCTION("""COMPUTED_VALUE"""),"anasgherfal@gmail.com")</f>
        <v>anasgherfal@gmail.com</v>
      </c>
      <c r="E23" s="1" t="str">
        <f>IFERROR(__xludf.DUMMYFUNCTION("""COMPUTED_VALUE"""),"MachineRefills_Images/6f9cf986.MachinePhoto.093051.jpg")</f>
        <v>MachineRefills_Images/6f9cf986.MachinePhoto.093051.jpg</v>
      </c>
      <c r="F23" s="1" t="str">
        <f>IFERROR(__xludf.DUMMYFUNCTION("""COMPUTED_VALUE"""),"Partial")</f>
        <v>Partial</v>
      </c>
      <c r="G23" s="1" t="b">
        <f>IFERROR(__xludf.DUMMYFUNCTION("""COMPUTED_VALUE"""),TRUE)</f>
        <v>1</v>
      </c>
      <c r="H23" s="1" t="str">
        <f>IFERROR(__xludf.DUMMYFUNCTION("""COMPUTED_VALUE"""),"مشكلة في ترجيع الفلوس")</f>
        <v>مشكلة في ترجيع الفلوس</v>
      </c>
    </row>
    <row r="24">
      <c r="A24" s="1" t="str">
        <f>IFERROR(__xludf.DUMMYFUNCTION("""COMPUTED_VALUE"""),"5de67d66")</f>
        <v>5de67d66</v>
      </c>
      <c r="B24" s="30">
        <f>IFERROR(__xludf.DUMMYFUNCTION("""COMPUTED_VALUE"""),46025.0)</f>
        <v>46025</v>
      </c>
      <c r="C24" s="1">
        <f>IFERROR(__xludf.DUMMYFUNCTION("""COMPUTED_VALUE"""),2.509000371E9)</f>
        <v>2509000371</v>
      </c>
      <c r="D24" s="1" t="str">
        <f>IFERROR(__xludf.DUMMYFUNCTION("""COMPUTED_VALUE"""),"anasgherfal@gmail.com")</f>
        <v>anasgherfal@gmail.com</v>
      </c>
      <c r="E24" s="1" t="str">
        <f>IFERROR(__xludf.DUMMYFUNCTION("""COMPUTED_VALUE"""),"MachineRefills_Images/5de67d66.MachinePhoto.115943.jpg")</f>
        <v>MachineRefills_Images/5de67d66.MachinePhoto.115943.jpg</v>
      </c>
      <c r="F24" s="1" t="str">
        <f>IFERROR(__xludf.DUMMYFUNCTION("""COMPUTED_VALUE"""),"Full")</f>
        <v>Full</v>
      </c>
      <c r="G24" s="1" t="b">
        <f>IFERROR(__xludf.DUMMYFUNCTION("""COMPUTED_VALUE"""),FALSE)</f>
        <v>0</v>
      </c>
      <c r="H24" s="1"/>
    </row>
    <row r="25">
      <c r="A25" s="1" t="str">
        <f>IFERROR(__xludf.DUMMYFUNCTION("""COMPUTED_VALUE"""),"7f03e856")</f>
        <v>7f03e856</v>
      </c>
      <c r="B25" s="30">
        <f>IFERROR(__xludf.DUMMYFUNCTION("""COMPUTED_VALUE"""),46026.0)</f>
        <v>46026</v>
      </c>
      <c r="C25" s="1">
        <f>IFERROR(__xludf.DUMMYFUNCTION("""COMPUTED_VALUE"""),2.503000217E9)</f>
        <v>2503000217</v>
      </c>
      <c r="D25" s="1" t="str">
        <f>IFERROR(__xludf.DUMMYFUNCTION("""COMPUTED_VALUE"""),"anasgherfal@gmail.com")</f>
        <v>anasgherfal@gmail.com</v>
      </c>
      <c r="E25" s="1" t="str">
        <f>IFERROR(__xludf.DUMMYFUNCTION("""COMPUTED_VALUE"""),"MachineRefills_Images/7f03e856.MachinePhoto.003246.jpg")</f>
        <v>MachineRefills_Images/7f03e856.MachinePhoto.003246.jpg</v>
      </c>
      <c r="F25" s="1" t="str">
        <f>IFERROR(__xludf.DUMMYFUNCTION("""COMPUTED_VALUE"""),"Partial")</f>
        <v>Partial</v>
      </c>
      <c r="G25" s="1" t="b">
        <f>IFERROR(__xludf.DUMMYFUNCTION("""COMPUTED_VALUE"""),FALSE)</f>
        <v>0</v>
      </c>
      <c r="H25" s="1"/>
    </row>
    <row r="26">
      <c r="A26" s="1" t="str">
        <f>IFERROR(__xludf.DUMMYFUNCTION("""COMPUTED_VALUE"""),"2bf7260f")</f>
        <v>2bf7260f</v>
      </c>
      <c r="B26" s="30">
        <f>IFERROR(__xludf.DUMMYFUNCTION("""COMPUTED_VALUE"""),46026.0)</f>
        <v>46026</v>
      </c>
      <c r="C26" s="1">
        <f>IFERROR(__xludf.DUMMYFUNCTION("""COMPUTED_VALUE"""),2.411000046E9)</f>
        <v>2411000046</v>
      </c>
      <c r="D26" s="1" t="str">
        <f>IFERROR(__xludf.DUMMYFUNCTION("""COMPUTED_VALUE"""),"anasgherfal@gmail.com")</f>
        <v>anasgherfal@gmail.com</v>
      </c>
      <c r="E26" s="1" t="str">
        <f>IFERROR(__xludf.DUMMYFUNCTION("""COMPUTED_VALUE"""),"MachineRefills_Images/2bf7260f.MachinePhoto.015702.jpg")</f>
        <v>MachineRefills_Images/2bf7260f.MachinePhoto.015702.jpg</v>
      </c>
      <c r="F26" s="1" t="str">
        <f>IFERROR(__xludf.DUMMYFUNCTION("""COMPUTED_VALUE"""),"Full")</f>
        <v>Full</v>
      </c>
      <c r="G26" s="1" t="b">
        <f>IFERROR(__xludf.DUMMYFUNCTION("""COMPUTED_VALUE"""),FALSE)</f>
        <v>0</v>
      </c>
      <c r="H26" s="1"/>
    </row>
    <row r="27">
      <c r="A27" s="1" t="str">
        <f>IFERROR(__xludf.DUMMYFUNCTION("""COMPUTED_VALUE"""),"718d6361")</f>
        <v>718d6361</v>
      </c>
      <c r="B27" s="30">
        <f>IFERROR(__xludf.DUMMYFUNCTION("""COMPUTED_VALUE"""),46026.0)</f>
        <v>46026</v>
      </c>
      <c r="C27" s="1">
        <f>IFERROR(__xludf.DUMMYFUNCTION("""COMPUTED_VALUE"""),2.503000217E9)</f>
        <v>2503000217</v>
      </c>
      <c r="D27" s="1" t="str">
        <f>IFERROR(__xludf.DUMMYFUNCTION("""COMPUTED_VALUE"""),"anasgherfal@gmail.com")</f>
        <v>anasgherfal@gmail.com</v>
      </c>
      <c r="E27" s="1" t="str">
        <f>IFERROR(__xludf.DUMMYFUNCTION("""COMPUTED_VALUE"""),"MachineRefills_Images/718d6361.MachinePhoto.210817.jpg")</f>
        <v>MachineRefills_Images/718d6361.MachinePhoto.210817.jpg</v>
      </c>
      <c r="F27" s="1" t="str">
        <f>IFERROR(__xludf.DUMMYFUNCTION("""COMPUTED_VALUE"""),"Full")</f>
        <v>Full</v>
      </c>
      <c r="G27" s="1" t="b">
        <f>IFERROR(__xludf.DUMMYFUNCTION("""COMPUTED_VALUE"""),FALSE)</f>
        <v>0</v>
      </c>
      <c r="H27" s="1"/>
    </row>
    <row r="28">
      <c r="A28" s="1" t="str">
        <f>IFERROR(__xludf.DUMMYFUNCTION("""COMPUTED_VALUE"""),"0c956818")</f>
        <v>0c956818</v>
      </c>
      <c r="B28" s="30">
        <f>IFERROR(__xludf.DUMMYFUNCTION("""COMPUTED_VALUE"""),46027.0)</f>
        <v>46027</v>
      </c>
      <c r="C28" s="1">
        <f>IFERROR(__xludf.DUMMYFUNCTION("""COMPUTED_VALUE"""),2.509000371E9)</f>
        <v>2509000371</v>
      </c>
      <c r="D28" s="1" t="str">
        <f>IFERROR(__xludf.DUMMYFUNCTION("""COMPUTED_VALUE"""),"anasgherfal@gmail.com")</f>
        <v>anasgherfal@gmail.com</v>
      </c>
      <c r="E28" s="1" t="str">
        <f>IFERROR(__xludf.DUMMYFUNCTION("""COMPUTED_VALUE"""),"MachineRefills_Images/0c956818.MachinePhoto.094804.jpg")</f>
        <v>MachineRefills_Images/0c956818.MachinePhoto.094804.jpg</v>
      </c>
      <c r="F28" s="1" t="str">
        <f>IFERROR(__xludf.DUMMYFUNCTION("""COMPUTED_VALUE"""),"Partial")</f>
        <v>Partial</v>
      </c>
      <c r="G28" s="1" t="b">
        <f>IFERROR(__xludf.DUMMYFUNCTION("""COMPUTED_VALUE"""),FALSE)</f>
        <v>0</v>
      </c>
      <c r="H28" s="1"/>
    </row>
    <row r="29">
      <c r="A29" s="1" t="str">
        <f>IFERROR(__xludf.DUMMYFUNCTION("""COMPUTED_VALUE"""),"139eebc2")</f>
        <v>139eebc2</v>
      </c>
      <c r="B29" s="30">
        <f>IFERROR(__xludf.DUMMYFUNCTION("""COMPUTED_VALUE"""),46028.0)</f>
        <v>46028</v>
      </c>
      <c r="C29" s="1">
        <f>IFERROR(__xludf.DUMMYFUNCTION("""COMPUTED_VALUE"""),2.503000217E9)</f>
        <v>2503000217</v>
      </c>
      <c r="D29" s="1" t="str">
        <f>IFERROR(__xludf.DUMMYFUNCTION("""COMPUTED_VALUE"""),"anasgherfal@gmail.com")</f>
        <v>anasgherfal@gmail.com</v>
      </c>
      <c r="E29" s="1" t="str">
        <f>IFERROR(__xludf.DUMMYFUNCTION("""COMPUTED_VALUE"""),"MachineRefills_Images/139eebc2.MachinePhoto.221455.jpg")</f>
        <v>MachineRefills_Images/139eebc2.MachinePhoto.221455.jpg</v>
      </c>
      <c r="F29" s="1" t="str">
        <f>IFERROR(__xludf.DUMMYFUNCTION("""COMPUTED_VALUE"""),"Partial")</f>
        <v>Partial</v>
      </c>
      <c r="G29" s="1" t="b">
        <f>IFERROR(__xludf.DUMMYFUNCTION("""COMPUTED_VALUE"""),FALSE)</f>
        <v>0</v>
      </c>
      <c r="H29" s="1"/>
    </row>
    <row r="30">
      <c r="A30" s="1" t="str">
        <f>IFERROR(__xludf.DUMMYFUNCTION("""COMPUTED_VALUE"""),"a4538b50")</f>
        <v>a4538b50</v>
      </c>
      <c r="B30" s="30">
        <f>IFERROR(__xludf.DUMMYFUNCTION("""COMPUTED_VALUE"""),46028.0)</f>
        <v>46028</v>
      </c>
      <c r="C30" s="1">
        <f>IFERROR(__xludf.DUMMYFUNCTION("""COMPUTED_VALUE"""),2.509000371E9)</f>
        <v>2509000371</v>
      </c>
      <c r="D30" s="1" t="str">
        <f>IFERROR(__xludf.DUMMYFUNCTION("""COMPUTED_VALUE"""),"zegallai911@gmail.com")</f>
        <v>zegallai911@gmail.com</v>
      </c>
      <c r="E30" s="1" t="str">
        <f>IFERROR(__xludf.DUMMYFUNCTION("""COMPUTED_VALUE"""),"MachineRefills_Images/a4538b50.MachinePhoto.140330.jpg")</f>
        <v>MachineRefills_Images/a4538b50.MachinePhoto.140330.jpg</v>
      </c>
      <c r="F30" s="1" t="str">
        <f>IFERROR(__xludf.DUMMYFUNCTION("""COMPUTED_VALUE"""),"Partial")</f>
        <v>Partial</v>
      </c>
      <c r="G30" s="1" t="b">
        <f>IFERROR(__xludf.DUMMYFUNCTION("""COMPUTED_VALUE"""),FALSE)</f>
        <v>0</v>
      </c>
      <c r="H30" s="1"/>
    </row>
    <row r="31">
      <c r="A31" s="1" t="str">
        <f>IFERROR(__xludf.DUMMYFUNCTION("""COMPUTED_VALUE"""),"c9d0e5f8")</f>
        <v>c9d0e5f8</v>
      </c>
      <c r="B31" s="30">
        <f>IFERROR(__xludf.DUMMYFUNCTION("""COMPUTED_VALUE"""),46028.95347222222)</f>
        <v>46028.95347</v>
      </c>
      <c r="C31" s="1">
        <f>IFERROR(__xludf.DUMMYFUNCTION("""COMPUTED_VALUE"""),2.503000217E9)</f>
        <v>2503000217</v>
      </c>
      <c r="D31" s="1" t="str">
        <f>IFERROR(__xludf.DUMMYFUNCTION("""COMPUTED_VALUE"""),"zegallai911@gmail.com")</f>
        <v>zegallai911@gmail.com</v>
      </c>
      <c r="E31" s="1" t="str">
        <f>IFERROR(__xludf.DUMMYFUNCTION("""COMPUTED_VALUE"""),"MachineRefills_Images/c9d0e5f8.MachinePhoto.205409.jpg")</f>
        <v>MachineRefills_Images/c9d0e5f8.MachinePhoto.205409.jpg</v>
      </c>
      <c r="F31" s="1" t="str">
        <f>IFERROR(__xludf.DUMMYFUNCTION("""COMPUTED_VALUE"""),"Partial")</f>
        <v>Partial</v>
      </c>
      <c r="G31" s="1" t="b">
        <f>IFERROR(__xludf.DUMMYFUNCTION("""COMPUTED_VALUE"""),FALSE)</f>
        <v>0</v>
      </c>
      <c r="H31" s="1"/>
    </row>
    <row r="32">
      <c r="A32" s="1" t="str">
        <f>IFERROR(__xludf.DUMMYFUNCTION("""COMPUTED_VALUE"""),"449ac259")</f>
        <v>449ac259</v>
      </c>
      <c r="B32" s="30">
        <f>IFERROR(__xludf.DUMMYFUNCTION("""COMPUTED_VALUE"""),46028.98819444444)</f>
        <v>46028.98819</v>
      </c>
      <c r="C32" s="1">
        <f>IFERROR(__xludf.DUMMYFUNCTION("""COMPUTED_VALUE"""),2.411000046E9)</f>
        <v>2411000046</v>
      </c>
      <c r="D32" s="1" t="str">
        <f>IFERROR(__xludf.DUMMYFUNCTION("""COMPUTED_VALUE"""),"zegallai911@gmail.com")</f>
        <v>zegallai911@gmail.com</v>
      </c>
      <c r="E32" s="1" t="str">
        <f>IFERROR(__xludf.DUMMYFUNCTION("""COMPUTED_VALUE"""),"MachineRefills_Images/449ac259.MachinePhoto.214410.jpg")</f>
        <v>MachineRefills_Images/449ac259.MachinePhoto.214410.jpg</v>
      </c>
      <c r="F32" s="1" t="str">
        <f>IFERROR(__xludf.DUMMYFUNCTION("""COMPUTED_VALUE"""),"Full")</f>
        <v>Full</v>
      </c>
      <c r="G32" s="1" t="b">
        <f>IFERROR(__xludf.DUMMYFUNCTION("""COMPUTED_VALUE"""),FALSE)</f>
        <v>0</v>
      </c>
      <c r="H32" s="1"/>
    </row>
    <row r="33">
      <c r="A33" s="1" t="str">
        <f>IFERROR(__xludf.DUMMYFUNCTION("""COMPUTED_VALUE"""),"ac39acb1")</f>
        <v>ac39acb1</v>
      </c>
      <c r="B33" s="30">
        <f>IFERROR(__xludf.DUMMYFUNCTION("""COMPUTED_VALUE"""),46030.0)</f>
        <v>46030</v>
      </c>
      <c r="C33" s="1">
        <f>IFERROR(__xludf.DUMMYFUNCTION("""COMPUTED_VALUE"""),2.509000371E9)</f>
        <v>2509000371</v>
      </c>
      <c r="D33" s="1" t="str">
        <f>IFERROR(__xludf.DUMMYFUNCTION("""COMPUTED_VALUE"""),"anasgherfal@gmail.com")</f>
        <v>anasgherfal@gmail.com</v>
      </c>
      <c r="E33" s="1" t="str">
        <f>IFERROR(__xludf.DUMMYFUNCTION("""COMPUTED_VALUE"""),"MachineRefills_Images/ac39acb1.MachinePhoto.144540.jpg")</f>
        <v>MachineRefills_Images/ac39acb1.MachinePhoto.144540.jpg</v>
      </c>
      <c r="F33" s="1" t="str">
        <f>IFERROR(__xludf.DUMMYFUNCTION("""COMPUTED_VALUE"""),"Full")</f>
        <v>Full</v>
      </c>
      <c r="G33" s="1" t="b">
        <f>IFERROR(__xludf.DUMMYFUNCTION("""COMPUTED_VALUE"""),TRUE)</f>
        <v>1</v>
      </c>
      <c r="H33" s="1"/>
    </row>
    <row r="34">
      <c r="A34" s="1" t="str">
        <f>IFERROR(__xludf.DUMMYFUNCTION("""COMPUTED_VALUE"""),"bae8b598")</f>
        <v>bae8b598</v>
      </c>
      <c r="B34" s="30">
        <f>IFERROR(__xludf.DUMMYFUNCTION("""COMPUTED_VALUE"""),46031.0)</f>
        <v>46031</v>
      </c>
      <c r="C34" s="1">
        <f>IFERROR(__xludf.DUMMYFUNCTION("""COMPUTED_VALUE"""),2.509000371E9)</f>
        <v>2509000371</v>
      </c>
      <c r="D34" s="1" t="str">
        <f>IFERROR(__xludf.DUMMYFUNCTION("""COMPUTED_VALUE"""),"zegallai911@gmail.com")</f>
        <v>zegallai911@gmail.com</v>
      </c>
      <c r="E34" s="1" t="str">
        <f>IFERROR(__xludf.DUMMYFUNCTION("""COMPUTED_VALUE"""),"MachineRefills_Images/bae8b598.MachinePhoto.134506.jpg")</f>
        <v>MachineRefills_Images/bae8b598.MachinePhoto.134506.jpg</v>
      </c>
      <c r="F34" s="1" t="str">
        <f>IFERROR(__xludf.DUMMYFUNCTION("""COMPUTED_VALUE"""),"Partial")</f>
        <v>Partial</v>
      </c>
      <c r="G34" s="1" t="b">
        <f>IFERROR(__xludf.DUMMYFUNCTION("""COMPUTED_VALUE"""),FALSE)</f>
        <v>0</v>
      </c>
      <c r="H34" s="1" t="str">
        <f>IFERROR(__xludf.DUMMYFUNCTION("""COMPUTED_VALUE"""),"تغيير مكان المرضعة  والتايقرات  وعدل مكان باربيكان")</f>
        <v>تغيير مكان المرضعة  والتايقرات  وعدل مكان باربيكان</v>
      </c>
    </row>
    <row r="35">
      <c r="A35" s="1" t="str">
        <f>IFERROR(__xludf.DUMMYFUNCTION("""COMPUTED_VALUE"""),"7b561c8e")</f>
        <v>7b561c8e</v>
      </c>
      <c r="B35" s="30">
        <f>IFERROR(__xludf.DUMMYFUNCTION("""COMPUTED_VALUE"""),46032.0)</f>
        <v>46032</v>
      </c>
      <c r="C35" s="1">
        <f>IFERROR(__xludf.DUMMYFUNCTION("""COMPUTED_VALUE"""),2.509000371E9)</f>
        <v>2509000371</v>
      </c>
      <c r="D35" s="1" t="str">
        <f>IFERROR(__xludf.DUMMYFUNCTION("""COMPUTED_VALUE"""),"anasgherfal@gmail.com")</f>
        <v>anasgherfal@gmail.com</v>
      </c>
      <c r="E35" s="1" t="str">
        <f>IFERROR(__xludf.DUMMYFUNCTION("""COMPUTED_VALUE"""),"MachineRefills_Images/7b561c8e.MachinePhoto.112454.jpg")</f>
        <v>MachineRefills_Images/7b561c8e.MachinePhoto.112454.jpg</v>
      </c>
      <c r="F35" s="1" t="str">
        <f>IFERROR(__xludf.DUMMYFUNCTION("""COMPUTED_VALUE"""),"Partial")</f>
        <v>Partial</v>
      </c>
      <c r="G35" s="1" t="b">
        <f>IFERROR(__xludf.DUMMYFUNCTION("""COMPUTED_VALUE"""),FALSE)</f>
        <v>0</v>
      </c>
      <c r="H35" s="1"/>
    </row>
    <row r="36">
      <c r="A36" s="1" t="str">
        <f>IFERROR(__xludf.DUMMYFUNCTION("""COMPUTED_VALUE"""),"e36670e0")</f>
        <v>e36670e0</v>
      </c>
      <c r="B36" s="30">
        <f>IFERROR(__xludf.DUMMYFUNCTION("""COMPUTED_VALUE"""),46033.0)</f>
        <v>46033</v>
      </c>
      <c r="C36" s="1">
        <f>IFERROR(__xludf.DUMMYFUNCTION("""COMPUTED_VALUE"""),2.411000046E9)</f>
        <v>2411000046</v>
      </c>
      <c r="D36" s="1" t="str">
        <f>IFERROR(__xludf.DUMMYFUNCTION("""COMPUTED_VALUE"""),"anasgherfal@gmail.com")</f>
        <v>anasgherfal@gmail.com</v>
      </c>
      <c r="E36" s="1" t="str">
        <f>IFERROR(__xludf.DUMMYFUNCTION("""COMPUTED_VALUE"""),"MachineRefills_Images/e36670e0.MachinePhoto.222358.jpg")</f>
        <v>MachineRefills_Images/e36670e0.MachinePhoto.222358.jpg</v>
      </c>
      <c r="F36" s="1" t="str">
        <f>IFERROR(__xludf.DUMMYFUNCTION("""COMPUTED_VALUE"""),"Full")</f>
        <v>Full</v>
      </c>
      <c r="G36" s="1" t="b">
        <f>IFERROR(__xludf.DUMMYFUNCTION("""COMPUTED_VALUE"""),FALSE)</f>
        <v>0</v>
      </c>
      <c r="H36" s="1"/>
    </row>
    <row r="37">
      <c r="A37" s="1" t="str">
        <f>IFERROR(__xludf.DUMMYFUNCTION("""COMPUTED_VALUE"""),"c6d5d8b4")</f>
        <v>c6d5d8b4</v>
      </c>
      <c r="B37" s="30">
        <f>IFERROR(__xludf.DUMMYFUNCTION("""COMPUTED_VALUE"""),46033.0)</f>
        <v>46033</v>
      </c>
      <c r="C37" s="1">
        <f>IFERROR(__xludf.DUMMYFUNCTION("""COMPUTED_VALUE"""),2.509000371E9)</f>
        <v>2509000371</v>
      </c>
      <c r="D37" s="1" t="str">
        <f>IFERROR(__xludf.DUMMYFUNCTION("""COMPUTED_VALUE"""),"anasgherfal@gmail.com")</f>
        <v>anasgherfal@gmail.com</v>
      </c>
      <c r="E37" s="1" t="str">
        <f>IFERROR(__xludf.DUMMYFUNCTION("""COMPUTED_VALUE"""),"MachineRefills_Images/c6d5d8b4.MachinePhoto.130221.jpg")</f>
        <v>MachineRefills_Images/c6d5d8b4.MachinePhoto.130221.jpg</v>
      </c>
      <c r="F37" s="1" t="str">
        <f>IFERROR(__xludf.DUMMYFUNCTION("""COMPUTED_VALUE"""),"Partial")</f>
        <v>Partial</v>
      </c>
      <c r="G37" s="1" t="b">
        <f>IFERROR(__xludf.DUMMYFUNCTION("""COMPUTED_VALUE"""),FALSE)</f>
        <v>0</v>
      </c>
      <c r="H37" s="1"/>
    </row>
    <row r="38">
      <c r="A38" s="1" t="str">
        <f>IFERROR(__xludf.DUMMYFUNCTION("""COMPUTED_VALUE"""),"ff37cfb3")</f>
        <v>ff37cfb3</v>
      </c>
      <c r="B38" s="30">
        <f>IFERROR(__xludf.DUMMYFUNCTION("""COMPUTED_VALUE"""),46034.0)</f>
        <v>46034</v>
      </c>
      <c r="C38" s="1">
        <f>IFERROR(__xludf.DUMMYFUNCTION("""COMPUTED_VALUE"""),2.509000369E9)</f>
        <v>2509000369</v>
      </c>
      <c r="D38" s="1" t="str">
        <f>IFERROR(__xludf.DUMMYFUNCTION("""COMPUTED_VALUE"""),"anasgherfal@gmail.com")</f>
        <v>anasgherfal@gmail.com</v>
      </c>
      <c r="E38" s="1" t="str">
        <f>IFERROR(__xludf.DUMMYFUNCTION("""COMPUTED_VALUE"""),"MachineRefills_Images/ff37cfb3.MachinePhoto.223123.jpg")</f>
        <v>MachineRefills_Images/ff37cfb3.MachinePhoto.223123.jpg</v>
      </c>
      <c r="F38" s="1" t="str">
        <f>IFERROR(__xludf.DUMMYFUNCTION("""COMPUTED_VALUE"""),"Full")</f>
        <v>Full</v>
      </c>
      <c r="G38" s="1" t="b">
        <f>IFERROR(__xludf.DUMMYFUNCTION("""COMPUTED_VALUE"""),FALSE)</f>
        <v>0</v>
      </c>
      <c r="H38" s="1"/>
    </row>
    <row r="39">
      <c r="A39" s="1" t="str">
        <f>IFERROR(__xludf.DUMMYFUNCTION("""COMPUTED_VALUE"""),"98c8ad9c")</f>
        <v>98c8ad9c</v>
      </c>
      <c r="B39" s="30">
        <f>IFERROR(__xludf.DUMMYFUNCTION("""COMPUTED_VALUE"""),46035.0)</f>
        <v>46035</v>
      </c>
      <c r="C39" s="1">
        <f>IFERROR(__xludf.DUMMYFUNCTION("""COMPUTED_VALUE"""),2.503000217E9)</f>
        <v>2503000217</v>
      </c>
      <c r="D39" s="1" t="str">
        <f>IFERROR(__xludf.DUMMYFUNCTION("""COMPUTED_VALUE"""),"anasgherfal@gmail.com")</f>
        <v>anasgherfal@gmail.com</v>
      </c>
      <c r="E39" s="1" t="str">
        <f>IFERROR(__xludf.DUMMYFUNCTION("""COMPUTED_VALUE"""),"MachineRefills_Images/98c8ad9c.MachinePhoto.223229.jpg")</f>
        <v>MachineRefills_Images/98c8ad9c.MachinePhoto.223229.jpg</v>
      </c>
      <c r="F39" s="1" t="str">
        <f>IFERROR(__xludf.DUMMYFUNCTION("""COMPUTED_VALUE"""),"Partial")</f>
        <v>Partial</v>
      </c>
      <c r="G39" s="1" t="b">
        <f>IFERROR(__xludf.DUMMYFUNCTION("""COMPUTED_VALUE"""),FALSE)</f>
        <v>0</v>
      </c>
      <c r="H39" s="1"/>
    </row>
    <row r="40">
      <c r="A40" s="1" t="str">
        <f>IFERROR(__xludf.DUMMYFUNCTION("""COMPUTED_VALUE"""),"f4dee351")</f>
        <v>f4dee351</v>
      </c>
      <c r="B40" s="30">
        <f>IFERROR(__xludf.DUMMYFUNCTION("""COMPUTED_VALUE"""),46034.0)</f>
        <v>46034</v>
      </c>
      <c r="C40" s="1">
        <f>IFERROR(__xludf.DUMMYFUNCTION("""COMPUTED_VALUE"""),2.503000217E9)</f>
        <v>2503000217</v>
      </c>
      <c r="D40" s="1" t="str">
        <f>IFERROR(__xludf.DUMMYFUNCTION("""COMPUTED_VALUE"""),"anasgherfal@gmail.com")</f>
        <v>anasgherfal@gmail.com</v>
      </c>
      <c r="E40" s="1" t="str">
        <f>IFERROR(__xludf.DUMMYFUNCTION("""COMPUTED_VALUE"""),"MachineRefills_Images/f4dee351.MachinePhoto.223254.jpg")</f>
        <v>MachineRefills_Images/f4dee351.MachinePhoto.223254.jpg</v>
      </c>
      <c r="F40" s="1" t="str">
        <f>IFERROR(__xludf.DUMMYFUNCTION("""COMPUTED_VALUE"""),"Partial")</f>
        <v>Partial</v>
      </c>
      <c r="G40" s="1" t="b">
        <f>IFERROR(__xludf.DUMMYFUNCTION("""COMPUTED_VALUE"""),FALSE)</f>
        <v>0</v>
      </c>
      <c r="H40" s="1"/>
    </row>
    <row r="41">
      <c r="A41" s="1" t="str">
        <f>IFERROR(__xludf.DUMMYFUNCTION("""COMPUTED_VALUE"""),"b792e78e")</f>
        <v>b792e78e</v>
      </c>
      <c r="B41" s="30">
        <f>IFERROR(__xludf.DUMMYFUNCTION("""COMPUTED_VALUE"""),46037.0)</f>
        <v>46037</v>
      </c>
      <c r="C41" s="1">
        <f>IFERROR(__xludf.DUMMYFUNCTION("""COMPUTED_VALUE"""),2.411000046E9)</f>
        <v>2411000046</v>
      </c>
      <c r="D41" s="1" t="str">
        <f>IFERROR(__xludf.DUMMYFUNCTION("""COMPUTED_VALUE"""),"anasgherfal@gmail.com")</f>
        <v>anasgherfal@gmail.com</v>
      </c>
      <c r="E41" s="1" t="str">
        <f>IFERROR(__xludf.DUMMYFUNCTION("""COMPUTED_VALUE"""),"MachineRefills_Images/b792e78e.MachinePhoto.032759.jpg")</f>
        <v>MachineRefills_Images/b792e78e.MachinePhoto.032759.jpg</v>
      </c>
      <c r="F41" s="1" t="str">
        <f>IFERROR(__xludf.DUMMYFUNCTION("""COMPUTED_VALUE"""),"Full")</f>
        <v>Full</v>
      </c>
      <c r="G41" s="1" t="b">
        <f>IFERROR(__xludf.DUMMYFUNCTION("""COMPUTED_VALUE"""),FALSE)</f>
        <v>0</v>
      </c>
      <c r="H41" s="1"/>
    </row>
    <row r="42">
      <c r="A42" s="1" t="str">
        <f>IFERROR(__xludf.DUMMYFUNCTION("""COMPUTED_VALUE"""),"34ce56f2")</f>
        <v>34ce56f2</v>
      </c>
      <c r="B42" s="30">
        <f>IFERROR(__xludf.DUMMYFUNCTION("""COMPUTED_VALUE"""),46037.0)</f>
        <v>46037</v>
      </c>
      <c r="C42" s="1">
        <f>IFERROR(__xludf.DUMMYFUNCTION("""COMPUTED_VALUE"""),2.503000217E9)</f>
        <v>2503000217</v>
      </c>
      <c r="D42" s="1" t="str">
        <f>IFERROR(__xludf.DUMMYFUNCTION("""COMPUTED_VALUE"""),"anasgherfal@gmail.com")</f>
        <v>anasgherfal@gmail.com</v>
      </c>
      <c r="E42" s="1" t="str">
        <f>IFERROR(__xludf.DUMMYFUNCTION("""COMPUTED_VALUE"""),"MachineRefills_Images/34ce56f2.MachinePhoto.041538.jpg")</f>
        <v>MachineRefills_Images/34ce56f2.MachinePhoto.041538.jpg</v>
      </c>
      <c r="F42" s="1" t="str">
        <f>IFERROR(__xludf.DUMMYFUNCTION("""COMPUTED_VALUE"""),"Partial")</f>
        <v>Partial</v>
      </c>
      <c r="G42" s="1" t="b">
        <f>IFERROR(__xludf.DUMMYFUNCTION("""COMPUTED_VALUE"""),FALSE)</f>
        <v>0</v>
      </c>
      <c r="H42" s="1"/>
    </row>
    <row r="43">
      <c r="A43" s="1" t="str">
        <f>IFERROR(__xludf.DUMMYFUNCTION("""COMPUTED_VALUE"""),"5855f527")</f>
        <v>5855f527</v>
      </c>
      <c r="B43" s="30">
        <f>IFERROR(__xludf.DUMMYFUNCTION("""COMPUTED_VALUE"""),46037.0)</f>
        <v>46037</v>
      </c>
      <c r="C43" s="1">
        <f>IFERROR(__xludf.DUMMYFUNCTION("""COMPUTED_VALUE"""),2.509000371E9)</f>
        <v>2509000371</v>
      </c>
      <c r="D43" s="1" t="str">
        <f>IFERROR(__xludf.DUMMYFUNCTION("""COMPUTED_VALUE"""),"anasgherfal@gmail.com")</f>
        <v>anasgherfal@gmail.com</v>
      </c>
      <c r="E43" s="1" t="str">
        <f>IFERROR(__xludf.DUMMYFUNCTION("""COMPUTED_VALUE"""),"MachineRefills_Images/5855f527.MachinePhoto.153310.jpg")</f>
        <v>MachineRefills_Images/5855f527.MachinePhoto.153310.jpg</v>
      </c>
      <c r="F43" s="1" t="str">
        <f>IFERROR(__xludf.DUMMYFUNCTION("""COMPUTED_VALUE"""),"Partial")</f>
        <v>Partial</v>
      </c>
      <c r="G43" s="1" t="b">
        <f>IFERROR(__xludf.DUMMYFUNCTION("""COMPUTED_VALUE"""),FALSE)</f>
        <v>0</v>
      </c>
      <c r="H43" s="1"/>
    </row>
    <row r="44">
      <c r="A44" s="1" t="str">
        <f>IFERROR(__xludf.DUMMYFUNCTION("""COMPUTED_VALUE"""),"6312820d")</f>
        <v>6312820d</v>
      </c>
      <c r="B44" s="30">
        <f>IFERROR(__xludf.DUMMYFUNCTION("""COMPUTED_VALUE"""),46038.0)</f>
        <v>46038</v>
      </c>
      <c r="C44" s="1" t="str">
        <f>IFERROR(__xludf.DUMMYFUNCTION("""COMPUTED_VALUE"""),"2509000371")</f>
        <v>2509000371</v>
      </c>
      <c r="D44" s="1" t="str">
        <f>IFERROR(__xludf.DUMMYFUNCTION("""COMPUTED_VALUE"""),"anasgherfal@gmail.com")</f>
        <v>anasgherfal@gmail.com</v>
      </c>
      <c r="E44" s="1" t="str">
        <f>IFERROR(__xludf.DUMMYFUNCTION("""COMPUTED_VALUE"""),"MachineRefills_Images/6312820d.MachinePhoto.140452.jpg")</f>
        <v>MachineRefills_Images/6312820d.MachinePhoto.140452.jpg</v>
      </c>
      <c r="F44" s="1" t="str">
        <f>IFERROR(__xludf.DUMMYFUNCTION("""COMPUTED_VALUE"""),"Partial")</f>
        <v>Partial</v>
      </c>
      <c r="G44" s="1" t="b">
        <f>IFERROR(__xludf.DUMMYFUNCTION("""COMPUTED_VALUE"""),FALSE)</f>
        <v>0</v>
      </c>
      <c r="H44" s="1"/>
    </row>
    <row r="45">
      <c r="A45" s="1" t="str">
        <f>IFERROR(__xludf.DUMMYFUNCTION("""COMPUTED_VALUE"""),"efbb7a47")</f>
        <v>efbb7a47</v>
      </c>
      <c r="B45" s="30">
        <f>IFERROR(__xludf.DUMMYFUNCTION("""COMPUTED_VALUE"""),46038.0)</f>
        <v>46038</v>
      </c>
      <c r="C45" s="1">
        <f>IFERROR(__xludf.DUMMYFUNCTION("""COMPUTED_VALUE"""),2.404120076E9)</f>
        <v>2404120076</v>
      </c>
      <c r="D45" s="1" t="str">
        <f>IFERROR(__xludf.DUMMYFUNCTION("""COMPUTED_VALUE"""),"anasgherfal@gmail.com")</f>
        <v>anasgherfal@gmail.com</v>
      </c>
      <c r="E45" s="1" t="str">
        <f>IFERROR(__xludf.DUMMYFUNCTION("""COMPUTED_VALUE"""),"MachineRefills_Images/efbb7a47.MachinePhoto.145855.jpg")</f>
        <v>MachineRefills_Images/efbb7a47.MachinePhoto.145855.jpg</v>
      </c>
      <c r="F45" s="1" t="str">
        <f>IFERROR(__xludf.DUMMYFUNCTION("""COMPUTED_VALUE"""),"Partial")</f>
        <v>Partial</v>
      </c>
      <c r="G45" s="1" t="b">
        <f>IFERROR(__xludf.DUMMYFUNCTION("""COMPUTED_VALUE"""),FALSE)</f>
        <v>0</v>
      </c>
      <c r="H45" s="1"/>
    </row>
    <row r="46">
      <c r="A46" s="1" t="str">
        <f>IFERROR(__xludf.DUMMYFUNCTION("""COMPUTED_VALUE"""),"d9296779")</f>
        <v>d9296779</v>
      </c>
      <c r="B46" s="30">
        <f>IFERROR(__xludf.DUMMYFUNCTION("""COMPUTED_VALUE"""),46039.0)</f>
        <v>46039</v>
      </c>
      <c r="C46" s="1">
        <f>IFERROR(__xludf.DUMMYFUNCTION("""COMPUTED_VALUE"""),2.509000371E9)</f>
        <v>2509000371</v>
      </c>
      <c r="D46" s="1" t="str">
        <f>IFERROR(__xludf.DUMMYFUNCTION("""COMPUTED_VALUE"""),"zegallai911@gmail.com")</f>
        <v>zegallai911@gmail.com</v>
      </c>
      <c r="E46" s="1" t="str">
        <f>IFERROR(__xludf.DUMMYFUNCTION("""COMPUTED_VALUE"""),"MachineRefills_Images/d9296779.MachinePhoto.133533.jpg")</f>
        <v>MachineRefills_Images/d9296779.MachinePhoto.133533.jpg</v>
      </c>
      <c r="F46" s="1" t="str">
        <f>IFERROR(__xludf.DUMMYFUNCTION("""COMPUTED_VALUE"""),"Partial")</f>
        <v>Partial</v>
      </c>
      <c r="G46" s="1" t="b">
        <f>IFERROR(__xludf.DUMMYFUNCTION("""COMPUTED_VALUE"""),FALSE)</f>
        <v>0</v>
      </c>
      <c r="H46" s="1"/>
    </row>
    <row r="47">
      <c r="A47" s="1" t="str">
        <f>IFERROR(__xludf.DUMMYFUNCTION("""COMPUTED_VALUE"""),"fc730d9f")</f>
        <v>fc730d9f</v>
      </c>
      <c r="B47" s="30">
        <f>IFERROR(__xludf.DUMMYFUNCTION("""COMPUTED_VALUE"""),46040.0)</f>
        <v>46040</v>
      </c>
      <c r="C47" s="1">
        <f>IFERROR(__xludf.DUMMYFUNCTION("""COMPUTED_VALUE"""),2.503000217E9)</f>
        <v>2503000217</v>
      </c>
      <c r="D47" s="1" t="str">
        <f>IFERROR(__xludf.DUMMYFUNCTION("""COMPUTED_VALUE"""),"zegallai911@gmail.com")</f>
        <v>zegallai911@gmail.com</v>
      </c>
      <c r="E47" s="1" t="str">
        <f>IFERROR(__xludf.DUMMYFUNCTION("""COMPUTED_VALUE"""),"MachineRefills_Images/fc730d9f.MachinePhoto.222654.jpg")</f>
        <v>MachineRefills_Images/fc730d9f.MachinePhoto.222654.jpg</v>
      </c>
      <c r="F47" s="1" t="str">
        <f>IFERROR(__xludf.DUMMYFUNCTION("""COMPUTED_VALUE"""),"Partial")</f>
        <v>Partial</v>
      </c>
      <c r="G47" s="1" t="b">
        <f>IFERROR(__xludf.DUMMYFUNCTION("""COMPUTED_VALUE"""),FALSE)</f>
        <v>0</v>
      </c>
      <c r="H47" s="1"/>
    </row>
    <row r="48">
      <c r="A48" s="1" t="str">
        <f>IFERROR(__xludf.DUMMYFUNCTION("""COMPUTED_VALUE"""),"04aae05c")</f>
        <v>04aae05c</v>
      </c>
      <c r="B48" s="30">
        <f>IFERROR(__xludf.DUMMYFUNCTION("""COMPUTED_VALUE"""),46040.0)</f>
        <v>46040</v>
      </c>
      <c r="C48" s="1">
        <f>IFERROR(__xludf.DUMMYFUNCTION("""COMPUTED_VALUE"""),2.509000371E9)</f>
        <v>2509000371</v>
      </c>
      <c r="D48" s="1" t="str">
        <f>IFERROR(__xludf.DUMMYFUNCTION("""COMPUTED_VALUE"""),"zegallai911@gmail.com")</f>
        <v>zegallai911@gmail.com</v>
      </c>
      <c r="E48" s="1" t="str">
        <f>IFERROR(__xludf.DUMMYFUNCTION("""COMPUTED_VALUE"""),"MachineRefills_Images/04aae05c.MachinePhoto.174231.jpg")</f>
        <v>MachineRefills_Images/04aae05c.MachinePhoto.174231.jpg</v>
      </c>
      <c r="F48" s="1" t="str">
        <f>IFERROR(__xludf.DUMMYFUNCTION("""COMPUTED_VALUE"""),"Partial")</f>
        <v>Partial</v>
      </c>
      <c r="G48" s="1" t="b">
        <f>IFERROR(__xludf.DUMMYFUNCTION("""COMPUTED_VALUE"""),FALSE)</f>
        <v>0</v>
      </c>
      <c r="H48" s="1" t="str">
        <f>IFERROR(__xludf.DUMMYFUNCTION("""COMPUTED_VALUE"""),"شاشة مستاكية")</f>
        <v>شاشة مستاكية</v>
      </c>
    </row>
    <row r="49">
      <c r="A49" s="1" t="str">
        <f>IFERROR(__xludf.DUMMYFUNCTION("""COMPUTED_VALUE"""),"6de066bd")</f>
        <v>6de066bd</v>
      </c>
      <c r="B49" s="30">
        <f>IFERROR(__xludf.DUMMYFUNCTION("""COMPUTED_VALUE"""),46040.0)</f>
        <v>46040</v>
      </c>
      <c r="C49" s="1">
        <f>IFERROR(__xludf.DUMMYFUNCTION("""COMPUTED_VALUE"""),2.411000046E9)</f>
        <v>2411000046</v>
      </c>
      <c r="D49" s="1" t="str">
        <f>IFERROR(__xludf.DUMMYFUNCTION("""COMPUTED_VALUE"""),"zegallai911@gmail.com")</f>
        <v>zegallai911@gmail.com</v>
      </c>
      <c r="E49" s="1" t="str">
        <f>IFERROR(__xludf.DUMMYFUNCTION("""COMPUTED_VALUE"""),"MachineRefills_Images/6de066bd.MachinePhoto.174242.jpg")</f>
        <v>MachineRefills_Images/6de066bd.MachinePhoto.174242.jpg</v>
      </c>
      <c r="F49" s="1" t="str">
        <f>IFERROR(__xludf.DUMMYFUNCTION("""COMPUTED_VALUE"""),"Partial")</f>
        <v>Partial</v>
      </c>
      <c r="G49" s="1" t="b">
        <f>IFERROR(__xludf.DUMMYFUNCTION("""COMPUTED_VALUE"""),FALSE)</f>
        <v>0</v>
      </c>
      <c r="H49" s="1"/>
    </row>
    <row r="50">
      <c r="A50" s="1" t="str">
        <f>IFERROR(__xludf.DUMMYFUNCTION("""COMPUTED_VALUE"""),"e7cf9856")</f>
        <v>e7cf9856</v>
      </c>
      <c r="B50" s="30">
        <f>IFERROR(__xludf.DUMMYFUNCTION("""COMPUTED_VALUE"""),46041.0)</f>
        <v>46041</v>
      </c>
      <c r="C50" s="1">
        <f>IFERROR(__xludf.DUMMYFUNCTION("""COMPUTED_VALUE"""),2.503000217E9)</f>
        <v>2503000217</v>
      </c>
      <c r="D50" s="1" t="str">
        <f>IFERROR(__xludf.DUMMYFUNCTION("""COMPUTED_VALUE"""),"zegallai911@gmail.com")</f>
        <v>zegallai911@gmail.com</v>
      </c>
      <c r="E50" s="1" t="str">
        <f>IFERROR(__xludf.DUMMYFUNCTION("""COMPUTED_VALUE"""),"MachineRefills_Images/e7cf9856.MachinePhoto.230324.jpg")</f>
        <v>MachineRefills_Images/e7cf9856.MachinePhoto.230324.jpg</v>
      </c>
      <c r="F50" s="1" t="str">
        <f>IFERROR(__xludf.DUMMYFUNCTION("""COMPUTED_VALUE"""),"Partial")</f>
        <v>Partial</v>
      </c>
      <c r="G50" s="1" t="b">
        <f>IFERROR(__xludf.DUMMYFUNCTION("""COMPUTED_VALUE"""),FALSE)</f>
        <v>0</v>
      </c>
      <c r="H50" s="1"/>
    </row>
    <row r="51">
      <c r="A51" s="1" t="str">
        <f>IFERROR(__xludf.DUMMYFUNCTION("""COMPUTED_VALUE"""),"abe89aa0")</f>
        <v>abe89aa0</v>
      </c>
      <c r="B51" s="30">
        <f>IFERROR(__xludf.DUMMYFUNCTION("""COMPUTED_VALUE"""),46041.0)</f>
        <v>46041</v>
      </c>
      <c r="C51" s="1">
        <f>IFERROR(__xludf.DUMMYFUNCTION("""COMPUTED_VALUE"""),2.509000369E9)</f>
        <v>2509000369</v>
      </c>
      <c r="D51" s="1" t="str">
        <f>IFERROR(__xludf.DUMMYFUNCTION("""COMPUTED_VALUE"""),"anasgherfal@gmail.com")</f>
        <v>anasgherfal@gmail.com</v>
      </c>
      <c r="E51" s="1" t="str">
        <f>IFERROR(__xludf.DUMMYFUNCTION("""COMPUTED_VALUE"""),"MachineRefills_Images/abe89aa0.MachinePhoto.003701.jpg")</f>
        <v>MachineRefills_Images/abe89aa0.MachinePhoto.003701.jpg</v>
      </c>
      <c r="F51" s="1" t="str">
        <f>IFERROR(__xludf.DUMMYFUNCTION("""COMPUTED_VALUE"""),"Full")</f>
        <v>Full</v>
      </c>
      <c r="G51" s="1" t="b">
        <f>IFERROR(__xludf.DUMMYFUNCTION("""COMPUTED_VALUE"""),FALSE)</f>
        <v>0</v>
      </c>
      <c r="H51" s="1"/>
    </row>
    <row r="52">
      <c r="A52" s="1" t="str">
        <f>IFERROR(__xludf.DUMMYFUNCTION("""COMPUTED_VALUE"""),"0ba471c7")</f>
        <v>0ba471c7</v>
      </c>
      <c r="B52" s="30">
        <f>IFERROR(__xludf.DUMMYFUNCTION("""COMPUTED_VALUE"""),46042.0)</f>
        <v>46042</v>
      </c>
      <c r="C52" s="1">
        <f>IFERROR(__xludf.DUMMYFUNCTION("""COMPUTED_VALUE"""),2.503000217E9)</f>
        <v>2503000217</v>
      </c>
      <c r="D52" s="1" t="str">
        <f>IFERROR(__xludf.DUMMYFUNCTION("""COMPUTED_VALUE"""),"zegallai911@gmail.com")</f>
        <v>zegallai911@gmail.com</v>
      </c>
      <c r="E52" s="1" t="str">
        <f>IFERROR(__xludf.DUMMYFUNCTION("""COMPUTED_VALUE"""),"MachineRefills_Images/0ba471c7.MachinePhoto.222856.jpg")</f>
        <v>MachineRefills_Images/0ba471c7.MachinePhoto.222856.jpg</v>
      </c>
      <c r="F52" s="1" t="str">
        <f>IFERROR(__xludf.DUMMYFUNCTION("""COMPUTED_VALUE"""),"Partial")</f>
        <v>Partial</v>
      </c>
      <c r="G52" s="1" t="b">
        <f>IFERROR(__xludf.DUMMYFUNCTION("""COMPUTED_VALUE"""),FALSE)</f>
        <v>0</v>
      </c>
      <c r="H52" s="1"/>
    </row>
    <row r="53">
      <c r="A53" s="1" t="str">
        <f>IFERROR(__xludf.DUMMYFUNCTION("""COMPUTED_VALUE"""),"ae834d2a")</f>
        <v>ae834d2a</v>
      </c>
      <c r="B53" s="30">
        <f>IFERROR(__xludf.DUMMYFUNCTION("""COMPUTED_VALUE"""),46043.0)</f>
        <v>46043</v>
      </c>
      <c r="C53" s="1">
        <f>IFERROR(__xludf.DUMMYFUNCTION("""COMPUTED_VALUE"""),2.411000046E9)</f>
        <v>2411000046</v>
      </c>
      <c r="D53" s="1" t="str">
        <f>IFERROR(__xludf.DUMMYFUNCTION("""COMPUTED_VALUE"""),"zegallai911@gmail.com")</f>
        <v>zegallai911@gmail.com</v>
      </c>
      <c r="E53" s="1" t="str">
        <f>IFERROR(__xludf.DUMMYFUNCTION("""COMPUTED_VALUE"""),"MachineRefills_Images/ae834d2a.MachinePhoto.002303.jpg")</f>
        <v>MachineRefills_Images/ae834d2a.MachinePhoto.002303.jpg</v>
      </c>
      <c r="F53" s="1" t="str">
        <f>IFERROR(__xludf.DUMMYFUNCTION("""COMPUTED_VALUE"""),"Full")</f>
        <v>Full</v>
      </c>
      <c r="G53" s="1" t="b">
        <f>IFERROR(__xludf.DUMMYFUNCTION("""COMPUTED_VALUE"""),FALSE)</f>
        <v>0</v>
      </c>
      <c r="H53" s="1"/>
    </row>
    <row r="54">
      <c r="A54" s="1" t="str">
        <f>IFERROR(__xludf.DUMMYFUNCTION("""COMPUTED_VALUE"""),"6eeca5a4")</f>
        <v>6eeca5a4</v>
      </c>
      <c r="B54" s="30">
        <f>IFERROR(__xludf.DUMMYFUNCTION("""COMPUTED_VALUE"""),46043.0)</f>
        <v>46043</v>
      </c>
      <c r="C54" s="1">
        <f>IFERROR(__xludf.DUMMYFUNCTION("""COMPUTED_VALUE"""),2.509000369E9)</f>
        <v>2509000369</v>
      </c>
      <c r="D54" s="1" t="str">
        <f>IFERROR(__xludf.DUMMYFUNCTION("""COMPUTED_VALUE"""),"zegallai911@gmail.com")</f>
        <v>zegallai911@gmail.com</v>
      </c>
      <c r="E54" s="1" t="str">
        <f>IFERROR(__xludf.DUMMYFUNCTION("""COMPUTED_VALUE"""),"MachineRefills_Images/6eeca5a4.MachinePhoto.002338.jpg")</f>
        <v>MachineRefills_Images/6eeca5a4.MachinePhoto.002338.jpg</v>
      </c>
      <c r="F54" s="1" t="str">
        <f>IFERROR(__xludf.DUMMYFUNCTION("""COMPUTED_VALUE"""),"Full")</f>
        <v>Full</v>
      </c>
      <c r="G54" s="1" t="b">
        <f>IFERROR(__xludf.DUMMYFUNCTION("""COMPUTED_VALUE"""),TRUE)</f>
        <v>1</v>
      </c>
      <c r="H54" s="1" t="str">
        <f>IFERROR(__xludf.DUMMYFUNCTION("""COMPUTED_VALUE"""),"تشينج واقف")</f>
        <v>تشينج واقف</v>
      </c>
    </row>
    <row r="55">
      <c r="A55" s="1" t="str">
        <f>IFERROR(__xludf.DUMMYFUNCTION("""COMPUTED_VALUE"""),"44484432")</f>
        <v>44484432</v>
      </c>
      <c r="B55" s="30">
        <f>IFERROR(__xludf.DUMMYFUNCTION("""COMPUTED_VALUE"""),46043.0)</f>
        <v>46043</v>
      </c>
      <c r="C55" s="1">
        <f>IFERROR(__xludf.DUMMYFUNCTION("""COMPUTED_VALUE"""),2.509000371E9)</f>
        <v>2509000371</v>
      </c>
      <c r="D55" s="1" t="str">
        <f>IFERROR(__xludf.DUMMYFUNCTION("""COMPUTED_VALUE"""),"zegallai911@gmail.com")</f>
        <v>zegallai911@gmail.com</v>
      </c>
      <c r="E55" s="1" t="str">
        <f>IFERROR(__xludf.DUMMYFUNCTION("""COMPUTED_VALUE"""),"MachineRefills_Images/44484432.MachinePhoto.134754.jpg")</f>
        <v>MachineRefills_Images/44484432.MachinePhoto.134754.jpg</v>
      </c>
      <c r="F55" s="1" t="str">
        <f>IFERROR(__xludf.DUMMYFUNCTION("""COMPUTED_VALUE"""),"Full")</f>
        <v>Full</v>
      </c>
      <c r="G55" s="1" t="b">
        <f>IFERROR(__xludf.DUMMYFUNCTION("""COMPUTED_VALUE"""),FALSE)</f>
        <v>0</v>
      </c>
      <c r="H55" s="1"/>
    </row>
    <row r="56">
      <c r="A56" s="1" t="str">
        <f>IFERROR(__xludf.DUMMYFUNCTION("""COMPUTED_VALUE"""),"1cb27c01")</f>
        <v>1cb27c01</v>
      </c>
      <c r="B56" s="30">
        <f>IFERROR(__xludf.DUMMYFUNCTION("""COMPUTED_VALUE"""),46043.98364583333)</f>
        <v>46043.98365</v>
      </c>
      <c r="C56" s="1">
        <f>IFERROR(__xludf.DUMMYFUNCTION("""COMPUTED_VALUE"""),2.503000217E9)</f>
        <v>2503000217</v>
      </c>
      <c r="D56" s="1" t="str">
        <f>IFERROR(__xludf.DUMMYFUNCTION("""COMPUTED_VALUE"""),"zegallai911@gmail.com")</f>
        <v>zegallai911@gmail.com</v>
      </c>
      <c r="E56" s="1" t="str">
        <f>IFERROR(__xludf.DUMMYFUNCTION("""COMPUTED_VALUE"""),"MachineRefills_Images/1cb27c01.MachinePhoto.213655.jpg")</f>
        <v>MachineRefills_Images/1cb27c01.MachinePhoto.213655.jpg</v>
      </c>
      <c r="F56" s="1" t="str">
        <f>IFERROR(__xludf.DUMMYFUNCTION("""COMPUTED_VALUE"""),"Full")</f>
        <v>Full</v>
      </c>
      <c r="G56" s="1" t="b">
        <f>IFERROR(__xludf.DUMMYFUNCTION("""COMPUTED_VALUE"""),FALSE)</f>
        <v>0</v>
      </c>
      <c r="H56" s="1"/>
    </row>
    <row r="57">
      <c r="A57" s="1" t="str">
        <f>IFERROR(__xludf.DUMMYFUNCTION("""COMPUTED_VALUE"""),"fc4c436d")</f>
        <v>fc4c436d</v>
      </c>
      <c r="B57" s="30">
        <f>IFERROR(__xludf.DUMMYFUNCTION("""COMPUTED_VALUE"""),46045.10417824074)</f>
        <v>46045.10418</v>
      </c>
      <c r="C57" s="1">
        <f>IFERROR(__xludf.DUMMYFUNCTION("""COMPUTED_VALUE"""),2.509000369E9)</f>
        <v>2509000369</v>
      </c>
      <c r="D57" s="1" t="str">
        <f>IFERROR(__xludf.DUMMYFUNCTION("""COMPUTED_VALUE"""),"zegallai911@gmail.com")</f>
        <v>zegallai911@gmail.com</v>
      </c>
      <c r="E57" s="1" t="str">
        <f>IFERROR(__xludf.DUMMYFUNCTION("""COMPUTED_VALUE"""),"MachineRefills_Images/fc4c436d.MachinePhoto.003024.jpg")</f>
        <v>MachineRefills_Images/fc4c436d.MachinePhoto.003024.jpg</v>
      </c>
      <c r="F57" s="1" t="str">
        <f>IFERROR(__xludf.DUMMYFUNCTION("""COMPUTED_VALUE"""),"Full")</f>
        <v>Full</v>
      </c>
      <c r="G57" s="1" t="b">
        <f>IFERROR(__xludf.DUMMYFUNCTION("""COMPUTED_VALUE"""),FALSE)</f>
        <v>0</v>
      </c>
      <c r="H57" s="1"/>
    </row>
    <row r="58">
      <c r="A58" s="1" t="str">
        <f>IFERROR(__xludf.DUMMYFUNCTION("""COMPUTED_VALUE"""),"8acb2247")</f>
        <v>8acb2247</v>
      </c>
      <c r="B58" s="30">
        <f>IFERROR(__xludf.DUMMYFUNCTION("""COMPUTED_VALUE"""),46045.65584490741)</f>
        <v>46045.65584</v>
      </c>
      <c r="C58" s="1">
        <f>IFERROR(__xludf.DUMMYFUNCTION("""COMPUTED_VALUE"""),2.509000371E9)</f>
        <v>2509000371</v>
      </c>
      <c r="D58" s="1" t="str">
        <f>IFERROR(__xludf.DUMMYFUNCTION("""COMPUTED_VALUE"""),"zegallai911@gmail.com")</f>
        <v>zegallai911@gmail.com</v>
      </c>
      <c r="E58" s="1" t="str">
        <f>IFERROR(__xludf.DUMMYFUNCTION("""COMPUTED_VALUE"""),"MachineRefills_Images/8acb2247.MachinePhoto.134450.jpg")</f>
        <v>MachineRefills_Images/8acb2247.MachinePhoto.134450.jpg</v>
      </c>
      <c r="F58" s="1" t="str">
        <f>IFERROR(__xludf.DUMMYFUNCTION("""COMPUTED_VALUE"""),"Full")</f>
        <v>Full</v>
      </c>
      <c r="G58" s="1" t="b">
        <f>IFERROR(__xludf.DUMMYFUNCTION("""COMPUTED_VALUE"""),FALSE)</f>
        <v>0</v>
      </c>
      <c r="H58" s="1"/>
    </row>
    <row r="59">
      <c r="A59" s="1" t="str">
        <f>IFERROR(__xludf.DUMMYFUNCTION("""COMPUTED_VALUE"""),"ee14a4e8")</f>
        <v>ee14a4e8</v>
      </c>
      <c r="B59" s="30">
        <f>IFERROR(__xludf.DUMMYFUNCTION("""COMPUTED_VALUE"""),46045.7391087963)</f>
        <v>46045.73911</v>
      </c>
      <c r="C59" s="1">
        <f>IFERROR(__xludf.DUMMYFUNCTION("""COMPUTED_VALUE"""),2.404120076E9)</f>
        <v>2404120076</v>
      </c>
      <c r="D59" s="1" t="str">
        <f>IFERROR(__xludf.DUMMYFUNCTION("""COMPUTED_VALUE"""),"zegallai911@gmail.com")</f>
        <v>zegallai911@gmail.com</v>
      </c>
      <c r="E59" s="1" t="str">
        <f>IFERROR(__xludf.DUMMYFUNCTION("""COMPUTED_VALUE"""),"MachineRefills_Images/ee14a4e8.MachinePhoto.154506.jpg")</f>
        <v>MachineRefills_Images/ee14a4e8.MachinePhoto.154506.jpg</v>
      </c>
      <c r="F59" s="1" t="str">
        <f>IFERROR(__xludf.DUMMYFUNCTION("""COMPUTED_VALUE"""),"Partial")</f>
        <v>Partial</v>
      </c>
      <c r="G59" s="1" t="b">
        <f>IFERROR(__xludf.DUMMYFUNCTION("""COMPUTED_VALUE"""),FALSE)</f>
        <v>0</v>
      </c>
      <c r="H59" s="1"/>
    </row>
    <row r="60">
      <c r="A60" s="1" t="str">
        <f>IFERROR(__xludf.DUMMYFUNCTION("""COMPUTED_VALUE"""),"bc914fd2")</f>
        <v>bc914fd2</v>
      </c>
      <c r="B60" s="30">
        <f>IFERROR(__xludf.DUMMYFUNCTION("""COMPUTED_VALUE"""),46046.06412037037)</f>
        <v>46046.06412</v>
      </c>
      <c r="C60" s="1">
        <f>IFERROR(__xludf.DUMMYFUNCTION("""COMPUTED_VALUE"""),2.411000046E9)</f>
        <v>2411000046</v>
      </c>
      <c r="D60" s="1" t="str">
        <f>IFERROR(__xludf.DUMMYFUNCTION("""COMPUTED_VALUE"""),"zegallai911@gmail.com")</f>
        <v>zegallai911@gmail.com</v>
      </c>
      <c r="E60" s="1" t="str">
        <f>IFERROR(__xludf.DUMMYFUNCTION("""COMPUTED_VALUE"""),"MachineRefills_Images/bc914fd2.MachinePhoto.131736.jpg")</f>
        <v>MachineRefills_Images/bc914fd2.MachinePhoto.131736.jpg</v>
      </c>
      <c r="F60" s="1" t="str">
        <f>IFERROR(__xludf.DUMMYFUNCTION("""COMPUTED_VALUE"""),"Partial")</f>
        <v>Partial</v>
      </c>
      <c r="G60" s="1" t="b">
        <f>IFERROR(__xludf.DUMMYFUNCTION("""COMPUTED_VALUE"""),FALSE)</f>
        <v>0</v>
      </c>
      <c r="H60" s="1"/>
    </row>
    <row r="61">
      <c r="A61" s="1" t="str">
        <f>IFERROR(__xludf.DUMMYFUNCTION("""COMPUTED_VALUE"""),"b758feb7")</f>
        <v>b758feb7</v>
      </c>
      <c r="B61" s="30">
        <f>IFERROR(__xludf.DUMMYFUNCTION("""COMPUTED_VALUE"""),46046.74626157407)</f>
        <v>46046.74626</v>
      </c>
      <c r="C61" s="1">
        <f>IFERROR(__xludf.DUMMYFUNCTION("""COMPUTED_VALUE"""),2.509000371E9)</f>
        <v>2509000371</v>
      </c>
      <c r="D61" s="1" t="str">
        <f>IFERROR(__xludf.DUMMYFUNCTION("""COMPUTED_VALUE"""),"zegallai911@gmail.com")</f>
        <v>zegallai911@gmail.com</v>
      </c>
      <c r="E61" s="1" t="str">
        <f>IFERROR(__xludf.DUMMYFUNCTION("""COMPUTED_VALUE"""),"MachineRefills_Images/b758feb7.MachinePhoto.155458.jpg")</f>
        <v>MachineRefills_Images/b758feb7.MachinePhoto.155458.jpg</v>
      </c>
      <c r="F61" s="1" t="str">
        <f>IFERROR(__xludf.DUMMYFUNCTION("""COMPUTED_VALUE"""),"Partial")</f>
        <v>Partial</v>
      </c>
      <c r="G61" s="1" t="b">
        <f>IFERROR(__xludf.DUMMYFUNCTION("""COMPUTED_VALUE"""),FALSE)</f>
        <v>0</v>
      </c>
      <c r="H61" s="1"/>
    </row>
    <row r="62">
      <c r="A62" s="1" t="str">
        <f>IFERROR(__xludf.DUMMYFUNCTION("""COMPUTED_VALUE"""),"2be47462")</f>
        <v>2be47462</v>
      </c>
      <c r="B62" s="30">
        <f>IFERROR(__xludf.DUMMYFUNCTION("""COMPUTED_VALUE"""),46047.07015046296)</f>
        <v>46047.07015</v>
      </c>
      <c r="C62" s="1" t="str">
        <f>IFERROR(__xludf.DUMMYFUNCTION("""COMPUTED_VALUE"""),"2503000217")</f>
        <v>2503000217</v>
      </c>
      <c r="D62" s="1" t="str">
        <f>IFERROR(__xludf.DUMMYFUNCTION("""COMPUTED_VALUE"""),"zegallai911@gmail.com")</f>
        <v>zegallai911@gmail.com</v>
      </c>
      <c r="E62" s="1" t="str">
        <f>IFERROR(__xludf.DUMMYFUNCTION("""COMPUTED_VALUE"""),"MachineRefills_Images/2be47462.MachinePhoto.234212.jpg")</f>
        <v>MachineRefills_Images/2be47462.MachinePhoto.234212.jpg</v>
      </c>
      <c r="F62" s="1" t="str">
        <f>IFERROR(__xludf.DUMMYFUNCTION("""COMPUTED_VALUE"""),"Partial")</f>
        <v>Partial</v>
      </c>
      <c r="G62" s="1" t="b">
        <f>IFERROR(__xludf.DUMMYFUNCTION("""COMPUTED_VALUE"""),TRUE)</f>
        <v>1</v>
      </c>
      <c r="H62" s="1" t="str">
        <f>IFERROR(__xludf.DUMMYFUNCTION("""COMPUTED_VALUE"""),"حاشيين جنيات مع بعض")</f>
        <v>حاشيين جنيات مع بعض</v>
      </c>
    </row>
    <row r="63">
      <c r="A63" s="1" t="str">
        <f>IFERROR(__xludf.DUMMYFUNCTION("""COMPUTED_VALUE"""),"dff0a73a")</f>
        <v>dff0a73a</v>
      </c>
      <c r="B63" s="30">
        <f>IFERROR(__xludf.DUMMYFUNCTION("""COMPUTED_VALUE"""),46047.99178240741)</f>
        <v>46047.99178</v>
      </c>
      <c r="C63" s="1">
        <f>IFERROR(__xludf.DUMMYFUNCTION("""COMPUTED_VALUE"""),2.503000217E9)</f>
        <v>2503000217</v>
      </c>
      <c r="D63" s="1" t="str">
        <f>IFERROR(__xludf.DUMMYFUNCTION("""COMPUTED_VALUE"""),"zegallai911@gmail.com")</f>
        <v>zegallai911@gmail.com</v>
      </c>
      <c r="E63" s="1" t="str">
        <f>IFERROR(__xludf.DUMMYFUNCTION("""COMPUTED_VALUE"""),"MachineRefills_Images/dff0a73a.MachinePhoto.214900.jpg")</f>
        <v>MachineRefills_Images/dff0a73a.MachinePhoto.214900.jpg</v>
      </c>
      <c r="F63" s="1" t="str">
        <f>IFERROR(__xludf.DUMMYFUNCTION("""COMPUTED_VALUE"""),"Partial")</f>
        <v>Partial</v>
      </c>
      <c r="G63" s="1" t="b">
        <f>IFERROR(__xludf.DUMMYFUNCTION("""COMPUTED_VALUE"""),TRUE)</f>
        <v>1</v>
      </c>
      <c r="H63" s="1" t="str">
        <f>IFERROR(__xludf.DUMMYFUNCTION("""COMPUTED_VALUE"""),"تشينج ومتع تدخيل الفلوس حاصل")</f>
        <v>تشينج ومتع تدخيل الفلوس حاصل</v>
      </c>
    </row>
    <row r="64">
      <c r="A64" s="1" t="str">
        <f>IFERROR(__xludf.DUMMYFUNCTION("""COMPUTED_VALUE"""),"d028e29a")</f>
        <v>d028e29a</v>
      </c>
      <c r="B64" s="30">
        <f>IFERROR(__xludf.DUMMYFUNCTION("""COMPUTED_VALUE"""),46049.07974537037)</f>
        <v>46049.07975</v>
      </c>
      <c r="C64" s="1">
        <f>IFERROR(__xludf.DUMMYFUNCTION("""COMPUTED_VALUE"""),2.509000369E9)</f>
        <v>2509000369</v>
      </c>
      <c r="D64" s="1" t="str">
        <f>IFERROR(__xludf.DUMMYFUNCTION("""COMPUTED_VALUE"""),"zegallai911@gmail.com")</f>
        <v>zegallai911@gmail.com</v>
      </c>
      <c r="E64" s="1" t="str">
        <f>IFERROR(__xludf.DUMMYFUNCTION("""COMPUTED_VALUE"""),"MachineRefills_Images/d028e29a.MachinePhoto.235517.jpg")</f>
        <v>MachineRefills_Images/d028e29a.MachinePhoto.235517.jpg</v>
      </c>
      <c r="F64" s="1" t="str">
        <f>IFERROR(__xludf.DUMMYFUNCTION("""COMPUTED_VALUE"""),"Partial")</f>
        <v>Partial</v>
      </c>
      <c r="G64" s="1" t="b">
        <f>IFERROR(__xludf.DUMMYFUNCTION("""COMPUTED_VALUE"""),TRUE)</f>
        <v>1</v>
      </c>
      <c r="H64" s="1" t="str">
        <f>IFERROR(__xludf.DUMMYFUNCTION("""COMPUTED_VALUE"""),"تشينج واقف")</f>
        <v>تشينج واقف</v>
      </c>
    </row>
    <row r="65">
      <c r="A65" s="1" t="str">
        <f>IFERROR(__xludf.DUMMYFUNCTION("""COMPUTED_VALUE"""),"e5da4c27")</f>
        <v>e5da4c27</v>
      </c>
      <c r="B65" s="30">
        <f>IFERROR(__xludf.DUMMYFUNCTION("""COMPUTED_VALUE"""),46050.7066087963)</f>
        <v>46050.70661</v>
      </c>
      <c r="C65" s="1">
        <f>IFERROR(__xludf.DUMMYFUNCTION("""COMPUTED_VALUE"""),2.509000371E9)</f>
        <v>2509000371</v>
      </c>
      <c r="D65" s="1" t="str">
        <f>IFERROR(__xludf.DUMMYFUNCTION("""COMPUTED_VALUE"""),"zegallai911@gmail.com")</f>
        <v>zegallai911@gmail.com</v>
      </c>
      <c r="E65" s="1" t="str">
        <f>IFERROR(__xludf.DUMMYFUNCTION("""COMPUTED_VALUE"""),"MachineRefills_Images/e5da4c27.MachinePhoto.145749.jpg")</f>
        <v>MachineRefills_Images/e5da4c27.MachinePhoto.145749.jpg</v>
      </c>
      <c r="F65" s="1" t="str">
        <f>IFERROR(__xludf.DUMMYFUNCTION("""COMPUTED_VALUE"""),"Partial")</f>
        <v>Partial</v>
      </c>
      <c r="G65" s="1" t="b">
        <f>IFERROR(__xludf.DUMMYFUNCTION("""COMPUTED_VALUE"""),FALSE)</f>
        <v>0</v>
      </c>
      <c r="H65" s="1"/>
    </row>
    <row r="66">
      <c r="A66" s="1" t="str">
        <f>IFERROR(__xludf.DUMMYFUNCTION("""COMPUTED_VALUE"""),"1caf7c57")</f>
        <v>1caf7c57</v>
      </c>
      <c r="B66" s="30">
        <f>IFERROR(__xludf.DUMMYFUNCTION("""COMPUTED_VALUE"""),46050.86375)</f>
        <v>46050.86375</v>
      </c>
      <c r="C66" s="1">
        <f>IFERROR(__xludf.DUMMYFUNCTION("""COMPUTED_VALUE"""),2.411000046E9)</f>
        <v>2411000046</v>
      </c>
      <c r="D66" s="1" t="str">
        <f>IFERROR(__xludf.DUMMYFUNCTION("""COMPUTED_VALUE"""),"zegallai911@gmail.com")</f>
        <v>zegallai911@gmail.com</v>
      </c>
      <c r="E66" s="1" t="str">
        <f>IFERROR(__xludf.DUMMYFUNCTION("""COMPUTED_VALUE"""),"MachineRefills_Images/1caf7c57.MachinePhoto.184407.jpg")</f>
        <v>MachineRefills_Images/1caf7c57.MachinePhoto.184407.jpg</v>
      </c>
      <c r="F66" s="1" t="str">
        <f>IFERROR(__xludf.DUMMYFUNCTION("""COMPUTED_VALUE"""),"Partial")</f>
        <v>Partial</v>
      </c>
      <c r="G66" s="1" t="b">
        <f>IFERROR(__xludf.DUMMYFUNCTION("""COMPUTED_VALUE"""),FALSE)</f>
        <v>0</v>
      </c>
      <c r="H66" s="1"/>
    </row>
    <row r="67">
      <c r="A67" s="1" t="str">
        <f>IFERROR(__xludf.DUMMYFUNCTION("""COMPUTED_VALUE"""),"8f2b685b")</f>
        <v>8f2b685b</v>
      </c>
      <c r="B67" s="30">
        <f>IFERROR(__xludf.DUMMYFUNCTION("""COMPUTED_VALUE"""),46050.89320601852)</f>
        <v>46050.89321</v>
      </c>
      <c r="C67" s="1">
        <f>IFERROR(__xludf.DUMMYFUNCTION("""COMPUTED_VALUE"""),2.503000217E9)</f>
        <v>2503000217</v>
      </c>
      <c r="D67" s="1" t="str">
        <f>IFERROR(__xludf.DUMMYFUNCTION("""COMPUTED_VALUE"""),"zegallai911@gmail.com")</f>
        <v>zegallai911@gmail.com</v>
      </c>
      <c r="E67" s="1" t="str">
        <f>IFERROR(__xludf.DUMMYFUNCTION("""COMPUTED_VALUE"""),"MachineRefills_Images/8f2b685b.MachinePhoto.192635.jpg")</f>
        <v>MachineRefills_Images/8f2b685b.MachinePhoto.192635.jpg</v>
      </c>
      <c r="F67" s="1" t="str">
        <f>IFERROR(__xludf.DUMMYFUNCTION("""COMPUTED_VALUE"""),"Partial")</f>
        <v>Partial</v>
      </c>
      <c r="G67" s="1" t="b">
        <f>IFERROR(__xludf.DUMMYFUNCTION("""COMPUTED_VALUE"""),FALSE)</f>
        <v>0</v>
      </c>
      <c r="H67" s="1"/>
    </row>
    <row r="68">
      <c r="A68" s="1" t="str">
        <f>IFERROR(__xludf.DUMMYFUNCTION("""COMPUTED_VALUE"""),"79e087ad")</f>
        <v>79e087ad</v>
      </c>
      <c r="B68" s="30">
        <f>IFERROR(__xludf.DUMMYFUNCTION("""COMPUTED_VALUE"""),46051.06559027778)</f>
        <v>46051.06559</v>
      </c>
      <c r="C68" s="1">
        <f>IFERROR(__xludf.DUMMYFUNCTION("""COMPUTED_VALUE"""),2.404120076E9)</f>
        <v>2404120076</v>
      </c>
      <c r="D68" s="1" t="str">
        <f>IFERROR(__xludf.DUMMYFUNCTION("""COMPUTED_VALUE"""),"zegallai911@gmail.com")</f>
        <v>zegallai911@gmail.com</v>
      </c>
      <c r="E68" s="1" t="str">
        <f>IFERROR(__xludf.DUMMYFUNCTION("""COMPUTED_VALUE"""),"MachineRefills_Images/79e087ad.MachinePhoto.233449.jpg")</f>
        <v>MachineRefills_Images/79e087ad.MachinePhoto.233449.jpg</v>
      </c>
      <c r="F68" s="1" t="str">
        <f>IFERROR(__xludf.DUMMYFUNCTION("""COMPUTED_VALUE"""),"Partial")</f>
        <v>Partial</v>
      </c>
      <c r="G68" s="1" t="b">
        <f>IFERROR(__xludf.DUMMYFUNCTION("""COMPUTED_VALUE"""),TRUE)</f>
        <v>1</v>
      </c>
      <c r="H68" s="1"/>
    </row>
    <row r="69">
      <c r="A69" s="1" t="str">
        <f>IFERROR(__xludf.DUMMYFUNCTION("""COMPUTED_VALUE"""),"13729ac5")</f>
        <v>13729ac5</v>
      </c>
      <c r="B69" s="32">
        <f>IFERROR(__xludf.DUMMYFUNCTION("""COMPUTED_VALUE"""),46052.72704861111)</f>
        <v>46052.72705</v>
      </c>
      <c r="C69" s="1" t="str">
        <f>IFERROR(__xludf.DUMMYFUNCTION("""COMPUTED_VALUE"""),"2509000371")</f>
        <v>2509000371</v>
      </c>
      <c r="D69" s="1" t="str">
        <f>IFERROR(__xludf.DUMMYFUNCTION("""COMPUTED_VALUE"""),"zegallai911@gmail.com")</f>
        <v>zegallai911@gmail.com</v>
      </c>
      <c r="E69" s="1" t="str">
        <f>IFERROR(__xludf.DUMMYFUNCTION("""COMPUTED_VALUE"""),"MachineRefills_Images/13729ac5.MachinePhoto.152733.jpg")</f>
        <v>MachineRefills_Images/13729ac5.MachinePhoto.152733.jpg</v>
      </c>
      <c r="F69" s="1" t="str">
        <f>IFERROR(__xludf.DUMMYFUNCTION("""COMPUTED_VALUE"""),"Full")</f>
        <v>Full</v>
      </c>
      <c r="G69" s="1" t="b">
        <f>IFERROR(__xludf.DUMMYFUNCTION("""COMPUTED_VALUE"""),FALSE)</f>
        <v>0</v>
      </c>
      <c r="H69" s="1"/>
    </row>
    <row r="70">
      <c r="A70" s="1" t="str">
        <f>IFERROR(__xludf.DUMMYFUNCTION("""COMPUTED_VALUE"""),"8c99fddd")</f>
        <v>8c99fddd</v>
      </c>
      <c r="B70" s="32">
        <f>IFERROR(__xludf.DUMMYFUNCTION("""COMPUTED_VALUE"""),46052.76715277778)</f>
        <v>46052.76715</v>
      </c>
      <c r="C70" s="1" t="str">
        <f>IFERROR(__xludf.DUMMYFUNCTION("""COMPUTED_VALUE"""),"2509000369")</f>
        <v>2509000369</v>
      </c>
      <c r="D70" s="1" t="str">
        <f>IFERROR(__xludf.DUMMYFUNCTION("""COMPUTED_VALUE"""),"zegallai911@gmail.com")</f>
        <v>zegallai911@gmail.com</v>
      </c>
      <c r="E70" s="1" t="str">
        <f>IFERROR(__xludf.DUMMYFUNCTION("""COMPUTED_VALUE"""),"MachineRefills_Images/8c99fddd.MachinePhoto.162512.jpg")</f>
        <v>MachineRefills_Images/8c99fddd.MachinePhoto.162512.jpg</v>
      </c>
      <c r="F70" s="1" t="str">
        <f>IFERROR(__xludf.DUMMYFUNCTION("""COMPUTED_VALUE"""),"Partial")</f>
        <v>Partial</v>
      </c>
      <c r="G70" s="1" t="b">
        <f>IFERROR(__xludf.DUMMYFUNCTION("""COMPUTED_VALUE"""),TRUE)</f>
        <v>1</v>
      </c>
      <c r="H70" s="1" t="str">
        <f>IFERROR(__xludf.DUMMYFUNCTION("""COMPUTED_VALUE"""),"تشينج القروش حاصل")</f>
        <v>تشينج القروش حاصل</v>
      </c>
    </row>
    <row r="71">
      <c r="A71" s="1" t="str">
        <f>IFERROR(__xludf.DUMMYFUNCTION("""COMPUTED_VALUE"""),"0fc632d7")</f>
        <v>0fc632d7</v>
      </c>
      <c r="B71" s="32">
        <f>IFERROR(__xludf.DUMMYFUNCTION("""COMPUTED_VALUE"""),46053.612858796296)</f>
        <v>46053.61286</v>
      </c>
      <c r="C71" s="1" t="str">
        <f>IFERROR(__xludf.DUMMYFUNCTION("""COMPUTED_VALUE"""),"2509000371")</f>
        <v>2509000371</v>
      </c>
      <c r="D71" s="1" t="str">
        <f>IFERROR(__xludf.DUMMYFUNCTION("""COMPUTED_VALUE"""),"zegallai911@gmail.com")</f>
        <v>zegallai911@gmail.com</v>
      </c>
      <c r="E71" s="1" t="str">
        <f>IFERROR(__xludf.DUMMYFUNCTION("""COMPUTED_VALUE"""),"MachineRefills_Images/0fc632d7.MachinePhoto.124257.jpg")</f>
        <v>MachineRefills_Images/0fc632d7.MachinePhoto.124257.jpg</v>
      </c>
      <c r="F71" s="1" t="str">
        <f>IFERROR(__xludf.DUMMYFUNCTION("""COMPUTED_VALUE"""),"Partial")</f>
        <v>Partial</v>
      </c>
      <c r="G71" s="1" t="b">
        <f>IFERROR(__xludf.DUMMYFUNCTION("""COMPUTED_VALUE"""),TRUE)</f>
        <v>1</v>
      </c>
      <c r="H71" s="1" t="str">
        <f>IFERROR(__xludf.DUMMYFUNCTION("""COMPUTED_VALUE"""),"بطاطا عالقة")</f>
        <v>بطاطا عالقة</v>
      </c>
    </row>
    <row r="72">
      <c r="A72" s="1" t="str">
        <f>IFERROR(__xludf.DUMMYFUNCTION("""COMPUTED_VALUE"""),"db7e1350")</f>
        <v>db7e1350</v>
      </c>
      <c r="B72" s="32">
        <f>IFERROR(__xludf.DUMMYFUNCTION("""COMPUTED_VALUE"""),46054.052407407406)</f>
        <v>46054.05241</v>
      </c>
      <c r="C72" s="1" t="str">
        <f>IFERROR(__xludf.DUMMYFUNCTION("""COMPUTED_VALUE"""),"2411000046")</f>
        <v>2411000046</v>
      </c>
      <c r="D72" s="1" t="str">
        <f>IFERROR(__xludf.DUMMYFUNCTION("""COMPUTED_VALUE"""),"zegallai911@gmail.com")</f>
        <v>zegallai911@gmail.com</v>
      </c>
      <c r="E72" s="1" t="str">
        <f>IFERROR(__xludf.DUMMYFUNCTION("""COMPUTED_VALUE"""),"MachineRefills_Images/db7e1350.MachinePhoto.231545.jpg")</f>
        <v>MachineRefills_Images/db7e1350.MachinePhoto.231545.jpg</v>
      </c>
      <c r="F72" s="1" t="str">
        <f>IFERROR(__xludf.DUMMYFUNCTION("""COMPUTED_VALUE"""),"Partial")</f>
        <v>Partial</v>
      </c>
      <c r="G72" s="1" t="b">
        <f>IFERROR(__xludf.DUMMYFUNCTION("""COMPUTED_VALUE"""),FALSE)</f>
        <v>0</v>
      </c>
      <c r="H72" s="1"/>
    </row>
    <row r="73">
      <c r="A73" s="1" t="str">
        <f>IFERROR(__xludf.DUMMYFUNCTION("""COMPUTED_VALUE"""),"b0048d17")</f>
        <v>b0048d17</v>
      </c>
      <c r="B73" s="32">
        <f>IFERROR(__xludf.DUMMYFUNCTION("""COMPUTED_VALUE"""),46054.79324074074)</f>
        <v>46054.79324</v>
      </c>
      <c r="C73" s="1" t="str">
        <f>IFERROR(__xludf.DUMMYFUNCTION("""COMPUTED_VALUE"""),"2509000371")</f>
        <v>2509000371</v>
      </c>
      <c r="D73" s="1" t="str">
        <f>IFERROR(__xludf.DUMMYFUNCTION("""COMPUTED_VALUE"""),"zegallai911@gmail.com")</f>
        <v>zegallai911@gmail.com</v>
      </c>
      <c r="E73" s="1" t="str">
        <f>IFERROR(__xludf.DUMMYFUNCTION("""COMPUTED_VALUE"""),"MachineRefills_Images/b0048d17.MachinePhoto.170240.jpg")</f>
        <v>MachineRefills_Images/b0048d17.MachinePhoto.170240.jpg</v>
      </c>
      <c r="F73" s="1" t="str">
        <f>IFERROR(__xludf.DUMMYFUNCTION("""COMPUTED_VALUE"""),"Partial")</f>
        <v>Partial</v>
      </c>
      <c r="G73" s="1" t="b">
        <f>IFERROR(__xludf.DUMMYFUNCTION("""COMPUTED_VALUE"""),FALSE)</f>
        <v>0</v>
      </c>
      <c r="H73" s="1"/>
    </row>
    <row r="74">
      <c r="A74" s="1" t="str">
        <f>IFERROR(__xludf.DUMMYFUNCTION("""COMPUTED_VALUE"""),"4309b1f0")</f>
        <v>4309b1f0</v>
      </c>
      <c r="B74" s="32">
        <f>IFERROR(__xludf.DUMMYFUNCTION("""COMPUTED_VALUE"""),46054.9971875)</f>
        <v>46054.99719</v>
      </c>
      <c r="C74" s="1" t="str">
        <f>IFERROR(__xludf.DUMMYFUNCTION("""COMPUTED_VALUE"""),"2503000217")</f>
        <v>2503000217</v>
      </c>
      <c r="D74" s="1" t="str">
        <f>IFERROR(__xludf.DUMMYFUNCTION("""COMPUTED_VALUE"""),"zegallai911@gmail.com")</f>
        <v>zegallai911@gmail.com</v>
      </c>
      <c r="E74" s="1" t="str">
        <f>IFERROR(__xludf.DUMMYFUNCTION("""COMPUTED_VALUE"""),"MachineRefills_Images/4309b1f0.MachinePhoto.215617.jpg")</f>
        <v>MachineRefills_Images/4309b1f0.MachinePhoto.215617.jpg</v>
      </c>
      <c r="F74" s="1" t="str">
        <f>IFERROR(__xludf.DUMMYFUNCTION("""COMPUTED_VALUE"""),"Partial")</f>
        <v>Partial</v>
      </c>
      <c r="G74" s="1" t="b">
        <f>IFERROR(__xludf.DUMMYFUNCTION("""COMPUTED_VALUE"""),FALSE)</f>
        <v>0</v>
      </c>
      <c r="H74" s="1"/>
    </row>
    <row r="75">
      <c r="A75" s="1" t="str">
        <f>IFERROR(__xludf.DUMMYFUNCTION("""COMPUTED_VALUE"""),"a1f1ee27")</f>
        <v>a1f1ee27</v>
      </c>
      <c r="B75" s="32">
        <f>IFERROR(__xludf.DUMMYFUNCTION("""COMPUTED_VALUE"""),46055.390601851854)</f>
        <v>46055.3906</v>
      </c>
      <c r="C75" s="1" t="str">
        <f>IFERROR(__xludf.DUMMYFUNCTION("""COMPUTED_VALUE"""),"2509000370")</f>
        <v>2509000370</v>
      </c>
      <c r="D75" s="1" t="str">
        <f>IFERROR(__xludf.DUMMYFUNCTION("""COMPUTED_VALUE"""),"anasgherfal@gmail.com")</f>
        <v>anasgherfal@gmail.com</v>
      </c>
      <c r="E75" s="1" t="str">
        <f>IFERROR(__xludf.DUMMYFUNCTION("""COMPUTED_VALUE"""),"MachineRefills_Images/a1f1ee27.MachinePhoto.072247.jpg")</f>
        <v>MachineRefills_Images/a1f1ee27.MachinePhoto.072247.jpg</v>
      </c>
      <c r="F75" s="1" t="str">
        <f>IFERROR(__xludf.DUMMYFUNCTION("""COMPUTED_VALUE"""),"Partial")</f>
        <v>Partial</v>
      </c>
      <c r="G75" s="1" t="b">
        <f>IFERROR(__xludf.DUMMYFUNCTION("""COMPUTED_VALUE"""),FALSE)</f>
        <v>0</v>
      </c>
      <c r="H75" s="1"/>
    </row>
    <row r="76">
      <c r="A76" s="1" t="str">
        <f>IFERROR(__xludf.DUMMYFUNCTION("""COMPUTED_VALUE"""),"ae99be2c")</f>
        <v>ae99be2c</v>
      </c>
      <c r="B76" s="32">
        <f>IFERROR(__xludf.DUMMYFUNCTION("""COMPUTED_VALUE"""),46053.76527777778)</f>
        <v>46053.76528</v>
      </c>
      <c r="C76" s="1" t="str">
        <f>IFERROR(__xludf.DUMMYFUNCTION("""COMPUTED_VALUE"""),"2509000370")</f>
        <v>2509000370</v>
      </c>
      <c r="D76" s="1" t="str">
        <f>IFERROR(__xludf.DUMMYFUNCTION("""COMPUTED_VALUE"""),"anasgherfal@gmail.com")</f>
        <v>anasgherfal@gmail.com</v>
      </c>
      <c r="E76" s="1" t="str">
        <f>IFERROR(__xludf.DUMMYFUNCTION("""COMPUTED_VALUE"""),"MachineRefills_Images/ae99be2c.MachinePhoto.072330.jpg")</f>
        <v>MachineRefills_Images/ae99be2c.MachinePhoto.072330.jpg</v>
      </c>
      <c r="F76" s="1" t="str">
        <f>IFERROR(__xludf.DUMMYFUNCTION("""COMPUTED_VALUE"""),"Full")</f>
        <v>Full</v>
      </c>
      <c r="G76" s="1" t="b">
        <f>IFERROR(__xludf.DUMMYFUNCTION("""COMPUTED_VALUE"""),FALSE)</f>
        <v>0</v>
      </c>
      <c r="H76" s="1"/>
    </row>
    <row r="77">
      <c r="A77" s="1" t="str">
        <f>IFERROR(__xludf.DUMMYFUNCTION("""COMPUTED_VALUE"""),"e1f93363")</f>
        <v>e1f93363</v>
      </c>
      <c r="B77" s="32">
        <f>IFERROR(__xludf.DUMMYFUNCTION("""COMPUTED_VALUE"""),46055.65572916667)</f>
        <v>46055.65573</v>
      </c>
      <c r="C77" s="1" t="str">
        <f>IFERROR(__xludf.DUMMYFUNCTION("""COMPUTED_VALUE"""),"2509000371")</f>
        <v>2509000371</v>
      </c>
      <c r="D77" s="1" t="str">
        <f>IFERROR(__xludf.DUMMYFUNCTION("""COMPUTED_VALUE"""),"zegallai911@gmail.com")</f>
        <v>zegallai911@gmail.com</v>
      </c>
      <c r="E77" s="1" t="str">
        <f>IFERROR(__xludf.DUMMYFUNCTION("""COMPUTED_VALUE"""),"MachineRefills_Images/e1f93363.MachinePhoto.134446.jpg")</f>
        <v>MachineRefills_Images/e1f93363.MachinePhoto.134446.jpg</v>
      </c>
      <c r="F77" s="1" t="str">
        <f>IFERROR(__xludf.DUMMYFUNCTION("""COMPUTED_VALUE"""),"Partial")</f>
        <v>Partial</v>
      </c>
      <c r="G77" s="1" t="b">
        <f>IFERROR(__xludf.DUMMYFUNCTION("""COMPUTED_VALUE"""),FALSE)</f>
        <v>0</v>
      </c>
      <c r="H77" s="1"/>
    </row>
    <row r="78">
      <c r="A78" s="1" t="str">
        <f>IFERROR(__xludf.DUMMYFUNCTION("""COMPUTED_VALUE"""),"a7b0ad8a")</f>
        <v>a7b0ad8a</v>
      </c>
      <c r="B78" s="32">
        <f>IFERROR(__xludf.DUMMYFUNCTION("""COMPUTED_VALUE"""),46056.055289351854)</f>
        <v>46056.05529</v>
      </c>
      <c r="C78" s="1" t="str">
        <f>IFERROR(__xludf.DUMMYFUNCTION("""COMPUTED_VALUE"""),"2509000369")</f>
        <v>2509000369</v>
      </c>
      <c r="D78" s="1" t="str">
        <f>IFERROR(__xludf.DUMMYFUNCTION("""COMPUTED_VALUE"""),"zegallai911@gmail.com")</f>
        <v>zegallai911@gmail.com</v>
      </c>
      <c r="E78" s="1" t="str">
        <f>IFERROR(__xludf.DUMMYFUNCTION("""COMPUTED_VALUE"""),"MachineRefills_Images/a7b0ad8a.MachinePhoto.231959.jpg")</f>
        <v>MachineRefills_Images/a7b0ad8a.MachinePhoto.231959.jpg</v>
      </c>
      <c r="F78" s="1" t="str">
        <f>IFERROR(__xludf.DUMMYFUNCTION("""COMPUTED_VALUE"""),"Partial")</f>
        <v>Partial</v>
      </c>
      <c r="G78" s="1" t="b">
        <f>IFERROR(__xludf.DUMMYFUNCTION("""COMPUTED_VALUE"""),FALSE)</f>
        <v>0</v>
      </c>
      <c r="H78" s="1"/>
    </row>
    <row r="79">
      <c r="A79" s="1" t="str">
        <f>IFERROR(__xludf.DUMMYFUNCTION("""COMPUTED_VALUE"""),"5d5810de")</f>
        <v>5d5810de</v>
      </c>
      <c r="B79" s="32">
        <f>IFERROR(__xludf.DUMMYFUNCTION("""COMPUTED_VALUE"""),46056.818344907406)</f>
        <v>46056.81834</v>
      </c>
      <c r="C79" s="1" t="str">
        <f>IFERROR(__xludf.DUMMYFUNCTION("""COMPUTED_VALUE"""),"2509000370")</f>
        <v>2509000370</v>
      </c>
      <c r="D79" s="1" t="str">
        <f>IFERROR(__xludf.DUMMYFUNCTION("""COMPUTED_VALUE"""),"anasgherfal@gmail.com")</f>
        <v>anasgherfal@gmail.com</v>
      </c>
      <c r="E79" s="1" t="str">
        <f>IFERROR(__xludf.DUMMYFUNCTION("""COMPUTED_VALUE"""),"MachineRefills_Images/5d5810de.MachinePhoto.173842.jpg")</f>
        <v>MachineRefills_Images/5d5810de.MachinePhoto.173842.jpg</v>
      </c>
      <c r="F79" s="1" t="str">
        <f>IFERROR(__xludf.DUMMYFUNCTION("""COMPUTED_VALUE"""),"Full")</f>
        <v>Full</v>
      </c>
      <c r="G79" s="1" t="b">
        <f>IFERROR(__xludf.DUMMYFUNCTION("""COMPUTED_VALUE"""),FALSE)</f>
        <v>0</v>
      </c>
      <c r="H79" s="1"/>
    </row>
    <row r="80">
      <c r="A80" s="1" t="str">
        <f>IFERROR(__xludf.DUMMYFUNCTION("""COMPUTED_VALUE"""),"d2629a58")</f>
        <v>d2629a58</v>
      </c>
      <c r="B80" s="32">
        <f>IFERROR(__xludf.DUMMYFUNCTION("""COMPUTED_VALUE"""),46057.04739583333)</f>
        <v>46057.0474</v>
      </c>
      <c r="C80" s="1" t="str">
        <f>IFERROR(__xludf.DUMMYFUNCTION("""COMPUTED_VALUE"""),"2503000217")</f>
        <v>2503000217</v>
      </c>
      <c r="D80" s="1" t="str">
        <f>IFERROR(__xludf.DUMMYFUNCTION("""COMPUTED_VALUE"""),"zegallai911@gmail.com")</f>
        <v>zegallai911@gmail.com</v>
      </c>
      <c r="E80" s="1" t="str">
        <f>IFERROR(__xludf.DUMMYFUNCTION("""COMPUTED_VALUE"""),"MachineRefills_Images/d2629a58.MachinePhoto.230845.jpg")</f>
        <v>MachineRefills_Images/d2629a58.MachinePhoto.230845.jpg</v>
      </c>
      <c r="F80" s="1" t="str">
        <f>IFERROR(__xludf.DUMMYFUNCTION("""COMPUTED_VALUE"""),"Partial")</f>
        <v>Partial</v>
      </c>
      <c r="G80" s="1" t="b">
        <f>IFERROR(__xludf.DUMMYFUNCTION("""COMPUTED_VALUE"""),FALSE)</f>
        <v>0</v>
      </c>
      <c r="H80" s="1"/>
    </row>
    <row r="81">
      <c r="A81" s="1" t="str">
        <f>IFERROR(__xludf.DUMMYFUNCTION("""COMPUTED_VALUE"""),"66d1955c")</f>
        <v>66d1955c</v>
      </c>
      <c r="B81" s="32">
        <f>IFERROR(__xludf.DUMMYFUNCTION("""COMPUTED_VALUE"""),46057.06894675926)</f>
        <v>46057.06895</v>
      </c>
      <c r="C81" s="1" t="str">
        <f>IFERROR(__xludf.DUMMYFUNCTION("""COMPUTED_VALUE"""),"2411000046")</f>
        <v>2411000046</v>
      </c>
      <c r="D81" s="1" t="str">
        <f>IFERROR(__xludf.DUMMYFUNCTION("""COMPUTED_VALUE"""),"zegallai911@gmail.com")</f>
        <v>zegallai911@gmail.com</v>
      </c>
      <c r="E81" s="1" t="str">
        <f>IFERROR(__xludf.DUMMYFUNCTION("""COMPUTED_VALUE"""),"MachineRefills_Images/66d1955c.MachinePhoto.233940.jpg")</f>
        <v>MachineRefills_Images/66d1955c.MachinePhoto.233940.jpg</v>
      </c>
      <c r="F81" s="1" t="str">
        <f>IFERROR(__xludf.DUMMYFUNCTION("""COMPUTED_VALUE"""),"Full")</f>
        <v>Full</v>
      </c>
      <c r="G81" s="1" t="b">
        <f>IFERROR(__xludf.DUMMYFUNCTION("""COMPUTED_VALUE"""),TRUE)</f>
        <v>1</v>
      </c>
      <c r="H81" s="1" t="str">
        <f>IFERROR(__xludf.DUMMYFUNCTION("""COMPUTED_VALUE"""),"تشينج عالق فيه جني")</f>
        <v>تشينج عالق فيه جني</v>
      </c>
    </row>
    <row r="82">
      <c r="A82" s="1" t="str">
        <f>IFERROR(__xludf.DUMMYFUNCTION("""COMPUTED_VALUE"""),"f2aa9e17")</f>
        <v>f2aa9e17</v>
      </c>
      <c r="B82" s="32">
        <f>IFERROR(__xludf.DUMMYFUNCTION("""COMPUTED_VALUE"""),46057.65957175926)</f>
        <v>46057.65957</v>
      </c>
      <c r="C82" s="1" t="str">
        <f>IFERROR(__xludf.DUMMYFUNCTION("""COMPUTED_VALUE"""),"2509000371")</f>
        <v>2509000371</v>
      </c>
      <c r="D82" s="1" t="str">
        <f>IFERROR(__xludf.DUMMYFUNCTION("""COMPUTED_VALUE"""),"zegallai911@gmail.com")</f>
        <v>zegallai911@gmail.com</v>
      </c>
      <c r="E82" s="1" t="str">
        <f>IFERROR(__xludf.DUMMYFUNCTION("""COMPUTED_VALUE"""),"MachineRefills_Images/f2aa9e17.MachinePhoto.135014.jpg")</f>
        <v>MachineRefills_Images/f2aa9e17.MachinePhoto.135014.jpg</v>
      </c>
      <c r="F82" s="1" t="str">
        <f>IFERROR(__xludf.DUMMYFUNCTION("""COMPUTED_VALUE"""),"Full")</f>
        <v>Full</v>
      </c>
      <c r="G82" s="1" t="b">
        <f>IFERROR(__xludf.DUMMYFUNCTION("""COMPUTED_VALUE"""),FALSE)</f>
        <v>0</v>
      </c>
      <c r="H82" s="1"/>
    </row>
    <row r="83">
      <c r="A83" s="1" t="str">
        <f>IFERROR(__xludf.DUMMYFUNCTION("""COMPUTED_VALUE"""),"e2f5ea23")</f>
        <v>e2f5ea23</v>
      </c>
      <c r="B83" s="32">
        <f>IFERROR(__xludf.DUMMYFUNCTION("""COMPUTED_VALUE"""),46058.04782407408)</f>
        <v>46058.04782</v>
      </c>
      <c r="C83" s="1" t="str">
        <f>IFERROR(__xludf.DUMMYFUNCTION("""COMPUTED_VALUE"""),"2503000217")</f>
        <v>2503000217</v>
      </c>
      <c r="D83" s="1" t="str">
        <f>IFERROR(__xludf.DUMMYFUNCTION("""COMPUTED_VALUE"""),"zegallai911@gmail.com")</f>
        <v>zegallai911@gmail.com</v>
      </c>
      <c r="E83" s="1" t="str">
        <f>IFERROR(__xludf.DUMMYFUNCTION("""COMPUTED_VALUE"""),"MachineRefills_Images/e2f5ea23.MachinePhoto.230917.jpg")</f>
        <v>MachineRefills_Images/e2f5ea23.MachinePhoto.230917.jpg</v>
      </c>
      <c r="F83" s="1"/>
      <c r="G83" s="1" t="b">
        <f>IFERROR(__xludf.DUMMYFUNCTION("""COMPUTED_VALUE"""),FALSE)</f>
        <v>0</v>
      </c>
      <c r="H83" s="1"/>
    </row>
    <row r="84">
      <c r="A84" s="1" t="str">
        <f>IFERROR(__xludf.DUMMYFUNCTION("""COMPUTED_VALUE"""),"ecc7b061")</f>
        <v>ecc7b061</v>
      </c>
      <c r="B84" s="32">
        <f>IFERROR(__xludf.DUMMYFUNCTION("""COMPUTED_VALUE"""),46059.67915509259)</f>
        <v>46059.67916</v>
      </c>
      <c r="C84" s="1" t="str">
        <f>IFERROR(__xludf.DUMMYFUNCTION("""COMPUTED_VALUE"""),"2509000371")</f>
        <v>2509000371</v>
      </c>
      <c r="D84" s="1" t="str">
        <f>IFERROR(__xludf.DUMMYFUNCTION("""COMPUTED_VALUE"""),"zegallai911@gmail.com")</f>
        <v>zegallai911@gmail.com</v>
      </c>
      <c r="E84" s="1" t="str">
        <f>IFERROR(__xludf.DUMMYFUNCTION("""COMPUTED_VALUE"""),"MachineRefills_Images/ecc7b061.MachinePhoto.141826.jpg")</f>
        <v>MachineRefills_Images/ecc7b061.MachinePhoto.141826.jpg</v>
      </c>
      <c r="F84" s="1" t="str">
        <f>IFERROR(__xludf.DUMMYFUNCTION("""COMPUTED_VALUE"""),"Full")</f>
        <v>Full</v>
      </c>
      <c r="G84" s="1" t="b">
        <f>IFERROR(__xludf.DUMMYFUNCTION("""COMPUTED_VALUE"""),TRUE)</f>
        <v>1</v>
      </c>
      <c r="H84" s="1" t="str">
        <f>IFERROR(__xludf.DUMMYFUNCTION("""COMPUTED_VALUE"""),"جني حاصل")</f>
        <v>جني حاصل</v>
      </c>
    </row>
    <row r="85">
      <c r="A85" s="1" t="str">
        <f>IFERROR(__xludf.DUMMYFUNCTION("""COMPUTED_VALUE"""),"c5a8eb6f")</f>
        <v>c5a8eb6f</v>
      </c>
      <c r="B85" s="32">
        <f>IFERROR(__xludf.DUMMYFUNCTION("""COMPUTED_VALUE"""),46060.001597222225)</f>
        <v>46060.0016</v>
      </c>
      <c r="C85" s="1" t="str">
        <f>IFERROR(__xludf.DUMMYFUNCTION("""COMPUTED_VALUE"""),"2509000369")</f>
        <v>2509000369</v>
      </c>
      <c r="D85" s="1" t="str">
        <f>IFERROR(__xludf.DUMMYFUNCTION("""COMPUTED_VALUE"""),"zegallai911@gmail.com")</f>
        <v>zegallai911@gmail.com</v>
      </c>
      <c r="E85" s="1" t="str">
        <f>IFERROR(__xludf.DUMMYFUNCTION("""COMPUTED_VALUE"""),"MachineRefills_Images/c5a8eb6f.MachinePhoto.234133.jpg")</f>
        <v>MachineRefills_Images/c5a8eb6f.MachinePhoto.234133.jpg</v>
      </c>
      <c r="F85" s="1" t="str">
        <f>IFERROR(__xludf.DUMMYFUNCTION("""COMPUTED_VALUE"""),"Partial")</f>
        <v>Partial</v>
      </c>
      <c r="G85" s="1" t="b">
        <f>IFERROR(__xludf.DUMMYFUNCTION("""COMPUTED_VALUE"""),FALSE)</f>
        <v>0</v>
      </c>
      <c r="H85" s="1"/>
    </row>
    <row r="86">
      <c r="A86" s="1" t="str">
        <f>IFERROR(__xludf.DUMMYFUNCTION("""COMPUTED_VALUE"""),"142b288b")</f>
        <v>142b288b</v>
      </c>
      <c r="B86" s="32">
        <f>IFERROR(__xludf.DUMMYFUNCTION("""COMPUTED_VALUE"""),46060.07115740741)</f>
        <v>46060.07116</v>
      </c>
      <c r="C86" s="1" t="str">
        <f>IFERROR(__xludf.DUMMYFUNCTION("""COMPUTED_VALUE"""),"2411000046")</f>
        <v>2411000046</v>
      </c>
      <c r="D86" s="1" t="str">
        <f>IFERROR(__xludf.DUMMYFUNCTION("""COMPUTED_VALUE"""),"zegallai911@gmail.com")</f>
        <v>zegallai911@gmail.com</v>
      </c>
      <c r="E86" s="1" t="str">
        <f>IFERROR(__xludf.DUMMYFUNCTION("""COMPUTED_VALUE"""),"MachineRefills_Images/142b288b.MachinePhoto.234250.jpg")</f>
        <v>MachineRefills_Images/142b288b.MachinePhoto.234250.jpg</v>
      </c>
      <c r="F86" s="1" t="str">
        <f>IFERROR(__xludf.DUMMYFUNCTION("""COMPUTED_VALUE"""),"Partial")</f>
        <v>Partial</v>
      </c>
      <c r="G86" s="1" t="b">
        <f>IFERROR(__xludf.DUMMYFUNCTION("""COMPUTED_VALUE"""),TRUE)</f>
        <v>1</v>
      </c>
      <c r="H86" s="1" t="str">
        <f>IFERROR(__xludf.DUMMYFUNCTION("""COMPUTED_VALUE"""),"ربع")</f>
        <v>ربع</v>
      </c>
    </row>
    <row r="87">
      <c r="A87" s="1" t="str">
        <f>IFERROR(__xludf.DUMMYFUNCTION("""COMPUTED_VALUE"""),"010c1f40")</f>
        <v>010c1f40</v>
      </c>
      <c r="B87" s="32">
        <f>IFERROR(__xludf.DUMMYFUNCTION("""COMPUTED_VALUE"""),46060.67753472222)</f>
        <v>46060.67753</v>
      </c>
      <c r="C87" s="1" t="str">
        <f>IFERROR(__xludf.DUMMYFUNCTION("""COMPUTED_VALUE"""),"2509000371")</f>
        <v>2509000371</v>
      </c>
      <c r="D87" s="1" t="str">
        <f>IFERROR(__xludf.DUMMYFUNCTION("""COMPUTED_VALUE"""),"zegallai911@gmail.com")</f>
        <v>zegallai911@gmail.com</v>
      </c>
      <c r="E87" s="1" t="str">
        <f>IFERROR(__xludf.DUMMYFUNCTION("""COMPUTED_VALUE"""),"MachineRefills_Images/010c1f40.MachinePhoto.141616.jpg")</f>
        <v>MachineRefills_Images/010c1f40.MachinePhoto.141616.jpg</v>
      </c>
      <c r="F87" s="1" t="str">
        <f>IFERROR(__xludf.DUMMYFUNCTION("""COMPUTED_VALUE"""),"Full")</f>
        <v>Full</v>
      </c>
      <c r="G87" s="1" t="b">
        <f>IFERROR(__xludf.DUMMYFUNCTION("""COMPUTED_VALUE"""),FALSE)</f>
        <v>0</v>
      </c>
      <c r="H87" s="1"/>
    </row>
    <row r="88">
      <c r="A88" s="1" t="str">
        <f>IFERROR(__xludf.DUMMYFUNCTION("""COMPUTED_VALUE"""),"5cea8d46")</f>
        <v>5cea8d46</v>
      </c>
      <c r="B88" s="32">
        <f>IFERROR(__xludf.DUMMYFUNCTION("""COMPUTED_VALUE"""),46060.885879629626)</f>
        <v>46060.88588</v>
      </c>
      <c r="C88" s="1" t="str">
        <f>IFERROR(__xludf.DUMMYFUNCTION("""COMPUTED_VALUE"""),"2509000370")</f>
        <v>2509000370</v>
      </c>
      <c r="D88" s="1" t="str">
        <f>IFERROR(__xludf.DUMMYFUNCTION("""COMPUTED_VALUE"""),"anasgherfal@gmail.com")</f>
        <v>anasgherfal@gmail.com</v>
      </c>
      <c r="E88" s="1" t="str">
        <f>IFERROR(__xludf.DUMMYFUNCTION("""COMPUTED_VALUE"""),"MachineRefills_Images/5cea8d46.MachinePhoto.191555.jpg")</f>
        <v>MachineRefills_Images/5cea8d46.MachinePhoto.191555.jpg</v>
      </c>
      <c r="F88" s="1" t="str">
        <f>IFERROR(__xludf.DUMMYFUNCTION("""COMPUTED_VALUE"""),"Full")</f>
        <v>Full</v>
      </c>
      <c r="G88" s="1" t="b">
        <f>IFERROR(__xludf.DUMMYFUNCTION("""COMPUTED_VALUE"""),FALSE)</f>
        <v>0</v>
      </c>
      <c r="H88" s="1"/>
    </row>
    <row r="89">
      <c r="A89" s="1" t="str">
        <f>IFERROR(__xludf.DUMMYFUNCTION("""COMPUTED_VALUE"""),"acd50129")</f>
        <v>acd50129</v>
      </c>
      <c r="B89" s="32">
        <f>IFERROR(__xludf.DUMMYFUNCTION("""COMPUTED_VALUE"""),46061.033217592594)</f>
        <v>46061.03322</v>
      </c>
      <c r="C89" s="1" t="str">
        <f>IFERROR(__xludf.DUMMYFUNCTION("""COMPUTED_VALUE"""),"2503000217")</f>
        <v>2503000217</v>
      </c>
      <c r="D89" s="1" t="str">
        <f>IFERROR(__xludf.DUMMYFUNCTION("""COMPUTED_VALUE"""),"zegallai911@gmail.com")</f>
        <v>zegallai911@gmail.com</v>
      </c>
      <c r="E89" s="1" t="str">
        <f>IFERROR(__xludf.DUMMYFUNCTION("""COMPUTED_VALUE"""),"MachineRefills_Images/acd50129.MachinePhoto.131102.jpg")</f>
        <v>MachineRefills_Images/acd50129.MachinePhoto.131102.jpg</v>
      </c>
      <c r="F89" s="1" t="str">
        <f>IFERROR(__xludf.DUMMYFUNCTION("""COMPUTED_VALUE"""),"Full")</f>
        <v>Full</v>
      </c>
      <c r="G89" s="1" t="b">
        <f>IFERROR(__xludf.DUMMYFUNCTION("""COMPUTED_VALUE"""),TRUE)</f>
        <v>1</v>
      </c>
      <c r="H89" s="1" t="str">
        <f>IFERROR(__xludf.DUMMYFUNCTION("""COMPUTED_VALUE"""),"تشينح حاصل
بطاطا عالقة
لفة طالعة من مكانها")</f>
        <v>تشينح حاصل
بطاطا عالقة
لفة طالعة من مكانها</v>
      </c>
    </row>
    <row r="90">
      <c r="A90" s="1" t="str">
        <f>IFERROR(__xludf.DUMMYFUNCTION("""COMPUTED_VALUE"""),"31545711")</f>
        <v>31545711</v>
      </c>
      <c r="B90" s="32">
        <f>IFERROR(__xludf.DUMMYFUNCTION("""COMPUTED_VALUE"""),46061.944548611114)</f>
        <v>46061.94455</v>
      </c>
      <c r="C90" s="1" t="str">
        <f>IFERROR(__xludf.DUMMYFUNCTION("""COMPUTED_VALUE"""),"2509000370")</f>
        <v>2509000370</v>
      </c>
      <c r="D90" s="1" t="str">
        <f>IFERROR(__xludf.DUMMYFUNCTION("""COMPUTED_VALUE"""),"anasgherfal@gmail.com")</f>
        <v>anasgherfal@gmail.com</v>
      </c>
      <c r="E90" s="1" t="str">
        <f>IFERROR(__xludf.DUMMYFUNCTION("""COMPUTED_VALUE"""),"MachineRefills_Images/31545711.MachinePhoto.204029.jpg")</f>
        <v>MachineRefills_Images/31545711.MachinePhoto.204029.jpg</v>
      </c>
      <c r="F90" s="1" t="str">
        <f>IFERROR(__xludf.DUMMYFUNCTION("""COMPUTED_VALUE"""),"Full")</f>
        <v>Full</v>
      </c>
      <c r="G90" s="1" t="b">
        <f>IFERROR(__xludf.DUMMYFUNCTION("""COMPUTED_VALUE"""),FALSE)</f>
        <v>0</v>
      </c>
      <c r="H90" s="1"/>
    </row>
    <row r="91">
      <c r="A91" s="1" t="str">
        <f>IFERROR(__xludf.DUMMYFUNCTION("""COMPUTED_VALUE"""),"ead697f8")</f>
        <v>ead697f8</v>
      </c>
      <c r="B91" s="32">
        <f>IFERROR(__xludf.DUMMYFUNCTION("""COMPUTED_VALUE"""),46061.97386574074)</f>
        <v>46061.97387</v>
      </c>
      <c r="C91" s="1" t="str">
        <f>IFERROR(__xludf.DUMMYFUNCTION("""COMPUTED_VALUE"""),"2503000217")</f>
        <v>2503000217</v>
      </c>
      <c r="D91" s="1" t="str">
        <f>IFERROR(__xludf.DUMMYFUNCTION("""COMPUTED_VALUE"""),"zegallai911@gmail.com")</f>
        <v>zegallai911@gmail.com</v>
      </c>
      <c r="E91" s="1" t="str">
        <f>IFERROR(__xludf.DUMMYFUNCTION("""COMPUTED_VALUE"""),"MachineRefills_Images/ead697f8.MachinePhoto.212243.jpg")</f>
        <v>MachineRefills_Images/ead697f8.MachinePhoto.212243.jpg</v>
      </c>
      <c r="F91" s="1" t="str">
        <f>IFERROR(__xludf.DUMMYFUNCTION("""COMPUTED_VALUE"""),"Partial")</f>
        <v>Partial</v>
      </c>
      <c r="G91" s="1" t="b">
        <f>IFERROR(__xludf.DUMMYFUNCTION("""COMPUTED_VALUE"""),FALSE)</f>
        <v>0</v>
      </c>
      <c r="H91" s="1"/>
    </row>
    <row r="92">
      <c r="A92" s="1" t="str">
        <f>IFERROR(__xludf.DUMMYFUNCTION("""COMPUTED_VALUE"""),"1cd40a5d")</f>
        <v>1cd40a5d</v>
      </c>
      <c r="B92" s="32">
        <f>IFERROR(__xludf.DUMMYFUNCTION("""COMPUTED_VALUE"""),46063.04770833333)</f>
        <v>46063.04771</v>
      </c>
      <c r="C92" s="1" t="str">
        <f>IFERROR(__xludf.DUMMYFUNCTION("""COMPUTED_VALUE"""),"2411000046")</f>
        <v>2411000046</v>
      </c>
      <c r="D92" s="1" t="str">
        <f>IFERROR(__xludf.DUMMYFUNCTION("""COMPUTED_VALUE"""),"zegallai911@gmail.com")</f>
        <v>zegallai911@gmail.com</v>
      </c>
      <c r="E92" s="1" t="str">
        <f>IFERROR(__xludf.DUMMYFUNCTION("""COMPUTED_VALUE"""),"MachineRefills_Images/1cd40a5d.MachinePhoto.230913.jpg")</f>
        <v>MachineRefills_Images/1cd40a5d.MachinePhoto.230913.jpg</v>
      </c>
      <c r="F92" s="1" t="str">
        <f>IFERROR(__xludf.DUMMYFUNCTION("""COMPUTED_VALUE"""),"Partial")</f>
        <v>Partial</v>
      </c>
      <c r="G92" s="1" t="b">
        <f>IFERROR(__xludf.DUMMYFUNCTION("""COMPUTED_VALUE"""),FALSE)</f>
        <v>0</v>
      </c>
      <c r="H92" s="1"/>
    </row>
    <row r="93">
      <c r="A93" s="1" t="str">
        <f>IFERROR(__xludf.DUMMYFUNCTION("""COMPUTED_VALUE"""),"428f6f7b")</f>
        <v>428f6f7b</v>
      </c>
      <c r="B93" s="32">
        <f>IFERROR(__xludf.DUMMYFUNCTION("""COMPUTED_VALUE"""),46063.06765046297)</f>
        <v>46063.06765</v>
      </c>
      <c r="C93" s="1" t="str">
        <f>IFERROR(__xludf.DUMMYFUNCTION("""COMPUTED_VALUE"""),"2503000217")</f>
        <v>2503000217</v>
      </c>
      <c r="D93" s="1" t="str">
        <f>IFERROR(__xludf.DUMMYFUNCTION("""COMPUTED_VALUE"""),"zegallai911@gmail.com")</f>
        <v>zegallai911@gmail.com</v>
      </c>
      <c r="E93" s="1" t="str">
        <f>IFERROR(__xludf.DUMMYFUNCTION("""COMPUTED_VALUE"""),"MachineRefills_Images/428f6f7b.MachinePhoto.233801.jpg")</f>
        <v>MachineRefills_Images/428f6f7b.MachinePhoto.233801.jpg</v>
      </c>
      <c r="F93" s="1" t="str">
        <f>IFERROR(__xludf.DUMMYFUNCTION("""COMPUTED_VALUE"""),"Partial")</f>
        <v>Partial</v>
      </c>
      <c r="G93" s="1" t="b">
        <f>IFERROR(__xludf.DUMMYFUNCTION("""COMPUTED_VALUE"""),TRUE)</f>
        <v>1</v>
      </c>
      <c r="H93" s="1" t="str">
        <f>IFERROR(__xludf.DUMMYFUNCTION("""COMPUTED_VALUE"""),"تشينج فارغ  ويب ترستير")</f>
        <v>تشينج فارغ  ويب ترستير</v>
      </c>
    </row>
    <row r="94">
      <c r="A94" s="1" t="str">
        <f>IFERROR(__xludf.DUMMYFUNCTION("""COMPUTED_VALUE"""),"93cb50e8")</f>
        <v>93cb50e8</v>
      </c>
      <c r="B94" s="32">
        <f>IFERROR(__xludf.DUMMYFUNCTION("""COMPUTED_VALUE"""),46063.55590277778)</f>
        <v>46063.5559</v>
      </c>
      <c r="C94" s="1" t="str">
        <f>IFERROR(__xludf.DUMMYFUNCTION("""COMPUTED_VALUE"""),"2509000370")</f>
        <v>2509000370</v>
      </c>
      <c r="D94" s="1" t="str">
        <f>IFERROR(__xludf.DUMMYFUNCTION("""COMPUTED_VALUE"""),"anasgherfal@gmail.com")</f>
        <v>anasgherfal@gmail.com</v>
      </c>
      <c r="E94" s="1" t="str">
        <f>IFERROR(__xludf.DUMMYFUNCTION("""COMPUTED_VALUE"""),"MachineRefills_Images/93cb50e8.MachinePhoto.112058.jpg")</f>
        <v>MachineRefills_Images/93cb50e8.MachinePhoto.112058.jpg</v>
      </c>
      <c r="F94" s="1" t="str">
        <f>IFERROR(__xludf.DUMMYFUNCTION("""COMPUTED_VALUE"""),"Partial")</f>
        <v>Partial</v>
      </c>
      <c r="G94" s="1" t="b">
        <f>IFERROR(__xludf.DUMMYFUNCTION("""COMPUTED_VALUE"""),FALSE)</f>
        <v>0</v>
      </c>
      <c r="H94" s="1"/>
    </row>
    <row r="95">
      <c r="A95" s="1" t="str">
        <f>IFERROR(__xludf.DUMMYFUNCTION("""COMPUTED_VALUE"""),"e3f76eac")</f>
        <v>e3f76eac</v>
      </c>
      <c r="B95" s="32">
        <f>IFERROR(__xludf.DUMMYFUNCTION("""COMPUTED_VALUE"""),46063.64803240741)</f>
        <v>46063.64803</v>
      </c>
      <c r="C95" s="1" t="str">
        <f>IFERROR(__xludf.DUMMYFUNCTION("""COMPUTED_VALUE"""),"2503000216")</f>
        <v>2503000216</v>
      </c>
      <c r="D95" s="1" t="str">
        <f>IFERROR(__xludf.DUMMYFUNCTION("""COMPUTED_VALUE"""),"zegallai911@gmail.com")</f>
        <v>zegallai911@gmail.com</v>
      </c>
      <c r="E95" s="1" t="str">
        <f>IFERROR(__xludf.DUMMYFUNCTION("""COMPUTED_VALUE"""),"MachineRefills_Images/e3f76eac.MachinePhoto.133358.jpg")</f>
        <v>MachineRefills_Images/e3f76eac.MachinePhoto.133358.jpg</v>
      </c>
      <c r="F95" s="1" t="str">
        <f>IFERROR(__xludf.DUMMYFUNCTION("""COMPUTED_VALUE"""),"Partial")</f>
        <v>Partial</v>
      </c>
      <c r="G95" s="1" t="b">
        <f>IFERROR(__xludf.DUMMYFUNCTION("""COMPUTED_VALUE"""),TRUE)</f>
        <v>1</v>
      </c>
      <c r="H95" s="1" t="str">
        <f>IFERROR(__xludf.DUMMYFUNCTION("""COMPUTED_VALUE"""),"تشينج عالق")</f>
        <v>تشينج عالق</v>
      </c>
    </row>
    <row r="96">
      <c r="A96" s="1" t="str">
        <f>IFERROR(__xludf.DUMMYFUNCTION("""COMPUTED_VALUE"""),"4a7fe4ec")</f>
        <v>4a7fe4ec</v>
      </c>
      <c r="B96" s="32">
        <f>IFERROR(__xludf.DUMMYFUNCTION("""COMPUTED_VALUE"""),46064.045335648145)</f>
        <v>46064.04534</v>
      </c>
      <c r="C96" s="1" t="str">
        <f>IFERROR(__xludf.DUMMYFUNCTION("""COMPUTED_VALUE"""),"2509000370")</f>
        <v>2509000370</v>
      </c>
      <c r="D96" s="1" t="str">
        <f>IFERROR(__xludf.DUMMYFUNCTION("""COMPUTED_VALUE"""),"anasgherfal@gmail.com")</f>
        <v>anasgherfal@gmail.com</v>
      </c>
      <c r="E96" s="1" t="str">
        <f>IFERROR(__xludf.DUMMYFUNCTION("""COMPUTED_VALUE"""),"MachineRefills_Images/4a7fe4ec.MachinePhoto.230533.jpg")</f>
        <v>MachineRefills_Images/4a7fe4ec.MachinePhoto.230533.jpg</v>
      </c>
      <c r="F96" s="1" t="str">
        <f>IFERROR(__xludf.DUMMYFUNCTION("""COMPUTED_VALUE"""),"Partial")</f>
        <v>Partial</v>
      </c>
      <c r="G96" s="1" t="b">
        <f>IFERROR(__xludf.DUMMYFUNCTION("""COMPUTED_VALUE"""),FALSE)</f>
        <v>0</v>
      </c>
      <c r="H96" s="1"/>
    </row>
    <row r="97">
      <c r="A97" s="1" t="str">
        <f>IFERROR(__xludf.DUMMYFUNCTION("""COMPUTED_VALUE"""),"227b64d3")</f>
        <v>227b64d3</v>
      </c>
      <c r="B97" s="32">
        <f>IFERROR(__xludf.DUMMYFUNCTION("""COMPUTED_VALUE"""),46064.05584490741)</f>
        <v>46064.05584</v>
      </c>
      <c r="C97" s="1" t="str">
        <f>IFERROR(__xludf.DUMMYFUNCTION("""COMPUTED_VALUE"""),"2503000217")</f>
        <v>2503000217</v>
      </c>
      <c r="D97" s="1" t="str">
        <f>IFERROR(__xludf.DUMMYFUNCTION("""COMPUTED_VALUE"""),"zegallai911@gmail.com")</f>
        <v>zegallai911@gmail.com</v>
      </c>
      <c r="E97" s="1" t="str">
        <f>IFERROR(__xludf.DUMMYFUNCTION("""COMPUTED_VALUE"""),"MachineRefills_Images/227b64d3.MachinePhoto.232045.jpg")</f>
        <v>MachineRefills_Images/227b64d3.MachinePhoto.232045.jpg</v>
      </c>
      <c r="F97" s="1" t="str">
        <f>IFERROR(__xludf.DUMMYFUNCTION("""COMPUTED_VALUE"""),"Partial")</f>
        <v>Partial</v>
      </c>
      <c r="G97" s="1" t="b">
        <f>IFERROR(__xludf.DUMMYFUNCTION("""COMPUTED_VALUE"""),FALSE)</f>
        <v>0</v>
      </c>
      <c r="H97" s="1"/>
    </row>
    <row r="98">
      <c r="A98" s="1" t="str">
        <f>IFERROR(__xludf.DUMMYFUNCTION("""COMPUTED_VALUE"""),"cb38ab71")</f>
        <v>cb38ab71</v>
      </c>
      <c r="B98" s="32">
        <f>IFERROR(__xludf.DUMMYFUNCTION("""COMPUTED_VALUE"""),46065.02877314815)</f>
        <v>46065.02877</v>
      </c>
      <c r="C98" s="1" t="str">
        <f>IFERROR(__xludf.DUMMYFUNCTION("""COMPUTED_VALUE"""),"2503000217")</f>
        <v>2503000217</v>
      </c>
      <c r="D98" s="1" t="str">
        <f>IFERROR(__xludf.DUMMYFUNCTION("""COMPUTED_VALUE"""),"zegallai911@gmail.com")</f>
        <v>zegallai911@gmail.com</v>
      </c>
      <c r="E98" s="1" t="str">
        <f>IFERROR(__xludf.DUMMYFUNCTION("""COMPUTED_VALUE"""),"MachineRefills_Images/cb38ab71.MachinePhoto.224214.jpg")</f>
        <v>MachineRefills_Images/cb38ab71.MachinePhoto.224214.jpg</v>
      </c>
      <c r="F98" s="1" t="str">
        <f>IFERROR(__xludf.DUMMYFUNCTION("""COMPUTED_VALUE"""),"Partial")</f>
        <v>Partial</v>
      </c>
      <c r="G98" s="1" t="b">
        <f>IFERROR(__xludf.DUMMYFUNCTION("""COMPUTED_VALUE"""),FALSE)</f>
        <v>0</v>
      </c>
      <c r="H98" s="1"/>
    </row>
    <row r="99">
      <c r="A99" s="1" t="str">
        <f>IFERROR(__xludf.DUMMYFUNCTION("""COMPUTED_VALUE"""),"5ee2e558")</f>
        <v>5ee2e558</v>
      </c>
      <c r="B99" s="32">
        <f>IFERROR(__xludf.DUMMYFUNCTION("""COMPUTED_VALUE"""),46065.17439814815)</f>
        <v>46065.1744</v>
      </c>
      <c r="C99" s="1" t="str">
        <f>IFERROR(__xludf.DUMMYFUNCTION("""COMPUTED_VALUE"""),"2411000046")</f>
        <v>2411000046</v>
      </c>
      <c r="D99" s="1" t="str">
        <f>IFERROR(__xludf.DUMMYFUNCTION("""COMPUTED_VALUE"""),"anasgherfal@gmail.com")</f>
        <v>anasgherfal@gmail.com</v>
      </c>
      <c r="E99" s="1" t="str">
        <f>IFERROR(__xludf.DUMMYFUNCTION("""COMPUTED_VALUE"""),"MachineRefills_Images/5ee2e558.MachinePhoto.021131.jpg")</f>
        <v>MachineRefills_Images/5ee2e558.MachinePhoto.021131.jpg</v>
      </c>
      <c r="F99" s="1" t="str">
        <f>IFERROR(__xludf.DUMMYFUNCTION("""COMPUTED_VALUE"""),"Partial")</f>
        <v>Partial</v>
      </c>
      <c r="G99" s="1" t="b">
        <f>IFERROR(__xludf.DUMMYFUNCTION("""COMPUTED_VALUE"""),FALSE)</f>
        <v>0</v>
      </c>
      <c r="H99" s="1"/>
    </row>
    <row r="100">
      <c r="A100" s="1" t="str">
        <f>IFERROR(__xludf.DUMMYFUNCTION("""COMPUTED_VALUE"""),"0fba7fdd")</f>
        <v>0fba7fdd</v>
      </c>
      <c r="B100" s="32">
        <f>IFERROR(__xludf.DUMMYFUNCTION("""COMPUTED_VALUE"""),46065.55164351852)</f>
        <v>46065.55164</v>
      </c>
      <c r="C100" s="1" t="str">
        <f>IFERROR(__xludf.DUMMYFUNCTION("""COMPUTED_VALUE"""),"2404120076")</f>
        <v>2404120076</v>
      </c>
      <c r="D100" s="1" t="str">
        <f>IFERROR(__xludf.DUMMYFUNCTION("""COMPUTED_VALUE"""),"zegallai911@gmail.com")</f>
        <v>zegallai911@gmail.com</v>
      </c>
      <c r="E100" s="1" t="str">
        <f>IFERROR(__xludf.DUMMYFUNCTION("""COMPUTED_VALUE"""),"MachineRefills_Images/0fba7fdd.MachinePhoto.111447.jpg")</f>
        <v>MachineRefills_Images/0fba7fdd.MachinePhoto.111447.jpg</v>
      </c>
      <c r="F100" s="1" t="str">
        <f>IFERROR(__xludf.DUMMYFUNCTION("""COMPUTED_VALUE"""),"Partial")</f>
        <v>Partial</v>
      </c>
      <c r="G100" s="1" t="b">
        <f>IFERROR(__xludf.DUMMYFUNCTION("""COMPUTED_VALUE"""),TRUE)</f>
        <v>1</v>
      </c>
      <c r="H100" s="1" t="str">
        <f>IFERROR(__xludf.DUMMYFUNCTION("""COMPUTED_VALUE"""),"تشينح عالق")</f>
        <v>تشينح عالق</v>
      </c>
    </row>
    <row r="101">
      <c r="A101" s="1" t="str">
        <f>IFERROR(__xludf.DUMMYFUNCTION("""COMPUTED_VALUE"""),"f96ee491")</f>
        <v>f96ee491</v>
      </c>
      <c r="B101" s="32">
        <f>IFERROR(__xludf.DUMMYFUNCTION("""COMPUTED_VALUE"""),46066.06285879629)</f>
        <v>46066.06286</v>
      </c>
      <c r="C101" s="1" t="str">
        <f>IFERROR(__xludf.DUMMYFUNCTION("""COMPUTED_VALUE"""),"2509000369")</f>
        <v>2509000369</v>
      </c>
      <c r="D101" s="1" t="str">
        <f>IFERROR(__xludf.DUMMYFUNCTION("""COMPUTED_VALUE"""),"zegallai911@gmail.com")</f>
        <v>zegallai911@gmail.com</v>
      </c>
      <c r="E101" s="1" t="str">
        <f>IFERROR(__xludf.DUMMYFUNCTION("""COMPUTED_VALUE"""),"MachineRefills_Images/f96ee491.MachinePhoto.233059.jpg")</f>
        <v>MachineRefills_Images/f96ee491.MachinePhoto.233059.jpg</v>
      </c>
      <c r="F101" s="1" t="str">
        <f>IFERROR(__xludf.DUMMYFUNCTION("""COMPUTED_VALUE"""),"Partial")</f>
        <v>Partial</v>
      </c>
      <c r="G101" s="1" t="b">
        <f>IFERROR(__xludf.DUMMYFUNCTION("""COMPUTED_VALUE"""),FALSE)</f>
        <v>0</v>
      </c>
      <c r="H101" s="1"/>
    </row>
    <row r="102">
      <c r="A102" s="1" t="str">
        <f>IFERROR(__xludf.DUMMYFUNCTION("""COMPUTED_VALUE"""),"0ae95fe9")</f>
        <v>0ae95fe9</v>
      </c>
      <c r="B102" s="32">
        <f>IFERROR(__xludf.DUMMYFUNCTION("""COMPUTED_VALUE"""),46066.688622685186)</f>
        <v>46066.68862</v>
      </c>
      <c r="C102" s="1" t="str">
        <f>IFERROR(__xludf.DUMMYFUNCTION("""COMPUTED_VALUE"""),"2503000216")</f>
        <v>2503000216</v>
      </c>
      <c r="D102" s="1" t="str">
        <f>IFERROR(__xludf.DUMMYFUNCTION("""COMPUTED_VALUE"""),"zegallai911@gmail.com")</f>
        <v>zegallai911@gmail.com</v>
      </c>
      <c r="E102" s="1" t="str">
        <f>IFERROR(__xludf.DUMMYFUNCTION("""COMPUTED_VALUE"""),"MachineRefills_Images/0ae95fe9.MachinePhoto.143214.jpg")</f>
        <v>MachineRefills_Images/0ae95fe9.MachinePhoto.143214.jpg</v>
      </c>
      <c r="F102" s="1" t="str">
        <f>IFERROR(__xludf.DUMMYFUNCTION("""COMPUTED_VALUE"""),"Full")</f>
        <v>Full</v>
      </c>
      <c r="G102" s="1" t="b">
        <f>IFERROR(__xludf.DUMMYFUNCTION("""COMPUTED_VALUE"""),FALSE)</f>
        <v>0</v>
      </c>
      <c r="H102" s="1"/>
    </row>
    <row r="103">
      <c r="A103" s="1" t="str">
        <f>IFERROR(__xludf.DUMMYFUNCTION("""COMPUTED_VALUE"""),"cf6fb3c4")</f>
        <v>cf6fb3c4</v>
      </c>
      <c r="B103" s="32">
        <f>IFERROR(__xludf.DUMMYFUNCTION("""COMPUTED_VALUE"""),46066.71517361111)</f>
        <v>46066.71517</v>
      </c>
      <c r="C103" s="1" t="str">
        <f>IFERROR(__xludf.DUMMYFUNCTION("""COMPUTED_VALUE"""),"2509000371")</f>
        <v>2509000371</v>
      </c>
      <c r="D103" s="1" t="str">
        <f>IFERROR(__xludf.DUMMYFUNCTION("""COMPUTED_VALUE"""),"zegallai911@gmail.com")</f>
        <v>zegallai911@gmail.com</v>
      </c>
      <c r="E103" s="1" t="str">
        <f>IFERROR(__xludf.DUMMYFUNCTION("""COMPUTED_VALUE"""),"MachineRefills_Images/cf6fb3c4.MachinePhoto.151014.jpg")</f>
        <v>MachineRefills_Images/cf6fb3c4.MachinePhoto.151014.jpg</v>
      </c>
      <c r="F103" s="1" t="str">
        <f>IFERROR(__xludf.DUMMYFUNCTION("""COMPUTED_VALUE"""),"Full")</f>
        <v>Full</v>
      </c>
      <c r="G103" s="1" t="b">
        <f>IFERROR(__xludf.DUMMYFUNCTION("""COMPUTED_VALUE"""),TRUE)</f>
        <v>1</v>
      </c>
      <c r="H103" s="1"/>
    </row>
    <row r="104">
      <c r="A104" s="1" t="str">
        <f>IFERROR(__xludf.DUMMYFUNCTION("""COMPUTED_VALUE"""),"92b22b32")</f>
        <v>92b22b32</v>
      </c>
      <c r="B104" s="32">
        <f>IFERROR(__xludf.DUMMYFUNCTION("""COMPUTED_VALUE"""),46067.74030092593)</f>
        <v>46067.7403</v>
      </c>
      <c r="C104" s="1" t="str">
        <f>IFERROR(__xludf.DUMMYFUNCTION("""COMPUTED_VALUE"""),"2503000216")</f>
        <v>2503000216</v>
      </c>
      <c r="D104" s="1" t="str">
        <f>IFERROR(__xludf.DUMMYFUNCTION("""COMPUTED_VALUE"""),"zegallai911@gmail.com")</f>
        <v>zegallai911@gmail.com</v>
      </c>
      <c r="E104" s="1" t="str">
        <f>IFERROR(__xludf.DUMMYFUNCTION("""COMPUTED_VALUE"""),"MachineRefills_Images/92b22b32.MachinePhoto.154639.jpg")</f>
        <v>MachineRefills_Images/92b22b32.MachinePhoto.154639.jpg</v>
      </c>
      <c r="F104" s="1" t="str">
        <f>IFERROR(__xludf.DUMMYFUNCTION("""COMPUTED_VALUE"""),"Partial")</f>
        <v>Partial</v>
      </c>
      <c r="G104" s="1" t="b">
        <f>IFERROR(__xludf.DUMMYFUNCTION("""COMPUTED_VALUE"""),FALSE)</f>
        <v>0</v>
      </c>
      <c r="H104" s="1"/>
    </row>
    <row r="105">
      <c r="A105" s="1" t="str">
        <f>IFERROR(__xludf.DUMMYFUNCTION("""COMPUTED_VALUE"""),"c5895f82")</f>
        <v>c5895f82</v>
      </c>
      <c r="B105" s="32">
        <f>IFERROR(__xludf.DUMMYFUNCTION("""COMPUTED_VALUE"""),46067.98268518518)</f>
        <v>46067.98269</v>
      </c>
      <c r="C105" s="1" t="str">
        <f>IFERROR(__xludf.DUMMYFUNCTION("""COMPUTED_VALUE"""),"2411000046")</f>
        <v>2411000046</v>
      </c>
      <c r="D105" s="1" t="str">
        <f>IFERROR(__xludf.DUMMYFUNCTION("""COMPUTED_VALUE"""),"zegallai911@gmail.com")</f>
        <v>zegallai911@gmail.com</v>
      </c>
      <c r="E105" s="1" t="str">
        <f>IFERROR(__xludf.DUMMYFUNCTION("""COMPUTED_VALUE"""),"MachineRefills_Images/c5895f82.MachinePhoto.221936.jpg")</f>
        <v>MachineRefills_Images/c5895f82.MachinePhoto.221936.jpg</v>
      </c>
      <c r="F105" s="1" t="str">
        <f>IFERROR(__xludf.DUMMYFUNCTION("""COMPUTED_VALUE"""),"Partial")</f>
        <v>Partial</v>
      </c>
      <c r="G105" s="1" t="b">
        <f>IFERROR(__xludf.DUMMYFUNCTION("""COMPUTED_VALUE"""),FALSE)</f>
        <v>0</v>
      </c>
      <c r="H105" s="1"/>
    </row>
    <row r="106">
      <c r="A106" s="1" t="str">
        <f>IFERROR(__xludf.DUMMYFUNCTION("""COMPUTED_VALUE"""),"33d222a4")</f>
        <v>33d222a4</v>
      </c>
      <c r="B106" s="32">
        <f>IFERROR(__xludf.DUMMYFUNCTION("""COMPUTED_VALUE"""),46068.01359953704)</f>
        <v>46068.0136</v>
      </c>
      <c r="C106" s="1" t="str">
        <f>IFERROR(__xludf.DUMMYFUNCTION("""COMPUTED_VALUE"""),"2503000217")</f>
        <v>2503000217</v>
      </c>
      <c r="D106" s="1" t="str">
        <f>IFERROR(__xludf.DUMMYFUNCTION("""COMPUTED_VALUE"""),"zegallai911@gmail.com")</f>
        <v>zegallai911@gmail.com</v>
      </c>
      <c r="E106" s="1" t="str">
        <f>IFERROR(__xludf.DUMMYFUNCTION("""COMPUTED_VALUE"""),"MachineRefills_Images/33d222a4.MachinePhoto.221958.jpg")</f>
        <v>MachineRefills_Images/33d222a4.MachinePhoto.221958.jpg</v>
      </c>
      <c r="F106" s="1" t="str">
        <f>IFERROR(__xludf.DUMMYFUNCTION("""COMPUTED_VALUE"""),"Partial")</f>
        <v>Partial</v>
      </c>
      <c r="G106" s="1" t="b">
        <f>IFERROR(__xludf.DUMMYFUNCTION("""COMPUTED_VALUE"""),FALSE)</f>
        <v>0</v>
      </c>
      <c r="H106" s="1"/>
    </row>
    <row r="107">
      <c r="A107" s="1" t="str">
        <f>IFERROR(__xludf.DUMMYFUNCTION("""COMPUTED_VALUE"""),"d34481bb")</f>
        <v>d34481bb</v>
      </c>
      <c r="B107" s="32">
        <f>IFERROR(__xludf.DUMMYFUNCTION("""COMPUTED_VALUE"""),46068.7215625)</f>
        <v>46068.72156</v>
      </c>
      <c r="C107" s="1" t="str">
        <f>IFERROR(__xludf.DUMMYFUNCTION("""COMPUTED_VALUE"""),"2509000371")</f>
        <v>2509000371</v>
      </c>
      <c r="D107" s="1" t="str">
        <f>IFERROR(__xludf.DUMMYFUNCTION("""COMPUTED_VALUE"""),"zegallai911@gmail.com")</f>
        <v>zegallai911@gmail.com</v>
      </c>
      <c r="E107" s="1" t="str">
        <f>IFERROR(__xludf.DUMMYFUNCTION("""COMPUTED_VALUE"""),"MachineRefills_Images/d34481bb.MachinePhoto.180740.jpg")</f>
        <v>MachineRefills_Images/d34481bb.MachinePhoto.180740.jpg</v>
      </c>
      <c r="F107" s="1" t="str">
        <f>IFERROR(__xludf.DUMMYFUNCTION("""COMPUTED_VALUE"""),"Partial")</f>
        <v>Partial</v>
      </c>
      <c r="G107" s="1" t="b">
        <f>IFERROR(__xludf.DUMMYFUNCTION("""COMPUTED_VALUE"""),FALSE)</f>
        <v>0</v>
      </c>
      <c r="H107" s="1"/>
    </row>
    <row r="108">
      <c r="A108" s="1" t="str">
        <f>IFERROR(__xludf.DUMMYFUNCTION("""COMPUTED_VALUE"""),"31640cf4")</f>
        <v>31640cf4</v>
      </c>
      <c r="B108" s="32">
        <f>IFERROR(__xludf.DUMMYFUNCTION("""COMPUTED_VALUE"""),46068.73950231481)</f>
        <v>46068.7395</v>
      </c>
      <c r="C108" s="1" t="str">
        <f>IFERROR(__xludf.DUMMYFUNCTION("""COMPUTED_VALUE"""),"2503000216")</f>
        <v>2503000216</v>
      </c>
      <c r="D108" s="1" t="str">
        <f>IFERROR(__xludf.DUMMYFUNCTION("""COMPUTED_VALUE"""),"zegallai911@gmail.com")</f>
        <v>zegallai911@gmail.com</v>
      </c>
      <c r="E108" s="1" t="str">
        <f>IFERROR(__xludf.DUMMYFUNCTION("""COMPUTED_VALUE"""),"MachineRefills_Images/31640cf4.MachinePhoto.180749.jpg")</f>
        <v>MachineRefills_Images/31640cf4.MachinePhoto.180749.jpg</v>
      </c>
      <c r="F108" s="1" t="str">
        <f>IFERROR(__xludf.DUMMYFUNCTION("""COMPUTED_VALUE"""),"Partial")</f>
        <v>Partial</v>
      </c>
      <c r="G108" s="1" t="b">
        <f>IFERROR(__xludf.DUMMYFUNCTION("""COMPUTED_VALUE"""),FALSE)</f>
        <v>0</v>
      </c>
      <c r="H108" s="1"/>
    </row>
    <row r="109">
      <c r="A109" s="1" t="str">
        <f>IFERROR(__xludf.DUMMYFUNCTION("""COMPUTED_VALUE"""),"3a83ee8c")</f>
        <v>3a83ee8c</v>
      </c>
      <c r="B109" s="32">
        <f>IFERROR(__xludf.DUMMYFUNCTION("""COMPUTED_VALUE"""),46068.83577546296)</f>
        <v>46068.83578</v>
      </c>
      <c r="C109" s="1" t="str">
        <f>IFERROR(__xludf.DUMMYFUNCTION("""COMPUTED_VALUE"""),"2509000369")</f>
        <v>2509000369</v>
      </c>
      <c r="D109" s="1" t="str">
        <f>IFERROR(__xludf.DUMMYFUNCTION("""COMPUTED_VALUE"""),"zegallai911@gmail.com")</f>
        <v>zegallai911@gmail.com</v>
      </c>
      <c r="E109" s="1" t="str">
        <f>IFERROR(__xludf.DUMMYFUNCTION("""COMPUTED_VALUE"""),"MachineRefills_Images/3a83ee8c.MachinePhoto.180757.jpg")</f>
        <v>MachineRefills_Images/3a83ee8c.MachinePhoto.180757.jpg</v>
      </c>
      <c r="F109" s="1" t="str">
        <f>IFERROR(__xludf.DUMMYFUNCTION("""COMPUTED_VALUE"""),"Partial")</f>
        <v>Partial</v>
      </c>
      <c r="G109" s="1" t="b">
        <f>IFERROR(__xludf.DUMMYFUNCTION("""COMPUTED_VALUE"""),FALSE)</f>
        <v>0</v>
      </c>
      <c r="H109" s="1"/>
    </row>
    <row r="110">
      <c r="A110" s="1" t="str">
        <f>IFERROR(__xludf.DUMMYFUNCTION("""COMPUTED_VALUE"""),"addde8c6")</f>
        <v>addde8c6</v>
      </c>
      <c r="B110" s="32">
        <f>IFERROR(__xludf.DUMMYFUNCTION("""COMPUTED_VALUE"""),46069.0072337963)</f>
        <v>46069.00723</v>
      </c>
      <c r="C110" s="1" t="str">
        <f>IFERROR(__xludf.DUMMYFUNCTION("""COMPUTED_VALUE"""),"2503000217")</f>
        <v>2503000217</v>
      </c>
      <c r="D110" s="1" t="str">
        <f>IFERROR(__xludf.DUMMYFUNCTION("""COMPUTED_VALUE"""),"zegallai911@gmail.com")</f>
        <v>zegallai911@gmail.com</v>
      </c>
      <c r="E110" s="1" t="str">
        <f>IFERROR(__xludf.DUMMYFUNCTION("""COMPUTED_VALUE"""),"MachineRefills_Images/addde8c6.MachinePhoto.221045.jpg")</f>
        <v>MachineRefills_Images/addde8c6.MachinePhoto.221045.jpg</v>
      </c>
      <c r="F110" s="1" t="str">
        <f>IFERROR(__xludf.DUMMYFUNCTION("""COMPUTED_VALUE"""),"Partial")</f>
        <v>Partial</v>
      </c>
      <c r="G110" s="1" t="b">
        <f>IFERROR(__xludf.DUMMYFUNCTION("""COMPUTED_VALUE"""),FALSE)</f>
        <v>0</v>
      </c>
      <c r="H110" s="1"/>
    </row>
    <row r="111">
      <c r="A111" s="1" t="str">
        <f>IFERROR(__xludf.DUMMYFUNCTION("""COMPUTED_VALUE"""),"54a51af3")</f>
        <v>54a51af3</v>
      </c>
      <c r="B111" s="32">
        <f>IFERROR(__xludf.DUMMYFUNCTION("""COMPUTED_VALUE"""),46069.04857638889)</f>
        <v>46069.04858</v>
      </c>
      <c r="C111" s="1" t="str">
        <f>IFERROR(__xludf.DUMMYFUNCTION("""COMPUTED_VALUE"""),"2411000046")</f>
        <v>2411000046</v>
      </c>
      <c r="D111" s="1" t="str">
        <f>IFERROR(__xludf.DUMMYFUNCTION("""COMPUTED_VALUE"""),"zegallai911@gmail.com")</f>
        <v>zegallai911@gmail.com</v>
      </c>
      <c r="E111" s="1" t="str">
        <f>IFERROR(__xludf.DUMMYFUNCTION("""COMPUTED_VALUE"""),"MachineRefills_Images/54a51af3.MachinePhoto.231017.jpg")</f>
        <v>MachineRefills_Images/54a51af3.MachinePhoto.231017.jpg</v>
      </c>
      <c r="F111" s="1" t="str">
        <f>IFERROR(__xludf.DUMMYFUNCTION("""COMPUTED_VALUE"""),"Partial")</f>
        <v>Partial</v>
      </c>
      <c r="G111" s="1" t="b">
        <f>IFERROR(__xludf.DUMMYFUNCTION("""COMPUTED_VALUE"""),FALSE)</f>
        <v>0</v>
      </c>
      <c r="H111" s="1"/>
    </row>
    <row r="112">
      <c r="A112" s="1" t="str">
        <f>IFERROR(__xludf.DUMMYFUNCTION("""COMPUTED_VALUE"""),"54f81ee8")</f>
        <v>54f81ee8</v>
      </c>
      <c r="B112" s="32">
        <f>IFERROR(__xludf.DUMMYFUNCTION("""COMPUTED_VALUE"""),46069.717256944445)</f>
        <v>46069.71726</v>
      </c>
      <c r="C112" s="1" t="str">
        <f>IFERROR(__xludf.DUMMYFUNCTION("""COMPUTED_VALUE"""),"2509000371")</f>
        <v>2509000371</v>
      </c>
      <c r="D112" s="1" t="str">
        <f>IFERROR(__xludf.DUMMYFUNCTION("""COMPUTED_VALUE"""),"zegallai911@gmail.com")</f>
        <v>zegallai911@gmail.com</v>
      </c>
      <c r="E112" s="1" t="str">
        <f>IFERROR(__xludf.DUMMYFUNCTION("""COMPUTED_VALUE"""),"MachineRefills_Images/54f81ee8.MachinePhoto.151310.jpg")</f>
        <v>MachineRefills_Images/54f81ee8.MachinePhoto.151310.jpg</v>
      </c>
      <c r="F112" s="1" t="str">
        <f>IFERROR(__xludf.DUMMYFUNCTION("""COMPUTED_VALUE"""),"Partial")</f>
        <v>Partial</v>
      </c>
      <c r="G112" s="1" t="b">
        <f>IFERROR(__xludf.DUMMYFUNCTION("""COMPUTED_VALUE"""),FALSE)</f>
        <v>0</v>
      </c>
      <c r="H112" s="1"/>
    </row>
    <row r="113">
      <c r="A113" s="1" t="str">
        <f>IFERROR(__xludf.DUMMYFUNCTION("""COMPUTED_VALUE"""),"2e92bbea")</f>
        <v>2e92bbea</v>
      </c>
      <c r="B113" s="32">
        <f>IFERROR(__xludf.DUMMYFUNCTION("""COMPUTED_VALUE"""),46070.576377314814)</f>
        <v>46070.57638</v>
      </c>
      <c r="C113" s="1" t="str">
        <f>IFERROR(__xludf.DUMMYFUNCTION("""COMPUTED_VALUE"""),"2509000371")</f>
        <v>2509000371</v>
      </c>
      <c r="D113" s="1" t="str">
        <f>IFERROR(__xludf.DUMMYFUNCTION("""COMPUTED_VALUE"""),"zegallai911@gmail.com")</f>
        <v>zegallai911@gmail.com</v>
      </c>
      <c r="E113" s="1" t="str">
        <f>IFERROR(__xludf.DUMMYFUNCTION("""COMPUTED_VALUE"""),"MachineRefills_Images/2e92bbea.MachinePhoto.122250.jpg")</f>
        <v>MachineRefills_Images/2e92bbea.MachinePhoto.122250.jpg</v>
      </c>
      <c r="F113" s="1" t="str">
        <f>IFERROR(__xludf.DUMMYFUNCTION("""COMPUTED_VALUE"""),"Partial")</f>
        <v>Partial</v>
      </c>
      <c r="G113" s="1" t="b">
        <f>IFERROR(__xludf.DUMMYFUNCTION("""COMPUTED_VALUE"""),FALSE)</f>
        <v>0</v>
      </c>
      <c r="H113" s="1"/>
    </row>
    <row r="114">
      <c r="A114" s="1" t="str">
        <f>IFERROR(__xludf.DUMMYFUNCTION("""COMPUTED_VALUE"""),"336ccafc")</f>
        <v>336ccafc</v>
      </c>
      <c r="B114" s="32">
        <f>IFERROR(__xludf.DUMMYFUNCTION("""COMPUTED_VALUE"""),46070.599386574075)</f>
        <v>46070.59939</v>
      </c>
      <c r="C114" s="1" t="str">
        <f>IFERROR(__xludf.DUMMYFUNCTION("""COMPUTED_VALUE"""),"2509000369")</f>
        <v>2509000369</v>
      </c>
      <c r="D114" s="1" t="str">
        <f>IFERROR(__xludf.DUMMYFUNCTION("""COMPUTED_VALUE"""),"zegallai911@gmail.com")</f>
        <v>zegallai911@gmail.com</v>
      </c>
      <c r="E114" s="1" t="str">
        <f>IFERROR(__xludf.DUMMYFUNCTION("""COMPUTED_VALUE"""),"MachineRefills_Images/336ccafc.MachinePhoto.122322.jpg")</f>
        <v>MachineRefills_Images/336ccafc.MachinePhoto.122322.jpg</v>
      </c>
      <c r="F114" s="1" t="str">
        <f>IFERROR(__xludf.DUMMYFUNCTION("""COMPUTED_VALUE"""),"Partial")</f>
        <v>Partial</v>
      </c>
      <c r="G114" s="1" t="b">
        <f>IFERROR(__xludf.DUMMYFUNCTION("""COMPUTED_VALUE"""),FALSE)</f>
        <v>0</v>
      </c>
      <c r="H114" s="1"/>
    </row>
    <row r="115">
      <c r="A115" s="1" t="str">
        <f>IFERROR(__xludf.DUMMYFUNCTION("""COMPUTED_VALUE"""),"ade8357b")</f>
        <v>ade8357b</v>
      </c>
      <c r="B115" s="32">
        <f>IFERROR(__xludf.DUMMYFUNCTION("""COMPUTED_VALUE"""),46071.03601851852)</f>
        <v>46071.03602</v>
      </c>
      <c r="C115" s="1" t="str">
        <f>IFERROR(__xludf.DUMMYFUNCTION("""COMPUTED_VALUE"""),"2411000046")</f>
        <v>2411000046</v>
      </c>
      <c r="D115" s="1" t="str">
        <f>IFERROR(__xludf.DUMMYFUNCTION("""COMPUTED_VALUE"""),"zegallai911@gmail.com")</f>
        <v>zegallai911@gmail.com</v>
      </c>
      <c r="E115" s="1" t="str">
        <f>IFERROR(__xludf.DUMMYFUNCTION("""COMPUTED_VALUE"""),"MachineRefills_Images/ade8357b.MachinePhoto.151953.jpg")</f>
        <v>MachineRefills_Images/ade8357b.MachinePhoto.151953.jpg</v>
      </c>
      <c r="F115" s="1" t="str">
        <f>IFERROR(__xludf.DUMMYFUNCTION("""COMPUTED_VALUE"""),"Partial")</f>
        <v>Partial</v>
      </c>
      <c r="G115" s="1" t="b">
        <f>IFERROR(__xludf.DUMMYFUNCTION("""COMPUTED_VALUE"""),FALSE)</f>
        <v>0</v>
      </c>
      <c r="H115" s="1"/>
    </row>
    <row r="116">
      <c r="A116" s="1" t="str">
        <f>IFERROR(__xludf.DUMMYFUNCTION("""COMPUTED_VALUE"""),"7c8f5821")</f>
        <v>7c8f5821</v>
      </c>
      <c r="B116" s="32">
        <f>IFERROR(__xludf.DUMMYFUNCTION("""COMPUTED_VALUE"""),46072.72230324074)</f>
        <v>46072.7223</v>
      </c>
      <c r="C116" s="1" t="str">
        <f>IFERROR(__xludf.DUMMYFUNCTION("""COMPUTED_VALUE"""),"2503000216")</f>
        <v>2503000216</v>
      </c>
      <c r="D116" s="1" t="str">
        <f>IFERROR(__xludf.DUMMYFUNCTION("""COMPUTED_VALUE"""),"zegallai911@gmail.com")</f>
        <v>zegallai911@gmail.com</v>
      </c>
      <c r="E116" s="1" t="str">
        <f>IFERROR(__xludf.DUMMYFUNCTION("""COMPUTED_VALUE"""),"MachineRefills_Images/7c8f5821.MachinePhoto.153046.jpg")</f>
        <v>MachineRefills_Images/7c8f5821.MachinePhoto.153046.jpg</v>
      </c>
      <c r="F116" s="1" t="str">
        <f>IFERROR(__xludf.DUMMYFUNCTION("""COMPUTED_VALUE"""),"Partial")</f>
        <v>Partial</v>
      </c>
      <c r="G116" s="1" t="b">
        <f>IFERROR(__xludf.DUMMYFUNCTION("""COMPUTED_VALUE"""),FALSE)</f>
        <v>0</v>
      </c>
      <c r="H116" s="1"/>
    </row>
    <row r="117">
      <c r="A117" s="1" t="str">
        <f>IFERROR(__xludf.DUMMYFUNCTION("""COMPUTED_VALUE"""),"31d1f886")</f>
        <v>31d1f886</v>
      </c>
      <c r="B117" s="32">
        <f>IFERROR(__xludf.DUMMYFUNCTION("""COMPUTED_VALUE"""),46074.71501157407)</f>
        <v>46074.71501</v>
      </c>
      <c r="C117" s="1" t="str">
        <f>IFERROR(__xludf.DUMMYFUNCTION("""COMPUTED_VALUE"""),"2503000216")</f>
        <v>2503000216</v>
      </c>
      <c r="D117" s="1" t="str">
        <f>IFERROR(__xludf.DUMMYFUNCTION("""COMPUTED_VALUE"""),"zegallai911@gmail.com")</f>
        <v>zegallai911@gmail.com</v>
      </c>
      <c r="E117" s="1" t="str">
        <f>IFERROR(__xludf.DUMMYFUNCTION("""COMPUTED_VALUE"""),"MachineRefills_Images/31d1f886.MachinePhoto.150950.jpg")</f>
        <v>MachineRefills_Images/31d1f886.MachinePhoto.150950.jpg</v>
      </c>
      <c r="F117" s="1" t="str">
        <f>IFERROR(__xludf.DUMMYFUNCTION("""COMPUTED_VALUE"""),"Partial")</f>
        <v>Partial</v>
      </c>
      <c r="G117" s="1" t="b">
        <f>IFERROR(__xludf.DUMMYFUNCTION("""COMPUTED_VALUE"""),FALSE)</f>
        <v>0</v>
      </c>
      <c r="H117" s="1"/>
    </row>
    <row r="118">
      <c r="A118" s="1" t="str">
        <f>IFERROR(__xludf.DUMMYFUNCTION("""COMPUTED_VALUE"""),"b3175615")</f>
        <v>b3175615</v>
      </c>
      <c r="B118" s="32">
        <f>IFERROR(__xludf.DUMMYFUNCTION("""COMPUTED_VALUE"""),46074.71679398148)</f>
        <v>46074.71679</v>
      </c>
      <c r="C118" s="1" t="str">
        <f>IFERROR(__xludf.DUMMYFUNCTION("""COMPUTED_VALUE"""),"2509000371")</f>
        <v>2509000371</v>
      </c>
      <c r="D118" s="1" t="str">
        <f>IFERROR(__xludf.DUMMYFUNCTION("""COMPUTED_VALUE"""),"zegallai911@gmail.com")</f>
        <v>zegallai911@gmail.com</v>
      </c>
      <c r="E118" s="1" t="str">
        <f>IFERROR(__xludf.DUMMYFUNCTION("""COMPUTED_VALUE"""),"MachineRefills_Images/b3175615.MachinePhoto.151228.jpg")</f>
        <v>MachineRefills_Images/b3175615.MachinePhoto.151228.jpg</v>
      </c>
      <c r="F118" s="1" t="str">
        <f>IFERROR(__xludf.DUMMYFUNCTION("""COMPUTED_VALUE"""),"Partial")</f>
        <v>Partial</v>
      </c>
      <c r="G118" s="1" t="b">
        <f>IFERROR(__xludf.DUMMYFUNCTION("""COMPUTED_VALUE"""),FALSE)</f>
        <v>0</v>
      </c>
      <c r="H118" s="1"/>
    </row>
    <row r="119">
      <c r="A119" s="1" t="str">
        <f>IFERROR(__xludf.DUMMYFUNCTION("""COMPUTED_VALUE"""),"44431aa2")</f>
        <v>44431aa2</v>
      </c>
      <c r="B119" s="32">
        <f>IFERROR(__xludf.DUMMYFUNCTION("""COMPUTED_VALUE"""),46074.98594907407)</f>
        <v>46074.98595</v>
      </c>
      <c r="C119" s="1" t="str">
        <f>IFERROR(__xludf.DUMMYFUNCTION("""COMPUTED_VALUE"""),"2411000046")</f>
        <v>2411000046</v>
      </c>
      <c r="D119" s="1" t="str">
        <f>IFERROR(__xludf.DUMMYFUNCTION("""COMPUTED_VALUE"""),"zegallai911@gmail.com")</f>
        <v>zegallai911@gmail.com</v>
      </c>
      <c r="E119" s="1" t="str">
        <f>IFERROR(__xludf.DUMMYFUNCTION("""COMPUTED_VALUE"""),"MachineRefills_Images/44431aa2.MachinePhoto.162909.jpg")</f>
        <v>MachineRefills_Images/44431aa2.MachinePhoto.162909.jpg</v>
      </c>
      <c r="F119" s="1" t="str">
        <f>IFERROR(__xludf.DUMMYFUNCTION("""COMPUTED_VALUE"""),"Partial")</f>
        <v>Partial</v>
      </c>
      <c r="G119" s="1" t="b">
        <f>IFERROR(__xludf.DUMMYFUNCTION("""COMPUTED_VALUE"""),TRUE)</f>
        <v>1</v>
      </c>
      <c r="H119" s="1" t="str">
        <f>IFERROR(__xludf.DUMMYFUNCTION("""COMPUTED_VALUE"""),"تشينج عالق")</f>
        <v>تشينج عالق</v>
      </c>
    </row>
    <row r="120">
      <c r="A120" s="1" t="str">
        <f>IFERROR(__xludf.DUMMYFUNCTION("""COMPUTED_VALUE"""),"e490c116")</f>
        <v>e490c116</v>
      </c>
      <c r="B120" s="32">
        <f>IFERROR(__xludf.DUMMYFUNCTION("""COMPUTED_VALUE"""),46076.77039351852)</f>
        <v>46076.77039</v>
      </c>
      <c r="C120" s="1" t="str">
        <f>IFERROR(__xludf.DUMMYFUNCTION("""COMPUTED_VALUE"""),"2509000371")</f>
        <v>2509000371</v>
      </c>
      <c r="D120" s="1" t="str">
        <f>IFERROR(__xludf.DUMMYFUNCTION("""COMPUTED_VALUE"""),"zegallai911@gmail.com")</f>
        <v>zegallai911@gmail.com</v>
      </c>
      <c r="E120" s="1" t="str">
        <f>IFERROR(__xludf.DUMMYFUNCTION("""COMPUTED_VALUE"""),"MachineRefills_Images/e490c116.MachinePhoto.162941.jpg")</f>
        <v>MachineRefills_Images/e490c116.MachinePhoto.162941.jpg</v>
      </c>
      <c r="F120" s="1" t="str">
        <f>IFERROR(__xludf.DUMMYFUNCTION("""COMPUTED_VALUE"""),"Partial")</f>
        <v>Partial</v>
      </c>
      <c r="G120" s="1" t="b">
        <f>IFERROR(__xludf.DUMMYFUNCTION("""COMPUTED_VALUE"""),TRUE)</f>
        <v>1</v>
      </c>
      <c r="H120" s="1" t="str">
        <f>IFERROR(__xludf.DUMMYFUNCTION("""COMPUTED_VALUE"""),"تشينجدعالق")</f>
        <v>تشينجدعالق</v>
      </c>
    </row>
    <row r="121">
      <c r="A121" s="1" t="str">
        <f>IFERROR(__xludf.DUMMYFUNCTION("""COMPUTED_VALUE"""),"14dd992f")</f>
        <v>14dd992f</v>
      </c>
      <c r="B121" s="32">
        <f>IFERROR(__xludf.DUMMYFUNCTION("""COMPUTED_VALUE"""),46079.118726851855)</f>
        <v>46079.11873</v>
      </c>
      <c r="C121" s="1" t="str">
        <f>IFERROR(__xludf.DUMMYFUNCTION("""COMPUTED_VALUE"""),"2509000369")</f>
        <v>2509000369</v>
      </c>
      <c r="D121" s="1" t="str">
        <f>IFERROR(__xludf.DUMMYFUNCTION("""COMPUTED_VALUE"""),"zegallai911@gmail.com")</f>
        <v>zegallai911@gmail.com</v>
      </c>
      <c r="E121" s="1" t="str">
        <f>IFERROR(__xludf.DUMMYFUNCTION("""COMPUTED_VALUE"""),"MachineRefills_Images/14dd992f.MachinePhoto.005127.jpg")</f>
        <v>MachineRefills_Images/14dd992f.MachinePhoto.005127.jpg</v>
      </c>
      <c r="F121" s="1" t="str">
        <f>IFERROR(__xludf.DUMMYFUNCTION("""COMPUTED_VALUE"""),"Full")</f>
        <v>Full</v>
      </c>
      <c r="G121" s="1" t="b">
        <f>IFERROR(__xludf.DUMMYFUNCTION("""COMPUTED_VALUE"""),FALSE)</f>
        <v>0</v>
      </c>
      <c r="H121" s="1"/>
    </row>
    <row r="122">
      <c r="A122" s="1" t="str">
        <f>IFERROR(__xludf.DUMMYFUNCTION("""COMPUTED_VALUE"""),"18ec2ce3")</f>
        <v>18ec2ce3</v>
      </c>
      <c r="B122" s="32">
        <f>IFERROR(__xludf.DUMMYFUNCTION("""COMPUTED_VALUE"""),46079.68380787037)</f>
        <v>46079.68381</v>
      </c>
      <c r="C122" s="1" t="str">
        <f>IFERROR(__xludf.DUMMYFUNCTION("""COMPUTED_VALUE"""),"2509000371")</f>
        <v>2509000371</v>
      </c>
      <c r="D122" s="1" t="str">
        <f>IFERROR(__xludf.DUMMYFUNCTION("""COMPUTED_VALUE"""),"zegallai911@gmail.com")</f>
        <v>zegallai911@gmail.com</v>
      </c>
      <c r="E122" s="1" t="str">
        <f>IFERROR(__xludf.DUMMYFUNCTION("""COMPUTED_VALUE"""),"MachineRefills_Images/18ec2ce3.MachinePhoto.142458.jpg")</f>
        <v>MachineRefills_Images/18ec2ce3.MachinePhoto.142458.jpg</v>
      </c>
      <c r="F122" s="1" t="str">
        <f>IFERROR(__xludf.DUMMYFUNCTION("""COMPUTED_VALUE"""),"Partial")</f>
        <v>Partial</v>
      </c>
      <c r="G122" s="1" t="b">
        <f>IFERROR(__xludf.DUMMYFUNCTION("""COMPUTED_VALUE"""),FALSE)</f>
        <v>0</v>
      </c>
      <c r="H122" s="1"/>
    </row>
    <row r="123">
      <c r="A123" s="1" t="str">
        <f>IFERROR(__xludf.DUMMYFUNCTION("""COMPUTED_VALUE"""),"8a991bc1")</f>
        <v>8a991bc1</v>
      </c>
      <c r="B123" s="32">
        <f>IFERROR(__xludf.DUMMYFUNCTION("""COMPUTED_VALUE"""),46079.70819444444)</f>
        <v>46079.70819</v>
      </c>
      <c r="C123" s="1" t="str">
        <f>IFERROR(__xludf.DUMMYFUNCTION("""COMPUTED_VALUE"""),"2503000216")</f>
        <v>2503000216</v>
      </c>
      <c r="D123" s="1" t="str">
        <f>IFERROR(__xludf.DUMMYFUNCTION("""COMPUTED_VALUE"""),"zegallai911@gmail.com")</f>
        <v>zegallai911@gmail.com</v>
      </c>
      <c r="E123" s="1" t="str">
        <f>IFERROR(__xludf.DUMMYFUNCTION("""COMPUTED_VALUE"""),"MachineRefills_Images/8a991bc1.MachinePhoto.121704.jpg")</f>
        <v>MachineRefills_Images/8a991bc1.MachinePhoto.121704.jpg</v>
      </c>
      <c r="F123" s="1" t="str">
        <f>IFERROR(__xludf.DUMMYFUNCTION("""COMPUTED_VALUE"""),"Partial")</f>
        <v>Partial</v>
      </c>
      <c r="G123" s="1" t="b">
        <f>IFERROR(__xludf.DUMMYFUNCTION("""COMPUTED_VALUE"""),FALSE)</f>
        <v>0</v>
      </c>
      <c r="H123" s="1"/>
    </row>
    <row r="124">
      <c r="A124" s="1" t="str">
        <f>IFERROR(__xludf.DUMMYFUNCTION("""COMPUTED_VALUE"""),"11b1a974")</f>
        <v>11b1a974</v>
      </c>
      <c r="B124" s="32">
        <f>IFERROR(__xludf.DUMMYFUNCTION("""COMPUTED_VALUE"""),46080.752754629626)</f>
        <v>46080.75275</v>
      </c>
      <c r="C124" s="1" t="str">
        <f>IFERROR(__xludf.DUMMYFUNCTION("""COMPUTED_VALUE"""),"2509000371")</f>
        <v>2509000371</v>
      </c>
      <c r="D124" s="1" t="str">
        <f>IFERROR(__xludf.DUMMYFUNCTION("""COMPUTED_VALUE"""),"zegallai911@gmail.com")</f>
        <v>zegallai911@gmail.com</v>
      </c>
      <c r="E124" s="1" t="str">
        <f>IFERROR(__xludf.DUMMYFUNCTION("""COMPUTED_VALUE"""),"MachineRefills_Images/11b1a974.MachinePhoto.160413.jpg")</f>
        <v>MachineRefills_Images/11b1a974.MachinePhoto.160413.jpg</v>
      </c>
      <c r="F124" s="1" t="str">
        <f>IFERROR(__xludf.DUMMYFUNCTION("""COMPUTED_VALUE"""),"Partial")</f>
        <v>Partial</v>
      </c>
      <c r="G124" s="1" t="b">
        <f>IFERROR(__xludf.DUMMYFUNCTION("""COMPUTED_VALUE"""),FALSE)</f>
        <v>0</v>
      </c>
      <c r="H124" s="1"/>
    </row>
    <row r="125">
      <c r="A125" s="1" t="str">
        <f>IFERROR(__xludf.DUMMYFUNCTION("""COMPUTED_VALUE"""),"d8c7337f")</f>
        <v>d8c7337f</v>
      </c>
      <c r="B125" s="32">
        <f>IFERROR(__xludf.DUMMYFUNCTION("""COMPUTED_VALUE"""),46080.76253472222)</f>
        <v>46080.76253</v>
      </c>
      <c r="C125" s="1" t="str">
        <f>IFERROR(__xludf.DUMMYFUNCTION("""COMPUTED_VALUE"""),"2503000216")</f>
        <v>2503000216</v>
      </c>
      <c r="D125" s="1" t="str">
        <f>IFERROR(__xludf.DUMMYFUNCTION("""COMPUTED_VALUE"""),"zegallai911@gmail.com")</f>
        <v>zegallai911@gmail.com</v>
      </c>
      <c r="E125" s="1" t="str">
        <f>IFERROR(__xludf.DUMMYFUNCTION("""COMPUTED_VALUE"""),"MachineRefills_Images/d8c7337f.MachinePhoto.161822.jpg")</f>
        <v>MachineRefills_Images/d8c7337f.MachinePhoto.161822.jpg</v>
      </c>
      <c r="F125" s="1" t="str">
        <f>IFERROR(__xludf.DUMMYFUNCTION("""COMPUTED_VALUE"""),"Partial")</f>
        <v>Partial</v>
      </c>
      <c r="G125" s="1" t="b">
        <f>IFERROR(__xludf.DUMMYFUNCTION("""COMPUTED_VALUE"""),FALSE)</f>
        <v>0</v>
      </c>
      <c r="H125" s="1"/>
    </row>
    <row r="126">
      <c r="A126" s="1" t="str">
        <f>IFERROR(__xludf.DUMMYFUNCTION("""COMPUTED_VALUE"""),"36661435")</f>
        <v>36661435</v>
      </c>
      <c r="B126" s="32">
        <f>IFERROR(__xludf.DUMMYFUNCTION("""COMPUTED_VALUE"""),46081.638645833336)</f>
        <v>46081.63865</v>
      </c>
      <c r="C126" s="1" t="str">
        <f>IFERROR(__xludf.DUMMYFUNCTION("""COMPUTED_VALUE"""),"2411000046")</f>
        <v>2411000046</v>
      </c>
      <c r="D126" s="1" t="str">
        <f>IFERROR(__xludf.DUMMYFUNCTION("""COMPUTED_VALUE"""),"zegallai911@gmail.com")</f>
        <v>zegallai911@gmail.com</v>
      </c>
      <c r="E126" s="1" t="str">
        <f>IFERROR(__xludf.DUMMYFUNCTION("""COMPUTED_VALUE"""),"MachineRefills_Images/36661435.MachinePhoto.131955.jpg")</f>
        <v>MachineRefills_Images/36661435.MachinePhoto.131955.jpg</v>
      </c>
      <c r="F126" s="1" t="str">
        <f>IFERROR(__xludf.DUMMYFUNCTION("""COMPUTED_VALUE"""),"Partial")</f>
        <v>Partial</v>
      </c>
      <c r="G126" s="1" t="b">
        <f>IFERROR(__xludf.DUMMYFUNCTION("""COMPUTED_VALUE"""),FALSE)</f>
        <v>0</v>
      </c>
      <c r="H126" s="1"/>
    </row>
    <row r="127">
      <c r="A127" s="1" t="str">
        <f>IFERROR(__xludf.DUMMYFUNCTION("""COMPUTED_VALUE"""),"1aa4c40a")</f>
        <v>1aa4c40a</v>
      </c>
      <c r="B127" s="32">
        <f>IFERROR(__xludf.DUMMYFUNCTION("""COMPUTED_VALUE"""),46081.708136574074)</f>
        <v>46081.70814</v>
      </c>
      <c r="C127" s="1" t="str">
        <f>IFERROR(__xludf.DUMMYFUNCTION("""COMPUTED_VALUE"""),"2509000371")</f>
        <v>2509000371</v>
      </c>
      <c r="D127" s="1" t="str">
        <f>IFERROR(__xludf.DUMMYFUNCTION("""COMPUTED_VALUE"""),"zegallai911@gmail.com")</f>
        <v>zegallai911@gmail.com</v>
      </c>
      <c r="E127" s="1" t="str">
        <f>IFERROR(__xludf.DUMMYFUNCTION("""COMPUTED_VALUE"""),"MachineRefills_Images/1aa4c40a.MachinePhoto.145956.jpg")</f>
        <v>MachineRefills_Images/1aa4c40a.MachinePhoto.145956.jpg</v>
      </c>
      <c r="F127" s="1" t="str">
        <f>IFERROR(__xludf.DUMMYFUNCTION("""COMPUTED_VALUE"""),"Partial")</f>
        <v>Partial</v>
      </c>
      <c r="G127" s="1" t="b">
        <f>IFERROR(__xludf.DUMMYFUNCTION("""COMPUTED_VALUE"""),FALSE)</f>
        <v>0</v>
      </c>
      <c r="H127" s="1"/>
    </row>
    <row r="128">
      <c r="A128" s="1" t="str">
        <f>IFERROR(__xludf.DUMMYFUNCTION("""COMPUTED_VALUE"""),"e44291d2")</f>
        <v>e44291d2</v>
      </c>
      <c r="B128" s="32">
        <f>IFERROR(__xludf.DUMMYFUNCTION("""COMPUTED_VALUE"""),46081.72153935185)</f>
        <v>46081.72154</v>
      </c>
      <c r="C128" s="1" t="str">
        <f>IFERROR(__xludf.DUMMYFUNCTION("""COMPUTED_VALUE"""),"2503000216")</f>
        <v>2503000216</v>
      </c>
      <c r="D128" s="1" t="str">
        <f>IFERROR(__xludf.DUMMYFUNCTION("""COMPUTED_VALUE"""),"zegallai911@gmail.com")</f>
        <v>zegallai911@gmail.com</v>
      </c>
      <c r="E128" s="1" t="str">
        <f>IFERROR(__xludf.DUMMYFUNCTION("""COMPUTED_VALUE"""),"MachineRefills_Images/e44291d2.MachinePhoto.151921.jpg")</f>
        <v>MachineRefills_Images/e44291d2.MachinePhoto.151921.jpg</v>
      </c>
      <c r="F128" s="1" t="str">
        <f>IFERROR(__xludf.DUMMYFUNCTION("""COMPUTED_VALUE"""),"Partial")</f>
        <v>Partial</v>
      </c>
      <c r="G128" s="1" t="b">
        <f>IFERROR(__xludf.DUMMYFUNCTION("""COMPUTED_VALUE"""),FALSE)</f>
        <v>0</v>
      </c>
      <c r="H128" s="1"/>
    </row>
    <row r="129">
      <c r="A129" s="1" t="str">
        <f>IFERROR(__xludf.DUMMYFUNCTION("""COMPUTED_VALUE"""),"f816d5d5")</f>
        <v>f816d5d5</v>
      </c>
      <c r="B129" s="32">
        <f>IFERROR(__xludf.DUMMYFUNCTION("""COMPUTED_VALUE"""),46082.75787037037)</f>
        <v>46082.75787</v>
      </c>
      <c r="C129" s="1" t="str">
        <f>IFERROR(__xludf.DUMMYFUNCTION("""COMPUTED_VALUE"""),"2509000371")</f>
        <v>2509000371</v>
      </c>
      <c r="D129" s="1" t="str">
        <f>IFERROR(__xludf.DUMMYFUNCTION("""COMPUTED_VALUE"""),"zegallai911@gmail.com")</f>
        <v>zegallai911@gmail.com</v>
      </c>
      <c r="E129" s="1" t="str">
        <f>IFERROR(__xludf.DUMMYFUNCTION("""COMPUTED_VALUE"""),"MachineRefills_Images/f816d5d5.MachinePhoto.161138.jpg")</f>
        <v>MachineRefills_Images/f816d5d5.MachinePhoto.161138.jpg</v>
      </c>
      <c r="F129" s="1" t="str">
        <f>IFERROR(__xludf.DUMMYFUNCTION("""COMPUTED_VALUE"""),"Partial")</f>
        <v>Partial</v>
      </c>
      <c r="G129" s="1" t="b">
        <f>IFERROR(__xludf.DUMMYFUNCTION("""COMPUTED_VALUE"""),FALSE)</f>
        <v>0</v>
      </c>
      <c r="H129" s="1"/>
    </row>
    <row r="130">
      <c r="A130" s="1" t="str">
        <f>IFERROR(__xludf.DUMMYFUNCTION("""COMPUTED_VALUE"""),"9f910bcf")</f>
        <v>9f910bcf</v>
      </c>
      <c r="B130" s="32">
        <f>IFERROR(__xludf.DUMMYFUNCTION("""COMPUTED_VALUE"""),46082.962534722225)</f>
        <v>46082.96253</v>
      </c>
      <c r="C130" s="1" t="str">
        <f>IFERROR(__xludf.DUMMYFUNCTION("""COMPUTED_VALUE"""),"2510001719")</f>
        <v>2510001719</v>
      </c>
      <c r="D130" s="1" t="str">
        <f>IFERROR(__xludf.DUMMYFUNCTION("""COMPUTED_VALUE"""),"zegallai911@gmail.com")</f>
        <v>zegallai911@gmail.com</v>
      </c>
      <c r="E130" s="1" t="str">
        <f>IFERROR(__xludf.DUMMYFUNCTION("""COMPUTED_VALUE"""),"MachineRefills_Images/9f910bcf.MachinePhoto.210629.jpg")</f>
        <v>MachineRefills_Images/9f910bcf.MachinePhoto.210629.jpg</v>
      </c>
      <c r="F130" s="1" t="str">
        <f>IFERROR(__xludf.DUMMYFUNCTION("""COMPUTED_VALUE"""),"Partial")</f>
        <v>Partial</v>
      </c>
      <c r="G130" s="1" t="b">
        <f>IFERROR(__xludf.DUMMYFUNCTION("""COMPUTED_VALUE"""),TRUE)</f>
        <v>1</v>
      </c>
      <c r="H130" s="1" t="str">
        <f>IFERROR(__xludf.DUMMYFUNCTION("""COMPUTED_VALUE"""),"جني حاصل")</f>
        <v>جني حاصل</v>
      </c>
    </row>
    <row r="131">
      <c r="A131" s="1" t="str">
        <f>IFERROR(__xludf.DUMMYFUNCTION("""COMPUTED_VALUE"""),"376eecd4")</f>
        <v>376eecd4</v>
      </c>
      <c r="B131" s="32">
        <f>IFERROR(__xludf.DUMMYFUNCTION("""COMPUTED_VALUE"""),46083.61623842592)</f>
        <v>46083.61624</v>
      </c>
      <c r="C131" s="1" t="str">
        <f>IFERROR(__xludf.DUMMYFUNCTION("""COMPUTED_VALUE"""),"2509000371")</f>
        <v>2509000371</v>
      </c>
      <c r="D131" s="1" t="str">
        <f>IFERROR(__xludf.DUMMYFUNCTION("""COMPUTED_VALUE"""),"zegallai911@gmail.com")</f>
        <v>zegallai911@gmail.com</v>
      </c>
      <c r="E131" s="1" t="str">
        <f>IFERROR(__xludf.DUMMYFUNCTION("""COMPUTED_VALUE"""),"MachineRefills_Images/376eecd4.MachinePhoto.124737.jpg")</f>
        <v>MachineRefills_Images/376eecd4.MachinePhoto.124737.jpg</v>
      </c>
      <c r="F131" s="1" t="str">
        <f>IFERROR(__xludf.DUMMYFUNCTION("""COMPUTED_VALUE"""),"Partial")</f>
        <v>Partial</v>
      </c>
      <c r="G131" s="1" t="b">
        <f>IFERROR(__xludf.DUMMYFUNCTION("""COMPUTED_VALUE"""),FALSE)</f>
        <v>0</v>
      </c>
      <c r="H131" s="1"/>
    </row>
    <row r="132">
      <c r="A132" s="1" t="str">
        <f>IFERROR(__xludf.DUMMYFUNCTION("""COMPUTED_VALUE"""),"03c487fb")</f>
        <v>03c487fb</v>
      </c>
      <c r="B132" s="32">
        <f>IFERROR(__xludf.DUMMYFUNCTION("""COMPUTED_VALUE"""),46083.63658564815)</f>
        <v>46083.63659</v>
      </c>
      <c r="C132" s="1" t="str">
        <f>IFERROR(__xludf.DUMMYFUNCTION("""COMPUTED_VALUE"""),"2503000216")</f>
        <v>2503000216</v>
      </c>
      <c r="D132" s="1" t="str">
        <f>IFERROR(__xludf.DUMMYFUNCTION("""COMPUTED_VALUE"""),"zegallai911@gmail.com")</f>
        <v>zegallai911@gmail.com</v>
      </c>
      <c r="E132" s="1" t="str">
        <f>IFERROR(__xludf.DUMMYFUNCTION("""COMPUTED_VALUE"""),"MachineRefills_Images/03c487fb.MachinePhoto.131921.jpg")</f>
        <v>MachineRefills_Images/03c487fb.MachinePhoto.131921.jpg</v>
      </c>
      <c r="F132" s="1" t="str">
        <f>IFERROR(__xludf.DUMMYFUNCTION("""COMPUTED_VALUE"""),"Partial")</f>
        <v>Partial</v>
      </c>
      <c r="G132" s="1" t="b">
        <f>IFERROR(__xludf.DUMMYFUNCTION("""COMPUTED_VALUE"""),FALSE)</f>
        <v>0</v>
      </c>
      <c r="H132" s="1"/>
    </row>
    <row r="133">
      <c r="A133" s="1" t="str">
        <f>IFERROR(__xludf.DUMMYFUNCTION("""COMPUTED_VALUE"""),"0640fcbb")</f>
        <v>0640fcbb</v>
      </c>
      <c r="B133" s="32">
        <f>IFERROR(__xludf.DUMMYFUNCTION("""COMPUTED_VALUE"""),46085.55075231481)</f>
        <v>46085.55075</v>
      </c>
      <c r="C133" s="1" t="str">
        <f>IFERROR(__xludf.DUMMYFUNCTION("""COMPUTED_VALUE"""),"2404120076")</f>
        <v>2404120076</v>
      </c>
      <c r="D133" s="1" t="str">
        <f>IFERROR(__xludf.DUMMYFUNCTION("""COMPUTED_VALUE"""),"zegallai911@gmail.com")</f>
        <v>zegallai911@gmail.com</v>
      </c>
      <c r="E133" s="1" t="str">
        <f>IFERROR(__xludf.DUMMYFUNCTION("""COMPUTED_VALUE"""),"MachineRefills_Images/0640fcbb.MachinePhoto.111336.jpg")</f>
        <v>MachineRefills_Images/0640fcbb.MachinePhoto.111336.jpg</v>
      </c>
      <c r="F133" s="1" t="str">
        <f>IFERROR(__xludf.DUMMYFUNCTION("""COMPUTED_VALUE"""),"Partial")</f>
        <v>Partial</v>
      </c>
      <c r="G133" s="1" t="b">
        <f>IFERROR(__xludf.DUMMYFUNCTION("""COMPUTED_VALUE"""),FALSE)</f>
        <v>0</v>
      </c>
      <c r="H133" s="1"/>
    </row>
    <row r="134">
      <c r="A134" s="1" t="str">
        <f>IFERROR(__xludf.DUMMYFUNCTION("""COMPUTED_VALUE"""),"8a9c2ca5")</f>
        <v>8a9c2ca5</v>
      </c>
      <c r="B134" s="32">
        <f>IFERROR(__xludf.DUMMYFUNCTION("""COMPUTED_VALUE"""),46085.612604166665)</f>
        <v>46085.6126</v>
      </c>
      <c r="C134" s="1" t="str">
        <f>IFERROR(__xludf.DUMMYFUNCTION("""COMPUTED_VALUE"""),"2509000371")</f>
        <v>2509000371</v>
      </c>
      <c r="D134" s="1" t="str">
        <f>IFERROR(__xludf.DUMMYFUNCTION("""COMPUTED_VALUE"""),"zegallai911@gmail.com")</f>
        <v>zegallai911@gmail.com</v>
      </c>
      <c r="E134" s="1" t="str">
        <f>IFERROR(__xludf.DUMMYFUNCTION("""COMPUTED_VALUE"""),"MachineRefills_Images/8a9c2ca5.MachinePhoto.124227.jpg")</f>
        <v>MachineRefills_Images/8a9c2ca5.MachinePhoto.124227.jpg</v>
      </c>
      <c r="F134" s="1" t="str">
        <f>IFERROR(__xludf.DUMMYFUNCTION("""COMPUTED_VALUE"""),"Partial")</f>
        <v>Partial</v>
      </c>
      <c r="G134" s="1" t="b">
        <f>IFERROR(__xludf.DUMMYFUNCTION("""COMPUTED_VALUE"""),TRUE)</f>
        <v>1</v>
      </c>
      <c r="H134" s="1" t="str">
        <f>IFERROR(__xludf.DUMMYFUNCTION("""COMPUTED_VALUE"""),"جني حاصل")</f>
        <v>جني حاصل</v>
      </c>
    </row>
    <row r="135">
      <c r="A135" s="1" t="str">
        <f>IFERROR(__xludf.DUMMYFUNCTION("""COMPUTED_VALUE"""),"1c37b0d6")</f>
        <v>1c37b0d6</v>
      </c>
      <c r="B135" s="32">
        <f>IFERROR(__xludf.DUMMYFUNCTION("""COMPUTED_VALUE"""),46085.643055555556)</f>
        <v>46085.64306</v>
      </c>
      <c r="C135" s="1" t="str">
        <f>IFERROR(__xludf.DUMMYFUNCTION("""COMPUTED_VALUE"""),"2503000216")</f>
        <v>2503000216</v>
      </c>
      <c r="D135" s="1" t="str">
        <f>IFERROR(__xludf.DUMMYFUNCTION("""COMPUTED_VALUE"""),"zegallai911@gmail.com")</f>
        <v>zegallai911@gmail.com</v>
      </c>
      <c r="E135" s="1" t="str">
        <f>IFERROR(__xludf.DUMMYFUNCTION("""COMPUTED_VALUE"""),"MachineRefills_Images/1c37b0d6.MachinePhoto.182532.jpg")</f>
        <v>MachineRefills_Images/1c37b0d6.MachinePhoto.182532.jpg</v>
      </c>
      <c r="F135" s="1" t="str">
        <f>IFERROR(__xludf.DUMMYFUNCTION("""COMPUTED_VALUE"""),"Partial")</f>
        <v>Partial</v>
      </c>
      <c r="G135" s="1" t="b">
        <f>IFERROR(__xludf.DUMMYFUNCTION("""COMPUTED_VALUE"""),FALSE)</f>
        <v>0</v>
      </c>
      <c r="H135" s="1"/>
    </row>
    <row r="136">
      <c r="A136" s="1" t="str">
        <f>IFERROR(__xludf.DUMMYFUNCTION("""COMPUTED_VALUE"""),"c2726271")</f>
        <v>c2726271</v>
      </c>
      <c r="B136" s="32">
        <f>IFERROR(__xludf.DUMMYFUNCTION("""COMPUTED_VALUE"""),46085.982627314814)</f>
        <v>46085.98263</v>
      </c>
      <c r="C136" s="1" t="str">
        <f>IFERROR(__xludf.DUMMYFUNCTION("""COMPUTED_VALUE"""),"2411000046")</f>
        <v>2411000046</v>
      </c>
      <c r="D136" s="1" t="str">
        <f>IFERROR(__xludf.DUMMYFUNCTION("""COMPUTED_VALUE"""),"zegallai911@gmail.com")</f>
        <v>zegallai911@gmail.com</v>
      </c>
      <c r="E136" s="1" t="str">
        <f>IFERROR(__xludf.DUMMYFUNCTION("""COMPUTED_VALUE"""),"MachineRefills_Images/c2726271.MachinePhoto.101838.jpg")</f>
        <v>MachineRefills_Images/c2726271.MachinePhoto.101838.jpg</v>
      </c>
      <c r="F136" s="1" t="str">
        <f>IFERROR(__xludf.DUMMYFUNCTION("""COMPUTED_VALUE"""),"Full")</f>
        <v>Full</v>
      </c>
      <c r="G136" s="1" t="b">
        <f>IFERROR(__xludf.DUMMYFUNCTION("""COMPUTED_VALUE"""),FALSE)</f>
        <v>0</v>
      </c>
      <c r="H136" s="1"/>
    </row>
    <row r="137">
      <c r="A137" s="1" t="str">
        <f>IFERROR(__xludf.DUMMYFUNCTION("""COMPUTED_VALUE"""),"9e8c6d6d")</f>
        <v>9e8c6d6d</v>
      </c>
      <c r="B137" s="32">
        <f>IFERROR(__xludf.DUMMYFUNCTION("""COMPUTED_VALUE"""),46086.75623842593)</f>
        <v>46086.75624</v>
      </c>
      <c r="C137" s="1" t="str">
        <f>IFERROR(__xludf.DUMMYFUNCTION("""COMPUTED_VALUE"""),"2509000371")</f>
        <v>2509000371</v>
      </c>
      <c r="D137" s="1" t="str">
        <f>IFERROR(__xludf.DUMMYFUNCTION("""COMPUTED_VALUE"""),"zegallai911@gmail.com")</f>
        <v>zegallai911@gmail.com</v>
      </c>
      <c r="E137" s="1" t="str">
        <f>IFERROR(__xludf.DUMMYFUNCTION("""COMPUTED_VALUE"""),"MachineRefills_Images/9e8c6d6d.MachinePhoto.160915.jpg")</f>
        <v>MachineRefills_Images/9e8c6d6d.MachinePhoto.160915.jpg</v>
      </c>
      <c r="F137" s="1" t="str">
        <f>IFERROR(__xludf.DUMMYFUNCTION("""COMPUTED_VALUE"""),"Partial")</f>
        <v>Partial</v>
      </c>
      <c r="G137" s="1" t="b">
        <f>IFERROR(__xludf.DUMMYFUNCTION("""COMPUTED_VALUE"""),FALSE)</f>
        <v>0</v>
      </c>
      <c r="H137" s="1"/>
    </row>
    <row r="138">
      <c r="A138" s="1" t="str">
        <f>IFERROR(__xludf.DUMMYFUNCTION("""COMPUTED_VALUE"""),"7ab20280")</f>
        <v>7ab20280</v>
      </c>
      <c r="B138" s="32">
        <f>IFERROR(__xludf.DUMMYFUNCTION("""COMPUTED_VALUE"""),46088.791666666664)</f>
        <v>46088.79167</v>
      </c>
      <c r="C138" s="1" t="str">
        <f>IFERROR(__xludf.DUMMYFUNCTION("""COMPUTED_VALUE"""),"2509000371")</f>
        <v>2509000371</v>
      </c>
      <c r="D138" s="1" t="str">
        <f>IFERROR(__xludf.DUMMYFUNCTION("""COMPUTED_VALUE"""),"zegallai911@gmail.com")</f>
        <v>zegallai911@gmail.com</v>
      </c>
      <c r="E138" s="1" t="str">
        <f>IFERROR(__xludf.DUMMYFUNCTION("""COMPUTED_VALUE"""),"MachineRefills_Images/7ab20280.MachinePhoto.080839.jpg")</f>
        <v>MachineRefills_Images/7ab20280.MachinePhoto.080839.jpg</v>
      </c>
      <c r="F138" s="1" t="str">
        <f>IFERROR(__xludf.DUMMYFUNCTION("""COMPUTED_VALUE"""),"Full")</f>
        <v>Full</v>
      </c>
      <c r="G138" s="1" t="b">
        <f>IFERROR(__xludf.DUMMYFUNCTION("""COMPUTED_VALUE"""),FALSE)</f>
        <v>0</v>
      </c>
      <c r="H138" s="1"/>
    </row>
    <row r="139">
      <c r="A139" s="1" t="str">
        <f>IFERROR(__xludf.DUMMYFUNCTION("""COMPUTED_VALUE"""),"4687c11a")</f>
        <v>4687c11a</v>
      </c>
      <c r="B139" s="32">
        <f>IFERROR(__xludf.DUMMYFUNCTION("""COMPUTED_VALUE"""),46089.42265046296)</f>
        <v>46089.42265</v>
      </c>
      <c r="C139" s="1" t="str">
        <f>IFERROR(__xludf.DUMMYFUNCTION("""COMPUTED_VALUE"""),"2503000216")</f>
        <v>2503000216</v>
      </c>
      <c r="D139" s="1" t="str">
        <f>IFERROR(__xludf.DUMMYFUNCTION("""COMPUTED_VALUE"""),"zegallai911@gmail.com")</f>
        <v>zegallai911@gmail.com</v>
      </c>
      <c r="E139" s="1" t="str">
        <f>IFERROR(__xludf.DUMMYFUNCTION("""COMPUTED_VALUE"""),"MachineRefills_Images/4687c11a.MachinePhoto.080856.jpg")</f>
        <v>MachineRefills_Images/4687c11a.MachinePhoto.080856.jpg</v>
      </c>
      <c r="F139" s="1" t="str">
        <f>IFERROR(__xludf.DUMMYFUNCTION("""COMPUTED_VALUE"""),"Partial")</f>
        <v>Partial</v>
      </c>
      <c r="G139" s="1" t="b">
        <f>IFERROR(__xludf.DUMMYFUNCTION("""COMPUTED_VALUE"""),TRUE)</f>
        <v>1</v>
      </c>
      <c r="H139" s="1" t="str">
        <f>IFERROR(__xludf.DUMMYFUNCTION("""COMPUTED_VALUE"""),"جني مطبق")</f>
        <v>جني مطبق</v>
      </c>
    </row>
    <row r="140">
      <c r="A140" s="1" t="str">
        <f>IFERROR(__xludf.DUMMYFUNCTION("""COMPUTED_VALUE"""),"a20dfc3b")</f>
        <v>a20dfc3b</v>
      </c>
      <c r="B140" s="32">
        <f>IFERROR(__xludf.DUMMYFUNCTION("""COMPUTED_VALUE"""),46089.715891203705)</f>
        <v>46089.71589</v>
      </c>
      <c r="C140" s="1" t="str">
        <f>IFERROR(__xludf.DUMMYFUNCTION("""COMPUTED_VALUE"""),"2411000046")</f>
        <v>2411000046</v>
      </c>
      <c r="D140" s="1" t="str">
        <f>IFERROR(__xludf.DUMMYFUNCTION("""COMPUTED_VALUE"""),"zegallai911@gmail.com")</f>
        <v>zegallai911@gmail.com</v>
      </c>
      <c r="E140" s="1" t="str">
        <f>IFERROR(__xludf.DUMMYFUNCTION("""COMPUTED_VALUE"""),"MachineRefills_Images/a20dfc3b.MachinePhoto.151119.jpg")</f>
        <v>MachineRefills_Images/a20dfc3b.MachinePhoto.151119.jpg</v>
      </c>
      <c r="F140" s="1" t="str">
        <f>IFERROR(__xludf.DUMMYFUNCTION("""COMPUTED_VALUE"""),"Partial")</f>
        <v>Partial</v>
      </c>
      <c r="G140" s="1" t="b">
        <f>IFERROR(__xludf.DUMMYFUNCTION("""COMPUTED_VALUE"""),TRUE)</f>
        <v>1</v>
      </c>
      <c r="H140" s="1" t="str">
        <f>IFERROR(__xludf.DUMMYFUNCTION("""COMPUTED_VALUE"""),"تشينح معاش يخدم")</f>
        <v>تشينح معاش يخدم</v>
      </c>
    </row>
    <row r="141">
      <c r="A141" s="1" t="str">
        <f>IFERROR(__xludf.DUMMYFUNCTION("""COMPUTED_VALUE"""),"e95e7d01")</f>
        <v>e95e7d01</v>
      </c>
      <c r="B141" s="32">
        <f>IFERROR(__xludf.DUMMYFUNCTION("""COMPUTED_VALUE"""),46089.91347222222)</f>
        <v>46089.91347</v>
      </c>
      <c r="C141" s="1" t="str">
        <f>IFERROR(__xludf.DUMMYFUNCTION("""COMPUTED_VALUE"""),"2404120076")</f>
        <v>2404120076</v>
      </c>
      <c r="D141" s="1" t="str">
        <f>IFERROR(__xludf.DUMMYFUNCTION("""COMPUTED_VALUE"""),"zegallai911@gmail.com")</f>
        <v>zegallai911@gmail.com</v>
      </c>
      <c r="E141" s="1" t="str">
        <f>IFERROR(__xludf.DUMMYFUNCTION("""COMPUTED_VALUE"""),"MachineRefills_Images/e95e7d01.MachinePhoto.195617.jpg")</f>
        <v>MachineRefills_Images/e95e7d01.MachinePhoto.195617.jpg</v>
      </c>
      <c r="F141" s="1" t="str">
        <f>IFERROR(__xludf.DUMMYFUNCTION("""COMPUTED_VALUE"""),"Partial")</f>
        <v>Partial</v>
      </c>
      <c r="G141" s="1" t="b">
        <f>IFERROR(__xludf.DUMMYFUNCTION("""COMPUTED_VALUE"""),TRUE)</f>
        <v>1</v>
      </c>
      <c r="H141" s="1" t="str">
        <f>IFERROR(__xludf.DUMMYFUNCTION("""COMPUTED_VALUE"""),"تشينج مستاكي")</f>
        <v>تشينج مستاكي</v>
      </c>
    </row>
    <row r="142">
      <c r="A142" s="1" t="str">
        <f>IFERROR(__xludf.DUMMYFUNCTION("""COMPUTED_VALUE"""),"33c9fe59")</f>
        <v>33c9fe59</v>
      </c>
      <c r="B142" s="32">
        <f>IFERROR(__xludf.DUMMYFUNCTION("""COMPUTED_VALUE"""),46091.58258101852)</f>
        <v>46091.58258</v>
      </c>
      <c r="C142" s="1" t="str">
        <f>IFERROR(__xludf.DUMMYFUNCTION("""COMPUTED_VALUE"""),"2404120076")</f>
        <v>2404120076</v>
      </c>
      <c r="D142" s="1" t="str">
        <f>IFERROR(__xludf.DUMMYFUNCTION("""COMPUTED_VALUE"""),"zegallai911@gmail.com")</f>
        <v>zegallai911@gmail.com</v>
      </c>
      <c r="E142" s="1" t="str">
        <f>IFERROR(__xludf.DUMMYFUNCTION("""COMPUTED_VALUE"""),"MachineRefills_Images/33c9fe59.MachinePhoto.115917.jpg")</f>
        <v>MachineRefills_Images/33c9fe59.MachinePhoto.115917.jpg</v>
      </c>
      <c r="F142" s="1" t="str">
        <f>IFERROR(__xludf.DUMMYFUNCTION("""COMPUTED_VALUE"""),"Partial")</f>
        <v>Partial</v>
      </c>
      <c r="G142" s="1" t="b">
        <f>IFERROR(__xludf.DUMMYFUNCTION("""COMPUTED_VALUE"""),FALSE)</f>
        <v>0</v>
      </c>
      <c r="H142" s="1"/>
    </row>
    <row r="143">
      <c r="A143" s="1" t="str">
        <f>IFERROR(__xludf.DUMMYFUNCTION("""COMPUTED_VALUE"""),"f07fcc0b")</f>
        <v>f07fcc0b</v>
      </c>
      <c r="B143" s="32">
        <f>IFERROR(__xludf.DUMMYFUNCTION("""COMPUTED_VALUE"""),46091.661157407405)</f>
        <v>46091.66116</v>
      </c>
      <c r="C143" s="1" t="str">
        <f>IFERROR(__xludf.DUMMYFUNCTION("""COMPUTED_VALUE"""),"2509000371")</f>
        <v>2509000371</v>
      </c>
      <c r="D143" s="1" t="str">
        <f>IFERROR(__xludf.DUMMYFUNCTION("""COMPUTED_VALUE"""),"zegallai911@gmail.com")</f>
        <v>zegallai911@gmail.com</v>
      </c>
      <c r="E143" s="1" t="str">
        <f>IFERROR(__xludf.DUMMYFUNCTION("""COMPUTED_VALUE"""),"MachineRefills_Images/f07fcc0b.MachinePhoto.135221.jpg")</f>
        <v>MachineRefills_Images/f07fcc0b.MachinePhoto.135221.jpg</v>
      </c>
      <c r="F143" s="1" t="str">
        <f>IFERROR(__xludf.DUMMYFUNCTION("""COMPUTED_VALUE"""),"Full")</f>
        <v>Full</v>
      </c>
      <c r="G143" s="1" t="b">
        <f>IFERROR(__xludf.DUMMYFUNCTION("""COMPUTED_VALUE"""),FALSE)</f>
        <v>0</v>
      </c>
      <c r="H143" s="1"/>
    </row>
    <row r="144">
      <c r="A144" s="1" t="str">
        <f>IFERROR(__xludf.DUMMYFUNCTION("""COMPUTED_VALUE"""),"b4edd010")</f>
        <v>b4edd010</v>
      </c>
      <c r="B144" s="32">
        <f>IFERROR(__xludf.DUMMYFUNCTION("""COMPUTED_VALUE"""),46091.785358796296)</f>
        <v>46091.78536</v>
      </c>
      <c r="C144" s="1" t="str">
        <f>IFERROR(__xludf.DUMMYFUNCTION("""COMPUTED_VALUE"""),"2509000369")</f>
        <v>2509000369</v>
      </c>
      <c r="D144" s="1" t="str">
        <f>IFERROR(__xludf.DUMMYFUNCTION("""COMPUTED_VALUE"""),"zegallai911@gmail.com")</f>
        <v>zegallai911@gmail.com</v>
      </c>
      <c r="E144" s="1" t="str">
        <f>IFERROR(__xludf.DUMMYFUNCTION("""COMPUTED_VALUE"""),"MachineRefills_Images/b4edd010.MachinePhoto.165112.jpg")</f>
        <v>MachineRefills_Images/b4edd010.MachinePhoto.165112.jpg</v>
      </c>
      <c r="F144" s="1" t="str">
        <f>IFERROR(__xludf.DUMMYFUNCTION("""COMPUTED_VALUE"""),"Partial")</f>
        <v>Partial</v>
      </c>
      <c r="G144" s="1" t="b">
        <f>IFERROR(__xludf.DUMMYFUNCTION("""COMPUTED_VALUE"""),FALSE)</f>
        <v>0</v>
      </c>
      <c r="H144" s="1"/>
    </row>
    <row r="145">
      <c r="A145" s="1" t="str">
        <f>IFERROR(__xludf.DUMMYFUNCTION("""COMPUTED_VALUE"""),"d8dbbef9")</f>
        <v>d8dbbef9</v>
      </c>
      <c r="B145" s="32">
        <f>IFERROR(__xludf.DUMMYFUNCTION("""COMPUTED_VALUE"""),46093.15526620371)</f>
        <v>46093.15527</v>
      </c>
      <c r="C145" s="1" t="str">
        <f>IFERROR(__xludf.DUMMYFUNCTION("""COMPUTED_VALUE"""),"2411000046")</f>
        <v>2411000046</v>
      </c>
      <c r="D145" s="1" t="str">
        <f>IFERROR(__xludf.DUMMYFUNCTION("""COMPUTED_VALUE"""),"zegallai911@gmail.com")</f>
        <v>zegallai911@gmail.com</v>
      </c>
      <c r="E145" s="1" t="str">
        <f>IFERROR(__xludf.DUMMYFUNCTION("""COMPUTED_VALUE"""),"MachineRefills_Images/d8dbbef9.MachinePhoto.014355.jpg")</f>
        <v>MachineRefills_Images/d8dbbef9.MachinePhoto.014355.jpg</v>
      </c>
      <c r="F145" s="1" t="str">
        <f>IFERROR(__xludf.DUMMYFUNCTION("""COMPUTED_VALUE"""),"Partial")</f>
        <v>Partial</v>
      </c>
      <c r="G145" s="1" t="b">
        <f>IFERROR(__xludf.DUMMYFUNCTION("""COMPUTED_VALUE"""),FALSE)</f>
        <v>0</v>
      </c>
      <c r="H145" s="1"/>
    </row>
    <row r="146">
      <c r="A146" s="1" t="str">
        <f>IFERROR(__xludf.DUMMYFUNCTION("""COMPUTED_VALUE"""),"645f2c7b")</f>
        <v>645f2c7b</v>
      </c>
      <c r="B146" s="32">
        <f>IFERROR(__xludf.DUMMYFUNCTION("""COMPUTED_VALUE"""),46093.63170138889)</f>
        <v>46093.6317</v>
      </c>
      <c r="C146" s="1" t="str">
        <f>IFERROR(__xludf.DUMMYFUNCTION("""COMPUTED_VALUE"""),"2509000369")</f>
        <v>2509000369</v>
      </c>
      <c r="D146" s="1" t="str">
        <f>IFERROR(__xludf.DUMMYFUNCTION("""COMPUTED_VALUE"""),"zegallai911@gmail.com")</f>
        <v>zegallai911@gmail.com</v>
      </c>
      <c r="E146" s="1" t="str">
        <f>IFERROR(__xludf.DUMMYFUNCTION("""COMPUTED_VALUE"""),"MachineRefills_Images/645f2c7b.MachinePhoto.130953.jpg")</f>
        <v>MachineRefills_Images/645f2c7b.MachinePhoto.130953.jpg</v>
      </c>
      <c r="F146" s="1" t="str">
        <f>IFERROR(__xludf.DUMMYFUNCTION("""COMPUTED_VALUE"""),"Partial")</f>
        <v>Partial</v>
      </c>
      <c r="G146" s="1" t="b">
        <f>IFERROR(__xludf.DUMMYFUNCTION("""COMPUTED_VALUE"""),FALSE)</f>
        <v>0</v>
      </c>
      <c r="H146" s="1"/>
    </row>
    <row r="147">
      <c r="A147" s="1" t="str">
        <f>IFERROR(__xludf.DUMMYFUNCTION("""COMPUTED_VALUE"""),"2edac832")</f>
        <v>2edac832</v>
      </c>
      <c r="B147" s="32">
        <f>IFERROR(__xludf.DUMMYFUNCTION("""COMPUTED_VALUE"""),46093.67204861111)</f>
        <v>46093.67205</v>
      </c>
      <c r="C147" s="1" t="str">
        <f>IFERROR(__xludf.DUMMYFUNCTION("""COMPUTED_VALUE"""),"2509000371")</f>
        <v>2509000371</v>
      </c>
      <c r="D147" s="1" t="str">
        <f>IFERROR(__xludf.DUMMYFUNCTION("""COMPUTED_VALUE"""),"zegallai911@gmail.com")</f>
        <v>zegallai911@gmail.com</v>
      </c>
      <c r="E147" s="1" t="str">
        <f>IFERROR(__xludf.DUMMYFUNCTION("""COMPUTED_VALUE"""),"MachineRefills_Images/2edac832.MachinePhoto.140805.jpg")</f>
        <v>MachineRefills_Images/2edac832.MachinePhoto.140805.jpg</v>
      </c>
      <c r="F147" s="1" t="str">
        <f>IFERROR(__xludf.DUMMYFUNCTION("""COMPUTED_VALUE"""),"Full")</f>
        <v>Full</v>
      </c>
      <c r="G147" s="1" t="b">
        <f>IFERROR(__xludf.DUMMYFUNCTION("""COMPUTED_VALUE"""),FALSE)</f>
        <v>0</v>
      </c>
      <c r="H147" s="1"/>
    </row>
    <row r="148">
      <c r="A148" s="1" t="str">
        <f>IFERROR(__xludf.DUMMYFUNCTION("""COMPUTED_VALUE"""),"70505cdc")</f>
        <v>70505cdc</v>
      </c>
      <c r="B148" s="32">
        <f>IFERROR(__xludf.DUMMYFUNCTION("""COMPUTED_VALUE"""),46093.74070601852)</f>
        <v>46093.74071</v>
      </c>
      <c r="C148" s="1" t="str">
        <f>IFERROR(__xludf.DUMMYFUNCTION("""COMPUTED_VALUE"""),"2404120076")</f>
        <v>2404120076</v>
      </c>
      <c r="D148" s="1" t="str">
        <f>IFERROR(__xludf.DUMMYFUNCTION("""COMPUTED_VALUE"""),"zegallai911@gmail.com")</f>
        <v>zegallai911@gmail.com</v>
      </c>
      <c r="E148" s="1" t="str">
        <f>IFERROR(__xludf.DUMMYFUNCTION("""COMPUTED_VALUE"""),"MachineRefills_Images/70505cdc.MachinePhoto.154658.jpg")</f>
        <v>MachineRefills_Images/70505cdc.MachinePhoto.154658.jpg</v>
      </c>
      <c r="F148" s="1" t="str">
        <f>IFERROR(__xludf.DUMMYFUNCTION("""COMPUTED_VALUE"""),"Partial")</f>
        <v>Partial</v>
      </c>
      <c r="G148" s="1" t="b">
        <f>IFERROR(__xludf.DUMMYFUNCTION("""COMPUTED_VALUE"""),FALSE)</f>
        <v>0</v>
      </c>
      <c r="H148" s="1"/>
    </row>
    <row r="149">
      <c r="A149" s="1" t="str">
        <f>IFERROR(__xludf.DUMMYFUNCTION("""COMPUTED_VALUE"""),"f196b8b6")</f>
        <v>f196b8b6</v>
      </c>
      <c r="B149" s="32">
        <f>IFERROR(__xludf.DUMMYFUNCTION("""COMPUTED_VALUE"""),46094.66982638889)</f>
        <v>46094.66983</v>
      </c>
      <c r="C149" s="1" t="str">
        <f>IFERROR(__xludf.DUMMYFUNCTION("""COMPUTED_VALUE"""),"2404120076")</f>
        <v>2404120076</v>
      </c>
      <c r="D149" s="1" t="str">
        <f>IFERROR(__xludf.DUMMYFUNCTION("""COMPUTED_VALUE"""),"zegallai911@gmail.com")</f>
        <v>zegallai911@gmail.com</v>
      </c>
      <c r="E149" s="1" t="str">
        <f>IFERROR(__xludf.DUMMYFUNCTION("""COMPUTED_VALUE"""),"MachineRefills_Images/f196b8b6.MachinePhoto.140453.jpg")</f>
        <v>MachineRefills_Images/f196b8b6.MachinePhoto.140453.jpg</v>
      </c>
      <c r="F149" s="1" t="str">
        <f>IFERROR(__xludf.DUMMYFUNCTION("""COMPUTED_VALUE"""),"Partial")</f>
        <v>Partial</v>
      </c>
      <c r="G149" s="1" t="b">
        <f>IFERROR(__xludf.DUMMYFUNCTION("""COMPUTED_VALUE"""),FALSE)</f>
        <v>0</v>
      </c>
      <c r="H149" s="1"/>
    </row>
    <row r="150">
      <c r="A150" s="1" t="str">
        <f>IFERROR(__xludf.DUMMYFUNCTION("""COMPUTED_VALUE"""),"c893b513")</f>
        <v>c893b513</v>
      </c>
      <c r="B150" s="32">
        <f>IFERROR(__xludf.DUMMYFUNCTION("""COMPUTED_VALUE"""),46094.730717592596)</f>
        <v>46094.73072</v>
      </c>
      <c r="C150" s="1" t="str">
        <f>IFERROR(__xludf.DUMMYFUNCTION("""COMPUTED_VALUE"""),"2509000371")</f>
        <v>2509000371</v>
      </c>
      <c r="D150" s="1" t="str">
        <f>IFERROR(__xludf.DUMMYFUNCTION("""COMPUTED_VALUE"""),"zegallai911@gmail.com")</f>
        <v>zegallai911@gmail.com</v>
      </c>
      <c r="E150" s="1" t="str">
        <f>IFERROR(__xludf.DUMMYFUNCTION("""COMPUTED_VALUE"""),"MachineRefills_Images/c893b513.MachinePhoto.153227.jpg")</f>
        <v>MachineRefills_Images/c893b513.MachinePhoto.153227.jpg</v>
      </c>
      <c r="F150" s="1" t="str">
        <f>IFERROR(__xludf.DUMMYFUNCTION("""COMPUTED_VALUE"""),"Partial")</f>
        <v>Partial</v>
      </c>
      <c r="G150" s="1" t="b">
        <f>IFERROR(__xludf.DUMMYFUNCTION("""COMPUTED_VALUE"""),FALSE)</f>
        <v>0</v>
      </c>
      <c r="H150" s="1"/>
    </row>
    <row r="151">
      <c r="A151" s="1" t="str">
        <f>IFERROR(__xludf.DUMMYFUNCTION("""COMPUTED_VALUE"""),"60714928")</f>
        <v>60714928</v>
      </c>
      <c r="B151" s="32">
        <f>IFERROR(__xludf.DUMMYFUNCTION("""COMPUTED_VALUE"""),46095.65252314815)</f>
        <v>46095.65252</v>
      </c>
      <c r="C151" s="1" t="str">
        <f>IFERROR(__xludf.DUMMYFUNCTION("""COMPUTED_VALUE"""),"2404120076")</f>
        <v>2404120076</v>
      </c>
      <c r="D151" s="1" t="str">
        <f>IFERROR(__xludf.DUMMYFUNCTION("""COMPUTED_VALUE"""),"zegallai911@gmail.com")</f>
        <v>zegallai911@gmail.com</v>
      </c>
      <c r="E151" s="1" t="str">
        <f>IFERROR(__xludf.DUMMYFUNCTION("""COMPUTED_VALUE"""),"MachineRefills_Images/60714928.MachinePhoto.133955.jpg")</f>
        <v>MachineRefills_Images/60714928.MachinePhoto.133955.jpg</v>
      </c>
      <c r="F151" s="1" t="str">
        <f>IFERROR(__xludf.DUMMYFUNCTION("""COMPUTED_VALUE"""),"Partial")</f>
        <v>Partial</v>
      </c>
      <c r="G151" s="1" t="b">
        <f>IFERROR(__xludf.DUMMYFUNCTION("""COMPUTED_VALUE"""),FALSE)</f>
        <v>0</v>
      </c>
      <c r="H151" s="1"/>
    </row>
    <row r="152">
      <c r="A152" s="1" t="str">
        <f>IFERROR(__xludf.DUMMYFUNCTION("""COMPUTED_VALUE"""),"e1c0eb08")</f>
        <v>e1c0eb08</v>
      </c>
      <c r="B152" s="32">
        <f>IFERROR(__xludf.DUMMYFUNCTION("""COMPUTED_VALUE"""),46095.71057870371)</f>
        <v>46095.71058</v>
      </c>
      <c r="C152" s="1" t="str">
        <f>IFERROR(__xludf.DUMMYFUNCTION("""COMPUTED_VALUE"""),"2509000371")</f>
        <v>2509000371</v>
      </c>
      <c r="D152" s="1" t="str">
        <f>IFERROR(__xludf.DUMMYFUNCTION("""COMPUTED_VALUE"""),"zegallai911@gmail.com")</f>
        <v>zegallai911@gmail.com</v>
      </c>
      <c r="E152" s="1" t="str">
        <f>IFERROR(__xludf.DUMMYFUNCTION("""COMPUTED_VALUE"""),"MachineRefills_Images/e1c0eb08.MachinePhoto.150332.jpg")</f>
        <v>MachineRefills_Images/e1c0eb08.MachinePhoto.150332.jpg</v>
      </c>
      <c r="F152" s="1" t="str">
        <f>IFERROR(__xludf.DUMMYFUNCTION("""COMPUTED_VALUE"""),"Partial")</f>
        <v>Partial</v>
      </c>
      <c r="G152" s="1" t="b">
        <f>IFERROR(__xludf.DUMMYFUNCTION("""COMPUTED_VALUE"""),FALSE)</f>
        <v>0</v>
      </c>
      <c r="H152" s="1"/>
    </row>
    <row r="153">
      <c r="A153" s="1" t="str">
        <f>IFERROR(__xludf.DUMMYFUNCTION("""COMPUTED_VALUE"""),"3bad72f5")</f>
        <v>3bad72f5</v>
      </c>
      <c r="B153" s="32">
        <f>IFERROR(__xludf.DUMMYFUNCTION("""COMPUTED_VALUE"""),46097.09165509259)</f>
        <v>46097.09166</v>
      </c>
      <c r="C153" s="1" t="str">
        <f>IFERROR(__xludf.DUMMYFUNCTION("""COMPUTED_VALUE"""),"2509000369")</f>
        <v>2509000369</v>
      </c>
      <c r="D153" s="1" t="str">
        <f>IFERROR(__xludf.DUMMYFUNCTION("""COMPUTED_VALUE"""),"zegallai911@gmail.com")</f>
        <v>zegallai911@gmail.com</v>
      </c>
      <c r="E153" s="1" t="str">
        <f>IFERROR(__xludf.DUMMYFUNCTION("""COMPUTED_VALUE"""),"MachineRefills_Images/3bad72f5.MachinePhoto.001218.jpg")</f>
        <v>MachineRefills_Images/3bad72f5.MachinePhoto.001218.jpg</v>
      </c>
      <c r="F153" s="1" t="str">
        <f>IFERROR(__xludf.DUMMYFUNCTION("""COMPUTED_VALUE"""),"Partial")</f>
        <v>Partial</v>
      </c>
      <c r="G153" s="1" t="b">
        <f>IFERROR(__xludf.DUMMYFUNCTION("""COMPUTED_VALUE"""),FALSE)</f>
        <v>0</v>
      </c>
      <c r="H153" s="1"/>
    </row>
    <row r="154">
      <c r="A154" s="1" t="str">
        <f>IFERROR(__xludf.DUMMYFUNCTION("""COMPUTED_VALUE"""),"f4f63cd9")</f>
        <v>f4f63cd9</v>
      </c>
      <c r="B154" s="32">
        <f>IFERROR(__xludf.DUMMYFUNCTION("""COMPUTED_VALUE"""),46097.768159722225)</f>
        <v>46097.76816</v>
      </c>
      <c r="C154" s="1" t="str">
        <f>IFERROR(__xludf.DUMMYFUNCTION("""COMPUTED_VALUE"""),"2509000371")</f>
        <v>2509000371</v>
      </c>
      <c r="D154" s="1" t="str">
        <f>IFERROR(__xludf.DUMMYFUNCTION("""COMPUTED_VALUE"""),"zegallai911@gmail.com")</f>
        <v>zegallai911@gmail.com</v>
      </c>
      <c r="E154" s="1" t="str">
        <f>IFERROR(__xludf.DUMMYFUNCTION("""COMPUTED_VALUE"""),"MachineRefills_Images/f4f63cd9.MachinePhoto.162626.jpg")</f>
        <v>MachineRefills_Images/f4f63cd9.MachinePhoto.162626.jpg</v>
      </c>
      <c r="F154" s="1" t="str">
        <f>IFERROR(__xludf.DUMMYFUNCTION("""COMPUTED_VALUE"""),"Partial")</f>
        <v>Partial</v>
      </c>
      <c r="G154" s="1" t="b">
        <f>IFERROR(__xludf.DUMMYFUNCTION("""COMPUTED_VALUE"""),FALSE)</f>
        <v>0</v>
      </c>
      <c r="H154" s="1"/>
    </row>
    <row r="155">
      <c r="A155" s="1" t="str">
        <f>IFERROR(__xludf.DUMMYFUNCTION("""COMPUTED_VALUE"""),"34b7eee5")</f>
        <v>34b7eee5</v>
      </c>
      <c r="B155" s="32">
        <f>IFERROR(__xludf.DUMMYFUNCTION("""COMPUTED_VALUE"""),46098.15642361111)</f>
        <v>46098.15642</v>
      </c>
      <c r="C155" s="1" t="str">
        <f>IFERROR(__xludf.DUMMYFUNCTION("""COMPUTED_VALUE"""),"2411000046")</f>
        <v>2411000046</v>
      </c>
      <c r="D155" s="1" t="str">
        <f>IFERROR(__xludf.DUMMYFUNCTION("""COMPUTED_VALUE"""),"zegallai911@gmail.com")</f>
        <v>zegallai911@gmail.com</v>
      </c>
      <c r="E155" s="1" t="str">
        <f>IFERROR(__xludf.DUMMYFUNCTION("""COMPUTED_VALUE"""),"MachineRefills_Images/34b7eee5.MachinePhoto.014537.jpg")</f>
        <v>MachineRefills_Images/34b7eee5.MachinePhoto.014537.jpg</v>
      </c>
      <c r="F155" s="1" t="str">
        <f>IFERROR(__xludf.DUMMYFUNCTION("""COMPUTED_VALUE"""),"Partial")</f>
        <v>Partial</v>
      </c>
      <c r="G155" s="1" t="b">
        <f>IFERROR(__xludf.DUMMYFUNCTION("""COMPUTED_VALUE"""),FALSE)</f>
        <v>0</v>
      </c>
      <c r="H155" s="1"/>
    </row>
    <row r="156">
      <c r="A156" s="1" t="str">
        <f>IFERROR(__xludf.DUMMYFUNCTION("""COMPUTED_VALUE"""),"3e752b01")</f>
        <v>3e752b01</v>
      </c>
      <c r="B156" s="32">
        <f>IFERROR(__xludf.DUMMYFUNCTION("""COMPUTED_VALUE"""),46099.73684027778)</f>
        <v>46099.73684</v>
      </c>
      <c r="C156" s="1" t="str">
        <f>IFERROR(__xludf.DUMMYFUNCTION("""COMPUTED_VALUE"""),"2509000371")</f>
        <v>2509000371</v>
      </c>
      <c r="D156" s="1" t="str">
        <f>IFERROR(__xludf.DUMMYFUNCTION("""COMPUTED_VALUE"""),"zegallai911@gmail.com")</f>
        <v>zegallai911@gmail.com</v>
      </c>
      <c r="E156" s="1" t="str">
        <f>IFERROR(__xludf.DUMMYFUNCTION("""COMPUTED_VALUE"""),"MachineRefills_Images/3e752b01.MachinePhoto.154118.jpg")</f>
        <v>MachineRefills_Images/3e752b01.MachinePhoto.154118.jpg</v>
      </c>
      <c r="F156" s="1" t="str">
        <f>IFERROR(__xludf.DUMMYFUNCTION("""COMPUTED_VALUE"""),"Partial")</f>
        <v>Partial</v>
      </c>
      <c r="G156" s="1" t="b">
        <f>IFERROR(__xludf.DUMMYFUNCTION("""COMPUTED_VALUE"""),FALSE)</f>
        <v>0</v>
      </c>
      <c r="H156" s="1"/>
    </row>
    <row r="157">
      <c r="A157" s="1" t="str">
        <f>IFERROR(__xludf.DUMMYFUNCTION("""COMPUTED_VALUE"""),"8cbec596")</f>
        <v>8cbec596</v>
      </c>
      <c r="B157" s="32">
        <f>IFERROR(__xludf.DUMMYFUNCTION("""COMPUTED_VALUE"""),46101.03685185185)</f>
        <v>46101.03685</v>
      </c>
      <c r="C157" s="1" t="str">
        <f>IFERROR(__xludf.DUMMYFUNCTION("""COMPUTED_VALUE"""),"2509000371")</f>
        <v>2509000371</v>
      </c>
      <c r="D157" s="1" t="str">
        <f>IFERROR(__xludf.DUMMYFUNCTION("""COMPUTED_VALUE"""),"zegallai911@gmail.com")</f>
        <v>zegallai911@gmail.com</v>
      </c>
      <c r="E157" s="1" t="str">
        <f>IFERROR(__xludf.DUMMYFUNCTION("""COMPUTED_VALUE"""),"MachineRefills_Images/8cbec596.MachinePhoto.225332.jpg")</f>
        <v>MachineRefills_Images/8cbec596.MachinePhoto.225332.jpg</v>
      </c>
      <c r="F157" s="1" t="str">
        <f>IFERROR(__xludf.DUMMYFUNCTION("""COMPUTED_VALUE"""),"Partial")</f>
        <v>Partial</v>
      </c>
      <c r="G157" s="1" t="b">
        <f>IFERROR(__xludf.DUMMYFUNCTION("""COMPUTED_VALUE"""),FALSE)</f>
        <v>0</v>
      </c>
      <c r="H157" s="1"/>
    </row>
    <row r="158">
      <c r="A158" s="1" t="str">
        <f>IFERROR(__xludf.DUMMYFUNCTION("""COMPUTED_VALUE"""),"ef0a56c4")</f>
        <v>ef0a56c4</v>
      </c>
      <c r="B158" s="32">
        <f>IFERROR(__xludf.DUMMYFUNCTION("""COMPUTED_VALUE"""),46101.037141203706)</f>
        <v>46101.03714</v>
      </c>
      <c r="C158" s="1" t="str">
        <f>IFERROR(__xludf.DUMMYFUNCTION("""COMPUTED_VALUE"""),"2503000216")</f>
        <v>2503000216</v>
      </c>
      <c r="D158" s="1" t="str">
        <f>IFERROR(__xludf.DUMMYFUNCTION("""COMPUTED_VALUE"""),"zegallai911@gmail.com")</f>
        <v>zegallai911@gmail.com</v>
      </c>
      <c r="E158" s="1" t="str">
        <f>IFERROR(__xludf.DUMMYFUNCTION("""COMPUTED_VALUE"""),"MachineRefills_Images/ef0a56c4.MachinePhoto.225347.jpg")</f>
        <v>MachineRefills_Images/ef0a56c4.MachinePhoto.225347.jpg</v>
      </c>
      <c r="F158" s="1" t="str">
        <f>IFERROR(__xludf.DUMMYFUNCTION("""COMPUTED_VALUE"""),"Partial")</f>
        <v>Partial</v>
      </c>
      <c r="G158" s="1" t="b">
        <f>IFERROR(__xludf.DUMMYFUNCTION("""COMPUTED_VALUE"""),FALSE)</f>
        <v>0</v>
      </c>
      <c r="H158" s="1"/>
    </row>
    <row r="159">
      <c r="A159" s="1" t="str">
        <f>IFERROR(__xludf.DUMMYFUNCTION("""COMPUTED_VALUE"""),"7aa5a221")</f>
        <v>7aa5a221</v>
      </c>
      <c r="B159" s="32">
        <f>IFERROR(__xludf.DUMMYFUNCTION("""COMPUTED_VALUE"""),46101.062731481485)</f>
        <v>46101.06273</v>
      </c>
      <c r="C159" s="1" t="str">
        <f>IFERROR(__xludf.DUMMYFUNCTION("""COMPUTED_VALUE"""),"2509000369")</f>
        <v>2509000369</v>
      </c>
      <c r="D159" s="1" t="str">
        <f>IFERROR(__xludf.DUMMYFUNCTION("""COMPUTED_VALUE"""),"zegallai911@gmail.com")</f>
        <v>zegallai911@gmail.com</v>
      </c>
      <c r="E159" s="1" t="str">
        <f>IFERROR(__xludf.DUMMYFUNCTION("""COMPUTED_VALUE"""),"MachineRefills_Images/7aa5a221.MachinePhoto.233037.jpg")</f>
        <v>MachineRefills_Images/7aa5a221.MachinePhoto.233037.jpg</v>
      </c>
      <c r="F159" s="1" t="str">
        <f>IFERROR(__xludf.DUMMYFUNCTION("""COMPUTED_VALUE"""),"Partial")</f>
        <v>Partial</v>
      </c>
      <c r="G159" s="1" t="b">
        <f>IFERROR(__xludf.DUMMYFUNCTION("""COMPUTED_VALUE"""),FALSE)</f>
        <v>0</v>
      </c>
      <c r="H159" s="1"/>
    </row>
    <row r="160">
      <c r="A160" s="1" t="str">
        <f>IFERROR(__xludf.DUMMYFUNCTION("""COMPUTED_VALUE"""),"e3e2c79a")</f>
        <v>e3e2c79a</v>
      </c>
      <c r="B160" s="32">
        <f>IFERROR(__xludf.DUMMYFUNCTION("""COMPUTED_VALUE"""),46101.69118055556)</f>
        <v>46101.69118</v>
      </c>
      <c r="C160" s="1" t="str">
        <f>IFERROR(__xludf.DUMMYFUNCTION("""COMPUTED_VALUE"""),"2404120076")</f>
        <v>2404120076</v>
      </c>
      <c r="D160" s="1" t="str">
        <f>IFERROR(__xludf.DUMMYFUNCTION("""COMPUTED_VALUE"""),"anasgherfal@gmail.com")</f>
        <v>anasgherfal@gmail.com</v>
      </c>
      <c r="E160" s="1" t="str">
        <f>IFERROR(__xludf.DUMMYFUNCTION("""COMPUTED_VALUE"""),"MachineRefills_Images/e3e2c79a.MachinePhoto.143533.jpg")</f>
        <v>MachineRefills_Images/e3e2c79a.MachinePhoto.143533.jpg</v>
      </c>
      <c r="F160" s="1" t="str">
        <f>IFERROR(__xludf.DUMMYFUNCTION("""COMPUTED_VALUE"""),"Full")</f>
        <v>Full</v>
      </c>
      <c r="G160" s="1" t="b">
        <f>IFERROR(__xludf.DUMMYFUNCTION("""COMPUTED_VALUE"""),FALSE)</f>
        <v>0</v>
      </c>
      <c r="H160" s="1"/>
    </row>
    <row r="161">
      <c r="A161" s="1" t="str">
        <f>IFERROR(__xludf.DUMMYFUNCTION("""COMPUTED_VALUE"""),"6f691384")</f>
        <v>6f691384</v>
      </c>
      <c r="B161" s="32">
        <f>IFERROR(__xludf.DUMMYFUNCTION("""COMPUTED_VALUE"""),46102.58813657407)</f>
        <v>46102.58814</v>
      </c>
      <c r="C161" s="1" t="str">
        <f>IFERROR(__xludf.DUMMYFUNCTION("""COMPUTED_VALUE"""),"2509000371")</f>
        <v>2509000371</v>
      </c>
      <c r="D161" s="1" t="str">
        <f>IFERROR(__xludf.DUMMYFUNCTION("""COMPUTED_VALUE"""),"zegallai911@gmail.com")</f>
        <v>zegallai911@gmail.com</v>
      </c>
      <c r="E161" s="1" t="str">
        <f>IFERROR(__xludf.DUMMYFUNCTION("""COMPUTED_VALUE"""),"MachineRefills_Images/6f691384.MachinePhoto.120713.jpg")</f>
        <v>MachineRefills_Images/6f691384.MachinePhoto.120713.jpg</v>
      </c>
      <c r="F161" s="1" t="str">
        <f>IFERROR(__xludf.DUMMYFUNCTION("""COMPUTED_VALUE"""),"Partial")</f>
        <v>Partial</v>
      </c>
      <c r="G161" s="1" t="b">
        <f>IFERROR(__xludf.DUMMYFUNCTION("""COMPUTED_VALUE"""),FALSE)</f>
        <v>0</v>
      </c>
      <c r="H161" s="1"/>
    </row>
    <row r="162">
      <c r="A162" s="1" t="str">
        <f>IFERROR(__xludf.DUMMYFUNCTION("""COMPUTED_VALUE"""),"b23df72b")</f>
        <v>b23df72b</v>
      </c>
      <c r="B162" s="32">
        <f>IFERROR(__xludf.DUMMYFUNCTION("""COMPUTED_VALUE"""),46102.70590277778)</f>
        <v>46102.7059</v>
      </c>
      <c r="C162" s="1" t="str">
        <f>IFERROR(__xludf.DUMMYFUNCTION("""COMPUTED_VALUE"""),"2404120076")</f>
        <v>2404120076</v>
      </c>
      <c r="D162" s="1" t="str">
        <f>IFERROR(__xludf.DUMMYFUNCTION("""COMPUTED_VALUE"""),"zegallai911@gmail.com")</f>
        <v>zegallai911@gmail.com</v>
      </c>
      <c r="E162" s="1" t="str">
        <f>IFERROR(__xludf.DUMMYFUNCTION("""COMPUTED_VALUE"""),"MachineRefills_Images/b23df72b.MachinePhoto.145839.jpg")</f>
        <v>MachineRefills_Images/b23df72b.MachinePhoto.145839.jpg</v>
      </c>
      <c r="F162" s="1" t="str">
        <f>IFERROR(__xludf.DUMMYFUNCTION("""COMPUTED_VALUE"""),"Partial")</f>
        <v>Partial</v>
      </c>
      <c r="G162" s="1" t="b">
        <f>IFERROR(__xludf.DUMMYFUNCTION("""COMPUTED_VALUE"""),FALSE)</f>
        <v>0</v>
      </c>
      <c r="H162" s="1"/>
    </row>
    <row r="163">
      <c r="A163" s="1" t="str">
        <f>IFERROR(__xludf.DUMMYFUNCTION("""COMPUTED_VALUE"""),"083dcff4")</f>
        <v>083dcff4</v>
      </c>
      <c r="B163" s="32">
        <f>IFERROR(__xludf.DUMMYFUNCTION("""COMPUTED_VALUE"""),46103.631203703706)</f>
        <v>46103.6312</v>
      </c>
      <c r="C163" s="1" t="str">
        <f>IFERROR(__xludf.DUMMYFUNCTION("""COMPUTED_VALUE"""),"2404120076")</f>
        <v>2404120076</v>
      </c>
      <c r="D163" s="1" t="str">
        <f>IFERROR(__xludf.DUMMYFUNCTION("""COMPUTED_VALUE"""),"zegallai911@gmail.com")</f>
        <v>zegallai911@gmail.com</v>
      </c>
      <c r="E163" s="1" t="str">
        <f>IFERROR(__xludf.DUMMYFUNCTION("""COMPUTED_VALUE"""),"MachineRefills_Images/083dcff4.MachinePhoto.132859.jpg")</f>
        <v>MachineRefills_Images/083dcff4.MachinePhoto.132859.jpg</v>
      </c>
      <c r="F163" s="1" t="str">
        <f>IFERROR(__xludf.DUMMYFUNCTION("""COMPUTED_VALUE"""),"Partial")</f>
        <v>Partial</v>
      </c>
      <c r="G163" s="1" t="b">
        <f>IFERROR(__xludf.DUMMYFUNCTION("""COMPUTED_VALUE"""),TRUE)</f>
        <v>1</v>
      </c>
      <c r="H163" s="1" t="str">
        <f>IFERROR(__xludf.DUMMYFUNCTION("""COMPUTED_VALUE"""),"تشينج")</f>
        <v>تشينج</v>
      </c>
    </row>
    <row r="164">
      <c r="A164" s="1" t="str">
        <f>IFERROR(__xludf.DUMMYFUNCTION("""COMPUTED_VALUE"""),"bde27de2")</f>
        <v>bde27de2</v>
      </c>
      <c r="B164" s="32">
        <f>IFERROR(__xludf.DUMMYFUNCTION("""COMPUTED_VALUE"""),46103.70974537037)</f>
        <v>46103.70975</v>
      </c>
      <c r="C164" s="1" t="str">
        <f>IFERROR(__xludf.DUMMYFUNCTION("""COMPUTED_VALUE"""),"2503000216")</f>
        <v>2503000216</v>
      </c>
      <c r="D164" s="1" t="str">
        <f>IFERROR(__xludf.DUMMYFUNCTION("""COMPUTED_VALUE"""),"zegallai911@gmail.com")</f>
        <v>zegallai911@gmail.com</v>
      </c>
      <c r="E164" s="1" t="str">
        <f>IFERROR(__xludf.DUMMYFUNCTION("""COMPUTED_VALUE"""),"MachineRefills_Images/bde27de2.MachinePhoto.210750.jpg")</f>
        <v>MachineRefills_Images/bde27de2.MachinePhoto.210750.jpg</v>
      </c>
      <c r="F164" s="1" t="str">
        <f>IFERROR(__xludf.DUMMYFUNCTION("""COMPUTED_VALUE"""),"Partial")</f>
        <v>Partial</v>
      </c>
      <c r="G164" s="1" t="b">
        <f>IFERROR(__xludf.DUMMYFUNCTION("""COMPUTED_VALUE"""),FALSE)</f>
        <v>0</v>
      </c>
      <c r="H164" s="1"/>
    </row>
    <row r="165">
      <c r="A165" s="1" t="str">
        <f>IFERROR(__xludf.DUMMYFUNCTION("""COMPUTED_VALUE"""),"96ecc26c")</f>
        <v>96ecc26c</v>
      </c>
      <c r="B165" s="32">
        <f>IFERROR(__xludf.DUMMYFUNCTION("""COMPUTED_VALUE"""),46103.74306712963)</f>
        <v>46103.74307</v>
      </c>
      <c r="C165" s="1" t="str">
        <f>IFERROR(__xludf.DUMMYFUNCTION("""COMPUTED_VALUE"""),"2509000371")</f>
        <v>2509000371</v>
      </c>
      <c r="D165" s="1" t="str">
        <f>IFERROR(__xludf.DUMMYFUNCTION("""COMPUTED_VALUE"""),"zegallai911@gmail.com")</f>
        <v>zegallai911@gmail.com</v>
      </c>
      <c r="E165" s="1" t="str">
        <f>IFERROR(__xludf.DUMMYFUNCTION("""COMPUTED_VALUE"""),"MachineRefills_Images/96ecc26c.MachinePhoto.210800.jpg")</f>
        <v>MachineRefills_Images/96ecc26c.MachinePhoto.210800.jpg</v>
      </c>
      <c r="F165" s="1" t="str">
        <f>IFERROR(__xludf.DUMMYFUNCTION("""COMPUTED_VALUE"""),"Partial")</f>
        <v>Partial</v>
      </c>
      <c r="G165" s="1" t="b">
        <f>IFERROR(__xludf.DUMMYFUNCTION("""COMPUTED_VALUE"""),FALSE)</f>
        <v>0</v>
      </c>
      <c r="H165" s="1"/>
    </row>
    <row r="166">
      <c r="A166" s="1" t="str">
        <f>IFERROR(__xludf.DUMMYFUNCTION("""COMPUTED_VALUE"""),"6f5947de")</f>
        <v>6f5947de</v>
      </c>
      <c r="B166" s="32">
        <f>IFERROR(__xludf.DUMMYFUNCTION("""COMPUTED_VALUE"""),46104.59923611111)</f>
        <v>46104.59924</v>
      </c>
      <c r="C166" s="1" t="str">
        <f>IFERROR(__xludf.DUMMYFUNCTION("""COMPUTED_VALUE"""),"2509000371")</f>
        <v>2509000371</v>
      </c>
      <c r="D166" s="1" t="str">
        <f>IFERROR(__xludf.DUMMYFUNCTION("""COMPUTED_VALUE"""),"zegallai911@gmail.com")</f>
        <v>zegallai911@gmail.com</v>
      </c>
      <c r="E166" s="1" t="str">
        <f>IFERROR(__xludf.DUMMYFUNCTION("""COMPUTED_VALUE"""),"MachineRefills_Images/6f5947de.MachinePhoto.122319.jpg")</f>
        <v>MachineRefills_Images/6f5947de.MachinePhoto.122319.jpg</v>
      </c>
      <c r="F166" s="1" t="str">
        <f>IFERROR(__xludf.DUMMYFUNCTION("""COMPUTED_VALUE"""),"Partial")</f>
        <v>Partial</v>
      </c>
      <c r="G166" s="1" t="b">
        <f>IFERROR(__xludf.DUMMYFUNCTION("""COMPUTED_VALUE"""),FALSE)</f>
        <v>0</v>
      </c>
      <c r="H166" s="1"/>
    </row>
    <row r="167">
      <c r="A167" s="1" t="str">
        <f>IFERROR(__xludf.DUMMYFUNCTION("""COMPUTED_VALUE"""),"cd7f9264")</f>
        <v>cd7f9264</v>
      </c>
      <c r="B167" s="32">
        <f>IFERROR(__xludf.DUMMYFUNCTION("""COMPUTED_VALUE"""),46104.6303587963)</f>
        <v>46104.63036</v>
      </c>
      <c r="C167" s="1" t="str">
        <f>IFERROR(__xludf.DUMMYFUNCTION("""COMPUTED_VALUE"""),"2503000216")</f>
        <v>2503000216</v>
      </c>
      <c r="D167" s="1" t="str">
        <f>IFERROR(__xludf.DUMMYFUNCTION("""COMPUTED_VALUE"""),"zegallai911@gmail.com")</f>
        <v>zegallai911@gmail.com</v>
      </c>
      <c r="E167" s="1" t="str">
        <f>IFERROR(__xludf.DUMMYFUNCTION("""COMPUTED_VALUE"""),"MachineRefills_Images/cd7f9264.MachinePhoto.130803.jpg")</f>
        <v>MachineRefills_Images/cd7f9264.MachinePhoto.130803.jpg</v>
      </c>
      <c r="F167" s="1" t="str">
        <f>IFERROR(__xludf.DUMMYFUNCTION("""COMPUTED_VALUE"""),"Partial")</f>
        <v>Partial</v>
      </c>
      <c r="G167" s="1" t="b">
        <f>IFERROR(__xludf.DUMMYFUNCTION("""COMPUTED_VALUE"""),TRUE)</f>
        <v>1</v>
      </c>
      <c r="H167" s="1" t="str">
        <f>IFERROR(__xludf.DUMMYFUNCTION("""COMPUTED_VALUE"""),"كرت اتش")</f>
        <v>كرت اتش</v>
      </c>
    </row>
    <row r="168">
      <c r="A168" s="1" t="str">
        <f>IFERROR(__xludf.DUMMYFUNCTION("""COMPUTED_VALUE"""),"637d3172")</f>
        <v>637d3172</v>
      </c>
      <c r="B168" s="32">
        <f>IFERROR(__xludf.DUMMYFUNCTION("""COMPUTED_VALUE"""),46104.68949074074)</f>
        <v>46104.68949</v>
      </c>
      <c r="C168" s="1" t="str">
        <f>IFERROR(__xludf.DUMMYFUNCTION("""COMPUTED_VALUE"""),"2404120076")</f>
        <v>2404120076</v>
      </c>
      <c r="D168" s="1" t="str">
        <f>IFERROR(__xludf.DUMMYFUNCTION("""COMPUTED_VALUE"""),"zegallai911@gmail.com")</f>
        <v>zegallai911@gmail.com</v>
      </c>
      <c r="E168" s="1" t="str">
        <f>IFERROR(__xludf.DUMMYFUNCTION("""COMPUTED_VALUE"""),"MachineRefills_Images/637d3172.MachinePhoto.144708.jpg")</f>
        <v>MachineRefills_Images/637d3172.MachinePhoto.144708.jpg</v>
      </c>
      <c r="F168" s="1" t="str">
        <f>IFERROR(__xludf.DUMMYFUNCTION("""COMPUTED_VALUE"""),"Partial")</f>
        <v>Partial</v>
      </c>
      <c r="G168" s="1" t="b">
        <f>IFERROR(__xludf.DUMMYFUNCTION("""COMPUTED_VALUE"""),FALSE)</f>
        <v>0</v>
      </c>
      <c r="H168" s="1"/>
    </row>
    <row r="169">
      <c r="A169" s="1" t="str">
        <f>IFERROR(__xludf.DUMMYFUNCTION("""COMPUTED_VALUE"""),"d302af96")</f>
        <v>d302af96</v>
      </c>
      <c r="B169" s="32">
        <f>IFERROR(__xludf.DUMMYFUNCTION("""COMPUTED_VALUE"""),46104.92724537037)</f>
        <v>46104.92725</v>
      </c>
      <c r="C169" s="1" t="str">
        <f>IFERROR(__xludf.DUMMYFUNCTION("""COMPUTED_VALUE"""),"2509000370")</f>
        <v>2509000370</v>
      </c>
      <c r="D169" s="1" t="str">
        <f>IFERROR(__xludf.DUMMYFUNCTION("""COMPUTED_VALUE"""),"anasgherfal@gmail.com")</f>
        <v>anasgherfal@gmail.com</v>
      </c>
      <c r="E169" s="1" t="str">
        <f>IFERROR(__xludf.DUMMYFUNCTION("""COMPUTED_VALUE"""),"MachineRefills_Images/d302af96.MachinePhoto.201555.jpg")</f>
        <v>MachineRefills_Images/d302af96.MachinePhoto.201555.jpg</v>
      </c>
      <c r="F169" s="1" t="str">
        <f>IFERROR(__xludf.DUMMYFUNCTION("""COMPUTED_VALUE"""),"Full")</f>
        <v>Full</v>
      </c>
      <c r="G169" s="1" t="b">
        <f>IFERROR(__xludf.DUMMYFUNCTION("""COMPUTED_VALUE"""),FALSE)</f>
        <v>0</v>
      </c>
      <c r="H169" s="1"/>
    </row>
    <row r="170">
      <c r="A170" s="1" t="str">
        <f>IFERROR(__xludf.DUMMYFUNCTION("""COMPUTED_VALUE"""),"7d0c28ea")</f>
        <v>7d0c28ea</v>
      </c>
      <c r="B170" s="32">
        <f>IFERROR(__xludf.DUMMYFUNCTION("""COMPUTED_VALUE"""),46104.92888888889)</f>
        <v>46104.92889</v>
      </c>
      <c r="C170" s="1" t="str">
        <f>IFERROR(__xludf.DUMMYFUNCTION("""COMPUTED_VALUE"""),"2411000046")</f>
        <v>2411000046</v>
      </c>
      <c r="D170" s="1" t="str">
        <f>IFERROR(__xludf.DUMMYFUNCTION("""COMPUTED_VALUE"""),"zegallai911@gmail.com")</f>
        <v>zegallai911@gmail.com</v>
      </c>
      <c r="E170" s="1" t="str">
        <f>IFERROR(__xludf.DUMMYFUNCTION("""COMPUTED_VALUE"""),"MachineRefills_Images/7d0c28ea.MachinePhoto.201800.jpg")</f>
        <v>MachineRefills_Images/7d0c28ea.MachinePhoto.201800.jpg</v>
      </c>
      <c r="F170" s="1" t="str">
        <f>IFERROR(__xludf.DUMMYFUNCTION("""COMPUTED_VALUE"""),"Partial")</f>
        <v>Partial</v>
      </c>
      <c r="G170" s="1" t="b">
        <f>IFERROR(__xludf.DUMMYFUNCTION("""COMPUTED_VALUE"""),FALSE)</f>
        <v>0</v>
      </c>
      <c r="H170" s="1"/>
    </row>
    <row r="171">
      <c r="A171" s="1" t="str">
        <f>IFERROR(__xludf.DUMMYFUNCTION("""COMPUTED_VALUE"""),"81621897")</f>
        <v>81621897</v>
      </c>
      <c r="B171" s="32">
        <f>IFERROR(__xludf.DUMMYFUNCTION("""COMPUTED_VALUE"""),46105.840949074074)</f>
        <v>46105.84095</v>
      </c>
      <c r="C171" s="1" t="str">
        <f>IFERROR(__xludf.DUMMYFUNCTION("""COMPUTED_VALUE"""),"2404120076")</f>
        <v>2404120076</v>
      </c>
      <c r="D171" s="1" t="str">
        <f>IFERROR(__xludf.DUMMYFUNCTION("""COMPUTED_VALUE"""),"zegallai911@gmail.com")</f>
        <v>zegallai911@gmail.com</v>
      </c>
      <c r="E171" s="1" t="str">
        <f>IFERROR(__xludf.DUMMYFUNCTION("""COMPUTED_VALUE"""),"MachineRefills_Images/81621897.MachinePhoto.181129.jpg")</f>
        <v>MachineRefills_Images/81621897.MachinePhoto.181129.jpg</v>
      </c>
      <c r="F171" s="1" t="str">
        <f>IFERROR(__xludf.DUMMYFUNCTION("""COMPUTED_VALUE"""),"Partial")</f>
        <v>Partial</v>
      </c>
      <c r="G171" s="1" t="b">
        <f>IFERROR(__xludf.DUMMYFUNCTION("""COMPUTED_VALUE"""),TRUE)</f>
        <v>1</v>
      </c>
      <c r="H171" s="1" t="str">
        <f>IFERROR(__xludf.DUMMYFUNCTION("""COMPUTED_VALUE"""),"تشينج حاصل")</f>
        <v>تشينج حاصل</v>
      </c>
    </row>
    <row r="172">
      <c r="A172" s="1" t="str">
        <f>IFERROR(__xludf.DUMMYFUNCTION("""COMPUTED_VALUE"""),"4ef279d3")</f>
        <v>4ef279d3</v>
      </c>
      <c r="B172" s="32">
        <f>IFERROR(__xludf.DUMMYFUNCTION("""COMPUTED_VALUE"""),46105.88826388889)</f>
        <v>46105.88826</v>
      </c>
      <c r="C172" s="1" t="str">
        <f>IFERROR(__xludf.DUMMYFUNCTION("""COMPUTED_VALUE"""),"2509000371")</f>
        <v>2509000371</v>
      </c>
      <c r="D172" s="1" t="str">
        <f>IFERROR(__xludf.DUMMYFUNCTION("""COMPUTED_VALUE"""),"zegallai911@gmail.com")</f>
        <v>zegallai911@gmail.com</v>
      </c>
      <c r="E172" s="1" t="str">
        <f>IFERROR(__xludf.DUMMYFUNCTION("""COMPUTED_VALUE"""),"MachineRefills_Images/4ef279d3.MachinePhoto.191921.jpg")</f>
        <v>MachineRefills_Images/4ef279d3.MachinePhoto.191921.jpg</v>
      </c>
      <c r="F172" s="1" t="str">
        <f>IFERROR(__xludf.DUMMYFUNCTION("""COMPUTED_VALUE"""),"Partial")</f>
        <v>Partial</v>
      </c>
      <c r="G172" s="1" t="b">
        <f>IFERROR(__xludf.DUMMYFUNCTION("""COMPUTED_VALUE"""),FALSE)</f>
        <v>0</v>
      </c>
      <c r="H172" s="1"/>
    </row>
    <row r="173">
      <c r="A173" s="1" t="str">
        <f>IFERROR(__xludf.DUMMYFUNCTION("""COMPUTED_VALUE"""),"c3be30d1")</f>
        <v>c3be30d1</v>
      </c>
      <c r="B173" s="32">
        <f>IFERROR(__xludf.DUMMYFUNCTION("""COMPUTED_VALUE"""),46105.91511574074)</f>
        <v>46105.91512</v>
      </c>
      <c r="C173" s="1" t="str">
        <f>IFERROR(__xludf.DUMMYFUNCTION("""COMPUTED_VALUE"""),"2503000216")</f>
        <v>2503000216</v>
      </c>
      <c r="D173" s="1" t="str">
        <f>IFERROR(__xludf.DUMMYFUNCTION("""COMPUTED_VALUE"""),"zegallai911@gmail.com")</f>
        <v>zegallai911@gmail.com</v>
      </c>
      <c r="E173" s="1" t="str">
        <f>IFERROR(__xludf.DUMMYFUNCTION("""COMPUTED_VALUE"""),"MachineRefills_Images/c3be30d1.MachinePhoto.195801.jpg")</f>
        <v>MachineRefills_Images/c3be30d1.MachinePhoto.195801.jpg</v>
      </c>
      <c r="F173" s="1" t="str">
        <f>IFERROR(__xludf.DUMMYFUNCTION("""COMPUTED_VALUE"""),"Partial")</f>
        <v>Partial</v>
      </c>
      <c r="G173" s="1" t="b">
        <f>IFERROR(__xludf.DUMMYFUNCTION("""COMPUTED_VALUE"""),TRUE)</f>
        <v>1</v>
      </c>
      <c r="H173" s="1"/>
    </row>
    <row r="174">
      <c r="A174" s="1" t="str">
        <f>IFERROR(__xludf.DUMMYFUNCTION("""COMPUTED_VALUE"""),"58cc8f9d")</f>
        <v>58cc8f9d</v>
      </c>
      <c r="B174" s="32">
        <f>IFERROR(__xludf.DUMMYFUNCTION("""COMPUTED_VALUE"""),46106.52232638889)</f>
        <v>46106.52233</v>
      </c>
      <c r="C174" s="1" t="str">
        <f>IFERROR(__xludf.DUMMYFUNCTION("""COMPUTED_VALUE"""),"2509000369")</f>
        <v>2509000369</v>
      </c>
      <c r="D174" s="1" t="str">
        <f>IFERROR(__xludf.DUMMYFUNCTION("""COMPUTED_VALUE"""),"zegallai911@gmail.com")</f>
        <v>zegallai911@gmail.com</v>
      </c>
      <c r="E174" s="1" t="str">
        <f>IFERROR(__xludf.DUMMYFUNCTION("""COMPUTED_VALUE"""),"MachineRefills_Images/58cc8f9d.MachinePhoto.103539.jpg")</f>
        <v>MachineRefills_Images/58cc8f9d.MachinePhoto.103539.jpg</v>
      </c>
      <c r="F174" s="1" t="str">
        <f>IFERROR(__xludf.DUMMYFUNCTION("""COMPUTED_VALUE"""),"Partial")</f>
        <v>Partial</v>
      </c>
      <c r="G174" s="1" t="b">
        <f>IFERROR(__xludf.DUMMYFUNCTION("""COMPUTED_VALUE"""),FALSE)</f>
        <v>0</v>
      </c>
      <c r="H174" s="1"/>
    </row>
    <row r="175">
      <c r="A175" s="1" t="str">
        <f>IFERROR(__xludf.DUMMYFUNCTION("""COMPUTED_VALUE"""),"f766c334")</f>
        <v>f766c334</v>
      </c>
      <c r="B175" s="32">
        <f>IFERROR(__xludf.DUMMYFUNCTION("""COMPUTED_VALUE"""),46106.97111111111)</f>
        <v>46106.97111</v>
      </c>
      <c r="C175" s="1" t="str">
        <f>IFERROR(__xludf.DUMMYFUNCTION("""COMPUTED_VALUE"""),"2509000370")</f>
        <v>2509000370</v>
      </c>
      <c r="D175" s="1" t="str">
        <f>IFERROR(__xludf.DUMMYFUNCTION("""COMPUTED_VALUE"""),"anasgherfal@gmail.com")</f>
        <v>anasgherfal@gmail.com</v>
      </c>
      <c r="E175" s="1" t="str">
        <f>IFERROR(__xludf.DUMMYFUNCTION("""COMPUTED_VALUE"""),"MachineRefills_Images/f766c334.MachinePhoto.211839.jpg")</f>
        <v>MachineRefills_Images/f766c334.MachinePhoto.211839.jpg</v>
      </c>
      <c r="F175" s="1" t="str">
        <f>IFERROR(__xludf.DUMMYFUNCTION("""COMPUTED_VALUE"""),"Full")</f>
        <v>Full</v>
      </c>
      <c r="G175" s="1" t="b">
        <f>IFERROR(__xludf.DUMMYFUNCTION("""COMPUTED_VALUE"""),FALSE)</f>
        <v>0</v>
      </c>
      <c r="H175" s="1"/>
    </row>
    <row r="176">
      <c r="A176" s="1" t="str">
        <f>IFERROR(__xludf.DUMMYFUNCTION("""COMPUTED_VALUE"""),"003ae902")</f>
        <v>003ae902</v>
      </c>
      <c r="B176" s="32">
        <f>IFERROR(__xludf.DUMMYFUNCTION("""COMPUTED_VALUE"""),46107.505324074074)</f>
        <v>46107.50532</v>
      </c>
      <c r="C176" s="1" t="str">
        <f>IFERROR(__xludf.DUMMYFUNCTION("""COMPUTED_VALUE"""),"2404120076")</f>
        <v>2404120076</v>
      </c>
      <c r="D176" s="1" t="str">
        <f>IFERROR(__xludf.DUMMYFUNCTION("""COMPUTED_VALUE"""),"zegallai911@gmail.com")</f>
        <v>zegallai911@gmail.com</v>
      </c>
      <c r="E176" s="1" t="str">
        <f>IFERROR(__xludf.DUMMYFUNCTION("""COMPUTED_VALUE"""),"MachineRefills_Images/003ae902.MachinePhoto.100801.jpg")</f>
        <v>MachineRefills_Images/003ae902.MachinePhoto.100801.jpg</v>
      </c>
      <c r="F176" s="1" t="str">
        <f>IFERROR(__xludf.DUMMYFUNCTION("""COMPUTED_VALUE"""),"Partial")</f>
        <v>Partial</v>
      </c>
      <c r="G176" s="1" t="b">
        <f>IFERROR(__xludf.DUMMYFUNCTION("""COMPUTED_VALUE"""),FALSE)</f>
        <v>0</v>
      </c>
      <c r="H176" s="1"/>
    </row>
    <row r="177">
      <c r="A177" s="1" t="str">
        <f>IFERROR(__xludf.DUMMYFUNCTION("""COMPUTED_VALUE"""),"8a0af746")</f>
        <v>8a0af746</v>
      </c>
      <c r="B177" s="32">
        <f>IFERROR(__xludf.DUMMYFUNCTION("""COMPUTED_VALUE"""),46107.57365740741)</f>
        <v>46107.57366</v>
      </c>
      <c r="C177" s="1" t="str">
        <f>IFERROR(__xludf.DUMMYFUNCTION("""COMPUTED_VALUE"""),"2503000216")</f>
        <v>2503000216</v>
      </c>
      <c r="D177" s="1" t="str">
        <f>IFERROR(__xludf.DUMMYFUNCTION("""COMPUTED_VALUE"""),"zegallai911@gmail.com")</f>
        <v>zegallai911@gmail.com</v>
      </c>
      <c r="E177" s="1" t="str">
        <f>IFERROR(__xludf.DUMMYFUNCTION("""COMPUTED_VALUE"""),"MachineRefills_Images/8a0af746.MachinePhoto.114617.jpg")</f>
        <v>MachineRefills_Images/8a0af746.MachinePhoto.114617.jpg</v>
      </c>
      <c r="F177" s="1" t="str">
        <f>IFERROR(__xludf.DUMMYFUNCTION("""COMPUTED_VALUE"""),"Partial")</f>
        <v>Partial</v>
      </c>
      <c r="G177" s="1" t="b">
        <f>IFERROR(__xludf.DUMMYFUNCTION("""COMPUTED_VALUE"""),FALSE)</f>
        <v>0</v>
      </c>
      <c r="H177" s="1"/>
    </row>
    <row r="178">
      <c r="A178" s="1" t="str">
        <f>IFERROR(__xludf.DUMMYFUNCTION("""COMPUTED_VALUE"""),"ba058ade")</f>
        <v>ba058ade</v>
      </c>
      <c r="B178" s="32">
        <f>IFERROR(__xludf.DUMMYFUNCTION("""COMPUTED_VALUE"""),46107.59793981481)</f>
        <v>46107.59794</v>
      </c>
      <c r="C178" s="1" t="str">
        <f>IFERROR(__xludf.DUMMYFUNCTION("""COMPUTED_VALUE"""),"2509000371")</f>
        <v>2509000371</v>
      </c>
      <c r="D178" s="1" t="str">
        <f>IFERROR(__xludf.DUMMYFUNCTION("""COMPUTED_VALUE"""),"zegallai911@gmail.com")</f>
        <v>zegallai911@gmail.com</v>
      </c>
      <c r="E178" s="1" t="str">
        <f>IFERROR(__xludf.DUMMYFUNCTION("""COMPUTED_VALUE"""),"MachineRefills_Images/ba058ade.MachinePhoto.122117.jpg")</f>
        <v>MachineRefills_Images/ba058ade.MachinePhoto.122117.jpg</v>
      </c>
      <c r="F178" s="1" t="str">
        <f>IFERROR(__xludf.DUMMYFUNCTION("""COMPUTED_VALUE"""),"Partial")</f>
        <v>Partial</v>
      </c>
      <c r="G178" s="1" t="b">
        <f>IFERROR(__xludf.DUMMYFUNCTION("""COMPUTED_VALUE"""),FALSE)</f>
        <v>0</v>
      </c>
      <c r="H178" s="1"/>
    </row>
    <row r="179">
      <c r="A179" s="1" t="str">
        <f>IFERROR(__xludf.DUMMYFUNCTION("""COMPUTED_VALUE"""),"4afc9a77")</f>
        <v>4afc9a77</v>
      </c>
      <c r="B179" s="32">
        <f>IFERROR(__xludf.DUMMYFUNCTION("""COMPUTED_VALUE"""),46108.65008101852)</f>
        <v>46108.65008</v>
      </c>
      <c r="C179" s="1" t="str">
        <f>IFERROR(__xludf.DUMMYFUNCTION("""COMPUTED_VALUE"""),"2509000371")</f>
        <v>2509000371</v>
      </c>
      <c r="D179" s="1" t="str">
        <f>IFERROR(__xludf.DUMMYFUNCTION("""COMPUTED_VALUE"""),"zegallai911@gmail.com")</f>
        <v>zegallai911@gmail.com</v>
      </c>
      <c r="E179" s="1" t="str">
        <f>IFERROR(__xludf.DUMMYFUNCTION("""COMPUTED_VALUE"""),"MachineRefills_Images/4afc9a77.MachinePhoto.133622.jpg")</f>
        <v>MachineRefills_Images/4afc9a77.MachinePhoto.133622.jpg</v>
      </c>
      <c r="F179" s="1" t="str">
        <f>IFERROR(__xludf.DUMMYFUNCTION("""COMPUTED_VALUE"""),"Partial")</f>
        <v>Partial</v>
      </c>
      <c r="G179" s="1" t="b">
        <f>IFERROR(__xludf.DUMMYFUNCTION("""COMPUTED_VALUE"""),FALSE)</f>
        <v>0</v>
      </c>
      <c r="H179" s="1"/>
    </row>
    <row r="180">
      <c r="A180" s="1" t="str">
        <f>IFERROR(__xludf.DUMMYFUNCTION("""COMPUTED_VALUE"""),"3884b36a")</f>
        <v>3884b36a</v>
      </c>
      <c r="B180" s="32">
        <f>IFERROR(__xludf.DUMMYFUNCTION("""COMPUTED_VALUE"""),46108.68541666667)</f>
        <v>46108.68542</v>
      </c>
      <c r="C180" s="1" t="str">
        <f>IFERROR(__xludf.DUMMYFUNCTION("""COMPUTED_VALUE"""),"2404120076")</f>
        <v>2404120076</v>
      </c>
      <c r="D180" s="1" t="str">
        <f>IFERROR(__xludf.DUMMYFUNCTION("""COMPUTED_VALUE"""),"zegallai911@gmail.com")</f>
        <v>zegallai911@gmail.com</v>
      </c>
      <c r="E180" s="1" t="str">
        <f>IFERROR(__xludf.DUMMYFUNCTION("""COMPUTED_VALUE"""),"MachineRefills_Images/3884b36a.MachinePhoto.142716.jpg")</f>
        <v>MachineRefills_Images/3884b36a.MachinePhoto.142716.jpg</v>
      </c>
      <c r="F180" s="1" t="str">
        <f>IFERROR(__xludf.DUMMYFUNCTION("""COMPUTED_VALUE"""),"Partial")</f>
        <v>Partial</v>
      </c>
      <c r="G180" s="1" t="b">
        <f>IFERROR(__xludf.DUMMYFUNCTION("""COMPUTED_VALUE"""),FALSE)</f>
        <v>0</v>
      </c>
      <c r="H180" s="1"/>
    </row>
    <row r="181">
      <c r="A181" s="1" t="str">
        <f>IFERROR(__xludf.DUMMYFUNCTION("""COMPUTED_VALUE"""),"5b19a9d9")</f>
        <v>5b19a9d9</v>
      </c>
      <c r="B181" s="32">
        <f>IFERROR(__xludf.DUMMYFUNCTION("""COMPUTED_VALUE"""),46109.12657407407)</f>
        <v>46109.12657</v>
      </c>
      <c r="C181" s="1" t="str">
        <f>IFERROR(__xludf.DUMMYFUNCTION("""COMPUTED_VALUE"""),"2411000046")</f>
        <v>2411000046</v>
      </c>
      <c r="D181" s="1" t="str">
        <f>IFERROR(__xludf.DUMMYFUNCTION("""COMPUTED_VALUE"""),"anasgherfal@gmail.com")</f>
        <v>anasgherfal@gmail.com</v>
      </c>
      <c r="E181" s="1" t="str">
        <f>IFERROR(__xludf.DUMMYFUNCTION("""COMPUTED_VALUE"""),"MachineRefills_Images/5b19a9d9.MachinePhoto.010239.jpg")</f>
        <v>MachineRefills_Images/5b19a9d9.MachinePhoto.010239.jpg</v>
      </c>
      <c r="F181" s="1" t="str">
        <f>IFERROR(__xludf.DUMMYFUNCTION("""COMPUTED_VALUE"""),"Full")</f>
        <v>Full</v>
      </c>
      <c r="G181" s="1" t="b">
        <f>IFERROR(__xludf.DUMMYFUNCTION("""COMPUTED_VALUE"""),TRUE)</f>
        <v>1</v>
      </c>
      <c r="H181" s="1" t="str">
        <f>IFERROR(__xludf.DUMMYFUNCTION("""COMPUTED_VALUE"""),"Change")</f>
        <v>Change</v>
      </c>
    </row>
    <row r="182">
      <c r="A182" s="1" t="str">
        <f>IFERROR(__xludf.DUMMYFUNCTION("""COMPUTED_VALUE"""),"23248cbc")</f>
        <v>23248cbc</v>
      </c>
      <c r="B182" s="32">
        <f>IFERROR(__xludf.DUMMYFUNCTION("""COMPUTED_VALUE"""),46109.574421296296)</f>
        <v>46109.57442</v>
      </c>
      <c r="C182" s="1" t="str">
        <f>IFERROR(__xludf.DUMMYFUNCTION("""COMPUTED_VALUE"""),"2404120076")</f>
        <v>2404120076</v>
      </c>
      <c r="D182" s="1" t="str">
        <f>IFERROR(__xludf.DUMMYFUNCTION("""COMPUTED_VALUE"""),"zegallai911@gmail.com")</f>
        <v>zegallai911@gmail.com</v>
      </c>
      <c r="E182" s="1" t="str">
        <f>IFERROR(__xludf.DUMMYFUNCTION("""COMPUTED_VALUE"""),"MachineRefills_Images/23248cbc.MachinePhoto.114735.jpg")</f>
        <v>MachineRefills_Images/23248cbc.MachinePhoto.114735.jpg</v>
      </c>
      <c r="F182" s="1" t="str">
        <f>IFERROR(__xludf.DUMMYFUNCTION("""COMPUTED_VALUE"""),"Partial")</f>
        <v>Partial</v>
      </c>
      <c r="G182" s="1" t="b">
        <f>IFERROR(__xludf.DUMMYFUNCTION("""COMPUTED_VALUE"""),FALSE)</f>
        <v>0</v>
      </c>
      <c r="H182" s="1"/>
    </row>
    <row r="183">
      <c r="A183" s="1" t="str">
        <f>IFERROR(__xludf.DUMMYFUNCTION("""COMPUTED_VALUE"""),"d154829f")</f>
        <v>d154829f</v>
      </c>
      <c r="B183" s="32">
        <f>IFERROR(__xludf.DUMMYFUNCTION("""COMPUTED_VALUE"""),46109.635196759256)</f>
        <v>46109.6352</v>
      </c>
      <c r="C183" s="1" t="str">
        <f>IFERROR(__xludf.DUMMYFUNCTION("""COMPUTED_VALUE"""),"2503000216")</f>
        <v>2503000216</v>
      </c>
      <c r="D183" s="1" t="str">
        <f>IFERROR(__xludf.DUMMYFUNCTION("""COMPUTED_VALUE"""),"zegallai911@gmail.com")</f>
        <v>zegallai911@gmail.com</v>
      </c>
      <c r="E183" s="1" t="str">
        <f>IFERROR(__xludf.DUMMYFUNCTION("""COMPUTED_VALUE"""),"MachineRefills_Images/d154829f.MachinePhoto.131500.jpg")</f>
        <v>MachineRefills_Images/d154829f.MachinePhoto.131500.jpg</v>
      </c>
      <c r="F183" s="1" t="str">
        <f>IFERROR(__xludf.DUMMYFUNCTION("""COMPUTED_VALUE"""),"Partial")</f>
        <v>Partial</v>
      </c>
      <c r="G183" s="1" t="b">
        <f>IFERROR(__xludf.DUMMYFUNCTION("""COMPUTED_VALUE"""),FALSE)</f>
        <v>0</v>
      </c>
      <c r="H183" s="1"/>
    </row>
    <row r="184">
      <c r="A184" s="1" t="str">
        <f>IFERROR(__xludf.DUMMYFUNCTION("""COMPUTED_VALUE"""),"de271b7b")</f>
        <v>de271b7b</v>
      </c>
      <c r="B184" s="32">
        <f>IFERROR(__xludf.DUMMYFUNCTION("""COMPUTED_VALUE"""),46110.57896990741)</f>
        <v>46110.57897</v>
      </c>
      <c r="C184" s="1" t="str">
        <f>IFERROR(__xludf.DUMMYFUNCTION("""COMPUTED_VALUE"""),"2509000371")</f>
        <v>2509000371</v>
      </c>
      <c r="D184" s="1" t="str">
        <f>IFERROR(__xludf.DUMMYFUNCTION("""COMPUTED_VALUE"""),"zegallai911@gmail.com")</f>
        <v>zegallai911@gmail.com</v>
      </c>
      <c r="E184" s="1" t="str">
        <f>IFERROR(__xludf.DUMMYFUNCTION("""COMPUTED_VALUE"""),"MachineRefills_Images/de271b7b.MachinePhoto.115357.jpg")</f>
        <v>MachineRefills_Images/de271b7b.MachinePhoto.115357.jpg</v>
      </c>
      <c r="F184" s="1" t="str">
        <f>IFERROR(__xludf.DUMMYFUNCTION("""COMPUTED_VALUE"""),"Partial")</f>
        <v>Partial</v>
      </c>
      <c r="G184" s="1" t="b">
        <f>IFERROR(__xludf.DUMMYFUNCTION("""COMPUTED_VALUE"""),FALSE)</f>
        <v>0</v>
      </c>
      <c r="H184" s="1"/>
    </row>
    <row r="185">
      <c r="A185" s="1" t="str">
        <f>IFERROR(__xludf.DUMMYFUNCTION("""COMPUTED_VALUE"""),"7a0c4470")</f>
        <v>7a0c4470</v>
      </c>
      <c r="B185" s="32">
        <f>IFERROR(__xludf.DUMMYFUNCTION("""COMPUTED_VALUE"""),46111.49930555555)</f>
        <v>46111.49931</v>
      </c>
      <c r="C185" s="1" t="str">
        <f>IFERROR(__xludf.DUMMYFUNCTION("""COMPUTED_VALUE"""),"2509000369")</f>
        <v>2509000369</v>
      </c>
      <c r="D185" s="1" t="str">
        <f>IFERROR(__xludf.DUMMYFUNCTION("""COMPUTED_VALUE"""),"zegallai911@gmail.com")</f>
        <v>zegallai911@gmail.com</v>
      </c>
      <c r="E185" s="1" t="str">
        <f>IFERROR(__xludf.DUMMYFUNCTION("""COMPUTED_VALUE"""),"MachineRefills_Images/7a0c4470.MachinePhoto.095916.jpg")</f>
        <v>MachineRefills_Images/7a0c4470.MachinePhoto.095916.jpg</v>
      </c>
      <c r="F185" s="1" t="str">
        <f>IFERROR(__xludf.DUMMYFUNCTION("""COMPUTED_VALUE"""),"Partial")</f>
        <v>Partial</v>
      </c>
      <c r="G185" s="1" t="b">
        <f>IFERROR(__xludf.DUMMYFUNCTION("""COMPUTED_VALUE"""),FALSE)</f>
        <v>0</v>
      </c>
      <c r="H185" s="1"/>
    </row>
    <row r="186">
      <c r="A186" s="1" t="str">
        <f>IFERROR(__xludf.DUMMYFUNCTION("""COMPUTED_VALUE"""),"ea53ddb7")</f>
        <v>ea53ddb7</v>
      </c>
      <c r="B186" s="32">
        <f>IFERROR(__xludf.DUMMYFUNCTION("""COMPUTED_VALUE"""),46113.55359953704)</f>
        <v>46113.5536</v>
      </c>
      <c r="C186" s="1" t="str">
        <f>IFERROR(__xludf.DUMMYFUNCTION("""COMPUTED_VALUE"""),"2503000216")</f>
        <v>2503000216</v>
      </c>
      <c r="D186" s="1" t="str">
        <f>IFERROR(__xludf.DUMMYFUNCTION("""COMPUTED_VALUE"""),"zegallai911@gmail.com")</f>
        <v>zegallai911@gmail.com</v>
      </c>
      <c r="E186" s="1" t="str">
        <f>IFERROR(__xludf.DUMMYFUNCTION("""COMPUTED_VALUE"""),"MachineRefills_Images/ea53ddb7.MachinePhoto.111724.jpg")</f>
        <v>MachineRefills_Images/ea53ddb7.MachinePhoto.111724.jpg</v>
      </c>
      <c r="F186" s="1" t="str">
        <f>IFERROR(__xludf.DUMMYFUNCTION("""COMPUTED_VALUE"""),"Partial")</f>
        <v>Partial</v>
      </c>
      <c r="G186" s="1" t="b">
        <f>IFERROR(__xludf.DUMMYFUNCTION("""COMPUTED_VALUE"""),FALSE)</f>
        <v>0</v>
      </c>
      <c r="H186" s="1"/>
    </row>
    <row r="187">
      <c r="A187" s="1" t="str">
        <f>IFERROR(__xludf.DUMMYFUNCTION("""COMPUTED_VALUE"""),"37281024")</f>
        <v>37281024</v>
      </c>
      <c r="B187" s="32">
        <f>IFERROR(__xludf.DUMMYFUNCTION("""COMPUTED_VALUE"""),46113.56476851852)</f>
        <v>46113.56477</v>
      </c>
      <c r="C187" s="1" t="str">
        <f>IFERROR(__xludf.DUMMYFUNCTION("""COMPUTED_VALUE"""),"2509000371")</f>
        <v>2509000371</v>
      </c>
      <c r="D187" s="1" t="str">
        <f>IFERROR(__xludf.DUMMYFUNCTION("""COMPUTED_VALUE"""),"zegallai911@gmail.com")</f>
        <v>zegallai911@gmail.com</v>
      </c>
      <c r="E187" s="1" t="str">
        <f>IFERROR(__xludf.DUMMYFUNCTION("""COMPUTED_VALUE"""),"MachineRefills_Images/37281024.MachinePhoto.113330.jpg")</f>
        <v>MachineRefills_Images/37281024.MachinePhoto.113330.jpg</v>
      </c>
      <c r="F187" s="1" t="str">
        <f>IFERROR(__xludf.DUMMYFUNCTION("""COMPUTED_VALUE"""),"Partial")</f>
        <v>Partial</v>
      </c>
      <c r="G187" s="1" t="b">
        <f>IFERROR(__xludf.DUMMYFUNCTION("""COMPUTED_VALUE"""),FALSE)</f>
        <v>0</v>
      </c>
      <c r="H187" s="1"/>
    </row>
    <row r="188">
      <c r="A188" s="1" t="str">
        <f>IFERROR(__xludf.DUMMYFUNCTION("""COMPUTED_VALUE"""),"de87b991")</f>
        <v>de87b991</v>
      </c>
      <c r="B188" s="32">
        <f>IFERROR(__xludf.DUMMYFUNCTION("""COMPUTED_VALUE"""),46113.62431712963)</f>
        <v>46113.62432</v>
      </c>
      <c r="C188" s="1" t="str">
        <f>IFERROR(__xludf.DUMMYFUNCTION("""COMPUTED_VALUE"""),"2411000046")</f>
        <v>2411000046</v>
      </c>
      <c r="D188" s="1" t="str">
        <f>IFERROR(__xludf.DUMMYFUNCTION("""COMPUTED_VALUE"""),"zegallai911@gmail.com")</f>
        <v>zegallai911@gmail.com</v>
      </c>
      <c r="E188" s="1" t="str">
        <f>IFERROR(__xludf.DUMMYFUNCTION("""COMPUTED_VALUE"""),"MachineRefills_Images/de87b991.MachinePhoto.130642.jpg")</f>
        <v>MachineRefills_Images/de87b991.MachinePhoto.130642.jpg</v>
      </c>
      <c r="F188" s="1" t="str">
        <f>IFERROR(__xludf.DUMMYFUNCTION("""COMPUTED_VALUE"""),"Partial")</f>
        <v>Partial</v>
      </c>
      <c r="G188" s="1" t="b">
        <f>IFERROR(__xludf.DUMMYFUNCTION("""COMPUTED_VALUE"""),FALSE)</f>
        <v>0</v>
      </c>
      <c r="H188" s="1"/>
    </row>
    <row r="189">
      <c r="A189" s="1" t="str">
        <f>IFERROR(__xludf.DUMMYFUNCTION("""COMPUTED_VALUE"""),"ad4ebd39")</f>
        <v>ad4ebd39</v>
      </c>
      <c r="B189" s="32">
        <f>IFERROR(__xludf.DUMMYFUNCTION("""COMPUTED_VALUE"""),46114.05741898148)</f>
        <v>46114.05742</v>
      </c>
      <c r="C189" s="1" t="str">
        <f>IFERROR(__xludf.DUMMYFUNCTION("""COMPUTED_VALUE"""),"2509000370")</f>
        <v>2509000370</v>
      </c>
      <c r="D189" s="1" t="str">
        <f>IFERROR(__xludf.DUMMYFUNCTION("""COMPUTED_VALUE"""),"anasgherfal@gmail.com")</f>
        <v>anasgherfal@gmail.com</v>
      </c>
      <c r="E189" s="1" t="str">
        <f>IFERROR(__xludf.DUMMYFUNCTION("""COMPUTED_VALUE"""),"MachineRefills_Images/ad4ebd39.MachinePhoto.232319.jpg")</f>
        <v>MachineRefills_Images/ad4ebd39.MachinePhoto.232319.jpg</v>
      </c>
      <c r="F189" s="1" t="str">
        <f>IFERROR(__xludf.DUMMYFUNCTION("""COMPUTED_VALUE"""),"Partial")</f>
        <v>Partial</v>
      </c>
      <c r="G189" s="1" t="b">
        <f>IFERROR(__xludf.DUMMYFUNCTION("""COMPUTED_VALUE"""),FALSE)</f>
        <v>0</v>
      </c>
      <c r="H189" s="1"/>
    </row>
    <row r="190">
      <c r="A190" s="1" t="str">
        <f>IFERROR(__xludf.DUMMYFUNCTION("""COMPUTED_VALUE"""),"1d95f531")</f>
        <v>1d95f531</v>
      </c>
      <c r="B190" s="32">
        <f>IFERROR(__xludf.DUMMYFUNCTION("""COMPUTED_VALUE"""),46115.64037037037)</f>
        <v>46115.64037</v>
      </c>
      <c r="C190" s="1" t="str">
        <f>IFERROR(__xludf.DUMMYFUNCTION("""COMPUTED_VALUE"""),"2509000371")</f>
        <v>2509000371</v>
      </c>
      <c r="D190" s="1" t="str">
        <f>IFERROR(__xludf.DUMMYFUNCTION("""COMPUTED_VALUE"""),"zegallai911@gmail.com")</f>
        <v>zegallai911@gmail.com</v>
      </c>
      <c r="E190" s="1" t="str">
        <f>IFERROR(__xludf.DUMMYFUNCTION("""COMPUTED_VALUE"""),"MachineRefills_Images/1d95f531.MachinePhoto.132227.jpg")</f>
        <v>MachineRefills_Images/1d95f531.MachinePhoto.132227.jpg</v>
      </c>
      <c r="F190" s="1" t="str">
        <f>IFERROR(__xludf.DUMMYFUNCTION("""COMPUTED_VALUE"""),"Partial")</f>
        <v>Partial</v>
      </c>
      <c r="G190" s="1" t="b">
        <f>IFERROR(__xludf.DUMMYFUNCTION("""COMPUTED_VALUE"""),FALSE)</f>
        <v>0</v>
      </c>
      <c r="H190" s="1"/>
    </row>
    <row r="191">
      <c r="A191" s="1" t="str">
        <f>IFERROR(__xludf.DUMMYFUNCTION("""COMPUTED_VALUE"""),"5d9895a7")</f>
        <v>5d9895a7</v>
      </c>
      <c r="B191" s="32">
        <f>IFERROR(__xludf.DUMMYFUNCTION("""COMPUTED_VALUE"""),46116.014085648145)</f>
        <v>46116.01409</v>
      </c>
      <c r="C191" s="1" t="str">
        <f>IFERROR(__xludf.DUMMYFUNCTION("""COMPUTED_VALUE"""),"2509000370")</f>
        <v>2509000370</v>
      </c>
      <c r="D191" s="1" t="str">
        <f>IFERROR(__xludf.DUMMYFUNCTION("""COMPUTED_VALUE"""),"anasgherfal@gmail.com")</f>
        <v>anasgherfal@gmail.com</v>
      </c>
      <c r="E191" s="1" t="str">
        <f>IFERROR(__xludf.DUMMYFUNCTION("""COMPUTED_VALUE"""),"MachineRefills_Images/5d9895a7.MachinePhoto.222044.jpg")</f>
        <v>MachineRefills_Images/5d9895a7.MachinePhoto.222044.jpg</v>
      </c>
      <c r="F191" s="1" t="str">
        <f>IFERROR(__xludf.DUMMYFUNCTION("""COMPUTED_VALUE"""),"Partial")</f>
        <v>Partial</v>
      </c>
      <c r="G191" s="1" t="b">
        <f>IFERROR(__xludf.DUMMYFUNCTION("""COMPUTED_VALUE"""),FALSE)</f>
        <v>0</v>
      </c>
      <c r="H191" s="1"/>
    </row>
    <row r="192">
      <c r="A192" s="1" t="str">
        <f>IFERROR(__xludf.DUMMYFUNCTION("""COMPUTED_VALUE"""),"8d22f9ab")</f>
        <v>8d22f9ab</v>
      </c>
      <c r="B192" s="32">
        <f>IFERROR(__xludf.DUMMYFUNCTION("""COMPUTED_VALUE"""),46116.63947916667)</f>
        <v>46116.63948</v>
      </c>
      <c r="C192" s="1" t="str">
        <f>IFERROR(__xludf.DUMMYFUNCTION("""COMPUTED_VALUE"""),"2503000216")</f>
        <v>2503000216</v>
      </c>
      <c r="D192" s="1" t="str">
        <f>IFERROR(__xludf.DUMMYFUNCTION("""COMPUTED_VALUE"""),"zegallai911@gmail.com")</f>
        <v>zegallai911@gmail.com</v>
      </c>
      <c r="E192" s="1" t="str">
        <f>IFERROR(__xludf.DUMMYFUNCTION("""COMPUTED_VALUE"""),"MachineRefills_Images/8d22f9ab.MachinePhoto.132119.jpg")</f>
        <v>MachineRefills_Images/8d22f9ab.MachinePhoto.132119.jpg</v>
      </c>
      <c r="F192" s="1" t="str">
        <f>IFERROR(__xludf.DUMMYFUNCTION("""COMPUTED_VALUE"""),"Partial")</f>
        <v>Partial</v>
      </c>
      <c r="G192" s="1" t="b">
        <f>IFERROR(__xludf.DUMMYFUNCTION("""COMPUTED_VALUE"""),FALSE)</f>
        <v>0</v>
      </c>
      <c r="H192" s="1"/>
    </row>
    <row r="193">
      <c r="A193" s="1" t="str">
        <f>IFERROR(__xludf.DUMMYFUNCTION("""COMPUTED_VALUE"""),"4d5dce98")</f>
        <v>4d5dce98</v>
      </c>
      <c r="B193" s="32">
        <f>IFERROR(__xludf.DUMMYFUNCTION("""COMPUTED_VALUE"""),46116.70545138889)</f>
        <v>46116.70545</v>
      </c>
      <c r="C193" s="1" t="str">
        <f>IFERROR(__xludf.DUMMYFUNCTION("""COMPUTED_VALUE"""),"2509000369")</f>
        <v>2509000369</v>
      </c>
      <c r="D193" s="1" t="str">
        <f>IFERROR(__xludf.DUMMYFUNCTION("""COMPUTED_VALUE"""),"zegallai911@gmail.com")</f>
        <v>zegallai911@gmail.com</v>
      </c>
      <c r="E193" s="1" t="str">
        <f>IFERROR(__xludf.DUMMYFUNCTION("""COMPUTED_VALUE"""),"MachineRefills_Images/4d5dce98.MachinePhoto.145607.jpg")</f>
        <v>MachineRefills_Images/4d5dce98.MachinePhoto.145607.jpg</v>
      </c>
      <c r="F193" s="1" t="str">
        <f>IFERROR(__xludf.DUMMYFUNCTION("""COMPUTED_VALUE"""),"Partial")</f>
        <v>Partial</v>
      </c>
      <c r="G193" s="1" t="b">
        <f>IFERROR(__xludf.DUMMYFUNCTION("""COMPUTED_VALUE"""),FALSE)</f>
        <v>0</v>
      </c>
      <c r="H193" s="1"/>
    </row>
    <row r="194">
      <c r="A194" s="1" t="str">
        <f>IFERROR(__xludf.DUMMYFUNCTION("""COMPUTED_VALUE"""),"0c8cc668")</f>
        <v>0c8cc668</v>
      </c>
      <c r="B194" s="32">
        <f>IFERROR(__xludf.DUMMYFUNCTION("""COMPUTED_VALUE"""),46117.67289351852)</f>
        <v>46117.67289</v>
      </c>
      <c r="C194" s="1" t="str">
        <f>IFERROR(__xludf.DUMMYFUNCTION("""COMPUTED_VALUE"""),"2509000371")</f>
        <v>2509000371</v>
      </c>
      <c r="D194" s="1" t="str">
        <f>IFERROR(__xludf.DUMMYFUNCTION("""COMPUTED_VALUE"""),"zegallai911@gmail.com")</f>
        <v>zegallai911@gmail.com</v>
      </c>
      <c r="E194" s="1" t="str">
        <f>IFERROR(__xludf.DUMMYFUNCTION("""COMPUTED_VALUE"""),"MachineRefills_Images/0c8cc668.MachinePhoto.140916.jpg")</f>
        <v>MachineRefills_Images/0c8cc668.MachinePhoto.140916.jpg</v>
      </c>
      <c r="F194" s="1" t="str">
        <f>IFERROR(__xludf.DUMMYFUNCTION("""COMPUTED_VALUE"""),"Partial")</f>
        <v>Partial</v>
      </c>
      <c r="G194" s="1" t="b">
        <f>IFERROR(__xludf.DUMMYFUNCTION("""COMPUTED_VALUE"""),FALSE)</f>
        <v>0</v>
      </c>
      <c r="H194" s="1"/>
    </row>
    <row r="195">
      <c r="A195" s="1" t="str">
        <f>IFERROR(__xludf.DUMMYFUNCTION("""COMPUTED_VALUE"""),"aa8d74e4")</f>
        <v>aa8d74e4</v>
      </c>
      <c r="B195" s="32">
        <f>IFERROR(__xludf.DUMMYFUNCTION("""COMPUTED_VALUE"""),46117.83572916667)</f>
        <v>46117.83573</v>
      </c>
      <c r="C195" s="1" t="str">
        <f>IFERROR(__xludf.DUMMYFUNCTION("""COMPUTED_VALUE"""),"2509000370")</f>
        <v>2509000370</v>
      </c>
      <c r="D195" s="1" t="str">
        <f>IFERROR(__xludf.DUMMYFUNCTION("""COMPUTED_VALUE"""),"anasgherfal@gmail.com")</f>
        <v>anasgherfal@gmail.com</v>
      </c>
      <c r="E195" s="1" t="str">
        <f>IFERROR(__xludf.DUMMYFUNCTION("""COMPUTED_VALUE"""),"MachineRefills_Images/aa8d74e4.MachinePhoto.180344.jpg")</f>
        <v>MachineRefills_Images/aa8d74e4.MachinePhoto.180344.jpg</v>
      </c>
      <c r="F195" s="1" t="str">
        <f>IFERROR(__xludf.DUMMYFUNCTION("""COMPUTED_VALUE"""),"Partial")</f>
        <v>Partial</v>
      </c>
      <c r="G195" s="1" t="b">
        <f>IFERROR(__xludf.DUMMYFUNCTION("""COMPUTED_VALUE"""),FALSE)</f>
        <v>0</v>
      </c>
      <c r="H195" s="1"/>
    </row>
    <row r="196">
      <c r="A196" s="1" t="str">
        <f>IFERROR(__xludf.DUMMYFUNCTION("""COMPUTED_VALUE"""),"b71cf364")</f>
        <v>b71cf364</v>
      </c>
      <c r="B196" s="32">
        <f>IFERROR(__xludf.DUMMYFUNCTION("""COMPUTED_VALUE"""),46118.93917824074)</f>
        <v>46118.93918</v>
      </c>
      <c r="C196" s="1">
        <f>IFERROR(__xludf.DUMMYFUNCTION("""COMPUTED_VALUE"""),2.510001719E9)</f>
        <v>2510001719</v>
      </c>
      <c r="D196" s="1" t="str">
        <f>IFERROR(__xludf.DUMMYFUNCTION("""COMPUTED_VALUE"""),"anasgherfal@gmail.com")</f>
        <v>anasgherfal@gmail.com</v>
      </c>
      <c r="E196" s="1" t="str">
        <f>IFERROR(__xludf.DUMMYFUNCTION("""COMPUTED_VALUE"""),"MachineRefills_Images/b71cf364.MachinePhoto.203259.jpg")</f>
        <v>MachineRefills_Images/b71cf364.MachinePhoto.203259.jpg</v>
      </c>
      <c r="F196" s="1" t="str">
        <f>IFERROR(__xludf.DUMMYFUNCTION("""COMPUTED_VALUE"""),"Partial")</f>
        <v>Partial</v>
      </c>
      <c r="G196" s="1" t="b">
        <f>IFERROR(__xludf.DUMMYFUNCTION("""COMPUTED_VALUE"""),FALSE)</f>
        <v>0</v>
      </c>
      <c r="H196" s="1"/>
    </row>
    <row r="197">
      <c r="A197" s="1" t="str">
        <f>IFERROR(__xludf.DUMMYFUNCTION("""COMPUTED_VALUE"""),"a37b438e")</f>
        <v>a37b438e</v>
      </c>
      <c r="B197" s="32">
        <f>IFERROR(__xludf.DUMMYFUNCTION("""COMPUTED_VALUE"""),46119.16185185185)</f>
        <v>46119.16185</v>
      </c>
      <c r="C197" s="1" t="str">
        <f>IFERROR(__xludf.DUMMYFUNCTION("""COMPUTED_VALUE"""),"2411000046")</f>
        <v>2411000046</v>
      </c>
      <c r="D197" s="1" t="str">
        <f>IFERROR(__xludf.DUMMYFUNCTION("""COMPUTED_VALUE"""),"anasgherfal@gmail.com")</f>
        <v>anasgherfal@gmail.com</v>
      </c>
      <c r="E197" s="1" t="str">
        <f>IFERROR(__xludf.DUMMYFUNCTION("""COMPUTED_VALUE"""),"MachineRefills_Images/a37b438e.MachinePhoto.015323.jpg")</f>
        <v>MachineRefills_Images/a37b438e.MachinePhoto.015323.jpg</v>
      </c>
      <c r="F197" s="1" t="str">
        <f>IFERROR(__xludf.DUMMYFUNCTION("""COMPUTED_VALUE"""),"Full")</f>
        <v>Full</v>
      </c>
      <c r="G197" s="1" t="b">
        <f>IFERROR(__xludf.DUMMYFUNCTION("""COMPUTED_VALUE"""),FALSE)</f>
        <v>0</v>
      </c>
      <c r="H197" s="1"/>
    </row>
    <row r="198">
      <c r="A198" s="1" t="str">
        <f>IFERROR(__xludf.DUMMYFUNCTION("""COMPUTED_VALUE"""),"be0e7211")</f>
        <v>be0e7211</v>
      </c>
      <c r="B198" s="32">
        <f>IFERROR(__xludf.DUMMYFUNCTION("""COMPUTED_VALUE"""),46119.90358796297)</f>
        <v>46119.90359</v>
      </c>
      <c r="C198" s="1">
        <f>IFERROR(__xludf.DUMMYFUNCTION("""COMPUTED_VALUE"""),2.510001719E9)</f>
        <v>2510001719</v>
      </c>
      <c r="D198" s="1" t="str">
        <f>IFERROR(__xludf.DUMMYFUNCTION("""COMPUTED_VALUE"""),"anasgherfal@gmail.com")</f>
        <v>anasgherfal@gmail.com</v>
      </c>
      <c r="E198" s="1" t="str">
        <f>IFERROR(__xludf.DUMMYFUNCTION("""COMPUTED_VALUE"""),"MachineRefills_Images/be0e7211.MachinePhoto.194128.jpg")</f>
        <v>MachineRefills_Images/be0e7211.MachinePhoto.194128.jpg</v>
      </c>
      <c r="F198" s="1" t="str">
        <f>IFERROR(__xludf.DUMMYFUNCTION("""COMPUTED_VALUE"""),"Full")</f>
        <v>Full</v>
      </c>
      <c r="G198" s="1" t="b">
        <f>IFERROR(__xludf.DUMMYFUNCTION("""COMPUTED_VALUE"""),FALSE)</f>
        <v>0</v>
      </c>
      <c r="H198" s="1"/>
    </row>
    <row r="199">
      <c r="A199" s="1" t="str">
        <f>IFERROR(__xludf.DUMMYFUNCTION("""COMPUTED_VALUE"""),"0ee40f85")</f>
        <v>0ee40f85</v>
      </c>
      <c r="B199" s="32">
        <f>IFERROR(__xludf.DUMMYFUNCTION("""COMPUTED_VALUE"""),46119.84097222222)</f>
        <v>46119.84097</v>
      </c>
      <c r="C199" s="1" t="str">
        <f>IFERROR(__xludf.DUMMYFUNCTION("""COMPUTED_VALUE"""),"2509000370")</f>
        <v>2509000370</v>
      </c>
      <c r="D199" s="1" t="str">
        <f>IFERROR(__xludf.DUMMYFUNCTION("""COMPUTED_VALUE"""),"anasgherfal@gmail.com")</f>
        <v>anasgherfal@gmail.com</v>
      </c>
      <c r="E199" s="1" t="str">
        <f>IFERROR(__xludf.DUMMYFUNCTION("""COMPUTED_VALUE"""),"MachineRefills_Images/0ee40f85.MachinePhoto.231210.jpg")</f>
        <v>MachineRefills_Images/0ee40f85.MachinePhoto.231210.jpg</v>
      </c>
      <c r="F199" s="1" t="str">
        <f>IFERROR(__xludf.DUMMYFUNCTION("""COMPUTED_VALUE"""),"Partial")</f>
        <v>Partial</v>
      </c>
      <c r="G199" s="1" t="b">
        <f>IFERROR(__xludf.DUMMYFUNCTION("""COMPUTED_VALUE"""),FALSE)</f>
        <v>0</v>
      </c>
      <c r="H199" s="1"/>
    </row>
    <row r="200">
      <c r="A200" s="1" t="str">
        <f>IFERROR(__xludf.DUMMYFUNCTION("""COMPUTED_VALUE"""),"29aac7b2")</f>
        <v>29aac7b2</v>
      </c>
      <c r="B200" s="32">
        <f>IFERROR(__xludf.DUMMYFUNCTION("""COMPUTED_VALUE"""),46120.697650462964)</f>
        <v>46120.69765</v>
      </c>
      <c r="C200" s="1" t="str">
        <f>IFERROR(__xludf.DUMMYFUNCTION("""COMPUTED_VALUE"""),"2509000371")</f>
        <v>2509000371</v>
      </c>
      <c r="D200" s="1" t="str">
        <f>IFERROR(__xludf.DUMMYFUNCTION("""COMPUTED_VALUE"""),"zegallai911@gmail.com")</f>
        <v>zegallai911@gmail.com</v>
      </c>
      <c r="E200" s="1" t="str">
        <f>IFERROR(__xludf.DUMMYFUNCTION("""COMPUTED_VALUE"""),"MachineRefills_Images/29aac7b2.MachinePhoto.144456.jpg")</f>
        <v>MachineRefills_Images/29aac7b2.MachinePhoto.144456.jpg</v>
      </c>
      <c r="F200" s="1" t="str">
        <f>IFERROR(__xludf.DUMMYFUNCTION("""COMPUTED_VALUE"""),"Full")</f>
        <v>Full</v>
      </c>
      <c r="G200" s="1" t="b">
        <f>IFERROR(__xludf.DUMMYFUNCTION("""COMPUTED_VALUE"""),FALSE)</f>
        <v>0</v>
      </c>
      <c r="H200" s="1"/>
    </row>
    <row r="201">
      <c r="A201" s="1" t="str">
        <f>IFERROR(__xludf.DUMMYFUNCTION("""COMPUTED_VALUE"""),"ba28cfb7")</f>
        <v>ba28cfb7</v>
      </c>
      <c r="B201" s="32">
        <f>IFERROR(__xludf.DUMMYFUNCTION("""COMPUTED_VALUE"""),46120.90369212963)</f>
        <v>46120.90369</v>
      </c>
      <c r="C201" s="1">
        <f>IFERROR(__xludf.DUMMYFUNCTION("""COMPUTED_VALUE"""),2.510001719E9)</f>
        <v>2510001719</v>
      </c>
      <c r="D201" s="1" t="str">
        <f>IFERROR(__xludf.DUMMYFUNCTION("""COMPUTED_VALUE"""),"anasgherfal@gmail.com")</f>
        <v>anasgherfal@gmail.com</v>
      </c>
      <c r="E201" s="1" t="str">
        <f>IFERROR(__xludf.DUMMYFUNCTION("""COMPUTED_VALUE"""),"MachineRefills_Images/ba28cfb7.MachinePhoto.194135.jpg")</f>
        <v>MachineRefills_Images/ba28cfb7.MachinePhoto.194135.jpg</v>
      </c>
      <c r="F201" s="1" t="str">
        <f>IFERROR(__xludf.DUMMYFUNCTION("""COMPUTED_VALUE"""),"Partial")</f>
        <v>Partial</v>
      </c>
      <c r="G201" s="1" t="b">
        <f>IFERROR(__xludf.DUMMYFUNCTION("""COMPUTED_VALUE"""),FALSE)</f>
        <v>0</v>
      </c>
      <c r="H201" s="1"/>
    </row>
    <row r="202">
      <c r="A202" s="1" t="str">
        <f>IFERROR(__xludf.DUMMYFUNCTION("""COMPUTED_VALUE"""),"7c679842")</f>
        <v>7c679842</v>
      </c>
      <c r="B202" s="32">
        <f>IFERROR(__xludf.DUMMYFUNCTION("""COMPUTED_VALUE"""),46121.73474537037)</f>
        <v>46121.73475</v>
      </c>
      <c r="C202" s="1" t="str">
        <f>IFERROR(__xludf.DUMMYFUNCTION("""COMPUTED_VALUE"""),"2503000216")</f>
        <v>2503000216</v>
      </c>
      <c r="D202" s="1" t="str">
        <f>IFERROR(__xludf.DUMMYFUNCTION("""COMPUTED_VALUE"""),"zegallai911@gmail.com")</f>
        <v>zegallai911@gmail.com</v>
      </c>
      <c r="E202" s="1" t="str">
        <f>IFERROR(__xludf.DUMMYFUNCTION("""COMPUTED_VALUE"""),"MachineRefills_Images/7c679842.MachinePhoto.153820.jpg")</f>
        <v>MachineRefills_Images/7c679842.MachinePhoto.153820.jpg</v>
      </c>
      <c r="F202" s="1" t="str">
        <f>IFERROR(__xludf.DUMMYFUNCTION("""COMPUTED_VALUE"""),"Partial")</f>
        <v>Partial</v>
      </c>
      <c r="G202" s="1" t="b">
        <f>IFERROR(__xludf.DUMMYFUNCTION("""COMPUTED_VALUE"""),FALSE)</f>
        <v>0</v>
      </c>
      <c r="H202" s="1"/>
    </row>
    <row r="203">
      <c r="A203" s="1" t="str">
        <f>IFERROR(__xludf.DUMMYFUNCTION("""COMPUTED_VALUE"""),"3479d075")</f>
        <v>3479d075</v>
      </c>
      <c r="B203" s="32">
        <f>IFERROR(__xludf.DUMMYFUNCTION("""COMPUTED_VALUE"""),46122.07638888889)</f>
        <v>46122.07639</v>
      </c>
      <c r="C203" s="1" t="str">
        <f>IFERROR(__xludf.DUMMYFUNCTION("""COMPUTED_VALUE"""),"2509000369")</f>
        <v>2509000369</v>
      </c>
      <c r="D203" s="1" t="str">
        <f>IFERROR(__xludf.DUMMYFUNCTION("""COMPUTED_VALUE"""),"zegallai911@gmail.com")</f>
        <v>zegallai911@gmail.com</v>
      </c>
      <c r="E203" s="1" t="str">
        <f>IFERROR(__xludf.DUMMYFUNCTION("""COMPUTED_VALUE"""),"MachineRefills_Images/3479d075.MachinePhoto.235017.jpg")</f>
        <v>MachineRefills_Images/3479d075.MachinePhoto.235017.jpg</v>
      </c>
      <c r="F203" s="1" t="str">
        <f>IFERROR(__xludf.DUMMYFUNCTION("""COMPUTED_VALUE"""),"Partial")</f>
        <v>Partial</v>
      </c>
      <c r="G203" s="1" t="b">
        <f>IFERROR(__xludf.DUMMYFUNCTION("""COMPUTED_VALUE"""),FALSE)</f>
        <v>0</v>
      </c>
      <c r="H203" s="1"/>
    </row>
    <row r="204">
      <c r="A204" s="1" t="str">
        <f>IFERROR(__xludf.DUMMYFUNCTION("""COMPUTED_VALUE"""),"ee157516")</f>
        <v>ee157516</v>
      </c>
      <c r="B204" s="32">
        <f>IFERROR(__xludf.DUMMYFUNCTION("""COMPUTED_VALUE"""),46122.6397337963)</f>
        <v>46122.63973</v>
      </c>
      <c r="C204" s="1" t="str">
        <f>IFERROR(__xludf.DUMMYFUNCTION("""COMPUTED_VALUE"""),"2509000371")</f>
        <v>2509000371</v>
      </c>
      <c r="D204" s="1" t="str">
        <f>IFERROR(__xludf.DUMMYFUNCTION("""COMPUTED_VALUE"""),"zegallai911@gmail.com")</f>
        <v>zegallai911@gmail.com</v>
      </c>
      <c r="E204" s="1" t="str">
        <f>IFERROR(__xludf.DUMMYFUNCTION("""COMPUTED_VALUE"""),"MachineRefills_Images/ee157516.MachinePhoto.132133.jpg")</f>
        <v>MachineRefills_Images/ee157516.MachinePhoto.132133.jpg</v>
      </c>
      <c r="F204" s="1" t="str">
        <f>IFERROR(__xludf.DUMMYFUNCTION("""COMPUTED_VALUE"""),"Partial")</f>
        <v>Partial</v>
      </c>
      <c r="G204" s="1" t="b">
        <f>IFERROR(__xludf.DUMMYFUNCTION("""COMPUTED_VALUE"""),FALSE)</f>
        <v>0</v>
      </c>
      <c r="H204" s="1"/>
    </row>
    <row r="205">
      <c r="A205" s="1" t="str">
        <f>IFERROR(__xludf.DUMMYFUNCTION("""COMPUTED_VALUE"""),"fcabf903")</f>
        <v>fcabf903</v>
      </c>
      <c r="B205" s="32">
        <f>IFERROR(__xludf.DUMMYFUNCTION("""COMPUTED_VALUE"""),46122.90765046296)</f>
        <v>46122.90765</v>
      </c>
      <c r="C205" s="1" t="str">
        <f>IFERROR(__xludf.DUMMYFUNCTION("""COMPUTED_VALUE"""),"2509000370")</f>
        <v>2509000370</v>
      </c>
      <c r="D205" s="1" t="str">
        <f>IFERROR(__xludf.DUMMYFUNCTION("""COMPUTED_VALUE"""),"anasgherfal@gmail.com")</f>
        <v>anasgherfal@gmail.com</v>
      </c>
      <c r="E205" s="1" t="str">
        <f>IFERROR(__xludf.DUMMYFUNCTION("""COMPUTED_VALUE"""),"MachineRefills_Images/fcabf903.MachinePhoto.194718.jpg")</f>
        <v>MachineRefills_Images/fcabf903.MachinePhoto.194718.jpg</v>
      </c>
      <c r="F205" s="1" t="str">
        <f>IFERROR(__xludf.DUMMYFUNCTION("""COMPUTED_VALUE"""),"Partial")</f>
        <v>Partial</v>
      </c>
      <c r="G205" s="1" t="b">
        <f>IFERROR(__xludf.DUMMYFUNCTION("""COMPUTED_VALUE"""),FALSE)</f>
        <v>0</v>
      </c>
      <c r="H205" s="1"/>
    </row>
    <row r="206">
      <c r="A206" s="1" t="str">
        <f>IFERROR(__xludf.DUMMYFUNCTION("""COMPUTED_VALUE"""),"b189f72a")</f>
        <v>b189f72a</v>
      </c>
      <c r="B206" s="32">
        <f>IFERROR(__xludf.DUMMYFUNCTION("""COMPUTED_VALUE"""),46124.14434027778)</f>
        <v>46124.14434</v>
      </c>
      <c r="C206" s="1" t="str">
        <f>IFERROR(__xludf.DUMMYFUNCTION("""COMPUTED_VALUE"""),"2411000046")</f>
        <v>2411000046</v>
      </c>
      <c r="D206" s="1" t="str">
        <f>IFERROR(__xludf.DUMMYFUNCTION("""COMPUTED_VALUE"""),"anasgherfal@gmail.com")</f>
        <v>anasgherfal@gmail.com</v>
      </c>
      <c r="E206" s="1" t="str">
        <f>IFERROR(__xludf.DUMMYFUNCTION("""COMPUTED_VALUE"""),"MachineRefills_Images/b189f72a.MachinePhoto.012809.jpg")</f>
        <v>MachineRefills_Images/b189f72a.MachinePhoto.012809.jpg</v>
      </c>
      <c r="F206" s="1" t="str">
        <f>IFERROR(__xludf.DUMMYFUNCTION("""COMPUTED_VALUE"""),"Partial")</f>
        <v>Partial</v>
      </c>
      <c r="G206" s="1" t="b">
        <f>IFERROR(__xludf.DUMMYFUNCTION("""COMPUTED_VALUE"""),FALSE)</f>
        <v>0</v>
      </c>
      <c r="H206" s="1"/>
    </row>
    <row r="207">
      <c r="A207" s="1" t="str">
        <f>IFERROR(__xludf.DUMMYFUNCTION("""COMPUTED_VALUE"""),"2b9b70c6")</f>
        <v>2b9b70c6</v>
      </c>
      <c r="B207" s="32">
        <f>IFERROR(__xludf.DUMMYFUNCTION("""COMPUTED_VALUE"""),46124.64040509259)</f>
        <v>46124.64041</v>
      </c>
      <c r="C207" s="1" t="str">
        <f>IFERROR(__xludf.DUMMYFUNCTION("""COMPUTED_VALUE"""),"2509000371")</f>
        <v>2509000371</v>
      </c>
      <c r="D207" s="1" t="str">
        <f>IFERROR(__xludf.DUMMYFUNCTION("""COMPUTED_VALUE"""),"zegallai911@gmail.com")</f>
        <v>zegallai911@gmail.com</v>
      </c>
      <c r="E207" s="1" t="str">
        <f>IFERROR(__xludf.DUMMYFUNCTION("""COMPUTED_VALUE"""),"MachineRefills_Images/2b9b70c6.MachinePhoto.132229.jpg")</f>
        <v>MachineRefills_Images/2b9b70c6.MachinePhoto.132229.jpg</v>
      </c>
      <c r="F207" s="1" t="str">
        <f>IFERROR(__xludf.DUMMYFUNCTION("""COMPUTED_VALUE"""),"Full")</f>
        <v>Full</v>
      </c>
      <c r="G207" s="1" t="b">
        <f>IFERROR(__xludf.DUMMYFUNCTION("""COMPUTED_VALUE"""),FALSE)</f>
        <v>0</v>
      </c>
      <c r="H207" s="1"/>
    </row>
    <row r="208">
      <c r="A208" s="1" t="str">
        <f>IFERROR(__xludf.DUMMYFUNCTION("""COMPUTED_VALUE"""),"6f7b376a")</f>
        <v>6f7b376a</v>
      </c>
      <c r="B208" s="32">
        <f>IFERROR(__xludf.DUMMYFUNCTION("""COMPUTED_VALUE"""),46124.66458333333)</f>
        <v>46124.66458</v>
      </c>
      <c r="C208" s="1" t="str">
        <f>IFERROR(__xludf.DUMMYFUNCTION("""COMPUTED_VALUE"""),"2503000216")</f>
        <v>2503000216</v>
      </c>
      <c r="D208" s="1" t="str">
        <f>IFERROR(__xludf.DUMMYFUNCTION("""COMPUTED_VALUE"""),"zegallai911@gmail.com")</f>
        <v>zegallai911@gmail.com</v>
      </c>
      <c r="E208" s="1" t="str">
        <f>IFERROR(__xludf.DUMMYFUNCTION("""COMPUTED_VALUE"""),"MachineRefills_Images/6f7b376a.MachinePhoto.135724.jpg")</f>
        <v>MachineRefills_Images/6f7b376a.MachinePhoto.135724.jpg</v>
      </c>
      <c r="F208" s="1" t="str">
        <f>IFERROR(__xludf.DUMMYFUNCTION("""COMPUTED_VALUE"""),"Partial")</f>
        <v>Partial</v>
      </c>
      <c r="G208" s="1" t="b">
        <f>IFERROR(__xludf.DUMMYFUNCTION("""COMPUTED_VALUE"""),TRUE)</f>
        <v>1</v>
      </c>
      <c r="H208" s="1" t="str">
        <f>IFERROR(__xludf.DUMMYFUNCTION("""COMPUTED_VALUE"""),"خمسين قرش عالق")</f>
        <v>خمسين قرش عالق</v>
      </c>
    </row>
    <row r="209">
      <c r="A209" s="1" t="str">
        <f>IFERROR(__xludf.DUMMYFUNCTION("""COMPUTED_VALUE"""),"82ff2833")</f>
        <v>82ff2833</v>
      </c>
      <c r="B209" s="32">
        <f>IFERROR(__xludf.DUMMYFUNCTION("""COMPUTED_VALUE"""),46123.01111111111)</f>
        <v>46123.01111</v>
      </c>
      <c r="C209" s="1" t="str">
        <f>IFERROR(__xludf.DUMMYFUNCTION("""COMPUTED_VALUE"""),"2509000370")</f>
        <v>2509000370</v>
      </c>
      <c r="D209" s="1" t="str">
        <f>IFERROR(__xludf.DUMMYFUNCTION("""COMPUTED_VALUE"""),"anasgherfal@gmail.com")</f>
        <v>anasgherfal@gmail.com</v>
      </c>
      <c r="E209" s="1" t="str">
        <f>IFERROR(__xludf.DUMMYFUNCTION("""COMPUTED_VALUE"""),"MachineRefills_Images/82ff2833.MachinePhoto.221703.jpg")</f>
        <v>MachineRefills_Images/82ff2833.MachinePhoto.221703.jpg</v>
      </c>
      <c r="F209" s="1" t="str">
        <f>IFERROR(__xludf.DUMMYFUNCTION("""COMPUTED_VALUE"""),"Partial")</f>
        <v>Partial</v>
      </c>
      <c r="G209" s="1" t="b">
        <f>IFERROR(__xludf.DUMMYFUNCTION("""COMPUTED_VALUE"""),FALSE)</f>
        <v>0</v>
      </c>
      <c r="H209" s="1"/>
    </row>
    <row r="210">
      <c r="A210" s="1" t="str">
        <f>IFERROR(__xludf.DUMMYFUNCTION("""COMPUTED_VALUE"""),"12d42657")</f>
        <v>12d42657</v>
      </c>
      <c r="B210" s="32">
        <f>IFERROR(__xludf.DUMMYFUNCTION("""COMPUTED_VALUE"""),46124.970138888886)</f>
        <v>46124.97014</v>
      </c>
      <c r="C210" s="1" t="str">
        <f>IFERROR(__xludf.DUMMYFUNCTION("""COMPUTED_VALUE"""),"2509000370")</f>
        <v>2509000370</v>
      </c>
      <c r="D210" s="1" t="str">
        <f>IFERROR(__xludf.DUMMYFUNCTION("""COMPUTED_VALUE"""),"anasgherfal@gmail.com")</f>
        <v>anasgherfal@gmail.com</v>
      </c>
      <c r="E210" s="1" t="str">
        <f>IFERROR(__xludf.DUMMYFUNCTION("""COMPUTED_VALUE"""),"MachineRefills_Images/12d42657.MachinePhoto.221800.jpg")</f>
        <v>MachineRefills_Images/12d42657.MachinePhoto.221800.jpg</v>
      </c>
      <c r="F210" s="1" t="str">
        <f>IFERROR(__xludf.DUMMYFUNCTION("""COMPUTED_VALUE"""),"Partial")</f>
        <v>Partial</v>
      </c>
      <c r="G210" s="1" t="b">
        <f>IFERROR(__xludf.DUMMYFUNCTION("""COMPUTED_VALUE"""),FALSE)</f>
        <v>0</v>
      </c>
      <c r="H210" s="1"/>
    </row>
    <row r="211">
      <c r="A211" s="1" t="str">
        <f>IFERROR(__xludf.DUMMYFUNCTION("""COMPUTED_VALUE"""),"1d3f199f")</f>
        <v>1d3f199f</v>
      </c>
      <c r="B211" s="32">
        <f>IFERROR(__xludf.DUMMYFUNCTION("""COMPUTED_VALUE"""),46125.0125)</f>
        <v>46125.0125</v>
      </c>
      <c r="C211" s="1">
        <f>IFERROR(__xludf.DUMMYFUNCTION("""COMPUTED_VALUE"""),2.510001719E9)</f>
        <v>2510001719</v>
      </c>
      <c r="D211" s="1" t="str">
        <f>IFERROR(__xludf.DUMMYFUNCTION("""COMPUTED_VALUE"""),"anasgherfal@gmail.com")</f>
        <v>anasgherfal@gmail.com</v>
      </c>
      <c r="E211" s="1" t="str">
        <f>IFERROR(__xludf.DUMMYFUNCTION("""COMPUTED_VALUE"""),"MachineRefills_Images/1d3f199f.MachinePhoto.221829.jpg")</f>
        <v>MachineRefills_Images/1d3f199f.MachinePhoto.221829.jpg</v>
      </c>
      <c r="F211" s="1" t="str">
        <f>IFERROR(__xludf.DUMMYFUNCTION("""COMPUTED_VALUE"""),"Full")</f>
        <v>Full</v>
      </c>
      <c r="G211" s="1" t="b">
        <f>IFERROR(__xludf.DUMMYFUNCTION("""COMPUTED_VALUE"""),FALSE)</f>
        <v>0</v>
      </c>
      <c r="H211" s="1"/>
    </row>
    <row r="212">
      <c r="A212" s="1" t="str">
        <f>IFERROR(__xludf.DUMMYFUNCTION("""COMPUTED_VALUE"""),"b416402f")</f>
        <v>b416402f</v>
      </c>
      <c r="B212" s="32">
        <f>IFERROR(__xludf.DUMMYFUNCTION("""COMPUTED_VALUE"""),46125.92986111111)</f>
        <v>46125.92986</v>
      </c>
      <c r="C212" s="1">
        <f>IFERROR(__xludf.DUMMYFUNCTION("""COMPUTED_VALUE"""),2.510001719E9)</f>
        <v>2510001719</v>
      </c>
      <c r="D212" s="1" t="str">
        <f>IFERROR(__xludf.DUMMYFUNCTION("""COMPUTED_VALUE"""),"anasgherfal@gmail.com")</f>
        <v>anasgherfal@gmail.com</v>
      </c>
      <c r="E212" s="1" t="str">
        <f>IFERROR(__xludf.DUMMYFUNCTION("""COMPUTED_VALUE"""),"MachineRefills_Images/b416402f.MachinePhoto.221929.jpg")</f>
        <v>MachineRefills_Images/b416402f.MachinePhoto.221929.jpg</v>
      </c>
      <c r="F212" s="1" t="str">
        <f>IFERROR(__xludf.DUMMYFUNCTION("""COMPUTED_VALUE"""),"Partial")</f>
        <v>Partial</v>
      </c>
      <c r="G212" s="1" t="b">
        <f>IFERROR(__xludf.DUMMYFUNCTION("""COMPUTED_VALUE"""),FALSE)</f>
        <v>0</v>
      </c>
      <c r="H212" s="1"/>
    </row>
    <row r="213">
      <c r="A213" s="1" t="str">
        <f>IFERROR(__xludf.DUMMYFUNCTION("""COMPUTED_VALUE"""),"9f0615eb")</f>
        <v>9f0615eb</v>
      </c>
      <c r="B213" s="32">
        <f>IFERROR(__xludf.DUMMYFUNCTION("""COMPUTED_VALUE"""),46126.847916666666)</f>
        <v>46126.84792</v>
      </c>
      <c r="C213" s="1" t="str">
        <f>IFERROR(__xludf.DUMMYFUNCTION("""COMPUTED_VALUE"""),"2509000370")</f>
        <v>2509000370</v>
      </c>
      <c r="D213" s="1" t="str">
        <f>IFERROR(__xludf.DUMMYFUNCTION("""COMPUTED_VALUE"""),"anasgherfal@gmail.com")</f>
        <v>anasgherfal@gmail.com</v>
      </c>
      <c r="E213" s="1" t="str">
        <f>IFERROR(__xludf.DUMMYFUNCTION("""COMPUTED_VALUE"""),"MachineRefills_Images/9f0615eb.MachinePhoto.223649.jpg")</f>
        <v>MachineRefills_Images/9f0615eb.MachinePhoto.223649.jpg</v>
      </c>
      <c r="F213" s="1" t="str">
        <f>IFERROR(__xludf.DUMMYFUNCTION("""COMPUTED_VALUE"""),"Partial")</f>
        <v>Partial</v>
      </c>
      <c r="G213" s="1" t="b">
        <f>IFERROR(__xludf.DUMMYFUNCTION("""COMPUTED_VALUE"""),FALSE)</f>
        <v>0</v>
      </c>
      <c r="H213" s="1"/>
    </row>
    <row r="214">
      <c r="A214" s="1" t="str">
        <f>IFERROR(__xludf.DUMMYFUNCTION("""COMPUTED_VALUE"""),"e86c636a")</f>
        <v>e86c636a</v>
      </c>
      <c r="B214" s="32">
        <f>IFERROR(__xludf.DUMMYFUNCTION("""COMPUTED_VALUE"""),46127.097708333335)</f>
        <v>46127.09771</v>
      </c>
      <c r="C214" s="1" t="str">
        <f>IFERROR(__xludf.DUMMYFUNCTION("""COMPUTED_VALUE"""),"2509000369")</f>
        <v>2509000369</v>
      </c>
      <c r="D214" s="1" t="str">
        <f>IFERROR(__xludf.DUMMYFUNCTION("""COMPUTED_VALUE"""),"zegallai911@gmail.com")</f>
        <v>zegallai911@gmail.com</v>
      </c>
      <c r="E214" s="1" t="str">
        <f>IFERROR(__xludf.DUMMYFUNCTION("""COMPUTED_VALUE"""),"MachineRefills_Images/e86c636a.MachinePhoto.002112.jpg")</f>
        <v>MachineRefills_Images/e86c636a.MachinePhoto.002112.jpg</v>
      </c>
      <c r="F214" s="1" t="str">
        <f>IFERROR(__xludf.DUMMYFUNCTION("""COMPUTED_VALUE"""),"Full")</f>
        <v>Full</v>
      </c>
      <c r="G214" s="1" t="b">
        <f>IFERROR(__xludf.DUMMYFUNCTION("""COMPUTED_VALUE"""),FALSE)</f>
        <v>0</v>
      </c>
      <c r="H214" s="1"/>
    </row>
    <row r="215">
      <c r="A215" s="1" t="str">
        <f>IFERROR(__xludf.DUMMYFUNCTION("""COMPUTED_VALUE"""),"d6ce1cb2")</f>
        <v>d6ce1cb2</v>
      </c>
      <c r="B215" s="32">
        <f>IFERROR(__xludf.DUMMYFUNCTION("""COMPUTED_VALUE"""),46128.04525462963)</f>
        <v>46128.04525</v>
      </c>
      <c r="C215" s="1" t="str">
        <f>IFERROR(__xludf.DUMMYFUNCTION("""COMPUTED_VALUE"""),"2411000046")</f>
        <v>2411000046</v>
      </c>
      <c r="D215" s="1" t="str">
        <f>IFERROR(__xludf.DUMMYFUNCTION("""COMPUTED_VALUE"""),"zegallai911@gmail.com")</f>
        <v>zegallai911@gmail.com</v>
      </c>
      <c r="E215" s="1" t="str">
        <f>IFERROR(__xludf.DUMMYFUNCTION("""COMPUTED_VALUE"""),"MachineRefills_Images/d6ce1cb2.MachinePhoto.232332.jpg")</f>
        <v>MachineRefills_Images/d6ce1cb2.MachinePhoto.232332.jpg</v>
      </c>
      <c r="F215" s="1" t="str">
        <f>IFERROR(__xludf.DUMMYFUNCTION("""COMPUTED_VALUE"""),"Full")</f>
        <v>Full</v>
      </c>
      <c r="G215" s="1" t="b">
        <f>IFERROR(__xludf.DUMMYFUNCTION("""COMPUTED_VALUE"""),TRUE)</f>
        <v>1</v>
      </c>
      <c r="H215" s="1" t="str">
        <f>IFERROR(__xludf.DUMMYFUNCTION("""COMPUTED_VALUE"""),"تشينج عالق")</f>
        <v>تشينج عالق</v>
      </c>
    </row>
    <row r="216">
      <c r="A216" s="1" t="str">
        <f>IFERROR(__xludf.DUMMYFUNCTION("""COMPUTED_VALUE"""),"192bf555")</f>
        <v>192bf555</v>
      </c>
      <c r="B216" s="32">
        <f>IFERROR(__xludf.DUMMYFUNCTION("""COMPUTED_VALUE"""),46128.09719907407)</f>
        <v>46128.0972</v>
      </c>
      <c r="C216" s="1">
        <f>IFERROR(__xludf.DUMMYFUNCTION("""COMPUTED_VALUE"""),2.510001719E9)</f>
        <v>2510001719</v>
      </c>
      <c r="D216" s="1" t="str">
        <f>IFERROR(__xludf.DUMMYFUNCTION("""COMPUTED_VALUE"""),"anasgherfal@gmail.com")</f>
        <v>anasgherfal@gmail.com</v>
      </c>
      <c r="E216" s="1" t="str">
        <f>IFERROR(__xludf.DUMMYFUNCTION("""COMPUTED_VALUE"""),"MachineRefills_Images/192bf555.MachinePhoto.002017.jpg")</f>
        <v>MachineRefills_Images/192bf555.MachinePhoto.002017.jpg</v>
      </c>
      <c r="F216" s="1" t="str">
        <f>IFERROR(__xludf.DUMMYFUNCTION("""COMPUTED_VALUE"""),"Partial")</f>
        <v>Partial</v>
      </c>
      <c r="G216" s="1" t="b">
        <f>IFERROR(__xludf.DUMMYFUNCTION("""COMPUTED_VALUE"""),FALSE)</f>
        <v>0</v>
      </c>
      <c r="H216" s="1"/>
    </row>
    <row r="217">
      <c r="A217" s="1" t="str">
        <f>IFERROR(__xludf.DUMMYFUNCTION("""COMPUTED_VALUE"""),"66e5acda")</f>
        <v>66e5acda</v>
      </c>
      <c r="B217" s="32">
        <f>IFERROR(__xludf.DUMMYFUNCTION("""COMPUTED_VALUE"""),46127.84722222222)</f>
        <v>46127.84722</v>
      </c>
      <c r="C217" s="1" t="str">
        <f>IFERROR(__xludf.DUMMYFUNCTION("""COMPUTED_VALUE"""),"2509000370")</f>
        <v>2509000370</v>
      </c>
      <c r="D217" s="1" t="str">
        <f>IFERROR(__xludf.DUMMYFUNCTION("""COMPUTED_VALUE"""),"anasgherfal@gmail.com")</f>
        <v>anasgherfal@gmail.com</v>
      </c>
      <c r="E217" s="1" t="str">
        <f>IFERROR(__xludf.DUMMYFUNCTION("""COMPUTED_VALUE"""),"MachineRefills_Images/66e5acda.MachinePhoto.002041.jpg")</f>
        <v>MachineRefills_Images/66e5acda.MachinePhoto.002041.jpg</v>
      </c>
      <c r="F217" s="1" t="str">
        <f>IFERROR(__xludf.DUMMYFUNCTION("""COMPUTED_VALUE"""),"Partial")</f>
        <v>Partial</v>
      </c>
      <c r="G217" s="1" t="b">
        <f>IFERROR(__xludf.DUMMYFUNCTION("""COMPUTED_VALUE"""),FALSE)</f>
        <v>0</v>
      </c>
      <c r="H217" s="1"/>
    </row>
    <row r="218">
      <c r="A218" s="1" t="str">
        <f>IFERROR(__xludf.DUMMYFUNCTION("""COMPUTED_VALUE"""),"bfb5671f")</f>
        <v>bfb5671f</v>
      </c>
      <c r="B218" s="32">
        <f>IFERROR(__xludf.DUMMYFUNCTION("""COMPUTED_VALUE"""),46128.81972222222)</f>
        <v>46128.81972</v>
      </c>
      <c r="C218" s="1" t="str">
        <f>IFERROR(__xludf.DUMMYFUNCTION("""COMPUTED_VALUE"""),"2509000371")</f>
        <v>2509000371</v>
      </c>
      <c r="D218" s="1" t="str">
        <f>IFERROR(__xludf.DUMMYFUNCTION("""COMPUTED_VALUE"""),"zegallai911@gmail.com")</f>
        <v>zegallai911@gmail.com</v>
      </c>
      <c r="E218" s="1" t="str">
        <f>IFERROR(__xludf.DUMMYFUNCTION("""COMPUTED_VALUE"""),"MachineRefills_Images/bfb5671f.MachinePhoto.174046.jpg")</f>
        <v>MachineRefills_Images/bfb5671f.MachinePhoto.174046.jpg</v>
      </c>
      <c r="F218" s="1" t="str">
        <f>IFERROR(__xludf.DUMMYFUNCTION("""COMPUTED_VALUE"""),"Full")</f>
        <v>Full</v>
      </c>
      <c r="G218" s="1" t="b">
        <f>IFERROR(__xludf.DUMMYFUNCTION("""COMPUTED_VALUE"""),FALSE)</f>
        <v>0</v>
      </c>
      <c r="H218" s="1"/>
    </row>
    <row r="219">
      <c r="A219" s="1" t="str">
        <f>IFERROR(__xludf.DUMMYFUNCTION("""COMPUTED_VALUE"""),"381bfe6f")</f>
        <v>381bfe6f</v>
      </c>
      <c r="B219" s="32">
        <f>IFERROR(__xludf.DUMMYFUNCTION("""COMPUTED_VALUE"""),46129.74712962963)</f>
        <v>46129.74713</v>
      </c>
      <c r="C219" s="1" t="str">
        <f>IFERROR(__xludf.DUMMYFUNCTION("""COMPUTED_VALUE"""),"2503000216")</f>
        <v>2503000216</v>
      </c>
      <c r="D219" s="1" t="str">
        <f>IFERROR(__xludf.DUMMYFUNCTION("""COMPUTED_VALUE"""),"zegallai911@gmail.com")</f>
        <v>zegallai911@gmail.com</v>
      </c>
      <c r="E219" s="1" t="str">
        <f>IFERROR(__xludf.DUMMYFUNCTION("""COMPUTED_VALUE"""),"MachineRefills_Images/381bfe6f.MachinePhoto.155607.jpg")</f>
        <v>MachineRefills_Images/381bfe6f.MachinePhoto.155607.jpg</v>
      </c>
      <c r="F219" s="1" t="str">
        <f>IFERROR(__xludf.DUMMYFUNCTION("""COMPUTED_VALUE"""),"Partial")</f>
        <v>Partial</v>
      </c>
      <c r="G219" s="1" t="b">
        <f>IFERROR(__xludf.DUMMYFUNCTION("""COMPUTED_VALUE"""),FALSE)</f>
        <v>0</v>
      </c>
      <c r="H219" s="1"/>
    </row>
    <row r="220">
      <c r="A220" s="1" t="str">
        <f>IFERROR(__xludf.DUMMYFUNCTION("""COMPUTED_VALUE"""),"426eac63")</f>
        <v>426eac63</v>
      </c>
      <c r="B220" s="32">
        <f>IFERROR(__xludf.DUMMYFUNCTION("""COMPUTED_VALUE"""),46130.07056712963)</f>
        <v>46130.07057</v>
      </c>
      <c r="C220" s="1">
        <f>IFERROR(__xludf.DUMMYFUNCTION("""COMPUTED_VALUE"""),2.510001719E9)</f>
        <v>2510001719</v>
      </c>
      <c r="D220" s="1" t="str">
        <f>IFERROR(__xludf.DUMMYFUNCTION("""COMPUTED_VALUE"""),"anasgherfal@gmail.com")</f>
        <v>anasgherfal@gmail.com</v>
      </c>
      <c r="E220" s="1" t="str">
        <f>IFERROR(__xludf.DUMMYFUNCTION("""COMPUTED_VALUE"""),"MachineRefills_Images/426eac63.MachinePhoto.234159.jpg")</f>
        <v>MachineRefills_Images/426eac63.MachinePhoto.234159.jpg</v>
      </c>
      <c r="F220" s="1" t="str">
        <f>IFERROR(__xludf.DUMMYFUNCTION("""COMPUTED_VALUE"""),"Partial")</f>
        <v>Partial</v>
      </c>
      <c r="G220" s="1" t="b">
        <f>IFERROR(__xludf.DUMMYFUNCTION("""COMPUTED_VALUE"""),FALSE)</f>
        <v>0</v>
      </c>
      <c r="H220" s="1"/>
    </row>
    <row r="221">
      <c r="A221" s="1" t="str">
        <f>IFERROR(__xludf.DUMMYFUNCTION("""COMPUTED_VALUE"""),"5ea588e8")</f>
        <v>5ea588e8</v>
      </c>
      <c r="B221" s="32">
        <f>IFERROR(__xludf.DUMMYFUNCTION("""COMPUTED_VALUE"""),46130.80763888889)</f>
        <v>46130.80764</v>
      </c>
      <c r="C221" s="1" t="str">
        <f>IFERROR(__xludf.DUMMYFUNCTION("""COMPUTED_VALUE"""),"2509000370")</f>
        <v>2509000370</v>
      </c>
      <c r="D221" s="1" t="str">
        <f>IFERROR(__xludf.DUMMYFUNCTION("""COMPUTED_VALUE"""),"anasgherfal@gmail.com")</f>
        <v>anasgherfal@gmail.com</v>
      </c>
      <c r="E221" s="1" t="str">
        <f>IFERROR(__xludf.DUMMYFUNCTION("""COMPUTED_VALUE"""),"MachineRefills_Images/5ea588e8.MachinePhoto.232420.jpg")</f>
        <v>MachineRefills_Images/5ea588e8.MachinePhoto.232420.jpg</v>
      </c>
      <c r="F221" s="1" t="str">
        <f>IFERROR(__xludf.DUMMYFUNCTION("""COMPUTED_VALUE"""),"Partial")</f>
        <v>Partial</v>
      </c>
      <c r="G221" s="1" t="b">
        <f>IFERROR(__xludf.DUMMYFUNCTION("""COMPUTED_VALUE"""),FALSE)</f>
        <v>0</v>
      </c>
      <c r="H221" s="1"/>
    </row>
    <row r="222">
      <c r="A222" s="1" t="str">
        <f>IFERROR(__xludf.DUMMYFUNCTION("""COMPUTED_VALUE"""),"1db1b5d2")</f>
        <v>1db1b5d2</v>
      </c>
      <c r="B222" s="32">
        <f>IFERROR(__xludf.DUMMYFUNCTION("""COMPUTED_VALUE"""),46131.05912037037)</f>
        <v>46131.05912</v>
      </c>
      <c r="C222" s="1">
        <f>IFERROR(__xludf.DUMMYFUNCTION("""COMPUTED_VALUE"""),2.510001719E9)</f>
        <v>2510001719</v>
      </c>
      <c r="D222" s="1" t="str">
        <f>IFERROR(__xludf.DUMMYFUNCTION("""COMPUTED_VALUE"""),"anasgherfal@gmail.com")</f>
        <v>anasgherfal@gmail.com</v>
      </c>
      <c r="E222" s="1" t="str">
        <f>IFERROR(__xludf.DUMMYFUNCTION("""COMPUTED_VALUE"""),"MachineRefills_Images/1db1b5d2.MachinePhoto.232525.jpg")</f>
        <v>MachineRefills_Images/1db1b5d2.MachinePhoto.232525.jpg</v>
      </c>
      <c r="F222" s="1" t="str">
        <f>IFERROR(__xludf.DUMMYFUNCTION("""COMPUTED_VALUE"""),"Partial")</f>
        <v>Partial</v>
      </c>
      <c r="G222" s="1" t="b">
        <f>IFERROR(__xludf.DUMMYFUNCTION("""COMPUTED_VALUE"""),TRUE)</f>
        <v>1</v>
      </c>
      <c r="H222" s="1"/>
    </row>
    <row r="223">
      <c r="A223" s="1" t="str">
        <f>IFERROR(__xludf.DUMMYFUNCTION("""COMPUTED_VALUE"""),"70b943fc")</f>
        <v>70b943fc</v>
      </c>
      <c r="B223" s="32">
        <f>IFERROR(__xludf.DUMMYFUNCTION("""COMPUTED_VALUE"""),46129.76736111111)</f>
        <v>46129.76736</v>
      </c>
      <c r="C223" s="1" t="str">
        <f>IFERROR(__xludf.DUMMYFUNCTION("""COMPUTED_VALUE"""),"2509000370")</f>
        <v>2509000370</v>
      </c>
      <c r="D223" s="1" t="str">
        <f>IFERROR(__xludf.DUMMYFUNCTION("""COMPUTED_VALUE"""),"anasgherfal@gmail.com")</f>
        <v>anasgherfal@gmail.com</v>
      </c>
      <c r="E223" s="1" t="str">
        <f>IFERROR(__xludf.DUMMYFUNCTION("""COMPUTED_VALUE"""),"MachineRefills_Images/70b943fc.MachinePhoto.232558.jpg")</f>
        <v>MachineRefills_Images/70b943fc.MachinePhoto.232558.jpg</v>
      </c>
      <c r="F223" s="1" t="str">
        <f>IFERROR(__xludf.DUMMYFUNCTION("""COMPUTED_VALUE"""),"Partial")</f>
        <v>Partial</v>
      </c>
      <c r="G223" s="1" t="b">
        <f>IFERROR(__xludf.DUMMYFUNCTION("""COMPUTED_VALUE"""),FALSE)</f>
        <v>0</v>
      </c>
      <c r="H223" s="1"/>
    </row>
    <row r="224">
      <c r="A224" s="1" t="str">
        <f>IFERROR(__xludf.DUMMYFUNCTION("""COMPUTED_VALUE"""),"42d7d74f")</f>
        <v>42d7d74f</v>
      </c>
      <c r="B224" s="32">
        <f>IFERROR(__xludf.DUMMYFUNCTION("""COMPUTED_VALUE"""),46131.76696759259)</f>
        <v>46131.76697</v>
      </c>
      <c r="C224" s="1" t="str">
        <f>IFERROR(__xludf.DUMMYFUNCTION("""COMPUTED_VALUE"""),"2509000371")</f>
        <v>2509000371</v>
      </c>
      <c r="D224" s="1" t="str">
        <f>IFERROR(__xludf.DUMMYFUNCTION("""COMPUTED_VALUE"""),"zegallai911@gmail.com")</f>
        <v>zegallai911@gmail.com</v>
      </c>
      <c r="E224" s="1" t="str">
        <f>IFERROR(__xludf.DUMMYFUNCTION("""COMPUTED_VALUE"""),"MachineRefills_Images/42d7d74f.MachinePhoto.162447.jpg")</f>
        <v>MachineRefills_Images/42d7d74f.MachinePhoto.162447.jpg</v>
      </c>
      <c r="F224" s="1" t="str">
        <f>IFERROR(__xludf.DUMMYFUNCTION("""COMPUTED_VALUE"""),"Partial")</f>
        <v>Partial</v>
      </c>
      <c r="G224" s="1" t="b">
        <f>IFERROR(__xludf.DUMMYFUNCTION("""COMPUTED_VALUE"""),FALSE)</f>
        <v>0</v>
      </c>
      <c r="H224" s="1"/>
    </row>
    <row r="225">
      <c r="A225" s="1" t="str">
        <f>IFERROR(__xludf.DUMMYFUNCTION("""COMPUTED_VALUE"""),"51ae3018")</f>
        <v>51ae3018</v>
      </c>
      <c r="B225" s="32">
        <f>IFERROR(__xludf.DUMMYFUNCTION("""COMPUTED_VALUE"""),46131.767175925925)</f>
        <v>46131.76718</v>
      </c>
      <c r="C225" s="1" t="str">
        <f>IFERROR(__xludf.DUMMYFUNCTION("""COMPUTED_VALUE"""),"2503000216")</f>
        <v>2503000216</v>
      </c>
      <c r="D225" s="1" t="str">
        <f>IFERROR(__xludf.DUMMYFUNCTION("""COMPUTED_VALUE"""),"zegallai911@gmail.com")</f>
        <v>zegallai911@gmail.com</v>
      </c>
      <c r="E225" s="1" t="str">
        <f>IFERROR(__xludf.DUMMYFUNCTION("""COMPUTED_VALUE"""),"MachineRefills_Images/51ae3018.MachinePhoto.162502.jpg")</f>
        <v>MachineRefills_Images/51ae3018.MachinePhoto.162502.jpg</v>
      </c>
      <c r="F225" s="1" t="str">
        <f>IFERROR(__xludf.DUMMYFUNCTION("""COMPUTED_VALUE"""),"Partial")</f>
        <v>Partial</v>
      </c>
      <c r="G225" s="1" t="b">
        <f>IFERROR(__xludf.DUMMYFUNCTION("""COMPUTED_VALUE"""),FALSE)</f>
        <v>0</v>
      </c>
      <c r="H225" s="1"/>
    </row>
    <row r="226">
      <c r="A226" s="1" t="str">
        <f>IFERROR(__xludf.DUMMYFUNCTION("""COMPUTED_VALUE"""),"9ab35788")</f>
        <v>9ab35788</v>
      </c>
      <c r="B226" s="32">
        <f>IFERROR(__xludf.DUMMYFUNCTION("""COMPUTED_VALUE"""),46132.015439814815)</f>
        <v>46132.01544</v>
      </c>
      <c r="C226" s="1" t="str">
        <f>IFERROR(__xludf.DUMMYFUNCTION("""COMPUTED_VALUE"""),"2509000369")</f>
        <v>2509000369</v>
      </c>
      <c r="D226" s="1" t="str">
        <f>IFERROR(__xludf.DUMMYFUNCTION("""COMPUTED_VALUE"""),"zegallai911@gmail.com")</f>
        <v>zegallai911@gmail.com</v>
      </c>
      <c r="E226" s="1" t="str">
        <f>IFERROR(__xludf.DUMMYFUNCTION("""COMPUTED_VALUE"""),"MachineRefills_Images/9ab35788.MachinePhoto.222231.jpg")</f>
        <v>MachineRefills_Images/9ab35788.MachinePhoto.222231.jpg</v>
      </c>
      <c r="F226" s="1" t="str">
        <f>IFERROR(__xludf.DUMMYFUNCTION("""COMPUTED_VALUE"""),"Partial")</f>
        <v>Partial</v>
      </c>
      <c r="G226" s="1" t="b">
        <f>IFERROR(__xludf.DUMMYFUNCTION("""COMPUTED_VALUE"""),FALSE)</f>
        <v>0</v>
      </c>
      <c r="H226" s="1"/>
    </row>
    <row r="227">
      <c r="A227" s="1" t="str">
        <f>IFERROR(__xludf.DUMMYFUNCTION("""COMPUTED_VALUE"""),"5ab8fa0a")</f>
        <v>5ab8fa0a</v>
      </c>
      <c r="B227" s="32">
        <f>IFERROR(__xludf.DUMMYFUNCTION("""COMPUTED_VALUE"""),46132.103055555555)</f>
        <v>46132.10306</v>
      </c>
      <c r="C227" s="1">
        <f>IFERROR(__xludf.DUMMYFUNCTION("""COMPUTED_VALUE"""),2.510001719E9)</f>
        <v>2510001719</v>
      </c>
      <c r="D227" s="1" t="str">
        <f>IFERROR(__xludf.DUMMYFUNCTION("""COMPUTED_VALUE"""),"anasgherfal@gmail.com")</f>
        <v>anasgherfal@gmail.com</v>
      </c>
      <c r="E227" s="1" t="str">
        <f>IFERROR(__xludf.DUMMYFUNCTION("""COMPUTED_VALUE"""),"MachineRefills_Images/5ab8fa0a.MachinePhoto.002913.jpg")</f>
        <v>MachineRefills_Images/5ab8fa0a.MachinePhoto.002913.jpg</v>
      </c>
      <c r="F227" s="1" t="str">
        <f>IFERROR(__xludf.DUMMYFUNCTION("""COMPUTED_VALUE"""),"Partial")</f>
        <v>Partial</v>
      </c>
      <c r="G227" s="1" t="b">
        <f>IFERROR(__xludf.DUMMYFUNCTION("""COMPUTED_VALUE"""),FALSE)</f>
        <v>0</v>
      </c>
      <c r="H227" s="1"/>
    </row>
    <row r="228">
      <c r="A228" s="1" t="str">
        <f>IFERROR(__xludf.DUMMYFUNCTION("""COMPUTED_VALUE"""),"c876eee2")</f>
        <v>c876eee2</v>
      </c>
      <c r="B228" s="32">
        <f>IFERROR(__xludf.DUMMYFUNCTION("""COMPUTED_VALUE"""),46131.83611111111)</f>
        <v>46131.83611</v>
      </c>
      <c r="C228" s="1" t="str">
        <f>IFERROR(__xludf.DUMMYFUNCTION("""COMPUTED_VALUE"""),"2509000370")</f>
        <v>2509000370</v>
      </c>
      <c r="D228" s="1" t="str">
        <f>IFERROR(__xludf.DUMMYFUNCTION("""COMPUTED_VALUE"""),"anasgherfal@gmail.com")</f>
        <v>anasgherfal@gmail.com</v>
      </c>
      <c r="E228" s="1" t="str">
        <f>IFERROR(__xludf.DUMMYFUNCTION("""COMPUTED_VALUE"""),"MachineRefills_Images/c876eee2.MachinePhoto.020452.jpg")</f>
        <v>MachineRefills_Images/c876eee2.MachinePhoto.020452.jpg</v>
      </c>
      <c r="F228" s="1" t="str">
        <f>IFERROR(__xludf.DUMMYFUNCTION("""COMPUTED_VALUE"""),"Partial")</f>
        <v>Partial</v>
      </c>
      <c r="G228" s="1" t="b">
        <f>IFERROR(__xludf.DUMMYFUNCTION("""COMPUTED_VALUE"""),FALSE)</f>
        <v>0</v>
      </c>
      <c r="H228" s="1"/>
    </row>
    <row r="229">
      <c r="A229" s="1" t="str">
        <f>IFERROR(__xludf.DUMMYFUNCTION("""COMPUTED_VALUE"""),"f1eb19aa")</f>
        <v>f1eb19aa</v>
      </c>
      <c r="B229" s="32">
        <f>IFERROR(__xludf.DUMMYFUNCTION("""COMPUTED_VALUE"""),46132.85138888889)</f>
        <v>46132.85139</v>
      </c>
      <c r="C229" s="1" t="str">
        <f>IFERROR(__xludf.DUMMYFUNCTION("""COMPUTED_VALUE"""),"2509000370")</f>
        <v>2509000370</v>
      </c>
      <c r="D229" s="1" t="str">
        <f>IFERROR(__xludf.DUMMYFUNCTION("""COMPUTED_VALUE"""),"anasgherfal@gmail.com")</f>
        <v>anasgherfal@gmail.com</v>
      </c>
      <c r="E229" s="1" t="str">
        <f>IFERROR(__xludf.DUMMYFUNCTION("""COMPUTED_VALUE"""),"MachineRefills_Images/f1eb19aa.MachinePhoto.222651.jpg")</f>
        <v>MachineRefills_Images/f1eb19aa.MachinePhoto.222651.jpg</v>
      </c>
      <c r="F229" s="1" t="str">
        <f>IFERROR(__xludf.DUMMYFUNCTION("""COMPUTED_VALUE"""),"Partial")</f>
        <v>Partial</v>
      </c>
      <c r="G229" s="1" t="b">
        <f>IFERROR(__xludf.DUMMYFUNCTION("""COMPUTED_VALUE"""),FALSE)</f>
        <v>0</v>
      </c>
      <c r="H229" s="1"/>
    </row>
    <row r="230">
      <c r="A230" s="1" t="str">
        <f>IFERROR(__xludf.DUMMYFUNCTION("""COMPUTED_VALUE"""),"70b24b75")</f>
        <v>70b24b75</v>
      </c>
      <c r="B230" s="32">
        <f>IFERROR(__xludf.DUMMYFUNCTION("""COMPUTED_VALUE"""),46132.93472222222)</f>
        <v>46132.93472</v>
      </c>
      <c r="C230" s="1">
        <f>IFERROR(__xludf.DUMMYFUNCTION("""COMPUTED_VALUE"""),2.510001719E9)</f>
        <v>2510001719</v>
      </c>
      <c r="D230" s="1" t="str">
        <f>IFERROR(__xludf.DUMMYFUNCTION("""COMPUTED_VALUE"""),"anasgherfal@gmail.com")</f>
        <v>anasgherfal@gmail.com</v>
      </c>
      <c r="E230" s="1" t="str">
        <f>IFERROR(__xludf.DUMMYFUNCTION("""COMPUTED_VALUE"""),"MachineRefills_Images/70b24b75.MachinePhoto.222710.jpg")</f>
        <v>MachineRefills_Images/70b24b75.MachinePhoto.222710.jpg</v>
      </c>
      <c r="F230" s="1" t="str">
        <f>IFERROR(__xludf.DUMMYFUNCTION("""COMPUTED_VALUE"""),"Partial")</f>
        <v>Partial</v>
      </c>
      <c r="G230" s="1" t="b">
        <f>IFERROR(__xludf.DUMMYFUNCTION("""COMPUTED_VALUE"""),FALSE)</f>
        <v>0</v>
      </c>
      <c r="H230" s="1"/>
    </row>
    <row r="231">
      <c r="A231" s="1" t="str">
        <f>IFERROR(__xludf.DUMMYFUNCTION("""COMPUTED_VALUE"""),"61482293")</f>
        <v>61482293</v>
      </c>
      <c r="B231" s="32">
        <f>IFERROR(__xludf.DUMMYFUNCTION("""COMPUTED_VALUE"""),46134.51394675926)</f>
        <v>46134.51395</v>
      </c>
      <c r="C231" s="1" t="str">
        <f>IFERROR(__xludf.DUMMYFUNCTION("""COMPUTED_VALUE"""),"2509000371")</f>
        <v>2509000371</v>
      </c>
      <c r="D231" s="1" t="str">
        <f>IFERROR(__xludf.DUMMYFUNCTION("""COMPUTED_VALUE"""),"zegallai911@gmail.com")</f>
        <v>zegallai911@gmail.com</v>
      </c>
      <c r="E231" s="1" t="str">
        <f>IFERROR(__xludf.DUMMYFUNCTION("""COMPUTED_VALUE"""),"MachineRefills_Images/61482293.MachinePhoto.102024.jpg")</f>
        <v>MachineRefills_Images/61482293.MachinePhoto.102024.jpg</v>
      </c>
      <c r="F231" s="1" t="str">
        <f>IFERROR(__xludf.DUMMYFUNCTION("""COMPUTED_VALUE"""),"Partial")</f>
        <v>Partial</v>
      </c>
      <c r="G231" s="1" t="b">
        <f>IFERROR(__xludf.DUMMYFUNCTION("""COMPUTED_VALUE"""),FALSE)</f>
        <v>0</v>
      </c>
      <c r="H231" s="1"/>
    </row>
    <row r="232">
      <c r="A232" s="1" t="str">
        <f>IFERROR(__xludf.DUMMYFUNCTION("""COMPUTED_VALUE"""),"a8c89c1f")</f>
        <v>a8c89c1f</v>
      </c>
      <c r="B232" s="32">
        <f>IFERROR(__xludf.DUMMYFUNCTION("""COMPUTED_VALUE"""),46134.97381944444)</f>
        <v>46134.97382</v>
      </c>
      <c r="C232" s="1" t="str">
        <f>IFERROR(__xludf.DUMMYFUNCTION("""COMPUTED_VALUE"""),"2411000046")</f>
        <v>2411000046</v>
      </c>
      <c r="D232" s="1" t="str">
        <f>IFERROR(__xludf.DUMMYFUNCTION("""COMPUTED_VALUE"""),"zegallai911@gmail.com")</f>
        <v>zegallai911@gmail.com</v>
      </c>
      <c r="E232" s="1" t="str">
        <f>IFERROR(__xludf.DUMMYFUNCTION("""COMPUTED_VALUE"""),"MachineRefills_Images/a8c89c1f.MachinePhoto.212241.jpg")</f>
        <v>MachineRefills_Images/a8c89c1f.MachinePhoto.212241.jpg</v>
      </c>
      <c r="F232" s="1" t="str">
        <f>IFERROR(__xludf.DUMMYFUNCTION("""COMPUTED_VALUE"""),"Partial")</f>
        <v>Partial</v>
      </c>
      <c r="G232" s="1" t="b">
        <f>IFERROR(__xludf.DUMMYFUNCTION("""COMPUTED_VALUE"""),FALSE)</f>
        <v>0</v>
      </c>
      <c r="H232" s="1"/>
    </row>
    <row r="233">
      <c r="A233" s="1" t="str">
        <f>IFERROR(__xludf.DUMMYFUNCTION("""COMPUTED_VALUE"""),"f8e18636")</f>
        <v>f8e18636</v>
      </c>
      <c r="B233" s="32">
        <f>IFERROR(__xludf.DUMMYFUNCTION("""COMPUTED_VALUE"""),46137.06180555555)</f>
        <v>46137.06181</v>
      </c>
      <c r="C233" s="1">
        <f>IFERROR(__xludf.DUMMYFUNCTION("""COMPUTED_VALUE"""),2.510001719E9)</f>
        <v>2510001719</v>
      </c>
      <c r="D233" s="1" t="str">
        <f>IFERROR(__xludf.DUMMYFUNCTION("""COMPUTED_VALUE"""),"kimsonronaldo@gmail.com")</f>
        <v>kimsonronaldo@gmail.com</v>
      </c>
      <c r="E233" s="1" t="str">
        <f>IFERROR(__xludf.DUMMYFUNCTION("""COMPUTED_VALUE"""),"MachineRefills_Images/f8e18636.MachinePhoto.132334.jpg")</f>
        <v>MachineRefills_Images/f8e18636.MachinePhoto.132334.jpg</v>
      </c>
      <c r="F233" s="1" t="str">
        <f>IFERROR(__xludf.DUMMYFUNCTION("""COMPUTED_VALUE"""),"Partial")</f>
        <v>Partial</v>
      </c>
      <c r="G233" s="1" t="b">
        <f>IFERROR(__xludf.DUMMYFUNCTION("""COMPUTED_VALUE"""),FALSE)</f>
        <v>0</v>
      </c>
      <c r="H233" s="1"/>
    </row>
    <row r="234">
      <c r="A234" s="1" t="str">
        <f>IFERROR(__xludf.DUMMYFUNCTION("""COMPUTED_VALUE"""),"002286fc")</f>
        <v>002286fc</v>
      </c>
      <c r="B234" s="32">
        <f>IFERROR(__xludf.DUMMYFUNCTION("""COMPUTED_VALUE"""),46136.68472222222)</f>
        <v>46136.68472</v>
      </c>
      <c r="C234" s="1" t="str">
        <f>IFERROR(__xludf.DUMMYFUNCTION("""COMPUTED_VALUE"""),"2509000371")</f>
        <v>2509000371</v>
      </c>
      <c r="D234" s="1" t="str">
        <f>IFERROR(__xludf.DUMMYFUNCTION("""COMPUTED_VALUE"""),"zegallai911@gmail.com")</f>
        <v>zegallai911@gmail.com</v>
      </c>
      <c r="E234" s="1" t="str">
        <f>IFERROR(__xludf.DUMMYFUNCTION("""COMPUTED_VALUE"""),"MachineRefills_Images/002286fc.MachinePhoto.142642.jpg")</f>
        <v>MachineRefills_Images/002286fc.MachinePhoto.142642.jpg</v>
      </c>
      <c r="F234" s="1" t="str">
        <f>IFERROR(__xludf.DUMMYFUNCTION("""COMPUTED_VALUE"""),"Partial")</f>
        <v>Partial</v>
      </c>
      <c r="G234" s="1" t="b">
        <f>IFERROR(__xludf.DUMMYFUNCTION("""COMPUTED_VALUE"""),FALSE)</f>
        <v>0</v>
      </c>
      <c r="H234" s="1"/>
    </row>
    <row r="235">
      <c r="A235" s="1" t="str">
        <f>IFERROR(__xludf.DUMMYFUNCTION("""COMPUTED_VALUE"""),"68b0c3d6")</f>
        <v>68b0c3d6</v>
      </c>
      <c r="B235" s="32">
        <f>IFERROR(__xludf.DUMMYFUNCTION("""COMPUTED_VALUE"""),46136.68472222222)</f>
        <v>46136.68472</v>
      </c>
      <c r="C235" s="1" t="str">
        <f>IFERROR(__xludf.DUMMYFUNCTION("""COMPUTED_VALUE"""),"2503000216")</f>
        <v>2503000216</v>
      </c>
      <c r="D235" s="1" t="str">
        <f>IFERROR(__xludf.DUMMYFUNCTION("""COMPUTED_VALUE"""),"zegallai911@gmail.com")</f>
        <v>zegallai911@gmail.com</v>
      </c>
      <c r="E235" s="1" t="str">
        <f>IFERROR(__xludf.DUMMYFUNCTION("""COMPUTED_VALUE"""),"MachineRefills_Images/68b0c3d6.MachinePhoto.142707.jpg")</f>
        <v>MachineRefills_Images/68b0c3d6.MachinePhoto.142707.jpg</v>
      </c>
      <c r="F235" s="1" t="str">
        <f>IFERROR(__xludf.DUMMYFUNCTION("""COMPUTED_VALUE"""),"Partial")</f>
        <v>Partial</v>
      </c>
      <c r="G235" s="1" t="b">
        <f>IFERROR(__xludf.DUMMYFUNCTION("""COMPUTED_VALUE"""),FALSE)</f>
        <v>0</v>
      </c>
      <c r="H235" s="1"/>
    </row>
    <row r="236">
      <c r="A236" s="1" t="str">
        <f>IFERROR(__xludf.DUMMYFUNCTION("""COMPUTED_VALUE"""),"798f9201")</f>
        <v>798f9201</v>
      </c>
      <c r="B236" s="32">
        <f>IFERROR(__xludf.DUMMYFUNCTION("""COMPUTED_VALUE"""),46137.829618055555)</f>
        <v>46137.82962</v>
      </c>
      <c r="C236" s="1" t="str">
        <f>IFERROR(__xludf.DUMMYFUNCTION("""COMPUTED_VALUE"""),"2509000370")</f>
        <v>2509000370</v>
      </c>
      <c r="D236" s="1" t="str">
        <f>IFERROR(__xludf.DUMMYFUNCTION("""COMPUTED_VALUE"""),"anasgherfal@gmail.com")</f>
        <v>anasgherfal@gmail.com</v>
      </c>
      <c r="E236" s="1" t="str">
        <f>IFERROR(__xludf.DUMMYFUNCTION("""COMPUTED_VALUE"""),"MachineRefills_Images/798f9201.MachinePhoto.175453.jpg")</f>
        <v>MachineRefills_Images/798f9201.MachinePhoto.175453.jpg</v>
      </c>
      <c r="F236" s="1" t="str">
        <f>IFERROR(__xludf.DUMMYFUNCTION("""COMPUTED_VALUE"""),"Partial")</f>
        <v>Partial</v>
      </c>
      <c r="G236" s="1" t="b">
        <f>IFERROR(__xludf.DUMMYFUNCTION("""COMPUTED_VALUE"""),FALSE)</f>
        <v>0</v>
      </c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 t="str">
        <f>IFERROR(__xludf.DUMMYFUNCTION("""COMPUTED_VALUE"""),"32b1560a")</f>
        <v>32b1560a</v>
      </c>
      <c r="B238" s="32">
        <f>IFERROR(__xludf.DUMMYFUNCTION("""COMPUTED_VALUE"""),46138.06875)</f>
        <v>46138.06875</v>
      </c>
      <c r="C238" s="1" t="str">
        <f>IFERROR(__xludf.DUMMYFUNCTION("""COMPUTED_VALUE"""),"2411000046")</f>
        <v>2411000046</v>
      </c>
      <c r="D238" s="1" t="str">
        <f>IFERROR(__xludf.DUMMYFUNCTION("""COMPUTED_VALUE"""),"anasgherfal@gmail.com")</f>
        <v>anasgherfal@gmail.com</v>
      </c>
      <c r="E238" s="1" t="str">
        <f>IFERROR(__xludf.DUMMYFUNCTION("""COMPUTED_VALUE"""),"MachineRefills_Images/32b1560a.MachinePhoto.025359.jpg")</f>
        <v>MachineRefills_Images/32b1560a.MachinePhoto.025359.jpg</v>
      </c>
      <c r="F238" s="1" t="str">
        <f>IFERROR(__xludf.DUMMYFUNCTION("""COMPUTED_VALUE"""),"Partial")</f>
        <v>Partial</v>
      </c>
      <c r="G238" s="1" t="b">
        <f>IFERROR(__xludf.DUMMYFUNCTION("""COMPUTED_VALUE"""),FALSE)</f>
        <v>0</v>
      </c>
      <c r="H238" s="1"/>
    </row>
    <row r="239">
      <c r="A239" s="1" t="str">
        <f>IFERROR(__xludf.DUMMYFUNCTION("""COMPUTED_VALUE"""),"c833f153")</f>
        <v>c833f153</v>
      </c>
      <c r="B239" s="32">
        <f>IFERROR(__xludf.DUMMYFUNCTION("""COMPUTED_VALUE"""),46138.20416666667)</f>
        <v>46138.20417</v>
      </c>
      <c r="C239" s="1">
        <f>IFERROR(__xludf.DUMMYFUNCTION("""COMPUTED_VALUE"""),2.510001719E9)</f>
        <v>2510001719</v>
      </c>
      <c r="D239" s="1" t="str">
        <f>IFERROR(__xludf.DUMMYFUNCTION("""COMPUTED_VALUE"""),"anasgherfal@gmail.com")</f>
        <v>anasgherfal@gmail.com</v>
      </c>
      <c r="E239" s="1" t="str">
        <f>IFERROR(__xludf.DUMMYFUNCTION("""COMPUTED_VALUE"""),"MachineRefills_Images/c833f153.MachinePhoto.025414.jpg")</f>
        <v>MachineRefills_Images/c833f153.MachinePhoto.025414.jpg</v>
      </c>
      <c r="F239" s="1" t="str">
        <f>IFERROR(__xludf.DUMMYFUNCTION("""COMPUTED_VALUE"""),"Full")</f>
        <v>Full</v>
      </c>
      <c r="G239" s="1" t="b">
        <f>IFERROR(__xludf.DUMMYFUNCTION("""COMPUTED_VALUE"""),TRUE)</f>
        <v>1</v>
      </c>
      <c r="H239" s="1" t="str">
        <f>IFERROR(__xludf.DUMMYFUNCTION("""COMPUTED_VALUE"""),"Change")</f>
        <v>Change</v>
      </c>
    </row>
    <row r="240">
      <c r="A240" s="1" t="str">
        <f>IFERROR(__xludf.DUMMYFUNCTION("""COMPUTED_VALUE"""),"aef1f199")</f>
        <v>aef1f199</v>
      </c>
      <c r="B240" s="32">
        <f>IFERROR(__xludf.DUMMYFUNCTION("""COMPUTED_VALUE"""),46138.802083333336)</f>
        <v>46138.80208</v>
      </c>
      <c r="C240" s="1" t="str">
        <f>IFERROR(__xludf.DUMMYFUNCTION("""COMPUTED_VALUE"""),"2509000370")</f>
        <v>2509000370</v>
      </c>
      <c r="D240" s="1" t="str">
        <f>IFERROR(__xludf.DUMMYFUNCTION("""COMPUTED_VALUE"""),"anasgherfal@gmail.com")</f>
        <v>anasgherfal@gmail.com</v>
      </c>
      <c r="E240" s="1" t="str">
        <f>IFERROR(__xludf.DUMMYFUNCTION("""COMPUTED_VALUE"""),"MachineRefills_Images/aef1f199.MachinePhoto.001545.jpg")</f>
        <v>MachineRefills_Images/aef1f199.MachinePhoto.001545.jpg</v>
      </c>
      <c r="F240" s="1" t="str">
        <f>IFERROR(__xludf.DUMMYFUNCTION("""COMPUTED_VALUE"""),"Partial")</f>
        <v>Partial</v>
      </c>
      <c r="G240" s="1" t="b">
        <f>IFERROR(__xludf.DUMMYFUNCTION("""COMPUTED_VALUE"""),FALSE)</f>
        <v>0</v>
      </c>
      <c r="H240" s="1"/>
    </row>
    <row r="241">
      <c r="A241" s="1" t="str">
        <f>IFERROR(__xludf.DUMMYFUNCTION("""COMPUTED_VALUE"""),"224720b8")</f>
        <v>224720b8</v>
      </c>
      <c r="B241" s="32">
        <f>IFERROR(__xludf.DUMMYFUNCTION("""COMPUTED_VALUE"""),46139.052083333336)</f>
        <v>46139.05208</v>
      </c>
      <c r="C241" s="1">
        <f>IFERROR(__xludf.DUMMYFUNCTION("""COMPUTED_VALUE"""),2.510001719E9)</f>
        <v>2510001719</v>
      </c>
      <c r="D241" s="1" t="str">
        <f>IFERROR(__xludf.DUMMYFUNCTION("""COMPUTED_VALUE"""),"anasgherfal@gmail.com")</f>
        <v>anasgherfal@gmail.com</v>
      </c>
      <c r="E241" s="1" t="str">
        <f>IFERROR(__xludf.DUMMYFUNCTION("""COMPUTED_VALUE"""),"MachineRefills_Images/224720b8.MachinePhoto.001605.jpg")</f>
        <v>MachineRefills_Images/224720b8.MachinePhoto.001605.jpg</v>
      </c>
      <c r="F241" s="1" t="str">
        <f>IFERROR(__xludf.DUMMYFUNCTION("""COMPUTED_VALUE"""),"Partial")</f>
        <v>Partial</v>
      </c>
      <c r="G241" s="1" t="b">
        <f>IFERROR(__xludf.DUMMYFUNCTION("""COMPUTED_VALUE"""),FALSE)</f>
        <v>0</v>
      </c>
      <c r="H241" s="1"/>
    </row>
    <row r="242">
      <c r="A242" s="1" t="str">
        <f>IFERROR(__xludf.DUMMYFUNCTION("""COMPUTED_VALUE"""),"dd848e7b")</f>
        <v>dd848e7b</v>
      </c>
      <c r="B242" s="32">
        <f>IFERROR(__xludf.DUMMYFUNCTION("""COMPUTED_VALUE"""),46139.502175925925)</f>
        <v>46139.50218</v>
      </c>
      <c r="C242" s="1" t="str">
        <f>IFERROR(__xludf.DUMMYFUNCTION("""COMPUTED_VALUE"""),"2509000371")</f>
        <v>2509000371</v>
      </c>
      <c r="D242" s="1" t="str">
        <f>IFERROR(__xludf.DUMMYFUNCTION("""COMPUTED_VALUE"""),"zegallai911@gmail.com")</f>
        <v>zegallai911@gmail.com</v>
      </c>
      <c r="E242" s="1" t="str">
        <f>IFERROR(__xludf.DUMMYFUNCTION("""COMPUTED_VALUE"""),"MachineRefills_Images/dd848e7b.MachinePhoto.100449.jpg")</f>
        <v>MachineRefills_Images/dd848e7b.MachinePhoto.100449.jpg</v>
      </c>
      <c r="F242" s="1" t="str">
        <f>IFERROR(__xludf.DUMMYFUNCTION("""COMPUTED_VALUE"""),"Partial")</f>
        <v>Partial</v>
      </c>
      <c r="G242" s="1" t="b">
        <f>IFERROR(__xludf.DUMMYFUNCTION("""COMPUTED_VALUE"""),FALSE)</f>
        <v>0</v>
      </c>
      <c r="H242" s="1"/>
    </row>
    <row r="243">
      <c r="A243" s="1" t="str">
        <f>IFERROR(__xludf.DUMMYFUNCTION("""COMPUTED_VALUE"""),"bb758538")</f>
        <v>bb758538</v>
      </c>
      <c r="B243" s="32">
        <f>IFERROR(__xludf.DUMMYFUNCTION("""COMPUTED_VALUE"""),46139.95763888889)</f>
        <v>46139.95764</v>
      </c>
      <c r="C243" s="1">
        <f>IFERROR(__xludf.DUMMYFUNCTION("""COMPUTED_VALUE"""),2.510001719E9)</f>
        <v>2510001719</v>
      </c>
      <c r="D243" s="1" t="str">
        <f>IFERROR(__xludf.DUMMYFUNCTION("""COMPUTED_VALUE"""),"anasgherfal@gmail.com")</f>
        <v>anasgherfal@gmail.com</v>
      </c>
      <c r="E243" s="1" t="str">
        <f>IFERROR(__xludf.DUMMYFUNCTION("""COMPUTED_VALUE"""),"MachineRefills_Images/bb758538.MachinePhoto.020150.jpg")</f>
        <v>MachineRefills_Images/bb758538.MachinePhoto.020150.jpg</v>
      </c>
      <c r="F243" s="1" t="str">
        <f>IFERROR(__xludf.DUMMYFUNCTION("""COMPUTED_VALUE"""),"Partial")</f>
        <v>Partial</v>
      </c>
      <c r="G243" s="1" t="b">
        <f>IFERROR(__xludf.DUMMYFUNCTION("""COMPUTED_VALUE"""),TRUE)</f>
        <v>1</v>
      </c>
      <c r="H243" s="1" t="str">
        <f>IFERROR(__xludf.DUMMYFUNCTION("""COMPUTED_VALUE"""),"Change")</f>
        <v>Change</v>
      </c>
    </row>
    <row r="244">
      <c r="A244" s="1" t="str">
        <f>IFERROR(__xludf.DUMMYFUNCTION("""COMPUTED_VALUE"""),"0343c27c")</f>
        <v>0343c27c</v>
      </c>
      <c r="B244" s="32">
        <f>IFERROR(__xludf.DUMMYFUNCTION("""COMPUTED_VALUE"""),46139.833333333336)</f>
        <v>46139.83333</v>
      </c>
      <c r="C244" s="1" t="str">
        <f>IFERROR(__xludf.DUMMYFUNCTION("""COMPUTED_VALUE"""),"2509000370")</f>
        <v>2509000370</v>
      </c>
      <c r="D244" s="1" t="str">
        <f>IFERROR(__xludf.DUMMYFUNCTION("""COMPUTED_VALUE"""),"anasgherfal@gmail.com")</f>
        <v>anasgherfal@gmail.com</v>
      </c>
      <c r="E244" s="1" t="str">
        <f>IFERROR(__xludf.DUMMYFUNCTION("""COMPUTED_VALUE"""),"MachineRefills_Images/0343c27c.MachinePhoto.020156.jpg")</f>
        <v>MachineRefills_Images/0343c27c.MachinePhoto.020156.jpg</v>
      </c>
      <c r="F244" s="1" t="str">
        <f>IFERROR(__xludf.DUMMYFUNCTION("""COMPUTED_VALUE"""),"Partial")</f>
        <v>Partial</v>
      </c>
      <c r="G244" s="1" t="b">
        <f>IFERROR(__xludf.DUMMYFUNCTION("""COMPUTED_VALUE"""),FALSE)</f>
        <v>0</v>
      </c>
      <c r="H244" s="1"/>
    </row>
    <row r="245">
      <c r="A245" s="1" t="str">
        <f>IFERROR(__xludf.DUMMYFUNCTION("""COMPUTED_VALUE"""),"ceab56bf")</f>
        <v>ceab56bf</v>
      </c>
      <c r="B245" s="32">
        <f>IFERROR(__xludf.DUMMYFUNCTION("""COMPUTED_VALUE"""),46141.084027777775)</f>
        <v>46141.08403</v>
      </c>
      <c r="C245" s="1" t="str">
        <f>IFERROR(__xludf.DUMMYFUNCTION("""COMPUTED_VALUE"""),"2411000046")</f>
        <v>2411000046</v>
      </c>
      <c r="D245" s="1" t="str">
        <f>IFERROR(__xludf.DUMMYFUNCTION("""COMPUTED_VALUE"""),"anasgherfal@gmail.com")</f>
        <v>anasgherfal@gmail.com</v>
      </c>
      <c r="E245" s="1" t="str">
        <f>IFERROR(__xludf.DUMMYFUNCTION("""COMPUTED_VALUE"""),"MachineRefills_Images/ceab56bf.MachinePhoto.020330.jpg")</f>
        <v>MachineRefills_Images/ceab56bf.MachinePhoto.020330.jpg</v>
      </c>
      <c r="F245" s="1" t="str">
        <f>IFERROR(__xludf.DUMMYFUNCTION("""COMPUTED_VALUE"""),"Partial")</f>
        <v>Partial</v>
      </c>
      <c r="G245" s="1" t="b">
        <f>IFERROR(__xludf.DUMMYFUNCTION("""COMPUTED_VALUE"""),FALSE)</f>
        <v>0</v>
      </c>
      <c r="H245" s="1"/>
    </row>
    <row r="246">
      <c r="A246" s="1" t="str">
        <f>IFERROR(__xludf.DUMMYFUNCTION("""COMPUTED_VALUE"""),"7c45d80b")</f>
        <v>7c45d80b</v>
      </c>
      <c r="B246" s="32">
        <f>IFERROR(__xludf.DUMMYFUNCTION("""COMPUTED_VALUE"""),46140.84583333333)</f>
        <v>46140.84583</v>
      </c>
      <c r="C246" s="1" t="str">
        <f>IFERROR(__xludf.DUMMYFUNCTION("""COMPUTED_VALUE"""),"2509000370")</f>
        <v>2509000370</v>
      </c>
      <c r="D246" s="1" t="str">
        <f>IFERROR(__xludf.DUMMYFUNCTION("""COMPUTED_VALUE"""),"anasgherfal@gmail.com")</f>
        <v>anasgherfal@gmail.com</v>
      </c>
      <c r="E246" s="1" t="str">
        <f>IFERROR(__xludf.DUMMYFUNCTION("""COMPUTED_VALUE"""),"MachineRefills_Images/7c45d80b.MachinePhoto.020337.jpg")</f>
        <v>MachineRefills_Images/7c45d80b.MachinePhoto.020337.jpg</v>
      </c>
      <c r="F246" s="1" t="str">
        <f>IFERROR(__xludf.DUMMYFUNCTION("""COMPUTED_VALUE"""),"Partial")</f>
        <v>Partial</v>
      </c>
      <c r="G246" s="1" t="b">
        <f>IFERROR(__xludf.DUMMYFUNCTION("""COMPUTED_VALUE"""),FALSE)</f>
        <v>0</v>
      </c>
      <c r="H246" s="1"/>
    </row>
    <row r="247">
      <c r="A247" s="1" t="str">
        <f>IFERROR(__xludf.DUMMYFUNCTION("""COMPUTED_VALUE"""),"7279671e")</f>
        <v>7279671e</v>
      </c>
      <c r="B247" s="32">
        <f>IFERROR(__xludf.DUMMYFUNCTION("""COMPUTED_VALUE"""),46142.66805555556)</f>
        <v>46142.66806</v>
      </c>
      <c r="C247" s="1" t="str">
        <f>IFERROR(__xludf.DUMMYFUNCTION("""COMPUTED_VALUE"""),"2503000216")</f>
        <v>2503000216</v>
      </c>
      <c r="D247" s="1" t="str">
        <f>IFERROR(__xludf.DUMMYFUNCTION("""COMPUTED_VALUE"""),"anasgherfal@gmail.com")</f>
        <v>anasgherfal@gmail.com</v>
      </c>
      <c r="E247" s="1" t="str">
        <f>IFERROR(__xludf.DUMMYFUNCTION("""COMPUTED_VALUE"""),"MachineRefills_Images/7279671e.MachinePhoto.010048.jpg")</f>
        <v>MachineRefills_Images/7279671e.MachinePhoto.010048.jpg</v>
      </c>
      <c r="F247" s="1" t="str">
        <f>IFERROR(__xludf.DUMMYFUNCTION("""COMPUTED_VALUE"""),"Partial")</f>
        <v>Partial</v>
      </c>
      <c r="G247" s="1" t="b">
        <f>IFERROR(__xludf.DUMMYFUNCTION("""COMPUTED_VALUE"""),FALSE)</f>
        <v>0</v>
      </c>
      <c r="H247" s="1"/>
    </row>
    <row r="248">
      <c r="A248" s="1" t="str">
        <f>IFERROR(__xludf.DUMMYFUNCTION("""COMPUTED_VALUE"""),"07a079ef")</f>
        <v>07a079ef</v>
      </c>
      <c r="B248" s="32">
        <f>IFERROR(__xludf.DUMMYFUNCTION("""COMPUTED_VALUE"""),46142.709027777775)</f>
        <v>46142.70903</v>
      </c>
      <c r="C248" s="1" t="str">
        <f>IFERROR(__xludf.DUMMYFUNCTION("""COMPUTED_VALUE"""),"2509000371")</f>
        <v>2509000371</v>
      </c>
      <c r="D248" s="1" t="str">
        <f>IFERROR(__xludf.DUMMYFUNCTION("""COMPUTED_VALUE"""),"anasgherfal@gmail.com")</f>
        <v>anasgherfal@gmail.com</v>
      </c>
      <c r="E248" s="1" t="str">
        <f>IFERROR(__xludf.DUMMYFUNCTION("""COMPUTED_VALUE"""),"MachineRefills_Images/07a079ef.MachinePhoto.010148.jpg")</f>
        <v>MachineRefills_Images/07a079ef.MachinePhoto.010148.jpg</v>
      </c>
      <c r="F248" s="1" t="str">
        <f>IFERROR(__xludf.DUMMYFUNCTION("""COMPUTED_VALUE"""),"Partial")</f>
        <v>Partial</v>
      </c>
      <c r="G248" s="1" t="b">
        <f>IFERROR(__xludf.DUMMYFUNCTION("""COMPUTED_VALUE"""),FALSE)</f>
        <v>0</v>
      </c>
      <c r="H248" s="1"/>
    </row>
    <row r="249">
      <c r="A249" s="1" t="str">
        <f>IFERROR(__xludf.DUMMYFUNCTION("""COMPUTED_VALUE"""),"becf705f")</f>
        <v>becf705f</v>
      </c>
      <c r="B249" s="32">
        <f>IFERROR(__xludf.DUMMYFUNCTION("""COMPUTED_VALUE"""),46143.54263888889)</f>
        <v>46143.54264</v>
      </c>
      <c r="C249" s="1" t="str">
        <f>IFERROR(__xludf.DUMMYFUNCTION("""COMPUTED_VALUE"""),"2509000371")</f>
        <v>2509000371</v>
      </c>
      <c r="D249" s="1" t="str">
        <f>IFERROR(__xludf.DUMMYFUNCTION("""COMPUTED_VALUE"""),"anasgherfal@gmail.com")</f>
        <v>anasgherfal@gmail.com</v>
      </c>
      <c r="E249" s="1" t="str">
        <f>IFERROR(__xludf.DUMMYFUNCTION("""COMPUTED_VALUE"""),"MachineRefills_Images/becf705f.MachinePhoto.110142.jpg")</f>
        <v>MachineRefills_Images/becf705f.MachinePhoto.110142.jpg</v>
      </c>
      <c r="F249" s="1" t="str">
        <f>IFERROR(__xludf.DUMMYFUNCTION("""COMPUTED_VALUE"""),"Partial")</f>
        <v>Partial</v>
      </c>
      <c r="G249" s="1" t="b">
        <f>IFERROR(__xludf.DUMMYFUNCTION("""COMPUTED_VALUE"""),FALSE)</f>
        <v>0</v>
      </c>
      <c r="H249" s="1"/>
    </row>
    <row r="250">
      <c r="A250" s="1" t="str">
        <f>IFERROR(__xludf.DUMMYFUNCTION("""COMPUTED_VALUE"""),"bfac4da6")</f>
        <v>bfac4da6</v>
      </c>
      <c r="B250" s="32">
        <f>IFERROR(__xludf.DUMMYFUNCTION("""COMPUTED_VALUE"""),46143.54293981481)</f>
        <v>46143.54294</v>
      </c>
      <c r="C250" s="1" t="str">
        <f>IFERROR(__xludf.DUMMYFUNCTION("""COMPUTED_VALUE"""),"2509000369")</f>
        <v>2509000369</v>
      </c>
      <c r="D250" s="1" t="str">
        <f>IFERROR(__xludf.DUMMYFUNCTION("""COMPUTED_VALUE"""),"anasgherfal@gmail.com")</f>
        <v>anasgherfal@gmail.com</v>
      </c>
      <c r="E250" s="1" t="str">
        <f>IFERROR(__xludf.DUMMYFUNCTION("""COMPUTED_VALUE"""),"MachineRefills_Images/bfac4da6.MachinePhoto.110223.jpg")</f>
        <v>MachineRefills_Images/bfac4da6.MachinePhoto.110223.jpg</v>
      </c>
      <c r="F250" s="1" t="str">
        <f>IFERROR(__xludf.DUMMYFUNCTION("""COMPUTED_VALUE"""),"Partial")</f>
        <v>Partial</v>
      </c>
      <c r="G250" s="1" t="b">
        <f>IFERROR(__xludf.DUMMYFUNCTION("""COMPUTED_VALUE"""),FALSE)</f>
        <v>0</v>
      </c>
      <c r="H250" s="1"/>
    </row>
    <row r="251">
      <c r="A251" s="1" t="str">
        <f>IFERROR(__xludf.DUMMYFUNCTION("""COMPUTED_VALUE"""),"55517ac7")</f>
        <v>55517ac7</v>
      </c>
      <c r="B251" s="32">
        <f>IFERROR(__xludf.DUMMYFUNCTION("""COMPUTED_VALUE"""),46143.60292824074)</f>
        <v>46143.60293</v>
      </c>
      <c r="C251" s="1" t="str">
        <f>IFERROR(__xludf.DUMMYFUNCTION("""COMPUTED_VALUE"""),"2411000046")</f>
        <v>2411000046</v>
      </c>
      <c r="D251" s="1" t="str">
        <f>IFERROR(__xludf.DUMMYFUNCTION("""COMPUTED_VALUE"""),"anasgherfal@gmail.com")</f>
        <v>anasgherfal@gmail.com</v>
      </c>
      <c r="E251" s="1" t="str">
        <f>IFERROR(__xludf.DUMMYFUNCTION("""COMPUTED_VALUE"""),"MachineRefills_Images/55517ac7.MachinePhoto.122837.jpg")</f>
        <v>MachineRefills_Images/55517ac7.MachinePhoto.122837.jpg</v>
      </c>
      <c r="F251" s="1" t="str">
        <f>IFERROR(__xludf.DUMMYFUNCTION("""COMPUTED_VALUE"""),"Full")</f>
        <v>Full</v>
      </c>
      <c r="G251" s="1" t="b">
        <f>IFERROR(__xludf.DUMMYFUNCTION("""COMPUTED_VALUE"""),FALSE)</f>
        <v>0</v>
      </c>
      <c r="H251" s="1"/>
    </row>
    <row r="252">
      <c r="A252" s="1" t="str">
        <f>IFERROR(__xludf.DUMMYFUNCTION("""COMPUTED_VALUE"""),"56149164")</f>
        <v>56149164</v>
      </c>
      <c r="B252" s="32">
        <f>IFERROR(__xludf.DUMMYFUNCTION("""COMPUTED_VALUE"""),46144.14287037037)</f>
        <v>46144.14287</v>
      </c>
      <c r="C252" s="1">
        <f>IFERROR(__xludf.DUMMYFUNCTION("""COMPUTED_VALUE"""),2.510001719E9)</f>
        <v>2510001719</v>
      </c>
      <c r="D252" s="1" t="str">
        <f>IFERROR(__xludf.DUMMYFUNCTION("""COMPUTED_VALUE"""),"anasgherfal@gmail.com")</f>
        <v>anasgherfal@gmail.com</v>
      </c>
      <c r="E252" s="1" t="str">
        <f>IFERROR(__xludf.DUMMYFUNCTION("""COMPUTED_VALUE"""),"MachineRefills_Images/56149164.MachinePhoto.012607.jpg")</f>
        <v>MachineRefills_Images/56149164.MachinePhoto.012607.jpg</v>
      </c>
      <c r="F252" s="1" t="str">
        <f>IFERROR(__xludf.DUMMYFUNCTION("""COMPUTED_VALUE"""),"Full")</f>
        <v>Full</v>
      </c>
      <c r="G252" s="1" t="b">
        <f>IFERROR(__xludf.DUMMYFUNCTION("""COMPUTED_VALUE"""),FALSE)</f>
        <v>0</v>
      </c>
      <c r="H252" s="1"/>
    </row>
    <row r="253">
      <c r="A253" s="1" t="str">
        <f>IFERROR(__xludf.DUMMYFUNCTION("""COMPUTED_VALUE"""),"c6b82d4a")</f>
        <v>c6b82d4a</v>
      </c>
      <c r="B253" s="32">
        <f>IFERROR(__xludf.DUMMYFUNCTION("""COMPUTED_VALUE"""),46144.916354166664)</f>
        <v>46144.91635</v>
      </c>
      <c r="C253" s="1" t="str">
        <f>IFERROR(__xludf.DUMMYFUNCTION("""COMPUTED_VALUE"""),"2509000370")</f>
        <v>2509000370</v>
      </c>
      <c r="D253" s="1" t="str">
        <f>IFERROR(__xludf.DUMMYFUNCTION("""COMPUTED_VALUE"""),"anasgherfal@gmail.com")</f>
        <v>anasgherfal@gmail.com</v>
      </c>
      <c r="E253" s="1" t="str">
        <f>IFERROR(__xludf.DUMMYFUNCTION("""COMPUTED_VALUE"""),"MachineRefills_Images/c6b82d4a.MachinePhoto.195953.jpg")</f>
        <v>MachineRefills_Images/c6b82d4a.MachinePhoto.195953.jpg</v>
      </c>
      <c r="F253" s="1" t="str">
        <f>IFERROR(__xludf.DUMMYFUNCTION("""COMPUTED_VALUE"""),"Partial")</f>
        <v>Partial</v>
      </c>
      <c r="G253" s="1" t="b">
        <f>IFERROR(__xludf.DUMMYFUNCTION("""COMPUTED_VALUE"""),FALSE)</f>
        <v>0</v>
      </c>
      <c r="H253" s="1"/>
    </row>
    <row r="254">
      <c r="A254" s="1" t="str">
        <f>IFERROR(__xludf.DUMMYFUNCTION("""COMPUTED_VALUE"""),"f5c31782")</f>
        <v>f5c31782</v>
      </c>
      <c r="B254" s="32">
        <f>IFERROR(__xludf.DUMMYFUNCTION("""COMPUTED_VALUE"""),46144.95295138889)</f>
        <v>46144.95295</v>
      </c>
      <c r="C254" s="1">
        <f>IFERROR(__xludf.DUMMYFUNCTION("""COMPUTED_VALUE"""),2.510001719E9)</f>
        <v>2510001719</v>
      </c>
      <c r="D254" s="1" t="str">
        <f>IFERROR(__xludf.DUMMYFUNCTION("""COMPUTED_VALUE"""),"anasgherfal@gmail.com")</f>
        <v>anasgherfal@gmail.com</v>
      </c>
      <c r="E254" s="1" t="str">
        <f>IFERROR(__xludf.DUMMYFUNCTION("""COMPUTED_VALUE"""),"MachineRefills_Images/f5c31782.MachinePhoto.205521.jpg")</f>
        <v>MachineRefills_Images/f5c31782.MachinePhoto.205521.jpg</v>
      </c>
      <c r="F254" s="1" t="str">
        <f>IFERROR(__xludf.DUMMYFUNCTION("""COMPUTED_VALUE"""),"Full")</f>
        <v>Full</v>
      </c>
      <c r="G254" s="1" t="b">
        <f>IFERROR(__xludf.DUMMYFUNCTION("""COMPUTED_VALUE"""),FALSE)</f>
        <v>0</v>
      </c>
      <c r="H254" s="1"/>
    </row>
    <row r="255">
      <c r="A255" s="1" t="str">
        <f>IFERROR(__xludf.DUMMYFUNCTION("""COMPUTED_VALUE"""),"c0efe845")</f>
        <v>c0efe845</v>
      </c>
      <c r="B255" s="32">
        <f>IFERROR(__xludf.DUMMYFUNCTION("""COMPUTED_VALUE"""),46146.09600694444)</f>
        <v>46146.09601</v>
      </c>
      <c r="C255" s="1">
        <f>IFERROR(__xludf.DUMMYFUNCTION("""COMPUTED_VALUE"""),2.510001719E9)</f>
        <v>2510001719</v>
      </c>
      <c r="D255" s="1" t="str">
        <f>IFERROR(__xludf.DUMMYFUNCTION("""COMPUTED_VALUE"""),"anasgherfal@gmail.com")</f>
        <v>anasgherfal@gmail.com</v>
      </c>
      <c r="E255" s="1" t="str">
        <f>IFERROR(__xludf.DUMMYFUNCTION("""COMPUTED_VALUE"""),"MachineRefills_Images/c0efe845.MachinePhoto.001832.jpg")</f>
        <v>MachineRefills_Images/c0efe845.MachinePhoto.001832.jpg</v>
      </c>
      <c r="F255" s="1" t="str">
        <f>IFERROR(__xludf.DUMMYFUNCTION("""COMPUTED_VALUE"""),"Partial")</f>
        <v>Partial</v>
      </c>
      <c r="G255" s="1" t="b">
        <f>IFERROR(__xludf.DUMMYFUNCTION("""COMPUTED_VALUE"""),TRUE)</f>
        <v>1</v>
      </c>
      <c r="H255" s="1"/>
    </row>
    <row r="256">
      <c r="A256" s="1" t="str">
        <f>IFERROR(__xludf.DUMMYFUNCTION("""COMPUTED_VALUE"""),"b60c620b")</f>
        <v>b60c620b</v>
      </c>
      <c r="B256" s="32">
        <f>IFERROR(__xludf.DUMMYFUNCTION("""COMPUTED_VALUE"""),46146.05416666667)</f>
        <v>46146.05417</v>
      </c>
      <c r="C256" s="1" t="str">
        <f>IFERROR(__xludf.DUMMYFUNCTION("""COMPUTED_VALUE"""),"2411000046")</f>
        <v>2411000046</v>
      </c>
      <c r="D256" s="1" t="str">
        <f>IFERROR(__xludf.DUMMYFUNCTION("""COMPUTED_VALUE"""),"anasgherfal@gmail.com")</f>
        <v>anasgherfal@gmail.com</v>
      </c>
      <c r="E256" s="1" t="str">
        <f>IFERROR(__xludf.DUMMYFUNCTION("""COMPUTED_VALUE"""),"MachineRefills_Images/b60c620b.MachinePhoto.001855.jpg")</f>
        <v>MachineRefills_Images/b60c620b.MachinePhoto.001855.jpg</v>
      </c>
      <c r="F256" s="1" t="str">
        <f>IFERROR(__xludf.DUMMYFUNCTION("""COMPUTED_VALUE"""),"Partial")</f>
        <v>Partial</v>
      </c>
      <c r="G256" s="1" t="b">
        <f>IFERROR(__xludf.DUMMYFUNCTION("""COMPUTED_VALUE"""),TRUE)</f>
        <v>1</v>
      </c>
      <c r="H256" s="1" t="str">
        <f>IFERROR(__xludf.DUMMYFUNCTION("""COMPUTED_VALUE"""),"خمسه مطبقه")</f>
        <v>خمسه مطبقه</v>
      </c>
    </row>
    <row r="257">
      <c r="A257" s="1" t="str">
        <f>IFERROR(__xludf.DUMMYFUNCTION("""COMPUTED_VALUE"""),"ca0ad757")</f>
        <v>ca0ad757</v>
      </c>
      <c r="B257" s="32">
        <f>IFERROR(__xludf.DUMMYFUNCTION("""COMPUTED_VALUE"""),46145.89166666667)</f>
        <v>46145.89167</v>
      </c>
      <c r="C257" s="1" t="str">
        <f>IFERROR(__xludf.DUMMYFUNCTION("""COMPUTED_VALUE"""),"2509000370")</f>
        <v>2509000370</v>
      </c>
      <c r="D257" s="1" t="str">
        <f>IFERROR(__xludf.DUMMYFUNCTION("""COMPUTED_VALUE"""),"anasgherfal@gmail.com")</f>
        <v>anasgherfal@gmail.com</v>
      </c>
      <c r="E257" s="1" t="str">
        <f>IFERROR(__xludf.DUMMYFUNCTION("""COMPUTED_VALUE"""),"MachineRefills_Images/ca0ad757.MachinePhoto.002509.jpg")</f>
        <v>MachineRefills_Images/ca0ad757.MachinePhoto.002509.jpg</v>
      </c>
      <c r="F257" s="1" t="str">
        <f>IFERROR(__xludf.DUMMYFUNCTION("""COMPUTED_VALUE"""),"Partial")</f>
        <v>Partial</v>
      </c>
      <c r="G257" s="1" t="b">
        <f>IFERROR(__xludf.DUMMYFUNCTION("""COMPUTED_VALUE"""),FALSE)</f>
        <v>0</v>
      </c>
      <c r="H257" s="1"/>
    </row>
    <row r="258">
      <c r="A258" s="1" t="str">
        <f>IFERROR(__xludf.DUMMYFUNCTION("""COMPUTED_VALUE"""),"1c5f174e")</f>
        <v>1c5f174e</v>
      </c>
      <c r="B258" s="32">
        <f>IFERROR(__xludf.DUMMYFUNCTION("""COMPUTED_VALUE"""),46147.00471064815)</f>
        <v>46147.00471</v>
      </c>
      <c r="C258" s="1" t="str">
        <f>IFERROR(__xludf.DUMMYFUNCTION("""COMPUTED_VALUE"""),"2510001719")</f>
        <v>2510001719</v>
      </c>
      <c r="D258" s="1" t="str">
        <f>IFERROR(__xludf.DUMMYFUNCTION("""COMPUTED_VALUE"""),"anasgherfal@gmail.com")</f>
        <v>anasgherfal@gmail.com</v>
      </c>
      <c r="E258" s="1" t="str">
        <f>IFERROR(__xludf.DUMMYFUNCTION("""COMPUTED_VALUE"""),"MachineRefills_Images/1c5f174e.MachinePhoto.220744.jpg")</f>
        <v>MachineRefills_Images/1c5f174e.MachinePhoto.220744.jpg</v>
      </c>
      <c r="F258" s="1" t="str">
        <f>IFERROR(__xludf.DUMMYFUNCTION("""COMPUTED_VALUE"""),"Full")</f>
        <v>Full</v>
      </c>
      <c r="G258" s="1" t="b">
        <f>IFERROR(__xludf.DUMMYFUNCTION("""COMPUTED_VALUE"""),TRUE)</f>
        <v>1</v>
      </c>
      <c r="H258" s="1" t="str">
        <f>IFERROR(__xludf.DUMMYFUNCTION("""COMPUTED_VALUE"""),"Change")</f>
        <v>Change</v>
      </c>
    </row>
    <row r="259">
      <c r="A259" s="1" t="str">
        <f>IFERROR(__xludf.DUMMYFUNCTION("""COMPUTED_VALUE"""),"a1d6df21")</f>
        <v>a1d6df21</v>
      </c>
      <c r="B259" s="32">
        <f>IFERROR(__xludf.DUMMYFUNCTION("""COMPUTED_VALUE"""),46147.50582175926)</f>
        <v>46147.50582</v>
      </c>
      <c r="C259" s="1" t="str">
        <f>IFERROR(__xludf.DUMMYFUNCTION("""COMPUTED_VALUE"""),"2509000371")</f>
        <v>2509000371</v>
      </c>
      <c r="D259" s="1" t="str">
        <f>IFERROR(__xludf.DUMMYFUNCTION("""COMPUTED_VALUE"""),"anasgherfal@gmail.com")</f>
        <v>anasgherfal@gmail.com</v>
      </c>
      <c r="E259" s="1" t="str">
        <f>IFERROR(__xludf.DUMMYFUNCTION("""COMPUTED_VALUE"""),"MachineRefills_Images/a1d6df21.MachinePhoto.100839.jpg")</f>
        <v>MachineRefills_Images/a1d6df21.MachinePhoto.100839.jpg</v>
      </c>
      <c r="F259" s="1" t="str">
        <f>IFERROR(__xludf.DUMMYFUNCTION("""COMPUTED_VALUE"""),"Partial")</f>
        <v>Partial</v>
      </c>
      <c r="G259" s="1" t="b">
        <f>IFERROR(__xludf.DUMMYFUNCTION("""COMPUTED_VALUE"""),FALSE)</f>
        <v>0</v>
      </c>
      <c r="H259" s="1"/>
    </row>
    <row r="260">
      <c r="A260" s="1" t="str">
        <f>IFERROR(__xludf.DUMMYFUNCTION("""COMPUTED_VALUE"""),"a59fedfc")</f>
        <v>a59fedfc</v>
      </c>
      <c r="B260" s="32">
        <f>IFERROR(__xludf.DUMMYFUNCTION("""COMPUTED_VALUE"""),46148.016238425924)</f>
        <v>46148.01624</v>
      </c>
      <c r="C260" s="1" t="str">
        <f>IFERROR(__xludf.DUMMYFUNCTION("""COMPUTED_VALUE"""),"2509000370")</f>
        <v>2509000370</v>
      </c>
      <c r="D260" s="1" t="str">
        <f>IFERROR(__xludf.DUMMYFUNCTION("""COMPUTED_VALUE"""),"anasgherfal@gmail.com")</f>
        <v>anasgherfal@gmail.com</v>
      </c>
      <c r="E260" s="1" t="str">
        <f>IFERROR(__xludf.DUMMYFUNCTION("""COMPUTED_VALUE"""),"MachineRefills_Images/a59fedfc.MachinePhoto.222339.jpg")</f>
        <v>MachineRefills_Images/a59fedfc.MachinePhoto.222339.jpg</v>
      </c>
      <c r="F260" s="1" t="str">
        <f>IFERROR(__xludf.DUMMYFUNCTION("""COMPUTED_VALUE"""),"Partial")</f>
        <v>Partial</v>
      </c>
      <c r="G260" s="1" t="b">
        <f>IFERROR(__xludf.DUMMYFUNCTION("""COMPUTED_VALUE"""),FALSE)</f>
        <v>0</v>
      </c>
      <c r="H260" s="1"/>
    </row>
    <row r="261">
      <c r="A261" s="1" t="str">
        <f>IFERROR(__xludf.DUMMYFUNCTION("""COMPUTED_VALUE"""),"125c59ef")</f>
        <v>125c59ef</v>
      </c>
      <c r="B261" s="32">
        <f>IFERROR(__xludf.DUMMYFUNCTION("""COMPUTED_VALUE"""),46148.04578703704)</f>
        <v>46148.04579</v>
      </c>
      <c r="C261" s="1" t="str">
        <f>IFERROR(__xludf.DUMMYFUNCTION("""COMPUTED_VALUE"""),"2510001719")</f>
        <v>2510001719</v>
      </c>
      <c r="D261" s="1" t="str">
        <f>IFERROR(__xludf.DUMMYFUNCTION("""COMPUTED_VALUE"""),"anasgherfal@gmail.com")</f>
        <v>anasgherfal@gmail.com</v>
      </c>
      <c r="E261" s="1" t="str">
        <f>IFERROR(__xludf.DUMMYFUNCTION("""COMPUTED_VALUE"""),"MachineRefills_Images/125c59ef.MachinePhoto.230624.jpg")</f>
        <v>MachineRefills_Images/125c59ef.MachinePhoto.230624.jpg</v>
      </c>
      <c r="F261" s="1" t="str">
        <f>IFERROR(__xludf.DUMMYFUNCTION("""COMPUTED_VALUE"""),"Full")</f>
        <v>Full</v>
      </c>
      <c r="G261" s="1" t="b">
        <f>IFERROR(__xludf.DUMMYFUNCTION("""COMPUTED_VALUE"""),FALSE)</f>
        <v>0</v>
      </c>
      <c r="H261" s="1"/>
    </row>
    <row r="262">
      <c r="A262" s="1" t="str">
        <f>IFERROR(__xludf.DUMMYFUNCTION("""COMPUTED_VALUE"""),"6f798808")</f>
        <v>6f798808</v>
      </c>
      <c r="B262" s="32">
        <f>IFERROR(__xludf.DUMMYFUNCTION("""COMPUTED_VALUE"""),46148.92591435185)</f>
        <v>46148.92591</v>
      </c>
      <c r="C262" s="1" t="str">
        <f>IFERROR(__xludf.DUMMYFUNCTION("""COMPUTED_VALUE"""),"2509000369")</f>
        <v>2509000369</v>
      </c>
      <c r="D262" s="1" t="str">
        <f>IFERROR(__xludf.DUMMYFUNCTION("""COMPUTED_VALUE"""),"zegallai911@gmail.com")</f>
        <v>zegallai911@gmail.com</v>
      </c>
      <c r="E262" s="1" t="str">
        <f>IFERROR(__xludf.DUMMYFUNCTION("""COMPUTED_VALUE"""),"MachineRefills_Images/6f798808.MachinePhoto.201337.jpg")</f>
        <v>MachineRefills_Images/6f798808.MachinePhoto.201337.jpg</v>
      </c>
      <c r="F262" s="1" t="str">
        <f>IFERROR(__xludf.DUMMYFUNCTION("""COMPUTED_VALUE"""),"Partial")</f>
        <v>Partial</v>
      </c>
      <c r="G262" s="1" t="b">
        <f>IFERROR(__xludf.DUMMYFUNCTION("""COMPUTED_VALUE"""),FALSE)</f>
        <v>0</v>
      </c>
      <c r="H262" s="1"/>
    </row>
    <row r="263">
      <c r="A263" s="1" t="str">
        <f>IFERROR(__xludf.DUMMYFUNCTION("""COMPUTED_VALUE"""),"61d1ed9b")</f>
        <v>61d1ed9b</v>
      </c>
      <c r="B263" s="32">
        <f>IFERROR(__xludf.DUMMYFUNCTION("""COMPUTED_VALUE"""),46148.927083333336)</f>
        <v>46148.92708</v>
      </c>
      <c r="C263" s="1" t="str">
        <f>IFERROR(__xludf.DUMMYFUNCTION("""COMPUTED_VALUE"""),"2510001719")</f>
        <v>2510001719</v>
      </c>
      <c r="D263" s="1" t="str">
        <f>IFERROR(__xludf.DUMMYFUNCTION("""COMPUTED_VALUE"""),"anasgherfal@gmail.com")</f>
        <v>anasgherfal@gmail.com</v>
      </c>
      <c r="E263" s="1" t="str">
        <f>IFERROR(__xludf.DUMMYFUNCTION("""COMPUTED_VALUE"""),"MachineRefills_Images/61d1ed9b.MachinePhoto.201539.jpg")</f>
        <v>MachineRefills_Images/61d1ed9b.MachinePhoto.201539.jpg</v>
      </c>
      <c r="F263" s="1" t="str">
        <f>IFERROR(__xludf.DUMMYFUNCTION("""COMPUTED_VALUE"""),"Full")</f>
        <v>Full</v>
      </c>
      <c r="G263" s="1" t="b">
        <f>IFERROR(__xludf.DUMMYFUNCTION("""COMPUTED_VALUE"""),FALSE)</f>
        <v>0</v>
      </c>
      <c r="H263" s="1"/>
    </row>
    <row r="264">
      <c r="A264" s="1" t="str">
        <f>IFERROR(__xludf.DUMMYFUNCTION("""COMPUTED_VALUE"""),"cf7f644e")</f>
        <v>cf7f644e</v>
      </c>
      <c r="B264" s="32">
        <f>IFERROR(__xludf.DUMMYFUNCTION("""COMPUTED_VALUE"""),46149.63055555556)</f>
        <v>46149.63056</v>
      </c>
      <c r="C264" s="1" t="str">
        <f>IFERROR(__xludf.DUMMYFUNCTION("""COMPUTED_VALUE"""),"2509000371")</f>
        <v>2509000371</v>
      </c>
      <c r="D264" s="1" t="str">
        <f>IFERROR(__xludf.DUMMYFUNCTION("""COMPUTED_VALUE"""),"zegallai911@gmail.com")</f>
        <v>zegallai911@gmail.com</v>
      </c>
      <c r="E264" s="1" t="str">
        <f>IFERROR(__xludf.DUMMYFUNCTION("""COMPUTED_VALUE"""),"MachineRefills_Images/cf7f644e.MachinePhoto.130832.jpg")</f>
        <v>MachineRefills_Images/cf7f644e.MachinePhoto.130832.jpg</v>
      </c>
      <c r="F264" s="1" t="str">
        <f>IFERROR(__xludf.DUMMYFUNCTION("""COMPUTED_VALUE"""),"Partial")</f>
        <v>Partial</v>
      </c>
      <c r="G264" s="1" t="b">
        <f>IFERROR(__xludf.DUMMYFUNCTION("""COMPUTED_VALUE"""),FALSE)</f>
        <v>0</v>
      </c>
      <c r="H264" s="1"/>
    </row>
    <row r="265">
      <c r="A265" s="1" t="str">
        <f>IFERROR(__xludf.DUMMYFUNCTION("""COMPUTED_VALUE"""),"6c9069cb")</f>
        <v>6c9069cb</v>
      </c>
      <c r="B265" s="32">
        <f>IFERROR(__xludf.DUMMYFUNCTION("""COMPUTED_VALUE"""),46150.64412037037)</f>
        <v>46150.64412</v>
      </c>
      <c r="C265" s="1" t="str">
        <f>IFERROR(__xludf.DUMMYFUNCTION("""COMPUTED_VALUE"""),"2509000371")</f>
        <v>2509000371</v>
      </c>
      <c r="D265" s="1" t="str">
        <f>IFERROR(__xludf.DUMMYFUNCTION("""COMPUTED_VALUE"""),"zegallai911@gmail.com")</f>
        <v>zegallai911@gmail.com</v>
      </c>
      <c r="E265" s="1" t="str">
        <f>IFERROR(__xludf.DUMMYFUNCTION("""COMPUTED_VALUE"""),"MachineRefills_Images/6c9069cb.MachinePhoto.132745.jpg")</f>
        <v>MachineRefills_Images/6c9069cb.MachinePhoto.132745.jpg</v>
      </c>
      <c r="F265" s="1" t="str">
        <f>IFERROR(__xludf.DUMMYFUNCTION("""COMPUTED_VALUE"""),"Partial")</f>
        <v>Partial</v>
      </c>
      <c r="G265" s="1" t="b">
        <f>IFERROR(__xludf.DUMMYFUNCTION("""COMPUTED_VALUE"""),FALSE)</f>
        <v>0</v>
      </c>
      <c r="H265" s="1"/>
    </row>
    <row r="266">
      <c r="A266" s="1" t="str">
        <f>IFERROR(__xludf.DUMMYFUNCTION("""COMPUTED_VALUE"""),"3234cfae")</f>
        <v>3234cfae</v>
      </c>
      <c r="B266" s="32">
        <f>IFERROR(__xludf.DUMMYFUNCTION("""COMPUTED_VALUE"""),46150.657175925924)</f>
        <v>46150.65718</v>
      </c>
      <c r="C266" s="1" t="str">
        <f>IFERROR(__xludf.DUMMYFUNCTION("""COMPUTED_VALUE"""),"2503000216")</f>
        <v>2503000216</v>
      </c>
      <c r="D266" s="1" t="str">
        <f>IFERROR(__xludf.DUMMYFUNCTION("""COMPUTED_VALUE"""),"zegallai911@gmail.com")</f>
        <v>zegallai911@gmail.com</v>
      </c>
      <c r="E266" s="1" t="str">
        <f>IFERROR(__xludf.DUMMYFUNCTION("""COMPUTED_VALUE"""),"MachineRefills_Images/3234cfae.MachinePhoto.134636.jpg")</f>
        <v>MachineRefills_Images/3234cfae.MachinePhoto.134636.jpg</v>
      </c>
      <c r="F266" s="1" t="str">
        <f>IFERROR(__xludf.DUMMYFUNCTION("""COMPUTED_VALUE"""),"Partial")</f>
        <v>Partial</v>
      </c>
      <c r="G266" s="1" t="b">
        <f>IFERROR(__xludf.DUMMYFUNCTION("""COMPUTED_VALUE"""),FALSE)</f>
        <v>0</v>
      </c>
      <c r="H266" s="1"/>
    </row>
    <row r="267">
      <c r="A267" s="1" t="str">
        <f>IFERROR(__xludf.DUMMYFUNCTION("""COMPUTED_VALUE"""),"19cf7d87")</f>
        <v>19cf7d87</v>
      </c>
      <c r="B267" s="32">
        <f>IFERROR(__xludf.DUMMYFUNCTION("""COMPUTED_VALUE"""),46150.789375)</f>
        <v>46150.78938</v>
      </c>
      <c r="C267" s="1" t="str">
        <f>IFERROR(__xludf.DUMMYFUNCTION("""COMPUTED_VALUE"""),"2411000046")</f>
        <v>2411000046</v>
      </c>
      <c r="D267" s="1" t="str">
        <f>IFERROR(__xludf.DUMMYFUNCTION("""COMPUTED_VALUE"""),"zegallai911@gmail.com")</f>
        <v>zegallai911@gmail.com</v>
      </c>
      <c r="E267" s="1" t="str">
        <f>IFERROR(__xludf.DUMMYFUNCTION("""COMPUTED_VALUE"""),"MachineRefills_Images/19cf7d87.MachinePhoto.165658.jpg")</f>
        <v>MachineRefills_Images/19cf7d87.MachinePhoto.165658.jpg</v>
      </c>
      <c r="F267" s="1" t="str">
        <f>IFERROR(__xludf.DUMMYFUNCTION("""COMPUTED_VALUE"""),"Partial")</f>
        <v>Partial</v>
      </c>
      <c r="G267" s="1" t="b">
        <f>IFERROR(__xludf.DUMMYFUNCTION("""COMPUTED_VALUE"""),FALSE)</f>
        <v>0</v>
      </c>
      <c r="H267" s="1"/>
    </row>
    <row r="268">
      <c r="A268" s="1" t="str">
        <f>IFERROR(__xludf.DUMMYFUNCTION("""COMPUTED_VALUE"""),"f9fdc07f")</f>
        <v>f9fdc07f</v>
      </c>
      <c r="B268" s="32">
        <f>IFERROR(__xludf.DUMMYFUNCTION("""COMPUTED_VALUE"""),46151.101377314815)</f>
        <v>46151.10138</v>
      </c>
      <c r="C268" s="1" t="str">
        <f>IFERROR(__xludf.DUMMYFUNCTION("""COMPUTED_VALUE"""),"2510001719")</f>
        <v>2510001719</v>
      </c>
      <c r="D268" s="1" t="str">
        <f>IFERROR(__xludf.DUMMYFUNCTION("""COMPUTED_VALUE"""),"anasgherfal@gmail.com")</f>
        <v>anasgherfal@gmail.com</v>
      </c>
      <c r="E268" s="1" t="str">
        <f>IFERROR(__xludf.DUMMYFUNCTION("""COMPUTED_VALUE"""),"MachineRefills_Images/f9fdc07f.MachinePhoto.002621.jpg")</f>
        <v>MachineRefills_Images/f9fdc07f.MachinePhoto.002621.jpg</v>
      </c>
      <c r="F268" s="1" t="str">
        <f>IFERROR(__xludf.DUMMYFUNCTION("""COMPUTED_VALUE"""),"Full")</f>
        <v>Full</v>
      </c>
      <c r="G268" s="1" t="b">
        <f>IFERROR(__xludf.DUMMYFUNCTION("""COMPUTED_VALUE"""),TRUE)</f>
        <v>1</v>
      </c>
      <c r="H268" s="1" t="str">
        <f>IFERROR(__xludf.DUMMYFUNCTION("""COMPUTED_VALUE"""),"Change")</f>
        <v>Change</v>
      </c>
    </row>
    <row r="269">
      <c r="A269" s="1" t="str">
        <f>IFERROR(__xludf.DUMMYFUNCTION("""COMPUTED_VALUE"""),"427bab6a")</f>
        <v>427bab6a</v>
      </c>
      <c r="B269" s="32">
        <f>IFERROR(__xludf.DUMMYFUNCTION("""COMPUTED_VALUE"""),46151.94600694445)</f>
        <v>46151.94601</v>
      </c>
      <c r="C269" s="1" t="str">
        <f>IFERROR(__xludf.DUMMYFUNCTION("""COMPUTED_VALUE"""),"2510001719")</f>
        <v>2510001719</v>
      </c>
      <c r="D269" s="1" t="str">
        <f>IFERROR(__xludf.DUMMYFUNCTION("""COMPUTED_VALUE"""),"anasgherfal@gmail.com")</f>
        <v>anasgherfal@gmail.com</v>
      </c>
      <c r="E269" s="1" t="str">
        <f>IFERROR(__xludf.DUMMYFUNCTION("""COMPUTED_VALUE"""),"MachineRefills_Images/427bab6a.MachinePhoto.204233.jpg")</f>
        <v>MachineRefills_Images/427bab6a.MachinePhoto.204233.jpg</v>
      </c>
      <c r="F269" s="1" t="str">
        <f>IFERROR(__xludf.DUMMYFUNCTION("""COMPUTED_VALUE"""),"Partial")</f>
        <v>Partial</v>
      </c>
      <c r="G269" s="1" t="b">
        <f>IFERROR(__xludf.DUMMYFUNCTION("""COMPUTED_VALUE"""),FALSE)</f>
        <v>0</v>
      </c>
      <c r="H269" s="1"/>
    </row>
    <row r="270">
      <c r="A270" s="1" t="str">
        <f>IFERROR(__xludf.DUMMYFUNCTION("""COMPUTED_VALUE"""),"9e12ce0a")</f>
        <v>9e12ce0a</v>
      </c>
      <c r="B270" s="32">
        <f>IFERROR(__xludf.DUMMYFUNCTION("""COMPUTED_VALUE"""),46152.900300925925)</f>
        <v>46152.9003</v>
      </c>
      <c r="C270" s="1" t="str">
        <f>IFERROR(__xludf.DUMMYFUNCTION("""COMPUTED_VALUE"""),"2509000369")</f>
        <v>2509000369</v>
      </c>
      <c r="D270" s="1" t="str">
        <f>IFERROR(__xludf.DUMMYFUNCTION("""COMPUTED_VALUE"""),"anasgherfal@gmail.com")</f>
        <v>anasgherfal@gmail.com</v>
      </c>
      <c r="E270" s="1" t="str">
        <f>IFERROR(__xludf.DUMMYFUNCTION("""COMPUTED_VALUE"""),"MachineRefills_Images/9e12ce0a.MachinePhoto.193637.jpg")</f>
        <v>MachineRefills_Images/9e12ce0a.MachinePhoto.193637.jpg</v>
      </c>
      <c r="F270" s="1" t="str">
        <f>IFERROR(__xludf.DUMMYFUNCTION("""COMPUTED_VALUE"""),"Partial")</f>
        <v>Partial</v>
      </c>
      <c r="G270" s="1" t="b">
        <f>IFERROR(__xludf.DUMMYFUNCTION("""COMPUTED_VALUE"""),FALSE)</f>
        <v>0</v>
      </c>
      <c r="H270" s="1"/>
    </row>
    <row r="271">
      <c r="A271" s="1" t="str">
        <f>IFERROR(__xludf.DUMMYFUNCTION("""COMPUTED_VALUE"""),"2f2b6f22")</f>
        <v>2f2b6f22</v>
      </c>
      <c r="B271" s="32">
        <f>IFERROR(__xludf.DUMMYFUNCTION("""COMPUTED_VALUE"""),46152.932905092595)</f>
        <v>46152.93291</v>
      </c>
      <c r="C271" s="1" t="str">
        <f>IFERROR(__xludf.DUMMYFUNCTION("""COMPUTED_VALUE"""),"2509000370")</f>
        <v>2509000370</v>
      </c>
      <c r="D271" s="1" t="str">
        <f>IFERROR(__xludf.DUMMYFUNCTION("""COMPUTED_VALUE"""),"anasgherfal@gmail.com")</f>
        <v>anasgherfal@gmail.com</v>
      </c>
      <c r="E271" s="1" t="str">
        <f>IFERROR(__xludf.DUMMYFUNCTION("""COMPUTED_VALUE"""),"MachineRefills_Images/2f2b6f22.MachinePhoto.202336.jpg")</f>
        <v>MachineRefills_Images/2f2b6f22.MachinePhoto.202336.jpg</v>
      </c>
      <c r="F271" s="1" t="str">
        <f>IFERROR(__xludf.DUMMYFUNCTION("""COMPUTED_VALUE"""),"Partial")</f>
        <v>Partial</v>
      </c>
      <c r="G271" s="1" t="b">
        <f>IFERROR(__xludf.DUMMYFUNCTION("""COMPUTED_VALUE"""),FALSE)</f>
        <v>0</v>
      </c>
      <c r="H271" s="1"/>
    </row>
    <row r="272">
      <c r="A272" s="1" t="str">
        <f>IFERROR(__xludf.DUMMYFUNCTION("""COMPUTED_VALUE"""),"2b920452")</f>
        <v>2b920452</v>
      </c>
      <c r="B272" s="32">
        <f>IFERROR(__xludf.DUMMYFUNCTION("""COMPUTED_VALUE"""),46152.96969907408)</f>
        <v>46152.9697</v>
      </c>
      <c r="C272" s="1" t="str">
        <f>IFERROR(__xludf.DUMMYFUNCTION("""COMPUTED_VALUE"""),"2510001719")</f>
        <v>2510001719</v>
      </c>
      <c r="D272" s="1" t="str">
        <f>IFERROR(__xludf.DUMMYFUNCTION("""COMPUTED_VALUE"""),"anasgherfal@gmail.com")</f>
        <v>anasgherfal@gmail.com</v>
      </c>
      <c r="E272" s="1" t="str">
        <f>IFERROR(__xludf.DUMMYFUNCTION("""COMPUTED_VALUE"""),"MachineRefills_Images/2b920452.MachinePhoto.211653.jpg")</f>
        <v>MachineRefills_Images/2b920452.MachinePhoto.211653.jpg</v>
      </c>
      <c r="F272" s="1" t="str">
        <f>IFERROR(__xludf.DUMMYFUNCTION("""COMPUTED_VALUE"""),"Partial")</f>
        <v>Partial</v>
      </c>
      <c r="G272" s="1" t="b">
        <f>IFERROR(__xludf.DUMMYFUNCTION("""COMPUTED_VALUE"""),TRUE)</f>
        <v>1</v>
      </c>
      <c r="H272" s="1" t="str">
        <f>IFERROR(__xludf.DUMMYFUNCTION("""COMPUTED_VALUE"""),"Change")</f>
        <v>Change</v>
      </c>
    </row>
    <row r="273">
      <c r="A273" s="1" t="str">
        <f>IFERROR(__xludf.DUMMYFUNCTION("""COMPUTED_VALUE"""),"05f3aae8")</f>
        <v>05f3aae8</v>
      </c>
      <c r="B273" s="32">
        <f>IFERROR(__xludf.DUMMYFUNCTION("""COMPUTED_VALUE"""),46153.01060185185)</f>
        <v>46153.0106</v>
      </c>
      <c r="C273" s="1" t="str">
        <f>IFERROR(__xludf.DUMMYFUNCTION("""COMPUTED_VALUE"""),"2411000046")</f>
        <v>2411000046</v>
      </c>
      <c r="D273" s="1" t="str">
        <f>IFERROR(__xludf.DUMMYFUNCTION("""COMPUTED_VALUE"""),"anasgherfal@gmail.com")</f>
        <v>anasgherfal@gmail.com</v>
      </c>
      <c r="E273" s="1" t="str">
        <f>IFERROR(__xludf.DUMMYFUNCTION("""COMPUTED_VALUE"""),"MachineRefills_Images/05f3aae8.MachinePhoto.221539.jpg")</f>
        <v>MachineRefills_Images/05f3aae8.MachinePhoto.221539.jpg</v>
      </c>
      <c r="F273" s="1" t="str">
        <f>IFERROR(__xludf.DUMMYFUNCTION("""COMPUTED_VALUE"""),"Partial")</f>
        <v>Partial</v>
      </c>
      <c r="G273" s="1" t="b">
        <f>IFERROR(__xludf.DUMMYFUNCTION("""COMPUTED_VALUE"""),TRUE)</f>
        <v>1</v>
      </c>
      <c r="H273" s="1" t="str">
        <f>IFERROR(__xludf.DUMMYFUNCTION("""COMPUTED_VALUE"""),"Change")</f>
        <v>Change</v>
      </c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hyperlinks>
    <hyperlink r:id="rId1" ref="E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313</v>
      </c>
      <c r="B1" s="2" t="s">
        <v>314</v>
      </c>
      <c r="C1" s="2" t="s">
        <v>315</v>
      </c>
      <c r="D1" s="2" t="s">
        <v>316</v>
      </c>
      <c r="E1" s="2" t="s">
        <v>317</v>
      </c>
      <c r="F1" s="2" t="s">
        <v>318</v>
      </c>
      <c r="G1" s="2" t="s">
        <v>319</v>
      </c>
      <c r="H1" s="2" t="s">
        <v>320</v>
      </c>
      <c r="I1" s="2" t="s">
        <v>321</v>
      </c>
      <c r="J1" s="38" t="s">
        <v>322</v>
      </c>
      <c r="K1" s="2" t="s">
        <v>323</v>
      </c>
      <c r="L1" s="2" t="s">
        <v>324</v>
      </c>
      <c r="M1" s="2" t="s">
        <v>325</v>
      </c>
    </row>
    <row r="2">
      <c r="A2" s="29">
        <f>IFERROR(__xludf.DUMMYFUNCTION("SORT(
UNIQUE(
FILTER(
DATE(YEAR(Transactions_Raw!A2:A999),MONTH(Transactions_Raw!A2:A999),1),
Transactions_Raw!A2:A999&lt;&gt;""""
)
)
)
"),45505.0)</f>
        <v>45505</v>
      </c>
      <c r="C2" s="1" t="str">
        <f t="shared" ref="C2:C18" si="1">TEXT(A2,"MM/YY")
</f>
        <v>08/24</v>
      </c>
      <c r="D2" s="1">
        <f>SUMIFS(
Transactions_Raw!C:C,
Transactions_Raw!D:D,"LYD",
Transactions_Raw!E:E,"Money In",
Transactions_Raw!A:A,"&gt;="&amp;A2,
Transactions_Raw!A:A,"&lt;"&amp;EDATE(A2,1)
)
</f>
        <v>5848</v>
      </c>
      <c r="E2" s="1">
        <f>SUMIFS(
Transactions_Raw!C:C,
Transactions_Raw!D:D,"LYD",
Transactions_Raw!E:E,"Money Out",
Transactions_Raw!A:A,"&gt;="&amp;A2,
Transactions_Raw!A:A,"&lt;"&amp;EDATE(A2,1)
)
</f>
        <v>1549</v>
      </c>
      <c r="F2" s="1">
        <f t="shared" ref="F2:F18" si="2">D2-E2
</f>
        <v>4299</v>
      </c>
      <c r="G2" s="35">
        <f t="shared" ref="G2:G18" si="3">H2 + J2 + L2 - K2 - M2
</f>
        <v>1799</v>
      </c>
      <c r="H2" s="1">
        <f>SUMIFS(
Transactions_Raw!C:C,
Transactions_Raw!D:D,"LYD",
Transactions_Raw!E:E,"Money In",
Transactions_Raw!F:F,"Revenue",
Transactions_Raw!A:A,"&gt;="&amp;A2,
Transactions_Raw!A:A,"&lt;"&amp;EDATE(A2,1)
)
</f>
        <v>3283</v>
      </c>
      <c r="I2" s="1">
        <f>SUMIFS(
Transactions_Raw!C:C,
Transactions_Raw!D:D,"LYD",
Transactions_Raw!E:E,"Money In",
Transactions_Raw!F:F,"ads",
Transactions_Raw!A:A,"&gt;="&amp;A2,
Transactions_Raw!A:A,"&lt;"&amp;EDATE(A2,1)
)
</f>
        <v>2500</v>
      </c>
      <c r="J2" s="35">
        <f>IFERROR(__xludf.DUMMYFUNCTION("IFERROR(
SUM(
FILTER(
Ads_Contracts!E:E / Ads_Contracts!F:F,
($A2&gt;=Ads_Contracts!C:C) * ($A2&lt;=Ads_Contracts!D:D)
)
),
0
)
"),0.0)</f>
        <v>0</v>
      </c>
      <c r="K2" s="1">
        <f>SUMIFS(
Transactions_Raw!C:C,
Transactions_Raw!D:D,"LYD",
Transactions_Raw!E:E,"Money Out",
Transactions_Raw!F:F,"Product Restocking",
Transactions_Raw!A:A,"&gt;="&amp;A2,
Transactions_Raw!A:A,"&lt;"&amp;EDATE(A2,1)
)
</f>
        <v>1258</v>
      </c>
      <c r="L2" s="1">
        <f t="shared" ref="L2:L18" si="4">D2-H2-I2
</f>
        <v>65</v>
      </c>
      <c r="M2" s="1">
        <f t="shared" ref="M2:M18" si="5">E2-K2
</f>
        <v>291</v>
      </c>
    </row>
    <row r="3">
      <c r="A3" s="29">
        <f>IFERROR(__xludf.DUMMYFUNCTION("""COMPUTED_VALUE"""),45536.0)</f>
        <v>45536</v>
      </c>
      <c r="C3" s="1" t="str">
        <f t="shared" si="1"/>
        <v>09/24</v>
      </c>
      <c r="D3" s="1">
        <f>SUMIFS(
Transactions_Raw!C:C,
Transactions_Raw!D:D,"LYD",
Transactions_Raw!E:E,"Money In",
Transactions_Raw!A:A,"&gt;="&amp;A3,
Transactions_Raw!A:A,"&lt;"&amp;EDATE(A3,1)
)
</f>
        <v>10159</v>
      </c>
      <c r="E3" s="1">
        <f>SUMIFS(
Transactions_Raw!C:C,
Transactions_Raw!D:D,"LYD",
Transactions_Raw!E:E,"Money Out",
Transactions_Raw!A:A,"&gt;="&amp;A3,
Transactions_Raw!A:A,"&lt;"&amp;EDATE(A3,1)
)
</f>
        <v>7071.25</v>
      </c>
      <c r="F3" s="1">
        <f t="shared" si="2"/>
        <v>3087.75</v>
      </c>
      <c r="G3" s="35">
        <f t="shared" si="3"/>
        <v>3087.75</v>
      </c>
      <c r="H3" s="1">
        <f>SUMIFS(
Transactions_Raw!C:C,
Transactions_Raw!D:D,"LYD",
Transactions_Raw!E:E,"Money In",
Transactions_Raw!F:F,"Revenue",
Transactions_Raw!A:A,"&gt;="&amp;A3,
Transactions_Raw!A:A,"&lt;"&amp;EDATE(A3,1)
)
</f>
        <v>10159</v>
      </c>
      <c r="I3" s="1">
        <f>SUMIFS(
Transactions_Raw!C:C,
Transactions_Raw!D:D,"LYD",
Transactions_Raw!E:E,"Money In",
Transactions_Raw!F:F,"ads",
Transactions_Raw!A:A,"&gt;="&amp;A3,
Transactions_Raw!A:A,"&lt;"&amp;EDATE(A3,1)
)
</f>
        <v>0</v>
      </c>
      <c r="J3" s="35">
        <f>IFERROR(__xludf.DUMMYFUNCTION("IFERROR(
SUM(
FILTER(
Ads_Contracts!E:E / Ads_Contracts!F:F,
($A3&gt;=Ads_Contracts!C:C) * ($A3&lt;=Ads_Contracts!D:D)
)
),
0
)
"),0.0)</f>
        <v>0</v>
      </c>
      <c r="K3" s="1">
        <f>SUMIFS(
Transactions_Raw!C:C,
Transactions_Raw!D:D,"LYD",
Transactions_Raw!E:E,"Money Out",
Transactions_Raw!F:F,"Product Restocking",
Transactions_Raw!A:A,"&gt;="&amp;A3,
Transactions_Raw!A:A,"&lt;"&amp;EDATE(A3,1)
)
</f>
        <v>6801.25</v>
      </c>
      <c r="L3" s="1">
        <f t="shared" si="4"/>
        <v>0</v>
      </c>
      <c r="M3" s="1">
        <f t="shared" si="5"/>
        <v>270</v>
      </c>
    </row>
    <row r="4">
      <c r="A4" s="29">
        <f>IFERROR(__xludf.DUMMYFUNCTION("""COMPUTED_VALUE"""),45566.0)</f>
        <v>45566</v>
      </c>
      <c r="C4" s="1" t="str">
        <f t="shared" si="1"/>
        <v>10/24</v>
      </c>
      <c r="D4" s="1">
        <f>SUMIFS(
Transactions_Raw!C:C,
Transactions_Raw!D:D,"LYD",
Transactions_Raw!E:E,"Money In",
Transactions_Raw!A:A,"&gt;="&amp;A4,
Transactions_Raw!A:A,"&lt;"&amp;EDATE(A4,1)
)
</f>
        <v>0</v>
      </c>
      <c r="E4" s="1">
        <f>SUMIFS(
Transactions_Raw!C:C,
Transactions_Raw!D:D,"LYD",
Transactions_Raw!E:E,"Money Out",
Transactions_Raw!A:A,"&gt;="&amp;A4,
Transactions_Raw!A:A,"&lt;"&amp;EDATE(A4,1)
)
</f>
        <v>1875</v>
      </c>
      <c r="F4" s="1">
        <f t="shared" si="2"/>
        <v>-1875</v>
      </c>
      <c r="G4" s="35">
        <f t="shared" si="3"/>
        <v>-816.1764706</v>
      </c>
      <c r="H4" s="1">
        <f>SUMIFS(
Transactions_Raw!C:C,
Transactions_Raw!D:D,"LYD",
Transactions_Raw!E:E,"Money In",
Transactions_Raw!F:F,"Revenue",
Transactions_Raw!A:A,"&gt;="&amp;A4,
Transactions_Raw!A:A,"&lt;"&amp;EDATE(A4,1)
)
</f>
        <v>0</v>
      </c>
      <c r="I4" s="1">
        <f>SUMIFS(
Transactions_Raw!C:C,
Transactions_Raw!D:D,"LYD",
Transactions_Raw!E:E,"Money In",
Transactions_Raw!F:F,"ads",
Transactions_Raw!A:A,"&gt;="&amp;A4,
Transactions_Raw!A:A,"&lt;"&amp;EDATE(A4,1)
)
</f>
        <v>0</v>
      </c>
      <c r="J4" s="35">
        <f>IFERROR(__xludf.DUMMYFUNCTION("IFERROR(
SUM(
FILTER(
Ads_Contracts!E:E / Ads_Contracts!F:F,
($A4&gt;=Ads_Contracts!C:C) * ($A4&lt;=Ads_Contracts!D:D)
)
),
0
)
"),1058.8235294117646)</f>
        <v>1058.823529</v>
      </c>
      <c r="K4" s="1">
        <f>SUMIFS(
Transactions_Raw!C:C,
Transactions_Raw!D:D,"LYD",
Transactions_Raw!E:E,"Money Out",
Transactions_Raw!F:F,"Product Restocking",
Transactions_Raw!A:A,"&gt;="&amp;A4,
Transactions_Raw!A:A,"&lt;"&amp;EDATE(A4,1)
)
</f>
        <v>0</v>
      </c>
      <c r="L4" s="1">
        <f t="shared" si="4"/>
        <v>0</v>
      </c>
      <c r="M4" s="1">
        <f t="shared" si="5"/>
        <v>1875</v>
      </c>
    </row>
    <row r="5">
      <c r="A5" s="29">
        <f>IFERROR(__xludf.DUMMYFUNCTION("""COMPUTED_VALUE"""),45597.0)</f>
        <v>45597</v>
      </c>
      <c r="C5" s="1" t="str">
        <f t="shared" si="1"/>
        <v>11/24</v>
      </c>
      <c r="D5" s="1">
        <f>SUMIFS(
Transactions_Raw!C:C,
Transactions_Raw!D:D,"LYD",
Transactions_Raw!E:E,"Money In",
Transactions_Raw!A:A,"&gt;="&amp;A5,
Transactions_Raw!A:A,"&lt;"&amp;EDATE(A5,1)
)
</f>
        <v>836</v>
      </c>
      <c r="E5" s="1">
        <f>SUMIFS(
Transactions_Raw!C:C,
Transactions_Raw!D:D,"LYD",
Transactions_Raw!E:E,"Money Out",
Transactions_Raw!A:A,"&gt;="&amp;A5,
Transactions_Raw!A:A,"&lt;"&amp;EDATE(A5,1)
)
</f>
        <v>1164</v>
      </c>
      <c r="F5" s="1">
        <f t="shared" si="2"/>
        <v>-328</v>
      </c>
      <c r="G5" s="35">
        <f t="shared" si="3"/>
        <v>730.8235294</v>
      </c>
      <c r="H5" s="1">
        <f>SUMIFS(
Transactions_Raw!C:C,
Transactions_Raw!D:D,"LYD",
Transactions_Raw!E:E,"Money In",
Transactions_Raw!F:F,"Revenue",
Transactions_Raw!A:A,"&gt;="&amp;A5,
Transactions_Raw!A:A,"&lt;"&amp;EDATE(A5,1)
)
</f>
        <v>836</v>
      </c>
      <c r="I5" s="1">
        <f>SUMIFS(
Transactions_Raw!C:C,
Transactions_Raw!D:D,"LYD",
Transactions_Raw!E:E,"Money In",
Transactions_Raw!F:F,"ads",
Transactions_Raw!A:A,"&gt;="&amp;A5,
Transactions_Raw!A:A,"&lt;"&amp;EDATE(A5,1)
)
</f>
        <v>0</v>
      </c>
      <c r="J5" s="35">
        <f>IFERROR(__xludf.DUMMYFUNCTION("IFERROR(
SUM(
FILTER(
Ads_Contracts!E:E / Ads_Contracts!F:F,
($A5&gt;=Ads_Contracts!C:C) * ($A5&lt;=Ads_Contracts!D:D)
)
),
0
)
"),1058.8235294117646)</f>
        <v>1058.823529</v>
      </c>
      <c r="K5" s="1">
        <f>SUMIFS(
Transactions_Raw!C:C,
Transactions_Raw!D:D,"LYD",
Transactions_Raw!E:E,"Money Out",
Transactions_Raw!F:F,"Product Restocking",
Transactions_Raw!A:A,"&gt;="&amp;A5,
Transactions_Raw!A:A,"&lt;"&amp;EDATE(A5,1)
)
</f>
        <v>1094</v>
      </c>
      <c r="L5" s="1">
        <f t="shared" si="4"/>
        <v>0</v>
      </c>
      <c r="M5" s="1">
        <f t="shared" si="5"/>
        <v>70</v>
      </c>
    </row>
    <row r="6">
      <c r="A6" s="29">
        <f>IFERROR(__xludf.DUMMYFUNCTION("""COMPUTED_VALUE"""),45627.0)</f>
        <v>45627</v>
      </c>
      <c r="C6" s="1" t="str">
        <f t="shared" si="1"/>
        <v>12/24</v>
      </c>
      <c r="D6" s="1">
        <f>SUMIFS(
Transactions_Raw!C:C,
Transactions_Raw!D:D,"LYD",
Transactions_Raw!E:E,"Money In",
Transactions_Raw!A:A,"&gt;="&amp;A6,
Transactions_Raw!A:A,"&lt;"&amp;EDATE(A6,1)
)
</f>
        <v>19053</v>
      </c>
      <c r="E6" s="1">
        <f>SUMIFS(
Transactions_Raw!C:C,
Transactions_Raw!D:D,"LYD",
Transactions_Raw!E:E,"Money Out",
Transactions_Raw!A:A,"&gt;="&amp;A6,
Transactions_Raw!A:A,"&lt;"&amp;EDATE(A6,1)
)
</f>
        <v>3905</v>
      </c>
      <c r="F6" s="1">
        <f t="shared" si="2"/>
        <v>15148</v>
      </c>
      <c r="G6" s="35">
        <f t="shared" si="3"/>
        <v>13706.82353</v>
      </c>
      <c r="H6" s="1">
        <f>SUMIFS(
Transactions_Raw!C:C,
Transactions_Raw!D:D,"LYD",
Transactions_Raw!E:E,"Money In",
Transactions_Raw!F:F,"Revenue",
Transactions_Raw!A:A,"&gt;="&amp;A6,
Transactions_Raw!A:A,"&lt;"&amp;EDATE(A6,1)
)
</f>
        <v>7553</v>
      </c>
      <c r="I6" s="1">
        <f>SUMIFS(
Transactions_Raw!C:C,
Transactions_Raw!D:D,"LYD",
Transactions_Raw!E:E,"Money In",
Transactions_Raw!F:F,"ads",
Transactions_Raw!A:A,"&gt;="&amp;A6,
Transactions_Raw!A:A,"&lt;"&amp;EDATE(A6,1)
)
</f>
        <v>2500</v>
      </c>
      <c r="J6" s="35">
        <f>IFERROR(__xludf.DUMMYFUNCTION("IFERROR(
SUM(
FILTER(
Ads_Contracts!E:E / Ads_Contracts!F:F,
($A6&gt;=Ads_Contracts!C:C) * ($A6&lt;=Ads_Contracts!D:D)
)
),
0
)
"),1058.8235294117646)</f>
        <v>1058.823529</v>
      </c>
      <c r="K6" s="1">
        <f>SUMIFS(
Transactions_Raw!C:C,
Transactions_Raw!D:D,"LYD",
Transactions_Raw!E:E,"Money Out",
Transactions_Raw!F:F,"Product Restocking",
Transactions_Raw!A:A,"&gt;="&amp;A6,
Transactions_Raw!A:A,"&lt;"&amp;EDATE(A6,1)
)
</f>
        <v>3190</v>
      </c>
      <c r="L6" s="1">
        <f t="shared" si="4"/>
        <v>9000</v>
      </c>
      <c r="M6" s="1">
        <f t="shared" si="5"/>
        <v>715</v>
      </c>
    </row>
    <row r="7">
      <c r="A7" s="29">
        <f>IFERROR(__xludf.DUMMYFUNCTION("""COMPUTED_VALUE"""),45658.0)</f>
        <v>45658</v>
      </c>
      <c r="C7" s="1" t="str">
        <f t="shared" si="1"/>
        <v>01/25</v>
      </c>
      <c r="D7" s="1">
        <f>SUMIFS(
Transactions_Raw!C:C,
Transactions_Raw!D:D,"LYD",
Transactions_Raw!E:E,"Money In",
Transactions_Raw!A:A,"&gt;="&amp;A7,
Transactions_Raw!A:A,"&lt;"&amp;EDATE(A7,1)
)
</f>
        <v>8288</v>
      </c>
      <c r="E7" s="1">
        <f>SUMIFS(
Transactions_Raw!C:C,
Transactions_Raw!D:D,"LYD",
Transactions_Raw!E:E,"Money Out",
Transactions_Raw!A:A,"&gt;="&amp;A7,
Transactions_Raw!A:A,"&lt;"&amp;EDATE(A7,1)
)
</f>
        <v>26468</v>
      </c>
      <c r="F7" s="1">
        <f t="shared" si="2"/>
        <v>-18180</v>
      </c>
      <c r="G7" s="35">
        <f t="shared" si="3"/>
        <v>-17121.17647</v>
      </c>
      <c r="H7" s="1">
        <f>SUMIFS(
Transactions_Raw!C:C,
Transactions_Raw!D:D,"LYD",
Transactions_Raw!E:E,"Money In",
Transactions_Raw!F:F,"Revenue",
Transactions_Raw!A:A,"&gt;="&amp;A7,
Transactions_Raw!A:A,"&lt;"&amp;EDATE(A7,1)
)
</f>
        <v>8288</v>
      </c>
      <c r="I7" s="1">
        <f>SUMIFS(
Transactions_Raw!C:C,
Transactions_Raw!D:D,"LYD",
Transactions_Raw!E:E,"Money In",
Transactions_Raw!F:F,"ads",
Transactions_Raw!A:A,"&gt;="&amp;A7,
Transactions_Raw!A:A,"&lt;"&amp;EDATE(A7,1)
)
</f>
        <v>0</v>
      </c>
      <c r="J7" s="35">
        <f>IFERROR(__xludf.DUMMYFUNCTION("IFERROR(
SUM(
FILTER(
Ads_Contracts!E:E / Ads_Contracts!F:F,
($A7&gt;=Ads_Contracts!C:C) * ($A7&lt;=Ads_Contracts!D:D)
)
),
0
)
"),1058.8235294117646)</f>
        <v>1058.823529</v>
      </c>
      <c r="K7" s="1">
        <f>SUMIFS(
Transactions_Raw!C:C,
Transactions_Raw!D:D,"LYD",
Transactions_Raw!E:E,"Money Out",
Transactions_Raw!F:F,"Product Restocking",
Transactions_Raw!A:A,"&gt;="&amp;A7,
Transactions_Raw!A:A,"&lt;"&amp;EDATE(A7,1)
)
</f>
        <v>5181</v>
      </c>
      <c r="L7" s="1">
        <f t="shared" si="4"/>
        <v>0</v>
      </c>
      <c r="M7" s="1">
        <f t="shared" si="5"/>
        <v>21287</v>
      </c>
    </row>
    <row r="8">
      <c r="A8" s="29">
        <f>IFERROR(__xludf.DUMMYFUNCTION("""COMPUTED_VALUE"""),45689.0)</f>
        <v>45689</v>
      </c>
      <c r="C8" s="1" t="str">
        <f t="shared" si="1"/>
        <v>02/25</v>
      </c>
      <c r="D8" s="1">
        <f>SUMIFS(
Transactions_Raw!C:C,
Transactions_Raw!D:D,"LYD",
Transactions_Raw!E:E,"Money In",
Transactions_Raw!A:A,"&gt;="&amp;A8,
Transactions_Raw!A:A,"&lt;"&amp;EDATE(A8,1)
)
</f>
        <v>7815</v>
      </c>
      <c r="E8" s="1">
        <f>SUMIFS(
Transactions_Raw!C:C,
Transactions_Raw!D:D,"LYD",
Transactions_Raw!E:E,"Money Out",
Transactions_Raw!A:A,"&gt;="&amp;A8,
Transactions_Raw!A:A,"&lt;"&amp;EDATE(A8,1)
)
</f>
        <v>9463</v>
      </c>
      <c r="F8" s="1">
        <f t="shared" si="2"/>
        <v>-1648</v>
      </c>
      <c r="G8" s="35">
        <f t="shared" si="3"/>
        <v>-589.1764706</v>
      </c>
      <c r="H8" s="1">
        <f>SUMIFS(
Transactions_Raw!C:C,
Transactions_Raw!D:D,"LYD",
Transactions_Raw!E:E,"Money In",
Transactions_Raw!F:F,"Revenue",
Transactions_Raw!A:A,"&gt;="&amp;A8,
Transactions_Raw!A:A,"&lt;"&amp;EDATE(A8,1)
)
</f>
        <v>7480</v>
      </c>
      <c r="I8" s="1">
        <f>SUMIFS(
Transactions_Raw!C:C,
Transactions_Raw!D:D,"LYD",
Transactions_Raw!E:E,"Money In",
Transactions_Raw!F:F,"ads",
Transactions_Raw!A:A,"&gt;="&amp;A8,
Transactions_Raw!A:A,"&lt;"&amp;EDATE(A8,1)
)
</f>
        <v>0</v>
      </c>
      <c r="J8" s="35">
        <f>IFERROR(__xludf.DUMMYFUNCTION("IFERROR(
SUM(
FILTER(
Ads_Contracts!E:E / Ads_Contracts!F:F,
($A8&gt;=Ads_Contracts!C:C) * ($A8&lt;=Ads_Contracts!D:D)
)
),
0
)
"),1058.8235294117646)</f>
        <v>1058.823529</v>
      </c>
      <c r="K8" s="1">
        <f>SUMIFS(
Transactions_Raw!C:C,
Transactions_Raw!D:D,"LYD",
Transactions_Raw!E:E,"Money Out",
Transactions_Raw!F:F,"Product Restocking",
Transactions_Raw!A:A,"&gt;="&amp;A8,
Transactions_Raw!A:A,"&lt;"&amp;EDATE(A8,1)
)
</f>
        <v>4109</v>
      </c>
      <c r="L8" s="1">
        <f t="shared" si="4"/>
        <v>335</v>
      </c>
      <c r="M8" s="1">
        <f t="shared" si="5"/>
        <v>5354</v>
      </c>
    </row>
    <row r="9">
      <c r="A9" s="29">
        <f>IFERROR(__xludf.DUMMYFUNCTION("""COMPUTED_VALUE"""),45717.0)</f>
        <v>45717</v>
      </c>
      <c r="C9" s="1" t="str">
        <f t="shared" si="1"/>
        <v>03/25</v>
      </c>
      <c r="D9" s="1">
        <f>SUMIFS(
Transactions_Raw!C:C,
Transactions_Raw!D:D,"LYD",
Transactions_Raw!E:E,"Money In",
Transactions_Raw!A:A,"&gt;="&amp;A9,
Transactions_Raw!A:A,"&lt;"&amp;EDATE(A9,1)
)
</f>
        <v>11745</v>
      </c>
      <c r="E9" s="1">
        <f>SUMIFS(
Transactions_Raw!C:C,
Transactions_Raw!D:D,"LYD",
Transactions_Raw!E:E,"Money Out",
Transactions_Raw!A:A,"&gt;="&amp;A9,
Transactions_Raw!A:A,"&lt;"&amp;EDATE(A9,1)
)
</f>
        <v>8320</v>
      </c>
      <c r="F9" s="1">
        <f t="shared" si="2"/>
        <v>3425</v>
      </c>
      <c r="G9" s="35">
        <f t="shared" si="3"/>
        <v>2983.823529</v>
      </c>
      <c r="H9" s="1">
        <f>SUMIFS(
Transactions_Raw!C:C,
Transactions_Raw!D:D,"LYD",
Transactions_Raw!E:E,"Money In",
Transactions_Raw!F:F,"Revenue",
Transactions_Raw!A:A,"&gt;="&amp;A9,
Transactions_Raw!A:A,"&lt;"&amp;EDATE(A9,1)
)
</f>
        <v>8925</v>
      </c>
      <c r="I9" s="1">
        <f>SUMIFS(
Transactions_Raw!C:C,
Transactions_Raw!D:D,"LYD",
Transactions_Raw!E:E,"Money In",
Transactions_Raw!F:F,"ads",
Transactions_Raw!A:A,"&gt;="&amp;A9,
Transactions_Raw!A:A,"&lt;"&amp;EDATE(A9,1)
)
</f>
        <v>1500</v>
      </c>
      <c r="J9" s="35">
        <f>IFERROR(__xludf.DUMMYFUNCTION("IFERROR(
SUM(
FILTER(
Ads_Contracts!E:E / Ads_Contracts!F:F,
($A9&gt;=Ads_Contracts!C:C) * ($A9&lt;=Ads_Contracts!D:D)
)
),
0
)
"),1058.8235294117646)</f>
        <v>1058.823529</v>
      </c>
      <c r="K9" s="1">
        <f>SUMIFS(
Transactions_Raw!C:C,
Transactions_Raw!D:D,"LYD",
Transactions_Raw!E:E,"Money Out",
Transactions_Raw!F:F,"Product Restocking",
Transactions_Raw!A:A,"&gt;="&amp;A9,
Transactions_Raw!A:A,"&lt;"&amp;EDATE(A9,1)
)
</f>
        <v>6223</v>
      </c>
      <c r="L9" s="1">
        <f t="shared" si="4"/>
        <v>1320</v>
      </c>
      <c r="M9" s="1">
        <f t="shared" si="5"/>
        <v>2097</v>
      </c>
    </row>
    <row r="10">
      <c r="A10" s="29">
        <f>IFERROR(__xludf.DUMMYFUNCTION("""COMPUTED_VALUE"""),45748.0)</f>
        <v>45748</v>
      </c>
      <c r="C10" s="1" t="str">
        <f t="shared" si="1"/>
        <v>04/25</v>
      </c>
      <c r="D10" s="1">
        <f>SUMIFS(
Transactions_Raw!C:C,
Transactions_Raw!D:D,"LYD",
Transactions_Raw!E:E,"Money In",
Transactions_Raw!A:A,"&gt;="&amp;A10,
Transactions_Raw!A:A,"&lt;"&amp;EDATE(A10,1)
)
</f>
        <v>17897</v>
      </c>
      <c r="E10" s="1">
        <f>SUMIFS(
Transactions_Raw!C:C,
Transactions_Raw!D:D,"LYD",
Transactions_Raw!E:E,"Money Out",
Transactions_Raw!A:A,"&gt;="&amp;A10,
Transactions_Raw!A:A,"&lt;"&amp;EDATE(A10,1)
)
</f>
        <v>14526</v>
      </c>
      <c r="F10" s="1">
        <f t="shared" si="2"/>
        <v>3371</v>
      </c>
      <c r="G10" s="35">
        <f t="shared" si="3"/>
        <v>2929.823529</v>
      </c>
      <c r="H10" s="1">
        <f>SUMIFS(
Transactions_Raw!C:C,
Transactions_Raw!D:D,"LYD",
Transactions_Raw!E:E,"Money In",
Transactions_Raw!F:F,"Revenue",
Transactions_Raw!A:A,"&gt;="&amp;A10,
Transactions_Raw!A:A,"&lt;"&amp;EDATE(A10,1)
)
</f>
        <v>15847</v>
      </c>
      <c r="I10" s="1">
        <f>SUMIFS(
Transactions_Raw!C:C,
Transactions_Raw!D:D,"LYD",
Transactions_Raw!E:E,"Money In",
Transactions_Raw!F:F,"ads",
Transactions_Raw!A:A,"&gt;="&amp;A10,
Transactions_Raw!A:A,"&lt;"&amp;EDATE(A10,1)
)
</f>
        <v>1500</v>
      </c>
      <c r="J10" s="35">
        <f>IFERROR(__xludf.DUMMYFUNCTION("IFERROR(
SUM(
FILTER(
Ads_Contracts!E:E / Ads_Contracts!F:F,
($A10&gt;=Ads_Contracts!C:C) * ($A10&lt;=Ads_Contracts!D:D)
)
),
0
)
"),1058.8235294117646)</f>
        <v>1058.823529</v>
      </c>
      <c r="K10" s="1">
        <f>SUMIFS(
Transactions_Raw!C:C,
Transactions_Raw!D:D,"LYD",
Transactions_Raw!E:E,"Money Out",
Transactions_Raw!F:F,"Product Restocking",
Transactions_Raw!A:A,"&gt;="&amp;A10,
Transactions_Raw!A:A,"&lt;"&amp;EDATE(A10,1)
)
</f>
        <v>11636</v>
      </c>
      <c r="L10" s="1">
        <f t="shared" si="4"/>
        <v>550</v>
      </c>
      <c r="M10" s="1">
        <f t="shared" si="5"/>
        <v>2890</v>
      </c>
    </row>
    <row r="11">
      <c r="A11" s="29">
        <f>IFERROR(__xludf.DUMMYFUNCTION("""COMPUTED_VALUE"""),45778.0)</f>
        <v>45778</v>
      </c>
      <c r="C11" s="1" t="str">
        <f t="shared" si="1"/>
        <v>05/25</v>
      </c>
      <c r="D11" s="1">
        <f>SUMIFS(
Transactions_Raw!C:C,
Transactions_Raw!D:D,"LYD",
Transactions_Raw!E:E,"Money In",
Transactions_Raw!A:A,"&gt;="&amp;A11,
Transactions_Raw!A:A,"&lt;"&amp;EDATE(A11,1)
)
</f>
        <v>13026</v>
      </c>
      <c r="E11" s="1">
        <f>SUMIFS(
Transactions_Raw!C:C,
Transactions_Raw!D:D,"LYD",
Transactions_Raw!E:E,"Money Out",
Transactions_Raw!A:A,"&gt;="&amp;A11,
Transactions_Raw!A:A,"&lt;"&amp;EDATE(A11,1)
)
</f>
        <v>21408</v>
      </c>
      <c r="F11" s="1">
        <f t="shared" si="2"/>
        <v>-8382</v>
      </c>
      <c r="G11" s="35">
        <f t="shared" si="3"/>
        <v>-7323.176471</v>
      </c>
      <c r="H11" s="1">
        <f>SUMIFS(
Transactions_Raw!C:C,
Transactions_Raw!D:D,"LYD",
Transactions_Raw!E:E,"Money In",
Transactions_Raw!F:F,"Revenue",
Transactions_Raw!A:A,"&gt;="&amp;A11,
Transactions_Raw!A:A,"&lt;"&amp;EDATE(A11,1)
)
</f>
        <v>8426</v>
      </c>
      <c r="I11" s="1">
        <f>SUMIFS(
Transactions_Raw!C:C,
Transactions_Raw!D:D,"LYD",
Transactions_Raw!E:E,"Money In",
Transactions_Raw!F:F,"ads",
Transactions_Raw!A:A,"&gt;="&amp;A11,
Transactions_Raw!A:A,"&lt;"&amp;EDATE(A11,1)
)
</f>
        <v>0</v>
      </c>
      <c r="J11" s="35">
        <f>IFERROR(__xludf.DUMMYFUNCTION("IFERROR(
SUM(
FILTER(
Ads_Contracts!E:E / Ads_Contracts!F:F,
($A11&gt;=Ads_Contracts!C:C) * ($A11&lt;=Ads_Contracts!D:D)
)
),
0
)
"),1058.8235294117646)</f>
        <v>1058.823529</v>
      </c>
      <c r="K11" s="1">
        <f>SUMIFS(
Transactions_Raw!C:C,
Transactions_Raw!D:D,"LYD",
Transactions_Raw!E:E,"Money Out",
Transactions_Raw!F:F,"Product Restocking",
Transactions_Raw!A:A,"&gt;="&amp;A11,
Transactions_Raw!A:A,"&lt;"&amp;EDATE(A11,1)
)
</f>
        <v>4658</v>
      </c>
      <c r="L11" s="1">
        <f t="shared" si="4"/>
        <v>4600</v>
      </c>
      <c r="M11" s="1">
        <f t="shared" si="5"/>
        <v>16750</v>
      </c>
    </row>
    <row r="12">
      <c r="A12" s="29">
        <f>IFERROR(__xludf.DUMMYFUNCTION("""COMPUTED_VALUE"""),45809.0)</f>
        <v>45809</v>
      </c>
      <c r="C12" s="1" t="str">
        <f t="shared" si="1"/>
        <v>06/25</v>
      </c>
      <c r="D12" s="1">
        <f>SUMIFS(
Transactions_Raw!C:C,
Transactions_Raw!D:D,"LYD",
Transactions_Raw!E:E,"Money In",
Transactions_Raw!A:A,"&gt;="&amp;A12,
Transactions_Raw!A:A,"&lt;"&amp;EDATE(A12,1)
)
</f>
        <v>24112</v>
      </c>
      <c r="E12" s="1">
        <f>SUMIFS(
Transactions_Raw!C:C,
Transactions_Raw!D:D,"LYD",
Transactions_Raw!E:E,"Money Out",
Transactions_Raw!A:A,"&gt;="&amp;A12,
Transactions_Raw!A:A,"&lt;"&amp;EDATE(A12,1)
)
</f>
        <v>15187</v>
      </c>
      <c r="F12" s="1">
        <f t="shared" si="2"/>
        <v>8925</v>
      </c>
      <c r="G12" s="35">
        <f t="shared" si="3"/>
        <v>6983.823529</v>
      </c>
      <c r="H12" s="1">
        <f>SUMIFS(
Transactions_Raw!C:C,
Transactions_Raw!D:D,"LYD",
Transactions_Raw!E:E,"Money In",
Transactions_Raw!F:F,"Revenue",
Transactions_Raw!A:A,"&gt;="&amp;A12,
Transactions_Raw!A:A,"&lt;"&amp;EDATE(A12,1)
)
</f>
        <v>21112</v>
      </c>
      <c r="I12" s="1">
        <f>SUMIFS(
Transactions_Raw!C:C,
Transactions_Raw!D:D,"LYD",
Transactions_Raw!E:E,"Money In",
Transactions_Raw!F:F,"ads",
Transactions_Raw!A:A,"&gt;="&amp;A12,
Transactions_Raw!A:A,"&lt;"&amp;EDATE(A12,1)
)
</f>
        <v>3000</v>
      </c>
      <c r="J12" s="35">
        <f>IFERROR(__xludf.DUMMYFUNCTION("IFERROR(
SUM(
FILTER(
Ads_Contracts!E:E / Ads_Contracts!F:F,
($A12&gt;=Ads_Contracts!C:C) * ($A12&lt;=Ads_Contracts!D:D)
)
),
0
)
"),1058.8235294117646)</f>
        <v>1058.823529</v>
      </c>
      <c r="K12" s="1">
        <f>SUMIFS(
Transactions_Raw!C:C,
Transactions_Raw!D:D,"LYD",
Transactions_Raw!E:E,"Money Out",
Transactions_Raw!F:F,"Product Restocking",
Transactions_Raw!A:A,"&gt;="&amp;A12,
Transactions_Raw!A:A,"&lt;"&amp;EDATE(A12,1)
)
</f>
        <v>11777</v>
      </c>
      <c r="L12" s="1">
        <f t="shared" si="4"/>
        <v>0</v>
      </c>
      <c r="M12" s="1">
        <f t="shared" si="5"/>
        <v>3410</v>
      </c>
    </row>
    <row r="13">
      <c r="A13" s="29">
        <f>IFERROR(__xludf.DUMMYFUNCTION("""COMPUTED_VALUE"""),45839.0)</f>
        <v>45839</v>
      </c>
      <c r="C13" s="1" t="str">
        <f t="shared" si="1"/>
        <v>07/25</v>
      </c>
      <c r="D13" s="1">
        <f>SUMIFS(
Transactions_Raw!C:C,
Transactions_Raw!D:D,"LYD",
Transactions_Raw!E:E,"Money In",
Transactions_Raw!A:A,"&gt;="&amp;A13,
Transactions_Raw!A:A,"&lt;"&amp;EDATE(A13,1)
)
</f>
        <v>22450</v>
      </c>
      <c r="E13" s="1">
        <f>SUMIFS(
Transactions_Raw!C:C,
Transactions_Raw!D:D,"LYD",
Transactions_Raw!E:E,"Money Out",
Transactions_Raw!A:A,"&gt;="&amp;A13,
Transactions_Raw!A:A,"&lt;"&amp;EDATE(A13,1)
)
</f>
        <v>16198</v>
      </c>
      <c r="F13" s="1">
        <f t="shared" si="2"/>
        <v>6252</v>
      </c>
      <c r="G13" s="35">
        <f t="shared" si="3"/>
        <v>4310.823529</v>
      </c>
      <c r="H13" s="1">
        <f>SUMIFS(
Transactions_Raw!C:C,
Transactions_Raw!D:D,"LYD",
Transactions_Raw!E:E,"Money In",
Transactions_Raw!F:F,"Revenue",
Transactions_Raw!A:A,"&gt;="&amp;A13,
Transactions_Raw!A:A,"&lt;"&amp;EDATE(A13,1)
)
</f>
        <v>19450</v>
      </c>
      <c r="I13" s="1">
        <f>SUMIFS(
Transactions_Raw!C:C,
Transactions_Raw!D:D,"LYD",
Transactions_Raw!E:E,"Money In",
Transactions_Raw!F:F,"ads",
Transactions_Raw!A:A,"&gt;="&amp;A13,
Transactions_Raw!A:A,"&lt;"&amp;EDATE(A13,1)
)
</f>
        <v>3000</v>
      </c>
      <c r="J13" s="35">
        <f>IFERROR(__xludf.DUMMYFUNCTION("IFERROR(
SUM(
FILTER(
Ads_Contracts!E:E / Ads_Contracts!F:F,
($A13&gt;=Ads_Contracts!C:C) * ($A13&lt;=Ads_Contracts!D:D)
)
),
0
)
"),1058.8235294117646)</f>
        <v>1058.823529</v>
      </c>
      <c r="K13" s="1">
        <f>SUMIFS(
Transactions_Raw!C:C,
Transactions_Raw!D:D,"LYD",
Transactions_Raw!E:E,"Money Out",
Transactions_Raw!F:F,"Product Restocking",
Transactions_Raw!A:A,"&gt;="&amp;A13,
Transactions_Raw!A:A,"&lt;"&amp;EDATE(A13,1)
)
</f>
        <v>11199</v>
      </c>
      <c r="L13" s="1">
        <f t="shared" si="4"/>
        <v>0</v>
      </c>
      <c r="M13" s="1">
        <f t="shared" si="5"/>
        <v>4999</v>
      </c>
    </row>
    <row r="14">
      <c r="A14" s="29">
        <f>IFERROR(__xludf.DUMMYFUNCTION("""COMPUTED_VALUE"""),45870.0)</f>
        <v>45870</v>
      </c>
      <c r="C14" s="1" t="str">
        <f t="shared" si="1"/>
        <v>08/25</v>
      </c>
      <c r="D14" s="1">
        <f>SUMIFS(
Transactions_Raw!C:C,
Transactions_Raw!D:D,"LYD",
Transactions_Raw!E:E,"Money In",
Transactions_Raw!A:A,"&gt;="&amp;A14,
Transactions_Raw!A:A,"&lt;"&amp;EDATE(A14,1)
)
</f>
        <v>19920</v>
      </c>
      <c r="E14" s="1">
        <f>SUMIFS(
Transactions_Raw!C:C,
Transactions_Raw!D:D,"LYD",
Transactions_Raw!E:E,"Money Out",
Transactions_Raw!A:A,"&gt;="&amp;A14,
Transactions_Raw!A:A,"&lt;"&amp;EDATE(A14,1)
)
</f>
        <v>16367</v>
      </c>
      <c r="F14" s="1">
        <f t="shared" si="2"/>
        <v>3553</v>
      </c>
      <c r="G14" s="35">
        <f t="shared" si="3"/>
        <v>5468.966387</v>
      </c>
      <c r="H14" s="1">
        <f>SUMIFS(
Transactions_Raw!C:C,
Transactions_Raw!D:D,"LYD",
Transactions_Raw!E:E,"Money In",
Transactions_Raw!F:F,"Revenue",
Transactions_Raw!A:A,"&gt;="&amp;A14,
Transactions_Raw!A:A,"&lt;"&amp;EDATE(A14,1)
)
</f>
        <v>19750</v>
      </c>
      <c r="I14" s="1">
        <f>SUMIFS(
Transactions_Raw!C:C,
Transactions_Raw!D:D,"LYD",
Transactions_Raw!E:E,"Money In",
Transactions_Raw!F:F,"ads",
Transactions_Raw!A:A,"&gt;="&amp;A14,
Transactions_Raw!A:A,"&lt;"&amp;EDATE(A14,1)
)
</f>
        <v>0</v>
      </c>
      <c r="J14" s="35">
        <f>IFERROR(__xludf.DUMMYFUNCTION("IFERROR(
SUM(
FILTER(
Ads_Contracts!E:E / Ads_Contracts!F:F,
($A14&gt;=Ads_Contracts!C:C) * ($A14&lt;=Ads_Contracts!D:D)
)
),
0
)
"),1915.9663865546217)</f>
        <v>1915.966387</v>
      </c>
      <c r="K14" s="1">
        <f>SUMIFS(
Transactions_Raw!C:C,
Transactions_Raw!D:D,"LYD",
Transactions_Raw!E:E,"Money Out",
Transactions_Raw!F:F,"Product Restocking",
Transactions_Raw!A:A,"&gt;="&amp;A14,
Transactions_Raw!A:A,"&lt;"&amp;EDATE(A14,1)
)
</f>
        <v>9841</v>
      </c>
      <c r="L14" s="1">
        <f t="shared" si="4"/>
        <v>170</v>
      </c>
      <c r="M14" s="1">
        <f t="shared" si="5"/>
        <v>6526</v>
      </c>
    </row>
    <row r="15">
      <c r="A15" s="29">
        <f>IFERROR(__xludf.DUMMYFUNCTION("""COMPUTED_VALUE"""),45901.0)</f>
        <v>45901</v>
      </c>
      <c r="C15" s="1" t="str">
        <f t="shared" si="1"/>
        <v>09/25</v>
      </c>
      <c r="D15" s="1">
        <f>SUMIFS(
Transactions_Raw!C:C,
Transactions_Raw!D:D,"LYD",
Transactions_Raw!E:E,"Money In",
Transactions_Raw!A:A,"&gt;="&amp;A15,
Transactions_Raw!A:A,"&lt;"&amp;EDATE(A15,1)
)
</f>
        <v>22927</v>
      </c>
      <c r="E15" s="1">
        <f>SUMIFS(
Transactions_Raw!C:C,
Transactions_Raw!D:D,"LYD",
Transactions_Raw!E:E,"Money Out",
Transactions_Raw!A:A,"&gt;="&amp;A15,
Transactions_Raw!A:A,"&lt;"&amp;EDATE(A15,1)
)
</f>
        <v>9746</v>
      </c>
      <c r="F15" s="1">
        <f t="shared" si="2"/>
        <v>13181</v>
      </c>
      <c r="G15" s="35">
        <f t="shared" si="3"/>
        <v>5096.966387</v>
      </c>
      <c r="H15" s="1">
        <f>SUMIFS(
Transactions_Raw!C:C,
Transactions_Raw!D:D,"LYD",
Transactions_Raw!E:E,"Money In",
Transactions_Raw!F:F,"Revenue",
Transactions_Raw!A:A,"&gt;="&amp;A15,
Transactions_Raw!A:A,"&lt;"&amp;EDATE(A15,1)
)
</f>
        <v>12927</v>
      </c>
      <c r="I15" s="1">
        <f>SUMIFS(
Transactions_Raw!C:C,
Transactions_Raw!D:D,"LYD",
Transactions_Raw!E:E,"Money In",
Transactions_Raw!F:F,"ads",
Transactions_Raw!A:A,"&gt;="&amp;A15,
Transactions_Raw!A:A,"&lt;"&amp;EDATE(A15,1)
)
</f>
        <v>10000</v>
      </c>
      <c r="J15" s="35">
        <f>IFERROR(__xludf.DUMMYFUNCTION("IFERROR(
SUM(
FILTER(
Ads_Contracts!E:E / Ads_Contracts!F:F,
($A15&gt;=Ads_Contracts!C:C) * ($A15&lt;=Ads_Contracts!D:D)
)
),
0
)
"),1915.9663865546217)</f>
        <v>1915.966387</v>
      </c>
      <c r="K15" s="1">
        <f>SUMIFS(
Transactions_Raw!C:C,
Transactions_Raw!D:D,"LYD",
Transactions_Raw!E:E,"Money Out",
Transactions_Raw!F:F,"Product Restocking",
Transactions_Raw!A:A,"&gt;="&amp;A15,
Transactions_Raw!A:A,"&lt;"&amp;EDATE(A15,1)
)
</f>
        <v>8666</v>
      </c>
      <c r="L15" s="1">
        <f t="shared" si="4"/>
        <v>0</v>
      </c>
      <c r="M15" s="1">
        <f t="shared" si="5"/>
        <v>1080</v>
      </c>
    </row>
    <row r="16">
      <c r="A16" s="29">
        <f>IFERROR(__xludf.DUMMYFUNCTION("""COMPUTED_VALUE"""),45931.0)</f>
        <v>45931</v>
      </c>
      <c r="C16" s="1" t="str">
        <f t="shared" si="1"/>
        <v>10/25</v>
      </c>
      <c r="D16" s="1">
        <f>SUMIFS(
Transactions_Raw!C:C,
Transactions_Raw!D:D,"LYD",
Transactions_Raw!E:E,"Money In",
Transactions_Raw!A:A,"&gt;="&amp;A16,
Transactions_Raw!A:A,"&lt;"&amp;EDATE(A16,1)
)
</f>
        <v>20312</v>
      </c>
      <c r="E16" s="1">
        <f>SUMIFS(
Transactions_Raw!C:C,
Transactions_Raw!D:D,"LYD",
Transactions_Raw!E:E,"Money Out",
Transactions_Raw!A:A,"&gt;="&amp;A16,
Transactions_Raw!A:A,"&lt;"&amp;EDATE(A16,1)
)
</f>
        <v>20534</v>
      </c>
      <c r="F16" s="1">
        <f t="shared" si="2"/>
        <v>-222</v>
      </c>
      <c r="G16" s="35">
        <f t="shared" si="3"/>
        <v>1693.966387</v>
      </c>
      <c r="H16" s="1">
        <f>SUMIFS(
Transactions_Raw!C:C,
Transactions_Raw!D:D,"LYD",
Transactions_Raw!E:E,"Money In",
Transactions_Raw!F:F,"Revenue",
Transactions_Raw!A:A,"&gt;="&amp;A16,
Transactions_Raw!A:A,"&lt;"&amp;EDATE(A16,1)
)
</f>
        <v>20312</v>
      </c>
      <c r="I16" s="1">
        <f>SUMIFS(
Transactions_Raw!C:C,
Transactions_Raw!D:D,"LYD",
Transactions_Raw!E:E,"Money In",
Transactions_Raw!F:F,"ads",
Transactions_Raw!A:A,"&gt;="&amp;A16,
Transactions_Raw!A:A,"&lt;"&amp;EDATE(A16,1)
)
</f>
        <v>0</v>
      </c>
      <c r="J16" s="35">
        <f>IFERROR(__xludf.DUMMYFUNCTION("IFERROR(
SUM(
FILTER(
Ads_Contracts!E:E / Ads_Contracts!F:F,
($A16&gt;=Ads_Contracts!C:C) * ($A16&lt;=Ads_Contracts!D:D)
)
),
0
)
"),1915.9663865546217)</f>
        <v>1915.966387</v>
      </c>
      <c r="K16" s="1">
        <f>SUMIFS(
Transactions_Raw!C:C,
Transactions_Raw!D:D,"LYD",
Transactions_Raw!E:E,"Money Out",
Transactions_Raw!F:F,"Product Restocking",
Transactions_Raw!A:A,"&gt;="&amp;A16,
Transactions_Raw!A:A,"&lt;"&amp;EDATE(A16,1)
)
</f>
        <v>13859</v>
      </c>
      <c r="L16" s="1">
        <f t="shared" si="4"/>
        <v>0</v>
      </c>
      <c r="M16" s="1">
        <f t="shared" si="5"/>
        <v>6675</v>
      </c>
    </row>
    <row r="17">
      <c r="A17" s="29">
        <f>IFERROR(__xludf.DUMMYFUNCTION("""COMPUTED_VALUE"""),45962.0)</f>
        <v>45962</v>
      </c>
      <c r="C17" s="1" t="str">
        <f t="shared" si="1"/>
        <v>11/25</v>
      </c>
      <c r="D17" s="1">
        <f>SUMIFS(
Transactions_Raw!C:C,
Transactions_Raw!D:D,"LYD",
Transactions_Raw!E:E,"Money In",
Transactions_Raw!A:A,"&gt;="&amp;A17,
Transactions_Raw!A:A,"&lt;"&amp;EDATE(A17,1)
)
</f>
        <v>16760</v>
      </c>
      <c r="E17" s="1">
        <f>SUMIFS(
Transactions_Raw!C:C,
Transactions_Raw!D:D,"LYD",
Transactions_Raw!E:E,"Money Out",
Transactions_Raw!A:A,"&gt;="&amp;A17,
Transactions_Raw!A:A,"&lt;"&amp;EDATE(A17,1)
)
</f>
        <v>24882</v>
      </c>
      <c r="F17" s="1">
        <f t="shared" si="2"/>
        <v>-8122</v>
      </c>
      <c r="G17" s="35">
        <f t="shared" si="3"/>
        <v>-6206.033613</v>
      </c>
      <c r="H17" s="1">
        <f>SUMIFS(
Transactions_Raw!C:C,
Transactions_Raw!D:D,"LYD",
Transactions_Raw!E:E,"Money In",
Transactions_Raw!F:F,"Revenue",
Transactions_Raw!A:A,"&gt;="&amp;A17,
Transactions_Raw!A:A,"&lt;"&amp;EDATE(A17,1)
)
</f>
        <v>16760</v>
      </c>
      <c r="I17" s="1">
        <f>SUMIFS(
Transactions_Raw!C:C,
Transactions_Raw!D:D,"LYD",
Transactions_Raw!E:E,"Money In",
Transactions_Raw!F:F,"ads",
Transactions_Raw!A:A,"&gt;="&amp;A17,
Transactions_Raw!A:A,"&lt;"&amp;EDATE(A17,1)
)
</f>
        <v>0</v>
      </c>
      <c r="J17" s="35">
        <f>IFERROR(__xludf.DUMMYFUNCTION("IFERROR(
SUM(
FILTER(
Ads_Contracts!E:E / Ads_Contracts!F:F,
($A17&gt;=Ads_Contracts!C:C) * ($A17&lt;=Ads_Contracts!D:D)
)
),
0
)
"),1915.9663865546217)</f>
        <v>1915.966387</v>
      </c>
      <c r="K17" s="1">
        <f>SUMIFS(
Transactions_Raw!C:C,
Transactions_Raw!D:D,"LYD",
Transactions_Raw!E:E,"Money Out",
Transactions_Raw!F:F,"Product Restocking",
Transactions_Raw!A:A,"&gt;="&amp;A17,
Transactions_Raw!A:A,"&lt;"&amp;EDATE(A17,1)
)
</f>
        <v>7461</v>
      </c>
      <c r="L17" s="1">
        <f t="shared" si="4"/>
        <v>0</v>
      </c>
      <c r="M17" s="1">
        <f t="shared" si="5"/>
        <v>17421</v>
      </c>
    </row>
    <row r="18">
      <c r="A18" s="29">
        <f>IFERROR(__xludf.DUMMYFUNCTION("""COMPUTED_VALUE"""),45992.0)</f>
        <v>45992</v>
      </c>
      <c r="C18" s="1" t="str">
        <f t="shared" si="1"/>
        <v>12/25</v>
      </c>
      <c r="D18" s="1">
        <f>SUMIFS(
Transactions_Raw!C:C,
Transactions_Raw!D:D,"LYD",
Transactions_Raw!E:E,"Money In",
Transactions_Raw!A:A,"&gt;="&amp;A18,
Transactions_Raw!A:A,"&lt;"&amp;EDATE(A18,1)
)
</f>
        <v>21627</v>
      </c>
      <c r="E18" s="1">
        <f>SUMIFS(
Transactions_Raw!C:C,
Transactions_Raw!D:D,"LYD",
Transactions_Raw!E:E,"Money Out",
Transactions_Raw!A:A,"&gt;="&amp;A18,
Transactions_Raw!A:A,"&lt;"&amp;EDATE(A18,1)
)
</f>
        <v>21646</v>
      </c>
      <c r="F18" s="1">
        <f t="shared" si="2"/>
        <v>-19</v>
      </c>
      <c r="G18" s="35">
        <f t="shared" si="3"/>
        <v>1896.966387</v>
      </c>
      <c r="H18" s="1">
        <f>SUMIFS(
Transactions_Raw!C:C,
Transactions_Raw!D:D,"LYD",
Transactions_Raw!E:E,"Money In",
Transactions_Raw!F:F,"Revenue",
Transactions_Raw!A:A,"&gt;="&amp;A18,
Transactions_Raw!A:A,"&lt;"&amp;EDATE(A18,1)
)
</f>
        <v>21627</v>
      </c>
      <c r="I18" s="1">
        <f>SUMIFS(
Transactions_Raw!C:C,
Transactions_Raw!D:D,"LYD",
Transactions_Raw!E:E,"Money In",
Transactions_Raw!F:F,"ads",
Transactions_Raw!A:A,"&gt;="&amp;A18,
Transactions_Raw!A:A,"&lt;"&amp;EDATE(A18,1)
)
</f>
        <v>0</v>
      </c>
      <c r="J18" s="35">
        <f>IFERROR(__xludf.DUMMYFUNCTION("IFERROR(
SUM(
FILTER(
Ads_Contracts!E:E / Ads_Contracts!F:F,
($A18&gt;=Ads_Contracts!C:C) * ($A18&lt;=Ads_Contracts!D:D)
)
),
0
)
"),1915.9663865546217)</f>
        <v>1915.966387</v>
      </c>
      <c r="K18" s="1">
        <f>SUMIFS(
Transactions_Raw!C:C,
Transactions_Raw!D:D,"LYD",
Transactions_Raw!E:E,"Money Out",
Transactions_Raw!F:F,"Product Restocking",
Transactions_Raw!A:A,"&gt;="&amp;A18,
Transactions_Raw!A:A,"&lt;"&amp;EDATE(A18,1)
)
</f>
        <v>11706</v>
      </c>
      <c r="L18" s="1">
        <f t="shared" si="4"/>
        <v>0</v>
      </c>
      <c r="M18" s="1">
        <f t="shared" si="5"/>
        <v>9940</v>
      </c>
    </row>
    <row r="19">
      <c r="A19" s="29">
        <f>IFERROR(__xludf.DUMMYFUNCTION("""COMPUTED_VALUE"""),46023.0)</f>
        <v>46023</v>
      </c>
      <c r="J19" s="35"/>
    </row>
    <row r="20">
      <c r="A20" s="29">
        <f>IFERROR(__xludf.DUMMYFUNCTION("""COMPUTED_VALUE"""),46054.0)</f>
        <v>46054</v>
      </c>
      <c r="J20" s="35"/>
    </row>
    <row r="21">
      <c r="A21" s="29">
        <f>IFERROR(__xludf.DUMMYFUNCTION("""COMPUTED_VALUE"""),46082.0)</f>
        <v>46082</v>
      </c>
      <c r="J21" s="35"/>
    </row>
    <row r="22">
      <c r="A22" s="29">
        <f>IFERROR(__xludf.DUMMYFUNCTION("""COMPUTED_VALUE"""),46113.0)</f>
        <v>46113</v>
      </c>
      <c r="J22" s="35"/>
    </row>
    <row r="23">
      <c r="A23" s="29">
        <f>IFERROR(__xludf.DUMMYFUNCTION("""COMPUTED_VALUE"""),46143.0)</f>
        <v>46143</v>
      </c>
      <c r="J23" s="35"/>
    </row>
    <row r="24">
      <c r="J24" s="35"/>
    </row>
    <row r="25">
      <c r="J25" s="35"/>
    </row>
    <row r="26">
      <c r="J26" s="35"/>
    </row>
    <row r="27">
      <c r="J27" s="35"/>
    </row>
    <row r="28">
      <c r="J28" s="35"/>
    </row>
    <row r="29">
      <c r="J29" s="35"/>
    </row>
    <row r="30">
      <c r="J30" s="35"/>
    </row>
    <row r="31">
      <c r="J31" s="35"/>
    </row>
    <row r="32">
      <c r="J32" s="35"/>
    </row>
    <row r="33">
      <c r="J33" s="35"/>
    </row>
    <row r="34">
      <c r="J34" s="35"/>
    </row>
    <row r="35">
      <c r="J35" s="35"/>
    </row>
    <row r="36">
      <c r="J36" s="35"/>
    </row>
    <row r="37">
      <c r="J37" s="35"/>
    </row>
    <row r="38">
      <c r="J38" s="35"/>
    </row>
    <row r="39">
      <c r="J39" s="35"/>
    </row>
    <row r="40">
      <c r="J40" s="35"/>
    </row>
    <row r="41">
      <c r="J41" s="35"/>
    </row>
    <row r="42">
      <c r="J42" s="35"/>
    </row>
    <row r="43">
      <c r="J43" s="35"/>
    </row>
    <row r="44">
      <c r="J44" s="35"/>
    </row>
    <row r="45">
      <c r="J45" s="35"/>
    </row>
    <row r="46">
      <c r="J46" s="35"/>
    </row>
    <row r="47">
      <c r="J47" s="35"/>
    </row>
    <row r="48">
      <c r="J48" s="35"/>
    </row>
    <row r="49">
      <c r="J49" s="35"/>
    </row>
    <row r="50">
      <c r="J50" s="35"/>
    </row>
    <row r="51">
      <c r="J51" s="35"/>
    </row>
    <row r="52">
      <c r="J52" s="35"/>
    </row>
    <row r="53">
      <c r="J53" s="35"/>
    </row>
    <row r="54">
      <c r="J54" s="35"/>
    </row>
    <row r="55">
      <c r="J55" s="35"/>
    </row>
    <row r="56">
      <c r="J56" s="35"/>
    </row>
    <row r="57">
      <c r="J57" s="35"/>
    </row>
    <row r="58">
      <c r="J58" s="35"/>
    </row>
    <row r="59">
      <c r="J59" s="35"/>
    </row>
    <row r="60">
      <c r="J60" s="35"/>
    </row>
    <row r="61">
      <c r="J61" s="35"/>
    </row>
    <row r="62">
      <c r="J62" s="35"/>
    </row>
    <row r="63">
      <c r="J63" s="35"/>
    </row>
    <row r="64">
      <c r="J64" s="35"/>
    </row>
    <row r="65">
      <c r="J65" s="35"/>
    </row>
    <row r="66">
      <c r="J66" s="35"/>
    </row>
    <row r="67">
      <c r="J67" s="35"/>
    </row>
    <row r="68">
      <c r="J68" s="35"/>
    </row>
    <row r="69">
      <c r="J69" s="35"/>
    </row>
    <row r="70">
      <c r="J70" s="35"/>
    </row>
    <row r="71">
      <c r="J71" s="35"/>
    </row>
    <row r="72">
      <c r="J72" s="35"/>
    </row>
    <row r="73">
      <c r="J73" s="35"/>
    </row>
    <row r="74">
      <c r="J74" s="35"/>
    </row>
    <row r="75">
      <c r="J75" s="35"/>
    </row>
    <row r="76">
      <c r="J76" s="35"/>
    </row>
    <row r="77">
      <c r="J77" s="35"/>
    </row>
    <row r="78">
      <c r="J78" s="35"/>
    </row>
    <row r="79">
      <c r="J79" s="35"/>
    </row>
    <row r="80">
      <c r="J80" s="35"/>
    </row>
    <row r="81">
      <c r="J81" s="35"/>
    </row>
    <row r="82">
      <c r="J82" s="35"/>
    </row>
    <row r="83">
      <c r="J83" s="35"/>
    </row>
    <row r="84">
      <c r="J84" s="35"/>
    </row>
    <row r="85">
      <c r="J85" s="35"/>
    </row>
    <row r="86">
      <c r="J86" s="35"/>
    </row>
    <row r="87">
      <c r="J87" s="35"/>
    </row>
    <row r="88">
      <c r="J88" s="35"/>
    </row>
    <row r="89">
      <c r="J89" s="35"/>
    </row>
    <row r="90">
      <c r="J90" s="35"/>
    </row>
    <row r="91">
      <c r="J91" s="35"/>
    </row>
    <row r="92">
      <c r="J92" s="35"/>
    </row>
    <row r="93">
      <c r="J93" s="35"/>
    </row>
    <row r="94">
      <c r="J94" s="35"/>
    </row>
    <row r="95">
      <c r="J95" s="35"/>
    </row>
    <row r="96">
      <c r="J96" s="35"/>
    </row>
    <row r="97">
      <c r="J97" s="35"/>
    </row>
    <row r="98">
      <c r="J98" s="35"/>
    </row>
    <row r="99">
      <c r="J99" s="35"/>
    </row>
    <row r="100">
      <c r="J100" s="35"/>
    </row>
    <row r="101">
      <c r="J101" s="35"/>
    </row>
    <row r="102">
      <c r="J102" s="35"/>
    </row>
    <row r="103">
      <c r="J103" s="35"/>
    </row>
    <row r="104">
      <c r="J104" s="35"/>
    </row>
    <row r="105">
      <c r="J105" s="35"/>
    </row>
    <row r="106">
      <c r="J106" s="35"/>
    </row>
    <row r="107">
      <c r="J107" s="35"/>
    </row>
    <row r="108">
      <c r="J108" s="35"/>
    </row>
    <row r="109">
      <c r="J109" s="35"/>
    </row>
    <row r="110">
      <c r="J110" s="35"/>
    </row>
    <row r="111">
      <c r="J111" s="35"/>
    </row>
    <row r="112">
      <c r="J112" s="35"/>
    </row>
    <row r="113">
      <c r="J113" s="35"/>
    </row>
    <row r="114">
      <c r="J114" s="35"/>
    </row>
    <row r="115">
      <c r="J115" s="35"/>
    </row>
    <row r="116">
      <c r="J116" s="35"/>
    </row>
    <row r="117">
      <c r="J117" s="35"/>
    </row>
    <row r="118">
      <c r="J118" s="35"/>
    </row>
    <row r="119">
      <c r="J119" s="35"/>
    </row>
    <row r="120">
      <c r="J120" s="35"/>
    </row>
    <row r="121">
      <c r="J121" s="35"/>
    </row>
    <row r="122">
      <c r="J122" s="35"/>
    </row>
    <row r="123">
      <c r="J123" s="35"/>
    </row>
    <row r="124">
      <c r="J124" s="35"/>
    </row>
    <row r="125">
      <c r="J125" s="35"/>
    </row>
    <row r="126">
      <c r="J126" s="35"/>
    </row>
    <row r="127">
      <c r="J127" s="35"/>
    </row>
    <row r="128">
      <c r="J128" s="35"/>
    </row>
    <row r="129">
      <c r="J129" s="35"/>
    </row>
    <row r="130">
      <c r="J130" s="35"/>
    </row>
    <row r="131">
      <c r="J131" s="35"/>
    </row>
    <row r="132">
      <c r="J132" s="35"/>
    </row>
    <row r="133">
      <c r="J133" s="35"/>
    </row>
    <row r="134">
      <c r="J134" s="35"/>
    </row>
    <row r="135">
      <c r="J135" s="35"/>
    </row>
    <row r="136">
      <c r="J136" s="35"/>
    </row>
    <row r="137">
      <c r="J137" s="35"/>
    </row>
    <row r="138">
      <c r="J138" s="35"/>
    </row>
    <row r="139">
      <c r="J139" s="35"/>
    </row>
    <row r="140">
      <c r="J140" s="35"/>
    </row>
    <row r="141">
      <c r="J141" s="35"/>
    </row>
    <row r="142">
      <c r="J142" s="35"/>
    </row>
    <row r="143">
      <c r="J143" s="35"/>
    </row>
    <row r="144">
      <c r="J144" s="35"/>
    </row>
    <row r="145">
      <c r="J145" s="35"/>
    </row>
    <row r="146">
      <c r="J146" s="35"/>
    </row>
    <row r="147">
      <c r="J147" s="35"/>
    </row>
    <row r="148">
      <c r="J148" s="35"/>
    </row>
    <row r="149">
      <c r="J149" s="35"/>
    </row>
    <row r="150">
      <c r="J150" s="35"/>
    </row>
    <row r="151">
      <c r="J151" s="35"/>
    </row>
    <row r="152">
      <c r="J152" s="35"/>
    </row>
    <row r="153">
      <c r="J153" s="35"/>
    </row>
    <row r="154">
      <c r="J154" s="35"/>
    </row>
    <row r="155">
      <c r="J155" s="35"/>
    </row>
    <row r="156">
      <c r="J156" s="35"/>
    </row>
    <row r="157">
      <c r="J157" s="35"/>
    </row>
    <row r="158">
      <c r="J158" s="35"/>
    </row>
    <row r="159">
      <c r="J159" s="35"/>
    </row>
    <row r="160">
      <c r="J160" s="35"/>
    </row>
    <row r="161">
      <c r="J161" s="35"/>
    </row>
    <row r="162">
      <c r="J162" s="35"/>
    </row>
    <row r="163">
      <c r="J163" s="35"/>
    </row>
    <row r="164">
      <c r="J164" s="35"/>
    </row>
    <row r="165">
      <c r="J165" s="35"/>
    </row>
    <row r="166">
      <c r="J166" s="35"/>
    </row>
    <row r="167">
      <c r="J167" s="35"/>
    </row>
    <row r="168">
      <c r="J168" s="35"/>
    </row>
    <row r="169">
      <c r="J169" s="35"/>
    </row>
    <row r="170">
      <c r="J170" s="35"/>
    </row>
    <row r="171">
      <c r="J171" s="35"/>
    </row>
    <row r="172">
      <c r="J172" s="35"/>
    </row>
    <row r="173">
      <c r="J173" s="35"/>
    </row>
    <row r="174">
      <c r="J174" s="35"/>
    </row>
    <row r="175">
      <c r="J175" s="35"/>
    </row>
    <row r="176">
      <c r="J176" s="35"/>
    </row>
    <row r="177">
      <c r="J177" s="35"/>
    </row>
    <row r="178">
      <c r="J178" s="35"/>
    </row>
    <row r="179">
      <c r="J179" s="35"/>
    </row>
    <row r="180">
      <c r="J180" s="35"/>
    </row>
    <row r="181">
      <c r="J181" s="35"/>
    </row>
    <row r="182">
      <c r="J182" s="35"/>
    </row>
    <row r="183">
      <c r="J183" s="35"/>
    </row>
    <row r="184">
      <c r="J184" s="35"/>
    </row>
    <row r="185">
      <c r="J185" s="35"/>
    </row>
    <row r="186">
      <c r="J186" s="35"/>
    </row>
    <row r="187">
      <c r="J187" s="35"/>
    </row>
    <row r="188">
      <c r="J188" s="35"/>
    </row>
    <row r="189">
      <c r="J189" s="35"/>
    </row>
    <row r="190">
      <c r="J190" s="35"/>
    </row>
    <row r="191">
      <c r="J191" s="35"/>
    </row>
    <row r="192">
      <c r="J192" s="35"/>
    </row>
    <row r="193">
      <c r="J193" s="35"/>
    </row>
    <row r="194">
      <c r="J194" s="35"/>
    </row>
    <row r="195">
      <c r="J195" s="35"/>
    </row>
    <row r="196">
      <c r="J196" s="35"/>
    </row>
    <row r="197">
      <c r="J197" s="35"/>
    </row>
    <row r="198">
      <c r="J198" s="35"/>
    </row>
    <row r="199">
      <c r="J199" s="35"/>
    </row>
    <row r="200">
      <c r="J200" s="35"/>
    </row>
    <row r="201">
      <c r="J201" s="35"/>
    </row>
    <row r="202">
      <c r="J202" s="35"/>
    </row>
    <row r="203">
      <c r="J203" s="35"/>
    </row>
    <row r="204">
      <c r="J204" s="35"/>
    </row>
    <row r="205">
      <c r="J205" s="35"/>
    </row>
    <row r="206">
      <c r="J206" s="35"/>
    </row>
    <row r="207">
      <c r="J207" s="35"/>
    </row>
    <row r="208">
      <c r="J208" s="35"/>
    </row>
    <row r="209">
      <c r="J209" s="35"/>
    </row>
    <row r="210">
      <c r="J210" s="35"/>
    </row>
    <row r="211">
      <c r="J211" s="35"/>
    </row>
    <row r="212">
      <c r="J212" s="35"/>
    </row>
    <row r="213">
      <c r="J213" s="35"/>
    </row>
    <row r="214">
      <c r="J214" s="35"/>
    </row>
    <row r="215">
      <c r="J215" s="35"/>
    </row>
    <row r="216">
      <c r="J216" s="35"/>
    </row>
    <row r="217">
      <c r="J217" s="35"/>
    </row>
    <row r="218">
      <c r="J218" s="35"/>
    </row>
    <row r="219">
      <c r="J219" s="35"/>
    </row>
    <row r="220">
      <c r="J220" s="35"/>
    </row>
    <row r="221">
      <c r="J221" s="35"/>
    </row>
    <row r="222">
      <c r="J222" s="35"/>
    </row>
    <row r="223">
      <c r="J223" s="35"/>
    </row>
    <row r="224">
      <c r="J224" s="35"/>
    </row>
    <row r="225">
      <c r="J225" s="35"/>
    </row>
    <row r="226">
      <c r="J226" s="35"/>
    </row>
    <row r="227">
      <c r="J227" s="35"/>
    </row>
    <row r="228">
      <c r="J228" s="35"/>
    </row>
    <row r="229">
      <c r="J229" s="35"/>
    </row>
    <row r="230">
      <c r="J230" s="35"/>
    </row>
    <row r="231">
      <c r="J231" s="35"/>
    </row>
    <row r="232">
      <c r="J232" s="35"/>
    </row>
    <row r="233">
      <c r="J233" s="35"/>
    </row>
    <row r="234">
      <c r="J234" s="35"/>
    </row>
    <row r="235">
      <c r="J235" s="35"/>
    </row>
    <row r="236">
      <c r="J236" s="35"/>
    </row>
    <row r="237">
      <c r="J237" s="35"/>
    </row>
    <row r="238">
      <c r="J238" s="35"/>
    </row>
    <row r="239">
      <c r="J239" s="35"/>
    </row>
    <row r="240">
      <c r="J240" s="35"/>
    </row>
    <row r="241">
      <c r="J241" s="35"/>
    </row>
    <row r="242">
      <c r="J242" s="35"/>
    </row>
    <row r="243">
      <c r="J243" s="35"/>
    </row>
    <row r="244">
      <c r="J244" s="35"/>
    </row>
    <row r="245">
      <c r="J245" s="35"/>
    </row>
    <row r="246">
      <c r="J246" s="35"/>
    </row>
    <row r="247">
      <c r="J247" s="35"/>
    </row>
    <row r="248">
      <c r="J248" s="35"/>
    </row>
    <row r="249">
      <c r="J249" s="35"/>
    </row>
    <row r="250">
      <c r="J250" s="35"/>
    </row>
    <row r="251">
      <c r="J251" s="35"/>
    </row>
    <row r="252">
      <c r="J252" s="35"/>
    </row>
    <row r="253">
      <c r="J253" s="35"/>
    </row>
    <row r="254">
      <c r="J254" s="35"/>
    </row>
    <row r="255">
      <c r="J255" s="35"/>
    </row>
    <row r="256">
      <c r="J256" s="35"/>
    </row>
    <row r="257">
      <c r="J257" s="35"/>
    </row>
    <row r="258">
      <c r="J258" s="35"/>
    </row>
    <row r="259">
      <c r="J259" s="35"/>
    </row>
    <row r="260">
      <c r="J260" s="35"/>
    </row>
    <row r="261">
      <c r="J261" s="35"/>
    </row>
    <row r="262">
      <c r="J262" s="35"/>
    </row>
    <row r="263">
      <c r="J263" s="35"/>
    </row>
    <row r="264">
      <c r="J264" s="35"/>
    </row>
    <row r="265">
      <c r="J265" s="35"/>
    </row>
    <row r="266">
      <c r="J266" s="35"/>
    </row>
    <row r="267">
      <c r="J267" s="35"/>
    </row>
    <row r="268">
      <c r="J268" s="35"/>
    </row>
    <row r="269">
      <c r="J269" s="35"/>
    </row>
    <row r="270">
      <c r="J270" s="35"/>
    </row>
    <row r="271">
      <c r="J271" s="35"/>
    </row>
    <row r="272">
      <c r="J272" s="35"/>
    </row>
    <row r="273">
      <c r="J273" s="35"/>
    </row>
    <row r="274">
      <c r="J274" s="35"/>
    </row>
    <row r="275">
      <c r="J275" s="35"/>
    </row>
    <row r="276">
      <c r="J276" s="35"/>
    </row>
    <row r="277">
      <c r="J277" s="35"/>
    </row>
    <row r="278">
      <c r="J278" s="35"/>
    </row>
    <row r="279">
      <c r="J279" s="35"/>
    </row>
    <row r="280">
      <c r="J280" s="35"/>
    </row>
    <row r="281">
      <c r="J281" s="35"/>
    </row>
    <row r="282">
      <c r="J282" s="35"/>
    </row>
    <row r="283">
      <c r="J283" s="35"/>
    </row>
    <row r="284">
      <c r="J284" s="35"/>
    </row>
    <row r="285">
      <c r="J285" s="35"/>
    </row>
    <row r="286">
      <c r="J286" s="35"/>
    </row>
    <row r="287">
      <c r="J287" s="35"/>
    </row>
    <row r="288">
      <c r="J288" s="35"/>
    </row>
    <row r="289">
      <c r="J289" s="35"/>
    </row>
    <row r="290">
      <c r="J290" s="35"/>
    </row>
    <row r="291">
      <c r="J291" s="35"/>
    </row>
    <row r="292">
      <c r="J292" s="35"/>
    </row>
    <row r="293">
      <c r="J293" s="35"/>
    </row>
    <row r="294">
      <c r="J294" s="35"/>
    </row>
    <row r="295">
      <c r="J295" s="35"/>
    </row>
    <row r="296">
      <c r="J296" s="35"/>
    </row>
    <row r="297">
      <c r="J297" s="35"/>
    </row>
    <row r="298">
      <c r="J298" s="35"/>
    </row>
    <row r="299">
      <c r="J299" s="35"/>
    </row>
    <row r="300">
      <c r="J300" s="35"/>
    </row>
    <row r="301">
      <c r="J301" s="35"/>
    </row>
    <row r="302">
      <c r="J302" s="35"/>
    </row>
    <row r="303">
      <c r="J303" s="35"/>
    </row>
    <row r="304">
      <c r="J304" s="35"/>
    </row>
    <row r="305">
      <c r="J305" s="35"/>
    </row>
    <row r="306">
      <c r="J306" s="35"/>
    </row>
    <row r="307">
      <c r="J307" s="35"/>
    </row>
    <row r="308">
      <c r="J308" s="35"/>
    </row>
    <row r="309">
      <c r="J309" s="35"/>
    </row>
    <row r="310">
      <c r="J310" s="35"/>
    </row>
    <row r="311">
      <c r="J311" s="35"/>
    </row>
    <row r="312">
      <c r="J312" s="35"/>
    </row>
    <row r="313">
      <c r="J313" s="35"/>
    </row>
    <row r="314">
      <c r="J314" s="35"/>
    </row>
    <row r="315">
      <c r="J315" s="35"/>
    </row>
    <row r="316">
      <c r="J316" s="35"/>
    </row>
    <row r="317">
      <c r="J317" s="35"/>
    </row>
    <row r="318">
      <c r="J318" s="35"/>
    </row>
    <row r="319">
      <c r="J319" s="35"/>
    </row>
    <row r="320">
      <c r="J320" s="35"/>
    </row>
    <row r="321">
      <c r="J321" s="35"/>
    </row>
    <row r="322">
      <c r="J322" s="35"/>
    </row>
    <row r="323">
      <c r="J323" s="35"/>
    </row>
    <row r="324">
      <c r="J324" s="35"/>
    </row>
    <row r="325">
      <c r="J325" s="35"/>
    </row>
    <row r="326">
      <c r="J326" s="35"/>
    </row>
    <row r="327">
      <c r="J327" s="35"/>
    </row>
    <row r="328">
      <c r="J328" s="35"/>
    </row>
    <row r="329">
      <c r="J329" s="35"/>
    </row>
    <row r="330">
      <c r="J330" s="35"/>
    </row>
    <row r="331">
      <c r="J331" s="35"/>
    </row>
    <row r="332">
      <c r="J332" s="35"/>
    </row>
    <row r="333">
      <c r="J333" s="35"/>
    </row>
    <row r="334">
      <c r="J334" s="35"/>
    </row>
    <row r="335">
      <c r="J335" s="35"/>
    </row>
    <row r="336">
      <c r="J336" s="35"/>
    </row>
    <row r="337">
      <c r="J337" s="35"/>
    </row>
    <row r="338">
      <c r="J338" s="35"/>
    </row>
    <row r="339">
      <c r="J339" s="35"/>
    </row>
    <row r="340">
      <c r="J340" s="35"/>
    </row>
    <row r="341">
      <c r="J341" s="35"/>
    </row>
    <row r="342">
      <c r="J342" s="35"/>
    </row>
    <row r="343">
      <c r="J343" s="35"/>
    </row>
    <row r="344">
      <c r="J344" s="35"/>
    </row>
    <row r="345">
      <c r="J345" s="35"/>
    </row>
    <row r="346">
      <c r="J346" s="35"/>
    </row>
    <row r="347">
      <c r="J347" s="35"/>
    </row>
    <row r="348">
      <c r="J348" s="35"/>
    </row>
    <row r="349">
      <c r="J349" s="35"/>
    </row>
    <row r="350">
      <c r="J350" s="35"/>
    </row>
    <row r="351">
      <c r="J351" s="35"/>
    </row>
    <row r="352">
      <c r="J352" s="35"/>
    </row>
    <row r="353">
      <c r="J353" s="35"/>
    </row>
    <row r="354">
      <c r="J354" s="35"/>
    </row>
    <row r="355">
      <c r="J355" s="35"/>
    </row>
    <row r="356">
      <c r="J356" s="35"/>
    </row>
    <row r="357">
      <c r="J357" s="35"/>
    </row>
    <row r="358">
      <c r="J358" s="35"/>
    </row>
    <row r="359">
      <c r="J359" s="35"/>
    </row>
    <row r="360">
      <c r="J360" s="35"/>
    </row>
    <row r="361">
      <c r="J361" s="35"/>
    </row>
    <row r="362">
      <c r="J362" s="35"/>
    </row>
    <row r="363">
      <c r="J363" s="35"/>
    </row>
    <row r="364">
      <c r="J364" s="35"/>
    </row>
    <row r="365">
      <c r="J365" s="35"/>
    </row>
    <row r="366">
      <c r="J366" s="35"/>
    </row>
    <row r="367">
      <c r="J367" s="35"/>
    </row>
    <row r="368">
      <c r="J368" s="35"/>
    </row>
    <row r="369">
      <c r="J369" s="35"/>
    </row>
    <row r="370">
      <c r="J370" s="35"/>
    </row>
    <row r="371">
      <c r="J371" s="35"/>
    </row>
    <row r="372">
      <c r="J372" s="35"/>
    </row>
    <row r="373">
      <c r="J373" s="35"/>
    </row>
    <row r="374">
      <c r="J374" s="35"/>
    </row>
    <row r="375">
      <c r="J375" s="35"/>
    </row>
    <row r="376">
      <c r="J376" s="35"/>
    </row>
    <row r="377">
      <c r="J377" s="35"/>
    </row>
    <row r="378">
      <c r="J378" s="35"/>
    </row>
    <row r="379">
      <c r="J379" s="35"/>
    </row>
    <row r="380">
      <c r="J380" s="35"/>
    </row>
    <row r="381">
      <c r="J381" s="35"/>
    </row>
    <row r="382">
      <c r="J382" s="35"/>
    </row>
    <row r="383">
      <c r="J383" s="35"/>
    </row>
    <row r="384">
      <c r="J384" s="35"/>
    </row>
    <row r="385">
      <c r="J385" s="35"/>
    </row>
    <row r="386">
      <c r="J386" s="35"/>
    </row>
    <row r="387">
      <c r="J387" s="35"/>
    </row>
    <row r="388">
      <c r="J388" s="35"/>
    </row>
    <row r="389">
      <c r="J389" s="35"/>
    </row>
    <row r="390">
      <c r="J390" s="35"/>
    </row>
    <row r="391">
      <c r="J391" s="35"/>
    </row>
    <row r="392">
      <c r="J392" s="35"/>
    </row>
    <row r="393">
      <c r="J393" s="35"/>
    </row>
    <row r="394">
      <c r="J394" s="35"/>
    </row>
    <row r="395">
      <c r="J395" s="35"/>
    </row>
    <row r="396">
      <c r="J396" s="35"/>
    </row>
    <row r="397">
      <c r="J397" s="35"/>
    </row>
    <row r="398">
      <c r="J398" s="35"/>
    </row>
    <row r="399">
      <c r="J399" s="35"/>
    </row>
    <row r="400">
      <c r="J400" s="35"/>
    </row>
    <row r="401">
      <c r="J401" s="35"/>
    </row>
    <row r="402">
      <c r="J402" s="35"/>
    </row>
    <row r="403">
      <c r="J403" s="35"/>
    </row>
    <row r="404">
      <c r="J404" s="35"/>
    </row>
    <row r="405">
      <c r="J405" s="35"/>
    </row>
    <row r="406">
      <c r="J406" s="35"/>
    </row>
    <row r="407">
      <c r="J407" s="35"/>
    </row>
    <row r="408">
      <c r="J408" s="35"/>
    </row>
    <row r="409">
      <c r="J409" s="35"/>
    </row>
    <row r="410">
      <c r="J410" s="35"/>
    </row>
    <row r="411">
      <c r="J411" s="35"/>
    </row>
    <row r="412">
      <c r="J412" s="35"/>
    </row>
    <row r="413">
      <c r="J413" s="35"/>
    </row>
    <row r="414">
      <c r="J414" s="35"/>
    </row>
    <row r="415">
      <c r="J415" s="35"/>
    </row>
    <row r="416">
      <c r="J416" s="35"/>
    </row>
    <row r="417">
      <c r="J417" s="35"/>
    </row>
    <row r="418">
      <c r="J418" s="35"/>
    </row>
    <row r="419">
      <c r="J419" s="35"/>
    </row>
    <row r="420">
      <c r="J420" s="35"/>
    </row>
    <row r="421">
      <c r="J421" s="35"/>
    </row>
    <row r="422">
      <c r="J422" s="35"/>
    </row>
    <row r="423">
      <c r="J423" s="35"/>
    </row>
    <row r="424">
      <c r="J424" s="35"/>
    </row>
    <row r="425">
      <c r="J425" s="35"/>
    </row>
    <row r="426">
      <c r="J426" s="35"/>
    </row>
    <row r="427">
      <c r="J427" s="35"/>
    </row>
    <row r="428">
      <c r="J428" s="35"/>
    </row>
    <row r="429">
      <c r="J429" s="35"/>
    </row>
    <row r="430">
      <c r="J430" s="35"/>
    </row>
    <row r="431">
      <c r="J431" s="35"/>
    </row>
    <row r="432">
      <c r="J432" s="35"/>
    </row>
    <row r="433">
      <c r="J433" s="35"/>
    </row>
    <row r="434">
      <c r="J434" s="35"/>
    </row>
    <row r="435">
      <c r="J435" s="35"/>
    </row>
    <row r="436">
      <c r="J436" s="35"/>
    </row>
    <row r="437">
      <c r="J437" s="35"/>
    </row>
    <row r="438">
      <c r="J438" s="35"/>
    </row>
    <row r="439">
      <c r="J439" s="35"/>
    </row>
    <row r="440">
      <c r="J440" s="35"/>
    </row>
    <row r="441">
      <c r="J441" s="35"/>
    </row>
    <row r="442">
      <c r="J442" s="35"/>
    </row>
    <row r="443">
      <c r="J443" s="35"/>
    </row>
    <row r="444">
      <c r="J444" s="35"/>
    </row>
    <row r="445">
      <c r="J445" s="35"/>
    </row>
    <row r="446">
      <c r="J446" s="35"/>
    </row>
    <row r="447">
      <c r="J447" s="35"/>
    </row>
    <row r="448">
      <c r="J448" s="35"/>
    </row>
    <row r="449">
      <c r="J449" s="35"/>
    </row>
    <row r="450">
      <c r="J450" s="35"/>
    </row>
    <row r="451">
      <c r="J451" s="35"/>
    </row>
    <row r="452">
      <c r="J452" s="35"/>
    </row>
    <row r="453">
      <c r="J453" s="35"/>
    </row>
    <row r="454">
      <c r="J454" s="35"/>
    </row>
    <row r="455">
      <c r="J455" s="35"/>
    </row>
    <row r="456">
      <c r="J456" s="35"/>
    </row>
    <row r="457">
      <c r="J457" s="35"/>
    </row>
    <row r="458">
      <c r="J458" s="35"/>
    </row>
    <row r="459">
      <c r="J459" s="35"/>
    </row>
    <row r="460">
      <c r="J460" s="35"/>
    </row>
    <row r="461">
      <c r="J461" s="35"/>
    </row>
    <row r="462">
      <c r="J462" s="35"/>
    </row>
    <row r="463">
      <c r="J463" s="35"/>
    </row>
    <row r="464">
      <c r="J464" s="35"/>
    </row>
    <row r="465">
      <c r="J465" s="35"/>
    </row>
    <row r="466">
      <c r="J466" s="35"/>
    </row>
    <row r="467">
      <c r="J467" s="35"/>
    </row>
    <row r="468">
      <c r="J468" s="35"/>
    </row>
    <row r="469">
      <c r="J469" s="35"/>
    </row>
    <row r="470">
      <c r="J470" s="35"/>
    </row>
    <row r="471">
      <c r="J471" s="35"/>
    </row>
    <row r="472">
      <c r="J472" s="35"/>
    </row>
    <row r="473">
      <c r="J473" s="35"/>
    </row>
    <row r="474">
      <c r="J474" s="35"/>
    </row>
    <row r="475">
      <c r="J475" s="35"/>
    </row>
    <row r="476">
      <c r="J476" s="35"/>
    </row>
    <row r="477">
      <c r="J477" s="35"/>
    </row>
    <row r="478">
      <c r="J478" s="35"/>
    </row>
    <row r="479">
      <c r="J479" s="35"/>
    </row>
    <row r="480">
      <c r="J480" s="35"/>
    </row>
    <row r="481">
      <c r="J481" s="35"/>
    </row>
    <row r="482">
      <c r="J482" s="35"/>
    </row>
    <row r="483">
      <c r="J483" s="35"/>
    </row>
    <row r="484">
      <c r="J484" s="35"/>
    </row>
    <row r="485">
      <c r="J485" s="35"/>
    </row>
    <row r="486">
      <c r="J486" s="35"/>
    </row>
    <row r="487">
      <c r="J487" s="35"/>
    </row>
    <row r="488">
      <c r="J488" s="35"/>
    </row>
    <row r="489">
      <c r="J489" s="35"/>
    </row>
    <row r="490">
      <c r="J490" s="35"/>
    </row>
    <row r="491">
      <c r="J491" s="35"/>
    </row>
    <row r="492">
      <c r="J492" s="35"/>
    </row>
    <row r="493">
      <c r="J493" s="35"/>
    </row>
    <row r="494">
      <c r="J494" s="35"/>
    </row>
    <row r="495">
      <c r="J495" s="35"/>
    </row>
    <row r="496">
      <c r="J496" s="35"/>
    </row>
    <row r="497">
      <c r="J497" s="35"/>
    </row>
    <row r="498">
      <c r="J498" s="35"/>
    </row>
    <row r="499">
      <c r="J499" s="35"/>
    </row>
    <row r="500">
      <c r="J500" s="35"/>
    </row>
    <row r="501">
      <c r="J501" s="35"/>
    </row>
    <row r="502">
      <c r="J502" s="35"/>
    </row>
    <row r="503">
      <c r="J503" s="35"/>
    </row>
    <row r="504">
      <c r="J504" s="35"/>
    </row>
    <row r="505">
      <c r="J505" s="35"/>
    </row>
    <row r="506">
      <c r="J506" s="35"/>
    </row>
    <row r="507">
      <c r="J507" s="35"/>
    </row>
    <row r="508">
      <c r="J508" s="35"/>
    </row>
    <row r="509">
      <c r="J509" s="35"/>
    </row>
    <row r="510">
      <c r="J510" s="35"/>
    </row>
    <row r="511">
      <c r="J511" s="35"/>
    </row>
    <row r="512">
      <c r="J512" s="35"/>
    </row>
    <row r="513">
      <c r="J513" s="35"/>
    </row>
    <row r="514">
      <c r="J514" s="35"/>
    </row>
    <row r="515">
      <c r="J515" s="35"/>
    </row>
    <row r="516">
      <c r="J516" s="35"/>
    </row>
    <row r="517">
      <c r="J517" s="35"/>
    </row>
    <row r="518">
      <c r="J518" s="35"/>
    </row>
    <row r="519">
      <c r="J519" s="35"/>
    </row>
    <row r="520">
      <c r="J520" s="35"/>
    </row>
    <row r="521">
      <c r="J521" s="35"/>
    </row>
    <row r="522">
      <c r="J522" s="35"/>
    </row>
    <row r="523">
      <c r="J523" s="35"/>
    </row>
    <row r="524">
      <c r="J524" s="35"/>
    </row>
    <row r="525">
      <c r="J525" s="35"/>
    </row>
    <row r="526">
      <c r="J526" s="35"/>
    </row>
    <row r="527">
      <c r="J527" s="35"/>
    </row>
    <row r="528">
      <c r="J528" s="35"/>
    </row>
    <row r="529">
      <c r="J529" s="35"/>
    </row>
    <row r="530">
      <c r="J530" s="35"/>
    </row>
    <row r="531">
      <c r="J531" s="35"/>
    </row>
    <row r="532">
      <c r="J532" s="35"/>
    </row>
    <row r="533">
      <c r="J533" s="35"/>
    </row>
    <row r="534">
      <c r="J534" s="35"/>
    </row>
    <row r="535">
      <c r="J535" s="35"/>
    </row>
    <row r="536">
      <c r="J536" s="35"/>
    </row>
    <row r="537">
      <c r="J537" s="35"/>
    </row>
    <row r="538">
      <c r="J538" s="35"/>
    </row>
    <row r="539">
      <c r="J539" s="35"/>
    </row>
    <row r="540">
      <c r="J540" s="35"/>
    </row>
    <row r="541">
      <c r="J541" s="35"/>
    </row>
    <row r="542">
      <c r="J542" s="35"/>
    </row>
    <row r="543">
      <c r="J543" s="35"/>
    </row>
    <row r="544">
      <c r="J544" s="35"/>
    </row>
    <row r="545">
      <c r="J545" s="35"/>
    </row>
    <row r="546">
      <c r="J546" s="35"/>
    </row>
    <row r="547">
      <c r="J547" s="35"/>
    </row>
    <row r="548">
      <c r="J548" s="35"/>
    </row>
    <row r="549">
      <c r="J549" s="35"/>
    </row>
    <row r="550">
      <c r="J550" s="35"/>
    </row>
    <row r="551">
      <c r="J551" s="35"/>
    </row>
    <row r="552">
      <c r="J552" s="35"/>
    </row>
    <row r="553">
      <c r="J553" s="35"/>
    </row>
    <row r="554">
      <c r="J554" s="35"/>
    </row>
    <row r="555">
      <c r="J555" s="35"/>
    </row>
    <row r="556">
      <c r="J556" s="35"/>
    </row>
    <row r="557">
      <c r="J557" s="35"/>
    </row>
    <row r="558">
      <c r="J558" s="35"/>
    </row>
    <row r="559">
      <c r="J559" s="35"/>
    </row>
    <row r="560">
      <c r="J560" s="35"/>
    </row>
    <row r="561">
      <c r="J561" s="35"/>
    </row>
    <row r="562">
      <c r="J562" s="35"/>
    </row>
    <row r="563">
      <c r="J563" s="35"/>
    </row>
    <row r="564">
      <c r="J564" s="35"/>
    </row>
    <row r="565">
      <c r="J565" s="35"/>
    </row>
    <row r="566">
      <c r="J566" s="35"/>
    </row>
    <row r="567">
      <c r="J567" s="35"/>
    </row>
    <row r="568">
      <c r="J568" s="35"/>
    </row>
    <row r="569">
      <c r="J569" s="35"/>
    </row>
    <row r="570">
      <c r="J570" s="35"/>
    </row>
    <row r="571">
      <c r="J571" s="35"/>
    </row>
    <row r="572">
      <c r="J572" s="35"/>
    </row>
    <row r="573">
      <c r="J573" s="35"/>
    </row>
    <row r="574">
      <c r="J574" s="35"/>
    </row>
    <row r="575">
      <c r="J575" s="35"/>
    </row>
    <row r="576">
      <c r="J576" s="35"/>
    </row>
    <row r="577">
      <c r="J577" s="35"/>
    </row>
    <row r="578">
      <c r="J578" s="35"/>
    </row>
    <row r="579">
      <c r="J579" s="35"/>
    </row>
    <row r="580">
      <c r="J580" s="35"/>
    </row>
    <row r="581">
      <c r="J581" s="35"/>
    </row>
    <row r="582">
      <c r="J582" s="35"/>
    </row>
    <row r="583">
      <c r="J583" s="35"/>
    </row>
    <row r="584">
      <c r="J584" s="35"/>
    </row>
    <row r="585">
      <c r="J585" s="35"/>
    </row>
    <row r="586">
      <c r="J586" s="35"/>
    </row>
    <row r="587">
      <c r="J587" s="35"/>
    </row>
    <row r="588">
      <c r="J588" s="35"/>
    </row>
    <row r="589">
      <c r="J589" s="35"/>
    </row>
    <row r="590">
      <c r="J590" s="35"/>
    </row>
    <row r="591">
      <c r="J591" s="35"/>
    </row>
    <row r="592">
      <c r="J592" s="35"/>
    </row>
    <row r="593">
      <c r="J593" s="35"/>
    </row>
    <row r="594">
      <c r="J594" s="35"/>
    </row>
    <row r="595">
      <c r="J595" s="35"/>
    </row>
    <row r="596">
      <c r="J596" s="35"/>
    </row>
    <row r="597">
      <c r="J597" s="35"/>
    </row>
    <row r="598">
      <c r="J598" s="35"/>
    </row>
    <row r="599">
      <c r="J599" s="35"/>
    </row>
    <row r="600">
      <c r="J600" s="35"/>
    </row>
    <row r="601">
      <c r="J601" s="35"/>
    </row>
    <row r="602">
      <c r="J602" s="35"/>
    </row>
    <row r="603">
      <c r="J603" s="35"/>
    </row>
    <row r="604">
      <c r="J604" s="35"/>
    </row>
    <row r="605">
      <c r="J605" s="35"/>
    </row>
    <row r="606">
      <c r="J606" s="35"/>
    </row>
    <row r="607">
      <c r="J607" s="35"/>
    </row>
    <row r="608">
      <c r="J608" s="35"/>
    </row>
    <row r="609">
      <c r="J609" s="35"/>
    </row>
    <row r="610">
      <c r="J610" s="35"/>
    </row>
    <row r="611">
      <c r="J611" s="35"/>
    </row>
    <row r="612">
      <c r="J612" s="35"/>
    </row>
    <row r="613">
      <c r="J613" s="35"/>
    </row>
    <row r="614">
      <c r="J614" s="35"/>
    </row>
    <row r="615">
      <c r="J615" s="35"/>
    </row>
    <row r="616">
      <c r="J616" s="35"/>
    </row>
    <row r="617">
      <c r="J617" s="35"/>
    </row>
    <row r="618">
      <c r="J618" s="35"/>
    </row>
    <row r="619">
      <c r="J619" s="35"/>
    </row>
    <row r="620">
      <c r="J620" s="35"/>
    </row>
    <row r="621">
      <c r="J621" s="35"/>
    </row>
    <row r="622">
      <c r="J622" s="35"/>
    </row>
    <row r="623">
      <c r="J623" s="35"/>
    </row>
    <row r="624">
      <c r="J624" s="35"/>
    </row>
    <row r="625">
      <c r="J625" s="35"/>
    </row>
    <row r="626">
      <c r="J626" s="35"/>
    </row>
    <row r="627">
      <c r="J627" s="35"/>
    </row>
    <row r="628">
      <c r="J628" s="35"/>
    </row>
    <row r="629">
      <c r="J629" s="35"/>
    </row>
    <row r="630">
      <c r="J630" s="35"/>
    </row>
    <row r="631">
      <c r="J631" s="35"/>
    </row>
    <row r="632">
      <c r="J632" s="35"/>
    </row>
    <row r="633">
      <c r="J633" s="35"/>
    </row>
    <row r="634">
      <c r="J634" s="35"/>
    </row>
    <row r="635">
      <c r="J635" s="35"/>
    </row>
    <row r="636">
      <c r="J636" s="35"/>
    </row>
    <row r="637">
      <c r="J637" s="35"/>
    </row>
    <row r="638">
      <c r="J638" s="35"/>
    </row>
    <row r="639">
      <c r="J639" s="35"/>
    </row>
    <row r="640">
      <c r="J640" s="35"/>
    </row>
    <row r="641">
      <c r="J641" s="35"/>
    </row>
    <row r="642">
      <c r="J642" s="35"/>
    </row>
    <row r="643">
      <c r="J643" s="35"/>
    </row>
    <row r="644">
      <c r="J644" s="35"/>
    </row>
    <row r="645">
      <c r="J645" s="35"/>
    </row>
    <row r="646">
      <c r="J646" s="35"/>
    </row>
    <row r="647">
      <c r="J647" s="35"/>
    </row>
    <row r="648">
      <c r="J648" s="35"/>
    </row>
    <row r="649">
      <c r="J649" s="35"/>
    </row>
    <row r="650">
      <c r="J650" s="35"/>
    </row>
    <row r="651">
      <c r="J651" s="35"/>
    </row>
    <row r="652">
      <c r="J652" s="35"/>
    </row>
    <row r="653">
      <c r="J653" s="35"/>
    </row>
    <row r="654">
      <c r="J654" s="35"/>
    </row>
    <row r="655">
      <c r="J655" s="35"/>
    </row>
    <row r="656">
      <c r="J656" s="35"/>
    </row>
    <row r="657">
      <c r="J657" s="35"/>
    </row>
    <row r="658">
      <c r="J658" s="35"/>
    </row>
    <row r="659">
      <c r="J659" s="35"/>
    </row>
    <row r="660">
      <c r="J660" s="35"/>
    </row>
    <row r="661">
      <c r="J661" s="35"/>
    </row>
    <row r="662">
      <c r="J662" s="35"/>
    </row>
    <row r="663">
      <c r="J663" s="35"/>
    </row>
    <row r="664">
      <c r="J664" s="35"/>
    </row>
    <row r="665">
      <c r="J665" s="35"/>
    </row>
    <row r="666">
      <c r="J666" s="35"/>
    </row>
    <row r="667">
      <c r="J667" s="35"/>
    </row>
    <row r="668">
      <c r="J668" s="35"/>
    </row>
    <row r="669">
      <c r="J669" s="35"/>
    </row>
    <row r="670">
      <c r="J670" s="35"/>
    </row>
    <row r="671">
      <c r="J671" s="35"/>
    </row>
    <row r="672">
      <c r="J672" s="35"/>
    </row>
    <row r="673">
      <c r="J673" s="35"/>
    </row>
    <row r="674">
      <c r="J674" s="35"/>
    </row>
    <row r="675">
      <c r="J675" s="35"/>
    </row>
    <row r="676">
      <c r="J676" s="35"/>
    </row>
    <row r="677">
      <c r="J677" s="35"/>
    </row>
    <row r="678">
      <c r="J678" s="35"/>
    </row>
    <row r="679">
      <c r="J679" s="35"/>
    </row>
    <row r="680">
      <c r="J680" s="35"/>
    </row>
    <row r="681">
      <c r="J681" s="35"/>
    </row>
    <row r="682">
      <c r="J682" s="35"/>
    </row>
    <row r="683">
      <c r="J683" s="35"/>
    </row>
    <row r="684">
      <c r="J684" s="35"/>
    </row>
    <row r="685">
      <c r="J685" s="35"/>
    </row>
    <row r="686">
      <c r="J686" s="35"/>
    </row>
    <row r="687">
      <c r="J687" s="35"/>
    </row>
    <row r="688">
      <c r="J688" s="35"/>
    </row>
    <row r="689">
      <c r="J689" s="35"/>
    </row>
    <row r="690">
      <c r="J690" s="35"/>
    </row>
    <row r="691">
      <c r="J691" s="35"/>
    </row>
    <row r="692">
      <c r="J692" s="35"/>
    </row>
    <row r="693">
      <c r="J693" s="35"/>
    </row>
    <row r="694">
      <c r="J694" s="35"/>
    </row>
    <row r="695">
      <c r="J695" s="35"/>
    </row>
    <row r="696">
      <c r="J696" s="35"/>
    </row>
    <row r="697">
      <c r="J697" s="35"/>
    </row>
    <row r="698">
      <c r="J698" s="35"/>
    </row>
    <row r="699">
      <c r="J699" s="35"/>
    </row>
    <row r="700">
      <c r="J700" s="35"/>
    </row>
    <row r="701">
      <c r="J701" s="35"/>
    </row>
    <row r="702">
      <c r="J702" s="35"/>
    </row>
    <row r="703">
      <c r="J703" s="35"/>
    </row>
    <row r="704">
      <c r="J704" s="35"/>
    </row>
    <row r="705">
      <c r="J705" s="35"/>
    </row>
    <row r="706">
      <c r="J706" s="35"/>
    </row>
    <row r="707">
      <c r="J707" s="35"/>
    </row>
    <row r="708">
      <c r="J708" s="35"/>
    </row>
    <row r="709">
      <c r="J709" s="35"/>
    </row>
    <row r="710">
      <c r="J710" s="35"/>
    </row>
    <row r="711">
      <c r="J711" s="35"/>
    </row>
    <row r="712">
      <c r="J712" s="35"/>
    </row>
    <row r="713">
      <c r="J713" s="35"/>
    </row>
    <row r="714">
      <c r="J714" s="35"/>
    </row>
    <row r="715">
      <c r="J715" s="35"/>
    </row>
    <row r="716">
      <c r="J716" s="35"/>
    </row>
    <row r="717">
      <c r="J717" s="35"/>
    </row>
    <row r="718">
      <c r="J718" s="35"/>
    </row>
    <row r="719">
      <c r="J719" s="35"/>
    </row>
    <row r="720">
      <c r="J720" s="35"/>
    </row>
    <row r="721">
      <c r="J721" s="35"/>
    </row>
    <row r="722">
      <c r="J722" s="35"/>
    </row>
    <row r="723">
      <c r="J723" s="35"/>
    </row>
    <row r="724">
      <c r="J724" s="35"/>
    </row>
    <row r="725">
      <c r="J725" s="35"/>
    </row>
    <row r="726">
      <c r="J726" s="35"/>
    </row>
    <row r="727">
      <c r="J727" s="35"/>
    </row>
    <row r="728">
      <c r="J728" s="35"/>
    </row>
    <row r="729">
      <c r="J729" s="35"/>
    </row>
    <row r="730">
      <c r="J730" s="35"/>
    </row>
    <row r="731">
      <c r="J731" s="35"/>
    </row>
    <row r="732">
      <c r="J732" s="35"/>
    </row>
    <row r="733">
      <c r="J733" s="35"/>
    </row>
    <row r="734">
      <c r="J734" s="35"/>
    </row>
    <row r="735">
      <c r="J735" s="35"/>
    </row>
    <row r="736">
      <c r="J736" s="35"/>
    </row>
    <row r="737">
      <c r="J737" s="35"/>
    </row>
    <row r="738">
      <c r="J738" s="35"/>
    </row>
    <row r="739">
      <c r="J739" s="35"/>
    </row>
    <row r="740">
      <c r="J740" s="35"/>
    </row>
    <row r="741">
      <c r="J741" s="35"/>
    </row>
    <row r="742">
      <c r="J742" s="35"/>
    </row>
    <row r="743">
      <c r="J743" s="35"/>
    </row>
    <row r="744">
      <c r="J744" s="35"/>
    </row>
    <row r="745">
      <c r="J745" s="35"/>
    </row>
    <row r="746">
      <c r="J746" s="35"/>
    </row>
    <row r="747">
      <c r="J747" s="35"/>
    </row>
    <row r="748">
      <c r="J748" s="35"/>
    </row>
    <row r="749">
      <c r="J749" s="35"/>
    </row>
    <row r="750">
      <c r="J750" s="35"/>
    </row>
    <row r="751">
      <c r="J751" s="35"/>
    </row>
    <row r="752">
      <c r="J752" s="35"/>
    </row>
    <row r="753">
      <c r="J753" s="35"/>
    </row>
    <row r="754">
      <c r="J754" s="35"/>
    </row>
    <row r="755">
      <c r="J755" s="35"/>
    </row>
    <row r="756">
      <c r="J756" s="35"/>
    </row>
    <row r="757">
      <c r="J757" s="35"/>
    </row>
    <row r="758">
      <c r="J758" s="35"/>
    </row>
    <row r="759">
      <c r="J759" s="35"/>
    </row>
    <row r="760">
      <c r="J760" s="35"/>
    </row>
    <row r="761">
      <c r="J761" s="35"/>
    </row>
    <row r="762">
      <c r="J762" s="35"/>
    </row>
    <row r="763">
      <c r="J763" s="35"/>
    </row>
    <row r="764">
      <c r="J764" s="35"/>
    </row>
    <row r="765">
      <c r="J765" s="35"/>
    </row>
    <row r="766">
      <c r="J766" s="35"/>
    </row>
    <row r="767">
      <c r="J767" s="35"/>
    </row>
    <row r="768">
      <c r="J768" s="35"/>
    </row>
    <row r="769">
      <c r="J769" s="35"/>
    </row>
    <row r="770">
      <c r="J770" s="35"/>
    </row>
    <row r="771">
      <c r="J771" s="35"/>
    </row>
    <row r="772">
      <c r="J772" s="35"/>
    </row>
    <row r="773">
      <c r="J773" s="35"/>
    </row>
    <row r="774">
      <c r="J774" s="35"/>
    </row>
    <row r="775">
      <c r="J775" s="35"/>
    </row>
    <row r="776">
      <c r="J776" s="35"/>
    </row>
    <row r="777">
      <c r="J777" s="35"/>
    </row>
    <row r="778">
      <c r="J778" s="35"/>
    </row>
    <row r="779">
      <c r="J779" s="35"/>
    </row>
    <row r="780">
      <c r="J780" s="35"/>
    </row>
    <row r="781">
      <c r="J781" s="35"/>
    </row>
    <row r="782">
      <c r="J782" s="35"/>
    </row>
    <row r="783">
      <c r="J783" s="35"/>
    </row>
    <row r="784">
      <c r="J784" s="35"/>
    </row>
    <row r="785">
      <c r="J785" s="35"/>
    </row>
    <row r="786">
      <c r="J786" s="35"/>
    </row>
    <row r="787">
      <c r="J787" s="35"/>
    </row>
    <row r="788">
      <c r="J788" s="35"/>
    </row>
    <row r="789">
      <c r="J789" s="35"/>
    </row>
    <row r="790">
      <c r="J790" s="35"/>
    </row>
    <row r="791">
      <c r="J791" s="35"/>
    </row>
    <row r="792">
      <c r="J792" s="35"/>
    </row>
    <row r="793">
      <c r="J793" s="35"/>
    </row>
    <row r="794">
      <c r="J794" s="35"/>
    </row>
    <row r="795">
      <c r="J795" s="35"/>
    </row>
    <row r="796">
      <c r="J796" s="35"/>
    </row>
    <row r="797">
      <c r="J797" s="35"/>
    </row>
    <row r="798">
      <c r="J798" s="35"/>
    </row>
    <row r="799">
      <c r="J799" s="35"/>
    </row>
    <row r="800">
      <c r="J800" s="35"/>
    </row>
    <row r="801">
      <c r="J801" s="35"/>
    </row>
    <row r="802">
      <c r="J802" s="35"/>
    </row>
    <row r="803">
      <c r="J803" s="35"/>
    </row>
    <row r="804">
      <c r="J804" s="35"/>
    </row>
    <row r="805">
      <c r="J805" s="35"/>
    </row>
    <row r="806">
      <c r="J806" s="35"/>
    </row>
    <row r="807">
      <c r="J807" s="35"/>
    </row>
    <row r="808">
      <c r="J808" s="35"/>
    </row>
    <row r="809">
      <c r="J809" s="35"/>
    </row>
    <row r="810">
      <c r="J810" s="35"/>
    </row>
    <row r="811">
      <c r="J811" s="35"/>
    </row>
    <row r="812">
      <c r="J812" s="35"/>
    </row>
    <row r="813">
      <c r="J813" s="35"/>
    </row>
    <row r="814">
      <c r="J814" s="35"/>
    </row>
    <row r="815">
      <c r="J815" s="35"/>
    </row>
    <row r="816">
      <c r="J816" s="35"/>
    </row>
    <row r="817">
      <c r="J817" s="35"/>
    </row>
    <row r="818">
      <c r="J818" s="35"/>
    </row>
    <row r="819">
      <c r="J819" s="35"/>
    </row>
    <row r="820">
      <c r="J820" s="35"/>
    </row>
    <row r="821">
      <c r="J821" s="35"/>
    </row>
    <row r="822">
      <c r="J822" s="35"/>
    </row>
    <row r="823">
      <c r="J823" s="35"/>
    </row>
    <row r="824">
      <c r="J824" s="35"/>
    </row>
    <row r="825">
      <c r="J825" s="35"/>
    </row>
    <row r="826">
      <c r="J826" s="35"/>
    </row>
    <row r="827">
      <c r="J827" s="35"/>
    </row>
    <row r="828">
      <c r="J828" s="35"/>
    </row>
    <row r="829">
      <c r="J829" s="35"/>
    </row>
    <row r="830">
      <c r="J830" s="35"/>
    </row>
    <row r="831">
      <c r="J831" s="35"/>
    </row>
    <row r="832">
      <c r="J832" s="35"/>
    </row>
    <row r="833">
      <c r="J833" s="35"/>
    </row>
    <row r="834">
      <c r="J834" s="35"/>
    </row>
    <row r="835">
      <c r="J835" s="35"/>
    </row>
    <row r="836">
      <c r="J836" s="35"/>
    </row>
    <row r="837">
      <c r="J837" s="35"/>
    </row>
    <row r="838">
      <c r="J838" s="35"/>
    </row>
    <row r="839">
      <c r="J839" s="35"/>
    </row>
    <row r="840">
      <c r="J840" s="35"/>
    </row>
    <row r="841">
      <c r="J841" s="35"/>
    </row>
    <row r="842">
      <c r="J842" s="35"/>
    </row>
    <row r="843">
      <c r="J843" s="35"/>
    </row>
    <row r="844">
      <c r="J844" s="35"/>
    </row>
    <row r="845">
      <c r="J845" s="35"/>
    </row>
    <row r="846">
      <c r="J846" s="35"/>
    </row>
    <row r="847">
      <c r="J847" s="35"/>
    </row>
    <row r="848">
      <c r="J848" s="35"/>
    </row>
    <row r="849">
      <c r="J849" s="35"/>
    </row>
    <row r="850">
      <c r="J850" s="35"/>
    </row>
    <row r="851">
      <c r="J851" s="35"/>
    </row>
    <row r="852">
      <c r="J852" s="35"/>
    </row>
    <row r="853">
      <c r="J853" s="35"/>
    </row>
    <row r="854">
      <c r="J854" s="35"/>
    </row>
    <row r="855">
      <c r="J855" s="35"/>
    </row>
    <row r="856">
      <c r="J856" s="35"/>
    </row>
    <row r="857">
      <c r="J857" s="35"/>
    </row>
    <row r="858">
      <c r="J858" s="35"/>
    </row>
    <row r="859">
      <c r="J859" s="35"/>
    </row>
    <row r="860">
      <c r="J860" s="35"/>
    </row>
    <row r="861">
      <c r="J861" s="35"/>
    </row>
    <row r="862">
      <c r="J862" s="35"/>
    </row>
    <row r="863">
      <c r="J863" s="35"/>
    </row>
    <row r="864">
      <c r="J864" s="35"/>
    </row>
    <row r="865">
      <c r="J865" s="35"/>
    </row>
    <row r="866">
      <c r="J866" s="35"/>
    </row>
    <row r="867">
      <c r="J867" s="35"/>
    </row>
    <row r="868">
      <c r="J868" s="35"/>
    </row>
    <row r="869">
      <c r="J869" s="35"/>
    </row>
    <row r="870">
      <c r="J870" s="35"/>
    </row>
    <row r="871">
      <c r="J871" s="35"/>
    </row>
    <row r="872">
      <c r="J872" s="35"/>
    </row>
    <row r="873">
      <c r="J873" s="35"/>
    </row>
    <row r="874">
      <c r="J874" s="35"/>
    </row>
    <row r="875">
      <c r="J875" s="35"/>
    </row>
    <row r="876">
      <c r="J876" s="35"/>
    </row>
    <row r="877">
      <c r="J877" s="35"/>
    </row>
    <row r="878">
      <c r="J878" s="35"/>
    </row>
    <row r="879">
      <c r="J879" s="35"/>
    </row>
    <row r="880">
      <c r="J880" s="35"/>
    </row>
    <row r="881">
      <c r="J881" s="35"/>
    </row>
    <row r="882">
      <c r="J882" s="35"/>
    </row>
    <row r="883">
      <c r="J883" s="35"/>
    </row>
    <row r="884">
      <c r="J884" s="35"/>
    </row>
    <row r="885">
      <c r="J885" s="35"/>
    </row>
    <row r="886">
      <c r="J886" s="35"/>
    </row>
    <row r="887">
      <c r="J887" s="35"/>
    </row>
    <row r="888">
      <c r="J888" s="35"/>
    </row>
    <row r="889">
      <c r="J889" s="35"/>
    </row>
    <row r="890">
      <c r="J890" s="35"/>
    </row>
    <row r="891">
      <c r="J891" s="35"/>
    </row>
    <row r="892">
      <c r="J892" s="35"/>
    </row>
    <row r="893">
      <c r="J893" s="35"/>
    </row>
    <row r="894">
      <c r="J894" s="35"/>
    </row>
    <row r="895">
      <c r="J895" s="35"/>
    </row>
    <row r="896">
      <c r="J896" s="35"/>
    </row>
    <row r="897">
      <c r="J897" s="35"/>
    </row>
    <row r="898">
      <c r="J898" s="35"/>
    </row>
    <row r="899">
      <c r="J899" s="35"/>
    </row>
    <row r="900">
      <c r="J900" s="35"/>
    </row>
    <row r="901">
      <c r="J901" s="35"/>
    </row>
    <row r="902">
      <c r="J902" s="35"/>
    </row>
    <row r="903">
      <c r="J903" s="35"/>
    </row>
    <row r="904">
      <c r="J904" s="35"/>
    </row>
    <row r="905">
      <c r="J905" s="35"/>
    </row>
    <row r="906">
      <c r="J906" s="35"/>
    </row>
    <row r="907">
      <c r="J907" s="35"/>
    </row>
    <row r="908">
      <c r="J908" s="35"/>
    </row>
    <row r="909">
      <c r="J909" s="35"/>
    </row>
    <row r="910">
      <c r="J910" s="35"/>
    </row>
    <row r="911">
      <c r="J911" s="35"/>
    </row>
    <row r="912">
      <c r="J912" s="35"/>
    </row>
    <row r="913">
      <c r="J913" s="35"/>
    </row>
    <row r="914">
      <c r="J914" s="35"/>
    </row>
    <row r="915">
      <c r="J915" s="35"/>
    </row>
    <row r="916">
      <c r="J916" s="35"/>
    </row>
    <row r="917">
      <c r="J917" s="35"/>
    </row>
    <row r="918">
      <c r="J918" s="35"/>
    </row>
    <row r="919">
      <c r="J919" s="35"/>
    </row>
    <row r="920">
      <c r="J920" s="35"/>
    </row>
    <row r="921">
      <c r="J921" s="35"/>
    </row>
    <row r="922">
      <c r="J922" s="35"/>
    </row>
    <row r="923">
      <c r="J923" s="35"/>
    </row>
    <row r="924">
      <c r="J924" s="35"/>
    </row>
    <row r="925">
      <c r="J925" s="35"/>
    </row>
    <row r="926">
      <c r="J926" s="35"/>
    </row>
    <row r="927">
      <c r="J927" s="35"/>
    </row>
    <row r="928">
      <c r="J928" s="35"/>
    </row>
    <row r="929">
      <c r="J929" s="35"/>
    </row>
    <row r="930">
      <c r="J930" s="35"/>
    </row>
    <row r="931">
      <c r="J931" s="35"/>
    </row>
    <row r="932">
      <c r="J932" s="35"/>
    </row>
    <row r="933">
      <c r="J933" s="35"/>
    </row>
    <row r="934">
      <c r="J934" s="35"/>
    </row>
    <row r="935">
      <c r="J935" s="35"/>
    </row>
    <row r="936">
      <c r="J936" s="35"/>
    </row>
    <row r="937">
      <c r="J937" s="35"/>
    </row>
    <row r="938">
      <c r="J938" s="35"/>
    </row>
    <row r="939">
      <c r="J939" s="35"/>
    </row>
    <row r="940">
      <c r="J940" s="35"/>
    </row>
    <row r="941">
      <c r="J941" s="35"/>
    </row>
    <row r="942">
      <c r="J942" s="35"/>
    </row>
    <row r="943">
      <c r="J943" s="35"/>
    </row>
    <row r="944">
      <c r="J944" s="35"/>
    </row>
    <row r="945">
      <c r="J945" s="35"/>
    </row>
    <row r="946">
      <c r="J946" s="35"/>
    </row>
    <row r="947">
      <c r="J947" s="35"/>
    </row>
    <row r="948">
      <c r="J948" s="35"/>
    </row>
    <row r="949">
      <c r="J949" s="35"/>
    </row>
    <row r="950">
      <c r="J950" s="35"/>
    </row>
    <row r="951">
      <c r="J951" s="35"/>
    </row>
    <row r="952">
      <c r="J952" s="35"/>
    </row>
    <row r="953">
      <c r="J953" s="35"/>
    </row>
    <row r="954">
      <c r="J954" s="35"/>
    </row>
    <row r="955">
      <c r="J955" s="35"/>
    </row>
    <row r="956">
      <c r="J956" s="35"/>
    </row>
    <row r="957">
      <c r="J957" s="35"/>
    </row>
    <row r="958">
      <c r="J958" s="35"/>
    </row>
    <row r="959">
      <c r="J959" s="35"/>
    </row>
    <row r="960">
      <c r="J960" s="35"/>
    </row>
    <row r="961">
      <c r="J961" s="35"/>
    </row>
    <row r="962">
      <c r="J962" s="35"/>
    </row>
    <row r="963">
      <c r="J963" s="35"/>
    </row>
    <row r="964">
      <c r="J964" s="35"/>
    </row>
    <row r="965">
      <c r="J965" s="35"/>
    </row>
    <row r="966">
      <c r="J966" s="35"/>
    </row>
    <row r="967">
      <c r="J967" s="35"/>
    </row>
    <row r="968">
      <c r="J968" s="35"/>
    </row>
    <row r="969">
      <c r="J969" s="35"/>
    </row>
    <row r="970">
      <c r="J970" s="35"/>
    </row>
    <row r="971">
      <c r="J971" s="35"/>
    </row>
    <row r="972">
      <c r="J972" s="35"/>
    </row>
    <row r="973">
      <c r="J973" s="35"/>
    </row>
    <row r="974">
      <c r="J974" s="35"/>
    </row>
    <row r="975">
      <c r="J975" s="35"/>
    </row>
    <row r="976">
      <c r="J976" s="35"/>
    </row>
    <row r="977">
      <c r="J977" s="35"/>
    </row>
    <row r="978">
      <c r="J978" s="35"/>
    </row>
    <row r="979">
      <c r="J979" s="35"/>
    </row>
    <row r="980">
      <c r="J980" s="35"/>
    </row>
    <row r="981">
      <c r="J981" s="35"/>
    </row>
    <row r="982">
      <c r="J982" s="35"/>
    </row>
    <row r="983">
      <c r="J983" s="35"/>
    </row>
    <row r="984">
      <c r="J984" s="35"/>
    </row>
    <row r="985">
      <c r="J985" s="35"/>
    </row>
    <row r="986">
      <c r="J986" s="35"/>
    </row>
    <row r="987">
      <c r="J987" s="35"/>
    </row>
    <row r="988">
      <c r="J988" s="35"/>
    </row>
    <row r="989">
      <c r="J989" s="35"/>
    </row>
    <row r="990">
      <c r="J990" s="35"/>
    </row>
    <row r="991">
      <c r="J991" s="35"/>
    </row>
    <row r="992">
      <c r="J992" s="35"/>
    </row>
    <row r="993">
      <c r="J993" s="35"/>
    </row>
    <row r="994">
      <c r="J994" s="35"/>
    </row>
    <row r="995">
      <c r="J995" s="35"/>
    </row>
    <row r="996">
      <c r="J996" s="35"/>
    </row>
    <row r="997">
      <c r="J997" s="35"/>
    </row>
    <row r="998">
      <c r="J998" s="35"/>
    </row>
    <row r="999">
      <c r="J999" s="3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326</v>
      </c>
      <c r="B1" s="2" t="s">
        <v>327</v>
      </c>
      <c r="C1" s="2" t="s">
        <v>328</v>
      </c>
      <c r="D1" s="2" t="s">
        <v>329</v>
      </c>
      <c r="E1" s="2" t="s">
        <v>330</v>
      </c>
      <c r="F1" s="2" t="s">
        <v>331</v>
      </c>
    </row>
    <row r="2">
      <c r="A2" s="2">
        <v>1.0</v>
      </c>
      <c r="B2" s="2" t="s">
        <v>19</v>
      </c>
      <c r="C2" s="39">
        <v>45566.0</v>
      </c>
      <c r="D2" s="39">
        <v>46054.0</v>
      </c>
      <c r="E2" s="2">
        <v>18000.0</v>
      </c>
      <c r="F2" s="1">
        <f t="shared" ref="F2:F3" si="1">DATEDIF(C2, EDATE(D2,1), "M")
</f>
        <v>17</v>
      </c>
    </row>
    <row r="3">
      <c r="A3" s="2">
        <v>2.0</v>
      </c>
      <c r="B3" s="2" t="s">
        <v>23</v>
      </c>
      <c r="C3" s="39">
        <v>45870.0</v>
      </c>
      <c r="D3" s="39">
        <v>46054.0</v>
      </c>
      <c r="E3" s="2">
        <v>6000.0</v>
      </c>
      <c r="F3" s="1">
        <f t="shared" si="1"/>
        <v>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
 {
  ARRAYFORMULA(
    IF(
      KPI_Calc!B2:B999&lt;&gt;"""",
      LOOKUP(
        ROW(KPI_Calc!A2:A999),
        ROW(KPI_Calc!A2:A999)/(KPI_Calc!A2:A999&lt;&gt;""""),
        KPI_Calc!A2:A999
      ),
      """"
    )
  ),
  KPI_Calc!B2:O999
 },
 ""select C"&amp;"ol1,Col2,Col3,Col4,Col5,Col6,Col7,Col8,Col9,Col10,Col11,Col12,Col13,Col14,Col15
  where Col2 is not null
  and not Col1 contains 'Total'
  label Col1 'Month', Col2 'Machine', Col3 'Sales', Col4 'Profit', Col5 'Units',
        Col6 'AdsIncome', Col7 'Rent'"&amp;", Col8 'NetProfit', Col9 'AvgPrice',
        Col10 'SPI_Traffic', Col11 'SPI_Profit', Col12 'SPI_Final',
        Col13 'Rank', Col14 'Status', Col15 'ActionHint'""
 ,0
)
"),"Month")</f>
        <v>Month</v>
      </c>
      <c r="B1" s="1" t="str">
        <f>IFERROR(__xludf.DUMMYFUNCTION("""COMPUTED_VALUE"""),"Machine")</f>
        <v>Machine</v>
      </c>
      <c r="C1" s="1" t="str">
        <f>IFERROR(__xludf.DUMMYFUNCTION("""COMPUTED_VALUE"""),"Sales")</f>
        <v>Sales</v>
      </c>
      <c r="D1" s="1" t="str">
        <f>IFERROR(__xludf.DUMMYFUNCTION("""COMPUTED_VALUE"""),"Profit")</f>
        <v>Profit</v>
      </c>
      <c r="E1" s="1" t="str">
        <f>IFERROR(__xludf.DUMMYFUNCTION("""COMPUTED_VALUE"""),"Units")</f>
        <v>Units</v>
      </c>
      <c r="F1" s="1" t="str">
        <f>IFERROR(__xludf.DUMMYFUNCTION("""COMPUTED_VALUE"""),"AdsIncome")</f>
        <v>AdsIncome</v>
      </c>
      <c r="G1" s="1" t="str">
        <f>IFERROR(__xludf.DUMMYFUNCTION("""COMPUTED_VALUE"""),"Rent")</f>
        <v>Rent</v>
      </c>
      <c r="H1" s="1" t="str">
        <f>IFERROR(__xludf.DUMMYFUNCTION("""COMPUTED_VALUE"""),"NetProfit")</f>
        <v>NetProfit</v>
      </c>
      <c r="I1" s="1" t="str">
        <f>IFERROR(__xludf.DUMMYFUNCTION("""COMPUTED_VALUE"""),"AvgPrice")</f>
        <v>AvgPrice</v>
      </c>
      <c r="J1" s="1" t="str">
        <f>IFERROR(__xludf.DUMMYFUNCTION("""COMPUTED_VALUE"""),"SPI_Traffic")</f>
        <v>SPI_Traffic</v>
      </c>
      <c r="K1" s="1" t="str">
        <f>IFERROR(__xludf.DUMMYFUNCTION("""COMPUTED_VALUE"""),"SPI_Profit")</f>
        <v>SPI_Profit</v>
      </c>
      <c r="L1" s="1" t="str">
        <f>IFERROR(__xludf.DUMMYFUNCTION("""COMPUTED_VALUE"""),"SPI_Final")</f>
        <v>SPI_Final</v>
      </c>
      <c r="M1" s="1" t="str">
        <f>IFERROR(__xludf.DUMMYFUNCTION("""COMPUTED_VALUE"""),"Rank")</f>
        <v>Rank</v>
      </c>
      <c r="N1" s="1" t="str">
        <f>IFERROR(__xludf.DUMMYFUNCTION("""COMPUTED_VALUE"""),"Status")</f>
        <v>Status</v>
      </c>
      <c r="O1" s="1" t="str">
        <f>IFERROR(__xludf.DUMMYFUNCTION("""COMPUTED_VALUE"""),"ActionHint")</f>
        <v>ActionHint</v>
      </c>
    </row>
    <row r="2">
      <c r="A2" s="1">
        <f>IFERROR(__xludf.DUMMYFUNCTION("""COMPUTED_VALUE"""),46082.0)</f>
        <v>46082</v>
      </c>
      <c r="B2" s="1" t="str">
        <f>IFERROR(__xludf.DUMMYFUNCTION("""COMPUTED_VALUE"""),"Attahadi Universty")</f>
        <v>Attahadi Universty</v>
      </c>
      <c r="C2" s="1">
        <f>IFERROR(__xludf.DUMMYFUNCTION("""COMPUTED_VALUE"""),1100.5)</f>
        <v>1100.5</v>
      </c>
      <c r="D2" s="1">
        <f>IFERROR(__xludf.DUMMYFUNCTION("""COMPUTED_VALUE"""),439.3599999999999)</f>
        <v>439.36</v>
      </c>
      <c r="E2" s="1">
        <f>IFERROR(__xludf.DUMMYFUNCTION("""COMPUTED_VALUE"""),261.0)</f>
        <v>261</v>
      </c>
      <c r="F2" s="1"/>
      <c r="G2" s="1">
        <f>IFERROR(__xludf.DUMMYFUNCTION("""COMPUTED_VALUE"""),0.0)</f>
        <v>0</v>
      </c>
      <c r="H2" s="1">
        <f>IFERROR(__xludf.DUMMYFUNCTION("""COMPUTED_VALUE"""),439.3599999999999)</f>
        <v>439.36</v>
      </c>
      <c r="I2" s="1">
        <f>IFERROR(__xludf.DUMMYFUNCTION("""COMPUTED_VALUE"""),4.216475095785441)</f>
        <v>4.216475096</v>
      </c>
      <c r="J2" s="1">
        <f>IFERROR(__xludf.DUMMYFUNCTION("""COMPUTED_VALUE"""),100.0)</f>
        <v>100</v>
      </c>
      <c r="K2" s="1">
        <f>IFERROR(__xludf.DUMMYFUNCTION("""COMPUTED_VALUE"""),100.0)</f>
        <v>100</v>
      </c>
      <c r="L2" s="1">
        <f>IFERROR(__xludf.DUMMYFUNCTION("""COMPUTED_VALUE"""),61.68659003831418)</f>
        <v>61.68659004</v>
      </c>
      <c r="M2" s="1">
        <f>IFERROR(__xludf.DUMMYFUNCTION("""COMPUTED_VALUE"""),1.0)</f>
        <v>1</v>
      </c>
      <c r="N2" s="1" t="str">
        <f>IFERROR(__xludf.DUMMYFUNCTION("""COMPUTED_VALUE"""),"🟢 Strong")</f>
        <v>🟢 Strong</v>
      </c>
      <c r="O2" s="1" t="str">
        <f>IFERROR(__xludf.DUMMYFUNCTION("""COMPUTED_VALUE"""),"OK")</f>
        <v>OK</v>
      </c>
    </row>
    <row r="3">
      <c r="A3" s="1">
        <f>IFERROR(__xludf.DUMMYFUNCTION("""COMPUTED_VALUE"""),46082.0)</f>
        <v>46082</v>
      </c>
      <c r="B3" s="1" t="str">
        <f>IFERROR(__xludf.DUMMYFUNCTION("""COMPUTED_VALUE"""),"DPMall")</f>
        <v>DPMall</v>
      </c>
      <c r="C3" s="1">
        <f>IFERROR(__xludf.DUMMYFUNCTION("""COMPUTED_VALUE"""),8138.0)</f>
        <v>8138</v>
      </c>
      <c r="D3" s="1">
        <f>IFERROR(__xludf.DUMMYFUNCTION("""COMPUTED_VALUE"""),3449.24)</f>
        <v>3449.24</v>
      </c>
      <c r="E3" s="1">
        <f>IFERROR(__xludf.DUMMYFUNCTION("""COMPUTED_VALUE"""),2370.0)</f>
        <v>2370</v>
      </c>
      <c r="F3" s="1">
        <f>IFERROR(__xludf.DUMMYFUNCTION("""COMPUTED_VALUE"""),1000.0)</f>
        <v>1000</v>
      </c>
      <c r="G3" s="1">
        <f>IFERROR(__xludf.DUMMYFUNCTION("""COMPUTED_VALUE"""),500.0)</f>
        <v>500</v>
      </c>
      <c r="H3" s="1">
        <f>IFERROR(__xludf.DUMMYFUNCTION("""COMPUTED_VALUE"""),3949.24)</f>
        <v>3949.24</v>
      </c>
      <c r="I3" s="1">
        <f>IFERROR(__xludf.DUMMYFUNCTION("""COMPUTED_VALUE"""),3.4337552742616033)</f>
        <v>3.433755274</v>
      </c>
      <c r="J3" s="1">
        <f>IFERROR(__xludf.DUMMYFUNCTION("""COMPUTED_VALUE"""),52.3756906077348)</f>
        <v>52.37569061</v>
      </c>
      <c r="K3" s="1">
        <f>IFERROR(__xludf.DUMMYFUNCTION("""COMPUTED_VALUE"""),73.06155371705124)</f>
        <v>73.06155372</v>
      </c>
      <c r="L3" s="1">
        <f>IFERROR(__xludf.DUMMYFUNCTION("""COMPUTED_VALUE"""),32.79891647434552)</f>
        <v>32.79891647</v>
      </c>
      <c r="M3" s="1">
        <f>IFERROR(__xludf.DUMMYFUNCTION("""COMPUTED_VALUE"""),4.0)</f>
        <v>4</v>
      </c>
      <c r="N3" s="1" t="str">
        <f>IFERROR(__xludf.DUMMYFUNCTION("""COMPUTED_VALUE"""),"🔴 Action Needed")</f>
        <v>🔴 Action Needed</v>
      </c>
      <c r="O3" s="1" t="str">
        <f>IFERROR(__xludf.DUMMYFUNCTION("""COMPUTED_VALUE"""),"Traffic issue → location/product mix")</f>
        <v>Traffic issue → location/product mix</v>
      </c>
      <c r="Q3" s="2"/>
    </row>
    <row r="4">
      <c r="A4" s="1">
        <f>IFERROR(__xludf.DUMMYFUNCTION("""COMPUTED_VALUE"""),46082.0)</f>
        <v>46082</v>
      </c>
      <c r="B4" s="1" t="str">
        <f>IFERROR(__xludf.DUMMYFUNCTION("""COMPUTED_VALUE"""),"HospAlmoa")</f>
        <v>HospAlmoa</v>
      </c>
      <c r="C4" s="1">
        <f>IFERROR(__xludf.DUMMYFUNCTION("""COMPUTED_VALUE"""),4712.0)</f>
        <v>4712</v>
      </c>
      <c r="D4" s="1">
        <f>IFERROR(__xludf.DUMMYFUNCTION("""COMPUTED_VALUE"""),1626.1799999999996)</f>
        <v>1626.18</v>
      </c>
      <c r="E4" s="1">
        <f>IFERROR(__xludf.DUMMYFUNCTION("""COMPUTED_VALUE"""),1387.0)</f>
        <v>1387</v>
      </c>
      <c r="F4" s="1"/>
      <c r="G4" s="1"/>
      <c r="H4" s="1">
        <f>IFERROR(__xludf.DUMMYFUNCTION("""COMPUTED_VALUE"""),1626.1799999999996)</f>
        <v>1626.18</v>
      </c>
      <c r="I4" s="1">
        <f>IFERROR(__xludf.DUMMYFUNCTION("""COMPUTED_VALUE"""),3.3972602739726026)</f>
        <v>3.397260274</v>
      </c>
      <c r="J4" s="1">
        <f>IFERROR(__xludf.DUMMYFUNCTION("""COMPUTED_VALUE"""),30.65193370165746)</f>
        <v>30.6519337</v>
      </c>
      <c r="K4" s="1">
        <f>IFERROR(__xludf.DUMMYFUNCTION("""COMPUTED_VALUE"""),30.084582710494768)</f>
        <v>30.08458271</v>
      </c>
      <c r="L4" s="1">
        <f>IFERROR(__xludf.DUMMYFUNCTION("""COMPUTED_VALUE"""),19.750064330583516)</f>
        <v>19.75006433</v>
      </c>
      <c r="M4" s="1">
        <f>IFERROR(__xludf.DUMMYFUNCTION("""COMPUTED_VALUE"""),13.0)</f>
        <v>13</v>
      </c>
      <c r="N4" s="1" t="str">
        <f>IFERROR(__xludf.DUMMYFUNCTION("""COMPUTED_VALUE"""),"🔴 Action Needed")</f>
        <v>🔴 Action Needed</v>
      </c>
      <c r="O4" s="1" t="str">
        <f>IFERROR(__xludf.DUMMYFUNCTION("""COMPUTED_VALUE"""),"Profit issue → pricing/cost/rent")</f>
        <v>Profit issue → pricing/cost/rent</v>
      </c>
    </row>
    <row r="5">
      <c r="A5" s="1">
        <f>IFERROR(__xludf.DUMMYFUNCTION("""COMPUTED_VALUE"""),46082.0)</f>
        <v>46082</v>
      </c>
      <c r="B5" s="1" t="str">
        <f>IFERROR(__xludf.DUMMYFUNCTION("""COMPUTED_VALUE"""),"HTLand")</f>
        <v>HTLand</v>
      </c>
      <c r="C5" s="1">
        <f>IFERROR(__xludf.DUMMYFUNCTION("""COMPUTED_VALUE"""),6489.0)</f>
        <v>6489</v>
      </c>
      <c r="D5" s="1">
        <f>IFERROR(__xludf.DUMMYFUNCTION("""COMPUTED_VALUE"""),2587.5699999999997)</f>
        <v>2587.57</v>
      </c>
      <c r="E5" s="1">
        <f>IFERROR(__xludf.DUMMYFUNCTION("""COMPUTED_VALUE"""),2024.0)</f>
        <v>2024</v>
      </c>
      <c r="F5" s="1">
        <f>IFERROR(__xludf.DUMMYFUNCTION("""COMPUTED_VALUE"""),1000.0)</f>
        <v>1000</v>
      </c>
      <c r="G5" s="1"/>
      <c r="H5" s="1">
        <f>IFERROR(__xludf.DUMMYFUNCTION("""COMPUTED_VALUE"""),3587.5699999999997)</f>
        <v>3587.57</v>
      </c>
      <c r="I5" s="1">
        <f>IFERROR(__xludf.DUMMYFUNCTION("""COMPUTED_VALUE"""),3.20602766798419)</f>
        <v>3.206027668</v>
      </c>
      <c r="J5" s="1">
        <f>IFERROR(__xludf.DUMMYFUNCTION("""COMPUTED_VALUE"""),44.729281767955804)</f>
        <v>44.72928177</v>
      </c>
      <c r="K5" s="1">
        <f>IFERROR(__xludf.DUMMYFUNCTION("""COMPUTED_VALUE"""),66.37060251306113)</f>
        <v>66.37060251</v>
      </c>
      <c r="L5" s="1">
        <f>IFERROR(__xludf.DUMMYFUNCTION("""COMPUTED_VALUE"""),28.11998012796716)</f>
        <v>28.11998013</v>
      </c>
      <c r="M5" s="1">
        <f>IFERROR(__xludf.DUMMYFUNCTION("""COMPUTED_VALUE"""),5.0)</f>
        <v>5</v>
      </c>
      <c r="N5" s="1" t="str">
        <f>IFERROR(__xludf.DUMMYFUNCTION("""COMPUTED_VALUE"""),"🔴 Action Needed")</f>
        <v>🔴 Action Needed</v>
      </c>
      <c r="O5" s="1" t="str">
        <f>IFERROR(__xludf.DUMMYFUNCTION("""COMPUTED_VALUE"""),"Traffic issue → location/product mix")</f>
        <v>Traffic issue → location/product mix</v>
      </c>
    </row>
    <row r="6">
      <c r="A6" s="1">
        <f>IFERROR(__xludf.DUMMYFUNCTION("""COMPUTED_VALUE"""),46082.0)</f>
        <v>46082</v>
      </c>
      <c r="B6" s="1" t="str">
        <f>IFERROR(__xludf.DUMMYFUNCTION("""COMPUTED_VALUE"""),"HTMall")</f>
        <v>HTMall</v>
      </c>
      <c r="C6" s="1">
        <f>IFERROR(__xludf.DUMMYFUNCTION("""COMPUTED_VALUE"""),14909.0)</f>
        <v>14909</v>
      </c>
      <c r="D6" s="1">
        <f>IFERROR(__xludf.DUMMYFUNCTION("""COMPUTED_VALUE"""),6405.359999999999)</f>
        <v>6405.36</v>
      </c>
      <c r="E6" s="1">
        <f>IFERROR(__xludf.DUMMYFUNCTION("""COMPUTED_VALUE"""),4525.0)</f>
        <v>4525</v>
      </c>
      <c r="F6" s="1"/>
      <c r="G6" s="1">
        <f>IFERROR(__xludf.DUMMYFUNCTION("""COMPUTED_VALUE"""),1000.0)</f>
        <v>1000</v>
      </c>
      <c r="H6" s="1">
        <f>IFERROR(__xludf.DUMMYFUNCTION("""COMPUTED_VALUE"""),5405.359999999999)</f>
        <v>5405.36</v>
      </c>
      <c r="I6" s="1">
        <f>IFERROR(__xludf.DUMMYFUNCTION("""COMPUTED_VALUE"""),3.294806629834254)</f>
        <v>3.29480663</v>
      </c>
      <c r="J6" s="1">
        <f>IFERROR(__xludf.DUMMYFUNCTION("""COMPUTED_VALUE"""),100.0)</f>
        <v>100</v>
      </c>
      <c r="K6" s="1">
        <f>IFERROR(__xludf.DUMMYFUNCTION("""COMPUTED_VALUE"""),100.0)</f>
        <v>100</v>
      </c>
      <c r="L6" s="1">
        <f>IFERROR(__xludf.DUMMYFUNCTION("""COMPUTED_VALUE"""),61.3179226519337)</f>
        <v>61.31792265</v>
      </c>
      <c r="M6" s="1">
        <f>IFERROR(__xludf.DUMMYFUNCTION("""COMPUTED_VALUE"""),1.0)</f>
        <v>1</v>
      </c>
      <c r="N6" s="1" t="str">
        <f>IFERROR(__xludf.DUMMYFUNCTION("""COMPUTED_VALUE"""),"🟢 Strong")</f>
        <v>🟢 Strong</v>
      </c>
      <c r="O6" s="1" t="str">
        <f>IFERROR(__xludf.DUMMYFUNCTION("""COMPUTED_VALUE"""),"OK")</f>
        <v>OK</v>
      </c>
    </row>
    <row r="7">
      <c r="A7" s="1">
        <f>IFERROR(__xludf.DUMMYFUNCTION("""COMPUTED_VALUE"""),46082.0)</f>
        <v>46082</v>
      </c>
      <c r="B7" s="1" t="str">
        <f>IFERROR(__xludf.DUMMYFUNCTION("""COMPUTED_VALUE"""),"Istiklal")</f>
        <v>Istiklal</v>
      </c>
      <c r="C7" s="1">
        <f>IFERROR(__xludf.DUMMYFUNCTION("""COMPUTED_VALUE"""),4122.5)</f>
        <v>4122.5</v>
      </c>
      <c r="D7" s="1">
        <f>IFERROR(__xludf.DUMMYFUNCTION("""COMPUTED_VALUE"""),1445.9)</f>
        <v>1445.9</v>
      </c>
      <c r="E7" s="1">
        <f>IFERROR(__xludf.DUMMYFUNCTION("""COMPUTED_VALUE"""),1339.0)</f>
        <v>1339</v>
      </c>
      <c r="F7" s="1"/>
      <c r="G7" s="1"/>
      <c r="H7" s="1">
        <f>IFERROR(__xludf.DUMMYFUNCTION("""COMPUTED_VALUE"""),1445.9)</f>
        <v>1445.9</v>
      </c>
      <c r="I7" s="1">
        <f>IFERROR(__xludf.DUMMYFUNCTION("""COMPUTED_VALUE"""),3.078790141896938)</f>
        <v>3.078790142</v>
      </c>
      <c r="J7" s="1">
        <f>IFERROR(__xludf.DUMMYFUNCTION("""COMPUTED_VALUE"""),29.591160220994475)</f>
        <v>29.59116022</v>
      </c>
      <c r="K7" s="1">
        <f>IFERROR(__xludf.DUMMYFUNCTION("""COMPUTED_VALUE"""),26.74937469474744)</f>
        <v>26.74937469</v>
      </c>
      <c r="L7" s="1">
        <f>IFERROR(__xludf.DUMMYFUNCTION("""COMPUTED_VALUE"""),18.98621218935546)</f>
        <v>18.98621219</v>
      </c>
      <c r="M7" s="1">
        <f>IFERROR(__xludf.DUMMYFUNCTION("""COMPUTED_VALUE"""),16.0)</f>
        <v>16</v>
      </c>
      <c r="N7" s="1" t="str">
        <f>IFERROR(__xludf.DUMMYFUNCTION("""COMPUTED_VALUE"""),"🔴 Action Needed")</f>
        <v>🔴 Action Needed</v>
      </c>
      <c r="O7" s="1" t="str">
        <f>IFERROR(__xludf.DUMMYFUNCTION("""COMPUTED_VALUE"""),"Profit issue → pricing/cost/rent")</f>
        <v>Profit issue → pricing/cost/rent</v>
      </c>
    </row>
    <row r="8">
      <c r="A8" s="1">
        <f>IFERROR(__xludf.DUMMYFUNCTION("""COMPUTED_VALUE"""),46082.0)</f>
        <v>46082</v>
      </c>
      <c r="B8" s="1" t="str">
        <f>IFERROR(__xludf.DUMMYFUNCTION("""COMPUTED_VALUE"""),"SeaCost2")</f>
        <v>SeaCost2</v>
      </c>
      <c r="C8" s="1">
        <f>IFERROR(__xludf.DUMMYFUNCTION("""COMPUTED_VALUE"""),811.0)</f>
        <v>811</v>
      </c>
      <c r="D8" s="1">
        <f>IFERROR(__xludf.DUMMYFUNCTION("""COMPUTED_VALUE"""),447.80000000000007)</f>
        <v>447.8</v>
      </c>
      <c r="E8" s="1">
        <f>IFERROR(__xludf.DUMMYFUNCTION("""COMPUTED_VALUE"""),176.0)</f>
        <v>176</v>
      </c>
      <c r="F8" s="1"/>
      <c r="G8" s="1"/>
      <c r="H8" s="1">
        <f>IFERROR(__xludf.DUMMYFUNCTION("""COMPUTED_VALUE"""),447.80000000000007)</f>
        <v>447.8</v>
      </c>
      <c r="I8" s="1">
        <f>IFERROR(__xludf.DUMMYFUNCTION("""COMPUTED_VALUE"""),4.607954545454546)</f>
        <v>4.607954545</v>
      </c>
      <c r="J8" s="1">
        <f>IFERROR(__xludf.DUMMYFUNCTION("""COMPUTED_VALUE"""),3.889502762430939)</f>
        <v>3.889502762</v>
      </c>
      <c r="K8" s="1">
        <f>IFERROR(__xludf.DUMMYFUNCTION("""COMPUTED_VALUE"""),8.284369588704548)</f>
        <v>8.284369589</v>
      </c>
      <c r="L8" s="1">
        <f>IFERROR(__xludf.DUMMYFUNCTION("""COMPUTED_VALUE"""),4.176883475640381)</f>
        <v>4.176883476</v>
      </c>
      <c r="M8" s="1">
        <f>IFERROR(__xludf.DUMMYFUNCTION("""COMPUTED_VALUE"""),24.0)</f>
        <v>24</v>
      </c>
      <c r="N8" s="1" t="str">
        <f>IFERROR(__xludf.DUMMYFUNCTION("""COMPUTED_VALUE"""),"🔴 Action Needed")</f>
        <v>🔴 Action Needed</v>
      </c>
      <c r="O8" s="1" t="str">
        <f>IFERROR(__xludf.DUMMYFUNCTION("""COMPUTED_VALUE"""),"Traffic issue → location/product mix")</f>
        <v>Traffic issue → location/product mix</v>
      </c>
    </row>
    <row r="9">
      <c r="A9" s="1">
        <f>IFERROR(__xludf.DUMMYFUNCTION("""COMPUTED_VALUE"""),46054.0)</f>
        <v>46054</v>
      </c>
      <c r="B9" s="1" t="str">
        <f>IFERROR(__xludf.DUMMYFUNCTION("""COMPUTED_VALUE"""),"Attahadi Universty")</f>
        <v>Attahadi Universty</v>
      </c>
      <c r="C9" s="1">
        <f>IFERROR(__xludf.DUMMYFUNCTION("""COMPUTED_VALUE"""),4357.5)</f>
        <v>4357.5</v>
      </c>
      <c r="D9" s="1">
        <f>IFERROR(__xludf.DUMMYFUNCTION("""COMPUTED_VALUE"""),1306.1699999999998)</f>
        <v>1306.17</v>
      </c>
      <c r="E9" s="1">
        <f>IFERROR(__xludf.DUMMYFUNCTION("""COMPUTED_VALUE"""),1279.0)</f>
        <v>1279</v>
      </c>
      <c r="F9" s="1"/>
      <c r="G9" s="1">
        <f>IFERROR(__xludf.DUMMYFUNCTION("""COMPUTED_VALUE"""),0.0)</f>
        <v>0</v>
      </c>
      <c r="H9" s="1">
        <f>IFERROR(__xludf.DUMMYFUNCTION("""COMPUTED_VALUE"""),1306.1699999999998)</f>
        <v>1306.17</v>
      </c>
      <c r="I9" s="1">
        <f>IFERROR(__xludf.DUMMYFUNCTION("""COMPUTED_VALUE"""),3.406958561376075)</f>
        <v>3.406958561</v>
      </c>
      <c r="J9" s="1">
        <f>IFERROR(__xludf.DUMMYFUNCTION("""COMPUTED_VALUE"""),100.0)</f>
        <v>100</v>
      </c>
      <c r="K9" s="1">
        <f>IFERROR(__xludf.DUMMYFUNCTION("""COMPUTED_VALUE"""),100.0)</f>
        <v>100</v>
      </c>
      <c r="L9" s="1">
        <f>IFERROR(__xludf.DUMMYFUNCTION("""COMPUTED_VALUE"""),61.36278342455043)</f>
        <v>61.36278342</v>
      </c>
      <c r="M9" s="1">
        <f>IFERROR(__xludf.DUMMYFUNCTION("""COMPUTED_VALUE"""),1.0)</f>
        <v>1</v>
      </c>
      <c r="N9" s="1" t="str">
        <f>IFERROR(__xludf.DUMMYFUNCTION("""COMPUTED_VALUE"""),"🟢 Strong")</f>
        <v>🟢 Strong</v>
      </c>
      <c r="O9" s="1" t="str">
        <f>IFERROR(__xludf.DUMMYFUNCTION("""COMPUTED_VALUE"""),"OK")</f>
        <v>OK</v>
      </c>
    </row>
    <row r="10">
      <c r="A10" s="1">
        <f>IFERROR(__xludf.DUMMYFUNCTION("""COMPUTED_VALUE"""),46054.0)</f>
        <v>46054</v>
      </c>
      <c r="B10" s="1" t="str">
        <f>IFERROR(__xludf.DUMMYFUNCTION("""COMPUTED_VALUE"""),"DPMall")</f>
        <v>DPMall</v>
      </c>
      <c r="C10" s="1">
        <f>IFERROR(__xludf.DUMMYFUNCTION("""COMPUTED_VALUE"""),2251.0)</f>
        <v>2251</v>
      </c>
      <c r="D10" s="1">
        <f>IFERROR(__xludf.DUMMYFUNCTION("""COMPUTED_VALUE"""),1015.1)</f>
        <v>1015.1</v>
      </c>
      <c r="E10" s="1">
        <f>IFERROR(__xludf.DUMMYFUNCTION("""COMPUTED_VALUE"""),716.0)</f>
        <v>716</v>
      </c>
      <c r="F10" s="1">
        <f>IFERROR(__xludf.DUMMYFUNCTION("""COMPUTED_VALUE"""),1000.0)</f>
        <v>1000</v>
      </c>
      <c r="G10" s="1">
        <f>IFERROR(__xludf.DUMMYFUNCTION("""COMPUTED_VALUE"""),500.0)</f>
        <v>500</v>
      </c>
      <c r="H10" s="1">
        <f>IFERROR(__xludf.DUMMYFUNCTION("""COMPUTED_VALUE"""),1515.1)</f>
        <v>1515.1</v>
      </c>
      <c r="I10" s="1">
        <f>IFERROR(__xludf.DUMMYFUNCTION("""COMPUTED_VALUE"""),3.143854748603352)</f>
        <v>3.143854749</v>
      </c>
      <c r="J10" s="1">
        <f>IFERROR(__xludf.DUMMYFUNCTION("""COMPUTED_VALUE"""),15.823204419889503)</f>
        <v>15.82320442</v>
      </c>
      <c r="K10" s="1">
        <f>IFERROR(__xludf.DUMMYFUNCTION("""COMPUTED_VALUE"""),28.029585448517775)</f>
        <v>28.02958545</v>
      </c>
      <c r="L10" s="1">
        <f>IFERROR(__xludf.DUMMYFUNCTION("""COMPUTED_VALUE"""),10.751464551375042)</f>
        <v>10.75146455</v>
      </c>
      <c r="M10" s="1">
        <f>IFERROR(__xludf.DUMMYFUNCTION("""COMPUTED_VALUE"""),15.0)</f>
        <v>15</v>
      </c>
      <c r="N10" s="1" t="str">
        <f>IFERROR(__xludf.DUMMYFUNCTION("""COMPUTED_VALUE"""),"🔴 Action Needed")</f>
        <v>🔴 Action Needed</v>
      </c>
      <c r="O10" s="1" t="str">
        <f>IFERROR(__xludf.DUMMYFUNCTION("""COMPUTED_VALUE"""),"Traffic issue → location/product mix")</f>
        <v>Traffic issue → location/product mix</v>
      </c>
    </row>
    <row r="11">
      <c r="A11" s="1">
        <f>IFERROR(__xludf.DUMMYFUNCTION("""COMPUTED_VALUE"""),46054.0)</f>
        <v>46054</v>
      </c>
      <c r="B11" s="1" t="str">
        <f>IFERROR(__xludf.DUMMYFUNCTION("""COMPUTED_VALUE"""),"HospAlmoa")</f>
        <v>HospAlmoa</v>
      </c>
      <c r="C11" s="1">
        <f>IFERROR(__xludf.DUMMYFUNCTION("""COMPUTED_VALUE"""),4244.0)</f>
        <v>4244</v>
      </c>
      <c r="D11" s="1">
        <f>IFERROR(__xludf.DUMMYFUNCTION("""COMPUTED_VALUE"""),1368.5700000000002)</f>
        <v>1368.57</v>
      </c>
      <c r="E11" s="1">
        <f>IFERROR(__xludf.DUMMYFUNCTION("""COMPUTED_VALUE"""),1262.0)</f>
        <v>1262</v>
      </c>
      <c r="F11" s="1"/>
      <c r="G11" s="1"/>
      <c r="H11" s="1">
        <f>IFERROR(__xludf.DUMMYFUNCTION("""COMPUTED_VALUE"""),1368.5700000000002)</f>
        <v>1368.57</v>
      </c>
      <c r="I11" s="1">
        <f>IFERROR(__xludf.DUMMYFUNCTION("""COMPUTED_VALUE"""),3.362916006339144)</f>
        <v>3.362916006</v>
      </c>
      <c r="J11" s="1">
        <f>IFERROR(__xludf.DUMMYFUNCTION("""COMPUTED_VALUE"""),27.88950276243094)</f>
        <v>27.88950276</v>
      </c>
      <c r="K11" s="1">
        <f>IFERROR(__xludf.DUMMYFUNCTION("""COMPUTED_VALUE"""),25.318757677564502)</f>
        <v>25.31875768</v>
      </c>
      <c r="L11" s="1">
        <f>IFERROR(__xludf.DUMMYFUNCTION("""COMPUTED_VALUE"""),18.07886805999422)</f>
        <v>18.07886806</v>
      </c>
      <c r="M11" s="1">
        <f>IFERROR(__xludf.DUMMYFUNCTION("""COMPUTED_VALUE"""),17.0)</f>
        <v>17</v>
      </c>
      <c r="N11" s="1" t="str">
        <f>IFERROR(__xludf.DUMMYFUNCTION("""COMPUTED_VALUE"""),"🔴 Action Needed")</f>
        <v>🔴 Action Needed</v>
      </c>
      <c r="O11" s="1" t="str">
        <f>IFERROR(__xludf.DUMMYFUNCTION("""COMPUTED_VALUE"""),"Profit issue → pricing/cost/rent")</f>
        <v>Profit issue → pricing/cost/rent</v>
      </c>
    </row>
    <row r="12">
      <c r="A12" s="1">
        <f>IFERROR(__xludf.DUMMYFUNCTION("""COMPUTED_VALUE"""),46054.0)</f>
        <v>46054</v>
      </c>
      <c r="B12" s="1" t="str">
        <f>IFERROR(__xludf.DUMMYFUNCTION("""COMPUTED_VALUE"""),"HTLand")</f>
        <v>HTLand</v>
      </c>
      <c r="C12" s="1">
        <f>IFERROR(__xludf.DUMMYFUNCTION("""COMPUTED_VALUE"""),7421.0)</f>
        <v>7421</v>
      </c>
      <c r="D12" s="1">
        <f>IFERROR(__xludf.DUMMYFUNCTION("""COMPUTED_VALUE"""),2969.459999999999)</f>
        <v>2969.46</v>
      </c>
      <c r="E12" s="1">
        <f>IFERROR(__xludf.DUMMYFUNCTION("""COMPUTED_VALUE"""),2264.0)</f>
        <v>2264</v>
      </c>
      <c r="F12" s="1"/>
      <c r="G12" s="1"/>
      <c r="H12" s="1">
        <f>IFERROR(__xludf.DUMMYFUNCTION("""COMPUTED_VALUE"""),2969.459999999999)</f>
        <v>2969.46</v>
      </c>
      <c r="I12" s="1">
        <f>IFERROR(__xludf.DUMMYFUNCTION("""COMPUTED_VALUE"""),3.277826855123675)</f>
        <v>3.277826855</v>
      </c>
      <c r="J12" s="1">
        <f>IFERROR(__xludf.DUMMYFUNCTION("""COMPUTED_VALUE"""),50.033149171270715)</f>
        <v>50.03314917</v>
      </c>
      <c r="K12" s="1">
        <f>IFERROR(__xludf.DUMMYFUNCTION("""COMPUTED_VALUE"""),54.93547145796024)</f>
        <v>54.93547146</v>
      </c>
      <c r="L12" s="1">
        <f>IFERROR(__xludf.DUMMYFUNCTION("""COMPUTED_VALUE"""),31.3310202448119)</f>
        <v>31.33102024</v>
      </c>
      <c r="M12" s="1">
        <f>IFERROR(__xludf.DUMMYFUNCTION("""COMPUTED_VALUE"""),7.0)</f>
        <v>7</v>
      </c>
      <c r="N12" s="1" t="str">
        <f>IFERROR(__xludf.DUMMYFUNCTION("""COMPUTED_VALUE"""),"🔴 Action Needed")</f>
        <v>🔴 Action Needed</v>
      </c>
      <c r="O12" s="1" t="str">
        <f>IFERROR(__xludf.DUMMYFUNCTION("""COMPUTED_VALUE"""),"Traffic issue → location/product mix")</f>
        <v>Traffic issue → location/product mix</v>
      </c>
    </row>
    <row r="13">
      <c r="A13" s="1">
        <f>IFERROR(__xludf.DUMMYFUNCTION("""COMPUTED_VALUE"""),46054.0)</f>
        <v>46054</v>
      </c>
      <c r="B13" s="1" t="str">
        <f>IFERROR(__xludf.DUMMYFUNCTION("""COMPUTED_VALUE"""),"HTMall")</f>
        <v>HTMall</v>
      </c>
      <c r="C13" s="1">
        <f>IFERROR(__xludf.DUMMYFUNCTION("""COMPUTED_VALUE"""),4149.5)</f>
        <v>4149.5</v>
      </c>
      <c r="D13" s="1">
        <f>IFERROR(__xludf.DUMMYFUNCTION("""COMPUTED_VALUE"""),1639.6799999999998)</f>
        <v>1639.68</v>
      </c>
      <c r="E13" s="1">
        <f>IFERROR(__xludf.DUMMYFUNCTION("""COMPUTED_VALUE"""),1493.0)</f>
        <v>1493</v>
      </c>
      <c r="F13" s="1">
        <f>IFERROR(__xludf.DUMMYFUNCTION("""COMPUTED_VALUE"""),1000.0)</f>
        <v>1000</v>
      </c>
      <c r="G13" s="1">
        <f>IFERROR(__xludf.DUMMYFUNCTION("""COMPUTED_VALUE"""),1000.0)</f>
        <v>1000</v>
      </c>
      <c r="H13" s="1">
        <f>IFERROR(__xludf.DUMMYFUNCTION("""COMPUTED_VALUE"""),1639.6799999999998)</f>
        <v>1639.68</v>
      </c>
      <c r="I13" s="1">
        <f>IFERROR(__xludf.DUMMYFUNCTION("""COMPUTED_VALUE"""),2.779303415941058)</f>
        <v>2.779303416</v>
      </c>
      <c r="J13" s="1">
        <f>IFERROR(__xludf.DUMMYFUNCTION("""COMPUTED_VALUE"""),32.994475138121544)</f>
        <v>32.99447514</v>
      </c>
      <c r="K13" s="1">
        <f>IFERROR(__xludf.DUMMYFUNCTION("""COMPUTED_VALUE"""),30.334334808412393)</f>
        <v>30.33433481</v>
      </c>
      <c r="L13" s="1">
        <f>IFERROR(__xludf.DUMMYFUNCTION("""COMPUTED_VALUE"""),20.908406449249348)</f>
        <v>20.90840645</v>
      </c>
      <c r="M13" s="1">
        <f>IFERROR(__xludf.DUMMYFUNCTION("""COMPUTED_VALUE"""),12.0)</f>
        <v>12</v>
      </c>
      <c r="N13" s="1" t="str">
        <f>IFERROR(__xludf.DUMMYFUNCTION("""COMPUTED_VALUE"""),"🔴 Action Needed")</f>
        <v>🔴 Action Needed</v>
      </c>
      <c r="O13" s="1" t="str">
        <f>IFERROR(__xludf.DUMMYFUNCTION("""COMPUTED_VALUE"""),"Profit issue → pricing/cost/rent")</f>
        <v>Profit issue → pricing/cost/rent</v>
      </c>
    </row>
    <row r="14">
      <c r="A14" s="1">
        <f>IFERROR(__xludf.DUMMYFUNCTION("""COMPUTED_VALUE"""),46054.0)</f>
        <v>46054</v>
      </c>
      <c r="B14" s="1" t="str">
        <f>IFERROR(__xludf.DUMMYFUNCTION("""COMPUTED_VALUE"""),"Istiklal")</f>
        <v>Istiklal</v>
      </c>
      <c r="C14" s="1">
        <f>IFERROR(__xludf.DUMMYFUNCTION("""COMPUTED_VALUE"""),3392.5)</f>
        <v>3392.5</v>
      </c>
      <c r="D14" s="1">
        <f>IFERROR(__xludf.DUMMYFUNCTION("""COMPUTED_VALUE"""),1033.6499999999999)</f>
        <v>1033.65</v>
      </c>
      <c r="E14" s="1">
        <f>IFERROR(__xludf.DUMMYFUNCTION("""COMPUTED_VALUE"""),1087.0)</f>
        <v>1087</v>
      </c>
      <c r="F14" s="1"/>
      <c r="G14" s="1">
        <f>IFERROR(__xludf.DUMMYFUNCTION("""COMPUTED_VALUE"""),0.0)</f>
        <v>0</v>
      </c>
      <c r="H14" s="1">
        <f>IFERROR(__xludf.DUMMYFUNCTION("""COMPUTED_VALUE"""),1033.6499999999999)</f>
        <v>1033.65</v>
      </c>
      <c r="I14" s="1">
        <f>IFERROR(__xludf.DUMMYFUNCTION("""COMPUTED_VALUE"""),3.1209751609935603)</f>
        <v>3.120975161</v>
      </c>
      <c r="J14" s="1">
        <f>IFERROR(__xludf.DUMMYFUNCTION("""COMPUTED_VALUE"""),24.022099447513813)</f>
        <v>24.02209945</v>
      </c>
      <c r="K14" s="1">
        <f>IFERROR(__xludf.DUMMYFUNCTION("""COMPUTED_VALUE"""),19.1226856305593)</f>
        <v>19.12268563</v>
      </c>
      <c r="L14" s="1">
        <f>IFERROR(__xludf.DUMMYFUNCTION("""COMPUTED_VALUE"""),15.661649732905712)</f>
        <v>15.66164973</v>
      </c>
      <c r="M14" s="1">
        <f>IFERROR(__xludf.DUMMYFUNCTION("""COMPUTED_VALUE"""),20.0)</f>
        <v>20</v>
      </c>
      <c r="N14" s="1" t="str">
        <f>IFERROR(__xludf.DUMMYFUNCTION("""COMPUTED_VALUE"""),"🔴 Action Needed")</f>
        <v>🔴 Action Needed</v>
      </c>
      <c r="O14" s="1" t="str">
        <f>IFERROR(__xludf.DUMMYFUNCTION("""COMPUTED_VALUE"""),"Profit issue → pricing/cost/rent")</f>
        <v>Profit issue → pricing/cost/rent</v>
      </c>
    </row>
    <row r="15">
      <c r="A15" s="1">
        <f>IFERROR(__xludf.DUMMYFUNCTION("""COMPUTED_VALUE"""),46054.0)</f>
        <v>46054</v>
      </c>
      <c r="B15" s="1" t="str">
        <f>IFERROR(__xludf.DUMMYFUNCTION("""COMPUTED_VALUE"""),"SeaCost")</f>
        <v>SeaCost</v>
      </c>
      <c r="C15" s="1">
        <f>IFERROR(__xludf.DUMMYFUNCTION("""COMPUTED_VALUE"""),4492.0)</f>
        <v>4492</v>
      </c>
      <c r="D15" s="1">
        <f>IFERROR(__xludf.DUMMYFUNCTION("""COMPUTED_VALUE"""),2436.55)</f>
        <v>2436.55</v>
      </c>
      <c r="E15" s="1">
        <f>IFERROR(__xludf.DUMMYFUNCTION("""COMPUTED_VALUE"""),1095.0)</f>
        <v>1095</v>
      </c>
      <c r="F15" s="1"/>
      <c r="G15" s="1">
        <f>IFERROR(__xludf.DUMMYFUNCTION("""COMPUTED_VALUE"""),300.0)</f>
        <v>300</v>
      </c>
      <c r="H15" s="1">
        <f>IFERROR(__xludf.DUMMYFUNCTION("""COMPUTED_VALUE"""),4136.55)</f>
        <v>4136.55</v>
      </c>
      <c r="I15" s="1">
        <f>IFERROR(__xludf.DUMMYFUNCTION("""COMPUTED_VALUE"""),4.102283105022831)</f>
        <v>4.102283105</v>
      </c>
      <c r="J15" s="1">
        <f>IFERROR(__xludf.DUMMYFUNCTION("""COMPUTED_VALUE"""),24.19889502762431)</f>
        <v>24.19889503</v>
      </c>
      <c r="K15" s="1">
        <f>IFERROR(__xludf.DUMMYFUNCTION("""COMPUTED_VALUE"""),76.52681782526975)</f>
        <v>76.52681783</v>
      </c>
      <c r="L15" s="1">
        <f>IFERROR(__xludf.DUMMYFUNCTION("""COMPUTED_VALUE"""),16.16025025858372)</f>
        <v>16.16025026</v>
      </c>
      <c r="M15" s="1">
        <f>IFERROR(__xludf.DUMMYFUNCTION("""COMPUTED_VALUE"""),2.0)</f>
        <v>2</v>
      </c>
      <c r="N15" s="1" t="str">
        <f>IFERROR(__xludf.DUMMYFUNCTION("""COMPUTED_VALUE"""),"🔴 Action Needed")</f>
        <v>🔴 Action Needed</v>
      </c>
      <c r="O15" s="1" t="str">
        <f>IFERROR(__xludf.DUMMYFUNCTION("""COMPUTED_VALUE"""),"Traffic issue → location/product mix")</f>
        <v>Traffic issue → location/product mix</v>
      </c>
    </row>
    <row r="16">
      <c r="A16" s="1">
        <f>IFERROR(__xludf.DUMMYFUNCTION("""COMPUTED_VALUE"""),46054.0)</f>
        <v>46054</v>
      </c>
      <c r="B16" s="1" t="str">
        <f>IFERROR(__xludf.DUMMYFUNCTION("""COMPUTED_VALUE"""),"SeaCost2")</f>
        <v>SeaCost2</v>
      </c>
      <c r="C16" s="1">
        <f>IFERROR(__xludf.DUMMYFUNCTION("""COMPUTED_VALUE"""),1020.0)</f>
        <v>1020</v>
      </c>
      <c r="D16" s="1">
        <f>IFERROR(__xludf.DUMMYFUNCTION("""COMPUTED_VALUE"""),572.33)</f>
        <v>572.33</v>
      </c>
      <c r="E16" s="1">
        <f>IFERROR(__xludf.DUMMYFUNCTION("""COMPUTED_VALUE"""),227.0)</f>
        <v>227</v>
      </c>
      <c r="F16" s="1"/>
      <c r="G16" s="1"/>
      <c r="H16" s="1">
        <f>IFERROR(__xludf.DUMMYFUNCTION("""COMPUTED_VALUE"""),572.33)</f>
        <v>572.33</v>
      </c>
      <c r="I16" s="1">
        <f>IFERROR(__xludf.DUMMYFUNCTION("""COMPUTED_VALUE"""),4.493392070484582)</f>
        <v>4.49339207</v>
      </c>
      <c r="J16" s="1">
        <f>IFERROR(__xludf.DUMMYFUNCTION("""COMPUTED_VALUE"""),5.016574585635359)</f>
        <v>5.016574586</v>
      </c>
      <c r="K16" s="1">
        <f>IFERROR(__xludf.DUMMYFUNCTION("""COMPUTED_VALUE"""),10.588193940829107)</f>
        <v>10.58819394</v>
      </c>
      <c r="L16" s="1">
        <f>IFERROR(__xludf.DUMMYFUNCTION("""COMPUTED_VALUE"""),4.807301579575048)</f>
        <v>4.80730158</v>
      </c>
      <c r="M16" s="1">
        <f>IFERROR(__xludf.DUMMYFUNCTION("""COMPUTED_VALUE"""),22.0)</f>
        <v>22</v>
      </c>
      <c r="N16" s="1" t="str">
        <f>IFERROR(__xludf.DUMMYFUNCTION("""COMPUTED_VALUE"""),"🔴 Action Needed")</f>
        <v>🔴 Action Needed</v>
      </c>
      <c r="O16" s="1" t="str">
        <f>IFERROR(__xludf.DUMMYFUNCTION("""COMPUTED_VALUE"""),"Traffic issue → location/product mix")</f>
        <v>Traffic issue → location/product mix</v>
      </c>
    </row>
    <row r="17">
      <c r="A17" s="1">
        <f>IFERROR(__xludf.DUMMYFUNCTION("""COMPUTED_VALUE"""),46023.0)</f>
        <v>46023</v>
      </c>
      <c r="B17" s="1" t="str">
        <f>IFERROR(__xludf.DUMMYFUNCTION("""COMPUTED_VALUE"""),"DPMall")</f>
        <v>DPMall</v>
      </c>
      <c r="C17" s="1">
        <f>IFERROR(__xludf.DUMMYFUNCTION("""COMPUTED_VALUE"""),2760.0)</f>
        <v>2760</v>
      </c>
      <c r="D17" s="1">
        <f>IFERROR(__xludf.DUMMYFUNCTION("""COMPUTED_VALUE"""),1177.3600000000001)</f>
        <v>1177.36</v>
      </c>
      <c r="E17" s="1">
        <f>IFERROR(__xludf.DUMMYFUNCTION("""COMPUTED_VALUE"""),1004.0)</f>
        <v>1004</v>
      </c>
      <c r="F17" s="1">
        <f>IFERROR(__xludf.DUMMYFUNCTION("""COMPUTED_VALUE"""),1000.0)</f>
        <v>1000</v>
      </c>
      <c r="G17" s="1">
        <f>IFERROR(__xludf.DUMMYFUNCTION("""COMPUTED_VALUE"""),500.0)</f>
        <v>500</v>
      </c>
      <c r="H17" s="1">
        <f>IFERROR(__xludf.DUMMYFUNCTION("""COMPUTED_VALUE"""),1677.3600000000001)</f>
        <v>1677.36</v>
      </c>
      <c r="I17" s="1">
        <f>IFERROR(__xludf.DUMMYFUNCTION("""COMPUTED_VALUE"""),2.749003984063745)</f>
        <v>2.749003984</v>
      </c>
      <c r="J17" s="1">
        <f>IFERROR(__xludf.DUMMYFUNCTION("""COMPUTED_VALUE"""),100.0)</f>
        <v>100</v>
      </c>
      <c r="K17" s="1">
        <f>IFERROR(__xludf.DUMMYFUNCTION("""COMPUTED_VALUE"""),99.99999999999999)</f>
        <v>100</v>
      </c>
      <c r="L17" s="1">
        <f>IFERROR(__xludf.DUMMYFUNCTION("""COMPUTED_VALUE"""),61.0996015936255)</f>
        <v>61.09960159</v>
      </c>
      <c r="M17" s="1">
        <f>IFERROR(__xludf.DUMMYFUNCTION("""COMPUTED_VALUE"""),1.0)</f>
        <v>1</v>
      </c>
      <c r="N17" s="1" t="str">
        <f>IFERROR(__xludf.DUMMYFUNCTION("""COMPUTED_VALUE"""),"🟢 Strong")</f>
        <v>🟢 Strong</v>
      </c>
      <c r="O17" s="1" t="str">
        <f>IFERROR(__xludf.DUMMYFUNCTION("""COMPUTED_VALUE"""),"OK")</f>
        <v>OK</v>
      </c>
    </row>
    <row r="18">
      <c r="A18" s="1">
        <f>IFERROR(__xludf.DUMMYFUNCTION("""COMPUTED_VALUE"""),46023.0)</f>
        <v>46023</v>
      </c>
      <c r="B18" s="1" t="str">
        <f>IFERROR(__xludf.DUMMYFUNCTION("""COMPUTED_VALUE"""),"HospAlmoa")</f>
        <v>HospAlmoa</v>
      </c>
      <c r="C18" s="1">
        <f>IFERROR(__xludf.DUMMYFUNCTION("""COMPUTED_VALUE"""),4992.0)</f>
        <v>4992</v>
      </c>
      <c r="D18" s="1">
        <f>IFERROR(__xludf.DUMMYFUNCTION("""COMPUTED_VALUE"""),1567.26)</f>
        <v>1567.26</v>
      </c>
      <c r="E18" s="1">
        <f>IFERROR(__xludf.DUMMYFUNCTION("""COMPUTED_VALUE"""),1583.0)</f>
        <v>1583</v>
      </c>
      <c r="F18" s="1"/>
      <c r="G18" s="1">
        <f>IFERROR(__xludf.DUMMYFUNCTION("""COMPUTED_VALUE"""),0.0)</f>
        <v>0</v>
      </c>
      <c r="H18" s="1">
        <f>IFERROR(__xludf.DUMMYFUNCTION("""COMPUTED_VALUE"""),1567.26)</f>
        <v>1567.26</v>
      </c>
      <c r="I18" s="1">
        <f>IFERROR(__xludf.DUMMYFUNCTION("""COMPUTED_VALUE"""),3.1535060012634237)</f>
        <v>3.153506001</v>
      </c>
      <c r="J18" s="1">
        <f>IFERROR(__xludf.DUMMYFUNCTION("""COMPUTED_VALUE"""),34.98342541436464)</f>
        <v>34.98342541</v>
      </c>
      <c r="K18" s="1">
        <f>IFERROR(__xludf.DUMMYFUNCTION("""COMPUTED_VALUE"""),28.994553554249862)</f>
        <v>28.99455355</v>
      </c>
      <c r="L18" s="1">
        <f>IFERROR(__xludf.DUMMYFUNCTION("""COMPUTED_VALUE"""),22.251457649124156)</f>
        <v>22.25145765</v>
      </c>
      <c r="M18" s="1">
        <f>IFERROR(__xludf.DUMMYFUNCTION("""COMPUTED_VALUE"""),14.0)</f>
        <v>14</v>
      </c>
      <c r="N18" s="1" t="str">
        <f>IFERROR(__xludf.DUMMYFUNCTION("""COMPUTED_VALUE"""),"🔴 Action Needed")</f>
        <v>🔴 Action Needed</v>
      </c>
      <c r="O18" s="1" t="str">
        <f>IFERROR(__xludf.DUMMYFUNCTION("""COMPUTED_VALUE"""),"Profit issue → pricing/cost/rent")</f>
        <v>Profit issue → pricing/cost/rent</v>
      </c>
    </row>
    <row r="19">
      <c r="A19" s="1">
        <f>IFERROR(__xludf.DUMMYFUNCTION("""COMPUTED_VALUE"""),46023.0)</f>
        <v>46023</v>
      </c>
      <c r="B19" s="1" t="str">
        <f>IFERROR(__xludf.DUMMYFUNCTION("""COMPUTED_VALUE"""),"HTMall")</f>
        <v>HTMall</v>
      </c>
      <c r="C19" s="1">
        <f>IFERROR(__xludf.DUMMYFUNCTION("""COMPUTED_VALUE"""),10275.0)</f>
        <v>10275</v>
      </c>
      <c r="D19" s="1">
        <f>IFERROR(__xludf.DUMMYFUNCTION("""COMPUTED_VALUE"""),4118.829999999999)</f>
        <v>4118.83</v>
      </c>
      <c r="E19" s="1">
        <f>IFERROR(__xludf.DUMMYFUNCTION("""COMPUTED_VALUE"""),3461.0)</f>
        <v>3461</v>
      </c>
      <c r="F19" s="1">
        <f>IFERROR(__xludf.DUMMYFUNCTION("""COMPUTED_VALUE"""),1000.0)</f>
        <v>1000</v>
      </c>
      <c r="G19" s="1">
        <f>IFERROR(__xludf.DUMMYFUNCTION("""COMPUTED_VALUE"""),1000.0)</f>
        <v>1000</v>
      </c>
      <c r="H19" s="1">
        <f>IFERROR(__xludf.DUMMYFUNCTION("""COMPUTED_VALUE"""),4118.829999999999)</f>
        <v>4118.83</v>
      </c>
      <c r="I19" s="1">
        <f>IFERROR(__xludf.DUMMYFUNCTION("""COMPUTED_VALUE"""),2.9687951459115864)</f>
        <v>2.968795146</v>
      </c>
      <c r="J19" s="1">
        <f>IFERROR(__xludf.DUMMYFUNCTION("""COMPUTED_VALUE"""),76.48618784530387)</f>
        <v>76.48618785</v>
      </c>
      <c r="K19" s="1">
        <f>IFERROR(__xludf.DUMMYFUNCTION("""COMPUTED_VALUE"""),76.1989950715586)</f>
        <v>76.19899507</v>
      </c>
      <c r="L19" s="1">
        <f>IFERROR(__xludf.DUMMYFUNCTION("""COMPUTED_VALUE"""),47.07923076554695)</f>
        <v>47.07923077</v>
      </c>
      <c r="M19" s="1">
        <f>IFERROR(__xludf.DUMMYFUNCTION("""COMPUTED_VALUE"""),3.0)</f>
        <v>3</v>
      </c>
      <c r="N19" s="1" t="str">
        <f>IFERROR(__xludf.DUMMYFUNCTION("""COMPUTED_VALUE"""),"🟡 Watch")</f>
        <v>🟡 Watch</v>
      </c>
      <c r="O19" s="1" t="str">
        <f>IFERROR(__xludf.DUMMYFUNCTION("""COMPUTED_VALUE"""),"Profit issue → pricing/cost/rent")</f>
        <v>Profit issue → pricing/cost/rent</v>
      </c>
    </row>
    <row r="20">
      <c r="A20" s="1">
        <f>IFERROR(__xludf.DUMMYFUNCTION("""COMPUTED_VALUE"""),46023.0)</f>
        <v>46023</v>
      </c>
      <c r="B20" s="1" t="str">
        <f>IFERROR(__xludf.DUMMYFUNCTION("""COMPUTED_VALUE"""),"Istiklal")</f>
        <v>Istiklal</v>
      </c>
      <c r="C20" s="1">
        <f>IFERROR(__xludf.DUMMYFUNCTION("""COMPUTED_VALUE"""),2918.5)</f>
        <v>2918.5</v>
      </c>
      <c r="D20" s="1">
        <f>IFERROR(__xludf.DUMMYFUNCTION("""COMPUTED_VALUE"""),1014.02)</f>
        <v>1014.02</v>
      </c>
      <c r="E20" s="1">
        <f>IFERROR(__xludf.DUMMYFUNCTION("""COMPUTED_VALUE"""),902.0)</f>
        <v>902</v>
      </c>
      <c r="F20" s="1"/>
      <c r="G20" s="1"/>
      <c r="H20" s="1">
        <f>IFERROR(__xludf.DUMMYFUNCTION("""COMPUTED_VALUE"""),1014.02)</f>
        <v>1014.02</v>
      </c>
      <c r="I20" s="1">
        <f>IFERROR(__xludf.DUMMYFUNCTION("""COMPUTED_VALUE"""),3.2355875831485585)</f>
        <v>3.235587583</v>
      </c>
      <c r="J20" s="1">
        <f>IFERROR(__xludf.DUMMYFUNCTION("""COMPUTED_VALUE"""),19.933701657458563)</f>
        <v>19.93370166</v>
      </c>
      <c r="K20" s="1">
        <f>IFERROR(__xludf.DUMMYFUNCTION("""COMPUTED_VALUE"""),18.759527580031676)</f>
        <v>18.75952758</v>
      </c>
      <c r="L20" s="1">
        <f>IFERROR(__xludf.DUMMYFUNCTION("""COMPUTED_VALUE"""),13.254456027734562)</f>
        <v>13.25445603</v>
      </c>
      <c r="M20" s="1">
        <f>IFERROR(__xludf.DUMMYFUNCTION("""COMPUTED_VALUE"""),21.0)</f>
        <v>21</v>
      </c>
      <c r="N20" s="1" t="str">
        <f>IFERROR(__xludf.DUMMYFUNCTION("""COMPUTED_VALUE"""),"🔴 Action Needed")</f>
        <v>🔴 Action Needed</v>
      </c>
      <c r="O20" s="1" t="str">
        <f>IFERROR(__xludf.DUMMYFUNCTION("""COMPUTED_VALUE"""),"Profit issue → pricing/cost/rent")</f>
        <v>Profit issue → pricing/cost/rent</v>
      </c>
    </row>
    <row r="21">
      <c r="A21" s="1">
        <f>IFERROR(__xludf.DUMMYFUNCTION("""COMPUTED_VALUE"""),46023.0)</f>
        <v>46023</v>
      </c>
      <c r="B21" s="1" t="str">
        <f>IFERROR(__xludf.DUMMYFUNCTION("""COMPUTED_VALUE"""),"SeaCost")</f>
        <v>SeaCost</v>
      </c>
      <c r="C21" s="1">
        <f>IFERROR(__xludf.DUMMYFUNCTION("""COMPUTED_VALUE"""),4698.0)</f>
        <v>4698</v>
      </c>
      <c r="D21" s="1">
        <f>IFERROR(__xludf.DUMMYFUNCTION("""COMPUTED_VALUE"""),2445.81)</f>
        <v>2445.81</v>
      </c>
      <c r="E21" s="1">
        <f>IFERROR(__xludf.DUMMYFUNCTION("""COMPUTED_VALUE"""),1352.0)</f>
        <v>1352</v>
      </c>
      <c r="F21" s="1"/>
      <c r="G21" s="1">
        <f>IFERROR(__xludf.DUMMYFUNCTION("""COMPUTED_VALUE"""),200.0)</f>
        <v>200</v>
      </c>
      <c r="H21" s="1">
        <f>IFERROR(__xludf.DUMMYFUNCTION("""COMPUTED_VALUE"""),2245.81)</f>
        <v>2245.81</v>
      </c>
      <c r="I21" s="1">
        <f>IFERROR(__xludf.DUMMYFUNCTION("""COMPUTED_VALUE"""),3.474852071005917)</f>
        <v>3.474852071</v>
      </c>
      <c r="J21" s="1">
        <f>IFERROR(__xludf.DUMMYFUNCTION("""COMPUTED_VALUE"""),29.87845303867403)</f>
        <v>29.87845304</v>
      </c>
      <c r="K21" s="1">
        <f>IFERROR(__xludf.DUMMYFUNCTION("""COMPUTED_VALUE"""),41.547834001805626)</f>
        <v>41.547834</v>
      </c>
      <c r="L21" s="1">
        <f>IFERROR(__xludf.DUMMYFUNCTION("""COMPUTED_VALUE"""),19.317012651606785)</f>
        <v>19.31701265</v>
      </c>
      <c r="M21" s="1">
        <f>IFERROR(__xludf.DUMMYFUNCTION("""COMPUTED_VALUE"""),8.0)</f>
        <v>8</v>
      </c>
      <c r="N21" s="1" t="str">
        <f>IFERROR(__xludf.DUMMYFUNCTION("""COMPUTED_VALUE"""),"🔴 Action Needed")</f>
        <v>🔴 Action Needed</v>
      </c>
      <c r="O21" s="1" t="str">
        <f>IFERROR(__xludf.DUMMYFUNCTION("""COMPUTED_VALUE"""),"Traffic issue → location/product mix")</f>
        <v>Traffic issue → location/product mix</v>
      </c>
    </row>
    <row r="22">
      <c r="A22" s="1">
        <f>IFERROR(__xludf.DUMMYFUNCTION("""COMPUTED_VALUE"""),45992.0)</f>
        <v>45992</v>
      </c>
      <c r="B22" s="1" t="str">
        <f>IFERROR(__xludf.DUMMYFUNCTION("""COMPUTED_VALUE"""),"DPMall")</f>
        <v>DPMall</v>
      </c>
      <c r="C22" s="1">
        <f>IFERROR(__xludf.DUMMYFUNCTION("""COMPUTED_VALUE"""),4270.0)</f>
        <v>4270</v>
      </c>
      <c r="D22" s="1">
        <f>IFERROR(__xludf.DUMMYFUNCTION("""COMPUTED_VALUE"""),4270.0)</f>
        <v>4270</v>
      </c>
      <c r="E22" s="1">
        <f>IFERROR(__xludf.DUMMYFUNCTION("""COMPUTED_VALUE"""),1669.0)</f>
        <v>1669</v>
      </c>
      <c r="F22" s="1">
        <f>IFERROR(__xludf.DUMMYFUNCTION("""COMPUTED_VALUE"""),1000.0)</f>
        <v>1000</v>
      </c>
      <c r="G22" s="1"/>
      <c r="H22" s="1">
        <f>IFERROR(__xludf.DUMMYFUNCTION("""COMPUTED_VALUE"""),5270.0)</f>
        <v>5270</v>
      </c>
      <c r="I22" s="1">
        <f>IFERROR(__xludf.DUMMYFUNCTION("""COMPUTED_VALUE"""),2.5584182144997003)</f>
        <v>2.558418214</v>
      </c>
      <c r="J22" s="1">
        <f>IFERROR(__xludf.DUMMYFUNCTION("""COMPUTED_VALUE"""),100.0)</f>
        <v>100</v>
      </c>
      <c r="K22" s="1">
        <f>IFERROR(__xludf.DUMMYFUNCTION("""COMPUTED_VALUE"""),100.0)</f>
        <v>100</v>
      </c>
      <c r="L22" s="1">
        <f>IFERROR(__xludf.DUMMYFUNCTION("""COMPUTED_VALUE"""),61.02336728579988)</f>
        <v>61.02336729</v>
      </c>
      <c r="M22" s="1">
        <f>IFERROR(__xludf.DUMMYFUNCTION("""COMPUTED_VALUE"""),1.0)</f>
        <v>1</v>
      </c>
      <c r="N22" s="1" t="str">
        <f>IFERROR(__xludf.DUMMYFUNCTION("""COMPUTED_VALUE"""),"🟢 Strong")</f>
        <v>🟢 Strong</v>
      </c>
      <c r="O22" s="1" t="str">
        <f>IFERROR(__xludf.DUMMYFUNCTION("""COMPUTED_VALUE"""),"OK")</f>
        <v>OK</v>
      </c>
    </row>
    <row r="23">
      <c r="A23" s="1">
        <f>IFERROR(__xludf.DUMMYFUNCTION("""COMPUTED_VALUE"""),45992.0)</f>
        <v>45992</v>
      </c>
      <c r="B23" s="1" t="str">
        <f>IFERROR(__xludf.DUMMYFUNCTION("""COMPUTED_VALUE"""),"HospAlmoa")</f>
        <v>HospAlmoa</v>
      </c>
      <c r="C23" s="1">
        <f>IFERROR(__xludf.DUMMYFUNCTION("""COMPUTED_VALUE"""),5222.0)</f>
        <v>5222</v>
      </c>
      <c r="D23" s="1">
        <f>IFERROR(__xludf.DUMMYFUNCTION("""COMPUTED_VALUE"""),1786.24)</f>
        <v>1786.24</v>
      </c>
      <c r="E23" s="1">
        <f>IFERROR(__xludf.DUMMYFUNCTION("""COMPUTED_VALUE"""),1790.0)</f>
        <v>1790</v>
      </c>
      <c r="F23" s="1"/>
      <c r="G23" s="1"/>
      <c r="H23" s="1">
        <f>IFERROR(__xludf.DUMMYFUNCTION("""COMPUTED_VALUE"""),1786.24)</f>
        <v>1786.24</v>
      </c>
      <c r="I23" s="1">
        <f>IFERROR(__xludf.DUMMYFUNCTION("""COMPUTED_VALUE"""),2.91731843575419)</f>
        <v>2.917318436</v>
      </c>
      <c r="J23" s="1">
        <f>IFERROR(__xludf.DUMMYFUNCTION("""COMPUTED_VALUE"""),39.55801104972376)</f>
        <v>39.55801105</v>
      </c>
      <c r="K23" s="1">
        <f>IFERROR(__xludf.DUMMYFUNCTION("""COMPUTED_VALUE"""),33.04571758402771)</f>
        <v>33.04571758</v>
      </c>
      <c r="L23" s="1">
        <f>IFERROR(__xludf.DUMMYFUNCTION("""COMPUTED_VALUE"""),24.901734004135932)</f>
        <v>24.901734</v>
      </c>
      <c r="M23" s="1">
        <f>IFERROR(__xludf.DUMMYFUNCTION("""COMPUTED_VALUE"""),9.0)</f>
        <v>9</v>
      </c>
      <c r="N23" s="1" t="str">
        <f>IFERROR(__xludf.DUMMYFUNCTION("""COMPUTED_VALUE"""),"🔴 Action Needed")</f>
        <v>🔴 Action Needed</v>
      </c>
      <c r="O23" s="1" t="str">
        <f>IFERROR(__xludf.DUMMYFUNCTION("""COMPUTED_VALUE"""),"Profit issue → pricing/cost/rent")</f>
        <v>Profit issue → pricing/cost/rent</v>
      </c>
    </row>
    <row r="24">
      <c r="A24" s="1">
        <f>IFERROR(__xludf.DUMMYFUNCTION("""COMPUTED_VALUE"""),45992.0)</f>
        <v>45992</v>
      </c>
      <c r="B24" s="1" t="str">
        <f>IFERROR(__xludf.DUMMYFUNCTION("""COMPUTED_VALUE"""),"HTMall")</f>
        <v>HTMall</v>
      </c>
      <c r="C24" s="1">
        <f>IFERROR(__xludf.DUMMYFUNCTION("""COMPUTED_VALUE"""),8128.0)</f>
        <v>8128</v>
      </c>
      <c r="D24" s="1">
        <f>IFERROR(__xludf.DUMMYFUNCTION("""COMPUTED_VALUE"""),3224.52)</f>
        <v>3224.52</v>
      </c>
      <c r="E24" s="1">
        <f>IFERROR(__xludf.DUMMYFUNCTION("""COMPUTED_VALUE"""),2934.0)</f>
        <v>2934</v>
      </c>
      <c r="F24" s="1"/>
      <c r="G24" s="1"/>
      <c r="H24" s="1"/>
      <c r="I24" s="1">
        <f>IFERROR(__xludf.DUMMYFUNCTION("""COMPUTED_VALUE"""),2.7702794819359235)</f>
        <v>2.770279482</v>
      </c>
      <c r="J24" s="1">
        <f>IFERROR(__xludf.DUMMYFUNCTION("""COMPUTED_VALUE"""),64.83977900552486)</f>
        <v>64.83977901</v>
      </c>
      <c r="K24" s="1">
        <f>IFERROR(__xludf.DUMMYFUNCTION("""COMPUTED_VALUE"""),0.0)</f>
        <v>0</v>
      </c>
      <c r="L24" s="1">
        <f>IFERROR(__xludf.DUMMYFUNCTION("""COMPUTED_VALUE"""),40.01197919608928)</f>
        <v>40.0119792</v>
      </c>
      <c r="M24" s="1">
        <f>IFERROR(__xludf.DUMMYFUNCTION("""COMPUTED_VALUE"""),25.0)</f>
        <v>25</v>
      </c>
      <c r="N24" s="1" t="str">
        <f>IFERROR(__xludf.DUMMYFUNCTION("""COMPUTED_VALUE"""),"🟡 Watch")</f>
        <v>🟡 Watch</v>
      </c>
      <c r="O24" s="1" t="str">
        <f>IFERROR(__xludf.DUMMYFUNCTION("""COMPUTED_VALUE"""),"Profit issue → pricing/cost/rent")</f>
        <v>Profit issue → pricing/cost/rent</v>
      </c>
    </row>
    <row r="25">
      <c r="A25" s="1">
        <f>IFERROR(__xludf.DUMMYFUNCTION("""COMPUTED_VALUE"""),45992.0)</f>
        <v>45992</v>
      </c>
      <c r="B25" s="1" t="str">
        <f>IFERROR(__xludf.DUMMYFUNCTION("""COMPUTED_VALUE"""),"SeaCost")</f>
        <v>SeaCost</v>
      </c>
      <c r="C25" s="1">
        <f>IFERROR(__xludf.DUMMYFUNCTION("""COMPUTED_VALUE"""),3591.0)</f>
        <v>3591</v>
      </c>
      <c r="D25" s="1">
        <f>IFERROR(__xludf.DUMMYFUNCTION("""COMPUTED_VALUE"""),1752.2499999999998)</f>
        <v>1752.25</v>
      </c>
      <c r="E25" s="1">
        <f>IFERROR(__xludf.DUMMYFUNCTION("""COMPUTED_VALUE"""),1071.0)</f>
        <v>1071</v>
      </c>
      <c r="F25" s="1">
        <f>IFERROR(__xludf.DUMMYFUNCTION("""COMPUTED_VALUE"""),1000.0)</f>
        <v>1000</v>
      </c>
      <c r="G25" s="1">
        <f>IFERROR(__xludf.DUMMYFUNCTION("""COMPUTED_VALUE"""),1000.0)</f>
        <v>1000</v>
      </c>
      <c r="H25" s="1">
        <f>IFERROR(__xludf.DUMMYFUNCTION("""COMPUTED_VALUE"""),1752.25)</f>
        <v>1752.25</v>
      </c>
      <c r="I25" s="1">
        <f>IFERROR(__xludf.DUMMYFUNCTION("""COMPUTED_VALUE"""),3.3529411764705883)</f>
        <v>3.352941176</v>
      </c>
      <c r="J25" s="1">
        <f>IFERROR(__xludf.DUMMYFUNCTION("""COMPUTED_VALUE"""),23.668508287292816)</f>
        <v>23.66850829</v>
      </c>
      <c r="K25" s="1">
        <f>IFERROR(__xludf.DUMMYFUNCTION("""COMPUTED_VALUE"""),32.41689730193735)</f>
        <v>32.4168973</v>
      </c>
      <c r="L25" s="1">
        <f>IFERROR(__xludf.DUMMYFUNCTION("""COMPUTED_VALUE"""),15.542281442963926)</f>
        <v>15.54228144</v>
      </c>
      <c r="M25" s="1">
        <f>IFERROR(__xludf.DUMMYFUNCTION("""COMPUTED_VALUE"""),10.0)</f>
        <v>10</v>
      </c>
      <c r="N25" s="1" t="str">
        <f>IFERROR(__xludf.DUMMYFUNCTION("""COMPUTED_VALUE"""),"🔴 Action Needed")</f>
        <v>🔴 Action Needed</v>
      </c>
      <c r="O25" s="1" t="str">
        <f>IFERROR(__xludf.DUMMYFUNCTION("""COMPUTED_VALUE"""),"Traffic issue → location/product mix")</f>
        <v>Traffic issue → location/product mix</v>
      </c>
    </row>
    <row r="26">
      <c r="A26" s="1">
        <f>IFERROR(__xludf.DUMMYFUNCTION("""COMPUTED_VALUE"""),45962.0)</f>
        <v>45962</v>
      </c>
      <c r="B26" s="1" t="str">
        <f>IFERROR(__xludf.DUMMYFUNCTION("""COMPUTED_VALUE"""),"DPMall")</f>
        <v>DPMall</v>
      </c>
      <c r="C26" s="1">
        <f>IFERROR(__xludf.DUMMYFUNCTION("""COMPUTED_VALUE"""),3760.0)</f>
        <v>3760</v>
      </c>
      <c r="D26" s="1">
        <f>IFERROR(__xludf.DUMMYFUNCTION("""COMPUTED_VALUE"""),3760.0)</f>
        <v>3760</v>
      </c>
      <c r="E26" s="1">
        <f>IFERROR(__xludf.DUMMYFUNCTION("""COMPUTED_VALUE"""),1383.0)</f>
        <v>1383</v>
      </c>
      <c r="F26" s="1">
        <f>IFERROR(__xludf.DUMMYFUNCTION("""COMPUTED_VALUE"""),1000.0)</f>
        <v>1000</v>
      </c>
      <c r="G26" s="1"/>
      <c r="H26" s="1">
        <f>IFERROR(__xludf.DUMMYFUNCTION("""COMPUTED_VALUE"""),5760.0)</f>
        <v>5760</v>
      </c>
      <c r="I26" s="1">
        <f>IFERROR(__xludf.DUMMYFUNCTION("""COMPUTED_VALUE"""),2.7187274041937814)</f>
        <v>2.718727404</v>
      </c>
      <c r="J26" s="1">
        <f>IFERROR(__xludf.DUMMYFUNCTION("""COMPUTED_VALUE"""),100.0)</f>
        <v>100</v>
      </c>
      <c r="K26" s="1">
        <f>IFERROR(__xludf.DUMMYFUNCTION("""COMPUTED_VALUE"""),100.0)</f>
        <v>100</v>
      </c>
      <c r="L26" s="1">
        <f>IFERROR(__xludf.DUMMYFUNCTION("""COMPUTED_VALUE"""),61.08749096167751)</f>
        <v>61.08749096</v>
      </c>
      <c r="M26" s="1">
        <f>IFERROR(__xludf.DUMMYFUNCTION("""COMPUTED_VALUE"""),1.0)</f>
        <v>1</v>
      </c>
      <c r="N26" s="1" t="str">
        <f>IFERROR(__xludf.DUMMYFUNCTION("""COMPUTED_VALUE"""),"🟢 Strong")</f>
        <v>🟢 Strong</v>
      </c>
      <c r="O26" s="1" t="str">
        <f>IFERROR(__xludf.DUMMYFUNCTION("""COMPUTED_VALUE"""),"OK")</f>
        <v>OK</v>
      </c>
    </row>
    <row r="27">
      <c r="A27" s="1">
        <f>IFERROR(__xludf.DUMMYFUNCTION("""COMPUTED_VALUE"""),45962.0)</f>
        <v>45962</v>
      </c>
      <c r="B27" s="1" t="str">
        <f>IFERROR(__xludf.DUMMYFUNCTION("""COMPUTED_VALUE"""),"HospAlmoa")</f>
        <v>HospAlmoa</v>
      </c>
      <c r="C27" s="1">
        <f>IFERROR(__xludf.DUMMYFUNCTION("""COMPUTED_VALUE"""),4181.0)</f>
        <v>4181</v>
      </c>
      <c r="D27" s="1">
        <f>IFERROR(__xludf.DUMMYFUNCTION("""COMPUTED_VALUE"""),1140.1999999999998)</f>
        <v>1140.2</v>
      </c>
      <c r="E27" s="1">
        <f>IFERROR(__xludf.DUMMYFUNCTION("""COMPUTED_VALUE"""),1476.0)</f>
        <v>1476</v>
      </c>
      <c r="F27" s="1"/>
      <c r="G27" s="1"/>
      <c r="H27" s="1">
        <f>IFERROR(__xludf.DUMMYFUNCTION("""COMPUTED_VALUE"""),1140.1999999999998)</f>
        <v>1140.2</v>
      </c>
      <c r="I27" s="1">
        <f>IFERROR(__xludf.DUMMYFUNCTION("""COMPUTED_VALUE"""),2.8326558265582658)</f>
        <v>2.832655827</v>
      </c>
      <c r="J27" s="1">
        <f>IFERROR(__xludf.DUMMYFUNCTION("""COMPUTED_VALUE"""),32.61878453038674)</f>
        <v>32.61878453</v>
      </c>
      <c r="K27" s="1">
        <f>IFERROR(__xludf.DUMMYFUNCTION("""COMPUTED_VALUE"""),21.093877188568385)</f>
        <v>21.09387719</v>
      </c>
      <c r="L27" s="1">
        <f>IFERROR(__xludf.DUMMYFUNCTION("""COMPUTED_VALUE"""),20.70433304885535)</f>
        <v>20.70433305</v>
      </c>
      <c r="M27" s="1">
        <f>IFERROR(__xludf.DUMMYFUNCTION("""COMPUTED_VALUE"""),18.0)</f>
        <v>18</v>
      </c>
      <c r="N27" s="1" t="str">
        <f>IFERROR(__xludf.DUMMYFUNCTION("""COMPUTED_VALUE"""),"🔴 Action Needed")</f>
        <v>🔴 Action Needed</v>
      </c>
      <c r="O27" s="1" t="str">
        <f>IFERROR(__xludf.DUMMYFUNCTION("""COMPUTED_VALUE"""),"Profit issue → pricing/cost/rent")</f>
        <v>Profit issue → pricing/cost/rent</v>
      </c>
    </row>
    <row r="28">
      <c r="A28" s="1">
        <f>IFERROR(__xludf.DUMMYFUNCTION("""COMPUTED_VALUE"""),45962.0)</f>
        <v>45962</v>
      </c>
      <c r="B28" s="1" t="str">
        <f>IFERROR(__xludf.DUMMYFUNCTION("""COMPUTED_VALUE"""),"HTMall")</f>
        <v>HTMall</v>
      </c>
      <c r="C28" s="1">
        <f>IFERROR(__xludf.DUMMYFUNCTION("""COMPUTED_VALUE"""),5092.0)</f>
        <v>5092</v>
      </c>
      <c r="D28" s="1">
        <f>IFERROR(__xludf.DUMMYFUNCTION("""COMPUTED_VALUE"""),1746.5)</f>
        <v>1746.5</v>
      </c>
      <c r="E28" s="1">
        <f>IFERROR(__xludf.DUMMYFUNCTION("""COMPUTED_VALUE"""),1939.0)</f>
        <v>1939</v>
      </c>
      <c r="F28" s="1">
        <f>IFERROR(__xludf.DUMMYFUNCTION("""COMPUTED_VALUE"""),1000.0)</f>
        <v>1000</v>
      </c>
      <c r="G28" s="1">
        <f>IFERROR(__xludf.DUMMYFUNCTION("""COMPUTED_VALUE"""),350.0)</f>
        <v>350</v>
      </c>
      <c r="H28" s="1"/>
      <c r="I28" s="1">
        <f>IFERROR(__xludf.DUMMYFUNCTION("""COMPUTED_VALUE"""),2.626095925734915)</f>
        <v>2.626095926</v>
      </c>
      <c r="J28" s="1">
        <f>IFERROR(__xludf.DUMMYFUNCTION("""COMPUTED_VALUE"""),42.850828729281766)</f>
        <v>42.85082873</v>
      </c>
      <c r="K28" s="1">
        <f>IFERROR(__xludf.DUMMYFUNCTION("""COMPUTED_VALUE"""),0.0)</f>
        <v>0</v>
      </c>
      <c r="L28" s="1">
        <f>IFERROR(__xludf.DUMMYFUNCTION("""COMPUTED_VALUE"""),26.760935607863026)</f>
        <v>26.76093561</v>
      </c>
      <c r="M28" s="1">
        <f>IFERROR(__xludf.DUMMYFUNCTION("""COMPUTED_VALUE"""),25.0)</f>
        <v>25</v>
      </c>
      <c r="N28" s="1" t="str">
        <f>IFERROR(__xludf.DUMMYFUNCTION("""COMPUTED_VALUE"""),"🔴 Action Needed")</f>
        <v>🔴 Action Needed</v>
      </c>
      <c r="O28" s="1" t="str">
        <f>IFERROR(__xludf.DUMMYFUNCTION("""COMPUTED_VALUE"""),"Profit issue → pricing/cost/rent")</f>
        <v>Profit issue → pricing/cost/rent</v>
      </c>
    </row>
    <row r="29">
      <c r="A29" s="1">
        <f>IFERROR(__xludf.DUMMYFUNCTION("""COMPUTED_VALUE"""),45962.0)</f>
        <v>45962</v>
      </c>
      <c r="B29" s="1" t="str">
        <f>IFERROR(__xludf.DUMMYFUNCTION("""COMPUTED_VALUE"""),"SeaCost")</f>
        <v>SeaCost</v>
      </c>
      <c r="C29" s="1">
        <f>IFERROR(__xludf.DUMMYFUNCTION("""COMPUTED_VALUE"""),3347.0)</f>
        <v>3347</v>
      </c>
      <c r="D29" s="1">
        <f>IFERROR(__xludf.DUMMYFUNCTION("""COMPUTED_VALUE"""),1570.5200000000004)</f>
        <v>1570.52</v>
      </c>
      <c r="E29" s="1">
        <f>IFERROR(__xludf.DUMMYFUNCTION("""COMPUTED_VALUE"""),1355.0)</f>
        <v>1355</v>
      </c>
      <c r="F29" s="1"/>
      <c r="G29" s="1">
        <f>IFERROR(__xludf.DUMMYFUNCTION("""COMPUTED_VALUE"""),1000.0)</f>
        <v>1000</v>
      </c>
      <c r="H29" s="1">
        <f>IFERROR(__xludf.DUMMYFUNCTION("""COMPUTED_VALUE"""),570.5200000000004)</f>
        <v>570.52</v>
      </c>
      <c r="I29" s="1">
        <f>IFERROR(__xludf.DUMMYFUNCTION("""COMPUTED_VALUE"""),2.470110701107011)</f>
        <v>2.470110701</v>
      </c>
      <c r="J29" s="1">
        <f>IFERROR(__xludf.DUMMYFUNCTION("""COMPUTED_VALUE"""),29.944751381215468)</f>
        <v>29.94475138</v>
      </c>
      <c r="K29" s="1">
        <f>IFERROR(__xludf.DUMMYFUNCTION("""COMPUTED_VALUE"""),10.55470865955275)</f>
        <v>10.55470866</v>
      </c>
      <c r="L29" s="1">
        <f>IFERROR(__xludf.DUMMYFUNCTION("""COMPUTED_VALUE"""),18.954895109172085)</f>
        <v>18.95489511</v>
      </c>
      <c r="M29" s="1">
        <f>IFERROR(__xludf.DUMMYFUNCTION("""COMPUTED_VALUE"""),23.0)</f>
        <v>23</v>
      </c>
      <c r="N29" s="1" t="str">
        <f>IFERROR(__xludf.DUMMYFUNCTION("""COMPUTED_VALUE"""),"🔴 Action Needed")</f>
        <v>🔴 Action Needed</v>
      </c>
      <c r="O29" s="1" t="str">
        <f>IFERROR(__xludf.DUMMYFUNCTION("""COMPUTED_VALUE"""),"Profit issue → pricing/cost/rent")</f>
        <v>Profit issue → pricing/cost/rent</v>
      </c>
    </row>
    <row r="30">
      <c r="A30" s="1">
        <f>IFERROR(__xludf.DUMMYFUNCTION("""COMPUTED_VALUE"""),45931.0)</f>
        <v>45931</v>
      </c>
      <c r="B30" s="1" t="str">
        <f>IFERROR(__xludf.DUMMYFUNCTION("""COMPUTED_VALUE"""),"DPMall")</f>
        <v>DPMall</v>
      </c>
      <c r="C30" s="1">
        <f>IFERROR(__xludf.DUMMYFUNCTION("""COMPUTED_VALUE"""),4317.0)</f>
        <v>4317</v>
      </c>
      <c r="D30" s="1">
        <f>IFERROR(__xludf.DUMMYFUNCTION("""COMPUTED_VALUE"""),4317.0)</f>
        <v>4317</v>
      </c>
      <c r="E30" s="1">
        <f>IFERROR(__xludf.DUMMYFUNCTION("""COMPUTED_VALUE"""),1492.0)</f>
        <v>1492</v>
      </c>
      <c r="F30" s="1"/>
      <c r="G30" s="1"/>
      <c r="H30" s="1">
        <f>IFERROR(__xludf.DUMMYFUNCTION("""COMPUTED_VALUE"""),4317.0)</f>
        <v>4317</v>
      </c>
      <c r="I30" s="1">
        <f>IFERROR(__xludf.DUMMYFUNCTION("""COMPUTED_VALUE"""),2.89343163538874)</f>
        <v>2.893431635</v>
      </c>
      <c r="J30" s="1">
        <f>IFERROR(__xludf.DUMMYFUNCTION("""COMPUTED_VALUE"""),100.0)</f>
        <v>100</v>
      </c>
      <c r="K30" s="1">
        <f>IFERROR(__xludf.DUMMYFUNCTION("""COMPUTED_VALUE"""),100.0)</f>
        <v>100</v>
      </c>
      <c r="L30" s="1">
        <f>IFERROR(__xludf.DUMMYFUNCTION("""COMPUTED_VALUE"""),61.157372654155495)</f>
        <v>61.15737265</v>
      </c>
      <c r="M30" s="1">
        <f>IFERROR(__xludf.DUMMYFUNCTION("""COMPUTED_VALUE"""),1.0)</f>
        <v>1</v>
      </c>
      <c r="N30" s="1" t="str">
        <f>IFERROR(__xludf.DUMMYFUNCTION("""COMPUTED_VALUE"""),"🟢 Strong")</f>
        <v>🟢 Strong</v>
      </c>
      <c r="O30" s="1" t="str">
        <f>IFERROR(__xludf.DUMMYFUNCTION("""COMPUTED_VALUE"""),"OK")</f>
        <v>OK</v>
      </c>
    </row>
    <row r="31">
      <c r="A31" s="1">
        <f>IFERROR(__xludf.DUMMYFUNCTION("""COMPUTED_VALUE"""),45931.0)</f>
        <v>45931</v>
      </c>
      <c r="B31" s="1" t="str">
        <f>IFERROR(__xludf.DUMMYFUNCTION("""COMPUTED_VALUE"""),"HospAlmoa")</f>
        <v>HospAlmoa</v>
      </c>
      <c r="C31" s="1">
        <f>IFERROR(__xludf.DUMMYFUNCTION("""COMPUTED_VALUE"""),5119.0)</f>
        <v>5119</v>
      </c>
      <c r="D31" s="1">
        <f>IFERROR(__xludf.DUMMYFUNCTION("""COMPUTED_VALUE"""),1407.5400000000002)</f>
        <v>1407.54</v>
      </c>
      <c r="E31" s="1">
        <f>IFERROR(__xludf.DUMMYFUNCTION("""COMPUTED_VALUE"""),1628.0)</f>
        <v>1628</v>
      </c>
      <c r="F31" s="1"/>
      <c r="G31" s="1">
        <f>IFERROR(__xludf.DUMMYFUNCTION("""COMPUTED_VALUE"""),350.0)</f>
        <v>350</v>
      </c>
      <c r="H31" s="1">
        <f>IFERROR(__xludf.DUMMYFUNCTION("""COMPUTED_VALUE"""),1057.5400000000002)</f>
        <v>1057.54</v>
      </c>
      <c r="I31" s="1">
        <f>IFERROR(__xludf.DUMMYFUNCTION("""COMPUTED_VALUE"""),3.1443488943488944)</f>
        <v>3.144348894</v>
      </c>
      <c r="J31" s="1">
        <f>IFERROR(__xludf.DUMMYFUNCTION("""COMPUTED_VALUE"""),35.97790055248619)</f>
        <v>35.97790055</v>
      </c>
      <c r="K31" s="1">
        <f>IFERROR(__xludf.DUMMYFUNCTION("""COMPUTED_VALUE"""),19.56465434309649)</f>
        <v>19.56465434</v>
      </c>
      <c r="L31" s="1">
        <f>IFERROR(__xludf.DUMMYFUNCTION("""COMPUTED_VALUE"""),22.844479889231273)</f>
        <v>22.84447989</v>
      </c>
      <c r="M31" s="1">
        <f>IFERROR(__xludf.DUMMYFUNCTION("""COMPUTED_VALUE"""),19.0)</f>
        <v>19</v>
      </c>
      <c r="N31" s="1" t="str">
        <f>IFERROR(__xludf.DUMMYFUNCTION("""COMPUTED_VALUE"""),"🔴 Action Needed")</f>
        <v>🔴 Action Needed</v>
      </c>
      <c r="O31" s="1" t="str">
        <f>IFERROR(__xludf.DUMMYFUNCTION("""COMPUTED_VALUE"""),"Profit issue → pricing/cost/rent")</f>
        <v>Profit issue → pricing/cost/rent</v>
      </c>
    </row>
    <row r="32">
      <c r="A32" s="1">
        <f>IFERROR(__xludf.DUMMYFUNCTION("""COMPUTED_VALUE"""),45931.0)</f>
        <v>45931</v>
      </c>
      <c r="B32" s="1" t="str">
        <f>IFERROR(__xludf.DUMMYFUNCTION("""COMPUTED_VALUE"""),"HTMall")</f>
        <v>HTMall</v>
      </c>
      <c r="C32" s="1">
        <f>IFERROR(__xludf.DUMMYFUNCTION("""COMPUTED_VALUE"""),6910.0)</f>
        <v>6910</v>
      </c>
      <c r="D32" s="1">
        <f>IFERROR(__xludf.DUMMYFUNCTION("""COMPUTED_VALUE"""),2572.79)</f>
        <v>2572.79</v>
      </c>
      <c r="E32" s="1">
        <f>IFERROR(__xludf.DUMMYFUNCTION("""COMPUTED_VALUE"""),2663.0)</f>
        <v>2663</v>
      </c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A33" s="1">
        <f>IFERROR(__xludf.DUMMYFUNCTION("""COMPUTED_VALUE"""),45931.0)</f>
        <v>45931</v>
      </c>
      <c r="B33" s="1" t="str">
        <f>IFERROR(__xludf.DUMMYFUNCTION("""COMPUTED_VALUE"""),"SeaCost")</f>
        <v>SeaCost</v>
      </c>
      <c r="C33" s="1">
        <f>IFERROR(__xludf.DUMMYFUNCTION("""COMPUTED_VALUE"""),3861.0)</f>
        <v>3861</v>
      </c>
      <c r="D33" s="1">
        <f>IFERROR(__xludf.DUMMYFUNCTION("""COMPUTED_VALUE"""),1704.18)</f>
        <v>1704.18</v>
      </c>
      <c r="E33" s="1">
        <f>IFERROR(__xludf.DUMMYFUNCTION("""COMPUTED_VALUE"""),1447.0)</f>
        <v>1447</v>
      </c>
      <c r="F33" s="1">
        <f>IFERROR(__xludf.DUMMYFUNCTION("""COMPUTED_VALUE"""),1000.0)</f>
        <v>1000</v>
      </c>
      <c r="G33" s="1">
        <f>IFERROR(__xludf.DUMMYFUNCTION("""COMPUTED_VALUE"""),1000.0)</f>
        <v>1000</v>
      </c>
      <c r="H33" s="1">
        <f>IFERROR(__xludf.DUMMYFUNCTION("""COMPUTED_VALUE"""),1704.1800000000003)</f>
        <v>1704.18</v>
      </c>
      <c r="I33" s="1">
        <f>IFERROR(__xludf.DUMMYFUNCTION("""COMPUTED_VALUE"""),2.668279198341396)</f>
        <v>2.668279198</v>
      </c>
      <c r="J33" s="1">
        <f>IFERROR(__xludf.DUMMYFUNCTION("""COMPUTED_VALUE"""),31.977900552486187)</f>
        <v>31.97790055</v>
      </c>
      <c r="K33" s="1">
        <f>IFERROR(__xludf.DUMMYFUNCTION("""COMPUTED_VALUE"""),31.5275948317966)</f>
        <v>31.52759483</v>
      </c>
      <c r="L33" s="1">
        <f>IFERROR(__xludf.DUMMYFUNCTION("""COMPUTED_VALUE"""),20.25405201082827)</f>
        <v>20.25405201</v>
      </c>
      <c r="M33" s="1">
        <f>IFERROR(__xludf.DUMMYFUNCTION("""COMPUTED_VALUE"""),11.0)</f>
        <v>11</v>
      </c>
      <c r="N33" s="1" t="str">
        <f>IFERROR(__xludf.DUMMYFUNCTION("""COMPUTED_VALUE"""),"🔴 Action Needed")</f>
        <v>🔴 Action Needed</v>
      </c>
      <c r="O33" s="1" t="str">
        <f>IFERROR(__xludf.DUMMYFUNCTION("""COMPUTED_VALUE"""),"Profit issue → pricing/cost/rent")</f>
        <v>Profit issue → pricing/cost/rent</v>
      </c>
    </row>
    <row r="34">
      <c r="A34" s="1">
        <f>IFERROR(__xludf.DUMMYFUNCTION("""COMPUTED_VALUE"""),45901.0)</f>
        <v>45901</v>
      </c>
      <c r="B34" s="1" t="str">
        <f>IFERROR(__xludf.DUMMYFUNCTION("""COMPUTED_VALUE"""),"DPMall")</f>
        <v>DPMall</v>
      </c>
      <c r="C34" s="1">
        <f>IFERROR(__xludf.DUMMYFUNCTION("""COMPUTED_VALUE"""),3707.0)</f>
        <v>3707</v>
      </c>
      <c r="D34" s="1">
        <f>IFERROR(__xludf.DUMMYFUNCTION("""COMPUTED_VALUE"""),3707.0)</f>
        <v>3707</v>
      </c>
      <c r="E34" s="1">
        <f>IFERROR(__xludf.DUMMYFUNCTION("""COMPUTED_VALUE"""),1474.0)</f>
        <v>1474</v>
      </c>
      <c r="F34" s="1"/>
      <c r="G34" s="1">
        <f>IFERROR(__xludf.DUMMYFUNCTION("""COMPUTED_VALUE"""),150.0)</f>
        <v>150</v>
      </c>
      <c r="H34" s="1">
        <f>IFERROR(__xludf.DUMMYFUNCTION("""COMPUTED_VALUE"""),3557.0)</f>
        <v>3557</v>
      </c>
      <c r="I34" s="1">
        <f>IFERROR(__xludf.DUMMYFUNCTION("""COMPUTED_VALUE"""),2.514925373134328)</f>
        <v>2.514925373</v>
      </c>
      <c r="J34" s="1">
        <f>IFERROR(__xludf.DUMMYFUNCTION("""COMPUTED_VALUE"""),32.574585635359114)</f>
        <v>32.57458564</v>
      </c>
      <c r="K34" s="1">
        <f>IFERROR(__xludf.DUMMYFUNCTION("""COMPUTED_VALUE"""),65.80505276244322)</f>
        <v>65.80505276</v>
      </c>
      <c r="L34" s="1">
        <f>IFERROR(__xludf.DUMMYFUNCTION("""COMPUTED_VALUE"""),20.550721530469197)</f>
        <v>20.55072153</v>
      </c>
      <c r="M34" s="1">
        <f>IFERROR(__xludf.DUMMYFUNCTION("""COMPUTED_VALUE"""),6.0)</f>
        <v>6</v>
      </c>
      <c r="N34" s="1" t="str">
        <f>IFERROR(__xludf.DUMMYFUNCTION("""COMPUTED_VALUE"""),"🔴 Action Needed")</f>
        <v>🔴 Action Needed</v>
      </c>
      <c r="O34" s="1" t="str">
        <f>IFERROR(__xludf.DUMMYFUNCTION("""COMPUTED_VALUE"""),"Traffic issue → location/product mix")</f>
        <v>Traffic issue → location/product mix</v>
      </c>
    </row>
    <row r="35">
      <c r="A35" s="1">
        <f>IFERROR(__xludf.DUMMYFUNCTION("""COMPUTED_VALUE"""),45901.0)</f>
        <v>45901</v>
      </c>
      <c r="B35" s="1" t="str">
        <f>IFERROR(__xludf.DUMMYFUNCTION("""COMPUTED_VALUE"""),"HospAlmoa")</f>
        <v>HospAlmoa</v>
      </c>
      <c r="C35" s="1">
        <f>IFERROR(__xludf.DUMMYFUNCTION("""COMPUTED_VALUE"""),4319.0)</f>
        <v>4319</v>
      </c>
      <c r="D35" s="1">
        <f>IFERROR(__xludf.DUMMYFUNCTION("""COMPUTED_VALUE"""),1375.7899999999997)</f>
        <v>1375.79</v>
      </c>
      <c r="E35" s="1">
        <f>IFERROR(__xludf.DUMMYFUNCTION("""COMPUTED_VALUE"""),1361.0)</f>
        <v>1361</v>
      </c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A36" s="1">
        <f>IFERROR(__xludf.DUMMYFUNCTION("""COMPUTED_VALUE"""),45901.0)</f>
        <v>45901</v>
      </c>
      <c r="B36" s="1" t="str">
        <f>IFERROR(__xludf.DUMMYFUNCTION("""COMPUTED_VALUE"""),"HTMall")</f>
        <v>HTMall</v>
      </c>
      <c r="C36" s="1">
        <f>IFERROR(__xludf.DUMMYFUNCTION("""COMPUTED_VALUE"""),6216.0)</f>
        <v>6216</v>
      </c>
      <c r="D36" s="1">
        <f>IFERROR(__xludf.DUMMYFUNCTION("""COMPUTED_VALUE"""),2154.8099999999995)</f>
        <v>2154.81</v>
      </c>
      <c r="E36" s="1">
        <f>IFERROR(__xludf.DUMMYFUNCTION("""COMPUTED_VALUE"""),2734.0)</f>
        <v>2734</v>
      </c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A37" s="1">
        <f>IFERROR(__xludf.DUMMYFUNCTION("""COMPUTED_VALUE"""),45901.0)</f>
        <v>45901</v>
      </c>
      <c r="B37" s="1" t="str">
        <f>IFERROR(__xludf.DUMMYFUNCTION("""COMPUTED_VALUE"""),"SeaCost")</f>
        <v>SeaCost</v>
      </c>
      <c r="C37" s="1">
        <f>IFERROR(__xludf.DUMMYFUNCTION("""COMPUTED_VALUE"""),200.0)</f>
        <v>200</v>
      </c>
      <c r="D37" s="1">
        <f>IFERROR(__xludf.DUMMYFUNCTION("""COMPUTED_VALUE"""),90.63)</f>
        <v>90.63</v>
      </c>
      <c r="E37" s="1">
        <f>IFERROR(__xludf.DUMMYFUNCTION("""COMPUTED_VALUE"""),67.0)</f>
        <v>67</v>
      </c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A38" s="1">
        <f>IFERROR(__xludf.DUMMYFUNCTION("""COMPUTED_VALUE"""),45870.0)</f>
        <v>45870</v>
      </c>
      <c r="B38" s="1" t="str">
        <f>IFERROR(__xludf.DUMMYFUNCTION("""COMPUTED_VALUE"""),"DPMall")</f>
        <v>DPMall</v>
      </c>
      <c r="C38" s="1">
        <f>IFERROR(__xludf.DUMMYFUNCTION("""COMPUTED_VALUE"""),5823.0)</f>
        <v>5823</v>
      </c>
      <c r="D38" s="1">
        <f>IFERROR(__xludf.DUMMYFUNCTION("""COMPUTED_VALUE"""),5823.0)</f>
        <v>5823</v>
      </c>
      <c r="E38" s="1">
        <f>IFERROR(__xludf.DUMMYFUNCTION("""COMPUTED_VALUE"""),2346.0)</f>
        <v>2346</v>
      </c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A39" s="1">
        <f>IFERROR(__xludf.DUMMYFUNCTION("""COMPUTED_VALUE"""),45870.0)</f>
        <v>45870</v>
      </c>
      <c r="B39" s="1" t="str">
        <f>IFERROR(__xludf.DUMMYFUNCTION("""COMPUTED_VALUE"""),"HospAlmoa")</f>
        <v>HospAlmoa</v>
      </c>
      <c r="C39" s="1">
        <f>IFERROR(__xludf.DUMMYFUNCTION("""COMPUTED_VALUE"""),5788.0)</f>
        <v>5788</v>
      </c>
      <c r="D39" s="1">
        <f>IFERROR(__xludf.DUMMYFUNCTION("""COMPUTED_VALUE"""),1606.0300000000002)</f>
        <v>1606.03</v>
      </c>
      <c r="E39" s="1">
        <f>IFERROR(__xludf.DUMMYFUNCTION("""COMPUTED_VALUE"""),1863.0)</f>
        <v>1863</v>
      </c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A40" s="1">
        <f>IFERROR(__xludf.DUMMYFUNCTION("""COMPUTED_VALUE"""),45870.0)</f>
        <v>45870</v>
      </c>
      <c r="B40" s="1" t="str">
        <f>IFERROR(__xludf.DUMMYFUNCTION("""COMPUTED_VALUE"""),"HTMall")</f>
        <v>HTMall</v>
      </c>
      <c r="C40" s="1">
        <f>IFERROR(__xludf.DUMMYFUNCTION("""COMPUTED_VALUE"""),8356.0)</f>
        <v>8356</v>
      </c>
      <c r="D40" s="1">
        <f>IFERROR(__xludf.DUMMYFUNCTION("""COMPUTED_VALUE"""),3081.56)</f>
        <v>3081.56</v>
      </c>
      <c r="E40" s="1">
        <f>IFERROR(__xludf.DUMMYFUNCTION("""COMPUTED_VALUE"""),3721.0)</f>
        <v>3721</v>
      </c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A41" s="1">
        <f>IFERROR(__xludf.DUMMYFUNCTION("""COMPUTED_VALUE"""),45839.0)</f>
        <v>45839</v>
      </c>
      <c r="B41" s="1" t="str">
        <f>IFERROR(__xludf.DUMMYFUNCTION("""COMPUTED_VALUE"""),"DPMall")</f>
        <v>DPMall</v>
      </c>
      <c r="C41" s="1">
        <f>IFERROR(__xludf.DUMMYFUNCTION("""COMPUTED_VALUE"""),6918.0)</f>
        <v>6918</v>
      </c>
      <c r="D41" s="1">
        <f>IFERROR(__xludf.DUMMYFUNCTION("""COMPUTED_VALUE"""),6918.0)</f>
        <v>6918</v>
      </c>
      <c r="E41" s="1">
        <f>IFERROR(__xludf.DUMMYFUNCTION("""COMPUTED_VALUE"""),2540.0)</f>
        <v>2540</v>
      </c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A42" s="1">
        <f>IFERROR(__xludf.DUMMYFUNCTION("""COMPUTED_VALUE"""),45839.0)</f>
        <v>45839</v>
      </c>
      <c r="B42" s="1" t="str">
        <f>IFERROR(__xludf.DUMMYFUNCTION("""COMPUTED_VALUE"""),"HospAlmoa")</f>
        <v>HospAlmoa</v>
      </c>
      <c r="C42" s="1">
        <f>IFERROR(__xludf.DUMMYFUNCTION("""COMPUTED_VALUE"""),2474.0)</f>
        <v>2474</v>
      </c>
      <c r="D42" s="1">
        <f>IFERROR(__xludf.DUMMYFUNCTION("""COMPUTED_VALUE"""),584.3799999999999)</f>
        <v>584.38</v>
      </c>
      <c r="E42" s="1">
        <f>IFERROR(__xludf.DUMMYFUNCTION("""COMPUTED_VALUE"""),800.0)</f>
        <v>800</v>
      </c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A43" s="1">
        <f>IFERROR(__xludf.DUMMYFUNCTION("""COMPUTED_VALUE"""),45839.0)</f>
        <v>45839</v>
      </c>
      <c r="B43" s="1" t="str">
        <f>IFERROR(__xludf.DUMMYFUNCTION("""COMPUTED_VALUE"""),"HTMall")</f>
        <v>HTMall</v>
      </c>
      <c r="C43" s="1">
        <f>IFERROR(__xludf.DUMMYFUNCTION("""COMPUTED_VALUE"""),8155.0)</f>
        <v>8155</v>
      </c>
      <c r="D43" s="1">
        <f>IFERROR(__xludf.DUMMYFUNCTION("""COMPUTED_VALUE"""),2598.8299999999995)</f>
        <v>2598.83</v>
      </c>
      <c r="E43" s="1">
        <f>IFERROR(__xludf.DUMMYFUNCTION("""COMPUTED_VALUE"""),3282.0)</f>
        <v>3282</v>
      </c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A44" s="1">
        <f>IFERROR(__xludf.DUMMYFUNCTION("""COMPUTED_VALUE"""),45809.0)</f>
        <v>45809</v>
      </c>
      <c r="B44" s="1" t="str">
        <f>IFERROR(__xludf.DUMMYFUNCTION("""COMPUTED_VALUE"""),"DPMall")</f>
        <v>DPMall</v>
      </c>
      <c r="C44" s="1">
        <f>IFERROR(__xludf.DUMMYFUNCTION("""COMPUTED_VALUE"""),6388.0)</f>
        <v>6388</v>
      </c>
      <c r="D44" s="1">
        <f>IFERROR(__xludf.DUMMYFUNCTION("""COMPUTED_VALUE"""),6388.0)</f>
        <v>6388</v>
      </c>
      <c r="E44" s="1">
        <f>IFERROR(__xludf.DUMMYFUNCTION("""COMPUTED_VALUE"""),2244.0)</f>
        <v>2244</v>
      </c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A45" s="1">
        <f>IFERROR(__xludf.DUMMYFUNCTION("""COMPUTED_VALUE"""),45809.0)</f>
        <v>45809</v>
      </c>
      <c r="B45" s="1" t="str">
        <f>IFERROR(__xludf.DUMMYFUNCTION("""COMPUTED_VALUE"""),"HTMall")</f>
        <v>HTMall</v>
      </c>
      <c r="C45" s="1">
        <f>IFERROR(__xludf.DUMMYFUNCTION("""COMPUTED_VALUE"""),10866.0)</f>
        <v>10866</v>
      </c>
      <c r="D45" s="1">
        <f>IFERROR(__xludf.DUMMYFUNCTION("""COMPUTED_VALUE"""),3503.22)</f>
        <v>3503.22</v>
      </c>
      <c r="E45" s="1">
        <f>IFERROR(__xludf.DUMMYFUNCTION("""COMPUTED_VALUE"""),4051.0)</f>
        <v>4051</v>
      </c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A46" s="1">
        <f>IFERROR(__xludf.DUMMYFUNCTION("""COMPUTED_VALUE"""),45778.0)</f>
        <v>45778</v>
      </c>
      <c r="B46" s="1" t="str">
        <f>IFERROR(__xludf.DUMMYFUNCTION("""COMPUTED_VALUE"""),"DPMall")</f>
        <v>DPMall</v>
      </c>
      <c r="C46" s="1">
        <f>IFERROR(__xludf.DUMMYFUNCTION("""COMPUTED_VALUE"""),7047.0)</f>
        <v>7047</v>
      </c>
      <c r="D46" s="1">
        <f>IFERROR(__xludf.DUMMYFUNCTION("""COMPUTED_VALUE"""),7047.0)</f>
        <v>7047</v>
      </c>
      <c r="E46" s="1">
        <f>IFERROR(__xludf.DUMMYFUNCTION("""COMPUTED_VALUE"""),2414.0)</f>
        <v>2414</v>
      </c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A47" s="1">
        <f>IFERROR(__xludf.DUMMYFUNCTION("""COMPUTED_VALUE"""),45748.0)</f>
        <v>45748</v>
      </c>
      <c r="B47" s="1" t="str">
        <f>IFERROR(__xludf.DUMMYFUNCTION("""COMPUTED_VALUE"""),"DPMall")</f>
        <v>DPMall</v>
      </c>
      <c r="C47" s="1">
        <f>IFERROR(__xludf.DUMMYFUNCTION("""COMPUTED_VALUE"""),14204.0)</f>
        <v>14204</v>
      </c>
      <c r="D47" s="1">
        <f>IFERROR(__xludf.DUMMYFUNCTION("""COMPUTED_VALUE"""),14204.0)</f>
        <v>14204</v>
      </c>
      <c r="E47" s="1">
        <f>IFERROR(__xludf.DUMMYFUNCTION("""COMPUTED_VALUE"""),4833.0)</f>
        <v>4833</v>
      </c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1">
        <f>IFERROR(__xludf.DUMMYFUNCTION("""COMPUTED_VALUE"""),45717.0)</f>
        <v>45717</v>
      </c>
      <c r="B48" s="1" t="str">
        <f>IFERROR(__xludf.DUMMYFUNCTION("""COMPUTED_VALUE"""),"DPMall")</f>
        <v>DPMall</v>
      </c>
      <c r="C48" s="1">
        <f>IFERROR(__xludf.DUMMYFUNCTION("""COMPUTED_VALUE"""),8859.0)</f>
        <v>8859</v>
      </c>
      <c r="D48" s="1">
        <f>IFERROR(__xludf.DUMMYFUNCTION("""COMPUTED_VALUE"""),8859.0)</f>
        <v>8859</v>
      </c>
      <c r="E48" s="1">
        <f>IFERROR(__xludf.DUMMYFUNCTION("""COMPUTED_VALUE"""),3365.0)</f>
        <v>3365</v>
      </c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1">
        <f>IFERROR(__xludf.DUMMYFUNCTION("""COMPUTED_VALUE"""),45689.0)</f>
        <v>45689</v>
      </c>
      <c r="B49" s="1" t="str">
        <f>IFERROR(__xludf.DUMMYFUNCTION("""COMPUTED_VALUE"""),"DPMall")</f>
        <v>DPMall</v>
      </c>
      <c r="C49" s="1">
        <f>IFERROR(__xludf.DUMMYFUNCTION("""COMPUTED_VALUE"""),7384.0)</f>
        <v>7384</v>
      </c>
      <c r="D49" s="1">
        <f>IFERROR(__xludf.DUMMYFUNCTION("""COMPUTED_VALUE"""),7384.0)</f>
        <v>7384</v>
      </c>
      <c r="E49" s="1">
        <f>IFERROR(__xludf.DUMMYFUNCTION("""COMPUTED_VALUE"""),2768.0)</f>
        <v>2768</v>
      </c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A50" s="1">
        <f>IFERROR(__xludf.DUMMYFUNCTION("""COMPUTED_VALUE"""),45658.0)</f>
        <v>45658</v>
      </c>
      <c r="B50" s="1" t="str">
        <f>IFERROR(__xludf.DUMMYFUNCTION("""COMPUTED_VALUE"""),"DPMall")</f>
        <v>DPMall</v>
      </c>
      <c r="C50" s="1">
        <f>IFERROR(__xludf.DUMMYFUNCTION("""COMPUTED_VALUE"""),7700.0)</f>
        <v>7700</v>
      </c>
      <c r="D50" s="1">
        <f>IFERROR(__xludf.DUMMYFUNCTION("""COMPUTED_VALUE"""),7700.0)</f>
        <v>7700</v>
      </c>
      <c r="E50" s="1">
        <f>IFERROR(__xludf.DUMMYFUNCTION("""COMPUTED_VALUE"""),3096.0)</f>
        <v>3096</v>
      </c>
      <c r="F50" s="1"/>
      <c r="G50" s="1"/>
      <c r="H50" s="1"/>
      <c r="I50" s="1"/>
      <c r="J50" s="1"/>
      <c r="K50" s="1"/>
      <c r="L50" s="1"/>
      <c r="M50" s="1"/>
      <c r="N50" s="1"/>
      <c r="O50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332</v>
      </c>
      <c r="B1" s="2" t="s">
        <v>333</v>
      </c>
      <c r="C1" s="40" t="s">
        <v>334</v>
      </c>
      <c r="D1" s="2" t="s">
        <v>335</v>
      </c>
      <c r="E1" s="2" t="s">
        <v>336</v>
      </c>
      <c r="F1" s="2" t="s">
        <v>337</v>
      </c>
      <c r="G1" s="2" t="s">
        <v>338</v>
      </c>
      <c r="H1" s="2" t="s">
        <v>339</v>
      </c>
    </row>
    <row r="2">
      <c r="A2" s="1" t="str">
        <f>IFERROR(__xludf.DUMMYFUNCTION("FILTER(Machines!A2:B1000, Machines!A2:A1000&lt;&gt;"""")
"),"HospAlmoa")</f>
        <v>HospAlmoa</v>
      </c>
      <c r="B2" s="1">
        <f>IFERROR(__xludf.DUMMYFUNCTION("""COMPUTED_VALUE"""),2.411000046E9)</f>
        <v>2411000046</v>
      </c>
      <c r="C2" s="36">
        <f>IFERROR(__xludf.DUMMYFUNCTION("IFERROR(
MAX(
FILTER(
IFERROR(VALUE(MachineRefills_Raw!B:B), ),
TRIM(TO_TEXT(MachineRefills_Raw!C:C)) = TRIM(TO_TEXT($B2)),
MachineRefills_Raw!B:B &lt;&gt; """"
)
),
)
"),46153.01060185185)</f>
        <v>46153.0106</v>
      </c>
      <c r="D2" s="41">
        <f t="shared" ref="D2:D6" si="1">IF(C2="","",TODAY()-INT(C2))
</f>
        <v>0</v>
      </c>
      <c r="E2" s="1">
        <f>IFERROR(__xludf.DUMMYFUNCTION("IFERROR(
INDEX(
  SORT(
    FILTER(
      {LS_Machine_Month!$A$2:$A1000, LS_Machine_Month!$E$2:$E1000},
      LS_Machine_Month!$B$2:$B1000 = $A2,
      LS_Machine_Month!$E$2:$E1000 &lt;&gt; """"
    ),
    1, FALSE
  ),
  1, 2
),
0
)
"),1387.0)</f>
        <v>1387</v>
      </c>
      <c r="F2" s="1">
        <f t="shared" ref="F2:F6" si="2">IFERROR(E2/30,0)
</f>
        <v>46.23333333</v>
      </c>
      <c r="G2" s="1">
        <f t="shared" ref="G2:G6" si="3">IFS(
F2&gt;=60, 3,
F2&gt;=40, 4,
F2&gt;=25, 6,
F2&gt;=15, 9,
F2&gt;=8,  14,
TRUE,   21
)
</f>
        <v>4</v>
      </c>
      <c r="H2" s="1" t="str">
        <f t="shared" ref="H2:H6" si="4">IFS(
D2="", "⚪ No refill log",
D2&gt;=G2, "🔴 Refill NOW",
D2&gt;=G2*0.75, "🟡 Refill Soon",
TRUE, "🟢 OK"
)
</f>
        <v>🟢 OK</v>
      </c>
    </row>
    <row r="3">
      <c r="A3" s="1" t="str">
        <f>IFERROR(__xludf.DUMMYFUNCTION("""COMPUTED_VALUE"""),"HTMall")</f>
        <v>HTMall</v>
      </c>
      <c r="B3" s="1">
        <f>IFERROR(__xludf.DUMMYFUNCTION("""COMPUTED_VALUE"""),2.503000216E9)</f>
        <v>2503000216</v>
      </c>
      <c r="C3" s="36">
        <f>IFERROR(__xludf.DUMMYFUNCTION("IFERROR(
MAX(
FILTER(
IFERROR(VALUE(MachineRefills_Raw!B:B), ),
TRIM(TO_TEXT(MachineRefills_Raw!C:C)) = TRIM(TO_TEXT($B3)),
MachineRefills_Raw!B:B &lt;&gt; """"
)
),
)
"),46150.657175925924)</f>
        <v>46150.65718</v>
      </c>
      <c r="D3" s="41">
        <f t="shared" si="1"/>
        <v>3</v>
      </c>
      <c r="E3" s="1">
        <f>IFERROR(__xludf.DUMMYFUNCTION("IFERROR(
INDEX(
  SORT(
    FILTER(
      {LS_Machine_Month!$A$2:$A1000, LS_Machine_Month!$E$2:$E1000},
      LS_Machine_Month!$B$2:$B1000 = $A3,
      LS_Machine_Month!$E$2:$E1000 &lt;&gt; """"
    ),
    1, FALSE
  ),
  1, 2
),
0
)
"),4525.0)</f>
        <v>4525</v>
      </c>
      <c r="F3" s="1">
        <f t="shared" si="2"/>
        <v>150.8333333</v>
      </c>
      <c r="G3" s="1">
        <f t="shared" si="3"/>
        <v>3</v>
      </c>
      <c r="H3" s="1" t="str">
        <f t="shared" si="4"/>
        <v>🔴 Refill NOW</v>
      </c>
      <c r="I3" s="2"/>
    </row>
    <row r="4">
      <c r="A4" s="1" t="str">
        <f>IFERROR(__xludf.DUMMYFUNCTION("""COMPUTED_VALUE"""),"SeaCost")</f>
        <v>SeaCost</v>
      </c>
      <c r="B4" s="1">
        <f>IFERROR(__xludf.DUMMYFUNCTION("""COMPUTED_VALUE"""),2.503000217E9)</f>
        <v>2503000217</v>
      </c>
      <c r="C4" s="36">
        <f>IFERROR(__xludf.DUMMYFUNCTION("IFERROR(
MAX(
FILTER(
IFERROR(VALUE(MachineRefills_Raw!B:B), ),
TRIM(TO_TEXT(MachineRefills_Raw!C:C)) = TRIM(TO_TEXT($B4)),
MachineRefills_Raw!B:B &lt;&gt; """"
)
),
)
"),46069.0072337963)</f>
        <v>46069.00723</v>
      </c>
      <c r="D4" s="41">
        <f t="shared" si="1"/>
        <v>84</v>
      </c>
      <c r="E4" s="1">
        <f>IFERROR(__xludf.DUMMYFUNCTION("IFERROR(
INDEX(
  SORT(
    FILTER(
      {LS_Machine_Month!$A$2:$A1000, LS_Machine_Month!$E$2:$E1000},
      LS_Machine_Month!$B$2:$B1000 = $A4,
      LS_Machine_Month!$E$2:$E1000 &lt;&gt; """"
    ),
    1, FALSE
  ),
  1, 2
),
0
)
"),1095.0)</f>
        <v>1095</v>
      </c>
      <c r="F4" s="1">
        <f t="shared" si="2"/>
        <v>36.5</v>
      </c>
      <c r="G4" s="1">
        <f t="shared" si="3"/>
        <v>6</v>
      </c>
      <c r="H4" s="1" t="str">
        <f t="shared" si="4"/>
        <v>🔴 Refill NOW</v>
      </c>
      <c r="I4" s="2"/>
    </row>
    <row r="5">
      <c r="A5" s="1" t="str">
        <f>IFERROR(__xludf.DUMMYFUNCTION("""COMPUTED_VALUE"""),"DPMall")</f>
        <v>DPMall</v>
      </c>
      <c r="B5" s="1">
        <f>IFERROR(__xludf.DUMMYFUNCTION("""COMPUTED_VALUE"""),2.404120076E9)</f>
        <v>2404120076</v>
      </c>
      <c r="C5" s="36">
        <f>IFERROR(__xludf.DUMMYFUNCTION("IFERROR(
MAX(
FILTER(
IFERROR(VALUE(MachineRefills_Raw!B:B), ),
TRIM(TO_TEXT(MachineRefills_Raw!C:C)) = TRIM(TO_TEXT($B5)),
MachineRefills_Raw!B:B &lt;&gt; """"
)
),
)
"),46109.574421296296)</f>
        <v>46109.57442</v>
      </c>
      <c r="D5" s="41">
        <f t="shared" si="1"/>
        <v>44</v>
      </c>
      <c r="E5" s="1">
        <f>IFERROR(__xludf.DUMMYFUNCTION("IFERROR(
INDEX(
  SORT(
    FILTER(
      {LS_Machine_Month!$A$2:$A1000, LS_Machine_Month!$E$2:$E1000},
      LS_Machine_Month!$B$2:$B1000 = $A5,
      LS_Machine_Month!$E$2:$E1000 &lt;&gt; """"
    ),
    1, FALSE
  ),
  1, 2
),
0
)
"),2370.0)</f>
        <v>2370</v>
      </c>
      <c r="F5" s="1">
        <f t="shared" si="2"/>
        <v>79</v>
      </c>
      <c r="G5" s="1">
        <f t="shared" si="3"/>
        <v>3</v>
      </c>
      <c r="H5" s="1" t="str">
        <f t="shared" si="4"/>
        <v>🔴 Refill NOW</v>
      </c>
    </row>
    <row r="6">
      <c r="A6" s="1" t="str">
        <f>IFERROR(__xludf.DUMMYFUNCTION("""COMPUTED_VALUE"""),"Istiklal")</f>
        <v>Istiklal</v>
      </c>
      <c r="B6" s="1">
        <f>IFERROR(__xludf.DUMMYFUNCTION("""COMPUTED_VALUE"""),2.509000369E9)</f>
        <v>2509000369</v>
      </c>
      <c r="C6" s="36">
        <f>IFERROR(__xludf.DUMMYFUNCTION("IFERROR(
MAX(
FILTER(
IFERROR(VALUE(MachineRefills_Raw!B:B), ),
TRIM(TO_TEXT(MachineRefills_Raw!C:C)) = TRIM(TO_TEXT($B6)),
MachineRefills_Raw!B:B &lt;&gt; """"
)
),
)
"),46152.900300925925)</f>
        <v>46152.9003</v>
      </c>
      <c r="D6" s="41">
        <f t="shared" si="1"/>
        <v>1</v>
      </c>
      <c r="E6" s="1">
        <f>IFERROR(__xludf.DUMMYFUNCTION("IFERROR(
INDEX(
  SORT(
    FILTER(
      {LS_Machine_Month!$A$2:$A1000, LS_Machine_Month!$E$2:$E1000},
      LS_Machine_Month!$B$2:$B1000 = $A6,
      LS_Machine_Month!$E$2:$E1000 &lt;&gt; """"
    ),
    1, FALSE
  ),
  1, 2
),
0
)
"),1339.0)</f>
        <v>1339</v>
      </c>
      <c r="F6" s="1">
        <f t="shared" si="2"/>
        <v>44.63333333</v>
      </c>
      <c r="G6" s="1">
        <f t="shared" si="3"/>
        <v>4</v>
      </c>
      <c r="H6" s="1" t="str">
        <f t="shared" si="4"/>
        <v>🟢 OK</v>
      </c>
    </row>
    <row r="7">
      <c r="C7" s="36"/>
    </row>
    <row r="8">
      <c r="C8" s="36"/>
    </row>
    <row r="9">
      <c r="C9" s="36"/>
    </row>
    <row r="10">
      <c r="C10" s="36"/>
    </row>
    <row r="11">
      <c r="C11" s="36"/>
    </row>
    <row r="12">
      <c r="C12" s="36"/>
    </row>
    <row r="13">
      <c r="C13" s="36"/>
    </row>
    <row r="14">
      <c r="C14" s="36"/>
    </row>
    <row r="15">
      <c r="C15" s="36"/>
    </row>
    <row r="16">
      <c r="C16" s="36"/>
    </row>
    <row r="17">
      <c r="C17" s="36"/>
    </row>
    <row r="18">
      <c r="C18" s="36"/>
    </row>
    <row r="19">
      <c r="C19" s="36"/>
    </row>
    <row r="20">
      <c r="C20" s="36"/>
    </row>
    <row r="21">
      <c r="C21" s="36"/>
    </row>
    <row r="22">
      <c r="C22" s="36"/>
    </row>
    <row r="23">
      <c r="C23" s="36"/>
    </row>
    <row r="24">
      <c r="C24" s="36"/>
    </row>
    <row r="25">
      <c r="C25" s="36"/>
    </row>
    <row r="26">
      <c r="C26" s="36"/>
    </row>
    <row r="27">
      <c r="C27" s="36"/>
    </row>
    <row r="28">
      <c r="C28" s="36"/>
    </row>
    <row r="29">
      <c r="C29" s="36"/>
    </row>
    <row r="30">
      <c r="C30" s="36"/>
    </row>
    <row r="31">
      <c r="C31" s="36"/>
    </row>
    <row r="32">
      <c r="C32" s="36"/>
    </row>
    <row r="33">
      <c r="C33" s="36"/>
    </row>
    <row r="34">
      <c r="C34" s="36"/>
    </row>
    <row r="35">
      <c r="C35" s="36"/>
    </row>
    <row r="36">
      <c r="C36" s="36"/>
    </row>
    <row r="37">
      <c r="C37" s="36"/>
    </row>
    <row r="38">
      <c r="C38" s="36"/>
    </row>
    <row r="39">
      <c r="C39" s="36"/>
    </row>
    <row r="40">
      <c r="C40" s="36"/>
    </row>
    <row r="41">
      <c r="C41" s="36"/>
    </row>
    <row r="42">
      <c r="C42" s="36"/>
    </row>
    <row r="43">
      <c r="C43" s="36"/>
    </row>
    <row r="44">
      <c r="C44" s="36"/>
    </row>
    <row r="45">
      <c r="C45" s="36"/>
    </row>
    <row r="46">
      <c r="C46" s="36"/>
    </row>
    <row r="47">
      <c r="C47" s="36"/>
    </row>
    <row r="48">
      <c r="C48" s="36"/>
    </row>
    <row r="49">
      <c r="C49" s="36"/>
    </row>
    <row r="50">
      <c r="C50" s="36"/>
    </row>
    <row r="51">
      <c r="C51" s="36"/>
    </row>
    <row r="52">
      <c r="C52" s="36"/>
    </row>
    <row r="53">
      <c r="C53" s="36"/>
    </row>
    <row r="54">
      <c r="C54" s="36"/>
    </row>
    <row r="55">
      <c r="C55" s="36"/>
    </row>
    <row r="56">
      <c r="C56" s="36"/>
    </row>
    <row r="57">
      <c r="C57" s="36"/>
    </row>
    <row r="58">
      <c r="C58" s="36"/>
    </row>
    <row r="59">
      <c r="C59" s="36"/>
    </row>
    <row r="60">
      <c r="C60" s="36"/>
    </row>
    <row r="61">
      <c r="C61" s="36"/>
    </row>
    <row r="62">
      <c r="C62" s="36"/>
    </row>
    <row r="63">
      <c r="C63" s="36"/>
    </row>
    <row r="64">
      <c r="C64" s="36"/>
    </row>
    <row r="65">
      <c r="C65" s="36"/>
    </row>
    <row r="66">
      <c r="C66" s="36"/>
    </row>
    <row r="67">
      <c r="C67" s="36"/>
    </row>
    <row r="68">
      <c r="C68" s="36"/>
    </row>
    <row r="69">
      <c r="C69" s="36"/>
    </row>
    <row r="70">
      <c r="C70" s="36"/>
    </row>
    <row r="71">
      <c r="C71" s="36"/>
    </row>
    <row r="72">
      <c r="C72" s="36"/>
    </row>
    <row r="73">
      <c r="C73" s="36"/>
    </row>
    <row r="74">
      <c r="C74" s="36"/>
    </row>
    <row r="75">
      <c r="C75" s="36"/>
    </row>
    <row r="76">
      <c r="C76" s="36"/>
    </row>
    <row r="77">
      <c r="C77" s="36"/>
    </row>
    <row r="78">
      <c r="C78" s="36"/>
    </row>
    <row r="79">
      <c r="C79" s="36"/>
    </row>
    <row r="80">
      <c r="C80" s="36"/>
    </row>
    <row r="81">
      <c r="C81" s="36"/>
    </row>
    <row r="82">
      <c r="C82" s="36"/>
    </row>
    <row r="83">
      <c r="C83" s="36"/>
    </row>
    <row r="84">
      <c r="C84" s="36"/>
    </row>
    <row r="85">
      <c r="C85" s="36"/>
    </row>
    <row r="86">
      <c r="C86" s="36"/>
    </row>
    <row r="87">
      <c r="C87" s="36"/>
    </row>
    <row r="88">
      <c r="C88" s="36"/>
    </row>
    <row r="89">
      <c r="C89" s="36"/>
    </row>
    <row r="90">
      <c r="C90" s="36"/>
    </row>
    <row r="91">
      <c r="C91" s="36"/>
    </row>
    <row r="92">
      <c r="C92" s="36"/>
    </row>
    <row r="93">
      <c r="C93" s="36"/>
    </row>
    <row r="94">
      <c r="C94" s="36"/>
    </row>
    <row r="95">
      <c r="C95" s="36"/>
    </row>
    <row r="96">
      <c r="C96" s="36"/>
    </row>
    <row r="97">
      <c r="C97" s="36"/>
    </row>
    <row r="98">
      <c r="C98" s="36"/>
    </row>
    <row r="99">
      <c r="C99" s="36"/>
    </row>
    <row r="100">
      <c r="C100" s="36"/>
    </row>
    <row r="101">
      <c r="C101" s="36"/>
    </row>
    <row r="102">
      <c r="C102" s="36"/>
    </row>
    <row r="103">
      <c r="C103" s="36"/>
    </row>
    <row r="104">
      <c r="C104" s="36"/>
    </row>
    <row r="105">
      <c r="C105" s="36"/>
    </row>
    <row r="106">
      <c r="C106" s="36"/>
    </row>
    <row r="107">
      <c r="C107" s="36"/>
    </row>
    <row r="108">
      <c r="C108" s="36"/>
    </row>
    <row r="109">
      <c r="C109" s="36"/>
    </row>
    <row r="110">
      <c r="C110" s="36"/>
    </row>
    <row r="111">
      <c r="C111" s="36"/>
    </row>
    <row r="112">
      <c r="C112" s="36"/>
    </row>
    <row r="113">
      <c r="C113" s="36"/>
    </row>
    <row r="114">
      <c r="C114" s="36"/>
    </row>
    <row r="115">
      <c r="C115" s="36"/>
    </row>
    <row r="116">
      <c r="C116" s="36"/>
    </row>
    <row r="117">
      <c r="C117" s="36"/>
    </row>
    <row r="118">
      <c r="C118" s="36"/>
    </row>
    <row r="119">
      <c r="C119" s="36"/>
    </row>
    <row r="120">
      <c r="C120" s="36"/>
    </row>
    <row r="121">
      <c r="C121" s="36"/>
    </row>
    <row r="122">
      <c r="C122" s="36"/>
    </row>
    <row r="123">
      <c r="C123" s="36"/>
    </row>
    <row r="124">
      <c r="C124" s="36"/>
    </row>
    <row r="125">
      <c r="C125" s="36"/>
    </row>
    <row r="126">
      <c r="C126" s="36"/>
    </row>
    <row r="127">
      <c r="C127" s="36"/>
    </row>
    <row r="128">
      <c r="C128" s="36"/>
    </row>
    <row r="129">
      <c r="C129" s="36"/>
    </row>
    <row r="130">
      <c r="C130" s="36"/>
    </row>
    <row r="131">
      <c r="C131" s="36"/>
    </row>
    <row r="132">
      <c r="C132" s="36"/>
    </row>
    <row r="133">
      <c r="C133" s="36"/>
    </row>
    <row r="134">
      <c r="C134" s="36"/>
    </row>
    <row r="135">
      <c r="C135" s="36"/>
    </row>
    <row r="136">
      <c r="C136" s="36"/>
    </row>
    <row r="137">
      <c r="C137" s="36"/>
    </row>
    <row r="138">
      <c r="C138" s="36"/>
    </row>
    <row r="139">
      <c r="C139" s="36"/>
    </row>
    <row r="140">
      <c r="C140" s="36"/>
    </row>
    <row r="141">
      <c r="C141" s="36"/>
    </row>
    <row r="142">
      <c r="C142" s="36"/>
    </row>
    <row r="143">
      <c r="C143" s="36"/>
    </row>
    <row r="144">
      <c r="C144" s="36"/>
    </row>
    <row r="145">
      <c r="C145" s="36"/>
    </row>
    <row r="146">
      <c r="C146" s="36"/>
    </row>
    <row r="147">
      <c r="C147" s="36"/>
    </row>
    <row r="148">
      <c r="C148" s="36"/>
    </row>
    <row r="149">
      <c r="C149" s="36"/>
    </row>
    <row r="150">
      <c r="C150" s="36"/>
    </row>
    <row r="151">
      <c r="C151" s="36"/>
    </row>
    <row r="152">
      <c r="C152" s="36"/>
    </row>
    <row r="153">
      <c r="C153" s="36"/>
    </row>
    <row r="154">
      <c r="C154" s="36"/>
    </row>
    <row r="155">
      <c r="C155" s="36"/>
    </row>
    <row r="156">
      <c r="C156" s="36"/>
    </row>
    <row r="157">
      <c r="C157" s="36"/>
    </row>
    <row r="158">
      <c r="C158" s="36"/>
    </row>
    <row r="159">
      <c r="C159" s="36"/>
    </row>
    <row r="160">
      <c r="C160" s="36"/>
    </row>
    <row r="161">
      <c r="C161" s="36"/>
    </row>
    <row r="162">
      <c r="C162" s="36"/>
    </row>
    <row r="163">
      <c r="C163" s="36"/>
    </row>
    <row r="164">
      <c r="C164" s="36"/>
    </row>
    <row r="165">
      <c r="C165" s="36"/>
    </row>
    <row r="166">
      <c r="C166" s="36"/>
    </row>
    <row r="167">
      <c r="C167" s="36"/>
    </row>
    <row r="168">
      <c r="C168" s="36"/>
    </row>
    <row r="169">
      <c r="C169" s="36"/>
    </row>
    <row r="170">
      <c r="C170" s="36"/>
    </row>
    <row r="171">
      <c r="C171" s="36"/>
    </row>
    <row r="172">
      <c r="C172" s="36"/>
    </row>
    <row r="173">
      <c r="C173" s="36"/>
    </row>
    <row r="174">
      <c r="C174" s="36"/>
    </row>
    <row r="175">
      <c r="C175" s="36"/>
    </row>
    <row r="176">
      <c r="C176" s="36"/>
    </row>
    <row r="177">
      <c r="C177" s="36"/>
    </row>
    <row r="178">
      <c r="C178" s="36"/>
    </row>
    <row r="179">
      <c r="C179" s="36"/>
    </row>
    <row r="180">
      <c r="C180" s="36"/>
    </row>
    <row r="181">
      <c r="C181" s="36"/>
    </row>
    <row r="182">
      <c r="C182" s="36"/>
    </row>
    <row r="183">
      <c r="C183" s="36"/>
    </row>
    <row r="184">
      <c r="C184" s="36"/>
    </row>
    <row r="185">
      <c r="C185" s="36"/>
    </row>
    <row r="186">
      <c r="C186" s="36"/>
    </row>
    <row r="187">
      <c r="C187" s="36"/>
    </row>
    <row r="188">
      <c r="C188" s="36"/>
    </row>
    <row r="189">
      <c r="C189" s="36"/>
    </row>
    <row r="190">
      <c r="C190" s="36"/>
    </row>
    <row r="191">
      <c r="C191" s="36"/>
    </row>
    <row r="192">
      <c r="C192" s="36"/>
    </row>
    <row r="193">
      <c r="C193" s="36"/>
    </row>
    <row r="194">
      <c r="C194" s="36"/>
    </row>
    <row r="195">
      <c r="C195" s="36"/>
    </row>
    <row r="196">
      <c r="C196" s="36"/>
    </row>
    <row r="197">
      <c r="C197" s="36"/>
    </row>
    <row r="198">
      <c r="C198" s="36"/>
    </row>
    <row r="199">
      <c r="C199" s="36"/>
    </row>
    <row r="200">
      <c r="C200" s="36"/>
    </row>
    <row r="201">
      <c r="C201" s="36"/>
    </row>
    <row r="202">
      <c r="C202" s="36"/>
    </row>
    <row r="203">
      <c r="C203" s="36"/>
    </row>
    <row r="204">
      <c r="C204" s="36"/>
    </row>
    <row r="205">
      <c r="C205" s="36"/>
    </row>
    <row r="206">
      <c r="C206" s="36"/>
    </row>
    <row r="207">
      <c r="C207" s="36"/>
    </row>
    <row r="208">
      <c r="C208" s="36"/>
    </row>
    <row r="209">
      <c r="C209" s="36"/>
    </row>
    <row r="210">
      <c r="C210" s="36"/>
    </row>
    <row r="211">
      <c r="C211" s="36"/>
    </row>
    <row r="212">
      <c r="C212" s="36"/>
    </row>
    <row r="213">
      <c r="C213" s="36"/>
    </row>
    <row r="214">
      <c r="C214" s="36"/>
    </row>
    <row r="215">
      <c r="C215" s="36"/>
    </row>
    <row r="216">
      <c r="C216" s="36"/>
    </row>
    <row r="217">
      <c r="C217" s="36"/>
    </row>
    <row r="218">
      <c r="C218" s="36"/>
    </row>
    <row r="219">
      <c r="C219" s="36"/>
    </row>
    <row r="220">
      <c r="C220" s="36"/>
    </row>
    <row r="221">
      <c r="C221" s="36"/>
    </row>
    <row r="222">
      <c r="C222" s="36"/>
    </row>
    <row r="223">
      <c r="C223" s="36"/>
    </row>
    <row r="224">
      <c r="C224" s="36"/>
    </row>
    <row r="225">
      <c r="C225" s="36"/>
    </row>
    <row r="226">
      <c r="C226" s="36"/>
    </row>
    <row r="227">
      <c r="C227" s="36"/>
    </row>
    <row r="228">
      <c r="C228" s="36"/>
    </row>
    <row r="229">
      <c r="C229" s="36"/>
    </row>
    <row r="230">
      <c r="C230" s="36"/>
    </row>
    <row r="231">
      <c r="C231" s="36"/>
    </row>
    <row r="232">
      <c r="C232" s="36"/>
    </row>
    <row r="233">
      <c r="C233" s="36"/>
    </row>
    <row r="234">
      <c r="C234" s="36"/>
    </row>
    <row r="235">
      <c r="C235" s="36"/>
    </row>
    <row r="236">
      <c r="C236" s="36"/>
    </row>
    <row r="237">
      <c r="C237" s="36"/>
    </row>
    <row r="238">
      <c r="C238" s="36"/>
    </row>
    <row r="239">
      <c r="C239" s="36"/>
    </row>
    <row r="240">
      <c r="C240" s="36"/>
    </row>
    <row r="241">
      <c r="C241" s="36"/>
    </row>
    <row r="242">
      <c r="C242" s="36"/>
    </row>
    <row r="243">
      <c r="C243" s="36"/>
    </row>
    <row r="244">
      <c r="C244" s="36"/>
    </row>
    <row r="245">
      <c r="C245" s="36"/>
    </row>
    <row r="246">
      <c r="C246" s="36"/>
    </row>
    <row r="247">
      <c r="C247" s="36"/>
    </row>
    <row r="248">
      <c r="C248" s="36"/>
    </row>
    <row r="249">
      <c r="C249" s="36"/>
    </row>
    <row r="250">
      <c r="C250" s="36"/>
    </row>
    <row r="251">
      <c r="C251" s="36"/>
    </row>
    <row r="252">
      <c r="C252" s="36"/>
    </row>
    <row r="253">
      <c r="C253" s="36"/>
    </row>
    <row r="254">
      <c r="C254" s="36"/>
    </row>
    <row r="255">
      <c r="C255" s="36"/>
    </row>
    <row r="256">
      <c r="C256" s="36"/>
    </row>
    <row r="257">
      <c r="C257" s="36"/>
    </row>
    <row r="258">
      <c r="C258" s="36"/>
    </row>
    <row r="259">
      <c r="C259" s="36"/>
    </row>
    <row r="260">
      <c r="C260" s="36"/>
    </row>
    <row r="261">
      <c r="C261" s="36"/>
    </row>
    <row r="262">
      <c r="C262" s="36"/>
    </row>
    <row r="263">
      <c r="C263" s="36"/>
    </row>
    <row r="264">
      <c r="C264" s="36"/>
    </row>
    <row r="265">
      <c r="C265" s="36"/>
    </row>
    <row r="266">
      <c r="C266" s="36"/>
    </row>
    <row r="267">
      <c r="C267" s="36"/>
    </row>
    <row r="268">
      <c r="C268" s="36"/>
    </row>
    <row r="269">
      <c r="C269" s="36"/>
    </row>
    <row r="270">
      <c r="C270" s="36"/>
    </row>
    <row r="271">
      <c r="C271" s="36"/>
    </row>
    <row r="272">
      <c r="C272" s="36"/>
    </row>
    <row r="273">
      <c r="C273" s="36"/>
    </row>
    <row r="274">
      <c r="C274" s="36"/>
    </row>
    <row r="275">
      <c r="C275" s="36"/>
    </row>
    <row r="276">
      <c r="C276" s="36"/>
    </row>
    <row r="277">
      <c r="C277" s="36"/>
    </row>
    <row r="278">
      <c r="C278" s="36"/>
    </row>
    <row r="279">
      <c r="C279" s="36"/>
    </row>
    <row r="280">
      <c r="C280" s="36"/>
    </row>
    <row r="281">
      <c r="C281" s="36"/>
    </row>
    <row r="282">
      <c r="C282" s="36"/>
    </row>
    <row r="283">
      <c r="C283" s="36"/>
    </row>
    <row r="284">
      <c r="C284" s="36"/>
    </row>
    <row r="285">
      <c r="C285" s="36"/>
    </row>
    <row r="286">
      <c r="C286" s="36"/>
    </row>
    <row r="287">
      <c r="C287" s="36"/>
    </row>
    <row r="288">
      <c r="C288" s="36"/>
    </row>
    <row r="289">
      <c r="C289" s="36"/>
    </row>
    <row r="290">
      <c r="C290" s="36"/>
    </row>
    <row r="291">
      <c r="C291" s="36"/>
    </row>
    <row r="292">
      <c r="C292" s="36"/>
    </row>
    <row r="293">
      <c r="C293" s="36"/>
    </row>
    <row r="294">
      <c r="C294" s="36"/>
    </row>
    <row r="295">
      <c r="C295" s="36"/>
    </row>
    <row r="296">
      <c r="C296" s="36"/>
    </row>
    <row r="297">
      <c r="C297" s="36"/>
    </row>
    <row r="298">
      <c r="C298" s="36"/>
    </row>
    <row r="299">
      <c r="C299" s="36"/>
    </row>
    <row r="300">
      <c r="C300" s="36"/>
    </row>
    <row r="301">
      <c r="C301" s="36"/>
    </row>
    <row r="302">
      <c r="C302" s="36"/>
    </row>
    <row r="303">
      <c r="C303" s="36"/>
    </row>
    <row r="304">
      <c r="C304" s="36"/>
    </row>
    <row r="305">
      <c r="C305" s="36"/>
    </row>
    <row r="306">
      <c r="C306" s="36"/>
    </row>
    <row r="307">
      <c r="C307" s="36"/>
    </row>
    <row r="308">
      <c r="C308" s="36"/>
    </row>
    <row r="309">
      <c r="C309" s="36"/>
    </row>
    <row r="310">
      <c r="C310" s="36"/>
    </row>
    <row r="311">
      <c r="C311" s="36"/>
    </row>
    <row r="312">
      <c r="C312" s="36"/>
    </row>
    <row r="313">
      <c r="C313" s="36"/>
    </row>
    <row r="314">
      <c r="C314" s="36"/>
    </row>
    <row r="315">
      <c r="C315" s="36"/>
    </row>
    <row r="316">
      <c r="C316" s="36"/>
    </row>
    <row r="317">
      <c r="C317" s="36"/>
    </row>
    <row r="318">
      <c r="C318" s="36"/>
    </row>
    <row r="319">
      <c r="C319" s="36"/>
    </row>
    <row r="320">
      <c r="C320" s="36"/>
    </row>
    <row r="321">
      <c r="C321" s="36"/>
    </row>
    <row r="322">
      <c r="C322" s="36"/>
    </row>
    <row r="323">
      <c r="C323" s="36"/>
    </row>
    <row r="324">
      <c r="C324" s="36"/>
    </row>
    <row r="325">
      <c r="C325" s="36"/>
    </row>
    <row r="326">
      <c r="C326" s="36"/>
    </row>
    <row r="327">
      <c r="C327" s="36"/>
    </row>
    <row r="328">
      <c r="C328" s="36"/>
    </row>
    <row r="329">
      <c r="C329" s="36"/>
    </row>
    <row r="330">
      <c r="C330" s="36"/>
    </row>
    <row r="331">
      <c r="C331" s="36"/>
    </row>
    <row r="332">
      <c r="C332" s="36"/>
    </row>
    <row r="333">
      <c r="C333" s="36"/>
    </row>
    <row r="334">
      <c r="C334" s="36"/>
    </row>
    <row r="335">
      <c r="C335" s="36"/>
    </row>
    <row r="336">
      <c r="C336" s="36"/>
    </row>
    <row r="337">
      <c r="C337" s="36"/>
    </row>
    <row r="338">
      <c r="C338" s="36"/>
    </row>
    <row r="339">
      <c r="C339" s="36"/>
    </row>
    <row r="340">
      <c r="C340" s="36"/>
    </row>
    <row r="341">
      <c r="C341" s="36"/>
    </row>
    <row r="342">
      <c r="C342" s="36"/>
    </row>
    <row r="343">
      <c r="C343" s="36"/>
    </row>
    <row r="344">
      <c r="C344" s="36"/>
    </row>
    <row r="345">
      <c r="C345" s="36"/>
    </row>
    <row r="346">
      <c r="C346" s="36"/>
    </row>
    <row r="347">
      <c r="C347" s="36"/>
    </row>
    <row r="348">
      <c r="C348" s="36"/>
    </row>
    <row r="349">
      <c r="C349" s="36"/>
    </row>
    <row r="350">
      <c r="C350" s="36"/>
    </row>
    <row r="351">
      <c r="C351" s="36"/>
    </row>
    <row r="352">
      <c r="C352" s="36"/>
    </row>
    <row r="353">
      <c r="C353" s="36"/>
    </row>
    <row r="354">
      <c r="C354" s="36"/>
    </row>
    <row r="355">
      <c r="C355" s="36"/>
    </row>
    <row r="356">
      <c r="C356" s="36"/>
    </row>
    <row r="357">
      <c r="C357" s="36"/>
    </row>
    <row r="358">
      <c r="C358" s="36"/>
    </row>
    <row r="359">
      <c r="C359" s="36"/>
    </row>
    <row r="360">
      <c r="C360" s="36"/>
    </row>
    <row r="361">
      <c r="C361" s="36"/>
    </row>
    <row r="362">
      <c r="C362" s="36"/>
    </row>
    <row r="363">
      <c r="C363" s="36"/>
    </row>
    <row r="364">
      <c r="C364" s="36"/>
    </row>
    <row r="365">
      <c r="C365" s="36"/>
    </row>
    <row r="366">
      <c r="C366" s="36"/>
    </row>
    <row r="367">
      <c r="C367" s="36"/>
    </row>
    <row r="368">
      <c r="C368" s="36"/>
    </row>
    <row r="369">
      <c r="C369" s="36"/>
    </row>
    <row r="370">
      <c r="C370" s="36"/>
    </row>
    <row r="371">
      <c r="C371" s="36"/>
    </row>
    <row r="372">
      <c r="C372" s="36"/>
    </row>
    <row r="373">
      <c r="C373" s="36"/>
    </row>
    <row r="374">
      <c r="C374" s="36"/>
    </row>
    <row r="375">
      <c r="C375" s="36"/>
    </row>
    <row r="376">
      <c r="C376" s="36"/>
    </row>
    <row r="377">
      <c r="C377" s="36"/>
    </row>
    <row r="378">
      <c r="C378" s="36"/>
    </row>
    <row r="379">
      <c r="C379" s="36"/>
    </row>
    <row r="380">
      <c r="C380" s="36"/>
    </row>
    <row r="381">
      <c r="C381" s="36"/>
    </row>
    <row r="382">
      <c r="C382" s="36"/>
    </row>
    <row r="383">
      <c r="C383" s="36"/>
    </row>
    <row r="384">
      <c r="C384" s="36"/>
    </row>
    <row r="385">
      <c r="C385" s="36"/>
    </row>
    <row r="386">
      <c r="C386" s="36"/>
    </row>
    <row r="387">
      <c r="C387" s="36"/>
    </row>
    <row r="388">
      <c r="C388" s="36"/>
    </row>
    <row r="389">
      <c r="C389" s="36"/>
    </row>
    <row r="390">
      <c r="C390" s="36"/>
    </row>
    <row r="391">
      <c r="C391" s="36"/>
    </row>
    <row r="392">
      <c r="C392" s="36"/>
    </row>
    <row r="393">
      <c r="C393" s="36"/>
    </row>
    <row r="394">
      <c r="C394" s="36"/>
    </row>
    <row r="395">
      <c r="C395" s="36"/>
    </row>
    <row r="396">
      <c r="C396" s="36"/>
    </row>
    <row r="397">
      <c r="C397" s="36"/>
    </row>
    <row r="398">
      <c r="C398" s="36"/>
    </row>
    <row r="399">
      <c r="C399" s="36"/>
    </row>
    <row r="400">
      <c r="C400" s="36"/>
    </row>
    <row r="401">
      <c r="C401" s="36"/>
    </row>
    <row r="402">
      <c r="C402" s="36"/>
    </row>
    <row r="403">
      <c r="C403" s="36"/>
    </row>
    <row r="404">
      <c r="C404" s="36"/>
    </row>
    <row r="405">
      <c r="C405" s="36"/>
    </row>
    <row r="406">
      <c r="C406" s="36"/>
    </row>
    <row r="407">
      <c r="C407" s="36"/>
    </row>
    <row r="408">
      <c r="C408" s="36"/>
    </row>
    <row r="409">
      <c r="C409" s="36"/>
    </row>
    <row r="410">
      <c r="C410" s="36"/>
    </row>
    <row r="411">
      <c r="C411" s="36"/>
    </row>
    <row r="412">
      <c r="C412" s="36"/>
    </row>
    <row r="413">
      <c r="C413" s="36"/>
    </row>
    <row r="414">
      <c r="C414" s="36"/>
    </row>
    <row r="415">
      <c r="C415" s="36"/>
    </row>
    <row r="416">
      <c r="C416" s="36"/>
    </row>
    <row r="417">
      <c r="C417" s="36"/>
    </row>
    <row r="418">
      <c r="C418" s="36"/>
    </row>
    <row r="419">
      <c r="C419" s="36"/>
    </row>
    <row r="420">
      <c r="C420" s="36"/>
    </row>
    <row r="421">
      <c r="C421" s="36"/>
    </row>
    <row r="422">
      <c r="C422" s="36"/>
    </row>
    <row r="423">
      <c r="C423" s="36"/>
    </row>
    <row r="424">
      <c r="C424" s="36"/>
    </row>
    <row r="425">
      <c r="C425" s="36"/>
    </row>
    <row r="426">
      <c r="C426" s="36"/>
    </row>
    <row r="427">
      <c r="C427" s="36"/>
    </row>
    <row r="428">
      <c r="C428" s="36"/>
    </row>
    <row r="429">
      <c r="C429" s="36"/>
    </row>
    <row r="430">
      <c r="C430" s="36"/>
    </row>
    <row r="431">
      <c r="C431" s="36"/>
    </row>
    <row r="432">
      <c r="C432" s="36"/>
    </row>
    <row r="433">
      <c r="C433" s="36"/>
    </row>
    <row r="434">
      <c r="C434" s="36"/>
    </row>
    <row r="435">
      <c r="C435" s="36"/>
    </row>
    <row r="436">
      <c r="C436" s="36"/>
    </row>
    <row r="437">
      <c r="C437" s="36"/>
    </row>
    <row r="438">
      <c r="C438" s="36"/>
    </row>
    <row r="439">
      <c r="C439" s="36"/>
    </row>
    <row r="440">
      <c r="C440" s="36"/>
    </row>
    <row r="441">
      <c r="C441" s="36"/>
    </row>
    <row r="442">
      <c r="C442" s="36"/>
    </row>
    <row r="443">
      <c r="C443" s="36"/>
    </row>
    <row r="444">
      <c r="C444" s="36"/>
    </row>
    <row r="445">
      <c r="C445" s="36"/>
    </row>
    <row r="446">
      <c r="C446" s="36"/>
    </row>
    <row r="447">
      <c r="C447" s="36"/>
    </row>
    <row r="448">
      <c r="C448" s="36"/>
    </row>
    <row r="449">
      <c r="C449" s="36"/>
    </row>
    <row r="450">
      <c r="C450" s="36"/>
    </row>
    <row r="451">
      <c r="C451" s="36"/>
    </row>
    <row r="452">
      <c r="C452" s="36"/>
    </row>
    <row r="453">
      <c r="C453" s="36"/>
    </row>
    <row r="454">
      <c r="C454" s="36"/>
    </row>
    <row r="455">
      <c r="C455" s="36"/>
    </row>
    <row r="456">
      <c r="C456" s="36"/>
    </row>
    <row r="457">
      <c r="C457" s="36"/>
    </row>
    <row r="458">
      <c r="C458" s="36"/>
    </row>
    <row r="459">
      <c r="C459" s="36"/>
    </row>
    <row r="460">
      <c r="C460" s="36"/>
    </row>
    <row r="461">
      <c r="C461" s="36"/>
    </row>
    <row r="462">
      <c r="C462" s="36"/>
    </row>
    <row r="463">
      <c r="C463" s="36"/>
    </row>
    <row r="464">
      <c r="C464" s="36"/>
    </row>
    <row r="465">
      <c r="C465" s="36"/>
    </row>
    <row r="466">
      <c r="C466" s="36"/>
    </row>
    <row r="467">
      <c r="C467" s="36"/>
    </row>
    <row r="468">
      <c r="C468" s="36"/>
    </row>
    <row r="469">
      <c r="C469" s="36"/>
    </row>
    <row r="470">
      <c r="C470" s="36"/>
    </row>
    <row r="471">
      <c r="C471" s="36"/>
    </row>
    <row r="472">
      <c r="C472" s="36"/>
    </row>
    <row r="473">
      <c r="C473" s="36"/>
    </row>
    <row r="474">
      <c r="C474" s="36"/>
    </row>
    <row r="475">
      <c r="C475" s="36"/>
    </row>
    <row r="476">
      <c r="C476" s="36"/>
    </row>
    <row r="477">
      <c r="C477" s="36"/>
    </row>
    <row r="478">
      <c r="C478" s="36"/>
    </row>
    <row r="479">
      <c r="C479" s="36"/>
    </row>
    <row r="480">
      <c r="C480" s="36"/>
    </row>
    <row r="481">
      <c r="C481" s="36"/>
    </row>
    <row r="482">
      <c r="C482" s="36"/>
    </row>
    <row r="483">
      <c r="C483" s="36"/>
    </row>
    <row r="484">
      <c r="C484" s="36"/>
    </row>
    <row r="485">
      <c r="C485" s="36"/>
    </row>
    <row r="486">
      <c r="C486" s="36"/>
    </row>
    <row r="487">
      <c r="C487" s="36"/>
    </row>
    <row r="488">
      <c r="C488" s="36"/>
    </row>
    <row r="489">
      <c r="C489" s="36"/>
    </row>
    <row r="490">
      <c r="C490" s="36"/>
    </row>
    <row r="491">
      <c r="C491" s="36"/>
    </row>
    <row r="492">
      <c r="C492" s="36"/>
    </row>
    <row r="493">
      <c r="C493" s="36"/>
    </row>
    <row r="494">
      <c r="C494" s="36"/>
    </row>
    <row r="495">
      <c r="C495" s="36"/>
    </row>
    <row r="496">
      <c r="C496" s="36"/>
    </row>
    <row r="497">
      <c r="C497" s="36"/>
    </row>
    <row r="498">
      <c r="C498" s="36"/>
    </row>
    <row r="499">
      <c r="C499" s="36"/>
    </row>
    <row r="500">
      <c r="C500" s="36"/>
    </row>
    <row r="501">
      <c r="C501" s="36"/>
    </row>
    <row r="502">
      <c r="C502" s="36"/>
    </row>
    <row r="503">
      <c r="C503" s="36"/>
    </row>
    <row r="504">
      <c r="C504" s="36"/>
    </row>
    <row r="505">
      <c r="C505" s="36"/>
    </row>
    <row r="506">
      <c r="C506" s="36"/>
    </row>
    <row r="507">
      <c r="C507" s="36"/>
    </row>
    <row r="508">
      <c r="C508" s="36"/>
    </row>
    <row r="509">
      <c r="C509" s="36"/>
    </row>
    <row r="510">
      <c r="C510" s="36"/>
    </row>
    <row r="511">
      <c r="C511" s="36"/>
    </row>
    <row r="512">
      <c r="C512" s="36"/>
    </row>
    <row r="513">
      <c r="C513" s="36"/>
    </row>
    <row r="514">
      <c r="C514" s="36"/>
    </row>
    <row r="515">
      <c r="C515" s="36"/>
    </row>
    <row r="516">
      <c r="C516" s="36"/>
    </row>
    <row r="517">
      <c r="C517" s="36"/>
    </row>
    <row r="518">
      <c r="C518" s="36"/>
    </row>
    <row r="519">
      <c r="C519" s="36"/>
    </row>
    <row r="520">
      <c r="C520" s="36"/>
    </row>
    <row r="521">
      <c r="C521" s="36"/>
    </row>
    <row r="522">
      <c r="C522" s="36"/>
    </row>
    <row r="523">
      <c r="C523" s="36"/>
    </row>
    <row r="524">
      <c r="C524" s="36"/>
    </row>
    <row r="525">
      <c r="C525" s="36"/>
    </row>
    <row r="526">
      <c r="C526" s="36"/>
    </row>
    <row r="527">
      <c r="C527" s="36"/>
    </row>
    <row r="528">
      <c r="C528" s="36"/>
    </row>
    <row r="529">
      <c r="C529" s="36"/>
    </row>
    <row r="530">
      <c r="C530" s="36"/>
    </row>
    <row r="531">
      <c r="C531" s="36"/>
    </row>
    <row r="532">
      <c r="C532" s="36"/>
    </row>
    <row r="533">
      <c r="C533" s="36"/>
    </row>
    <row r="534">
      <c r="C534" s="36"/>
    </row>
    <row r="535">
      <c r="C535" s="36"/>
    </row>
    <row r="536">
      <c r="C536" s="36"/>
    </row>
    <row r="537">
      <c r="C537" s="36"/>
    </row>
    <row r="538">
      <c r="C538" s="36"/>
    </row>
    <row r="539">
      <c r="C539" s="36"/>
    </row>
    <row r="540">
      <c r="C540" s="36"/>
    </row>
    <row r="541">
      <c r="C541" s="36"/>
    </row>
    <row r="542">
      <c r="C542" s="36"/>
    </row>
    <row r="543">
      <c r="C543" s="36"/>
    </row>
    <row r="544">
      <c r="C544" s="36"/>
    </row>
    <row r="545">
      <c r="C545" s="36"/>
    </row>
    <row r="546">
      <c r="C546" s="36"/>
    </row>
    <row r="547">
      <c r="C547" s="36"/>
    </row>
    <row r="548">
      <c r="C548" s="36"/>
    </row>
    <row r="549">
      <c r="C549" s="36"/>
    </row>
    <row r="550">
      <c r="C550" s="36"/>
    </row>
    <row r="551">
      <c r="C551" s="36"/>
    </row>
    <row r="552">
      <c r="C552" s="36"/>
    </row>
    <row r="553">
      <c r="C553" s="36"/>
    </row>
    <row r="554">
      <c r="C554" s="36"/>
    </row>
    <row r="555">
      <c r="C555" s="36"/>
    </row>
    <row r="556">
      <c r="C556" s="36"/>
    </row>
    <row r="557">
      <c r="C557" s="36"/>
    </row>
    <row r="558">
      <c r="C558" s="36"/>
    </row>
    <row r="559">
      <c r="C559" s="36"/>
    </row>
    <row r="560">
      <c r="C560" s="36"/>
    </row>
    <row r="561">
      <c r="C561" s="36"/>
    </row>
    <row r="562">
      <c r="C562" s="36"/>
    </row>
    <row r="563">
      <c r="C563" s="36"/>
    </row>
    <row r="564">
      <c r="C564" s="36"/>
    </row>
    <row r="565">
      <c r="C565" s="36"/>
    </row>
    <row r="566">
      <c r="C566" s="36"/>
    </row>
    <row r="567">
      <c r="C567" s="36"/>
    </row>
    <row r="568">
      <c r="C568" s="36"/>
    </row>
    <row r="569">
      <c r="C569" s="36"/>
    </row>
    <row r="570">
      <c r="C570" s="36"/>
    </row>
    <row r="571">
      <c r="C571" s="36"/>
    </row>
    <row r="572">
      <c r="C572" s="36"/>
    </row>
    <row r="573">
      <c r="C573" s="36"/>
    </row>
    <row r="574">
      <c r="C574" s="36"/>
    </row>
    <row r="575">
      <c r="C575" s="36"/>
    </row>
    <row r="576">
      <c r="C576" s="36"/>
    </row>
    <row r="577">
      <c r="C577" s="36"/>
    </row>
    <row r="578">
      <c r="C578" s="36"/>
    </row>
    <row r="579">
      <c r="C579" s="36"/>
    </row>
    <row r="580">
      <c r="C580" s="36"/>
    </row>
    <row r="581">
      <c r="C581" s="36"/>
    </row>
    <row r="582">
      <c r="C582" s="36"/>
    </row>
    <row r="583">
      <c r="C583" s="36"/>
    </row>
    <row r="584">
      <c r="C584" s="36"/>
    </row>
    <row r="585">
      <c r="C585" s="36"/>
    </row>
    <row r="586">
      <c r="C586" s="36"/>
    </row>
    <row r="587">
      <c r="C587" s="36"/>
    </row>
    <row r="588">
      <c r="C588" s="36"/>
    </row>
    <row r="589">
      <c r="C589" s="36"/>
    </row>
    <row r="590">
      <c r="C590" s="36"/>
    </row>
    <row r="591">
      <c r="C591" s="36"/>
    </row>
    <row r="592">
      <c r="C592" s="36"/>
    </row>
    <row r="593">
      <c r="C593" s="36"/>
    </row>
    <row r="594">
      <c r="C594" s="36"/>
    </row>
    <row r="595">
      <c r="C595" s="36"/>
    </row>
    <row r="596">
      <c r="C596" s="36"/>
    </row>
    <row r="597">
      <c r="C597" s="36"/>
    </row>
    <row r="598">
      <c r="C598" s="36"/>
    </row>
    <row r="599">
      <c r="C599" s="36"/>
    </row>
    <row r="600">
      <c r="C600" s="36"/>
    </row>
    <row r="601">
      <c r="C601" s="36"/>
    </row>
    <row r="602">
      <c r="C602" s="36"/>
    </row>
    <row r="603">
      <c r="C603" s="36"/>
    </row>
    <row r="604">
      <c r="C604" s="36"/>
    </row>
    <row r="605">
      <c r="C605" s="36"/>
    </row>
    <row r="606">
      <c r="C606" s="36"/>
    </row>
    <row r="607">
      <c r="C607" s="36"/>
    </row>
    <row r="608">
      <c r="C608" s="36"/>
    </row>
    <row r="609">
      <c r="C609" s="36"/>
    </row>
    <row r="610">
      <c r="C610" s="36"/>
    </row>
    <row r="611">
      <c r="C611" s="36"/>
    </row>
    <row r="612">
      <c r="C612" s="36"/>
    </row>
    <row r="613">
      <c r="C613" s="36"/>
    </row>
    <row r="614">
      <c r="C614" s="36"/>
    </row>
    <row r="615">
      <c r="C615" s="36"/>
    </row>
    <row r="616">
      <c r="C616" s="36"/>
    </row>
    <row r="617">
      <c r="C617" s="36"/>
    </row>
    <row r="618">
      <c r="C618" s="36"/>
    </row>
    <row r="619">
      <c r="C619" s="36"/>
    </row>
    <row r="620">
      <c r="C620" s="36"/>
    </row>
    <row r="621">
      <c r="C621" s="36"/>
    </row>
    <row r="622">
      <c r="C622" s="36"/>
    </row>
    <row r="623">
      <c r="C623" s="36"/>
    </row>
    <row r="624">
      <c r="C624" s="36"/>
    </row>
    <row r="625">
      <c r="C625" s="36"/>
    </row>
    <row r="626">
      <c r="C626" s="36"/>
    </row>
    <row r="627">
      <c r="C627" s="36"/>
    </row>
    <row r="628">
      <c r="C628" s="36"/>
    </row>
    <row r="629">
      <c r="C629" s="36"/>
    </row>
    <row r="630">
      <c r="C630" s="36"/>
    </row>
    <row r="631">
      <c r="C631" s="36"/>
    </row>
    <row r="632">
      <c r="C632" s="36"/>
    </row>
    <row r="633">
      <c r="C633" s="36"/>
    </row>
    <row r="634">
      <c r="C634" s="36"/>
    </row>
    <row r="635">
      <c r="C635" s="36"/>
    </row>
    <row r="636">
      <c r="C636" s="36"/>
    </row>
    <row r="637">
      <c r="C637" s="36"/>
    </row>
    <row r="638">
      <c r="C638" s="36"/>
    </row>
    <row r="639">
      <c r="C639" s="36"/>
    </row>
    <row r="640">
      <c r="C640" s="36"/>
    </row>
    <row r="641">
      <c r="C641" s="36"/>
    </row>
    <row r="642">
      <c r="C642" s="36"/>
    </row>
    <row r="643">
      <c r="C643" s="36"/>
    </row>
    <row r="644">
      <c r="C644" s="36"/>
    </row>
    <row r="645">
      <c r="C645" s="36"/>
    </row>
    <row r="646">
      <c r="C646" s="36"/>
    </row>
    <row r="647">
      <c r="C647" s="36"/>
    </row>
    <row r="648">
      <c r="C648" s="36"/>
    </row>
    <row r="649">
      <c r="C649" s="36"/>
    </row>
    <row r="650">
      <c r="C650" s="36"/>
    </row>
    <row r="651">
      <c r="C651" s="36"/>
    </row>
    <row r="652">
      <c r="C652" s="36"/>
    </row>
    <row r="653">
      <c r="C653" s="36"/>
    </row>
    <row r="654">
      <c r="C654" s="36"/>
    </row>
    <row r="655">
      <c r="C655" s="36"/>
    </row>
    <row r="656">
      <c r="C656" s="36"/>
    </row>
    <row r="657">
      <c r="C657" s="36"/>
    </row>
    <row r="658">
      <c r="C658" s="36"/>
    </row>
    <row r="659">
      <c r="C659" s="36"/>
    </row>
    <row r="660">
      <c r="C660" s="36"/>
    </row>
    <row r="661">
      <c r="C661" s="36"/>
    </row>
    <row r="662">
      <c r="C662" s="36"/>
    </row>
    <row r="663">
      <c r="C663" s="36"/>
    </row>
    <row r="664">
      <c r="C664" s="36"/>
    </row>
    <row r="665">
      <c r="C665" s="36"/>
    </row>
    <row r="666">
      <c r="C666" s="36"/>
    </row>
    <row r="667">
      <c r="C667" s="36"/>
    </row>
    <row r="668">
      <c r="C668" s="36"/>
    </row>
    <row r="669">
      <c r="C669" s="36"/>
    </row>
    <row r="670">
      <c r="C670" s="36"/>
    </row>
    <row r="671">
      <c r="C671" s="36"/>
    </row>
    <row r="672">
      <c r="C672" s="36"/>
    </row>
    <row r="673">
      <c r="C673" s="36"/>
    </row>
    <row r="674">
      <c r="C674" s="36"/>
    </row>
    <row r="675">
      <c r="C675" s="36"/>
    </row>
    <row r="676">
      <c r="C676" s="36"/>
    </row>
    <row r="677">
      <c r="C677" s="36"/>
    </row>
    <row r="678">
      <c r="C678" s="36"/>
    </row>
    <row r="679">
      <c r="C679" s="36"/>
    </row>
    <row r="680">
      <c r="C680" s="36"/>
    </row>
    <row r="681">
      <c r="C681" s="36"/>
    </row>
    <row r="682">
      <c r="C682" s="36"/>
    </row>
    <row r="683">
      <c r="C683" s="36"/>
    </row>
    <row r="684">
      <c r="C684" s="36"/>
    </row>
    <row r="685">
      <c r="C685" s="36"/>
    </row>
    <row r="686">
      <c r="C686" s="36"/>
    </row>
    <row r="687">
      <c r="C687" s="36"/>
    </row>
    <row r="688">
      <c r="C688" s="36"/>
    </row>
    <row r="689">
      <c r="C689" s="36"/>
    </row>
    <row r="690">
      <c r="C690" s="36"/>
    </row>
    <row r="691">
      <c r="C691" s="36"/>
    </row>
    <row r="692">
      <c r="C692" s="36"/>
    </row>
    <row r="693">
      <c r="C693" s="36"/>
    </row>
    <row r="694">
      <c r="C694" s="36"/>
    </row>
    <row r="695">
      <c r="C695" s="36"/>
    </row>
    <row r="696">
      <c r="C696" s="36"/>
    </row>
    <row r="697">
      <c r="C697" s="36"/>
    </row>
    <row r="698">
      <c r="C698" s="36"/>
    </row>
    <row r="699">
      <c r="C699" s="36"/>
    </row>
    <row r="700">
      <c r="C700" s="36"/>
    </row>
    <row r="701">
      <c r="C701" s="36"/>
    </row>
    <row r="702">
      <c r="C702" s="36"/>
    </row>
    <row r="703">
      <c r="C703" s="36"/>
    </row>
    <row r="704">
      <c r="C704" s="36"/>
    </row>
    <row r="705">
      <c r="C705" s="36"/>
    </row>
    <row r="706">
      <c r="C706" s="36"/>
    </row>
    <row r="707">
      <c r="C707" s="36"/>
    </row>
    <row r="708">
      <c r="C708" s="36"/>
    </row>
    <row r="709">
      <c r="C709" s="36"/>
    </row>
    <row r="710">
      <c r="C710" s="36"/>
    </row>
    <row r="711">
      <c r="C711" s="36"/>
    </row>
    <row r="712">
      <c r="C712" s="36"/>
    </row>
    <row r="713">
      <c r="C713" s="36"/>
    </row>
    <row r="714">
      <c r="C714" s="36"/>
    </row>
    <row r="715">
      <c r="C715" s="36"/>
    </row>
    <row r="716">
      <c r="C716" s="36"/>
    </row>
    <row r="717">
      <c r="C717" s="36"/>
    </row>
    <row r="718">
      <c r="C718" s="36"/>
    </row>
    <row r="719">
      <c r="C719" s="36"/>
    </row>
    <row r="720">
      <c r="C720" s="36"/>
    </row>
    <row r="721">
      <c r="C721" s="36"/>
    </row>
    <row r="722">
      <c r="C722" s="36"/>
    </row>
    <row r="723">
      <c r="C723" s="36"/>
    </row>
    <row r="724">
      <c r="C724" s="36"/>
    </row>
    <row r="725">
      <c r="C725" s="36"/>
    </row>
    <row r="726">
      <c r="C726" s="36"/>
    </row>
    <row r="727">
      <c r="C727" s="36"/>
    </row>
    <row r="728">
      <c r="C728" s="36"/>
    </row>
    <row r="729">
      <c r="C729" s="36"/>
    </row>
    <row r="730">
      <c r="C730" s="36"/>
    </row>
    <row r="731">
      <c r="C731" s="36"/>
    </row>
    <row r="732">
      <c r="C732" s="36"/>
    </row>
    <row r="733">
      <c r="C733" s="36"/>
    </row>
    <row r="734">
      <c r="C734" s="36"/>
    </row>
    <row r="735">
      <c r="C735" s="36"/>
    </row>
    <row r="736">
      <c r="C736" s="36"/>
    </row>
    <row r="737">
      <c r="C737" s="36"/>
    </row>
    <row r="738">
      <c r="C738" s="36"/>
    </row>
    <row r="739">
      <c r="C739" s="36"/>
    </row>
    <row r="740">
      <c r="C740" s="36"/>
    </row>
    <row r="741">
      <c r="C741" s="36"/>
    </row>
    <row r="742">
      <c r="C742" s="36"/>
    </row>
    <row r="743">
      <c r="C743" s="36"/>
    </row>
    <row r="744">
      <c r="C744" s="36"/>
    </row>
    <row r="745">
      <c r="C745" s="36"/>
    </row>
    <row r="746">
      <c r="C746" s="36"/>
    </row>
    <row r="747">
      <c r="C747" s="36"/>
    </row>
    <row r="748">
      <c r="C748" s="36"/>
    </row>
    <row r="749">
      <c r="C749" s="36"/>
    </row>
    <row r="750">
      <c r="C750" s="36"/>
    </row>
    <row r="751">
      <c r="C751" s="36"/>
    </row>
    <row r="752">
      <c r="C752" s="36"/>
    </row>
    <row r="753">
      <c r="C753" s="36"/>
    </row>
    <row r="754">
      <c r="C754" s="36"/>
    </row>
    <row r="755">
      <c r="C755" s="36"/>
    </row>
    <row r="756">
      <c r="C756" s="36"/>
    </row>
    <row r="757">
      <c r="C757" s="36"/>
    </row>
    <row r="758">
      <c r="C758" s="36"/>
    </row>
    <row r="759">
      <c r="C759" s="36"/>
    </row>
    <row r="760">
      <c r="C760" s="36"/>
    </row>
    <row r="761">
      <c r="C761" s="36"/>
    </row>
    <row r="762">
      <c r="C762" s="36"/>
    </row>
    <row r="763">
      <c r="C763" s="36"/>
    </row>
    <row r="764">
      <c r="C764" s="36"/>
    </row>
    <row r="765">
      <c r="C765" s="36"/>
    </row>
    <row r="766">
      <c r="C766" s="36"/>
    </row>
    <row r="767">
      <c r="C767" s="36"/>
    </row>
    <row r="768">
      <c r="C768" s="36"/>
    </row>
    <row r="769">
      <c r="C769" s="36"/>
    </row>
    <row r="770">
      <c r="C770" s="36"/>
    </row>
    <row r="771">
      <c r="C771" s="36"/>
    </row>
    <row r="772">
      <c r="C772" s="36"/>
    </row>
    <row r="773">
      <c r="C773" s="36"/>
    </row>
    <row r="774">
      <c r="C774" s="36"/>
    </row>
    <row r="775">
      <c r="C775" s="36"/>
    </row>
    <row r="776">
      <c r="C776" s="36"/>
    </row>
    <row r="777">
      <c r="C777" s="36"/>
    </row>
    <row r="778">
      <c r="C778" s="36"/>
    </row>
    <row r="779">
      <c r="C779" s="36"/>
    </row>
    <row r="780">
      <c r="C780" s="36"/>
    </row>
    <row r="781">
      <c r="C781" s="36"/>
    </row>
    <row r="782">
      <c r="C782" s="36"/>
    </row>
    <row r="783">
      <c r="C783" s="36"/>
    </row>
    <row r="784">
      <c r="C784" s="36"/>
    </row>
    <row r="785">
      <c r="C785" s="36"/>
    </row>
    <row r="786">
      <c r="C786" s="36"/>
    </row>
    <row r="787">
      <c r="C787" s="36"/>
    </row>
    <row r="788">
      <c r="C788" s="36"/>
    </row>
    <row r="789">
      <c r="C789" s="36"/>
    </row>
    <row r="790">
      <c r="C790" s="36"/>
    </row>
    <row r="791">
      <c r="C791" s="36"/>
    </row>
    <row r="792">
      <c r="C792" s="36"/>
    </row>
    <row r="793">
      <c r="C793" s="36"/>
    </row>
    <row r="794">
      <c r="C794" s="36"/>
    </row>
    <row r="795">
      <c r="C795" s="36"/>
    </row>
    <row r="796">
      <c r="C796" s="36"/>
    </row>
    <row r="797">
      <c r="C797" s="36"/>
    </row>
    <row r="798">
      <c r="C798" s="36"/>
    </row>
    <row r="799">
      <c r="C799" s="36"/>
    </row>
    <row r="800">
      <c r="C800" s="36"/>
    </row>
    <row r="801">
      <c r="C801" s="36"/>
    </row>
    <row r="802">
      <c r="C802" s="36"/>
    </row>
    <row r="803">
      <c r="C803" s="36"/>
    </row>
    <row r="804">
      <c r="C804" s="36"/>
    </row>
    <row r="805">
      <c r="C805" s="36"/>
    </row>
    <row r="806">
      <c r="C806" s="36"/>
    </row>
    <row r="807">
      <c r="C807" s="36"/>
    </row>
    <row r="808">
      <c r="C808" s="36"/>
    </row>
    <row r="809">
      <c r="C809" s="36"/>
    </row>
    <row r="810">
      <c r="C810" s="36"/>
    </row>
    <row r="811">
      <c r="C811" s="36"/>
    </row>
    <row r="812">
      <c r="C812" s="36"/>
    </row>
    <row r="813">
      <c r="C813" s="36"/>
    </row>
    <row r="814">
      <c r="C814" s="36"/>
    </row>
    <row r="815">
      <c r="C815" s="36"/>
    </row>
    <row r="816">
      <c r="C816" s="36"/>
    </row>
    <row r="817">
      <c r="C817" s="36"/>
    </row>
    <row r="818">
      <c r="C818" s="36"/>
    </row>
    <row r="819">
      <c r="C819" s="36"/>
    </row>
    <row r="820">
      <c r="C820" s="36"/>
    </row>
    <row r="821">
      <c r="C821" s="36"/>
    </row>
    <row r="822">
      <c r="C822" s="36"/>
    </row>
    <row r="823">
      <c r="C823" s="36"/>
    </row>
    <row r="824">
      <c r="C824" s="36"/>
    </row>
    <row r="825">
      <c r="C825" s="36"/>
    </row>
    <row r="826">
      <c r="C826" s="36"/>
    </row>
    <row r="827">
      <c r="C827" s="36"/>
    </row>
    <row r="828">
      <c r="C828" s="36"/>
    </row>
    <row r="829">
      <c r="C829" s="36"/>
    </row>
    <row r="830">
      <c r="C830" s="36"/>
    </row>
    <row r="831">
      <c r="C831" s="36"/>
    </row>
    <row r="832">
      <c r="C832" s="36"/>
    </row>
    <row r="833">
      <c r="C833" s="36"/>
    </row>
    <row r="834">
      <c r="C834" s="36"/>
    </row>
    <row r="835">
      <c r="C835" s="36"/>
    </row>
    <row r="836">
      <c r="C836" s="36"/>
    </row>
    <row r="837">
      <c r="C837" s="36"/>
    </row>
    <row r="838">
      <c r="C838" s="36"/>
    </row>
    <row r="839">
      <c r="C839" s="36"/>
    </row>
    <row r="840">
      <c r="C840" s="36"/>
    </row>
    <row r="841">
      <c r="C841" s="36"/>
    </row>
    <row r="842">
      <c r="C842" s="36"/>
    </row>
    <row r="843">
      <c r="C843" s="36"/>
    </row>
    <row r="844">
      <c r="C844" s="36"/>
    </row>
    <row r="845">
      <c r="C845" s="36"/>
    </row>
    <row r="846">
      <c r="C846" s="36"/>
    </row>
    <row r="847">
      <c r="C847" s="36"/>
    </row>
    <row r="848">
      <c r="C848" s="36"/>
    </row>
    <row r="849">
      <c r="C849" s="36"/>
    </row>
    <row r="850">
      <c r="C850" s="36"/>
    </row>
    <row r="851">
      <c r="C851" s="36"/>
    </row>
    <row r="852">
      <c r="C852" s="36"/>
    </row>
    <row r="853">
      <c r="C853" s="36"/>
    </row>
    <row r="854">
      <c r="C854" s="36"/>
    </row>
    <row r="855">
      <c r="C855" s="36"/>
    </row>
    <row r="856">
      <c r="C856" s="36"/>
    </row>
    <row r="857">
      <c r="C857" s="36"/>
    </row>
    <row r="858">
      <c r="C858" s="36"/>
    </row>
    <row r="859">
      <c r="C859" s="36"/>
    </row>
    <row r="860">
      <c r="C860" s="36"/>
    </row>
    <row r="861">
      <c r="C861" s="36"/>
    </row>
    <row r="862">
      <c r="C862" s="36"/>
    </row>
    <row r="863">
      <c r="C863" s="36"/>
    </row>
    <row r="864">
      <c r="C864" s="36"/>
    </row>
    <row r="865">
      <c r="C865" s="36"/>
    </row>
    <row r="866">
      <c r="C866" s="36"/>
    </row>
    <row r="867">
      <c r="C867" s="36"/>
    </row>
    <row r="868">
      <c r="C868" s="36"/>
    </row>
    <row r="869">
      <c r="C869" s="36"/>
    </row>
    <row r="870">
      <c r="C870" s="36"/>
    </row>
    <row r="871">
      <c r="C871" s="36"/>
    </row>
    <row r="872">
      <c r="C872" s="36"/>
    </row>
    <row r="873">
      <c r="C873" s="36"/>
    </row>
    <row r="874">
      <c r="C874" s="36"/>
    </row>
    <row r="875">
      <c r="C875" s="36"/>
    </row>
    <row r="876">
      <c r="C876" s="36"/>
    </row>
    <row r="877">
      <c r="C877" s="36"/>
    </row>
    <row r="878">
      <c r="C878" s="36"/>
    </row>
    <row r="879">
      <c r="C879" s="36"/>
    </row>
    <row r="880">
      <c r="C880" s="36"/>
    </row>
    <row r="881">
      <c r="C881" s="36"/>
    </row>
    <row r="882">
      <c r="C882" s="36"/>
    </row>
    <row r="883">
      <c r="C883" s="36"/>
    </row>
    <row r="884">
      <c r="C884" s="36"/>
    </row>
    <row r="885">
      <c r="C885" s="36"/>
    </row>
    <row r="886">
      <c r="C886" s="36"/>
    </row>
    <row r="887">
      <c r="C887" s="36"/>
    </row>
    <row r="888">
      <c r="C888" s="36"/>
    </row>
    <row r="889">
      <c r="C889" s="36"/>
    </row>
    <row r="890">
      <c r="C890" s="36"/>
    </row>
    <row r="891">
      <c r="C891" s="36"/>
    </row>
    <row r="892">
      <c r="C892" s="36"/>
    </row>
    <row r="893">
      <c r="C893" s="36"/>
    </row>
    <row r="894">
      <c r="C894" s="36"/>
    </row>
    <row r="895">
      <c r="C895" s="36"/>
    </row>
    <row r="896">
      <c r="C896" s="36"/>
    </row>
    <row r="897">
      <c r="C897" s="36"/>
    </row>
    <row r="898">
      <c r="C898" s="36"/>
    </row>
    <row r="899">
      <c r="C899" s="36"/>
    </row>
    <row r="900">
      <c r="C900" s="36"/>
    </row>
    <row r="901">
      <c r="C901" s="36"/>
    </row>
    <row r="902">
      <c r="C902" s="36"/>
    </row>
    <row r="903">
      <c r="C903" s="36"/>
    </row>
    <row r="904">
      <c r="C904" s="36"/>
    </row>
    <row r="905">
      <c r="C905" s="36"/>
    </row>
    <row r="906">
      <c r="C906" s="36"/>
    </row>
    <row r="907">
      <c r="C907" s="36"/>
    </row>
    <row r="908">
      <c r="C908" s="36"/>
    </row>
    <row r="909">
      <c r="C909" s="36"/>
    </row>
    <row r="910">
      <c r="C910" s="36"/>
    </row>
    <row r="911">
      <c r="C911" s="36"/>
    </row>
    <row r="912">
      <c r="C912" s="36"/>
    </row>
    <row r="913">
      <c r="C913" s="36"/>
    </row>
    <row r="914">
      <c r="C914" s="36"/>
    </row>
    <row r="915">
      <c r="C915" s="36"/>
    </row>
    <row r="916">
      <c r="C916" s="36"/>
    </row>
    <row r="917">
      <c r="C917" s="36"/>
    </row>
    <row r="918">
      <c r="C918" s="36"/>
    </row>
    <row r="919">
      <c r="C919" s="36"/>
    </row>
    <row r="920">
      <c r="C920" s="36"/>
    </row>
    <row r="921">
      <c r="C921" s="36"/>
    </row>
    <row r="922">
      <c r="C922" s="36"/>
    </row>
    <row r="923">
      <c r="C923" s="36"/>
    </row>
    <row r="924">
      <c r="C924" s="36"/>
    </row>
    <row r="925">
      <c r="C925" s="36"/>
    </row>
    <row r="926">
      <c r="C926" s="36"/>
    </row>
    <row r="927">
      <c r="C927" s="36"/>
    </row>
    <row r="928">
      <c r="C928" s="36"/>
    </row>
    <row r="929">
      <c r="C929" s="36"/>
    </row>
    <row r="930">
      <c r="C930" s="36"/>
    </row>
    <row r="931">
      <c r="C931" s="36"/>
    </row>
    <row r="932">
      <c r="C932" s="36"/>
    </row>
    <row r="933">
      <c r="C933" s="36"/>
    </row>
    <row r="934">
      <c r="C934" s="36"/>
    </row>
    <row r="935">
      <c r="C935" s="36"/>
    </row>
    <row r="936">
      <c r="C936" s="36"/>
    </row>
    <row r="937">
      <c r="C937" s="36"/>
    </row>
    <row r="938">
      <c r="C938" s="36"/>
    </row>
    <row r="939">
      <c r="C939" s="36"/>
    </row>
    <row r="940">
      <c r="C940" s="36"/>
    </row>
    <row r="941">
      <c r="C941" s="36"/>
    </row>
    <row r="942">
      <c r="C942" s="36"/>
    </row>
    <row r="943">
      <c r="C943" s="36"/>
    </row>
    <row r="944">
      <c r="C944" s="36"/>
    </row>
    <row r="945">
      <c r="C945" s="36"/>
    </row>
    <row r="946">
      <c r="C946" s="36"/>
    </row>
    <row r="947">
      <c r="C947" s="36"/>
    </row>
    <row r="948">
      <c r="C948" s="36"/>
    </row>
    <row r="949">
      <c r="C949" s="36"/>
    </row>
    <row r="950">
      <c r="C950" s="36"/>
    </row>
    <row r="951">
      <c r="C951" s="36"/>
    </row>
    <row r="952">
      <c r="C952" s="36"/>
    </row>
    <row r="953">
      <c r="C953" s="36"/>
    </row>
    <row r="954">
      <c r="C954" s="36"/>
    </row>
    <row r="955">
      <c r="C955" s="36"/>
    </row>
    <row r="956">
      <c r="C956" s="36"/>
    </row>
    <row r="957">
      <c r="C957" s="36"/>
    </row>
    <row r="958">
      <c r="C958" s="36"/>
    </row>
    <row r="959">
      <c r="C959" s="36"/>
    </row>
    <row r="960">
      <c r="C960" s="36"/>
    </row>
    <row r="961">
      <c r="C961" s="36"/>
    </row>
    <row r="962">
      <c r="C962" s="36"/>
    </row>
    <row r="963">
      <c r="C963" s="36"/>
    </row>
    <row r="964">
      <c r="C964" s="36"/>
    </row>
    <row r="965">
      <c r="C965" s="36"/>
    </row>
    <row r="966">
      <c r="C966" s="36"/>
    </row>
    <row r="967">
      <c r="C967" s="36"/>
    </row>
    <row r="968">
      <c r="C968" s="36"/>
    </row>
    <row r="969">
      <c r="C969" s="36"/>
    </row>
    <row r="970">
      <c r="C970" s="36"/>
    </row>
    <row r="971">
      <c r="C971" s="36"/>
    </row>
    <row r="972">
      <c r="C972" s="36"/>
    </row>
    <row r="973">
      <c r="C973" s="36"/>
    </row>
    <row r="974">
      <c r="C974" s="36"/>
    </row>
    <row r="975">
      <c r="C975" s="36"/>
    </row>
    <row r="976">
      <c r="C976" s="36"/>
    </row>
    <row r="977">
      <c r="C977" s="36"/>
    </row>
    <row r="978">
      <c r="C978" s="36"/>
    </row>
    <row r="979">
      <c r="C979" s="36"/>
    </row>
    <row r="980">
      <c r="C980" s="36"/>
    </row>
    <row r="981">
      <c r="C981" s="36"/>
    </row>
    <row r="982">
      <c r="C982" s="36"/>
    </row>
    <row r="983">
      <c r="C983" s="36"/>
    </row>
    <row r="984">
      <c r="C984" s="36"/>
    </row>
    <row r="985">
      <c r="C985" s="36"/>
    </row>
    <row r="986">
      <c r="C986" s="36"/>
    </row>
    <row r="987">
      <c r="C987" s="36"/>
    </row>
    <row r="988">
      <c r="C988" s="36"/>
    </row>
    <row r="989">
      <c r="C989" s="36"/>
    </row>
    <row r="990">
      <c r="C990" s="36"/>
    </row>
    <row r="991">
      <c r="C991" s="36"/>
    </row>
    <row r="992">
      <c r="C992" s="36"/>
    </row>
    <row r="993">
      <c r="C993" s="36"/>
    </row>
    <row r="994">
      <c r="C994" s="36"/>
    </row>
    <row r="995">
      <c r="C995" s="36"/>
    </row>
    <row r="996">
      <c r="C996" s="36"/>
    </row>
    <row r="997">
      <c r="C997" s="36"/>
    </row>
    <row r="998">
      <c r="C998" s="36"/>
    </row>
    <row r="999">
      <c r="C999" s="36"/>
    </row>
    <row r="1000">
      <c r="C1000" s="36"/>
    </row>
  </sheetData>
  <conditionalFormatting sqref="C1:C1000">
    <cfRule type="notContainsBlanks" dxfId="0" priority="1">
      <formula>LEN(TRIM(C1))&gt;0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40</v>
      </c>
      <c r="B1" s="8" t="s">
        <v>1</v>
      </c>
      <c r="C1" s="8" t="s">
        <v>340</v>
      </c>
      <c r="D1" s="8" t="s">
        <v>41</v>
      </c>
      <c r="E1" s="8" t="s">
        <v>13</v>
      </c>
      <c r="F1" s="8" t="s">
        <v>341</v>
      </c>
      <c r="G1" s="8" t="s">
        <v>342</v>
      </c>
      <c r="H1" s="8" t="s">
        <v>343</v>
      </c>
      <c r="I1" s="8" t="s">
        <v>344</v>
      </c>
      <c r="J1" s="8" t="s">
        <v>345</v>
      </c>
      <c r="K1" s="8" t="s">
        <v>346</v>
      </c>
      <c r="L1" s="8" t="s">
        <v>347</v>
      </c>
      <c r="M1" s="8" t="s">
        <v>348</v>
      </c>
      <c r="N1" s="8" t="s">
        <v>349</v>
      </c>
      <c r="O1" s="2" t="s">
        <v>350</v>
      </c>
      <c r="P1" s="2" t="s">
        <v>351</v>
      </c>
      <c r="Q1" s="2" t="s">
        <v>352</v>
      </c>
    </row>
    <row r="2">
      <c r="A2" s="14">
        <v>2.411000046E9</v>
      </c>
      <c r="B2" s="14" t="s">
        <v>21</v>
      </c>
      <c r="C2" s="42"/>
      <c r="D2" s="14">
        <v>114.0</v>
      </c>
      <c r="E2" s="14" t="s">
        <v>218</v>
      </c>
      <c r="F2" s="42"/>
      <c r="G2" s="42"/>
      <c r="H2" s="42"/>
      <c r="I2" s="42"/>
      <c r="J2" s="42"/>
      <c r="K2" s="42"/>
      <c r="L2" s="14">
        <v>7.0</v>
      </c>
      <c r="M2" s="14">
        <v>0.0</v>
      </c>
      <c r="N2" s="14">
        <v>7.0</v>
      </c>
      <c r="O2" s="1">
        <f t="shared" ref="O2:O118" si="1">IFERROR(L:L / N:N, )
</f>
        <v>1</v>
      </c>
      <c r="P2" s="1">
        <f t="shared" ref="P2:P118" si="2">IFERROR(N:N - L:L, )
</f>
        <v>0</v>
      </c>
      <c r="Q2" s="1">
        <f t="shared" ref="Q2:Q118" si="3">IF(L2 &lt;= 2, 1, 0)
</f>
        <v>0</v>
      </c>
    </row>
    <row r="3">
      <c r="A3" s="14">
        <v>2.411000046E9</v>
      </c>
      <c r="B3" s="14" t="s">
        <v>21</v>
      </c>
      <c r="C3" s="42"/>
      <c r="D3" s="14">
        <v>113.0</v>
      </c>
      <c r="E3" s="14" t="s">
        <v>217</v>
      </c>
      <c r="F3" s="42"/>
      <c r="G3" s="42"/>
      <c r="H3" s="43"/>
      <c r="I3" s="42"/>
      <c r="J3" s="42"/>
      <c r="K3" s="42"/>
      <c r="L3" s="14">
        <v>6.0</v>
      </c>
      <c r="M3" s="14">
        <v>1.0</v>
      </c>
      <c r="N3" s="14">
        <v>7.0</v>
      </c>
      <c r="O3" s="1">
        <f t="shared" si="1"/>
        <v>0.8571428571</v>
      </c>
      <c r="P3" s="1">
        <f t="shared" si="2"/>
        <v>1</v>
      </c>
      <c r="Q3" s="1">
        <f t="shared" si="3"/>
        <v>0</v>
      </c>
    </row>
    <row r="4">
      <c r="A4" s="14">
        <v>2.411000046E9</v>
      </c>
      <c r="B4" s="14" t="s">
        <v>21</v>
      </c>
      <c r="C4" s="42"/>
      <c r="D4" s="14">
        <v>1.0</v>
      </c>
      <c r="E4" s="14" t="s">
        <v>353</v>
      </c>
      <c r="F4" s="42"/>
      <c r="G4" s="42"/>
      <c r="H4" s="42"/>
      <c r="I4" s="14" t="s">
        <v>354</v>
      </c>
      <c r="J4" s="42"/>
      <c r="K4" s="42"/>
      <c r="L4" s="14">
        <v>2.0</v>
      </c>
      <c r="M4" s="14">
        <v>5.0</v>
      </c>
      <c r="N4" s="14">
        <v>7.0</v>
      </c>
      <c r="O4" s="1">
        <f t="shared" si="1"/>
        <v>0.2857142857</v>
      </c>
      <c r="P4" s="1">
        <f t="shared" si="2"/>
        <v>5</v>
      </c>
      <c r="Q4" s="1">
        <f t="shared" si="3"/>
        <v>1</v>
      </c>
    </row>
    <row r="5">
      <c r="A5" s="14">
        <v>2.411000046E9</v>
      </c>
      <c r="B5" s="14" t="s">
        <v>21</v>
      </c>
      <c r="C5" s="42"/>
      <c r="D5" s="14">
        <v>96.0</v>
      </c>
      <c r="E5" s="14" t="s">
        <v>355</v>
      </c>
      <c r="F5" s="42"/>
      <c r="G5" s="42"/>
      <c r="H5" s="14">
        <v>15.0</v>
      </c>
      <c r="I5" s="42"/>
      <c r="J5" s="42"/>
      <c r="K5" s="42"/>
      <c r="L5" s="14">
        <v>12.0</v>
      </c>
      <c r="M5" s="14">
        <v>2.0</v>
      </c>
      <c r="N5" s="14">
        <v>14.0</v>
      </c>
      <c r="O5" s="1">
        <f t="shared" si="1"/>
        <v>0.8571428571</v>
      </c>
      <c r="P5" s="1">
        <f t="shared" si="2"/>
        <v>2</v>
      </c>
      <c r="Q5" s="1">
        <f t="shared" si="3"/>
        <v>0</v>
      </c>
    </row>
    <row r="6">
      <c r="A6" s="14">
        <v>2.411000046E9</v>
      </c>
      <c r="B6" s="14" t="s">
        <v>21</v>
      </c>
      <c r="C6" s="42"/>
      <c r="D6" s="14">
        <v>91.0</v>
      </c>
      <c r="E6" s="14" t="s">
        <v>208</v>
      </c>
      <c r="F6" s="42"/>
      <c r="G6" s="42"/>
      <c r="H6" s="42"/>
      <c r="I6" s="42"/>
      <c r="J6" s="42"/>
      <c r="K6" s="42"/>
      <c r="L6" s="14">
        <v>2.0</v>
      </c>
      <c r="M6" s="14">
        <v>5.0</v>
      </c>
      <c r="N6" s="14">
        <v>7.0</v>
      </c>
      <c r="O6" s="1">
        <f t="shared" si="1"/>
        <v>0.2857142857</v>
      </c>
      <c r="P6" s="1">
        <f t="shared" si="2"/>
        <v>5</v>
      </c>
      <c r="Q6" s="1">
        <f t="shared" si="3"/>
        <v>1</v>
      </c>
    </row>
    <row r="7">
      <c r="A7" s="14">
        <v>2.411000046E9</v>
      </c>
      <c r="B7" s="14" t="s">
        <v>21</v>
      </c>
      <c r="C7" s="42"/>
      <c r="D7" s="14">
        <v>70.0</v>
      </c>
      <c r="E7" s="14" t="s">
        <v>175</v>
      </c>
      <c r="F7" s="42"/>
      <c r="G7" s="42"/>
      <c r="H7" s="42"/>
      <c r="I7" s="42"/>
      <c r="J7" s="42"/>
      <c r="K7" s="42"/>
      <c r="L7" s="14">
        <v>5.0</v>
      </c>
      <c r="M7" s="14">
        <v>1.0</v>
      </c>
      <c r="N7" s="14">
        <v>6.0</v>
      </c>
      <c r="O7" s="1">
        <f t="shared" si="1"/>
        <v>0.8333333333</v>
      </c>
      <c r="P7" s="1">
        <f t="shared" si="2"/>
        <v>1</v>
      </c>
      <c r="Q7" s="1">
        <f t="shared" si="3"/>
        <v>0</v>
      </c>
    </row>
    <row r="8">
      <c r="A8" s="14">
        <v>2.411000046E9</v>
      </c>
      <c r="B8" s="14" t="s">
        <v>21</v>
      </c>
      <c r="C8" s="42"/>
      <c r="D8" s="14">
        <v>52.0</v>
      </c>
      <c r="E8" s="14" t="s">
        <v>174</v>
      </c>
      <c r="F8" s="42"/>
      <c r="G8" s="42"/>
      <c r="H8" s="42"/>
      <c r="I8" s="42"/>
      <c r="J8" s="42"/>
      <c r="K8" s="42"/>
      <c r="L8" s="14">
        <v>8.0</v>
      </c>
      <c r="M8" s="14">
        <v>6.0</v>
      </c>
      <c r="N8" s="14">
        <v>14.0</v>
      </c>
      <c r="O8" s="1">
        <f t="shared" si="1"/>
        <v>0.5714285714</v>
      </c>
      <c r="P8" s="1">
        <f t="shared" si="2"/>
        <v>6</v>
      </c>
      <c r="Q8" s="1">
        <f t="shared" si="3"/>
        <v>0</v>
      </c>
    </row>
    <row r="9">
      <c r="A9" s="14">
        <v>2.411000046E9</v>
      </c>
      <c r="B9" s="14" t="s">
        <v>21</v>
      </c>
      <c r="C9" s="42"/>
      <c r="D9" s="14">
        <v>38.0</v>
      </c>
      <c r="E9" s="14" t="s">
        <v>155</v>
      </c>
      <c r="F9" s="42"/>
      <c r="G9" s="42"/>
      <c r="H9" s="42"/>
      <c r="I9" s="42"/>
      <c r="J9" s="42"/>
      <c r="K9" s="42"/>
      <c r="L9" s="14">
        <v>4.0</v>
      </c>
      <c r="M9" s="14">
        <v>3.0</v>
      </c>
      <c r="N9" s="14">
        <v>7.0</v>
      </c>
      <c r="O9" s="1">
        <f t="shared" si="1"/>
        <v>0.5714285714</v>
      </c>
      <c r="P9" s="1">
        <f t="shared" si="2"/>
        <v>3</v>
      </c>
      <c r="Q9" s="1">
        <f t="shared" si="3"/>
        <v>0</v>
      </c>
    </row>
    <row r="10">
      <c r="A10" s="14">
        <v>2.411000046E9</v>
      </c>
      <c r="B10" s="14" t="s">
        <v>21</v>
      </c>
      <c r="C10" s="42"/>
      <c r="D10" s="14">
        <v>37.0</v>
      </c>
      <c r="E10" s="14" t="s">
        <v>154</v>
      </c>
      <c r="F10" s="42"/>
      <c r="G10" s="42"/>
      <c r="H10" s="42"/>
      <c r="I10" s="42"/>
      <c r="J10" s="42"/>
      <c r="K10" s="42"/>
      <c r="L10" s="14">
        <v>0.0</v>
      </c>
      <c r="M10" s="14">
        <v>12.0</v>
      </c>
      <c r="N10" s="14">
        <v>12.0</v>
      </c>
      <c r="O10" s="1">
        <f t="shared" si="1"/>
        <v>0</v>
      </c>
      <c r="P10" s="1">
        <f t="shared" si="2"/>
        <v>12</v>
      </c>
      <c r="Q10" s="1">
        <f t="shared" si="3"/>
        <v>1</v>
      </c>
    </row>
    <row r="11">
      <c r="A11" s="14">
        <v>2.411000046E9</v>
      </c>
      <c r="B11" s="14" t="s">
        <v>21</v>
      </c>
      <c r="C11" s="42"/>
      <c r="D11" s="14">
        <v>25.0</v>
      </c>
      <c r="E11" s="14" t="s">
        <v>144</v>
      </c>
      <c r="F11" s="42"/>
      <c r="G11" s="42"/>
      <c r="H11" s="42"/>
      <c r="I11" s="42"/>
      <c r="J11" s="42"/>
      <c r="K11" s="42"/>
      <c r="L11" s="14">
        <v>9.0</v>
      </c>
      <c r="M11" s="14">
        <v>7.0</v>
      </c>
      <c r="N11" s="14">
        <v>16.0</v>
      </c>
      <c r="O11" s="1">
        <f t="shared" si="1"/>
        <v>0.5625</v>
      </c>
      <c r="P11" s="1">
        <f t="shared" si="2"/>
        <v>7</v>
      </c>
      <c r="Q11" s="1">
        <f t="shared" si="3"/>
        <v>0</v>
      </c>
    </row>
    <row r="12">
      <c r="A12" s="14">
        <v>2.411000046E9</v>
      </c>
      <c r="B12" s="14" t="s">
        <v>21</v>
      </c>
      <c r="C12" s="42"/>
      <c r="D12" s="14">
        <v>3.0</v>
      </c>
      <c r="E12" s="14" t="s">
        <v>125</v>
      </c>
      <c r="F12" s="42"/>
      <c r="G12" s="42"/>
      <c r="H12" s="42"/>
      <c r="I12" s="42"/>
      <c r="J12" s="42"/>
      <c r="K12" s="42"/>
      <c r="L12" s="14">
        <v>7.0</v>
      </c>
      <c r="M12" s="14">
        <v>9.0</v>
      </c>
      <c r="N12" s="14">
        <v>16.0</v>
      </c>
      <c r="O12" s="1">
        <f t="shared" si="1"/>
        <v>0.4375</v>
      </c>
      <c r="P12" s="1">
        <f t="shared" si="2"/>
        <v>9</v>
      </c>
      <c r="Q12" s="1">
        <f t="shared" si="3"/>
        <v>0</v>
      </c>
    </row>
    <row r="13">
      <c r="A13" s="14">
        <v>2.411000046E9</v>
      </c>
      <c r="B13" s="14" t="s">
        <v>21</v>
      </c>
      <c r="C13" s="42"/>
      <c r="D13" s="14">
        <v>28.0</v>
      </c>
      <c r="E13" s="14" t="s">
        <v>146</v>
      </c>
      <c r="F13" s="42"/>
      <c r="G13" s="42"/>
      <c r="H13" s="42"/>
      <c r="I13" s="42"/>
      <c r="J13" s="42"/>
      <c r="K13" s="42"/>
      <c r="L13" s="14">
        <v>3.0</v>
      </c>
      <c r="M13" s="14">
        <v>13.0</v>
      </c>
      <c r="N13" s="14">
        <v>16.0</v>
      </c>
      <c r="O13" s="1">
        <f t="shared" si="1"/>
        <v>0.1875</v>
      </c>
      <c r="P13" s="1">
        <f t="shared" si="2"/>
        <v>13</v>
      </c>
      <c r="Q13" s="1">
        <f t="shared" si="3"/>
        <v>0</v>
      </c>
    </row>
    <row r="14">
      <c r="A14" s="14">
        <v>2.411000046E9</v>
      </c>
      <c r="B14" s="14" t="s">
        <v>21</v>
      </c>
      <c r="C14" s="42"/>
      <c r="D14" s="14">
        <v>106.0</v>
      </c>
      <c r="E14" s="14" t="s">
        <v>214</v>
      </c>
      <c r="F14" s="42"/>
      <c r="G14" s="42"/>
      <c r="H14" s="42"/>
      <c r="I14" s="42"/>
      <c r="J14" s="42"/>
      <c r="K14" s="42"/>
      <c r="L14" s="14">
        <v>11.0</v>
      </c>
      <c r="M14" s="14">
        <v>5.0</v>
      </c>
      <c r="N14" s="14">
        <v>16.0</v>
      </c>
      <c r="O14" s="1">
        <f t="shared" si="1"/>
        <v>0.6875</v>
      </c>
      <c r="P14" s="1">
        <f t="shared" si="2"/>
        <v>5</v>
      </c>
      <c r="Q14" s="1">
        <f t="shared" si="3"/>
        <v>0</v>
      </c>
    </row>
    <row r="15">
      <c r="A15" s="14">
        <v>2.411000046E9</v>
      </c>
      <c r="B15" s="14" t="s">
        <v>21</v>
      </c>
      <c r="C15" s="42"/>
      <c r="D15" s="14">
        <v>87.0</v>
      </c>
      <c r="E15" s="14" t="s">
        <v>202</v>
      </c>
      <c r="F15" s="42"/>
      <c r="G15" s="42"/>
      <c r="H15" s="42"/>
      <c r="I15" s="42"/>
      <c r="J15" s="42"/>
      <c r="K15" s="42"/>
      <c r="L15" s="14">
        <v>14.0</v>
      </c>
      <c r="M15" s="14">
        <v>2.0</v>
      </c>
      <c r="N15" s="14">
        <v>16.0</v>
      </c>
      <c r="O15" s="1">
        <f t="shared" si="1"/>
        <v>0.875</v>
      </c>
      <c r="P15" s="1">
        <f t="shared" si="2"/>
        <v>2</v>
      </c>
      <c r="Q15" s="1">
        <f t="shared" si="3"/>
        <v>0</v>
      </c>
    </row>
    <row r="16">
      <c r="A16" s="14">
        <v>2.411000046E9</v>
      </c>
      <c r="B16" s="14" t="s">
        <v>21</v>
      </c>
      <c r="C16" s="42"/>
      <c r="D16" s="14">
        <v>30.0</v>
      </c>
      <c r="E16" s="14" t="s">
        <v>148</v>
      </c>
      <c r="F16" s="42"/>
      <c r="G16" s="42"/>
      <c r="H16" s="42"/>
      <c r="I16" s="42"/>
      <c r="J16" s="42"/>
      <c r="K16" s="42"/>
      <c r="L16" s="14">
        <v>10.0</v>
      </c>
      <c r="M16" s="14">
        <v>6.0</v>
      </c>
      <c r="N16" s="14">
        <v>16.0</v>
      </c>
      <c r="O16" s="1">
        <f t="shared" si="1"/>
        <v>0.625</v>
      </c>
      <c r="P16" s="1">
        <f t="shared" si="2"/>
        <v>6</v>
      </c>
      <c r="Q16" s="1">
        <f t="shared" si="3"/>
        <v>0</v>
      </c>
    </row>
    <row r="17">
      <c r="A17" s="14">
        <v>2.411000046E9</v>
      </c>
      <c r="B17" s="14" t="s">
        <v>21</v>
      </c>
      <c r="C17" s="42"/>
      <c r="D17" s="14">
        <v>21.0</v>
      </c>
      <c r="E17" s="14" t="s">
        <v>79</v>
      </c>
      <c r="F17" s="42"/>
      <c r="G17" s="42"/>
      <c r="H17" s="42"/>
      <c r="I17" s="42"/>
      <c r="J17" s="42"/>
      <c r="K17" s="42"/>
      <c r="L17" s="14">
        <v>9.0</v>
      </c>
      <c r="M17" s="14">
        <v>7.0</v>
      </c>
      <c r="N17" s="14">
        <v>16.0</v>
      </c>
      <c r="O17" s="1">
        <f t="shared" si="1"/>
        <v>0.5625</v>
      </c>
      <c r="P17" s="1">
        <f t="shared" si="2"/>
        <v>7</v>
      </c>
      <c r="Q17" s="1">
        <f t="shared" si="3"/>
        <v>0</v>
      </c>
    </row>
    <row r="18">
      <c r="A18" s="14">
        <v>2.411000046E9</v>
      </c>
      <c r="B18" s="14" t="s">
        <v>21</v>
      </c>
      <c r="C18" s="42"/>
      <c r="D18" s="14">
        <v>19.0</v>
      </c>
      <c r="E18" s="14" t="s">
        <v>72</v>
      </c>
      <c r="F18" s="42"/>
      <c r="G18" s="42"/>
      <c r="H18" s="42"/>
      <c r="I18" s="42"/>
      <c r="J18" s="42"/>
      <c r="K18" s="42"/>
      <c r="L18" s="14">
        <v>14.0</v>
      </c>
      <c r="M18" s="14">
        <v>14.0</v>
      </c>
      <c r="N18" s="14">
        <v>28.0</v>
      </c>
      <c r="O18" s="1">
        <f t="shared" si="1"/>
        <v>0.5</v>
      </c>
      <c r="P18" s="1">
        <f t="shared" si="2"/>
        <v>14</v>
      </c>
      <c r="Q18" s="1">
        <f t="shared" si="3"/>
        <v>0</v>
      </c>
    </row>
    <row r="19">
      <c r="A19" s="14">
        <v>2.411000046E9</v>
      </c>
      <c r="B19" s="14" t="s">
        <v>21</v>
      </c>
      <c r="C19" s="42"/>
      <c r="D19" s="14">
        <v>12.0</v>
      </c>
      <c r="E19" s="14" t="s">
        <v>136</v>
      </c>
      <c r="F19" s="42"/>
      <c r="G19" s="42"/>
      <c r="H19" s="42"/>
      <c r="I19" s="42"/>
      <c r="J19" s="42"/>
      <c r="K19" s="42"/>
      <c r="L19" s="14">
        <v>22.0</v>
      </c>
      <c r="M19" s="14">
        <v>2.0</v>
      </c>
      <c r="N19" s="14">
        <v>24.0</v>
      </c>
      <c r="O19" s="1">
        <f t="shared" si="1"/>
        <v>0.9166666667</v>
      </c>
      <c r="P19" s="1">
        <f t="shared" si="2"/>
        <v>2</v>
      </c>
      <c r="Q19" s="1">
        <f t="shared" si="3"/>
        <v>0</v>
      </c>
    </row>
    <row r="20">
      <c r="A20" s="14">
        <v>2.411000046E9</v>
      </c>
      <c r="B20" s="14" t="s">
        <v>21</v>
      </c>
      <c r="C20" s="42"/>
      <c r="D20" s="14">
        <v>32.0</v>
      </c>
      <c r="E20" s="14" t="s">
        <v>356</v>
      </c>
      <c r="F20" s="42"/>
      <c r="G20" s="42"/>
      <c r="H20" s="42"/>
      <c r="I20" s="42"/>
      <c r="J20" s="42"/>
      <c r="K20" s="42"/>
      <c r="L20" s="14">
        <v>12.0</v>
      </c>
      <c r="M20" s="14">
        <v>4.0</v>
      </c>
      <c r="N20" s="14">
        <v>16.0</v>
      </c>
      <c r="O20" s="1">
        <f t="shared" si="1"/>
        <v>0.75</v>
      </c>
      <c r="P20" s="1">
        <f t="shared" si="2"/>
        <v>4</v>
      </c>
      <c r="Q20" s="1">
        <f t="shared" si="3"/>
        <v>0</v>
      </c>
    </row>
    <row r="21">
      <c r="A21" s="14">
        <v>2.411000046E9</v>
      </c>
      <c r="B21" s="14" t="s">
        <v>21</v>
      </c>
      <c r="C21" s="42"/>
      <c r="D21" s="14">
        <v>64.0</v>
      </c>
      <c r="E21" s="14" t="s">
        <v>173</v>
      </c>
      <c r="F21" s="42"/>
      <c r="G21" s="42"/>
      <c r="H21" s="42"/>
      <c r="I21" s="42"/>
      <c r="J21" s="42"/>
      <c r="K21" s="42"/>
      <c r="L21" s="14">
        <v>3.0</v>
      </c>
      <c r="M21" s="14">
        <v>5.0</v>
      </c>
      <c r="N21" s="14">
        <v>8.0</v>
      </c>
      <c r="O21" s="1">
        <f t="shared" si="1"/>
        <v>0.375</v>
      </c>
      <c r="P21" s="1">
        <f t="shared" si="2"/>
        <v>5</v>
      </c>
      <c r="Q21" s="1">
        <f t="shared" si="3"/>
        <v>0</v>
      </c>
    </row>
    <row r="22">
      <c r="A22" s="14">
        <v>2.411000046E9</v>
      </c>
      <c r="B22" s="14" t="s">
        <v>21</v>
      </c>
      <c r="C22" s="42"/>
      <c r="D22" s="14">
        <v>36.0</v>
      </c>
      <c r="E22" s="14" t="s">
        <v>153</v>
      </c>
      <c r="F22" s="42"/>
      <c r="G22" s="42"/>
      <c r="H22" s="42"/>
      <c r="I22" s="42"/>
      <c r="J22" s="42"/>
      <c r="K22" s="42"/>
      <c r="L22" s="14">
        <v>4.0</v>
      </c>
      <c r="M22" s="14">
        <v>4.0</v>
      </c>
      <c r="N22" s="14">
        <v>8.0</v>
      </c>
      <c r="O22" s="1">
        <f t="shared" si="1"/>
        <v>0.5</v>
      </c>
      <c r="P22" s="1">
        <f t="shared" si="2"/>
        <v>4</v>
      </c>
      <c r="Q22" s="1">
        <f t="shared" si="3"/>
        <v>0</v>
      </c>
    </row>
    <row r="23">
      <c r="A23" s="14">
        <v>2.411000046E9</v>
      </c>
      <c r="B23" s="14" t="s">
        <v>21</v>
      </c>
      <c r="C23" s="42"/>
      <c r="D23" s="14">
        <v>44.0</v>
      </c>
      <c r="E23" s="14" t="s">
        <v>160</v>
      </c>
      <c r="F23" s="42"/>
      <c r="G23" s="42"/>
      <c r="H23" s="42"/>
      <c r="I23" s="42"/>
      <c r="J23" s="42"/>
      <c r="K23" s="42"/>
      <c r="L23" s="14">
        <v>12.0</v>
      </c>
      <c r="M23" s="14">
        <v>12.0</v>
      </c>
      <c r="N23" s="14">
        <v>24.0</v>
      </c>
      <c r="O23" s="1">
        <f t="shared" si="1"/>
        <v>0.5</v>
      </c>
      <c r="P23" s="1">
        <f t="shared" si="2"/>
        <v>12</v>
      </c>
      <c r="Q23" s="1">
        <f t="shared" si="3"/>
        <v>0</v>
      </c>
    </row>
    <row r="24">
      <c r="A24" s="14">
        <v>2.411000046E9</v>
      </c>
      <c r="B24" s="14" t="s">
        <v>21</v>
      </c>
      <c r="C24" s="42"/>
      <c r="D24" s="14">
        <v>29.0</v>
      </c>
      <c r="E24" s="14" t="s">
        <v>147</v>
      </c>
      <c r="F24" s="42"/>
      <c r="G24" s="42"/>
      <c r="H24" s="42"/>
      <c r="I24" s="42"/>
      <c r="J24" s="42"/>
      <c r="K24" s="42"/>
      <c r="L24" s="14">
        <v>11.0</v>
      </c>
      <c r="M24" s="14">
        <v>3.0</v>
      </c>
      <c r="N24" s="14">
        <v>14.0</v>
      </c>
      <c r="O24" s="1">
        <f t="shared" si="1"/>
        <v>0.7857142857</v>
      </c>
      <c r="P24" s="1">
        <f t="shared" si="2"/>
        <v>3</v>
      </c>
      <c r="Q24" s="1">
        <f t="shared" si="3"/>
        <v>0</v>
      </c>
    </row>
    <row r="25">
      <c r="A25" s="14">
        <v>2.411000046E9</v>
      </c>
      <c r="B25" s="14" t="s">
        <v>21</v>
      </c>
      <c r="C25" s="42"/>
      <c r="D25" s="14">
        <v>54.0</v>
      </c>
      <c r="E25" s="14" t="s">
        <v>168</v>
      </c>
      <c r="F25" s="42"/>
      <c r="G25" s="42"/>
      <c r="H25" s="42"/>
      <c r="I25" s="42"/>
      <c r="J25" s="42"/>
      <c r="K25" s="42"/>
      <c r="L25" s="14">
        <v>7.0</v>
      </c>
      <c r="M25" s="14">
        <v>0.0</v>
      </c>
      <c r="N25" s="14">
        <v>7.0</v>
      </c>
      <c r="O25" s="1">
        <f t="shared" si="1"/>
        <v>1</v>
      </c>
      <c r="P25" s="1">
        <f t="shared" si="2"/>
        <v>0</v>
      </c>
      <c r="Q25" s="1">
        <f t="shared" si="3"/>
        <v>0</v>
      </c>
    </row>
    <row r="26">
      <c r="A26" s="14">
        <v>2.411000046E9</v>
      </c>
      <c r="B26" s="14" t="s">
        <v>21</v>
      </c>
      <c r="C26" s="42"/>
      <c r="D26" s="14">
        <v>99.0</v>
      </c>
      <c r="E26" s="14" t="s">
        <v>213</v>
      </c>
      <c r="F26" s="42"/>
      <c r="G26" s="42"/>
      <c r="H26" s="42"/>
      <c r="I26" s="42"/>
      <c r="J26" s="42"/>
      <c r="K26" s="42"/>
      <c r="L26" s="14">
        <v>5.0</v>
      </c>
      <c r="M26" s="14">
        <v>2.0</v>
      </c>
      <c r="N26" s="14">
        <v>7.0</v>
      </c>
      <c r="O26" s="1">
        <f t="shared" si="1"/>
        <v>0.7142857143</v>
      </c>
      <c r="P26" s="1">
        <f t="shared" si="2"/>
        <v>2</v>
      </c>
      <c r="Q26" s="1">
        <f t="shared" si="3"/>
        <v>0</v>
      </c>
    </row>
    <row r="27">
      <c r="A27" s="14">
        <v>2.411000046E9</v>
      </c>
      <c r="B27" s="14" t="s">
        <v>21</v>
      </c>
      <c r="C27" s="42"/>
      <c r="D27" s="14">
        <v>5.0</v>
      </c>
      <c r="E27" s="14" t="s">
        <v>131</v>
      </c>
      <c r="F27" s="42"/>
      <c r="G27" s="42"/>
      <c r="H27" s="42"/>
      <c r="I27" s="42"/>
      <c r="J27" s="42"/>
      <c r="K27" s="42"/>
      <c r="L27" s="14">
        <v>9.0</v>
      </c>
      <c r="M27" s="14">
        <v>5.0</v>
      </c>
      <c r="N27" s="14">
        <v>14.0</v>
      </c>
      <c r="O27" s="1">
        <f t="shared" si="1"/>
        <v>0.6428571429</v>
      </c>
      <c r="P27" s="1">
        <f t="shared" si="2"/>
        <v>5</v>
      </c>
      <c r="Q27" s="1">
        <f t="shared" si="3"/>
        <v>0</v>
      </c>
    </row>
    <row r="28">
      <c r="A28" s="14">
        <v>2.411000046E9</v>
      </c>
      <c r="B28" s="14" t="s">
        <v>21</v>
      </c>
      <c r="C28" s="42"/>
      <c r="D28" s="14">
        <v>98.0</v>
      </c>
      <c r="E28" s="14" t="s">
        <v>118</v>
      </c>
      <c r="F28" s="42"/>
      <c r="G28" s="42"/>
      <c r="H28" s="42"/>
      <c r="I28" s="42"/>
      <c r="J28" s="42"/>
      <c r="K28" s="42"/>
      <c r="L28" s="14">
        <v>6.0</v>
      </c>
      <c r="M28" s="14">
        <v>1.0</v>
      </c>
      <c r="N28" s="14">
        <v>7.0</v>
      </c>
      <c r="O28" s="1">
        <f t="shared" si="1"/>
        <v>0.8571428571</v>
      </c>
      <c r="P28" s="1">
        <f t="shared" si="2"/>
        <v>1</v>
      </c>
      <c r="Q28" s="1">
        <f t="shared" si="3"/>
        <v>0</v>
      </c>
    </row>
    <row r="29">
      <c r="A29" s="14">
        <v>2.411000046E9</v>
      </c>
      <c r="B29" s="14" t="s">
        <v>21</v>
      </c>
      <c r="C29" s="42"/>
      <c r="D29" s="14">
        <v>11.0</v>
      </c>
      <c r="E29" s="14" t="s">
        <v>86</v>
      </c>
      <c r="F29" s="42"/>
      <c r="G29" s="42"/>
      <c r="H29" s="42"/>
      <c r="I29" s="42"/>
      <c r="J29" s="42"/>
      <c r="K29" s="42"/>
      <c r="L29" s="14">
        <v>12.0</v>
      </c>
      <c r="M29" s="14">
        <v>9.0</v>
      </c>
      <c r="N29" s="14">
        <v>21.0</v>
      </c>
      <c r="O29" s="1">
        <f t="shared" si="1"/>
        <v>0.5714285714</v>
      </c>
      <c r="P29" s="1">
        <f t="shared" si="2"/>
        <v>9</v>
      </c>
      <c r="Q29" s="1">
        <f t="shared" si="3"/>
        <v>0</v>
      </c>
    </row>
    <row r="30">
      <c r="A30" s="14">
        <v>2.411000046E9</v>
      </c>
      <c r="B30" s="14" t="s">
        <v>21</v>
      </c>
      <c r="C30" s="42"/>
      <c r="D30" s="14">
        <v>2.0</v>
      </c>
      <c r="E30" s="14" t="s">
        <v>74</v>
      </c>
      <c r="F30" s="42"/>
      <c r="G30" s="42"/>
      <c r="H30" s="42"/>
      <c r="I30" s="14" t="s">
        <v>357</v>
      </c>
      <c r="J30" s="42"/>
      <c r="K30" s="42"/>
      <c r="L30" s="14">
        <v>41.0</v>
      </c>
      <c r="M30" s="14">
        <v>19.0</v>
      </c>
      <c r="N30" s="14">
        <v>60.0</v>
      </c>
      <c r="O30" s="1">
        <f t="shared" si="1"/>
        <v>0.6833333333</v>
      </c>
      <c r="P30" s="1">
        <f t="shared" si="2"/>
        <v>19</v>
      </c>
      <c r="Q30" s="1">
        <f t="shared" si="3"/>
        <v>0</v>
      </c>
    </row>
    <row r="31">
      <c r="A31" s="14">
        <v>2.503000216E9</v>
      </c>
      <c r="B31" s="14" t="s">
        <v>358</v>
      </c>
      <c r="C31" s="42"/>
      <c r="D31" s="14">
        <v>114.0</v>
      </c>
      <c r="E31" s="14" t="s">
        <v>218</v>
      </c>
      <c r="F31" s="42"/>
      <c r="G31" s="42"/>
      <c r="H31" s="42"/>
      <c r="I31" s="42"/>
      <c r="J31" s="42"/>
      <c r="K31" s="42"/>
      <c r="L31" s="14">
        <v>6.0</v>
      </c>
      <c r="M31" s="14">
        <v>1.0</v>
      </c>
      <c r="N31" s="14">
        <v>7.0</v>
      </c>
      <c r="O31" s="1">
        <f t="shared" si="1"/>
        <v>0.8571428571</v>
      </c>
      <c r="P31" s="1">
        <f t="shared" si="2"/>
        <v>1</v>
      </c>
      <c r="Q31" s="1">
        <f t="shared" si="3"/>
        <v>0</v>
      </c>
    </row>
    <row r="32">
      <c r="A32" s="14">
        <v>2.503000216E9</v>
      </c>
      <c r="B32" s="14" t="s">
        <v>358</v>
      </c>
      <c r="C32" s="42"/>
      <c r="D32" s="14">
        <v>52.0</v>
      </c>
      <c r="E32" s="14" t="s">
        <v>174</v>
      </c>
      <c r="F32" s="42"/>
      <c r="G32" s="42"/>
      <c r="H32" s="42"/>
      <c r="I32" s="42"/>
      <c r="J32" s="42"/>
      <c r="K32" s="42"/>
      <c r="L32" s="14">
        <v>13.0</v>
      </c>
      <c r="M32" s="14">
        <v>1.0</v>
      </c>
      <c r="N32" s="14">
        <v>14.0</v>
      </c>
      <c r="O32" s="1">
        <f t="shared" si="1"/>
        <v>0.9285714286</v>
      </c>
      <c r="P32" s="1">
        <f t="shared" si="2"/>
        <v>1</v>
      </c>
      <c r="Q32" s="1">
        <f t="shared" si="3"/>
        <v>0</v>
      </c>
    </row>
    <row r="33">
      <c r="A33" s="14">
        <v>2.503000216E9</v>
      </c>
      <c r="B33" s="14" t="s">
        <v>358</v>
      </c>
      <c r="C33" s="42"/>
      <c r="D33" s="14">
        <v>18.0</v>
      </c>
      <c r="E33" s="14" t="s">
        <v>53</v>
      </c>
      <c r="F33" s="42"/>
      <c r="G33" s="42"/>
      <c r="H33" s="42"/>
      <c r="I33" s="42"/>
      <c r="J33" s="42"/>
      <c r="K33" s="42"/>
      <c r="L33" s="14">
        <v>7.0</v>
      </c>
      <c r="M33" s="14">
        <v>0.0</v>
      </c>
      <c r="N33" s="14">
        <v>7.0</v>
      </c>
      <c r="O33" s="1">
        <f t="shared" si="1"/>
        <v>1</v>
      </c>
      <c r="P33" s="1">
        <f t="shared" si="2"/>
        <v>0</v>
      </c>
      <c r="Q33" s="1">
        <f t="shared" si="3"/>
        <v>0</v>
      </c>
    </row>
    <row r="34">
      <c r="A34" s="14">
        <v>2.503000216E9</v>
      </c>
      <c r="B34" s="14" t="s">
        <v>358</v>
      </c>
      <c r="C34" s="42"/>
      <c r="D34" s="14">
        <v>91.0</v>
      </c>
      <c r="E34" s="14" t="s">
        <v>208</v>
      </c>
      <c r="F34" s="42"/>
      <c r="G34" s="42"/>
      <c r="H34" s="42"/>
      <c r="I34" s="42"/>
      <c r="J34" s="42"/>
      <c r="K34" s="42"/>
      <c r="L34" s="14">
        <v>1.0</v>
      </c>
      <c r="M34" s="14">
        <v>6.0</v>
      </c>
      <c r="N34" s="14">
        <v>7.0</v>
      </c>
      <c r="O34" s="1">
        <f t="shared" si="1"/>
        <v>0.1428571429</v>
      </c>
      <c r="P34" s="1">
        <f t="shared" si="2"/>
        <v>6</v>
      </c>
      <c r="Q34" s="1">
        <f t="shared" si="3"/>
        <v>1</v>
      </c>
    </row>
    <row r="35">
      <c r="A35" s="14">
        <v>2.503000216E9</v>
      </c>
      <c r="B35" s="14" t="s">
        <v>358</v>
      </c>
      <c r="C35" s="42"/>
      <c r="D35" s="14">
        <v>96.0</v>
      </c>
      <c r="E35" s="14" t="s">
        <v>355</v>
      </c>
      <c r="F35" s="42"/>
      <c r="G35" s="42"/>
      <c r="H35" s="14">
        <v>15.0</v>
      </c>
      <c r="I35" s="42"/>
      <c r="J35" s="42"/>
      <c r="K35" s="42"/>
      <c r="L35" s="14">
        <v>12.0</v>
      </c>
      <c r="M35" s="14">
        <v>9.0</v>
      </c>
      <c r="N35" s="14">
        <v>21.0</v>
      </c>
      <c r="O35" s="1">
        <f t="shared" si="1"/>
        <v>0.5714285714</v>
      </c>
      <c r="P35" s="1">
        <f t="shared" si="2"/>
        <v>9</v>
      </c>
      <c r="Q35" s="1">
        <f t="shared" si="3"/>
        <v>0</v>
      </c>
    </row>
    <row r="36">
      <c r="A36" s="14">
        <v>2.503000216E9</v>
      </c>
      <c r="B36" s="14" t="s">
        <v>358</v>
      </c>
      <c r="C36" s="42"/>
      <c r="D36" s="14">
        <v>102.0</v>
      </c>
      <c r="E36" s="14" t="s">
        <v>222</v>
      </c>
      <c r="F36" s="42"/>
      <c r="G36" s="42"/>
      <c r="H36" s="42"/>
      <c r="I36" s="42"/>
      <c r="J36" s="42"/>
      <c r="K36" s="42"/>
      <c r="L36" s="14">
        <v>7.0</v>
      </c>
      <c r="M36" s="14">
        <v>0.0</v>
      </c>
      <c r="N36" s="14">
        <v>7.0</v>
      </c>
      <c r="O36" s="1">
        <f t="shared" si="1"/>
        <v>1</v>
      </c>
      <c r="P36" s="1">
        <f t="shared" si="2"/>
        <v>0</v>
      </c>
      <c r="Q36" s="1">
        <f t="shared" si="3"/>
        <v>0</v>
      </c>
    </row>
    <row r="37">
      <c r="A37" s="14">
        <v>2.503000216E9</v>
      </c>
      <c r="B37" s="14" t="s">
        <v>358</v>
      </c>
      <c r="C37" s="42"/>
      <c r="D37" s="14">
        <v>113.0</v>
      </c>
      <c r="E37" s="14" t="s">
        <v>217</v>
      </c>
      <c r="F37" s="42"/>
      <c r="G37" s="42"/>
      <c r="H37" s="42"/>
      <c r="I37" s="43"/>
      <c r="J37" s="42"/>
      <c r="K37" s="42"/>
      <c r="L37" s="14">
        <v>7.0</v>
      </c>
      <c r="M37" s="14">
        <v>0.0</v>
      </c>
      <c r="N37" s="14">
        <v>7.0</v>
      </c>
      <c r="O37" s="1">
        <f t="shared" si="1"/>
        <v>1</v>
      </c>
      <c r="P37" s="1">
        <f t="shared" si="2"/>
        <v>0</v>
      </c>
      <c r="Q37" s="1">
        <f t="shared" si="3"/>
        <v>0</v>
      </c>
    </row>
    <row r="38">
      <c r="A38" s="14">
        <v>2.503000216E9</v>
      </c>
      <c r="B38" s="14" t="s">
        <v>358</v>
      </c>
      <c r="C38" s="42"/>
      <c r="D38" s="14">
        <v>19.0</v>
      </c>
      <c r="E38" s="14" t="s">
        <v>72</v>
      </c>
      <c r="F38" s="42"/>
      <c r="G38" s="42"/>
      <c r="H38" s="42"/>
      <c r="I38" s="42"/>
      <c r="J38" s="42"/>
      <c r="K38" s="42"/>
      <c r="L38" s="14">
        <v>22.0</v>
      </c>
      <c r="M38" s="14">
        <v>10.0</v>
      </c>
      <c r="N38" s="14">
        <v>32.0</v>
      </c>
      <c r="O38" s="1">
        <f t="shared" si="1"/>
        <v>0.6875</v>
      </c>
      <c r="P38" s="1">
        <f t="shared" si="2"/>
        <v>10</v>
      </c>
      <c r="Q38" s="1">
        <f t="shared" si="3"/>
        <v>0</v>
      </c>
    </row>
    <row r="39">
      <c r="A39" s="14">
        <v>2.503000216E9</v>
      </c>
      <c r="B39" s="14" t="s">
        <v>358</v>
      </c>
      <c r="C39" s="42"/>
      <c r="D39" s="14">
        <v>10.0</v>
      </c>
      <c r="E39" s="14" t="s">
        <v>135</v>
      </c>
      <c r="F39" s="42"/>
      <c r="G39" s="42"/>
      <c r="H39" s="42"/>
      <c r="I39" s="42"/>
      <c r="J39" s="42"/>
      <c r="K39" s="42"/>
      <c r="L39" s="14">
        <v>15.0</v>
      </c>
      <c r="M39" s="14">
        <v>1.0</v>
      </c>
      <c r="N39" s="14">
        <v>16.0</v>
      </c>
      <c r="O39" s="1">
        <f t="shared" si="1"/>
        <v>0.9375</v>
      </c>
      <c r="P39" s="1">
        <f t="shared" si="2"/>
        <v>1</v>
      </c>
      <c r="Q39" s="1">
        <f t="shared" si="3"/>
        <v>0</v>
      </c>
    </row>
    <row r="40">
      <c r="A40" s="14">
        <v>2.503000216E9</v>
      </c>
      <c r="B40" s="14" t="s">
        <v>358</v>
      </c>
      <c r="C40" s="42"/>
      <c r="D40" s="14">
        <v>30.0</v>
      </c>
      <c r="E40" s="14" t="s">
        <v>148</v>
      </c>
      <c r="F40" s="42"/>
      <c r="G40" s="42"/>
      <c r="H40" s="42"/>
      <c r="I40" s="42"/>
      <c r="J40" s="42"/>
      <c r="K40" s="42"/>
      <c r="L40" s="14">
        <v>15.0</v>
      </c>
      <c r="M40" s="14">
        <v>1.0</v>
      </c>
      <c r="N40" s="14">
        <v>16.0</v>
      </c>
      <c r="O40" s="1">
        <f t="shared" si="1"/>
        <v>0.9375</v>
      </c>
      <c r="P40" s="1">
        <f t="shared" si="2"/>
        <v>1</v>
      </c>
      <c r="Q40" s="1">
        <f t="shared" si="3"/>
        <v>0</v>
      </c>
    </row>
    <row r="41">
      <c r="A41" s="14">
        <v>2.503000216E9</v>
      </c>
      <c r="B41" s="14" t="s">
        <v>358</v>
      </c>
      <c r="C41" s="42"/>
      <c r="D41" s="14">
        <v>25.0</v>
      </c>
      <c r="E41" s="14" t="s">
        <v>144</v>
      </c>
      <c r="F41" s="42"/>
      <c r="G41" s="42"/>
      <c r="H41" s="42"/>
      <c r="I41" s="42"/>
      <c r="J41" s="42"/>
      <c r="K41" s="42"/>
      <c r="L41" s="14">
        <v>10.0</v>
      </c>
      <c r="M41" s="14">
        <v>6.0</v>
      </c>
      <c r="N41" s="14">
        <v>16.0</v>
      </c>
      <c r="O41" s="1">
        <f t="shared" si="1"/>
        <v>0.625</v>
      </c>
      <c r="P41" s="1">
        <f t="shared" si="2"/>
        <v>6</v>
      </c>
      <c r="Q41" s="1">
        <f t="shared" si="3"/>
        <v>0</v>
      </c>
    </row>
    <row r="42">
      <c r="A42" s="14">
        <v>2.503000216E9</v>
      </c>
      <c r="B42" s="14" t="s">
        <v>358</v>
      </c>
      <c r="C42" s="42"/>
      <c r="D42" s="14">
        <v>21.0</v>
      </c>
      <c r="E42" s="14" t="s">
        <v>79</v>
      </c>
      <c r="F42" s="42"/>
      <c r="G42" s="42"/>
      <c r="H42" s="42"/>
      <c r="I42" s="42"/>
      <c r="J42" s="42"/>
      <c r="K42" s="42"/>
      <c r="L42" s="14">
        <v>10.0</v>
      </c>
      <c r="M42" s="14">
        <v>6.0</v>
      </c>
      <c r="N42" s="14">
        <v>16.0</v>
      </c>
      <c r="O42" s="1">
        <f t="shared" si="1"/>
        <v>0.625</v>
      </c>
      <c r="P42" s="1">
        <f t="shared" si="2"/>
        <v>6</v>
      </c>
      <c r="Q42" s="1">
        <f t="shared" si="3"/>
        <v>0</v>
      </c>
    </row>
    <row r="43">
      <c r="A43" s="14">
        <v>2.503000216E9</v>
      </c>
      <c r="B43" s="14" t="s">
        <v>358</v>
      </c>
      <c r="C43" s="42"/>
      <c r="D43" s="14">
        <v>28.0</v>
      </c>
      <c r="E43" s="14" t="s">
        <v>146</v>
      </c>
      <c r="F43" s="42"/>
      <c r="G43" s="42"/>
      <c r="H43" s="42"/>
      <c r="I43" s="42"/>
      <c r="J43" s="42"/>
      <c r="K43" s="42"/>
      <c r="L43" s="14">
        <v>15.0</v>
      </c>
      <c r="M43" s="14">
        <v>1.0</v>
      </c>
      <c r="N43" s="14">
        <v>16.0</v>
      </c>
      <c r="O43" s="1">
        <f t="shared" si="1"/>
        <v>0.9375</v>
      </c>
      <c r="P43" s="1">
        <f t="shared" si="2"/>
        <v>1</v>
      </c>
      <c r="Q43" s="1">
        <f t="shared" si="3"/>
        <v>0</v>
      </c>
    </row>
    <row r="44">
      <c r="A44" s="14">
        <v>2.503000216E9</v>
      </c>
      <c r="B44" s="14" t="s">
        <v>358</v>
      </c>
      <c r="C44" s="42"/>
      <c r="D44" s="14">
        <v>14.0</v>
      </c>
      <c r="E44" s="14" t="s">
        <v>138</v>
      </c>
      <c r="F44" s="42"/>
      <c r="G44" s="42"/>
      <c r="H44" s="42"/>
      <c r="I44" s="42"/>
      <c r="J44" s="42"/>
      <c r="K44" s="42"/>
      <c r="L44" s="14">
        <v>12.0</v>
      </c>
      <c r="M44" s="14">
        <v>0.0</v>
      </c>
      <c r="N44" s="14">
        <v>12.0</v>
      </c>
      <c r="O44" s="1">
        <f t="shared" si="1"/>
        <v>1</v>
      </c>
      <c r="P44" s="1">
        <f t="shared" si="2"/>
        <v>0</v>
      </c>
      <c r="Q44" s="1">
        <f t="shared" si="3"/>
        <v>0</v>
      </c>
    </row>
    <row r="45">
      <c r="A45" s="14">
        <v>2.503000216E9</v>
      </c>
      <c r="B45" s="14" t="s">
        <v>358</v>
      </c>
      <c r="C45" s="42"/>
      <c r="D45" s="14">
        <v>13.0</v>
      </c>
      <c r="E45" s="14" t="s">
        <v>137</v>
      </c>
      <c r="F45" s="42"/>
      <c r="G45" s="42"/>
      <c r="H45" s="42"/>
      <c r="I45" s="42"/>
      <c r="J45" s="42"/>
      <c r="K45" s="42"/>
      <c r="L45" s="14">
        <v>12.0</v>
      </c>
      <c r="M45" s="14">
        <v>0.0</v>
      </c>
      <c r="N45" s="14">
        <v>12.0</v>
      </c>
      <c r="O45" s="1">
        <f t="shared" si="1"/>
        <v>1</v>
      </c>
      <c r="P45" s="1">
        <f t="shared" si="2"/>
        <v>0</v>
      </c>
      <c r="Q45" s="1">
        <f t="shared" si="3"/>
        <v>0</v>
      </c>
    </row>
    <row r="46">
      <c r="A46" s="14">
        <v>2.503000216E9</v>
      </c>
      <c r="B46" s="14" t="s">
        <v>358</v>
      </c>
      <c r="C46" s="42"/>
      <c r="D46" s="14">
        <v>3.0</v>
      </c>
      <c r="E46" s="14" t="s">
        <v>125</v>
      </c>
      <c r="F46" s="42"/>
      <c r="G46" s="42"/>
      <c r="H46" s="42"/>
      <c r="I46" s="42"/>
      <c r="J46" s="42"/>
      <c r="K46" s="42"/>
      <c r="L46" s="14">
        <v>6.0</v>
      </c>
      <c r="M46" s="14">
        <v>6.0</v>
      </c>
      <c r="N46" s="14">
        <v>12.0</v>
      </c>
      <c r="O46" s="1">
        <f t="shared" si="1"/>
        <v>0.5</v>
      </c>
      <c r="P46" s="1">
        <f t="shared" si="2"/>
        <v>6</v>
      </c>
      <c r="Q46" s="1">
        <f t="shared" si="3"/>
        <v>0</v>
      </c>
    </row>
    <row r="47">
      <c r="A47" s="14">
        <v>2.503000216E9</v>
      </c>
      <c r="B47" s="14" t="s">
        <v>358</v>
      </c>
      <c r="C47" s="42"/>
      <c r="D47" s="14">
        <v>118.0</v>
      </c>
      <c r="E47" s="14" t="s">
        <v>223</v>
      </c>
      <c r="F47" s="42"/>
      <c r="G47" s="42"/>
      <c r="H47" s="42"/>
      <c r="I47" s="42"/>
      <c r="J47" s="42"/>
      <c r="K47" s="42"/>
      <c r="L47" s="14">
        <v>15.0</v>
      </c>
      <c r="M47" s="14">
        <v>1.0</v>
      </c>
      <c r="N47" s="14">
        <v>16.0</v>
      </c>
      <c r="O47" s="1">
        <f t="shared" si="1"/>
        <v>0.9375</v>
      </c>
      <c r="P47" s="1">
        <f t="shared" si="2"/>
        <v>1</v>
      </c>
      <c r="Q47" s="1">
        <f t="shared" si="3"/>
        <v>0</v>
      </c>
    </row>
    <row r="48">
      <c r="A48" s="14">
        <v>2.503000216E9</v>
      </c>
      <c r="B48" s="14" t="s">
        <v>358</v>
      </c>
      <c r="C48" s="42"/>
      <c r="D48" s="14">
        <v>119.0</v>
      </c>
      <c r="E48" s="14" t="s">
        <v>224</v>
      </c>
      <c r="F48" s="42"/>
      <c r="G48" s="42"/>
      <c r="H48" s="42"/>
      <c r="I48" s="42"/>
      <c r="J48" s="42"/>
      <c r="K48" s="42"/>
      <c r="L48" s="14">
        <v>1.0</v>
      </c>
      <c r="M48" s="14">
        <v>7.0</v>
      </c>
      <c r="N48" s="14">
        <v>8.0</v>
      </c>
      <c r="O48" s="1">
        <f t="shared" si="1"/>
        <v>0.125</v>
      </c>
      <c r="P48" s="1">
        <f t="shared" si="2"/>
        <v>7</v>
      </c>
      <c r="Q48" s="1">
        <f t="shared" si="3"/>
        <v>1</v>
      </c>
    </row>
    <row r="49">
      <c r="A49" s="14">
        <v>2.503000216E9</v>
      </c>
      <c r="B49" s="14" t="s">
        <v>358</v>
      </c>
      <c r="C49" s="42"/>
      <c r="D49" s="14">
        <v>82.0</v>
      </c>
      <c r="E49" s="14" t="s">
        <v>197</v>
      </c>
      <c r="F49" s="42"/>
      <c r="G49" s="42"/>
      <c r="H49" s="42"/>
      <c r="I49" s="42"/>
      <c r="J49" s="42"/>
      <c r="K49" s="42"/>
      <c r="L49" s="14">
        <v>4.0</v>
      </c>
      <c r="M49" s="14">
        <v>4.0</v>
      </c>
      <c r="N49" s="14">
        <v>8.0</v>
      </c>
      <c r="O49" s="1">
        <f t="shared" si="1"/>
        <v>0.5</v>
      </c>
      <c r="P49" s="1">
        <f t="shared" si="2"/>
        <v>4</v>
      </c>
      <c r="Q49" s="1">
        <f t="shared" si="3"/>
        <v>0</v>
      </c>
    </row>
    <row r="50">
      <c r="A50" s="14">
        <v>2.503000216E9</v>
      </c>
      <c r="B50" s="14" t="s">
        <v>358</v>
      </c>
      <c r="C50" s="42"/>
      <c r="D50" s="14">
        <v>49.0</v>
      </c>
      <c r="E50" s="14" t="s">
        <v>165</v>
      </c>
      <c r="F50" s="42"/>
      <c r="G50" s="42"/>
      <c r="H50" s="42"/>
      <c r="I50" s="42"/>
      <c r="J50" s="42"/>
      <c r="K50" s="42"/>
      <c r="L50" s="14">
        <v>15.0</v>
      </c>
      <c r="M50" s="14">
        <v>1.0</v>
      </c>
      <c r="N50" s="14">
        <v>16.0</v>
      </c>
      <c r="O50" s="1">
        <f t="shared" si="1"/>
        <v>0.9375</v>
      </c>
      <c r="P50" s="1">
        <f t="shared" si="2"/>
        <v>1</v>
      </c>
      <c r="Q50" s="1">
        <f t="shared" si="3"/>
        <v>0</v>
      </c>
    </row>
    <row r="51">
      <c r="A51" s="14">
        <v>2.503000216E9</v>
      </c>
      <c r="B51" s="14" t="s">
        <v>358</v>
      </c>
      <c r="C51" s="42"/>
      <c r="D51" s="14">
        <v>64.0</v>
      </c>
      <c r="E51" s="14" t="s">
        <v>173</v>
      </c>
      <c r="F51" s="42"/>
      <c r="G51" s="42"/>
      <c r="H51" s="42"/>
      <c r="I51" s="42"/>
      <c r="J51" s="42"/>
      <c r="K51" s="42"/>
      <c r="L51" s="14">
        <v>11.0</v>
      </c>
      <c r="M51" s="14">
        <v>1.0</v>
      </c>
      <c r="N51" s="14">
        <v>12.0</v>
      </c>
      <c r="O51" s="1">
        <f t="shared" si="1"/>
        <v>0.9166666667</v>
      </c>
      <c r="P51" s="1">
        <f t="shared" si="2"/>
        <v>1</v>
      </c>
      <c r="Q51" s="1">
        <f t="shared" si="3"/>
        <v>0</v>
      </c>
    </row>
    <row r="52">
      <c r="A52" s="14">
        <v>2.503000216E9</v>
      </c>
      <c r="B52" s="14" t="s">
        <v>358</v>
      </c>
      <c r="C52" s="42"/>
      <c r="D52" s="14">
        <v>32.0</v>
      </c>
      <c r="E52" s="14" t="s">
        <v>356</v>
      </c>
      <c r="F52" s="42"/>
      <c r="G52" s="42"/>
      <c r="H52" s="42"/>
      <c r="I52" s="43"/>
      <c r="J52" s="42"/>
      <c r="K52" s="42"/>
      <c r="L52" s="14">
        <v>12.0</v>
      </c>
      <c r="M52" s="14">
        <v>1.0</v>
      </c>
      <c r="N52" s="14">
        <v>13.0</v>
      </c>
      <c r="O52" s="1">
        <f t="shared" si="1"/>
        <v>0.9230769231</v>
      </c>
      <c r="P52" s="1">
        <f t="shared" si="2"/>
        <v>1</v>
      </c>
      <c r="Q52" s="1">
        <f t="shared" si="3"/>
        <v>0</v>
      </c>
    </row>
    <row r="53">
      <c r="A53" s="14">
        <v>2.503000216E9</v>
      </c>
      <c r="B53" s="14" t="s">
        <v>358</v>
      </c>
      <c r="C53" s="42"/>
      <c r="D53" s="14">
        <v>2.0</v>
      </c>
      <c r="E53" s="14" t="s">
        <v>74</v>
      </c>
      <c r="F53" s="42"/>
      <c r="G53" s="42"/>
      <c r="H53" s="42"/>
      <c r="I53" s="14" t="s">
        <v>357</v>
      </c>
      <c r="J53" s="42"/>
      <c r="K53" s="42"/>
      <c r="L53" s="14">
        <v>26.0</v>
      </c>
      <c r="M53" s="14">
        <v>34.0</v>
      </c>
      <c r="N53" s="14">
        <v>60.0</v>
      </c>
      <c r="O53" s="1">
        <f t="shared" si="1"/>
        <v>0.4333333333</v>
      </c>
      <c r="P53" s="1">
        <f t="shared" si="2"/>
        <v>34</v>
      </c>
      <c r="Q53" s="1">
        <f t="shared" si="3"/>
        <v>0</v>
      </c>
    </row>
    <row r="54">
      <c r="A54" s="14">
        <v>2.503000216E9</v>
      </c>
      <c r="B54" s="14" t="s">
        <v>358</v>
      </c>
      <c r="C54" s="42"/>
      <c r="D54" s="14">
        <v>11.0</v>
      </c>
      <c r="E54" s="14" t="s">
        <v>86</v>
      </c>
      <c r="F54" s="42"/>
      <c r="G54" s="42"/>
      <c r="H54" s="42"/>
      <c r="I54" s="42"/>
      <c r="J54" s="42"/>
      <c r="K54" s="42"/>
      <c r="L54" s="14">
        <v>9.0</v>
      </c>
      <c r="M54" s="14">
        <v>5.0</v>
      </c>
      <c r="N54" s="14">
        <v>14.0</v>
      </c>
      <c r="O54" s="1">
        <f t="shared" si="1"/>
        <v>0.6428571429</v>
      </c>
      <c r="P54" s="1">
        <f t="shared" si="2"/>
        <v>5</v>
      </c>
      <c r="Q54" s="1">
        <f t="shared" si="3"/>
        <v>0</v>
      </c>
    </row>
    <row r="55">
      <c r="A55" s="14">
        <v>2.503000216E9</v>
      </c>
      <c r="B55" s="14" t="s">
        <v>358</v>
      </c>
      <c r="C55" s="42"/>
      <c r="D55" s="14">
        <v>98.0</v>
      </c>
      <c r="E55" s="14" t="s">
        <v>118</v>
      </c>
      <c r="F55" s="42"/>
      <c r="G55" s="42"/>
      <c r="H55" s="42"/>
      <c r="I55" s="42"/>
      <c r="J55" s="42"/>
      <c r="K55" s="42"/>
      <c r="L55" s="14">
        <v>3.0</v>
      </c>
      <c r="M55" s="14">
        <v>4.0</v>
      </c>
      <c r="N55" s="14">
        <v>7.0</v>
      </c>
      <c r="O55" s="1">
        <f t="shared" si="1"/>
        <v>0.4285714286</v>
      </c>
      <c r="P55" s="1">
        <f t="shared" si="2"/>
        <v>4</v>
      </c>
      <c r="Q55" s="1">
        <f t="shared" si="3"/>
        <v>0</v>
      </c>
    </row>
    <row r="56">
      <c r="A56" s="14">
        <v>2.503000216E9</v>
      </c>
      <c r="B56" s="14" t="s">
        <v>358</v>
      </c>
      <c r="C56" s="42"/>
      <c r="D56" s="14">
        <v>99.0</v>
      </c>
      <c r="E56" s="14" t="s">
        <v>213</v>
      </c>
      <c r="F56" s="42"/>
      <c r="G56" s="42"/>
      <c r="H56" s="42"/>
      <c r="I56" s="42"/>
      <c r="J56" s="42"/>
      <c r="K56" s="42"/>
      <c r="L56" s="14">
        <v>5.0</v>
      </c>
      <c r="M56" s="14">
        <v>2.0</v>
      </c>
      <c r="N56" s="14">
        <v>7.0</v>
      </c>
      <c r="O56" s="1">
        <f t="shared" si="1"/>
        <v>0.7142857143</v>
      </c>
      <c r="P56" s="1">
        <f t="shared" si="2"/>
        <v>2</v>
      </c>
      <c r="Q56" s="1">
        <f t="shared" si="3"/>
        <v>0</v>
      </c>
    </row>
    <row r="57">
      <c r="A57" s="14">
        <v>2.503000216E9</v>
      </c>
      <c r="B57" s="14" t="s">
        <v>358</v>
      </c>
      <c r="C57" s="42"/>
      <c r="D57" s="14">
        <v>5.0</v>
      </c>
      <c r="E57" s="14" t="s">
        <v>131</v>
      </c>
      <c r="F57" s="42"/>
      <c r="G57" s="42"/>
      <c r="H57" s="42"/>
      <c r="I57" s="42"/>
      <c r="J57" s="42"/>
      <c r="K57" s="42"/>
      <c r="L57" s="14">
        <v>13.0</v>
      </c>
      <c r="M57" s="14">
        <v>0.0</v>
      </c>
      <c r="N57" s="14">
        <v>13.0</v>
      </c>
      <c r="O57" s="1">
        <f t="shared" si="1"/>
        <v>1</v>
      </c>
      <c r="P57" s="1">
        <f t="shared" si="2"/>
        <v>0</v>
      </c>
      <c r="Q57" s="1">
        <f t="shared" si="3"/>
        <v>0</v>
      </c>
    </row>
    <row r="58">
      <c r="A58" s="14">
        <v>2.503000216E9</v>
      </c>
      <c r="B58" s="14" t="s">
        <v>358</v>
      </c>
      <c r="C58" s="42"/>
      <c r="D58" s="14">
        <v>54.0</v>
      </c>
      <c r="E58" s="14" t="s">
        <v>168</v>
      </c>
      <c r="F58" s="42"/>
      <c r="G58" s="42"/>
      <c r="H58" s="42"/>
      <c r="I58" s="42"/>
      <c r="J58" s="42"/>
      <c r="K58" s="42"/>
      <c r="L58" s="14">
        <v>7.0</v>
      </c>
      <c r="M58" s="14">
        <v>0.0</v>
      </c>
      <c r="N58" s="14">
        <v>7.0</v>
      </c>
      <c r="O58" s="1">
        <f t="shared" si="1"/>
        <v>1</v>
      </c>
      <c r="P58" s="1">
        <f t="shared" si="2"/>
        <v>0</v>
      </c>
      <c r="Q58" s="1">
        <f t="shared" si="3"/>
        <v>0</v>
      </c>
    </row>
    <row r="59">
      <c r="A59" s="14">
        <v>2.503000216E9</v>
      </c>
      <c r="B59" s="14" t="s">
        <v>358</v>
      </c>
      <c r="C59" s="42"/>
      <c r="D59" s="14">
        <v>29.0</v>
      </c>
      <c r="E59" s="14" t="s">
        <v>147</v>
      </c>
      <c r="F59" s="42"/>
      <c r="G59" s="42"/>
      <c r="H59" s="42"/>
      <c r="I59" s="42"/>
      <c r="J59" s="42"/>
      <c r="K59" s="42"/>
      <c r="L59" s="14">
        <v>12.0</v>
      </c>
      <c r="M59" s="14">
        <v>2.0</v>
      </c>
      <c r="N59" s="14">
        <v>14.0</v>
      </c>
      <c r="O59" s="1">
        <f t="shared" si="1"/>
        <v>0.8571428571</v>
      </c>
      <c r="P59" s="1">
        <f t="shared" si="2"/>
        <v>2</v>
      </c>
      <c r="Q59" s="1">
        <f t="shared" si="3"/>
        <v>0</v>
      </c>
    </row>
    <row r="60">
      <c r="A60" s="14">
        <v>2.503000216E9</v>
      </c>
      <c r="B60" s="14" t="s">
        <v>358</v>
      </c>
      <c r="C60" s="42"/>
      <c r="D60" s="14">
        <v>15.0</v>
      </c>
      <c r="E60" s="14" t="s">
        <v>55</v>
      </c>
      <c r="F60" s="42"/>
      <c r="G60" s="42"/>
      <c r="H60" s="42"/>
      <c r="I60" s="42"/>
      <c r="J60" s="42"/>
      <c r="K60" s="42"/>
      <c r="L60" s="14">
        <v>5.0</v>
      </c>
      <c r="M60" s="14">
        <v>2.0</v>
      </c>
      <c r="N60" s="14">
        <v>7.0</v>
      </c>
      <c r="O60" s="1">
        <f t="shared" si="1"/>
        <v>0.7142857143</v>
      </c>
      <c r="P60" s="1">
        <f t="shared" si="2"/>
        <v>2</v>
      </c>
      <c r="Q60" s="1">
        <f t="shared" si="3"/>
        <v>0</v>
      </c>
    </row>
    <row r="61">
      <c r="A61" s="14">
        <v>2.503000217E9</v>
      </c>
      <c r="B61" s="14" t="s">
        <v>27</v>
      </c>
      <c r="C61" s="42"/>
      <c r="D61" s="14">
        <v>120.0</v>
      </c>
      <c r="E61" s="14" t="s">
        <v>239</v>
      </c>
      <c r="F61" s="42"/>
      <c r="G61" s="42"/>
      <c r="H61" s="42"/>
      <c r="I61" s="42"/>
      <c r="J61" s="42"/>
      <c r="K61" s="42"/>
      <c r="L61" s="14">
        <v>13.0</v>
      </c>
      <c r="M61" s="14">
        <v>1.0</v>
      </c>
      <c r="N61" s="14">
        <v>14.0</v>
      </c>
      <c r="O61" s="1">
        <f t="shared" si="1"/>
        <v>0.9285714286</v>
      </c>
      <c r="P61" s="1">
        <f t="shared" si="2"/>
        <v>1</v>
      </c>
      <c r="Q61" s="1">
        <f t="shared" si="3"/>
        <v>0</v>
      </c>
    </row>
    <row r="62">
      <c r="A62" s="14">
        <v>2.503000217E9</v>
      </c>
      <c r="B62" s="14" t="s">
        <v>27</v>
      </c>
      <c r="C62" s="42"/>
      <c r="D62" s="14">
        <v>100.0</v>
      </c>
      <c r="E62" s="14" t="s">
        <v>230</v>
      </c>
      <c r="F62" s="42"/>
      <c r="G62" s="42"/>
      <c r="H62" s="42"/>
      <c r="I62" s="42"/>
      <c r="J62" s="42"/>
      <c r="K62" s="42"/>
      <c r="L62" s="14">
        <v>27.0</v>
      </c>
      <c r="M62" s="14">
        <v>1.0</v>
      </c>
      <c r="N62" s="14">
        <v>28.0</v>
      </c>
      <c r="O62" s="1">
        <f t="shared" si="1"/>
        <v>0.9642857143</v>
      </c>
      <c r="P62" s="1">
        <f t="shared" si="2"/>
        <v>1</v>
      </c>
      <c r="Q62" s="1">
        <f t="shared" si="3"/>
        <v>0</v>
      </c>
    </row>
    <row r="63">
      <c r="A63" s="14">
        <v>2.503000217E9</v>
      </c>
      <c r="B63" s="14" t="s">
        <v>27</v>
      </c>
      <c r="C63" s="42"/>
      <c r="D63" s="14">
        <v>33.0</v>
      </c>
      <c r="E63" s="14" t="s">
        <v>151</v>
      </c>
      <c r="F63" s="42"/>
      <c r="G63" s="42"/>
      <c r="H63" s="42"/>
      <c r="I63" s="42"/>
      <c r="J63" s="42"/>
      <c r="K63" s="42"/>
      <c r="L63" s="14">
        <v>6.0</v>
      </c>
      <c r="M63" s="14">
        <v>1.0</v>
      </c>
      <c r="N63" s="14">
        <v>7.0</v>
      </c>
      <c r="O63" s="1">
        <f t="shared" si="1"/>
        <v>0.8571428571</v>
      </c>
      <c r="P63" s="1">
        <f t="shared" si="2"/>
        <v>1</v>
      </c>
      <c r="Q63" s="1">
        <f t="shared" si="3"/>
        <v>0</v>
      </c>
    </row>
    <row r="64">
      <c r="A64" s="14">
        <v>2.503000217E9</v>
      </c>
      <c r="B64" s="14" t="s">
        <v>27</v>
      </c>
      <c r="C64" s="42"/>
      <c r="D64" s="14">
        <v>78.0</v>
      </c>
      <c r="E64" s="14" t="s">
        <v>194</v>
      </c>
      <c r="F64" s="42"/>
      <c r="G64" s="42"/>
      <c r="H64" s="42"/>
      <c r="I64" s="42"/>
      <c r="J64" s="42"/>
      <c r="K64" s="42"/>
      <c r="L64" s="14">
        <v>3.0</v>
      </c>
      <c r="M64" s="14">
        <v>4.0</v>
      </c>
      <c r="N64" s="14">
        <v>7.0</v>
      </c>
      <c r="O64" s="1">
        <f t="shared" si="1"/>
        <v>0.4285714286</v>
      </c>
      <c r="P64" s="1">
        <f t="shared" si="2"/>
        <v>4</v>
      </c>
      <c r="Q64" s="1">
        <f t="shared" si="3"/>
        <v>0</v>
      </c>
    </row>
    <row r="65">
      <c r="A65" s="14">
        <v>2.503000217E9</v>
      </c>
      <c r="B65" s="14" t="s">
        <v>27</v>
      </c>
      <c r="C65" s="42"/>
      <c r="D65" s="14">
        <v>38.0</v>
      </c>
      <c r="E65" s="14" t="s">
        <v>155</v>
      </c>
      <c r="F65" s="42"/>
      <c r="G65" s="42"/>
      <c r="H65" s="42"/>
      <c r="I65" s="42"/>
      <c r="J65" s="42"/>
      <c r="K65" s="42"/>
      <c r="L65" s="14">
        <v>5.0</v>
      </c>
      <c r="M65" s="14">
        <v>2.0</v>
      </c>
      <c r="N65" s="14">
        <v>7.0</v>
      </c>
      <c r="O65" s="1">
        <f t="shared" si="1"/>
        <v>0.7142857143</v>
      </c>
      <c r="P65" s="1">
        <f t="shared" si="2"/>
        <v>2</v>
      </c>
      <c r="Q65" s="1">
        <f t="shared" si="3"/>
        <v>0</v>
      </c>
    </row>
    <row r="66">
      <c r="A66" s="14">
        <v>2.503000217E9</v>
      </c>
      <c r="B66" s="14" t="s">
        <v>27</v>
      </c>
      <c r="C66" s="42"/>
      <c r="D66" s="14">
        <v>104.0</v>
      </c>
      <c r="E66" s="14" t="s">
        <v>233</v>
      </c>
      <c r="F66" s="42"/>
      <c r="G66" s="42"/>
      <c r="H66" s="42"/>
      <c r="I66" s="42"/>
      <c r="J66" s="42"/>
      <c r="K66" s="42"/>
      <c r="L66" s="14">
        <v>8.0</v>
      </c>
      <c r="M66" s="14">
        <v>4.0</v>
      </c>
      <c r="N66" s="14">
        <v>12.0</v>
      </c>
      <c r="O66" s="1">
        <f t="shared" si="1"/>
        <v>0.6666666667</v>
      </c>
      <c r="P66" s="1">
        <f t="shared" si="2"/>
        <v>4</v>
      </c>
      <c r="Q66" s="1">
        <f t="shared" si="3"/>
        <v>0</v>
      </c>
    </row>
    <row r="67">
      <c r="A67" s="14">
        <v>2.503000217E9</v>
      </c>
      <c r="B67" s="14" t="s">
        <v>27</v>
      </c>
      <c r="C67" s="42"/>
      <c r="D67" s="14">
        <v>20.0</v>
      </c>
      <c r="E67" s="14" t="s">
        <v>141</v>
      </c>
      <c r="F67" s="42"/>
      <c r="G67" s="42"/>
      <c r="H67" s="42"/>
      <c r="I67" s="42"/>
      <c r="J67" s="42"/>
      <c r="K67" s="42"/>
      <c r="L67" s="14">
        <v>10.0</v>
      </c>
      <c r="M67" s="14">
        <v>2.0</v>
      </c>
      <c r="N67" s="14">
        <v>12.0</v>
      </c>
      <c r="O67" s="1">
        <f t="shared" si="1"/>
        <v>0.8333333333</v>
      </c>
      <c r="P67" s="1">
        <f t="shared" si="2"/>
        <v>2</v>
      </c>
      <c r="Q67" s="1">
        <f t="shared" si="3"/>
        <v>0</v>
      </c>
    </row>
    <row r="68">
      <c r="A68" s="14">
        <v>2.503000217E9</v>
      </c>
      <c r="B68" s="14" t="s">
        <v>27</v>
      </c>
      <c r="C68" s="42"/>
      <c r="D68" s="14">
        <v>10.0</v>
      </c>
      <c r="E68" s="14" t="s">
        <v>135</v>
      </c>
      <c r="F68" s="42"/>
      <c r="G68" s="42"/>
      <c r="H68" s="42"/>
      <c r="I68" s="42"/>
      <c r="J68" s="42"/>
      <c r="K68" s="42"/>
      <c r="L68" s="14">
        <v>11.0</v>
      </c>
      <c r="M68" s="14">
        <v>1.0</v>
      </c>
      <c r="N68" s="14">
        <v>12.0</v>
      </c>
      <c r="O68" s="1">
        <f t="shared" si="1"/>
        <v>0.9166666667</v>
      </c>
      <c r="P68" s="1">
        <f t="shared" si="2"/>
        <v>1</v>
      </c>
      <c r="Q68" s="1">
        <f t="shared" si="3"/>
        <v>0</v>
      </c>
    </row>
    <row r="69">
      <c r="A69" s="14">
        <v>2.503000217E9</v>
      </c>
      <c r="B69" s="14" t="s">
        <v>27</v>
      </c>
      <c r="C69" s="42"/>
      <c r="D69" s="14">
        <v>86.0</v>
      </c>
      <c r="E69" s="14" t="s">
        <v>201</v>
      </c>
      <c r="F69" s="42"/>
      <c r="G69" s="42"/>
      <c r="H69" s="42"/>
      <c r="I69" s="42"/>
      <c r="J69" s="42"/>
      <c r="K69" s="42"/>
      <c r="L69" s="14">
        <v>12.0</v>
      </c>
      <c r="M69" s="14">
        <v>12.0</v>
      </c>
      <c r="N69" s="14">
        <v>24.0</v>
      </c>
      <c r="O69" s="1">
        <f t="shared" si="1"/>
        <v>0.5</v>
      </c>
      <c r="P69" s="1">
        <f t="shared" si="2"/>
        <v>12</v>
      </c>
      <c r="Q69" s="1">
        <f t="shared" si="3"/>
        <v>0</v>
      </c>
    </row>
    <row r="70">
      <c r="A70" s="14">
        <v>2.503000217E9</v>
      </c>
      <c r="B70" s="14" t="s">
        <v>27</v>
      </c>
      <c r="C70" s="42"/>
      <c r="D70" s="14">
        <v>21.0</v>
      </c>
      <c r="E70" s="14" t="s">
        <v>79</v>
      </c>
      <c r="F70" s="42"/>
      <c r="G70" s="42"/>
      <c r="H70" s="42"/>
      <c r="I70" s="42"/>
      <c r="J70" s="42"/>
      <c r="K70" s="42"/>
      <c r="L70" s="14">
        <v>6.0</v>
      </c>
      <c r="M70" s="14">
        <v>6.0</v>
      </c>
      <c r="N70" s="14">
        <v>12.0</v>
      </c>
      <c r="O70" s="1">
        <f t="shared" si="1"/>
        <v>0.5</v>
      </c>
      <c r="P70" s="1">
        <f t="shared" si="2"/>
        <v>6</v>
      </c>
      <c r="Q70" s="1">
        <f t="shared" si="3"/>
        <v>0</v>
      </c>
    </row>
    <row r="71">
      <c r="A71" s="14">
        <v>2.503000217E9</v>
      </c>
      <c r="B71" s="14" t="s">
        <v>27</v>
      </c>
      <c r="C71" s="42"/>
      <c r="D71" s="14">
        <v>117.0</v>
      </c>
      <c r="E71" s="14" t="s">
        <v>238</v>
      </c>
      <c r="F71" s="42"/>
      <c r="G71" s="42"/>
      <c r="H71" s="42"/>
      <c r="I71" s="42"/>
      <c r="J71" s="42"/>
      <c r="K71" s="42"/>
      <c r="L71" s="14">
        <v>9.0</v>
      </c>
      <c r="M71" s="14">
        <v>3.0</v>
      </c>
      <c r="N71" s="14">
        <v>12.0</v>
      </c>
      <c r="O71" s="1">
        <f t="shared" si="1"/>
        <v>0.75</v>
      </c>
      <c r="P71" s="1">
        <f t="shared" si="2"/>
        <v>3</v>
      </c>
      <c r="Q71" s="1">
        <f t="shared" si="3"/>
        <v>0</v>
      </c>
    </row>
    <row r="72">
      <c r="A72" s="14">
        <v>2.503000217E9</v>
      </c>
      <c r="B72" s="14" t="s">
        <v>27</v>
      </c>
      <c r="C72" s="42"/>
      <c r="D72" s="14">
        <v>116.0</v>
      </c>
      <c r="E72" s="14" t="s">
        <v>237</v>
      </c>
      <c r="F72" s="42"/>
      <c r="G72" s="42"/>
      <c r="H72" s="42"/>
      <c r="I72" s="42"/>
      <c r="J72" s="42"/>
      <c r="K72" s="42"/>
      <c r="L72" s="14">
        <v>10.0</v>
      </c>
      <c r="M72" s="14">
        <v>2.0</v>
      </c>
      <c r="N72" s="14">
        <v>12.0</v>
      </c>
      <c r="O72" s="1">
        <f t="shared" si="1"/>
        <v>0.8333333333</v>
      </c>
      <c r="P72" s="1">
        <f t="shared" si="2"/>
        <v>2</v>
      </c>
      <c r="Q72" s="1">
        <f t="shared" si="3"/>
        <v>0</v>
      </c>
    </row>
    <row r="73">
      <c r="A73" s="14">
        <v>2.503000217E9</v>
      </c>
      <c r="B73" s="14" t="s">
        <v>27</v>
      </c>
      <c r="C73" s="42"/>
      <c r="D73" s="14">
        <v>106.0</v>
      </c>
      <c r="E73" s="14" t="s">
        <v>214</v>
      </c>
      <c r="F73" s="42"/>
      <c r="G73" s="42"/>
      <c r="H73" s="42"/>
      <c r="I73" s="42"/>
      <c r="J73" s="42"/>
      <c r="K73" s="42"/>
      <c r="L73" s="14">
        <v>9.0</v>
      </c>
      <c r="M73" s="14">
        <v>3.0</v>
      </c>
      <c r="N73" s="14">
        <v>12.0</v>
      </c>
      <c r="O73" s="1">
        <f t="shared" si="1"/>
        <v>0.75</v>
      </c>
      <c r="P73" s="1">
        <f t="shared" si="2"/>
        <v>3</v>
      </c>
      <c r="Q73" s="1">
        <f t="shared" si="3"/>
        <v>0</v>
      </c>
    </row>
    <row r="74">
      <c r="A74" s="14">
        <v>2.503000217E9</v>
      </c>
      <c r="B74" s="14" t="s">
        <v>27</v>
      </c>
      <c r="C74" s="42"/>
      <c r="D74" s="14">
        <v>19.0</v>
      </c>
      <c r="E74" s="14" t="s">
        <v>72</v>
      </c>
      <c r="F74" s="42"/>
      <c r="G74" s="42"/>
      <c r="H74" s="42"/>
      <c r="I74" s="42"/>
      <c r="J74" s="42"/>
      <c r="K74" s="42"/>
      <c r="L74" s="14">
        <v>7.0</v>
      </c>
      <c r="M74" s="14">
        <v>5.0</v>
      </c>
      <c r="N74" s="14">
        <v>12.0</v>
      </c>
      <c r="O74" s="1">
        <f t="shared" si="1"/>
        <v>0.5833333333</v>
      </c>
      <c r="P74" s="1">
        <f t="shared" si="2"/>
        <v>5</v>
      </c>
      <c r="Q74" s="1">
        <f t="shared" si="3"/>
        <v>0</v>
      </c>
    </row>
    <row r="75">
      <c r="A75" s="14">
        <v>2.503000217E9</v>
      </c>
      <c r="B75" s="14" t="s">
        <v>27</v>
      </c>
      <c r="C75" s="42"/>
      <c r="D75" s="14">
        <v>89.0</v>
      </c>
      <c r="E75" s="14" t="s">
        <v>204</v>
      </c>
      <c r="F75" s="42"/>
      <c r="G75" s="42"/>
      <c r="H75" s="42"/>
      <c r="I75" s="42"/>
      <c r="J75" s="42"/>
      <c r="K75" s="42"/>
      <c r="L75" s="14">
        <v>13.0</v>
      </c>
      <c r="M75" s="14">
        <v>3.0</v>
      </c>
      <c r="N75" s="14">
        <v>16.0</v>
      </c>
      <c r="O75" s="1">
        <f t="shared" si="1"/>
        <v>0.8125</v>
      </c>
      <c r="P75" s="1">
        <f t="shared" si="2"/>
        <v>3</v>
      </c>
      <c r="Q75" s="1">
        <f t="shared" si="3"/>
        <v>0</v>
      </c>
    </row>
    <row r="76">
      <c r="A76" s="14">
        <v>2.503000217E9</v>
      </c>
      <c r="B76" s="14" t="s">
        <v>27</v>
      </c>
      <c r="C76" s="42"/>
      <c r="D76" s="14">
        <v>101.0</v>
      </c>
      <c r="E76" s="14" t="s">
        <v>231</v>
      </c>
      <c r="F76" s="42"/>
      <c r="G76" s="42"/>
      <c r="H76" s="42"/>
      <c r="I76" s="42"/>
      <c r="J76" s="42"/>
      <c r="K76" s="42"/>
      <c r="L76" s="14">
        <v>22.0</v>
      </c>
      <c r="M76" s="14">
        <v>1.0</v>
      </c>
      <c r="N76" s="14">
        <v>23.0</v>
      </c>
      <c r="O76" s="1">
        <f t="shared" si="1"/>
        <v>0.9565217391</v>
      </c>
      <c r="P76" s="1">
        <f t="shared" si="2"/>
        <v>1</v>
      </c>
      <c r="Q76" s="1">
        <f t="shared" si="3"/>
        <v>0</v>
      </c>
    </row>
    <row r="77">
      <c r="A77" s="14">
        <v>2.503000217E9</v>
      </c>
      <c r="B77" s="14" t="s">
        <v>27</v>
      </c>
      <c r="C77" s="42"/>
      <c r="D77" s="14">
        <v>64.0</v>
      </c>
      <c r="E77" s="14" t="s">
        <v>173</v>
      </c>
      <c r="F77" s="42"/>
      <c r="G77" s="42"/>
      <c r="H77" s="42"/>
      <c r="I77" s="42"/>
      <c r="J77" s="42"/>
      <c r="K77" s="42"/>
      <c r="L77" s="14">
        <v>8.0</v>
      </c>
      <c r="M77" s="14">
        <v>0.0</v>
      </c>
      <c r="N77" s="14">
        <v>8.0</v>
      </c>
      <c r="O77" s="1">
        <f t="shared" si="1"/>
        <v>1</v>
      </c>
      <c r="P77" s="1">
        <f t="shared" si="2"/>
        <v>0</v>
      </c>
      <c r="Q77" s="1">
        <f t="shared" si="3"/>
        <v>0</v>
      </c>
    </row>
    <row r="78">
      <c r="A78" s="14">
        <v>2.503000217E9</v>
      </c>
      <c r="B78" s="14" t="s">
        <v>27</v>
      </c>
      <c r="C78" s="42"/>
      <c r="D78" s="14">
        <v>32.0</v>
      </c>
      <c r="E78" s="14" t="s">
        <v>356</v>
      </c>
      <c r="F78" s="42"/>
      <c r="G78" s="42"/>
      <c r="H78" s="42"/>
      <c r="I78" s="42"/>
      <c r="J78" s="42"/>
      <c r="K78" s="42"/>
      <c r="L78" s="14">
        <v>7.0</v>
      </c>
      <c r="M78" s="14">
        <v>1.0</v>
      </c>
      <c r="N78" s="14">
        <v>8.0</v>
      </c>
      <c r="O78" s="1">
        <f t="shared" si="1"/>
        <v>0.875</v>
      </c>
      <c r="P78" s="1">
        <f t="shared" si="2"/>
        <v>1</v>
      </c>
      <c r="Q78" s="1">
        <f t="shared" si="3"/>
        <v>0</v>
      </c>
    </row>
    <row r="79">
      <c r="A79" s="14">
        <v>2.503000217E9</v>
      </c>
      <c r="B79" s="14" t="s">
        <v>27</v>
      </c>
      <c r="C79" s="42"/>
      <c r="D79" s="14">
        <v>111.0</v>
      </c>
      <c r="E79" s="14" t="s">
        <v>215</v>
      </c>
      <c r="F79" s="42"/>
      <c r="G79" s="42"/>
      <c r="H79" s="42"/>
      <c r="I79" s="43"/>
      <c r="J79" s="42"/>
      <c r="K79" s="42"/>
      <c r="L79" s="14">
        <v>19.0</v>
      </c>
      <c r="M79" s="14">
        <v>5.0</v>
      </c>
      <c r="N79" s="14">
        <v>24.0</v>
      </c>
      <c r="O79" s="1">
        <f t="shared" si="1"/>
        <v>0.7916666667</v>
      </c>
      <c r="P79" s="1">
        <f t="shared" si="2"/>
        <v>5</v>
      </c>
      <c r="Q79" s="1">
        <f t="shared" si="3"/>
        <v>0</v>
      </c>
    </row>
    <row r="80">
      <c r="A80" s="14">
        <v>2.503000217E9</v>
      </c>
      <c r="B80" s="14" t="s">
        <v>27</v>
      </c>
      <c r="C80" s="42"/>
      <c r="D80" s="14">
        <v>108.0</v>
      </c>
      <c r="E80" s="14" t="s">
        <v>235</v>
      </c>
      <c r="F80" s="42"/>
      <c r="G80" s="42"/>
      <c r="H80" s="42"/>
      <c r="I80" s="42"/>
      <c r="J80" s="42"/>
      <c r="K80" s="42"/>
      <c r="L80" s="14">
        <v>6.0</v>
      </c>
      <c r="M80" s="14">
        <v>2.0</v>
      </c>
      <c r="N80" s="14">
        <v>8.0</v>
      </c>
      <c r="O80" s="1">
        <f t="shared" si="1"/>
        <v>0.75</v>
      </c>
      <c r="P80" s="1">
        <f t="shared" si="2"/>
        <v>2</v>
      </c>
      <c r="Q80" s="1">
        <f t="shared" si="3"/>
        <v>0</v>
      </c>
    </row>
    <row r="81">
      <c r="A81" s="14">
        <v>2.503000217E9</v>
      </c>
      <c r="B81" s="14" t="s">
        <v>27</v>
      </c>
      <c r="C81" s="42"/>
      <c r="D81" s="14">
        <v>12.0</v>
      </c>
      <c r="E81" s="14" t="s">
        <v>136</v>
      </c>
      <c r="F81" s="42"/>
      <c r="G81" s="42"/>
      <c r="H81" s="42"/>
      <c r="I81" s="42"/>
      <c r="J81" s="42"/>
      <c r="K81" s="42"/>
      <c r="L81" s="14">
        <v>7.0</v>
      </c>
      <c r="M81" s="14">
        <v>1.0</v>
      </c>
      <c r="N81" s="14">
        <v>8.0</v>
      </c>
      <c r="O81" s="1">
        <f t="shared" si="1"/>
        <v>0.875</v>
      </c>
      <c r="P81" s="1">
        <f t="shared" si="2"/>
        <v>1</v>
      </c>
      <c r="Q81" s="1">
        <f t="shared" si="3"/>
        <v>0</v>
      </c>
    </row>
    <row r="82">
      <c r="A82" s="14">
        <v>2.503000217E9</v>
      </c>
      <c r="B82" s="14" t="s">
        <v>27</v>
      </c>
      <c r="C82" s="42"/>
      <c r="D82" s="14">
        <v>2.0</v>
      </c>
      <c r="E82" s="14" t="s">
        <v>74</v>
      </c>
      <c r="F82" s="42"/>
      <c r="G82" s="42"/>
      <c r="H82" s="42"/>
      <c r="I82" s="14" t="s">
        <v>357</v>
      </c>
      <c r="J82" s="42"/>
      <c r="K82" s="42"/>
      <c r="L82" s="14">
        <v>29.0</v>
      </c>
      <c r="M82" s="14">
        <v>31.0</v>
      </c>
      <c r="N82" s="14">
        <v>60.0</v>
      </c>
      <c r="O82" s="1">
        <f t="shared" si="1"/>
        <v>0.4833333333</v>
      </c>
      <c r="P82" s="1">
        <f t="shared" si="2"/>
        <v>31</v>
      </c>
      <c r="Q82" s="1">
        <f t="shared" si="3"/>
        <v>0</v>
      </c>
    </row>
    <row r="83">
      <c r="A83" s="14">
        <v>2.503000217E9</v>
      </c>
      <c r="B83" s="14" t="s">
        <v>27</v>
      </c>
      <c r="C83" s="42"/>
      <c r="D83" s="14">
        <v>61.0</v>
      </c>
      <c r="E83" s="14" t="s">
        <v>184</v>
      </c>
      <c r="F83" s="42"/>
      <c r="G83" s="42"/>
      <c r="H83" s="42"/>
      <c r="I83" s="42"/>
      <c r="J83" s="42"/>
      <c r="K83" s="42"/>
      <c r="L83" s="14">
        <v>10.0</v>
      </c>
      <c r="M83" s="14">
        <v>4.0</v>
      </c>
      <c r="N83" s="14">
        <v>14.0</v>
      </c>
      <c r="O83" s="1">
        <f t="shared" si="1"/>
        <v>0.7142857143</v>
      </c>
      <c r="P83" s="1">
        <f t="shared" si="2"/>
        <v>4</v>
      </c>
      <c r="Q83" s="1">
        <f t="shared" si="3"/>
        <v>0</v>
      </c>
    </row>
    <row r="84">
      <c r="A84" s="14">
        <v>2.503000217E9</v>
      </c>
      <c r="B84" s="14" t="s">
        <v>27</v>
      </c>
      <c r="C84" s="42"/>
      <c r="D84" s="14">
        <v>109.0</v>
      </c>
      <c r="E84" s="14" t="s">
        <v>236</v>
      </c>
      <c r="F84" s="42"/>
      <c r="G84" s="42"/>
      <c r="H84" s="42"/>
      <c r="I84" s="42"/>
      <c r="J84" s="42"/>
      <c r="K84" s="42"/>
      <c r="L84" s="14">
        <v>6.0</v>
      </c>
      <c r="M84" s="14">
        <v>1.0</v>
      </c>
      <c r="N84" s="14">
        <v>7.0</v>
      </c>
      <c r="O84" s="1">
        <f t="shared" si="1"/>
        <v>0.8571428571</v>
      </c>
      <c r="P84" s="1">
        <f t="shared" si="2"/>
        <v>1</v>
      </c>
      <c r="Q84" s="1">
        <f t="shared" si="3"/>
        <v>0</v>
      </c>
    </row>
    <row r="85">
      <c r="A85" s="14">
        <v>2.503000217E9</v>
      </c>
      <c r="B85" s="14" t="s">
        <v>27</v>
      </c>
      <c r="C85" s="42"/>
      <c r="D85" s="14">
        <v>65.0</v>
      </c>
      <c r="E85" s="14" t="s">
        <v>187</v>
      </c>
      <c r="F85" s="42"/>
      <c r="G85" s="42"/>
      <c r="H85" s="42"/>
      <c r="I85" s="42"/>
      <c r="J85" s="42"/>
      <c r="K85" s="42"/>
      <c r="L85" s="14">
        <v>13.0</v>
      </c>
      <c r="M85" s="14">
        <v>3.0</v>
      </c>
      <c r="N85" s="14">
        <v>16.0</v>
      </c>
      <c r="O85" s="1">
        <f t="shared" si="1"/>
        <v>0.8125</v>
      </c>
      <c r="P85" s="1">
        <f t="shared" si="2"/>
        <v>3</v>
      </c>
      <c r="Q85" s="1">
        <f t="shared" si="3"/>
        <v>0</v>
      </c>
    </row>
    <row r="86">
      <c r="A86" s="14">
        <v>2.503000217E9</v>
      </c>
      <c r="B86" s="14" t="s">
        <v>27</v>
      </c>
      <c r="C86" s="42"/>
      <c r="D86" s="14">
        <v>36.0</v>
      </c>
      <c r="E86" s="14" t="s">
        <v>153</v>
      </c>
      <c r="F86" s="42"/>
      <c r="G86" s="42"/>
      <c r="H86" s="42"/>
      <c r="I86" s="42"/>
      <c r="J86" s="42"/>
      <c r="K86" s="42"/>
      <c r="L86" s="14">
        <v>5.0</v>
      </c>
      <c r="M86" s="14">
        <v>2.0</v>
      </c>
      <c r="N86" s="14">
        <v>7.0</v>
      </c>
      <c r="O86" s="1">
        <f t="shared" si="1"/>
        <v>0.7142857143</v>
      </c>
      <c r="P86" s="1">
        <f t="shared" si="2"/>
        <v>2</v>
      </c>
      <c r="Q86" s="1">
        <f t="shared" si="3"/>
        <v>0</v>
      </c>
    </row>
    <row r="87">
      <c r="A87" s="14">
        <v>2.503000217E9</v>
      </c>
      <c r="B87" s="14" t="s">
        <v>27</v>
      </c>
      <c r="C87" s="42"/>
      <c r="D87" s="14">
        <v>44.0</v>
      </c>
      <c r="E87" s="14" t="s">
        <v>160</v>
      </c>
      <c r="F87" s="42"/>
      <c r="G87" s="42"/>
      <c r="H87" s="42"/>
      <c r="I87" s="42"/>
      <c r="J87" s="42"/>
      <c r="K87" s="42"/>
      <c r="L87" s="14">
        <v>10.0</v>
      </c>
      <c r="M87" s="14">
        <v>4.0</v>
      </c>
      <c r="N87" s="14">
        <v>14.0</v>
      </c>
      <c r="O87" s="1">
        <f t="shared" si="1"/>
        <v>0.7142857143</v>
      </c>
      <c r="P87" s="1">
        <f t="shared" si="2"/>
        <v>4</v>
      </c>
      <c r="Q87" s="1">
        <f t="shared" si="3"/>
        <v>0</v>
      </c>
    </row>
    <row r="88">
      <c r="A88" s="14">
        <v>2.509000369E9</v>
      </c>
      <c r="B88" s="14" t="s">
        <v>24</v>
      </c>
      <c r="C88" s="42"/>
      <c r="D88" s="14">
        <v>91.0</v>
      </c>
      <c r="E88" s="14" t="s">
        <v>208</v>
      </c>
      <c r="F88" s="42"/>
      <c r="G88" s="42"/>
      <c r="H88" s="42"/>
      <c r="I88" s="42"/>
      <c r="J88" s="42"/>
      <c r="K88" s="42"/>
      <c r="L88" s="14">
        <v>3.0</v>
      </c>
      <c r="M88" s="14">
        <v>4.0</v>
      </c>
      <c r="N88" s="14">
        <v>7.0</v>
      </c>
      <c r="O88" s="1">
        <f t="shared" si="1"/>
        <v>0.4285714286</v>
      </c>
      <c r="P88" s="1">
        <f t="shared" si="2"/>
        <v>4</v>
      </c>
      <c r="Q88" s="1">
        <f t="shared" si="3"/>
        <v>0</v>
      </c>
    </row>
    <row r="89">
      <c r="A89" s="14">
        <v>2.509000369E9</v>
      </c>
      <c r="B89" s="14" t="s">
        <v>24</v>
      </c>
      <c r="C89" s="42"/>
      <c r="D89" s="14">
        <v>52.0</v>
      </c>
      <c r="E89" s="14" t="s">
        <v>174</v>
      </c>
      <c r="F89" s="42"/>
      <c r="G89" s="42"/>
      <c r="H89" s="42"/>
      <c r="I89" s="43"/>
      <c r="J89" s="42"/>
      <c r="K89" s="42"/>
      <c r="L89" s="14">
        <v>7.0</v>
      </c>
      <c r="M89" s="14">
        <v>14.0</v>
      </c>
      <c r="N89" s="14">
        <v>21.0</v>
      </c>
      <c r="O89" s="1">
        <f t="shared" si="1"/>
        <v>0.3333333333</v>
      </c>
      <c r="P89" s="1">
        <f t="shared" si="2"/>
        <v>14</v>
      </c>
      <c r="Q89" s="1">
        <f t="shared" si="3"/>
        <v>0</v>
      </c>
    </row>
    <row r="90">
      <c r="A90" s="14">
        <v>2.509000369E9</v>
      </c>
      <c r="B90" s="14" t="s">
        <v>24</v>
      </c>
      <c r="C90" s="42"/>
      <c r="D90" s="14">
        <v>38.0</v>
      </c>
      <c r="E90" s="14" t="s">
        <v>155</v>
      </c>
      <c r="F90" s="42"/>
      <c r="G90" s="42"/>
      <c r="H90" s="42"/>
      <c r="I90" s="42"/>
      <c r="J90" s="42"/>
      <c r="K90" s="42"/>
      <c r="L90" s="14">
        <v>4.0</v>
      </c>
      <c r="M90" s="14">
        <v>3.0</v>
      </c>
      <c r="N90" s="14">
        <v>7.0</v>
      </c>
      <c r="O90" s="1">
        <f t="shared" si="1"/>
        <v>0.5714285714</v>
      </c>
      <c r="P90" s="1">
        <f t="shared" si="2"/>
        <v>3</v>
      </c>
      <c r="Q90" s="1">
        <f t="shared" si="3"/>
        <v>0</v>
      </c>
    </row>
    <row r="91">
      <c r="A91" s="14">
        <v>2.509000369E9</v>
      </c>
      <c r="B91" s="14" t="s">
        <v>24</v>
      </c>
      <c r="C91" s="42"/>
      <c r="D91" s="14">
        <v>112.0</v>
      </c>
      <c r="E91" s="14" t="s">
        <v>216</v>
      </c>
      <c r="F91" s="42"/>
      <c r="G91" s="42"/>
      <c r="H91" s="42"/>
      <c r="I91" s="42"/>
      <c r="J91" s="42"/>
      <c r="K91" s="42"/>
      <c r="L91" s="14">
        <v>6.0</v>
      </c>
      <c r="M91" s="14">
        <v>1.0</v>
      </c>
      <c r="N91" s="14">
        <v>7.0</v>
      </c>
      <c r="O91" s="1">
        <f t="shared" si="1"/>
        <v>0.8571428571</v>
      </c>
      <c r="P91" s="1">
        <f t="shared" si="2"/>
        <v>1</v>
      </c>
      <c r="Q91" s="1">
        <f t="shared" si="3"/>
        <v>0</v>
      </c>
    </row>
    <row r="92">
      <c r="A92" s="14">
        <v>2.509000369E9</v>
      </c>
      <c r="B92" s="14" t="s">
        <v>24</v>
      </c>
      <c r="C92" s="42"/>
      <c r="D92" s="14">
        <v>1.0</v>
      </c>
      <c r="E92" s="14" t="s">
        <v>353</v>
      </c>
      <c r="F92" s="42"/>
      <c r="G92" s="42"/>
      <c r="H92" s="42"/>
      <c r="I92" s="14" t="s">
        <v>354</v>
      </c>
      <c r="J92" s="42"/>
      <c r="K92" s="42"/>
      <c r="L92" s="14">
        <v>5.0</v>
      </c>
      <c r="M92" s="14">
        <v>2.0</v>
      </c>
      <c r="N92" s="14">
        <v>7.0</v>
      </c>
      <c r="O92" s="1">
        <f t="shared" si="1"/>
        <v>0.7142857143</v>
      </c>
      <c r="P92" s="1">
        <f t="shared" si="2"/>
        <v>2</v>
      </c>
      <c r="Q92" s="1">
        <f t="shared" si="3"/>
        <v>0</v>
      </c>
    </row>
    <row r="93">
      <c r="A93" s="14">
        <v>2.509000369E9</v>
      </c>
      <c r="B93" s="14" t="s">
        <v>24</v>
      </c>
      <c r="C93" s="42"/>
      <c r="D93" s="14">
        <v>114.0</v>
      </c>
      <c r="E93" s="14" t="s">
        <v>218</v>
      </c>
      <c r="F93" s="42"/>
      <c r="G93" s="42"/>
      <c r="H93" s="42"/>
      <c r="I93" s="42"/>
      <c r="J93" s="42"/>
      <c r="K93" s="42"/>
      <c r="L93" s="14">
        <v>4.0</v>
      </c>
      <c r="M93" s="14">
        <v>10.0</v>
      </c>
      <c r="N93" s="14">
        <v>14.0</v>
      </c>
      <c r="O93" s="1">
        <f t="shared" si="1"/>
        <v>0.2857142857</v>
      </c>
      <c r="P93" s="1">
        <f t="shared" si="2"/>
        <v>10</v>
      </c>
      <c r="Q93" s="1">
        <f t="shared" si="3"/>
        <v>0</v>
      </c>
    </row>
    <row r="94">
      <c r="A94" s="14">
        <v>2.509000369E9</v>
      </c>
      <c r="B94" s="14" t="s">
        <v>24</v>
      </c>
      <c r="C94" s="42"/>
      <c r="D94" s="14">
        <v>33.0</v>
      </c>
      <c r="E94" s="14" t="s">
        <v>151</v>
      </c>
      <c r="F94" s="42"/>
      <c r="G94" s="42"/>
      <c r="H94" s="42"/>
      <c r="I94" s="42"/>
      <c r="J94" s="42"/>
      <c r="K94" s="42"/>
      <c r="L94" s="14">
        <v>4.0</v>
      </c>
      <c r="M94" s="14">
        <v>3.0</v>
      </c>
      <c r="N94" s="14">
        <v>7.0</v>
      </c>
      <c r="O94" s="1">
        <f t="shared" si="1"/>
        <v>0.5714285714</v>
      </c>
      <c r="P94" s="1">
        <f t="shared" si="2"/>
        <v>3</v>
      </c>
      <c r="Q94" s="1">
        <f t="shared" si="3"/>
        <v>0</v>
      </c>
    </row>
    <row r="95">
      <c r="A95" s="14">
        <v>2.509000369E9</v>
      </c>
      <c r="B95" s="14" t="s">
        <v>24</v>
      </c>
      <c r="C95" s="42"/>
      <c r="D95" s="14">
        <v>19.0</v>
      </c>
      <c r="E95" s="14" t="s">
        <v>72</v>
      </c>
      <c r="F95" s="42"/>
      <c r="G95" s="42"/>
      <c r="H95" s="42"/>
      <c r="I95" s="42"/>
      <c r="J95" s="42"/>
      <c r="K95" s="42"/>
      <c r="L95" s="14">
        <v>14.0</v>
      </c>
      <c r="M95" s="14">
        <v>18.0</v>
      </c>
      <c r="N95" s="14">
        <v>32.0</v>
      </c>
      <c r="O95" s="1">
        <f t="shared" si="1"/>
        <v>0.4375</v>
      </c>
      <c r="P95" s="1">
        <f t="shared" si="2"/>
        <v>18</v>
      </c>
      <c r="Q95" s="1">
        <f t="shared" si="3"/>
        <v>0</v>
      </c>
    </row>
    <row r="96">
      <c r="A96" s="14">
        <v>2.509000369E9</v>
      </c>
      <c r="B96" s="14" t="s">
        <v>24</v>
      </c>
      <c r="C96" s="42"/>
      <c r="D96" s="14">
        <v>27.0</v>
      </c>
      <c r="E96" s="14" t="s">
        <v>73</v>
      </c>
      <c r="F96" s="42"/>
      <c r="G96" s="42"/>
      <c r="H96" s="42"/>
      <c r="I96" s="42"/>
      <c r="J96" s="42"/>
      <c r="K96" s="42"/>
      <c r="L96" s="14">
        <v>0.0</v>
      </c>
      <c r="M96" s="14">
        <v>16.0</v>
      </c>
      <c r="N96" s="14">
        <v>16.0</v>
      </c>
      <c r="O96" s="1">
        <f t="shared" si="1"/>
        <v>0</v>
      </c>
      <c r="P96" s="1">
        <f t="shared" si="2"/>
        <v>16</v>
      </c>
      <c r="Q96" s="1">
        <f t="shared" si="3"/>
        <v>1</v>
      </c>
    </row>
    <row r="97">
      <c r="A97" s="14">
        <v>2.509000369E9</v>
      </c>
      <c r="B97" s="14" t="s">
        <v>24</v>
      </c>
      <c r="C97" s="42"/>
      <c r="D97" s="14">
        <v>30.0</v>
      </c>
      <c r="E97" s="14" t="s">
        <v>148</v>
      </c>
      <c r="F97" s="42"/>
      <c r="G97" s="42"/>
      <c r="H97" s="42"/>
      <c r="I97" s="42"/>
      <c r="J97" s="42"/>
      <c r="K97" s="42"/>
      <c r="L97" s="14">
        <v>15.0</v>
      </c>
      <c r="M97" s="14">
        <v>1.0</v>
      </c>
      <c r="N97" s="14">
        <v>16.0</v>
      </c>
      <c r="O97" s="1">
        <f t="shared" si="1"/>
        <v>0.9375</v>
      </c>
      <c r="P97" s="1">
        <f t="shared" si="2"/>
        <v>1</v>
      </c>
      <c r="Q97" s="1">
        <f t="shared" si="3"/>
        <v>0</v>
      </c>
    </row>
    <row r="98">
      <c r="A98" s="14">
        <v>2.509000369E9</v>
      </c>
      <c r="B98" s="14" t="s">
        <v>24</v>
      </c>
      <c r="C98" s="42"/>
      <c r="D98" s="14">
        <v>21.0</v>
      </c>
      <c r="E98" s="14" t="s">
        <v>79</v>
      </c>
      <c r="F98" s="42"/>
      <c r="G98" s="42"/>
      <c r="H98" s="42"/>
      <c r="I98" s="42"/>
      <c r="J98" s="42"/>
      <c r="K98" s="42"/>
      <c r="L98" s="14">
        <v>13.0</v>
      </c>
      <c r="M98" s="14">
        <v>3.0</v>
      </c>
      <c r="N98" s="14">
        <v>16.0</v>
      </c>
      <c r="O98" s="1">
        <f t="shared" si="1"/>
        <v>0.8125</v>
      </c>
      <c r="P98" s="1">
        <f t="shared" si="2"/>
        <v>3</v>
      </c>
      <c r="Q98" s="1">
        <f t="shared" si="3"/>
        <v>0</v>
      </c>
    </row>
    <row r="99">
      <c r="A99" s="14">
        <v>2.509000369E9</v>
      </c>
      <c r="B99" s="14" t="s">
        <v>24</v>
      </c>
      <c r="C99" s="42"/>
      <c r="D99" s="14">
        <v>14.0</v>
      </c>
      <c r="E99" s="14" t="s">
        <v>138</v>
      </c>
      <c r="F99" s="42"/>
      <c r="G99" s="42"/>
      <c r="H99" s="42"/>
      <c r="I99" s="42"/>
      <c r="J99" s="42"/>
      <c r="K99" s="42"/>
      <c r="L99" s="14">
        <v>14.0</v>
      </c>
      <c r="M99" s="14">
        <v>2.0</v>
      </c>
      <c r="N99" s="14">
        <v>16.0</v>
      </c>
      <c r="O99" s="1">
        <f t="shared" si="1"/>
        <v>0.875</v>
      </c>
      <c r="P99" s="1">
        <f t="shared" si="2"/>
        <v>2</v>
      </c>
      <c r="Q99" s="1">
        <f t="shared" si="3"/>
        <v>0</v>
      </c>
    </row>
    <row r="100">
      <c r="A100" s="14">
        <v>2.509000369E9</v>
      </c>
      <c r="B100" s="14" t="s">
        <v>24</v>
      </c>
      <c r="C100" s="42"/>
      <c r="D100" s="14">
        <v>3.0</v>
      </c>
      <c r="E100" s="14" t="s">
        <v>125</v>
      </c>
      <c r="F100" s="42"/>
      <c r="G100" s="42"/>
      <c r="H100" s="42"/>
      <c r="I100" s="42"/>
      <c r="J100" s="42"/>
      <c r="K100" s="42"/>
      <c r="L100" s="14">
        <v>0.0</v>
      </c>
      <c r="M100" s="14">
        <v>16.0</v>
      </c>
      <c r="N100" s="14">
        <v>16.0</v>
      </c>
      <c r="O100" s="1">
        <f t="shared" si="1"/>
        <v>0</v>
      </c>
      <c r="P100" s="1">
        <f t="shared" si="2"/>
        <v>16</v>
      </c>
      <c r="Q100" s="1">
        <f t="shared" si="3"/>
        <v>1</v>
      </c>
    </row>
    <row r="101">
      <c r="A101" s="14">
        <v>2.509000369E9</v>
      </c>
      <c r="B101" s="14" t="s">
        <v>24</v>
      </c>
      <c r="C101" s="42"/>
      <c r="D101" s="14">
        <v>40.0</v>
      </c>
      <c r="E101" s="14" t="s">
        <v>156</v>
      </c>
      <c r="F101" s="42"/>
      <c r="G101" s="42"/>
      <c r="H101" s="42"/>
      <c r="I101" s="42"/>
      <c r="J101" s="42"/>
      <c r="K101" s="42"/>
      <c r="L101" s="14">
        <v>6.0</v>
      </c>
      <c r="M101" s="14">
        <v>10.0</v>
      </c>
      <c r="N101" s="14">
        <v>16.0</v>
      </c>
      <c r="O101" s="1">
        <f t="shared" si="1"/>
        <v>0.375</v>
      </c>
      <c r="P101" s="1">
        <f t="shared" si="2"/>
        <v>10</v>
      </c>
      <c r="Q101" s="1">
        <f t="shared" si="3"/>
        <v>0</v>
      </c>
    </row>
    <row r="102">
      <c r="A102" s="14">
        <v>2.509000369E9</v>
      </c>
      <c r="B102" s="14" t="s">
        <v>24</v>
      </c>
      <c r="C102" s="42"/>
      <c r="D102" s="14">
        <v>106.0</v>
      </c>
      <c r="E102" s="14" t="s">
        <v>214</v>
      </c>
      <c r="F102" s="42"/>
      <c r="G102" s="42"/>
      <c r="H102" s="42"/>
      <c r="I102" s="42"/>
      <c r="J102" s="42"/>
      <c r="K102" s="42"/>
      <c r="L102" s="14">
        <v>7.0</v>
      </c>
      <c r="M102" s="14">
        <v>9.0</v>
      </c>
      <c r="N102" s="14">
        <v>16.0</v>
      </c>
      <c r="O102" s="1">
        <f t="shared" si="1"/>
        <v>0.4375</v>
      </c>
      <c r="P102" s="1">
        <f t="shared" si="2"/>
        <v>9</v>
      </c>
      <c r="Q102" s="1">
        <f t="shared" si="3"/>
        <v>0</v>
      </c>
    </row>
    <row r="103">
      <c r="A103" s="14">
        <v>2.509000369E9</v>
      </c>
      <c r="B103" s="14" t="s">
        <v>24</v>
      </c>
      <c r="C103" s="42"/>
      <c r="D103" s="14">
        <v>25.0</v>
      </c>
      <c r="E103" s="14" t="s">
        <v>144</v>
      </c>
      <c r="F103" s="42"/>
      <c r="G103" s="42"/>
      <c r="H103" s="42"/>
      <c r="I103" s="42"/>
      <c r="J103" s="42"/>
      <c r="K103" s="42"/>
      <c r="L103" s="14">
        <v>6.0</v>
      </c>
      <c r="M103" s="14">
        <v>10.0</v>
      </c>
      <c r="N103" s="14">
        <v>16.0</v>
      </c>
      <c r="O103" s="1">
        <f t="shared" si="1"/>
        <v>0.375</v>
      </c>
      <c r="P103" s="1">
        <f t="shared" si="2"/>
        <v>10</v>
      </c>
      <c r="Q103" s="1">
        <f t="shared" si="3"/>
        <v>0</v>
      </c>
    </row>
    <row r="104">
      <c r="A104" s="14">
        <v>2.509000369E9</v>
      </c>
      <c r="B104" s="14" t="s">
        <v>24</v>
      </c>
      <c r="C104" s="42"/>
      <c r="D104" s="14">
        <v>12.0</v>
      </c>
      <c r="E104" s="14" t="s">
        <v>136</v>
      </c>
      <c r="F104" s="42"/>
      <c r="G104" s="42"/>
      <c r="H104" s="42"/>
      <c r="I104" s="42"/>
      <c r="J104" s="42"/>
      <c r="K104" s="42"/>
      <c r="L104" s="14">
        <v>15.0</v>
      </c>
      <c r="M104" s="14">
        <v>6.0</v>
      </c>
      <c r="N104" s="14">
        <v>21.0</v>
      </c>
      <c r="O104" s="1">
        <f t="shared" si="1"/>
        <v>0.7142857143</v>
      </c>
      <c r="P104" s="1">
        <f t="shared" si="2"/>
        <v>6</v>
      </c>
      <c r="Q104" s="1">
        <f t="shared" si="3"/>
        <v>0</v>
      </c>
    </row>
    <row r="105">
      <c r="A105" s="14">
        <v>2.509000369E9</v>
      </c>
      <c r="B105" s="14" t="s">
        <v>24</v>
      </c>
      <c r="C105" s="42"/>
      <c r="D105" s="14">
        <v>32.0</v>
      </c>
      <c r="E105" s="14" t="s">
        <v>356</v>
      </c>
      <c r="F105" s="42"/>
      <c r="G105" s="42"/>
      <c r="H105" s="42"/>
      <c r="I105" s="42"/>
      <c r="J105" s="42"/>
      <c r="K105" s="42"/>
      <c r="L105" s="14">
        <v>5.0</v>
      </c>
      <c r="M105" s="14">
        <v>2.0</v>
      </c>
      <c r="N105" s="14">
        <v>7.0</v>
      </c>
      <c r="O105" s="1">
        <f t="shared" si="1"/>
        <v>0.7142857143</v>
      </c>
      <c r="P105" s="1">
        <f t="shared" si="2"/>
        <v>2</v>
      </c>
      <c r="Q105" s="1">
        <f t="shared" si="3"/>
        <v>0</v>
      </c>
    </row>
    <row r="106">
      <c r="A106" s="14">
        <v>2.509000369E9</v>
      </c>
      <c r="B106" s="14" t="s">
        <v>24</v>
      </c>
      <c r="C106" s="42"/>
      <c r="D106" s="14">
        <v>64.0</v>
      </c>
      <c r="E106" s="14" t="s">
        <v>173</v>
      </c>
      <c r="F106" s="42"/>
      <c r="G106" s="42"/>
      <c r="H106" s="42"/>
      <c r="I106" s="42"/>
      <c r="J106" s="42"/>
      <c r="K106" s="42"/>
      <c r="L106" s="14">
        <v>4.0</v>
      </c>
      <c r="M106" s="14">
        <v>3.0</v>
      </c>
      <c r="N106" s="14">
        <v>7.0</v>
      </c>
      <c r="O106" s="1">
        <f t="shared" si="1"/>
        <v>0.5714285714</v>
      </c>
      <c r="P106" s="1">
        <f t="shared" si="2"/>
        <v>3</v>
      </c>
      <c r="Q106" s="1">
        <f t="shared" si="3"/>
        <v>0</v>
      </c>
    </row>
    <row r="107">
      <c r="A107" s="14">
        <v>2.509000369E9</v>
      </c>
      <c r="B107" s="14" t="s">
        <v>24</v>
      </c>
      <c r="C107" s="42"/>
      <c r="D107" s="14">
        <v>98.0</v>
      </c>
      <c r="E107" s="14" t="s">
        <v>118</v>
      </c>
      <c r="F107" s="42"/>
      <c r="G107" s="42"/>
      <c r="H107" s="42"/>
      <c r="I107" s="42"/>
      <c r="J107" s="42"/>
      <c r="K107" s="42"/>
      <c r="L107" s="14">
        <v>4.0</v>
      </c>
      <c r="M107" s="14">
        <v>2.0</v>
      </c>
      <c r="N107" s="14">
        <v>6.0</v>
      </c>
      <c r="O107" s="1">
        <f t="shared" si="1"/>
        <v>0.6666666667</v>
      </c>
      <c r="P107" s="1">
        <f t="shared" si="2"/>
        <v>2</v>
      </c>
      <c r="Q107" s="1">
        <f t="shared" si="3"/>
        <v>0</v>
      </c>
    </row>
    <row r="108">
      <c r="A108" s="14">
        <v>2.509000369E9</v>
      </c>
      <c r="B108" s="14" t="s">
        <v>24</v>
      </c>
      <c r="C108" s="42"/>
      <c r="D108" s="14">
        <v>23.0</v>
      </c>
      <c r="E108" s="14" t="s">
        <v>143</v>
      </c>
      <c r="F108" s="42"/>
      <c r="G108" s="42"/>
      <c r="H108" s="42"/>
      <c r="I108" s="42"/>
      <c r="J108" s="42"/>
      <c r="K108" s="42"/>
      <c r="L108" s="14">
        <v>4.0</v>
      </c>
      <c r="M108" s="14">
        <v>2.0</v>
      </c>
      <c r="N108" s="14">
        <v>6.0</v>
      </c>
      <c r="O108" s="1">
        <f t="shared" si="1"/>
        <v>0.6666666667</v>
      </c>
      <c r="P108" s="1">
        <f t="shared" si="2"/>
        <v>2</v>
      </c>
      <c r="Q108" s="1">
        <f t="shared" si="3"/>
        <v>0</v>
      </c>
    </row>
    <row r="109">
      <c r="A109" s="14">
        <v>2.509000369E9</v>
      </c>
      <c r="B109" s="14" t="s">
        <v>24</v>
      </c>
      <c r="C109" s="42"/>
      <c r="D109" s="14">
        <v>5.0</v>
      </c>
      <c r="E109" s="14" t="s">
        <v>131</v>
      </c>
      <c r="F109" s="42"/>
      <c r="G109" s="42"/>
      <c r="H109" s="42"/>
      <c r="I109" s="42"/>
      <c r="J109" s="42"/>
      <c r="K109" s="42"/>
      <c r="L109" s="14">
        <v>10.0</v>
      </c>
      <c r="M109" s="14">
        <v>2.0</v>
      </c>
      <c r="N109" s="14">
        <v>12.0</v>
      </c>
      <c r="O109" s="1">
        <f t="shared" si="1"/>
        <v>0.8333333333</v>
      </c>
      <c r="P109" s="1">
        <f t="shared" si="2"/>
        <v>2</v>
      </c>
      <c r="Q109" s="1">
        <f t="shared" si="3"/>
        <v>0</v>
      </c>
    </row>
    <row r="110">
      <c r="A110" s="14">
        <v>2.509000369E9</v>
      </c>
      <c r="B110" s="14" t="s">
        <v>24</v>
      </c>
      <c r="C110" s="42"/>
      <c r="D110" s="14">
        <v>108.0</v>
      </c>
      <c r="E110" s="14" t="s">
        <v>235</v>
      </c>
      <c r="F110" s="42"/>
      <c r="G110" s="42"/>
      <c r="H110" s="42"/>
      <c r="I110" s="42"/>
      <c r="J110" s="42"/>
      <c r="K110" s="42"/>
      <c r="L110" s="14">
        <v>6.0</v>
      </c>
      <c r="M110" s="14">
        <v>0.0</v>
      </c>
      <c r="N110" s="14">
        <v>6.0</v>
      </c>
      <c r="O110" s="1">
        <f t="shared" si="1"/>
        <v>1</v>
      </c>
      <c r="P110" s="1">
        <f t="shared" si="2"/>
        <v>0</v>
      </c>
      <c r="Q110" s="1">
        <f t="shared" si="3"/>
        <v>0</v>
      </c>
    </row>
    <row r="111">
      <c r="A111" s="14">
        <v>2.509000369E9</v>
      </c>
      <c r="B111" s="14" t="s">
        <v>24</v>
      </c>
      <c r="C111" s="42"/>
      <c r="D111" s="14">
        <v>29.0</v>
      </c>
      <c r="E111" s="14" t="s">
        <v>147</v>
      </c>
      <c r="F111" s="42"/>
      <c r="G111" s="42"/>
      <c r="H111" s="42"/>
      <c r="I111" s="42"/>
      <c r="J111" s="42"/>
      <c r="K111" s="42"/>
      <c r="L111" s="14">
        <v>11.0</v>
      </c>
      <c r="M111" s="14">
        <v>5.0</v>
      </c>
      <c r="N111" s="14">
        <v>16.0</v>
      </c>
      <c r="O111" s="1">
        <f t="shared" si="1"/>
        <v>0.6875</v>
      </c>
      <c r="P111" s="1">
        <f t="shared" si="2"/>
        <v>5</v>
      </c>
      <c r="Q111" s="1">
        <f t="shared" si="3"/>
        <v>0</v>
      </c>
    </row>
    <row r="112">
      <c r="A112" s="14">
        <v>2.509000369E9</v>
      </c>
      <c r="B112" s="14" t="s">
        <v>24</v>
      </c>
      <c r="C112" s="42"/>
      <c r="D112" s="14">
        <v>54.0</v>
      </c>
      <c r="E112" s="14" t="s">
        <v>168</v>
      </c>
      <c r="F112" s="42"/>
      <c r="G112" s="42"/>
      <c r="H112" s="42"/>
      <c r="I112" s="42"/>
      <c r="J112" s="42"/>
      <c r="K112" s="42"/>
      <c r="L112" s="14">
        <v>5.0</v>
      </c>
      <c r="M112" s="14">
        <v>3.0</v>
      </c>
      <c r="N112" s="14">
        <v>8.0</v>
      </c>
      <c r="O112" s="1">
        <f t="shared" si="1"/>
        <v>0.625</v>
      </c>
      <c r="P112" s="1">
        <f t="shared" si="2"/>
        <v>3</v>
      </c>
      <c r="Q112" s="1">
        <f t="shared" si="3"/>
        <v>0</v>
      </c>
    </row>
    <row r="113">
      <c r="A113" s="14">
        <v>2.509000369E9</v>
      </c>
      <c r="B113" s="14" t="s">
        <v>24</v>
      </c>
      <c r="C113" s="42"/>
      <c r="D113" s="14">
        <v>99.0</v>
      </c>
      <c r="E113" s="14" t="s">
        <v>213</v>
      </c>
      <c r="F113" s="42"/>
      <c r="G113" s="42"/>
      <c r="H113" s="42"/>
      <c r="I113" s="42"/>
      <c r="J113" s="42"/>
      <c r="K113" s="42"/>
      <c r="L113" s="14">
        <v>5.0</v>
      </c>
      <c r="M113" s="14">
        <v>3.0</v>
      </c>
      <c r="N113" s="14">
        <v>8.0</v>
      </c>
      <c r="O113" s="1">
        <f t="shared" si="1"/>
        <v>0.625</v>
      </c>
      <c r="P113" s="1">
        <f t="shared" si="2"/>
        <v>3</v>
      </c>
      <c r="Q113" s="1">
        <f t="shared" si="3"/>
        <v>0</v>
      </c>
    </row>
    <row r="114">
      <c r="A114" s="14">
        <v>2.509000369E9</v>
      </c>
      <c r="B114" s="14" t="s">
        <v>24</v>
      </c>
      <c r="C114" s="42"/>
      <c r="D114" s="14">
        <v>115.0</v>
      </c>
      <c r="E114" s="14" t="s">
        <v>240</v>
      </c>
      <c r="F114" s="42"/>
      <c r="G114" s="42"/>
      <c r="H114" s="42"/>
      <c r="I114" s="43"/>
      <c r="J114" s="42"/>
      <c r="K114" s="42"/>
      <c r="L114" s="14">
        <v>5.0</v>
      </c>
      <c r="M114" s="14">
        <v>3.0</v>
      </c>
      <c r="N114" s="14">
        <v>8.0</v>
      </c>
      <c r="O114" s="1">
        <f t="shared" si="1"/>
        <v>0.625</v>
      </c>
      <c r="P114" s="1">
        <f t="shared" si="2"/>
        <v>3</v>
      </c>
      <c r="Q114" s="1">
        <f t="shared" si="3"/>
        <v>0</v>
      </c>
    </row>
    <row r="115">
      <c r="A115" s="14">
        <v>2.509000369E9</v>
      </c>
      <c r="B115" s="14" t="s">
        <v>24</v>
      </c>
      <c r="C115" s="42"/>
      <c r="D115" s="14">
        <v>36.0</v>
      </c>
      <c r="E115" s="14" t="s">
        <v>153</v>
      </c>
      <c r="F115" s="42"/>
      <c r="G115" s="42"/>
      <c r="H115" s="42"/>
      <c r="I115" s="42"/>
      <c r="J115" s="42"/>
      <c r="K115" s="42"/>
      <c r="L115" s="14">
        <v>3.0</v>
      </c>
      <c r="M115" s="14">
        <v>5.0</v>
      </c>
      <c r="N115" s="14">
        <v>8.0</v>
      </c>
      <c r="O115" s="1">
        <f t="shared" si="1"/>
        <v>0.375</v>
      </c>
      <c r="P115" s="1">
        <f t="shared" si="2"/>
        <v>5</v>
      </c>
      <c r="Q115" s="1">
        <f t="shared" si="3"/>
        <v>0</v>
      </c>
    </row>
    <row r="116">
      <c r="A116" s="14">
        <v>2.509000369E9</v>
      </c>
      <c r="B116" s="14" t="s">
        <v>24</v>
      </c>
      <c r="C116" s="42"/>
      <c r="D116" s="14">
        <v>44.0</v>
      </c>
      <c r="E116" s="14" t="s">
        <v>160</v>
      </c>
      <c r="F116" s="42"/>
      <c r="G116" s="42"/>
      <c r="H116" s="42"/>
      <c r="I116" s="42"/>
      <c r="J116" s="42"/>
      <c r="K116" s="42"/>
      <c r="L116" s="14">
        <v>7.0</v>
      </c>
      <c r="M116" s="14">
        <v>1.0</v>
      </c>
      <c r="N116" s="14">
        <v>8.0</v>
      </c>
      <c r="O116" s="1">
        <f t="shared" si="1"/>
        <v>0.875</v>
      </c>
      <c r="P116" s="1">
        <f t="shared" si="2"/>
        <v>1</v>
      </c>
      <c r="Q116" s="1">
        <f t="shared" si="3"/>
        <v>0</v>
      </c>
    </row>
    <row r="117">
      <c r="A117" s="14">
        <v>2.509000369E9</v>
      </c>
      <c r="B117" s="14" t="s">
        <v>24</v>
      </c>
      <c r="C117" s="42"/>
      <c r="D117" s="14">
        <v>11.0</v>
      </c>
      <c r="E117" s="14" t="s">
        <v>86</v>
      </c>
      <c r="F117" s="42"/>
      <c r="G117" s="42"/>
      <c r="H117" s="42"/>
      <c r="I117" s="42"/>
      <c r="J117" s="42"/>
      <c r="K117" s="42"/>
      <c r="L117" s="14">
        <v>16.0</v>
      </c>
      <c r="M117" s="14">
        <v>8.0</v>
      </c>
      <c r="N117" s="14">
        <v>24.0</v>
      </c>
      <c r="O117" s="1">
        <f t="shared" si="1"/>
        <v>0.6666666667</v>
      </c>
      <c r="P117" s="1">
        <f t="shared" si="2"/>
        <v>8</v>
      </c>
      <c r="Q117" s="1">
        <f t="shared" si="3"/>
        <v>0</v>
      </c>
    </row>
    <row r="118">
      <c r="A118" s="14">
        <v>2.509000369E9</v>
      </c>
      <c r="B118" s="14" t="s">
        <v>24</v>
      </c>
      <c r="C118" s="42"/>
      <c r="D118" s="14">
        <v>2.0</v>
      </c>
      <c r="E118" s="14" t="s">
        <v>74</v>
      </c>
      <c r="F118" s="42"/>
      <c r="G118" s="42"/>
      <c r="H118" s="42"/>
      <c r="I118" s="14" t="s">
        <v>357</v>
      </c>
      <c r="J118" s="42"/>
      <c r="K118" s="42"/>
      <c r="L118" s="14">
        <v>49.0</v>
      </c>
      <c r="M118" s="14">
        <v>11.0</v>
      </c>
      <c r="N118" s="14">
        <v>60.0</v>
      </c>
      <c r="O118" s="1">
        <f t="shared" si="1"/>
        <v>0.8166666667</v>
      </c>
      <c r="P118" s="1">
        <f t="shared" si="2"/>
        <v>11</v>
      </c>
      <c r="Q118" s="1">
        <f t="shared" si="3"/>
        <v>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359</v>
      </c>
      <c r="B1" s="2" t="s">
        <v>360</v>
      </c>
      <c r="C1" s="2" t="s">
        <v>361</v>
      </c>
      <c r="D1" s="2" t="s">
        <v>362</v>
      </c>
      <c r="E1" s="2" t="s">
        <v>363</v>
      </c>
      <c r="F1" s="2" t="s">
        <v>364</v>
      </c>
      <c r="G1" s="2" t="s">
        <v>365</v>
      </c>
      <c r="H1" s="2" t="s">
        <v>366</v>
      </c>
      <c r="I1" s="2" t="s">
        <v>367</v>
      </c>
      <c r="J1" s="2" t="s">
        <v>339</v>
      </c>
    </row>
    <row r="2">
      <c r="A2" s="44">
        <v>2.411000046E9</v>
      </c>
      <c r="B2" s="2" t="s">
        <v>21</v>
      </c>
      <c r="C2" s="1">
        <f>SUMIF(VMS_Stock_Raw!A:A, A2, VMS_Stock_Raw!L:L)
</f>
        <v>267</v>
      </c>
      <c r="D2" s="1">
        <f>SUMIF(VMS_Stock_Raw!A:A, A2, VMS_Stock_Raw!N:N)
</f>
        <v>431</v>
      </c>
      <c r="E2" s="1">
        <f t="shared" ref="E2:E6" si="1">IFERROR(C2 / D2, )
</f>
        <v>0.6194895592</v>
      </c>
      <c r="F2" s="1">
        <f t="shared" ref="F2:F6" si="2">D2 - C2
</f>
        <v>164</v>
      </c>
      <c r="G2" s="1">
        <f>SUMIF(VMS_Stock_Raw!$A:$A, $A2, VMS_Stock_Raw!$O:$O)
</f>
        <v>17.99583333</v>
      </c>
      <c r="H2" s="1">
        <f>IFERROR( G2 / COUNTIF(VMS_Stock_Raw!$A:$A, $A2), )
</f>
        <v>0.620545977</v>
      </c>
      <c r="I2" s="1">
        <f t="shared" ref="I2:I6" si="3">IFERROR( (F2/10) + (G2*3), )
</f>
        <v>70.3875</v>
      </c>
      <c r="J2" s="1" t="str">
        <f t="shared" ref="J2:J6" si="4">IFS(
D2=0, "⚪ Missing from VMS export",
E2&lt;=0.35, "🔴 Refill NOW",
F2&gt;=250,  "🔴 Refill NOW",
E2&lt;=0.5, "🟡 Refill Soon",
F2&gt;=180,  "🟡 Refill Soon",
H2&gt;=0.6, "🟡 SKU Risk (many empty items)",
TRUE, "🟢 OK"
)
</f>
        <v>🟡 SKU Risk (many empty items)</v>
      </c>
    </row>
    <row r="3">
      <c r="A3" s="2">
        <v>2.503000216E9</v>
      </c>
      <c r="B3" s="14" t="s">
        <v>358</v>
      </c>
      <c r="C3" s="1">
        <f>SUMIF(VMS_Stock_Raw!A:A, A3, VMS_Stock_Raw!L:L)
</f>
        <v>308</v>
      </c>
      <c r="D3" s="1">
        <f>SUMIF(VMS_Stock_Raw!A:A, A3, VMS_Stock_Raw!N:N)
</f>
        <v>420</v>
      </c>
      <c r="E3" s="1">
        <f t="shared" si="1"/>
        <v>0.7333333333</v>
      </c>
      <c r="F3" s="1">
        <f t="shared" si="2"/>
        <v>112</v>
      </c>
      <c r="G3" s="1">
        <f>SUMIF(VMS_Stock_Raw!$A:$A, $A3, VMS_Stock_Raw!$O:$O)
</f>
        <v>22.88021978</v>
      </c>
      <c r="H3" s="1">
        <f>IFERROR( G3 / COUNTIF(VMS_Stock_Raw!$A:$A, $A3), )
</f>
        <v>0.7626739927</v>
      </c>
      <c r="I3" s="1">
        <f t="shared" si="3"/>
        <v>79.84065934</v>
      </c>
      <c r="J3" s="1" t="str">
        <f t="shared" si="4"/>
        <v>🟡 SKU Risk (many empty items)</v>
      </c>
    </row>
    <row r="4">
      <c r="A4" s="44">
        <v>2.503000217E9</v>
      </c>
      <c r="B4" s="14" t="s">
        <v>27</v>
      </c>
      <c r="C4" s="1">
        <f>SUMIF(VMS_Stock_Raw!A:A, A4, VMS_Stock_Raw!L:L)
</f>
        <v>291</v>
      </c>
      <c r="D4" s="1">
        <f>SUMIF(VMS_Stock_Raw!A:A, A4, VMS_Stock_Raw!N:N)
</f>
        <v>396</v>
      </c>
      <c r="E4" s="1">
        <f t="shared" si="1"/>
        <v>0.7348484848</v>
      </c>
      <c r="F4" s="1">
        <f t="shared" si="2"/>
        <v>105</v>
      </c>
      <c r="G4" s="1">
        <f>SUMIF(VMS_Stock_Raw!$A:$A, $A4, VMS_Stock_Raw!$O:$O)
</f>
        <v>20.58271222</v>
      </c>
      <c r="H4" s="1">
        <f>IFERROR( G4 / COUNTIF(VMS_Stock_Raw!$A:$A, $A4), )
</f>
        <v>0.7623226746</v>
      </c>
      <c r="I4" s="1">
        <f t="shared" si="3"/>
        <v>72.24813665</v>
      </c>
      <c r="J4" s="1" t="str">
        <f t="shared" si="4"/>
        <v>🟡 SKU Risk (many empty items)</v>
      </c>
    </row>
    <row r="5">
      <c r="A5" s="2">
        <v>2.404120076E9</v>
      </c>
      <c r="B5" s="2" t="s">
        <v>19</v>
      </c>
      <c r="C5" s="1">
        <f>SUMIF(VMS_Stock_Raw!A:A, A5, VMS_Stock_Raw!L:L)
</f>
        <v>0</v>
      </c>
      <c r="D5" s="1">
        <f>SUMIF(VMS_Stock_Raw!A:A, A5, VMS_Stock_Raw!N:N)
</f>
        <v>0</v>
      </c>
      <c r="E5" s="1" t="str">
        <f t="shared" si="1"/>
        <v/>
      </c>
      <c r="F5" s="1">
        <f t="shared" si="2"/>
        <v>0</v>
      </c>
      <c r="G5" s="1">
        <f>SUMIF(VMS_Stock_Raw!$A:$A, $A5, VMS_Stock_Raw!$O:$O)
</f>
        <v>0</v>
      </c>
      <c r="H5" s="1" t="str">
        <f>IFERROR( G5 / COUNTIF(VMS_Stock_Raw!$A:$A, $A5), )
</f>
        <v/>
      </c>
      <c r="I5" s="1">
        <f t="shared" si="3"/>
        <v>0</v>
      </c>
      <c r="J5" s="1" t="str">
        <f t="shared" si="4"/>
        <v>⚪ Missing from VMS export</v>
      </c>
    </row>
    <row r="6">
      <c r="A6" s="2">
        <v>2.509000369E9</v>
      </c>
      <c r="B6" s="2" t="s">
        <v>24</v>
      </c>
      <c r="C6" s="1">
        <f>SUMIF(VMS_Stock_Raw!A:A, A6, VMS_Stock_Raw!L:L)
</f>
        <v>257</v>
      </c>
      <c r="D6" s="1">
        <f>SUMIF(VMS_Stock_Raw!A:A, A6, VMS_Stock_Raw!N:N)
</f>
        <v>435</v>
      </c>
      <c r="E6" s="1">
        <f t="shared" si="1"/>
        <v>0.5908045977</v>
      </c>
      <c r="F6" s="1">
        <f t="shared" si="2"/>
        <v>178</v>
      </c>
      <c r="G6" s="1">
        <f>SUMIF(VMS_Stock_Raw!$A:$A, $A6, VMS_Stock_Raw!$O:$O)
</f>
        <v>18.47440476</v>
      </c>
      <c r="H6" s="1">
        <f>IFERROR( G6 / COUNTIF(VMS_Stock_Raw!$A:$A, $A6), )
</f>
        <v>0.5959485407</v>
      </c>
      <c r="I6" s="1">
        <f t="shared" si="3"/>
        <v>73.22321429</v>
      </c>
      <c r="J6" s="1" t="str">
        <f t="shared" si="4"/>
        <v>🟢 OK</v>
      </c>
    </row>
    <row r="10">
      <c r="J10" s="44"/>
    </row>
    <row r="11">
      <c r="I11" s="14"/>
    </row>
    <row r="12">
      <c r="I12" s="14"/>
      <c r="J12" s="4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368</v>
      </c>
      <c r="C1" s="2" t="s">
        <v>369</v>
      </c>
    </row>
    <row r="2">
      <c r="A2" s="2" t="s">
        <v>21</v>
      </c>
      <c r="B2" s="44">
        <v>2.411000046E9</v>
      </c>
      <c r="C2" s="2">
        <v>0.0</v>
      </c>
    </row>
    <row r="3">
      <c r="A3" s="14" t="s">
        <v>23</v>
      </c>
      <c r="B3" s="2">
        <v>2.503000216E9</v>
      </c>
      <c r="C3" s="2">
        <v>1000.0</v>
      </c>
    </row>
    <row r="4">
      <c r="A4" s="14" t="s">
        <v>27</v>
      </c>
      <c r="B4" s="44">
        <v>2.503000217E9</v>
      </c>
      <c r="C4" s="2">
        <v>350.0</v>
      </c>
    </row>
    <row r="5">
      <c r="A5" s="2" t="s">
        <v>19</v>
      </c>
      <c r="B5" s="2">
        <v>2.404120076E9</v>
      </c>
      <c r="C5" s="2">
        <v>500.0</v>
      </c>
    </row>
    <row r="6">
      <c r="A6" s="2" t="s">
        <v>24</v>
      </c>
      <c r="B6" s="2">
        <v>2.509000369E9</v>
      </c>
      <c r="C6" s="2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IFERROR(__xludf.DUMMYFUNCTION("QUERY(LS_Machine_Month!A:Z,
""select B,A,C,D,E,H,I
 where A is not null
 order by B,C"",1)
"),"Machine")</f>
        <v>Machine</v>
      </c>
      <c r="B1" s="1" t="str">
        <f>IFERROR(__xludf.DUMMYFUNCTION("""COMPUTED_VALUE"""),"Month")</f>
        <v>Month</v>
      </c>
      <c r="C1" s="1" t="str">
        <f>IFERROR(__xludf.DUMMYFUNCTION("""COMPUTED_VALUE"""),"Sales")</f>
        <v>Sales</v>
      </c>
      <c r="D1" s="1" t="str">
        <f>IFERROR(__xludf.DUMMYFUNCTION("""COMPUTED_VALUE"""),"Profit")</f>
        <v>Profit</v>
      </c>
      <c r="E1" s="1" t="str">
        <f>IFERROR(__xludf.DUMMYFUNCTION("""COMPUTED_VALUE"""),"Units")</f>
        <v>Units</v>
      </c>
      <c r="F1" s="1" t="str">
        <f>IFERROR(__xludf.DUMMYFUNCTION("""COMPUTED_VALUE"""),"NetProfit")</f>
        <v>NetProfit</v>
      </c>
      <c r="G1" s="1" t="str">
        <f>IFERROR(__xludf.DUMMYFUNCTION("""COMPUTED_VALUE"""),"AvgPrice")</f>
        <v>AvgPrice</v>
      </c>
      <c r="H1" s="2" t="s">
        <v>370</v>
      </c>
      <c r="I1" s="2" t="s">
        <v>371</v>
      </c>
    </row>
    <row r="2">
      <c r="A2" s="2" t="str">
        <f>IFERROR(__xludf.DUMMYFUNCTION("""COMPUTED_VALUE"""),"Attahadi Universty")</f>
        <v>Attahadi Universty</v>
      </c>
      <c r="B2" s="1">
        <f>IFERROR(__xludf.DUMMYFUNCTION("""COMPUTED_VALUE"""),46082.0)</f>
        <v>46082</v>
      </c>
      <c r="C2" s="1">
        <f>IFERROR(__xludf.DUMMYFUNCTION("""COMPUTED_VALUE"""),1100.5)</f>
        <v>1100.5</v>
      </c>
      <c r="D2" s="1">
        <f>IFERROR(__xludf.DUMMYFUNCTION("""COMPUTED_VALUE"""),439.3599999999999)</f>
        <v>439.36</v>
      </c>
      <c r="E2" s="1">
        <f>IFERROR(__xludf.DUMMYFUNCTION("""COMPUTED_VALUE"""),261.0)</f>
        <v>261</v>
      </c>
      <c r="F2" s="1">
        <f>IFERROR(__xludf.DUMMYFUNCTION("""COMPUTED_VALUE"""),439.3599999999999)</f>
        <v>439.36</v>
      </c>
      <c r="G2" s="1">
        <f>IFERROR(__xludf.DUMMYFUNCTION("""COMPUTED_VALUE"""),4.216475095785441)</f>
        <v>4.216475096</v>
      </c>
      <c r="H2" s="1" t="str">
        <f t="array" ref="H2">IFERROR(
XLOOKUP(A2&amp;EDATE(C2,-1),
LS_Machine_Month!B:B&amp;LS_Machine_Month!C:C,
LS_Machine_Month!D:D),
)
</f>
        <v/>
      </c>
      <c r="I2" s="1" t="str">
        <f t="array" ref="I2">IFERROR(
XLOOKUP(A2&amp;EDATE(C2,-1),
LS_Machine_Month!B:B&amp;LS_Machine_Month!C:C,
LS_Machine_Month!E:E),
)
</f>
        <v/>
      </c>
      <c r="J2" s="1" t="str">
        <f t="array" ref="J2">IFERROR(
XLOOKUP(A2&amp;EDATE(C2,-1),
LS_Machine_Month!B:B&amp;LS_Machine_Month!C:C,
LS_Machine_Month!H:H),
)
</f>
        <v/>
      </c>
    </row>
    <row r="3">
      <c r="A3" s="1" t="str">
        <f>IFERROR(__xludf.DUMMYFUNCTION("""COMPUTED_VALUE"""),"Attahadi Universty")</f>
        <v>Attahadi Universty</v>
      </c>
      <c r="B3" s="1">
        <f>IFERROR(__xludf.DUMMYFUNCTION("""COMPUTED_VALUE"""),46054.0)</f>
        <v>46054</v>
      </c>
      <c r="C3" s="1">
        <f>IFERROR(__xludf.DUMMYFUNCTION("""COMPUTED_VALUE"""),4357.5)</f>
        <v>4357.5</v>
      </c>
      <c r="D3" s="1">
        <f>IFERROR(__xludf.DUMMYFUNCTION("""COMPUTED_VALUE"""),1306.1699999999998)</f>
        <v>1306.17</v>
      </c>
      <c r="E3" s="1">
        <f>IFERROR(__xludf.DUMMYFUNCTION("""COMPUTED_VALUE"""),1279.0)</f>
        <v>1279</v>
      </c>
      <c r="F3" s="1">
        <f>IFERROR(__xludf.DUMMYFUNCTION("""COMPUTED_VALUE"""),1306.1699999999998)</f>
        <v>1306.17</v>
      </c>
      <c r="G3" s="1">
        <f>IFERROR(__xludf.DUMMYFUNCTION("""COMPUTED_VALUE"""),3.406958561376075)</f>
        <v>3.406958561</v>
      </c>
    </row>
    <row r="4">
      <c r="A4" s="1" t="str">
        <f>IFERROR(__xludf.DUMMYFUNCTION("""COMPUTED_VALUE"""),"DPMall")</f>
        <v>DPMall</v>
      </c>
      <c r="B4" s="1">
        <f>IFERROR(__xludf.DUMMYFUNCTION("""COMPUTED_VALUE"""),46054.0)</f>
        <v>46054</v>
      </c>
      <c r="C4" s="1">
        <f>IFERROR(__xludf.DUMMYFUNCTION("""COMPUTED_VALUE"""),2251.0)</f>
        <v>2251</v>
      </c>
      <c r="D4" s="1">
        <f>IFERROR(__xludf.DUMMYFUNCTION("""COMPUTED_VALUE"""),1015.1)</f>
        <v>1015.1</v>
      </c>
      <c r="E4" s="1">
        <f>IFERROR(__xludf.DUMMYFUNCTION("""COMPUTED_VALUE"""),716.0)</f>
        <v>716</v>
      </c>
      <c r="F4" s="1">
        <f>IFERROR(__xludf.DUMMYFUNCTION("""COMPUTED_VALUE"""),1515.1)</f>
        <v>1515.1</v>
      </c>
      <c r="G4" s="1">
        <f>IFERROR(__xludf.DUMMYFUNCTION("""COMPUTED_VALUE"""),3.143854748603352)</f>
        <v>3.143854749</v>
      </c>
    </row>
    <row r="5">
      <c r="A5" s="1" t="str">
        <f>IFERROR(__xludf.DUMMYFUNCTION("""COMPUTED_VALUE"""),"DPMall")</f>
        <v>DPMall</v>
      </c>
      <c r="B5" s="1">
        <f>IFERROR(__xludf.DUMMYFUNCTION("""COMPUTED_VALUE"""),46023.0)</f>
        <v>46023</v>
      </c>
      <c r="C5" s="1">
        <f>IFERROR(__xludf.DUMMYFUNCTION("""COMPUTED_VALUE"""),2760.0)</f>
        <v>2760</v>
      </c>
      <c r="D5" s="1">
        <f>IFERROR(__xludf.DUMMYFUNCTION("""COMPUTED_VALUE"""),1177.3600000000001)</f>
        <v>1177.36</v>
      </c>
      <c r="E5" s="1">
        <f>IFERROR(__xludf.DUMMYFUNCTION("""COMPUTED_VALUE"""),1004.0)</f>
        <v>1004</v>
      </c>
      <c r="F5" s="1">
        <f>IFERROR(__xludf.DUMMYFUNCTION("""COMPUTED_VALUE"""),1677.3600000000001)</f>
        <v>1677.36</v>
      </c>
      <c r="G5" s="1">
        <f>IFERROR(__xludf.DUMMYFUNCTION("""COMPUTED_VALUE"""),2.749003984063745)</f>
        <v>2.749003984</v>
      </c>
    </row>
    <row r="6">
      <c r="A6" s="1" t="str">
        <f>IFERROR(__xludf.DUMMYFUNCTION("""COMPUTED_VALUE"""),"DPMall")</f>
        <v>DPMall</v>
      </c>
      <c r="B6" s="1">
        <f>IFERROR(__xludf.DUMMYFUNCTION("""COMPUTED_VALUE"""),45901.0)</f>
        <v>45901</v>
      </c>
      <c r="C6" s="1">
        <f>IFERROR(__xludf.DUMMYFUNCTION("""COMPUTED_VALUE"""),3707.0)</f>
        <v>3707</v>
      </c>
      <c r="D6" s="1">
        <f>IFERROR(__xludf.DUMMYFUNCTION("""COMPUTED_VALUE"""),3707.0)</f>
        <v>3707</v>
      </c>
      <c r="E6" s="1">
        <f>IFERROR(__xludf.DUMMYFUNCTION("""COMPUTED_VALUE"""),1474.0)</f>
        <v>1474</v>
      </c>
      <c r="F6" s="1">
        <f>IFERROR(__xludf.DUMMYFUNCTION("""COMPUTED_VALUE"""),3557.0)</f>
        <v>3557</v>
      </c>
      <c r="G6" s="1">
        <f>IFERROR(__xludf.DUMMYFUNCTION("""COMPUTED_VALUE"""),2.514925373134328)</f>
        <v>2.514925373</v>
      </c>
    </row>
    <row r="7">
      <c r="A7" s="1" t="str">
        <f>IFERROR(__xludf.DUMMYFUNCTION("""COMPUTED_VALUE"""),"DPMall")</f>
        <v>DPMall</v>
      </c>
      <c r="B7" s="1">
        <f>IFERROR(__xludf.DUMMYFUNCTION("""COMPUTED_VALUE"""),45962.0)</f>
        <v>45962</v>
      </c>
      <c r="C7" s="1">
        <f>IFERROR(__xludf.DUMMYFUNCTION("""COMPUTED_VALUE"""),3760.0)</f>
        <v>3760</v>
      </c>
      <c r="D7" s="1">
        <f>IFERROR(__xludf.DUMMYFUNCTION("""COMPUTED_VALUE"""),3760.0)</f>
        <v>3760</v>
      </c>
      <c r="E7" s="1">
        <f>IFERROR(__xludf.DUMMYFUNCTION("""COMPUTED_VALUE"""),1383.0)</f>
        <v>1383</v>
      </c>
      <c r="F7" s="1">
        <f>IFERROR(__xludf.DUMMYFUNCTION("""COMPUTED_VALUE"""),5760.0)</f>
        <v>5760</v>
      </c>
      <c r="G7" s="1">
        <f>IFERROR(__xludf.DUMMYFUNCTION("""COMPUTED_VALUE"""),2.7187274041937814)</f>
        <v>2.718727404</v>
      </c>
    </row>
    <row r="8">
      <c r="A8" s="1" t="str">
        <f>IFERROR(__xludf.DUMMYFUNCTION("""COMPUTED_VALUE"""),"DPMall")</f>
        <v>DPMall</v>
      </c>
      <c r="B8" s="1">
        <f>IFERROR(__xludf.DUMMYFUNCTION("""COMPUTED_VALUE"""),45992.0)</f>
        <v>45992</v>
      </c>
      <c r="C8" s="1">
        <f>IFERROR(__xludf.DUMMYFUNCTION("""COMPUTED_VALUE"""),4270.0)</f>
        <v>4270</v>
      </c>
      <c r="D8" s="1">
        <f>IFERROR(__xludf.DUMMYFUNCTION("""COMPUTED_VALUE"""),4270.0)</f>
        <v>4270</v>
      </c>
      <c r="E8" s="1">
        <f>IFERROR(__xludf.DUMMYFUNCTION("""COMPUTED_VALUE"""),1669.0)</f>
        <v>1669</v>
      </c>
      <c r="F8" s="1">
        <f>IFERROR(__xludf.DUMMYFUNCTION("""COMPUTED_VALUE"""),5270.0)</f>
        <v>5270</v>
      </c>
      <c r="G8" s="1">
        <f>IFERROR(__xludf.DUMMYFUNCTION("""COMPUTED_VALUE"""),2.5584182144997003)</f>
        <v>2.558418214</v>
      </c>
    </row>
    <row r="9">
      <c r="A9" s="1" t="str">
        <f>IFERROR(__xludf.DUMMYFUNCTION("""COMPUTED_VALUE"""),"DPMall")</f>
        <v>DPMall</v>
      </c>
      <c r="B9" s="1">
        <f>IFERROR(__xludf.DUMMYFUNCTION("""COMPUTED_VALUE"""),45931.0)</f>
        <v>45931</v>
      </c>
      <c r="C9" s="1">
        <f>IFERROR(__xludf.DUMMYFUNCTION("""COMPUTED_VALUE"""),4317.0)</f>
        <v>4317</v>
      </c>
      <c r="D9" s="1">
        <f>IFERROR(__xludf.DUMMYFUNCTION("""COMPUTED_VALUE"""),4317.0)</f>
        <v>4317</v>
      </c>
      <c r="E9" s="1">
        <f>IFERROR(__xludf.DUMMYFUNCTION("""COMPUTED_VALUE"""),1492.0)</f>
        <v>1492</v>
      </c>
      <c r="F9" s="1">
        <f>IFERROR(__xludf.DUMMYFUNCTION("""COMPUTED_VALUE"""),4317.0)</f>
        <v>4317</v>
      </c>
      <c r="G9" s="1">
        <f>IFERROR(__xludf.DUMMYFUNCTION("""COMPUTED_VALUE"""),2.89343163538874)</f>
        <v>2.893431635</v>
      </c>
    </row>
    <row r="10">
      <c r="A10" s="1" t="str">
        <f>IFERROR(__xludf.DUMMYFUNCTION("""COMPUTED_VALUE"""),"DPMall")</f>
        <v>DPMall</v>
      </c>
      <c r="B10" s="1">
        <f>IFERROR(__xludf.DUMMYFUNCTION("""COMPUTED_VALUE"""),45870.0)</f>
        <v>45870</v>
      </c>
      <c r="C10" s="1">
        <f>IFERROR(__xludf.DUMMYFUNCTION("""COMPUTED_VALUE"""),5823.0)</f>
        <v>5823</v>
      </c>
      <c r="D10" s="1">
        <f>IFERROR(__xludf.DUMMYFUNCTION("""COMPUTED_VALUE"""),5823.0)</f>
        <v>5823</v>
      </c>
      <c r="E10" s="1">
        <f>IFERROR(__xludf.DUMMYFUNCTION("""COMPUTED_VALUE"""),2346.0)</f>
        <v>2346</v>
      </c>
      <c r="F10" s="1"/>
      <c r="G10" s="1"/>
    </row>
    <row r="11">
      <c r="A11" s="1" t="str">
        <f>IFERROR(__xludf.DUMMYFUNCTION("""COMPUTED_VALUE"""),"DPMall")</f>
        <v>DPMall</v>
      </c>
      <c r="B11" s="1">
        <f>IFERROR(__xludf.DUMMYFUNCTION("""COMPUTED_VALUE"""),45809.0)</f>
        <v>45809</v>
      </c>
      <c r="C11" s="1">
        <f>IFERROR(__xludf.DUMMYFUNCTION("""COMPUTED_VALUE"""),6388.0)</f>
        <v>6388</v>
      </c>
      <c r="D11" s="1">
        <f>IFERROR(__xludf.DUMMYFUNCTION("""COMPUTED_VALUE"""),6388.0)</f>
        <v>6388</v>
      </c>
      <c r="E11" s="1">
        <f>IFERROR(__xludf.DUMMYFUNCTION("""COMPUTED_VALUE"""),2244.0)</f>
        <v>2244</v>
      </c>
      <c r="F11" s="1"/>
      <c r="G11" s="1"/>
    </row>
    <row r="12">
      <c r="A12" s="1" t="str">
        <f>IFERROR(__xludf.DUMMYFUNCTION("""COMPUTED_VALUE"""),"DPMall")</f>
        <v>DPMall</v>
      </c>
      <c r="B12" s="1">
        <f>IFERROR(__xludf.DUMMYFUNCTION("""COMPUTED_VALUE"""),45839.0)</f>
        <v>45839</v>
      </c>
      <c r="C12" s="1">
        <f>IFERROR(__xludf.DUMMYFUNCTION("""COMPUTED_VALUE"""),6918.0)</f>
        <v>6918</v>
      </c>
      <c r="D12" s="1">
        <f>IFERROR(__xludf.DUMMYFUNCTION("""COMPUTED_VALUE"""),6918.0)</f>
        <v>6918</v>
      </c>
      <c r="E12" s="1">
        <f>IFERROR(__xludf.DUMMYFUNCTION("""COMPUTED_VALUE"""),2540.0)</f>
        <v>2540</v>
      </c>
      <c r="F12" s="1"/>
      <c r="G12" s="1"/>
    </row>
    <row r="13">
      <c r="A13" s="1" t="str">
        <f>IFERROR(__xludf.DUMMYFUNCTION("""COMPUTED_VALUE"""),"DPMall")</f>
        <v>DPMall</v>
      </c>
      <c r="B13" s="1">
        <f>IFERROR(__xludf.DUMMYFUNCTION("""COMPUTED_VALUE"""),45778.0)</f>
        <v>45778</v>
      </c>
      <c r="C13" s="1">
        <f>IFERROR(__xludf.DUMMYFUNCTION("""COMPUTED_VALUE"""),7047.0)</f>
        <v>7047</v>
      </c>
      <c r="D13" s="1">
        <f>IFERROR(__xludf.DUMMYFUNCTION("""COMPUTED_VALUE"""),7047.0)</f>
        <v>7047</v>
      </c>
      <c r="E13" s="1">
        <f>IFERROR(__xludf.DUMMYFUNCTION("""COMPUTED_VALUE"""),2414.0)</f>
        <v>2414</v>
      </c>
      <c r="F13" s="1"/>
      <c r="G13" s="1"/>
    </row>
    <row r="14">
      <c r="A14" s="1" t="str">
        <f>IFERROR(__xludf.DUMMYFUNCTION("""COMPUTED_VALUE"""),"DPMall")</f>
        <v>DPMall</v>
      </c>
      <c r="B14" s="1">
        <f>IFERROR(__xludf.DUMMYFUNCTION("""COMPUTED_VALUE"""),45689.0)</f>
        <v>45689</v>
      </c>
      <c r="C14" s="1">
        <f>IFERROR(__xludf.DUMMYFUNCTION("""COMPUTED_VALUE"""),7384.0)</f>
        <v>7384</v>
      </c>
      <c r="D14" s="1">
        <f>IFERROR(__xludf.DUMMYFUNCTION("""COMPUTED_VALUE"""),7384.0)</f>
        <v>7384</v>
      </c>
      <c r="E14" s="1">
        <f>IFERROR(__xludf.DUMMYFUNCTION("""COMPUTED_VALUE"""),2768.0)</f>
        <v>2768</v>
      </c>
      <c r="F14" s="1"/>
      <c r="G14" s="1"/>
    </row>
    <row r="15">
      <c r="A15" s="1" t="str">
        <f>IFERROR(__xludf.DUMMYFUNCTION("""COMPUTED_VALUE"""),"DPMall")</f>
        <v>DPMall</v>
      </c>
      <c r="B15" s="1">
        <f>IFERROR(__xludf.DUMMYFUNCTION("""COMPUTED_VALUE"""),45658.0)</f>
        <v>45658</v>
      </c>
      <c r="C15" s="1">
        <f>IFERROR(__xludf.DUMMYFUNCTION("""COMPUTED_VALUE"""),7700.0)</f>
        <v>7700</v>
      </c>
      <c r="D15" s="1">
        <f>IFERROR(__xludf.DUMMYFUNCTION("""COMPUTED_VALUE"""),7700.0)</f>
        <v>7700</v>
      </c>
      <c r="E15" s="1">
        <f>IFERROR(__xludf.DUMMYFUNCTION("""COMPUTED_VALUE"""),3096.0)</f>
        <v>3096</v>
      </c>
      <c r="F15" s="1"/>
      <c r="G15" s="1"/>
    </row>
    <row r="16">
      <c r="A16" s="1" t="str">
        <f>IFERROR(__xludf.DUMMYFUNCTION("""COMPUTED_VALUE"""),"DPMall")</f>
        <v>DPMall</v>
      </c>
      <c r="B16" s="1">
        <f>IFERROR(__xludf.DUMMYFUNCTION("""COMPUTED_VALUE"""),46082.0)</f>
        <v>46082</v>
      </c>
      <c r="C16" s="1">
        <f>IFERROR(__xludf.DUMMYFUNCTION("""COMPUTED_VALUE"""),8138.0)</f>
        <v>8138</v>
      </c>
      <c r="D16" s="1">
        <f>IFERROR(__xludf.DUMMYFUNCTION("""COMPUTED_VALUE"""),3449.24)</f>
        <v>3449.24</v>
      </c>
      <c r="E16" s="1">
        <f>IFERROR(__xludf.DUMMYFUNCTION("""COMPUTED_VALUE"""),2370.0)</f>
        <v>2370</v>
      </c>
      <c r="F16" s="1">
        <f>IFERROR(__xludf.DUMMYFUNCTION("""COMPUTED_VALUE"""),3949.24)</f>
        <v>3949.24</v>
      </c>
      <c r="G16" s="1">
        <f>IFERROR(__xludf.DUMMYFUNCTION("""COMPUTED_VALUE"""),3.4337552742616033)</f>
        <v>3.433755274</v>
      </c>
    </row>
    <row r="17">
      <c r="A17" s="1" t="str">
        <f>IFERROR(__xludf.DUMMYFUNCTION("""COMPUTED_VALUE"""),"DPMall")</f>
        <v>DPMall</v>
      </c>
      <c r="B17" s="1">
        <f>IFERROR(__xludf.DUMMYFUNCTION("""COMPUTED_VALUE"""),45717.0)</f>
        <v>45717</v>
      </c>
      <c r="C17" s="1">
        <f>IFERROR(__xludf.DUMMYFUNCTION("""COMPUTED_VALUE"""),8859.0)</f>
        <v>8859</v>
      </c>
      <c r="D17" s="1">
        <f>IFERROR(__xludf.DUMMYFUNCTION("""COMPUTED_VALUE"""),8859.0)</f>
        <v>8859</v>
      </c>
      <c r="E17" s="1">
        <f>IFERROR(__xludf.DUMMYFUNCTION("""COMPUTED_VALUE"""),3365.0)</f>
        <v>3365</v>
      </c>
      <c r="F17" s="1"/>
      <c r="G17" s="1"/>
    </row>
    <row r="18">
      <c r="A18" s="1" t="str">
        <f>IFERROR(__xludf.DUMMYFUNCTION("""COMPUTED_VALUE"""),"DPMall")</f>
        <v>DPMall</v>
      </c>
      <c r="B18" s="1">
        <f>IFERROR(__xludf.DUMMYFUNCTION("""COMPUTED_VALUE"""),45748.0)</f>
        <v>45748</v>
      </c>
      <c r="C18" s="1">
        <f>IFERROR(__xludf.DUMMYFUNCTION("""COMPUTED_VALUE"""),14204.0)</f>
        <v>14204</v>
      </c>
      <c r="D18" s="1">
        <f>IFERROR(__xludf.DUMMYFUNCTION("""COMPUTED_VALUE"""),14204.0)</f>
        <v>14204</v>
      </c>
      <c r="E18" s="1">
        <f>IFERROR(__xludf.DUMMYFUNCTION("""COMPUTED_VALUE"""),4833.0)</f>
        <v>4833</v>
      </c>
      <c r="F18" s="1"/>
      <c r="G18" s="1"/>
    </row>
    <row r="19">
      <c r="A19" s="1" t="str">
        <f>IFERROR(__xludf.DUMMYFUNCTION("""COMPUTED_VALUE"""),"HospAlmoa")</f>
        <v>HospAlmoa</v>
      </c>
      <c r="B19" s="1">
        <f>IFERROR(__xludf.DUMMYFUNCTION("""COMPUTED_VALUE"""),45839.0)</f>
        <v>45839</v>
      </c>
      <c r="C19" s="1">
        <f>IFERROR(__xludf.DUMMYFUNCTION("""COMPUTED_VALUE"""),2474.0)</f>
        <v>2474</v>
      </c>
      <c r="D19" s="1">
        <f>IFERROR(__xludf.DUMMYFUNCTION("""COMPUTED_VALUE"""),584.3799999999999)</f>
        <v>584.38</v>
      </c>
      <c r="E19" s="1">
        <f>IFERROR(__xludf.DUMMYFUNCTION("""COMPUTED_VALUE"""),800.0)</f>
        <v>800</v>
      </c>
      <c r="F19" s="1"/>
      <c r="G19" s="1"/>
    </row>
    <row r="20">
      <c r="A20" s="1" t="str">
        <f>IFERROR(__xludf.DUMMYFUNCTION("""COMPUTED_VALUE"""),"HospAlmoa")</f>
        <v>HospAlmoa</v>
      </c>
      <c r="B20" s="1">
        <f>IFERROR(__xludf.DUMMYFUNCTION("""COMPUTED_VALUE"""),45962.0)</f>
        <v>45962</v>
      </c>
      <c r="C20" s="1">
        <f>IFERROR(__xludf.DUMMYFUNCTION("""COMPUTED_VALUE"""),4181.0)</f>
        <v>4181</v>
      </c>
      <c r="D20" s="1">
        <f>IFERROR(__xludf.DUMMYFUNCTION("""COMPUTED_VALUE"""),1140.1999999999998)</f>
        <v>1140.2</v>
      </c>
      <c r="E20" s="1">
        <f>IFERROR(__xludf.DUMMYFUNCTION("""COMPUTED_VALUE"""),1476.0)</f>
        <v>1476</v>
      </c>
      <c r="F20" s="1">
        <f>IFERROR(__xludf.DUMMYFUNCTION("""COMPUTED_VALUE"""),1140.1999999999998)</f>
        <v>1140.2</v>
      </c>
      <c r="G20" s="1">
        <f>IFERROR(__xludf.DUMMYFUNCTION("""COMPUTED_VALUE"""),2.8326558265582658)</f>
        <v>2.832655827</v>
      </c>
    </row>
    <row r="21">
      <c r="A21" s="1" t="str">
        <f>IFERROR(__xludf.DUMMYFUNCTION("""COMPUTED_VALUE"""),"HospAlmoa")</f>
        <v>HospAlmoa</v>
      </c>
      <c r="B21" s="1">
        <f>IFERROR(__xludf.DUMMYFUNCTION("""COMPUTED_VALUE"""),46054.0)</f>
        <v>46054</v>
      </c>
      <c r="C21" s="1">
        <f>IFERROR(__xludf.DUMMYFUNCTION("""COMPUTED_VALUE"""),4244.0)</f>
        <v>4244</v>
      </c>
      <c r="D21" s="1">
        <f>IFERROR(__xludf.DUMMYFUNCTION("""COMPUTED_VALUE"""),1368.5700000000002)</f>
        <v>1368.57</v>
      </c>
      <c r="E21" s="1">
        <f>IFERROR(__xludf.DUMMYFUNCTION("""COMPUTED_VALUE"""),1262.0)</f>
        <v>1262</v>
      </c>
      <c r="F21" s="1">
        <f>IFERROR(__xludf.DUMMYFUNCTION("""COMPUTED_VALUE"""),1368.5700000000002)</f>
        <v>1368.57</v>
      </c>
      <c r="G21" s="1">
        <f>IFERROR(__xludf.DUMMYFUNCTION("""COMPUTED_VALUE"""),3.362916006339144)</f>
        <v>3.362916006</v>
      </c>
    </row>
    <row r="22">
      <c r="A22" s="1" t="str">
        <f>IFERROR(__xludf.DUMMYFUNCTION("""COMPUTED_VALUE"""),"HospAlmoa")</f>
        <v>HospAlmoa</v>
      </c>
      <c r="B22" s="1">
        <f>IFERROR(__xludf.DUMMYFUNCTION("""COMPUTED_VALUE"""),45901.0)</f>
        <v>45901</v>
      </c>
      <c r="C22" s="1">
        <f>IFERROR(__xludf.DUMMYFUNCTION("""COMPUTED_VALUE"""),4319.0)</f>
        <v>4319</v>
      </c>
      <c r="D22" s="1">
        <f>IFERROR(__xludf.DUMMYFUNCTION("""COMPUTED_VALUE"""),1375.7899999999997)</f>
        <v>1375.79</v>
      </c>
      <c r="E22" s="1">
        <f>IFERROR(__xludf.DUMMYFUNCTION("""COMPUTED_VALUE"""),1361.0)</f>
        <v>1361</v>
      </c>
      <c r="F22" s="1"/>
      <c r="G22" s="1"/>
    </row>
    <row r="23">
      <c r="A23" s="1" t="str">
        <f>IFERROR(__xludf.DUMMYFUNCTION("""COMPUTED_VALUE"""),"HospAlmoa")</f>
        <v>HospAlmoa</v>
      </c>
      <c r="B23" s="1">
        <f>IFERROR(__xludf.DUMMYFUNCTION("""COMPUTED_VALUE"""),46082.0)</f>
        <v>46082</v>
      </c>
      <c r="C23" s="1">
        <f>IFERROR(__xludf.DUMMYFUNCTION("""COMPUTED_VALUE"""),4712.0)</f>
        <v>4712</v>
      </c>
      <c r="D23" s="1">
        <f>IFERROR(__xludf.DUMMYFUNCTION("""COMPUTED_VALUE"""),1626.1799999999996)</f>
        <v>1626.18</v>
      </c>
      <c r="E23" s="1">
        <f>IFERROR(__xludf.DUMMYFUNCTION("""COMPUTED_VALUE"""),1387.0)</f>
        <v>1387</v>
      </c>
      <c r="F23" s="1">
        <f>IFERROR(__xludf.DUMMYFUNCTION("""COMPUTED_VALUE"""),1626.1799999999996)</f>
        <v>1626.18</v>
      </c>
      <c r="G23" s="1">
        <f>IFERROR(__xludf.DUMMYFUNCTION("""COMPUTED_VALUE"""),3.3972602739726026)</f>
        <v>3.397260274</v>
      </c>
    </row>
    <row r="24">
      <c r="A24" s="1" t="str">
        <f>IFERROR(__xludf.DUMMYFUNCTION("""COMPUTED_VALUE"""),"HospAlmoa")</f>
        <v>HospAlmoa</v>
      </c>
      <c r="B24" s="1">
        <f>IFERROR(__xludf.DUMMYFUNCTION("""COMPUTED_VALUE"""),46023.0)</f>
        <v>46023</v>
      </c>
      <c r="C24" s="1">
        <f>IFERROR(__xludf.DUMMYFUNCTION("""COMPUTED_VALUE"""),4992.0)</f>
        <v>4992</v>
      </c>
      <c r="D24" s="1">
        <f>IFERROR(__xludf.DUMMYFUNCTION("""COMPUTED_VALUE"""),1567.26)</f>
        <v>1567.26</v>
      </c>
      <c r="E24" s="1">
        <f>IFERROR(__xludf.DUMMYFUNCTION("""COMPUTED_VALUE"""),1583.0)</f>
        <v>1583</v>
      </c>
      <c r="F24" s="1">
        <f>IFERROR(__xludf.DUMMYFUNCTION("""COMPUTED_VALUE"""),1567.26)</f>
        <v>1567.26</v>
      </c>
      <c r="G24" s="1">
        <f>IFERROR(__xludf.DUMMYFUNCTION("""COMPUTED_VALUE"""),3.1535060012634237)</f>
        <v>3.153506001</v>
      </c>
    </row>
    <row r="25">
      <c r="A25" s="1" t="str">
        <f>IFERROR(__xludf.DUMMYFUNCTION("""COMPUTED_VALUE"""),"HospAlmoa")</f>
        <v>HospAlmoa</v>
      </c>
      <c r="B25" s="1">
        <f>IFERROR(__xludf.DUMMYFUNCTION("""COMPUTED_VALUE"""),45931.0)</f>
        <v>45931</v>
      </c>
      <c r="C25" s="1">
        <f>IFERROR(__xludf.DUMMYFUNCTION("""COMPUTED_VALUE"""),5119.0)</f>
        <v>5119</v>
      </c>
      <c r="D25" s="1">
        <f>IFERROR(__xludf.DUMMYFUNCTION("""COMPUTED_VALUE"""),1407.5400000000002)</f>
        <v>1407.54</v>
      </c>
      <c r="E25" s="1">
        <f>IFERROR(__xludf.DUMMYFUNCTION("""COMPUTED_VALUE"""),1628.0)</f>
        <v>1628</v>
      </c>
      <c r="F25" s="1">
        <f>IFERROR(__xludf.DUMMYFUNCTION("""COMPUTED_VALUE"""),1057.5400000000002)</f>
        <v>1057.54</v>
      </c>
      <c r="G25" s="1">
        <f>IFERROR(__xludf.DUMMYFUNCTION("""COMPUTED_VALUE"""),3.1443488943488944)</f>
        <v>3.144348894</v>
      </c>
    </row>
    <row r="26">
      <c r="A26" s="1" t="str">
        <f>IFERROR(__xludf.DUMMYFUNCTION("""COMPUTED_VALUE"""),"HospAlmoa")</f>
        <v>HospAlmoa</v>
      </c>
      <c r="B26" s="1">
        <f>IFERROR(__xludf.DUMMYFUNCTION("""COMPUTED_VALUE"""),45992.0)</f>
        <v>45992</v>
      </c>
      <c r="C26" s="1">
        <f>IFERROR(__xludf.DUMMYFUNCTION("""COMPUTED_VALUE"""),5222.0)</f>
        <v>5222</v>
      </c>
      <c r="D26" s="1">
        <f>IFERROR(__xludf.DUMMYFUNCTION("""COMPUTED_VALUE"""),1786.24)</f>
        <v>1786.24</v>
      </c>
      <c r="E26" s="1">
        <f>IFERROR(__xludf.DUMMYFUNCTION("""COMPUTED_VALUE"""),1790.0)</f>
        <v>1790</v>
      </c>
      <c r="F26" s="1">
        <f>IFERROR(__xludf.DUMMYFUNCTION("""COMPUTED_VALUE"""),1786.24)</f>
        <v>1786.24</v>
      </c>
      <c r="G26" s="1">
        <f>IFERROR(__xludf.DUMMYFUNCTION("""COMPUTED_VALUE"""),2.91731843575419)</f>
        <v>2.917318436</v>
      </c>
    </row>
    <row r="27">
      <c r="A27" s="1" t="str">
        <f>IFERROR(__xludf.DUMMYFUNCTION("""COMPUTED_VALUE"""),"HospAlmoa")</f>
        <v>HospAlmoa</v>
      </c>
      <c r="B27" s="1">
        <f>IFERROR(__xludf.DUMMYFUNCTION("""COMPUTED_VALUE"""),45870.0)</f>
        <v>45870</v>
      </c>
      <c r="C27" s="1">
        <f>IFERROR(__xludf.DUMMYFUNCTION("""COMPUTED_VALUE"""),5788.0)</f>
        <v>5788</v>
      </c>
      <c r="D27" s="1">
        <f>IFERROR(__xludf.DUMMYFUNCTION("""COMPUTED_VALUE"""),1606.0300000000002)</f>
        <v>1606.03</v>
      </c>
      <c r="E27" s="1">
        <f>IFERROR(__xludf.DUMMYFUNCTION("""COMPUTED_VALUE"""),1863.0)</f>
        <v>1863</v>
      </c>
      <c r="F27" s="1"/>
      <c r="G27" s="1"/>
    </row>
    <row r="28">
      <c r="A28" s="1" t="str">
        <f>IFERROR(__xludf.DUMMYFUNCTION("""COMPUTED_VALUE"""),"HTLand")</f>
        <v>HTLand</v>
      </c>
      <c r="B28" s="1">
        <f>IFERROR(__xludf.DUMMYFUNCTION("""COMPUTED_VALUE"""),46082.0)</f>
        <v>46082</v>
      </c>
      <c r="C28" s="1">
        <f>IFERROR(__xludf.DUMMYFUNCTION("""COMPUTED_VALUE"""),6489.0)</f>
        <v>6489</v>
      </c>
      <c r="D28" s="1">
        <f>IFERROR(__xludf.DUMMYFUNCTION("""COMPUTED_VALUE"""),2587.5699999999997)</f>
        <v>2587.57</v>
      </c>
      <c r="E28" s="1">
        <f>IFERROR(__xludf.DUMMYFUNCTION("""COMPUTED_VALUE"""),2024.0)</f>
        <v>2024</v>
      </c>
      <c r="F28" s="1">
        <f>IFERROR(__xludf.DUMMYFUNCTION("""COMPUTED_VALUE"""),3587.5699999999997)</f>
        <v>3587.57</v>
      </c>
      <c r="G28" s="1">
        <f>IFERROR(__xludf.DUMMYFUNCTION("""COMPUTED_VALUE"""),3.20602766798419)</f>
        <v>3.206027668</v>
      </c>
    </row>
    <row r="29">
      <c r="A29" s="1" t="str">
        <f>IFERROR(__xludf.DUMMYFUNCTION("""COMPUTED_VALUE"""),"HTLand")</f>
        <v>HTLand</v>
      </c>
      <c r="B29" s="1">
        <f>IFERROR(__xludf.DUMMYFUNCTION("""COMPUTED_VALUE"""),46054.0)</f>
        <v>46054</v>
      </c>
      <c r="C29" s="1">
        <f>IFERROR(__xludf.DUMMYFUNCTION("""COMPUTED_VALUE"""),7421.0)</f>
        <v>7421</v>
      </c>
      <c r="D29" s="1">
        <f>IFERROR(__xludf.DUMMYFUNCTION("""COMPUTED_VALUE"""),2969.459999999999)</f>
        <v>2969.46</v>
      </c>
      <c r="E29" s="1">
        <f>IFERROR(__xludf.DUMMYFUNCTION("""COMPUTED_VALUE"""),2264.0)</f>
        <v>2264</v>
      </c>
      <c r="F29" s="1">
        <f>IFERROR(__xludf.DUMMYFUNCTION("""COMPUTED_VALUE"""),2969.459999999999)</f>
        <v>2969.46</v>
      </c>
      <c r="G29" s="1">
        <f>IFERROR(__xludf.DUMMYFUNCTION("""COMPUTED_VALUE"""),3.277826855123675)</f>
        <v>3.277826855</v>
      </c>
    </row>
    <row r="30">
      <c r="A30" s="1" t="str">
        <f>IFERROR(__xludf.DUMMYFUNCTION("""COMPUTED_VALUE"""),"HTMall")</f>
        <v>HTMall</v>
      </c>
      <c r="B30" s="1">
        <f>IFERROR(__xludf.DUMMYFUNCTION("""COMPUTED_VALUE"""),46054.0)</f>
        <v>46054</v>
      </c>
      <c r="C30" s="1">
        <f>IFERROR(__xludf.DUMMYFUNCTION("""COMPUTED_VALUE"""),4149.5)</f>
        <v>4149.5</v>
      </c>
      <c r="D30" s="1">
        <f>IFERROR(__xludf.DUMMYFUNCTION("""COMPUTED_VALUE"""),1639.6799999999998)</f>
        <v>1639.68</v>
      </c>
      <c r="E30" s="1">
        <f>IFERROR(__xludf.DUMMYFUNCTION("""COMPUTED_VALUE"""),1493.0)</f>
        <v>1493</v>
      </c>
      <c r="F30" s="1">
        <f>IFERROR(__xludf.DUMMYFUNCTION("""COMPUTED_VALUE"""),1639.6799999999998)</f>
        <v>1639.68</v>
      </c>
      <c r="G30" s="1">
        <f>IFERROR(__xludf.DUMMYFUNCTION("""COMPUTED_VALUE"""),2.779303415941058)</f>
        <v>2.779303416</v>
      </c>
    </row>
    <row r="31">
      <c r="A31" s="1" t="str">
        <f>IFERROR(__xludf.DUMMYFUNCTION("""COMPUTED_VALUE"""),"HTMall")</f>
        <v>HTMall</v>
      </c>
      <c r="B31" s="1">
        <f>IFERROR(__xludf.DUMMYFUNCTION("""COMPUTED_VALUE"""),45962.0)</f>
        <v>45962</v>
      </c>
      <c r="C31" s="1">
        <f>IFERROR(__xludf.DUMMYFUNCTION("""COMPUTED_VALUE"""),5092.0)</f>
        <v>5092</v>
      </c>
      <c r="D31" s="1">
        <f>IFERROR(__xludf.DUMMYFUNCTION("""COMPUTED_VALUE"""),1746.5)</f>
        <v>1746.5</v>
      </c>
      <c r="E31" s="1">
        <f>IFERROR(__xludf.DUMMYFUNCTION("""COMPUTED_VALUE"""),1939.0)</f>
        <v>1939</v>
      </c>
      <c r="F31" s="1"/>
      <c r="G31" s="1">
        <f>IFERROR(__xludf.DUMMYFUNCTION("""COMPUTED_VALUE"""),2.626095925734915)</f>
        <v>2.626095926</v>
      </c>
    </row>
    <row r="32">
      <c r="A32" s="1" t="str">
        <f>IFERROR(__xludf.DUMMYFUNCTION("""COMPUTED_VALUE"""),"HTMall")</f>
        <v>HTMall</v>
      </c>
      <c r="B32" s="1">
        <f>IFERROR(__xludf.DUMMYFUNCTION("""COMPUTED_VALUE"""),45901.0)</f>
        <v>45901</v>
      </c>
      <c r="C32" s="1">
        <f>IFERROR(__xludf.DUMMYFUNCTION("""COMPUTED_VALUE"""),6216.0)</f>
        <v>6216</v>
      </c>
      <c r="D32" s="1">
        <f>IFERROR(__xludf.DUMMYFUNCTION("""COMPUTED_VALUE"""),2154.8099999999995)</f>
        <v>2154.81</v>
      </c>
      <c r="E32" s="1">
        <f>IFERROR(__xludf.DUMMYFUNCTION("""COMPUTED_VALUE"""),2734.0)</f>
        <v>2734</v>
      </c>
      <c r="F32" s="1"/>
      <c r="G32" s="1"/>
    </row>
    <row r="33">
      <c r="A33" s="1" t="str">
        <f>IFERROR(__xludf.DUMMYFUNCTION("""COMPUTED_VALUE"""),"HTMall")</f>
        <v>HTMall</v>
      </c>
      <c r="B33" s="1">
        <f>IFERROR(__xludf.DUMMYFUNCTION("""COMPUTED_VALUE"""),45931.0)</f>
        <v>45931</v>
      </c>
      <c r="C33" s="1">
        <f>IFERROR(__xludf.DUMMYFUNCTION("""COMPUTED_VALUE"""),6910.0)</f>
        <v>6910</v>
      </c>
      <c r="D33" s="1">
        <f>IFERROR(__xludf.DUMMYFUNCTION("""COMPUTED_VALUE"""),2572.79)</f>
        <v>2572.79</v>
      </c>
      <c r="E33" s="1">
        <f>IFERROR(__xludf.DUMMYFUNCTION("""COMPUTED_VALUE"""),2663.0)</f>
        <v>2663</v>
      </c>
      <c r="F33" s="1"/>
      <c r="G33" s="1"/>
    </row>
    <row r="34">
      <c r="A34" s="1" t="str">
        <f>IFERROR(__xludf.DUMMYFUNCTION("""COMPUTED_VALUE"""),"HTMall")</f>
        <v>HTMall</v>
      </c>
      <c r="B34" s="1">
        <f>IFERROR(__xludf.DUMMYFUNCTION("""COMPUTED_VALUE"""),45992.0)</f>
        <v>45992</v>
      </c>
      <c r="C34" s="1">
        <f>IFERROR(__xludf.DUMMYFUNCTION("""COMPUTED_VALUE"""),8128.0)</f>
        <v>8128</v>
      </c>
      <c r="D34" s="1">
        <f>IFERROR(__xludf.DUMMYFUNCTION("""COMPUTED_VALUE"""),3224.52)</f>
        <v>3224.52</v>
      </c>
      <c r="E34" s="1">
        <f>IFERROR(__xludf.DUMMYFUNCTION("""COMPUTED_VALUE"""),2934.0)</f>
        <v>2934</v>
      </c>
      <c r="F34" s="1"/>
      <c r="G34" s="1">
        <f>IFERROR(__xludf.DUMMYFUNCTION("""COMPUTED_VALUE"""),2.7702794819359235)</f>
        <v>2.770279482</v>
      </c>
    </row>
    <row r="35">
      <c r="A35" s="1" t="str">
        <f>IFERROR(__xludf.DUMMYFUNCTION("""COMPUTED_VALUE"""),"HTMall")</f>
        <v>HTMall</v>
      </c>
      <c r="B35" s="1">
        <f>IFERROR(__xludf.DUMMYFUNCTION("""COMPUTED_VALUE"""),45839.0)</f>
        <v>45839</v>
      </c>
      <c r="C35" s="1">
        <f>IFERROR(__xludf.DUMMYFUNCTION("""COMPUTED_VALUE"""),8155.0)</f>
        <v>8155</v>
      </c>
      <c r="D35" s="1">
        <f>IFERROR(__xludf.DUMMYFUNCTION("""COMPUTED_VALUE"""),2598.8299999999995)</f>
        <v>2598.83</v>
      </c>
      <c r="E35" s="1">
        <f>IFERROR(__xludf.DUMMYFUNCTION("""COMPUTED_VALUE"""),3282.0)</f>
        <v>3282</v>
      </c>
      <c r="F35" s="1"/>
      <c r="G35" s="1"/>
    </row>
    <row r="36">
      <c r="A36" s="1" t="str">
        <f>IFERROR(__xludf.DUMMYFUNCTION("""COMPUTED_VALUE"""),"HTMall")</f>
        <v>HTMall</v>
      </c>
      <c r="B36" s="1">
        <f>IFERROR(__xludf.DUMMYFUNCTION("""COMPUTED_VALUE"""),45870.0)</f>
        <v>45870</v>
      </c>
      <c r="C36" s="1">
        <f>IFERROR(__xludf.DUMMYFUNCTION("""COMPUTED_VALUE"""),8356.0)</f>
        <v>8356</v>
      </c>
      <c r="D36" s="1">
        <f>IFERROR(__xludf.DUMMYFUNCTION("""COMPUTED_VALUE"""),3081.56)</f>
        <v>3081.56</v>
      </c>
      <c r="E36" s="1">
        <f>IFERROR(__xludf.DUMMYFUNCTION("""COMPUTED_VALUE"""),3721.0)</f>
        <v>3721</v>
      </c>
      <c r="F36" s="1"/>
      <c r="G36" s="1"/>
    </row>
    <row r="37">
      <c r="A37" s="1" t="str">
        <f>IFERROR(__xludf.DUMMYFUNCTION("""COMPUTED_VALUE"""),"HTMall")</f>
        <v>HTMall</v>
      </c>
      <c r="B37" s="1">
        <f>IFERROR(__xludf.DUMMYFUNCTION("""COMPUTED_VALUE"""),46023.0)</f>
        <v>46023</v>
      </c>
      <c r="C37" s="1">
        <f>IFERROR(__xludf.DUMMYFUNCTION("""COMPUTED_VALUE"""),10275.0)</f>
        <v>10275</v>
      </c>
      <c r="D37" s="1">
        <f>IFERROR(__xludf.DUMMYFUNCTION("""COMPUTED_VALUE"""),4118.829999999999)</f>
        <v>4118.83</v>
      </c>
      <c r="E37" s="1">
        <f>IFERROR(__xludf.DUMMYFUNCTION("""COMPUTED_VALUE"""),3461.0)</f>
        <v>3461</v>
      </c>
      <c r="F37" s="1">
        <f>IFERROR(__xludf.DUMMYFUNCTION("""COMPUTED_VALUE"""),4118.829999999999)</f>
        <v>4118.83</v>
      </c>
      <c r="G37" s="1">
        <f>IFERROR(__xludf.DUMMYFUNCTION("""COMPUTED_VALUE"""),2.9687951459115864)</f>
        <v>2.968795146</v>
      </c>
    </row>
    <row r="38">
      <c r="A38" s="1" t="str">
        <f>IFERROR(__xludf.DUMMYFUNCTION("""COMPUTED_VALUE"""),"HTMall")</f>
        <v>HTMall</v>
      </c>
      <c r="B38" s="1">
        <f>IFERROR(__xludf.DUMMYFUNCTION("""COMPUTED_VALUE"""),45809.0)</f>
        <v>45809</v>
      </c>
      <c r="C38" s="1">
        <f>IFERROR(__xludf.DUMMYFUNCTION("""COMPUTED_VALUE"""),10866.0)</f>
        <v>10866</v>
      </c>
      <c r="D38" s="1">
        <f>IFERROR(__xludf.DUMMYFUNCTION("""COMPUTED_VALUE"""),3503.22)</f>
        <v>3503.22</v>
      </c>
      <c r="E38" s="1">
        <f>IFERROR(__xludf.DUMMYFUNCTION("""COMPUTED_VALUE"""),4051.0)</f>
        <v>4051</v>
      </c>
      <c r="F38" s="1"/>
      <c r="G38" s="1"/>
    </row>
    <row r="39">
      <c r="A39" s="1" t="str">
        <f>IFERROR(__xludf.DUMMYFUNCTION("""COMPUTED_VALUE"""),"HTMall")</f>
        <v>HTMall</v>
      </c>
      <c r="B39" s="1">
        <f>IFERROR(__xludf.DUMMYFUNCTION("""COMPUTED_VALUE"""),46082.0)</f>
        <v>46082</v>
      </c>
      <c r="C39" s="1">
        <f>IFERROR(__xludf.DUMMYFUNCTION("""COMPUTED_VALUE"""),14909.0)</f>
        <v>14909</v>
      </c>
      <c r="D39" s="1">
        <f>IFERROR(__xludf.DUMMYFUNCTION("""COMPUTED_VALUE"""),6405.359999999999)</f>
        <v>6405.36</v>
      </c>
      <c r="E39" s="1">
        <f>IFERROR(__xludf.DUMMYFUNCTION("""COMPUTED_VALUE"""),4525.0)</f>
        <v>4525</v>
      </c>
      <c r="F39" s="1">
        <f>IFERROR(__xludf.DUMMYFUNCTION("""COMPUTED_VALUE"""),5405.359999999999)</f>
        <v>5405.36</v>
      </c>
      <c r="G39" s="1">
        <f>IFERROR(__xludf.DUMMYFUNCTION("""COMPUTED_VALUE"""),3.294806629834254)</f>
        <v>3.29480663</v>
      </c>
    </row>
    <row r="40">
      <c r="A40" s="1" t="str">
        <f>IFERROR(__xludf.DUMMYFUNCTION("""COMPUTED_VALUE"""),"Istiklal")</f>
        <v>Istiklal</v>
      </c>
      <c r="B40" s="1">
        <f>IFERROR(__xludf.DUMMYFUNCTION("""COMPUTED_VALUE"""),46023.0)</f>
        <v>46023</v>
      </c>
      <c r="C40" s="1">
        <f>IFERROR(__xludf.DUMMYFUNCTION("""COMPUTED_VALUE"""),2918.5)</f>
        <v>2918.5</v>
      </c>
      <c r="D40" s="1">
        <f>IFERROR(__xludf.DUMMYFUNCTION("""COMPUTED_VALUE"""),1014.02)</f>
        <v>1014.02</v>
      </c>
      <c r="E40" s="1">
        <f>IFERROR(__xludf.DUMMYFUNCTION("""COMPUTED_VALUE"""),902.0)</f>
        <v>902</v>
      </c>
      <c r="F40" s="1">
        <f>IFERROR(__xludf.DUMMYFUNCTION("""COMPUTED_VALUE"""),1014.02)</f>
        <v>1014.02</v>
      </c>
      <c r="G40" s="1">
        <f>IFERROR(__xludf.DUMMYFUNCTION("""COMPUTED_VALUE"""),3.2355875831485585)</f>
        <v>3.235587583</v>
      </c>
    </row>
    <row r="41">
      <c r="A41" s="1" t="str">
        <f>IFERROR(__xludf.DUMMYFUNCTION("""COMPUTED_VALUE"""),"Istiklal")</f>
        <v>Istiklal</v>
      </c>
      <c r="B41" s="1">
        <f>IFERROR(__xludf.DUMMYFUNCTION("""COMPUTED_VALUE"""),46054.0)</f>
        <v>46054</v>
      </c>
      <c r="C41" s="1">
        <f>IFERROR(__xludf.DUMMYFUNCTION("""COMPUTED_VALUE"""),3392.5)</f>
        <v>3392.5</v>
      </c>
      <c r="D41" s="1">
        <f>IFERROR(__xludf.DUMMYFUNCTION("""COMPUTED_VALUE"""),1033.6499999999999)</f>
        <v>1033.65</v>
      </c>
      <c r="E41" s="1">
        <f>IFERROR(__xludf.DUMMYFUNCTION("""COMPUTED_VALUE"""),1087.0)</f>
        <v>1087</v>
      </c>
      <c r="F41" s="1">
        <f>IFERROR(__xludf.DUMMYFUNCTION("""COMPUTED_VALUE"""),1033.6499999999999)</f>
        <v>1033.65</v>
      </c>
      <c r="G41" s="1">
        <f>IFERROR(__xludf.DUMMYFUNCTION("""COMPUTED_VALUE"""),3.1209751609935603)</f>
        <v>3.120975161</v>
      </c>
    </row>
    <row r="42">
      <c r="A42" s="1" t="str">
        <f>IFERROR(__xludf.DUMMYFUNCTION("""COMPUTED_VALUE"""),"Istiklal")</f>
        <v>Istiklal</v>
      </c>
      <c r="B42" s="1">
        <f>IFERROR(__xludf.DUMMYFUNCTION("""COMPUTED_VALUE"""),46082.0)</f>
        <v>46082</v>
      </c>
      <c r="C42" s="1">
        <f>IFERROR(__xludf.DUMMYFUNCTION("""COMPUTED_VALUE"""),4122.5)</f>
        <v>4122.5</v>
      </c>
      <c r="D42" s="1">
        <f>IFERROR(__xludf.DUMMYFUNCTION("""COMPUTED_VALUE"""),1445.9)</f>
        <v>1445.9</v>
      </c>
      <c r="E42" s="1">
        <f>IFERROR(__xludf.DUMMYFUNCTION("""COMPUTED_VALUE"""),1339.0)</f>
        <v>1339</v>
      </c>
      <c r="F42" s="1">
        <f>IFERROR(__xludf.DUMMYFUNCTION("""COMPUTED_VALUE"""),1445.9)</f>
        <v>1445.9</v>
      </c>
      <c r="G42" s="1">
        <f>IFERROR(__xludf.DUMMYFUNCTION("""COMPUTED_VALUE"""),3.078790141896938)</f>
        <v>3.078790142</v>
      </c>
    </row>
    <row r="43">
      <c r="A43" s="1" t="str">
        <f>IFERROR(__xludf.DUMMYFUNCTION("""COMPUTED_VALUE"""),"SeaCost")</f>
        <v>SeaCost</v>
      </c>
      <c r="B43" s="1">
        <f>IFERROR(__xludf.DUMMYFUNCTION("""COMPUTED_VALUE"""),45901.0)</f>
        <v>45901</v>
      </c>
      <c r="C43" s="1">
        <f>IFERROR(__xludf.DUMMYFUNCTION("""COMPUTED_VALUE"""),200.0)</f>
        <v>200</v>
      </c>
      <c r="D43" s="1">
        <f>IFERROR(__xludf.DUMMYFUNCTION("""COMPUTED_VALUE"""),90.63)</f>
        <v>90.63</v>
      </c>
      <c r="E43" s="1">
        <f>IFERROR(__xludf.DUMMYFUNCTION("""COMPUTED_VALUE"""),67.0)</f>
        <v>67</v>
      </c>
      <c r="F43" s="1"/>
      <c r="G43" s="1"/>
    </row>
    <row r="44">
      <c r="A44" s="1" t="str">
        <f>IFERROR(__xludf.DUMMYFUNCTION("""COMPUTED_VALUE"""),"SeaCost")</f>
        <v>SeaCost</v>
      </c>
      <c r="B44" s="1">
        <f>IFERROR(__xludf.DUMMYFUNCTION("""COMPUTED_VALUE"""),45962.0)</f>
        <v>45962</v>
      </c>
      <c r="C44" s="1">
        <f>IFERROR(__xludf.DUMMYFUNCTION("""COMPUTED_VALUE"""),3347.0)</f>
        <v>3347</v>
      </c>
      <c r="D44" s="1">
        <f>IFERROR(__xludf.DUMMYFUNCTION("""COMPUTED_VALUE"""),1570.5200000000004)</f>
        <v>1570.52</v>
      </c>
      <c r="E44" s="1">
        <f>IFERROR(__xludf.DUMMYFUNCTION("""COMPUTED_VALUE"""),1355.0)</f>
        <v>1355</v>
      </c>
      <c r="F44" s="1">
        <f>IFERROR(__xludf.DUMMYFUNCTION("""COMPUTED_VALUE"""),570.5200000000004)</f>
        <v>570.52</v>
      </c>
      <c r="G44" s="1">
        <f>IFERROR(__xludf.DUMMYFUNCTION("""COMPUTED_VALUE"""),2.470110701107011)</f>
        <v>2.470110701</v>
      </c>
    </row>
    <row r="45">
      <c r="A45" s="1" t="str">
        <f>IFERROR(__xludf.DUMMYFUNCTION("""COMPUTED_VALUE"""),"SeaCost")</f>
        <v>SeaCost</v>
      </c>
      <c r="B45" s="1">
        <f>IFERROR(__xludf.DUMMYFUNCTION("""COMPUTED_VALUE"""),45992.0)</f>
        <v>45992</v>
      </c>
      <c r="C45" s="1">
        <f>IFERROR(__xludf.DUMMYFUNCTION("""COMPUTED_VALUE"""),3591.0)</f>
        <v>3591</v>
      </c>
      <c r="D45" s="1">
        <f>IFERROR(__xludf.DUMMYFUNCTION("""COMPUTED_VALUE"""),1752.2499999999998)</f>
        <v>1752.25</v>
      </c>
      <c r="E45" s="1">
        <f>IFERROR(__xludf.DUMMYFUNCTION("""COMPUTED_VALUE"""),1071.0)</f>
        <v>1071</v>
      </c>
      <c r="F45" s="1">
        <f>IFERROR(__xludf.DUMMYFUNCTION("""COMPUTED_VALUE"""),1752.25)</f>
        <v>1752.25</v>
      </c>
      <c r="G45" s="1">
        <f>IFERROR(__xludf.DUMMYFUNCTION("""COMPUTED_VALUE"""),3.3529411764705883)</f>
        <v>3.352941176</v>
      </c>
    </row>
    <row r="46">
      <c r="A46" s="1" t="str">
        <f>IFERROR(__xludf.DUMMYFUNCTION("""COMPUTED_VALUE"""),"SeaCost")</f>
        <v>SeaCost</v>
      </c>
      <c r="B46" s="1">
        <f>IFERROR(__xludf.DUMMYFUNCTION("""COMPUTED_VALUE"""),45931.0)</f>
        <v>45931</v>
      </c>
      <c r="C46" s="1">
        <f>IFERROR(__xludf.DUMMYFUNCTION("""COMPUTED_VALUE"""),3861.0)</f>
        <v>3861</v>
      </c>
      <c r="D46" s="1">
        <f>IFERROR(__xludf.DUMMYFUNCTION("""COMPUTED_VALUE"""),1704.18)</f>
        <v>1704.18</v>
      </c>
      <c r="E46" s="1">
        <f>IFERROR(__xludf.DUMMYFUNCTION("""COMPUTED_VALUE"""),1447.0)</f>
        <v>1447</v>
      </c>
      <c r="F46" s="1">
        <f>IFERROR(__xludf.DUMMYFUNCTION("""COMPUTED_VALUE"""),1704.1800000000003)</f>
        <v>1704.18</v>
      </c>
      <c r="G46" s="1">
        <f>IFERROR(__xludf.DUMMYFUNCTION("""COMPUTED_VALUE"""),2.668279198341396)</f>
        <v>2.668279198</v>
      </c>
    </row>
    <row r="47">
      <c r="A47" s="1" t="str">
        <f>IFERROR(__xludf.DUMMYFUNCTION("""COMPUTED_VALUE"""),"SeaCost")</f>
        <v>SeaCost</v>
      </c>
      <c r="B47" s="1">
        <f>IFERROR(__xludf.DUMMYFUNCTION("""COMPUTED_VALUE"""),46054.0)</f>
        <v>46054</v>
      </c>
      <c r="C47" s="1">
        <f>IFERROR(__xludf.DUMMYFUNCTION("""COMPUTED_VALUE"""),4492.0)</f>
        <v>4492</v>
      </c>
      <c r="D47" s="1">
        <f>IFERROR(__xludf.DUMMYFUNCTION("""COMPUTED_VALUE"""),2436.55)</f>
        <v>2436.55</v>
      </c>
      <c r="E47" s="1">
        <f>IFERROR(__xludf.DUMMYFUNCTION("""COMPUTED_VALUE"""),1095.0)</f>
        <v>1095</v>
      </c>
      <c r="F47" s="1">
        <f>IFERROR(__xludf.DUMMYFUNCTION("""COMPUTED_VALUE"""),4136.55)</f>
        <v>4136.55</v>
      </c>
      <c r="G47" s="1">
        <f>IFERROR(__xludf.DUMMYFUNCTION("""COMPUTED_VALUE"""),4.102283105022831)</f>
        <v>4.102283105</v>
      </c>
    </row>
    <row r="48">
      <c r="A48" s="1" t="str">
        <f>IFERROR(__xludf.DUMMYFUNCTION("""COMPUTED_VALUE"""),"SeaCost")</f>
        <v>SeaCost</v>
      </c>
      <c r="B48" s="1">
        <f>IFERROR(__xludf.DUMMYFUNCTION("""COMPUTED_VALUE"""),46023.0)</f>
        <v>46023</v>
      </c>
      <c r="C48" s="1">
        <f>IFERROR(__xludf.DUMMYFUNCTION("""COMPUTED_VALUE"""),4698.0)</f>
        <v>4698</v>
      </c>
      <c r="D48" s="1">
        <f>IFERROR(__xludf.DUMMYFUNCTION("""COMPUTED_VALUE"""),2445.81)</f>
        <v>2445.81</v>
      </c>
      <c r="E48" s="1">
        <f>IFERROR(__xludf.DUMMYFUNCTION("""COMPUTED_VALUE"""),1352.0)</f>
        <v>1352</v>
      </c>
      <c r="F48" s="1">
        <f>IFERROR(__xludf.DUMMYFUNCTION("""COMPUTED_VALUE"""),2245.81)</f>
        <v>2245.81</v>
      </c>
      <c r="G48" s="1">
        <f>IFERROR(__xludf.DUMMYFUNCTION("""COMPUTED_VALUE"""),3.474852071005917)</f>
        <v>3.474852071</v>
      </c>
    </row>
    <row r="49">
      <c r="A49" s="1" t="str">
        <f>IFERROR(__xludf.DUMMYFUNCTION("""COMPUTED_VALUE"""),"SeaCost2")</f>
        <v>SeaCost2</v>
      </c>
      <c r="B49" s="1">
        <f>IFERROR(__xludf.DUMMYFUNCTION("""COMPUTED_VALUE"""),46082.0)</f>
        <v>46082</v>
      </c>
      <c r="C49" s="1">
        <f>IFERROR(__xludf.DUMMYFUNCTION("""COMPUTED_VALUE"""),811.0)</f>
        <v>811</v>
      </c>
      <c r="D49" s="1">
        <f>IFERROR(__xludf.DUMMYFUNCTION("""COMPUTED_VALUE"""),447.80000000000007)</f>
        <v>447.8</v>
      </c>
      <c r="E49" s="1">
        <f>IFERROR(__xludf.DUMMYFUNCTION("""COMPUTED_VALUE"""),176.0)</f>
        <v>176</v>
      </c>
      <c r="F49" s="1">
        <f>IFERROR(__xludf.DUMMYFUNCTION("""COMPUTED_VALUE"""),447.80000000000007)</f>
        <v>447.8</v>
      </c>
      <c r="G49" s="1">
        <f>IFERROR(__xludf.DUMMYFUNCTION("""COMPUTED_VALUE"""),4.607954545454546)</f>
        <v>4.607954545</v>
      </c>
    </row>
    <row r="50">
      <c r="A50" s="1" t="str">
        <f>IFERROR(__xludf.DUMMYFUNCTION("""COMPUTED_VALUE"""),"SeaCost2")</f>
        <v>SeaCost2</v>
      </c>
      <c r="B50" s="1">
        <f>IFERROR(__xludf.DUMMYFUNCTION("""COMPUTED_VALUE"""),46054.0)</f>
        <v>46054</v>
      </c>
      <c r="C50" s="1">
        <f>IFERROR(__xludf.DUMMYFUNCTION("""COMPUTED_VALUE"""),1020.0)</f>
        <v>1020</v>
      </c>
      <c r="D50" s="1">
        <f>IFERROR(__xludf.DUMMYFUNCTION("""COMPUTED_VALUE"""),572.33)</f>
        <v>572.33</v>
      </c>
      <c r="E50" s="1">
        <f>IFERROR(__xludf.DUMMYFUNCTION("""COMPUTED_VALUE"""),227.0)</f>
        <v>227</v>
      </c>
      <c r="F50" s="1">
        <f>IFERROR(__xludf.DUMMYFUNCTION("""COMPUTED_VALUE"""),572.33)</f>
        <v>572.33</v>
      </c>
      <c r="G50" s="1">
        <f>IFERROR(__xludf.DUMMYFUNCTION("""COMPUTED_VALUE"""),4.493392070484582)</f>
        <v>4.49339207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IFERROR(__xludf.DUMMYFUNCTION("QUERY(VMS_Sales!A:O,
 ""select O, B, D, sum(G), sum(N), sum(J)
  where D is not null
  group by O, B, D
  label O 'Month', B 'Machine', D 'Product',
        sum(G) 'Sales', sum(N) 'Profit', sum(J) 'Units'"",
 1)
"),"Month")</f>
        <v>Month</v>
      </c>
      <c r="B1" s="1" t="str">
        <f>IFERROR(__xludf.DUMMYFUNCTION("""COMPUTED_VALUE"""),"Machine")</f>
        <v>Machine</v>
      </c>
      <c r="C1" s="1" t="str">
        <f>IFERROR(__xludf.DUMMYFUNCTION("""COMPUTED_VALUE"""),"Product")</f>
        <v>Product</v>
      </c>
      <c r="D1" s="1" t="str">
        <f>IFERROR(__xludf.DUMMYFUNCTION("""COMPUTED_VALUE"""),"Sales")</f>
        <v>Sales</v>
      </c>
      <c r="E1" s="1" t="str">
        <f>IFERROR(__xludf.DUMMYFUNCTION("""COMPUTED_VALUE"""),"Profit")</f>
        <v>Profit</v>
      </c>
      <c r="F1" s="1" t="str">
        <f>IFERROR(__xludf.DUMMYFUNCTION("""COMPUTED_VALUE"""),"Units")</f>
        <v>Units</v>
      </c>
      <c r="G1" s="2" t="s">
        <v>372</v>
      </c>
      <c r="H1" s="2" t="s">
        <v>373</v>
      </c>
      <c r="I1" s="2" t="s">
        <v>374</v>
      </c>
      <c r="J1" s="2" t="s">
        <v>10</v>
      </c>
      <c r="K1" s="2" t="s">
        <v>11</v>
      </c>
    </row>
    <row r="2">
      <c r="A2" s="3">
        <f>IFERROR(__xludf.DUMMYFUNCTION("""COMPUTED_VALUE"""),45658.0)</f>
        <v>45658</v>
      </c>
      <c r="B2" s="1" t="str">
        <f>IFERROR(__xludf.DUMMYFUNCTION("""COMPUTED_VALUE"""),"DPMall")</f>
        <v>DPMall</v>
      </c>
      <c r="C2" s="1" t="str">
        <f>IFERROR(__xludf.DUMMYFUNCTION("""COMPUTED_VALUE"""),"Al Ain can")</f>
        <v>Al Ain can</v>
      </c>
      <c r="D2" s="1">
        <f>IFERROR(__xludf.DUMMYFUNCTION("""COMPUTED_VALUE"""),89.0)</f>
        <v>89</v>
      </c>
      <c r="E2" s="1">
        <f>IFERROR(__xludf.DUMMYFUNCTION("""COMPUTED_VALUE"""),89.0)</f>
        <v>89</v>
      </c>
      <c r="F2" s="1">
        <f>IFERROR(__xludf.DUMMYFUNCTION("""COMPUTED_VALUE"""),33.0)</f>
        <v>33</v>
      </c>
      <c r="G2" s="1">
        <f t="shared" ref="G2:G902" si="1">IFERROR(D2/F2,0)</f>
        <v>2.696969697</v>
      </c>
      <c r="H2" s="1">
        <f t="shared" ref="H2:H902" si="2">IFERROR(E2/F2,0)</f>
        <v>2.696969697</v>
      </c>
      <c r="I2" s="1">
        <f>IFERROR(__xludf.DUMMYFUNCTION("IF(B2="""","""",
  100*F2 / MAX(FILTER($F:$F, $A:$A=$A2, $B:$B=$B2))
)
"),6.991525423728813)</f>
        <v>6.991525424</v>
      </c>
      <c r="J2" s="1">
        <f>IFERROR(__xludf.DUMMYFUNCTION("IF(B2="""","""",
  100*E2 / MAX(FILTER($E:$E, $A:$A=$A2, $B:$B=$B2))
)
"),10.853658536585366)</f>
        <v>10.85365854</v>
      </c>
      <c r="K2" s="1">
        <f t="shared" ref="K2:K902" si="3">IF(B2="","", 0.55*I2 + 0.45*J2)
</f>
        <v>8.729485325</v>
      </c>
    </row>
    <row r="3">
      <c r="A3" s="3">
        <f>IFERROR(__xludf.DUMMYFUNCTION("""COMPUTED_VALUE"""),45658.0)</f>
        <v>45658</v>
      </c>
      <c r="B3" s="1" t="str">
        <f>IFERROR(__xludf.DUMMYFUNCTION("""COMPUTED_VALUE"""),"DPMall")</f>
        <v>DPMall</v>
      </c>
      <c r="C3" s="1" t="str">
        <f>IFERROR(__xludf.DUMMYFUNCTION("""COMPUTED_VALUE"""),"Al Nada cake")</f>
        <v>Al Nada cake</v>
      </c>
      <c r="D3" s="1">
        <f>IFERROR(__xludf.DUMMYFUNCTION("""COMPUTED_VALUE"""),163.0)</f>
        <v>163</v>
      </c>
      <c r="E3" s="1">
        <f>IFERROR(__xludf.DUMMYFUNCTION("""COMPUTED_VALUE"""),163.0)</f>
        <v>163</v>
      </c>
      <c r="F3" s="1">
        <f>IFERROR(__xludf.DUMMYFUNCTION("""COMPUTED_VALUE"""),163.0)</f>
        <v>163</v>
      </c>
      <c r="G3" s="1">
        <f t="shared" si="1"/>
        <v>1</v>
      </c>
      <c r="H3" s="1">
        <f t="shared" si="2"/>
        <v>1</v>
      </c>
      <c r="I3" s="1">
        <f>IFERROR(__xludf.DUMMYFUNCTION("IF(B3="""","""",
  100*F3 / MAX(FILTER($F:$F, $A:$A=$A3, $B:$B=$B3))
)
"),34.53389830508475)</f>
        <v>34.53389831</v>
      </c>
      <c r="J3" s="1">
        <f>IFERROR(__xludf.DUMMYFUNCTION("IF(B3="""","""",
  100*E3 / MAX(FILTER($E:$E, $A:$A=$A3, $B:$B=$B3))
)
"),19.878048780487806)</f>
        <v>19.87804878</v>
      </c>
      <c r="K3" s="1">
        <f t="shared" si="3"/>
        <v>27.93876602</v>
      </c>
    </row>
    <row r="4">
      <c r="A4" s="3">
        <f>IFERROR(__xludf.DUMMYFUNCTION("""COMPUTED_VALUE"""),45658.0)</f>
        <v>45658</v>
      </c>
      <c r="B4" s="1" t="str">
        <f>IFERROR(__xludf.DUMMYFUNCTION("""COMPUTED_VALUE"""),"DPMall")</f>
        <v>DPMall</v>
      </c>
      <c r="C4" s="1" t="str">
        <f>IFERROR(__xludf.DUMMYFUNCTION("""COMPUTED_VALUE"""),"Boss Energy drink")</f>
        <v>Boss Energy drink</v>
      </c>
      <c r="D4" s="1">
        <f>IFERROR(__xludf.DUMMYFUNCTION("""COMPUTED_VALUE"""),48.0)</f>
        <v>48</v>
      </c>
      <c r="E4" s="1">
        <f>IFERROR(__xludf.DUMMYFUNCTION("""COMPUTED_VALUE"""),48.0)</f>
        <v>48</v>
      </c>
      <c r="F4" s="1">
        <f>IFERROR(__xludf.DUMMYFUNCTION("""COMPUTED_VALUE"""),16.0)</f>
        <v>16</v>
      </c>
      <c r="G4" s="1">
        <f t="shared" si="1"/>
        <v>3</v>
      </c>
      <c r="H4" s="1">
        <f t="shared" si="2"/>
        <v>3</v>
      </c>
      <c r="I4" s="1">
        <f>IFERROR(__xludf.DUMMYFUNCTION("IF(B4="""","""",
  100*F4 / MAX(FILTER($F:$F, $A:$A=$A4, $B:$B=$B4))
)
"),3.389830508474576)</f>
        <v>3.389830508</v>
      </c>
      <c r="J4" s="1">
        <f>IFERROR(__xludf.DUMMYFUNCTION("IF(B4="""","""",
  100*E4 / MAX(FILTER($E:$E, $A:$A=$A4, $B:$B=$B4))
)
"),5.853658536585366)</f>
        <v>5.853658537</v>
      </c>
      <c r="K4" s="1">
        <f t="shared" si="3"/>
        <v>4.498553121</v>
      </c>
    </row>
    <row r="5">
      <c r="A5" s="3">
        <f>IFERROR(__xludf.DUMMYFUNCTION("""COMPUTED_VALUE"""),45658.0)</f>
        <v>45658</v>
      </c>
      <c r="B5" s="1" t="str">
        <f>IFERROR(__xludf.DUMMYFUNCTION("""COMPUTED_VALUE"""),"DPMall")</f>
        <v>DPMall</v>
      </c>
      <c r="C5" s="1" t="str">
        <f>IFERROR(__xludf.DUMMYFUNCTION("""COMPUTED_VALUE"""),"Dark blue energy")</f>
        <v>Dark blue energy</v>
      </c>
      <c r="D5" s="1">
        <f>IFERROR(__xludf.DUMMYFUNCTION("""COMPUTED_VALUE"""),57.0)</f>
        <v>57</v>
      </c>
      <c r="E5" s="1">
        <f>IFERROR(__xludf.DUMMYFUNCTION("""COMPUTED_VALUE"""),57.0)</f>
        <v>57</v>
      </c>
      <c r="F5" s="1">
        <f>IFERROR(__xludf.DUMMYFUNCTION("""COMPUTED_VALUE"""),19.0)</f>
        <v>19</v>
      </c>
      <c r="G5" s="1">
        <f t="shared" si="1"/>
        <v>3</v>
      </c>
      <c r="H5" s="1">
        <f t="shared" si="2"/>
        <v>3</v>
      </c>
      <c r="I5" s="1">
        <f>IFERROR(__xludf.DUMMYFUNCTION("IF(B5="""","""",
  100*F5 / MAX(FILTER($F:$F, $A:$A=$A5, $B:$B=$B5))
)
"),4.02542372881356)</f>
        <v>4.025423729</v>
      </c>
      <c r="J5" s="1">
        <f>IFERROR(__xludf.DUMMYFUNCTION("IF(B5="""","""",
  100*E5 / MAX(FILTER($E:$E, $A:$A=$A5, $B:$B=$B5))
)
"),6.951219512195122)</f>
        <v>6.951219512</v>
      </c>
      <c r="K5" s="1">
        <f t="shared" si="3"/>
        <v>5.342031831</v>
      </c>
    </row>
    <row r="6">
      <c r="A6" s="3">
        <f>IFERROR(__xludf.DUMMYFUNCTION("""COMPUTED_VALUE"""),45658.0)</f>
        <v>45658</v>
      </c>
      <c r="B6" s="1" t="str">
        <f>IFERROR(__xludf.DUMMYFUNCTION("""COMPUTED_VALUE"""),"DPMall")</f>
        <v>DPMall</v>
      </c>
      <c r="C6" s="1" t="str">
        <f>IFERROR(__xludf.DUMMYFUNCTION("""COMPUTED_VALUE"""),"Donut cake")</f>
        <v>Donut cake</v>
      </c>
      <c r="D6" s="1">
        <f>IFERROR(__xludf.DUMMYFUNCTION("""COMPUTED_VALUE"""),80.0)</f>
        <v>80</v>
      </c>
      <c r="E6" s="1">
        <f>IFERROR(__xludf.DUMMYFUNCTION("""COMPUTED_VALUE"""),80.0)</f>
        <v>80</v>
      </c>
      <c r="F6" s="1">
        <f>IFERROR(__xludf.DUMMYFUNCTION("""COMPUTED_VALUE"""),80.0)</f>
        <v>80</v>
      </c>
      <c r="G6" s="1">
        <f t="shared" si="1"/>
        <v>1</v>
      </c>
      <c r="H6" s="1">
        <f t="shared" si="2"/>
        <v>1</v>
      </c>
      <c r="I6" s="1">
        <f>IFERROR(__xludf.DUMMYFUNCTION("IF(B6="""","""",
  100*F6 / MAX(FILTER($F:$F, $A:$A=$A6, $B:$B=$B6))
)
"),16.949152542372882)</f>
        <v>16.94915254</v>
      </c>
      <c r="J6" s="1">
        <f>IFERROR(__xludf.DUMMYFUNCTION("IF(B6="""","""",
  100*E6 / MAX(FILTER($E:$E, $A:$A=$A6, $B:$B=$B6))
)
"),9.75609756097561)</f>
        <v>9.756097561</v>
      </c>
      <c r="K6" s="1">
        <f t="shared" si="3"/>
        <v>13.7122778</v>
      </c>
    </row>
    <row r="7">
      <c r="A7" s="3">
        <f>IFERROR(__xludf.DUMMYFUNCTION("""COMPUTED_VALUE"""),45658.0)</f>
        <v>45658</v>
      </c>
      <c r="B7" s="1" t="str">
        <f>IFERROR(__xludf.DUMMYFUNCTION("""COMPUTED_VALUE"""),"DPMall")</f>
        <v>DPMall</v>
      </c>
      <c r="C7" s="1" t="str">
        <f>IFERROR(__xludf.DUMMYFUNCTION("""COMPUTED_VALUE"""),"Freez drink")</f>
        <v>Freez drink</v>
      </c>
      <c r="D7" s="1">
        <f>IFERROR(__xludf.DUMMYFUNCTION("""COMPUTED_VALUE"""),95.0)</f>
        <v>95</v>
      </c>
      <c r="E7" s="1">
        <f>IFERROR(__xludf.DUMMYFUNCTION("""COMPUTED_VALUE"""),95.0)</f>
        <v>95</v>
      </c>
      <c r="F7" s="1">
        <f>IFERROR(__xludf.DUMMYFUNCTION("""COMPUTED_VALUE"""),21.0)</f>
        <v>21</v>
      </c>
      <c r="G7" s="1">
        <f t="shared" si="1"/>
        <v>4.523809524</v>
      </c>
      <c r="H7" s="1">
        <f t="shared" si="2"/>
        <v>4.523809524</v>
      </c>
      <c r="I7" s="1">
        <f>IFERROR(__xludf.DUMMYFUNCTION("IF(B7="""","""",
  100*F7 / MAX(FILTER($F:$F, $A:$A=$A7, $B:$B=$B7))
)
"),4.4491525423728815)</f>
        <v>4.449152542</v>
      </c>
      <c r="J7" s="1">
        <f>IFERROR(__xludf.DUMMYFUNCTION("IF(B7="""","""",
  100*E7 / MAX(FILTER($E:$E, $A:$A=$A7, $B:$B=$B7))
)
"),11.585365853658537)</f>
        <v>11.58536585</v>
      </c>
      <c r="K7" s="1">
        <f t="shared" si="3"/>
        <v>7.660448532</v>
      </c>
    </row>
    <row r="8">
      <c r="A8" s="3">
        <f>IFERROR(__xludf.DUMMYFUNCTION("""COMPUTED_VALUE"""),45658.0)</f>
        <v>45658</v>
      </c>
      <c r="B8" s="1" t="str">
        <f>IFERROR(__xludf.DUMMYFUNCTION("""COMPUTED_VALUE"""),"DPMall")</f>
        <v>DPMall</v>
      </c>
      <c r="C8" s="1" t="str">
        <f>IFERROR(__xludf.DUMMYFUNCTION("""COMPUTED_VALUE"""),"Gardena")</f>
        <v>Gardena</v>
      </c>
      <c r="D8" s="1">
        <f>IFERROR(__xludf.DUMMYFUNCTION("""COMPUTED_VALUE"""),101.0)</f>
        <v>101</v>
      </c>
      <c r="E8" s="1">
        <f>IFERROR(__xludf.DUMMYFUNCTION("""COMPUTED_VALUE"""),101.0)</f>
        <v>101</v>
      </c>
      <c r="F8" s="1">
        <f>IFERROR(__xludf.DUMMYFUNCTION("""COMPUTED_VALUE"""),21.0)</f>
        <v>21</v>
      </c>
      <c r="G8" s="1">
        <f t="shared" si="1"/>
        <v>4.80952381</v>
      </c>
      <c r="H8" s="1">
        <f t="shared" si="2"/>
        <v>4.80952381</v>
      </c>
      <c r="I8" s="1">
        <f>IFERROR(__xludf.DUMMYFUNCTION("IF(B8="""","""",
  100*F8 / MAX(FILTER($F:$F, $A:$A=$A8, $B:$B=$B8))
)
"),4.4491525423728815)</f>
        <v>4.449152542</v>
      </c>
      <c r="J8" s="1">
        <f>IFERROR(__xludf.DUMMYFUNCTION("IF(B8="""","""",
  100*E8 / MAX(FILTER($E:$E, $A:$A=$A8, $B:$B=$B8))
)
"),12.317073170731707)</f>
        <v>12.31707317</v>
      </c>
      <c r="K8" s="1">
        <f t="shared" si="3"/>
        <v>7.989716825</v>
      </c>
    </row>
    <row r="9">
      <c r="A9" s="3">
        <f>IFERROR(__xludf.DUMMYFUNCTION("""COMPUTED_VALUE"""),45658.0)</f>
        <v>45658</v>
      </c>
      <c r="B9" s="1" t="str">
        <f>IFERROR(__xludf.DUMMYFUNCTION("""COMPUTED_VALUE"""),"DPMall")</f>
        <v>DPMall</v>
      </c>
      <c r="C9" s="1" t="str">
        <f>IFERROR(__xludf.DUMMYFUNCTION("""COMPUTED_VALUE"""),"GoOn Energy chocolate")</f>
        <v>GoOn Energy chocolate</v>
      </c>
      <c r="D9" s="1">
        <f>IFERROR(__xludf.DUMMYFUNCTION("""COMPUTED_VALUE"""),3.0)</f>
        <v>3</v>
      </c>
      <c r="E9" s="1">
        <f>IFERROR(__xludf.DUMMYFUNCTION("""COMPUTED_VALUE"""),3.0)</f>
        <v>3</v>
      </c>
      <c r="F9" s="1">
        <f>IFERROR(__xludf.DUMMYFUNCTION("""COMPUTED_VALUE"""),1.0)</f>
        <v>1</v>
      </c>
      <c r="G9" s="1">
        <f t="shared" si="1"/>
        <v>3</v>
      </c>
      <c r="H9" s="1">
        <f t="shared" si="2"/>
        <v>3</v>
      </c>
      <c r="I9" s="1">
        <f>IFERROR(__xludf.DUMMYFUNCTION("IF(B9="""","""",
  100*F9 / MAX(FILTER($F:$F, $A:$A=$A9, $B:$B=$B9))
)
"),0.211864406779661)</f>
        <v>0.2118644068</v>
      </c>
      <c r="J9" s="1">
        <f>IFERROR(__xludf.DUMMYFUNCTION("IF(B9="""","""",
  100*E9 / MAX(FILTER($E:$E, $A:$A=$A9, $B:$B=$B9))
)
"),0.36585365853658536)</f>
        <v>0.3658536585</v>
      </c>
      <c r="K9" s="1">
        <f t="shared" si="3"/>
        <v>0.2811595701</v>
      </c>
    </row>
    <row r="10">
      <c r="A10" s="3">
        <f>IFERROR(__xludf.DUMMYFUNCTION("""COMPUTED_VALUE"""),45658.0)</f>
        <v>45658</v>
      </c>
      <c r="B10" s="1" t="str">
        <f>IFERROR(__xludf.DUMMYFUNCTION("""COMPUTED_VALUE"""),"DPMall")</f>
        <v>DPMall</v>
      </c>
      <c r="C10" s="1" t="str">
        <f>IFERROR(__xludf.DUMMYFUNCTION("""COMPUTED_VALUE"""),"Green")</f>
        <v>Green</v>
      </c>
      <c r="D10" s="1">
        <f>IFERROR(__xludf.DUMMYFUNCTION("""COMPUTED_VALUE"""),181.0)</f>
        <v>181</v>
      </c>
      <c r="E10" s="1">
        <f>IFERROR(__xludf.DUMMYFUNCTION("""COMPUTED_VALUE"""),181.0)</f>
        <v>181</v>
      </c>
      <c r="F10" s="1">
        <f>IFERROR(__xludf.DUMMYFUNCTION("""COMPUTED_VALUE"""),46.0)</f>
        <v>46</v>
      </c>
      <c r="G10" s="1">
        <f t="shared" si="1"/>
        <v>3.934782609</v>
      </c>
      <c r="H10" s="1">
        <f t="shared" si="2"/>
        <v>3.934782609</v>
      </c>
      <c r="I10" s="1">
        <f>IFERROR(__xludf.DUMMYFUNCTION("IF(B10="""","""",
  100*F10 / MAX(FILTER($F:$F, $A:$A=$A10, $B:$B=$B10))
)
"),9.745762711864407)</f>
        <v>9.745762712</v>
      </c>
      <c r="J10" s="1">
        <f>IFERROR(__xludf.DUMMYFUNCTION("IF(B10="""","""",
  100*E10 / MAX(FILTER($E:$E, $A:$A=$A10, $B:$B=$B10))
)
"),22.073170731707318)</f>
        <v>22.07317073</v>
      </c>
      <c r="K10" s="1">
        <f t="shared" si="3"/>
        <v>15.29309632</v>
      </c>
    </row>
    <row r="11">
      <c r="A11" s="3">
        <f>IFERROR(__xludf.DUMMYFUNCTION("""COMPUTED_VALUE"""),45658.0)</f>
        <v>45658</v>
      </c>
      <c r="B11" s="1" t="str">
        <f>IFERROR(__xludf.DUMMYFUNCTION("""COMPUTED_VALUE"""),"DPMall")</f>
        <v>DPMall</v>
      </c>
      <c r="C11" s="1" t="str">
        <f>IFERROR(__xludf.DUMMYFUNCTION("""COMPUTED_VALUE"""),"Laviva")</f>
        <v>Laviva</v>
      </c>
      <c r="D11" s="1">
        <f>IFERROR(__xludf.DUMMYFUNCTION("""COMPUTED_VALUE"""),566.0)</f>
        <v>566</v>
      </c>
      <c r="E11" s="1">
        <f>IFERROR(__xludf.DUMMYFUNCTION("""COMPUTED_VALUE"""),566.0)</f>
        <v>566</v>
      </c>
      <c r="F11" s="1">
        <f>IFERROR(__xludf.DUMMYFUNCTION("""COMPUTED_VALUE"""),283.0)</f>
        <v>283</v>
      </c>
      <c r="G11" s="1">
        <f t="shared" si="1"/>
        <v>2</v>
      </c>
      <c r="H11" s="1">
        <f t="shared" si="2"/>
        <v>2</v>
      </c>
      <c r="I11" s="1">
        <f>IFERROR(__xludf.DUMMYFUNCTION("IF(B11="""","""",
  100*F11 / MAX(FILTER($F:$F, $A:$A=$A11, $B:$B=$B11))
)
"),59.95762711864407)</f>
        <v>59.95762712</v>
      </c>
      <c r="J11" s="1">
        <f>IFERROR(__xludf.DUMMYFUNCTION("IF(B11="""","""",
  100*E11 / MAX(FILTER($E:$E, $A:$A=$A11, $B:$B=$B11))
)
"),69.02439024390245)</f>
        <v>69.02439024</v>
      </c>
      <c r="K11" s="1">
        <f t="shared" si="3"/>
        <v>64.03767053</v>
      </c>
    </row>
    <row r="12">
      <c r="A12" s="3">
        <f>IFERROR(__xludf.DUMMYFUNCTION("""COMPUTED_VALUE"""),45658.0)</f>
        <v>45658</v>
      </c>
      <c r="B12" s="1" t="str">
        <f>IFERROR(__xludf.DUMMYFUNCTION("""COMPUTED_VALUE"""),"DPMall")</f>
        <v>DPMall</v>
      </c>
      <c r="C12" s="1" t="str">
        <f>IFERROR(__xludf.DUMMYFUNCTION("""COMPUTED_VALUE"""),"Masa suntop")</f>
        <v>Masa suntop</v>
      </c>
      <c r="D12" s="1">
        <f>IFERROR(__xludf.DUMMYFUNCTION("""COMPUTED_VALUE"""),333.0)</f>
        <v>333</v>
      </c>
      <c r="E12" s="1">
        <f>IFERROR(__xludf.DUMMYFUNCTION("""COMPUTED_VALUE"""),333.0)</f>
        <v>333</v>
      </c>
      <c r="F12" s="1">
        <f>IFERROR(__xludf.DUMMYFUNCTION("""COMPUTED_VALUE"""),320.0)</f>
        <v>320</v>
      </c>
      <c r="G12" s="1">
        <f t="shared" si="1"/>
        <v>1.040625</v>
      </c>
      <c r="H12" s="1">
        <f t="shared" si="2"/>
        <v>1.040625</v>
      </c>
      <c r="I12" s="1">
        <f>IFERROR(__xludf.DUMMYFUNCTION("IF(B12="""","""",
  100*F12 / MAX(FILTER($F:$F, $A:$A=$A12, $B:$B=$B12))
)
"),67.79661016949153)</f>
        <v>67.79661017</v>
      </c>
      <c r="J12" s="1">
        <f>IFERROR(__xludf.DUMMYFUNCTION("IF(B12="""","""",
  100*E12 / MAX(FILTER($E:$E, $A:$A=$A12, $B:$B=$B12))
)
"),40.609756097560975)</f>
        <v>40.6097561</v>
      </c>
      <c r="K12" s="1">
        <f t="shared" si="3"/>
        <v>55.56252584</v>
      </c>
    </row>
    <row r="13">
      <c r="A13" s="3">
        <f>IFERROR(__xludf.DUMMYFUNCTION("""COMPUTED_VALUE"""),45658.0)</f>
        <v>45658</v>
      </c>
      <c r="B13" s="1" t="str">
        <f>IFERROR(__xludf.DUMMYFUNCTION("""COMPUTED_VALUE"""),"DPMall")</f>
        <v>DPMall</v>
      </c>
      <c r="C13" s="1" t="str">
        <f>IFERROR(__xludf.DUMMYFUNCTION("""COMPUTED_VALUE"""),"Milk &amp; cereals loacker")</f>
        <v>Milk &amp; cereals loacker</v>
      </c>
      <c r="D13" s="1">
        <f>IFERROR(__xludf.DUMMYFUNCTION("""COMPUTED_VALUE"""),19.0)</f>
        <v>19</v>
      </c>
      <c r="E13" s="1">
        <f>IFERROR(__xludf.DUMMYFUNCTION("""COMPUTED_VALUE"""),19.0)</f>
        <v>19</v>
      </c>
      <c r="F13" s="1">
        <f>IFERROR(__xludf.DUMMYFUNCTION("""COMPUTED_VALUE"""),7.0)</f>
        <v>7</v>
      </c>
      <c r="G13" s="1">
        <f t="shared" si="1"/>
        <v>2.714285714</v>
      </c>
      <c r="H13" s="1">
        <f t="shared" si="2"/>
        <v>2.714285714</v>
      </c>
      <c r="I13" s="1">
        <f>IFERROR(__xludf.DUMMYFUNCTION("IF(B13="""","""",
  100*F13 / MAX(FILTER($F:$F, $A:$A=$A13, $B:$B=$B13))
)
"),1.4830508474576272)</f>
        <v>1.483050847</v>
      </c>
      <c r="J13" s="1">
        <f>IFERROR(__xludf.DUMMYFUNCTION("IF(B13="""","""",
  100*E13 / MAX(FILTER($E:$E, $A:$A=$A13, $B:$B=$B13))
)
"),2.317073170731707)</f>
        <v>2.317073171</v>
      </c>
      <c r="K13" s="1">
        <f t="shared" si="3"/>
        <v>1.858360893</v>
      </c>
    </row>
    <row r="14">
      <c r="A14" s="3">
        <f>IFERROR(__xludf.DUMMYFUNCTION("""COMPUTED_VALUE"""),45658.0)</f>
        <v>45658</v>
      </c>
      <c r="B14" s="1" t="str">
        <f>IFERROR(__xludf.DUMMYFUNCTION("""COMPUTED_VALUE"""),"DPMall")</f>
        <v>DPMall</v>
      </c>
      <c r="C14" s="1" t="str">
        <f>IFERROR(__xludf.DUMMYFUNCTION("""COMPUTED_VALUE"""),"Mr Crunch")</f>
        <v>Mr Crunch</v>
      </c>
      <c r="D14" s="1">
        <f>IFERROR(__xludf.DUMMYFUNCTION("""COMPUTED_VALUE"""),420.0)</f>
        <v>420</v>
      </c>
      <c r="E14" s="1">
        <f>IFERROR(__xludf.DUMMYFUNCTION("""COMPUTED_VALUE"""),420.0)</f>
        <v>420</v>
      </c>
      <c r="F14" s="1">
        <f>IFERROR(__xludf.DUMMYFUNCTION("""COMPUTED_VALUE"""),108.0)</f>
        <v>108</v>
      </c>
      <c r="G14" s="1">
        <f t="shared" si="1"/>
        <v>3.888888889</v>
      </c>
      <c r="H14" s="1">
        <f t="shared" si="2"/>
        <v>3.888888889</v>
      </c>
      <c r="I14" s="1">
        <f>IFERROR(__xludf.DUMMYFUNCTION("IF(B14="""","""",
  100*F14 / MAX(FILTER($F:$F, $A:$A=$A14, $B:$B=$B14))
)
"),22.88135593220339)</f>
        <v>22.88135593</v>
      </c>
      <c r="J14" s="1">
        <f>IFERROR(__xludf.DUMMYFUNCTION("IF(B14="""","""",
  100*E14 / MAX(FILTER($E:$E, $A:$A=$A14, $B:$B=$B14))
)
"),51.21951219512195)</f>
        <v>51.2195122</v>
      </c>
      <c r="K14" s="1">
        <f t="shared" si="3"/>
        <v>35.63352625</v>
      </c>
    </row>
    <row r="15">
      <c r="A15" s="3">
        <f>IFERROR(__xludf.DUMMYFUNCTION("""COMPUTED_VALUE"""),45658.0)</f>
        <v>45658</v>
      </c>
      <c r="B15" s="1" t="str">
        <f>IFERROR(__xludf.DUMMYFUNCTION("""COMPUTED_VALUE"""),"DPMall")</f>
        <v>DPMall</v>
      </c>
      <c r="C15" s="1" t="str">
        <f>IFERROR(__xludf.DUMMYFUNCTION("""COMPUTED_VALUE"""),"Mr Crunch cheez top")</f>
        <v>Mr Crunch cheez top</v>
      </c>
      <c r="D15" s="1">
        <f>IFERROR(__xludf.DUMMYFUNCTION("""COMPUTED_VALUE"""),200.0)</f>
        <v>200</v>
      </c>
      <c r="E15" s="1">
        <f>IFERROR(__xludf.DUMMYFUNCTION("""COMPUTED_VALUE"""),200.0)</f>
        <v>200</v>
      </c>
      <c r="F15" s="1">
        <f>IFERROR(__xludf.DUMMYFUNCTION("""COMPUTED_VALUE"""),50.0)</f>
        <v>50</v>
      </c>
      <c r="G15" s="1">
        <f t="shared" si="1"/>
        <v>4</v>
      </c>
      <c r="H15" s="1">
        <f t="shared" si="2"/>
        <v>4</v>
      </c>
      <c r="I15" s="1">
        <f>IFERROR(__xludf.DUMMYFUNCTION("IF(B15="""","""",
  100*F15 / MAX(FILTER($F:$F, $A:$A=$A15, $B:$B=$B15))
)
"),10.59322033898305)</f>
        <v>10.59322034</v>
      </c>
      <c r="J15" s="1">
        <f>IFERROR(__xludf.DUMMYFUNCTION("IF(B15="""","""",
  100*E15 / MAX(FILTER($E:$E, $A:$A=$A15, $B:$B=$B15))
)
"),24.390243902439025)</f>
        <v>24.3902439</v>
      </c>
      <c r="K15" s="1">
        <f t="shared" si="3"/>
        <v>16.80188094</v>
      </c>
    </row>
    <row r="16">
      <c r="A16" s="3">
        <f>IFERROR(__xludf.DUMMYFUNCTION("""COMPUTED_VALUE"""),45658.0)</f>
        <v>45658</v>
      </c>
      <c r="B16" s="1" t="str">
        <f>IFERROR(__xludf.DUMMYFUNCTION("""COMPUTED_VALUE"""),"DPMall")</f>
        <v>DPMall</v>
      </c>
      <c r="C16" s="1" t="str">
        <f>IFERROR(__xludf.DUMMYFUNCTION("""COMPUTED_VALUE"""),"Roshen Chocolate")</f>
        <v>Roshen Chocolate</v>
      </c>
      <c r="D16" s="1">
        <f>IFERROR(__xludf.DUMMYFUNCTION("""COMPUTED_VALUE"""),97.0)</f>
        <v>97</v>
      </c>
      <c r="E16" s="1">
        <f>IFERROR(__xludf.DUMMYFUNCTION("""COMPUTED_VALUE"""),97.0)</f>
        <v>97</v>
      </c>
      <c r="F16" s="1">
        <f>IFERROR(__xludf.DUMMYFUNCTION("""COMPUTED_VALUE"""),34.0)</f>
        <v>34</v>
      </c>
      <c r="G16" s="1">
        <f t="shared" si="1"/>
        <v>2.852941176</v>
      </c>
      <c r="H16" s="1">
        <f t="shared" si="2"/>
        <v>2.852941176</v>
      </c>
      <c r="I16" s="1">
        <f>IFERROR(__xludf.DUMMYFUNCTION("IF(B16="""","""",
  100*F16 / MAX(FILTER($F:$F, $A:$A=$A16, $B:$B=$B16))
)
"),7.203389830508475)</f>
        <v>7.203389831</v>
      </c>
      <c r="J16" s="1">
        <f>IFERROR(__xludf.DUMMYFUNCTION("IF(B16="""","""",
  100*E16 / MAX(FILTER($E:$E, $A:$A=$A16, $B:$B=$B16))
)
"),11.829268292682928)</f>
        <v>11.82926829</v>
      </c>
      <c r="K16" s="1">
        <f t="shared" si="3"/>
        <v>9.285035138</v>
      </c>
    </row>
    <row r="17">
      <c r="A17" s="3">
        <f>IFERROR(__xludf.DUMMYFUNCTION("""COMPUTED_VALUE"""),45658.0)</f>
        <v>45658</v>
      </c>
      <c r="B17" s="1" t="str">
        <f>IFERROR(__xludf.DUMMYFUNCTION("""COMPUTED_VALUE"""),"DPMall")</f>
        <v>DPMall</v>
      </c>
      <c r="C17" s="1" t="str">
        <f>IFERROR(__xludf.DUMMYFUNCTION("""COMPUTED_VALUE"""),"SunTop Saudi")</f>
        <v>SunTop Saudi</v>
      </c>
      <c r="D17" s="1">
        <f>IFERROR(__xludf.DUMMYFUNCTION("""COMPUTED_VALUE"""),396.0)</f>
        <v>396</v>
      </c>
      <c r="E17" s="1">
        <f>IFERROR(__xludf.DUMMYFUNCTION("""COMPUTED_VALUE"""),396.0)</f>
        <v>396</v>
      </c>
      <c r="F17" s="1">
        <f>IFERROR(__xludf.DUMMYFUNCTION("""COMPUTED_VALUE"""),396.0)</f>
        <v>396</v>
      </c>
      <c r="G17" s="1">
        <f t="shared" si="1"/>
        <v>1</v>
      </c>
      <c r="H17" s="1">
        <f t="shared" si="2"/>
        <v>1</v>
      </c>
      <c r="I17" s="1">
        <f>IFERROR(__xludf.DUMMYFUNCTION("IF(B17="""","""",
  100*F17 / MAX(FILTER($F:$F, $A:$A=$A17, $B:$B=$B17))
)
"),83.89830508474576)</f>
        <v>83.89830508</v>
      </c>
      <c r="J17" s="1">
        <f>IFERROR(__xludf.DUMMYFUNCTION("IF(B17="""","""",
  100*E17 / MAX(FILTER($E:$E, $A:$A=$A17, $B:$B=$B17))
)
"),48.292682926829265)</f>
        <v>48.29268293</v>
      </c>
      <c r="K17" s="1">
        <f t="shared" si="3"/>
        <v>67.87577511</v>
      </c>
    </row>
    <row r="18">
      <c r="A18" s="3">
        <f>IFERROR(__xludf.DUMMYFUNCTION("""COMPUTED_VALUE"""),45658.0)</f>
        <v>45658</v>
      </c>
      <c r="B18" s="1" t="str">
        <f>IFERROR(__xludf.DUMMYFUNCTION("""COMPUTED_VALUE"""),"DPMall")</f>
        <v>DPMall</v>
      </c>
      <c r="C18" s="1" t="str">
        <f>IFERROR(__xludf.DUMMYFUNCTION("""COMPUTED_VALUE"""),"Takis")</f>
        <v>Takis</v>
      </c>
      <c r="D18" s="1">
        <f>IFERROR(__xludf.DUMMYFUNCTION("""COMPUTED_VALUE"""),820.0)</f>
        <v>820</v>
      </c>
      <c r="E18" s="1">
        <f>IFERROR(__xludf.DUMMYFUNCTION("""COMPUTED_VALUE"""),820.0)</f>
        <v>820</v>
      </c>
      <c r="F18" s="1">
        <f>IFERROR(__xludf.DUMMYFUNCTION("""COMPUTED_VALUE"""),46.0)</f>
        <v>46</v>
      </c>
      <c r="G18" s="1">
        <f t="shared" si="1"/>
        <v>17.82608696</v>
      </c>
      <c r="H18" s="1">
        <f t="shared" si="2"/>
        <v>17.82608696</v>
      </c>
      <c r="I18" s="1">
        <f>IFERROR(__xludf.DUMMYFUNCTION("IF(B18="""","""",
  100*F18 / MAX(FILTER($F:$F, $A:$A=$A18, $B:$B=$B18))
)
"),9.745762711864407)</f>
        <v>9.745762712</v>
      </c>
      <c r="J18" s="1">
        <f>IFERROR(__xludf.DUMMYFUNCTION("IF(B18="""","""",
  100*E18 / MAX(FILTER($E:$E, $A:$A=$A18, $B:$B=$B18))
)
"),100.0)</f>
        <v>100</v>
      </c>
      <c r="K18" s="1">
        <f t="shared" si="3"/>
        <v>50.36016949</v>
      </c>
    </row>
    <row r="19">
      <c r="A19" s="3">
        <f>IFERROR(__xludf.DUMMYFUNCTION("""COMPUTED_VALUE"""),45658.0)</f>
        <v>45658</v>
      </c>
      <c r="B19" s="1" t="str">
        <f>IFERROR(__xludf.DUMMYFUNCTION("""COMPUTED_VALUE"""),"DPMall")</f>
        <v>DPMall</v>
      </c>
      <c r="C19" s="1" t="str">
        <f>IFERROR(__xludf.DUMMYFUNCTION("""COMPUTED_VALUE"""),"Tiger Medium 16")</f>
        <v>Tiger Medium 16</v>
      </c>
      <c r="D19" s="1">
        <f>IFERROR(__xludf.DUMMYFUNCTION("""COMPUTED_VALUE"""),77.0)</f>
        <v>77</v>
      </c>
      <c r="E19" s="1">
        <f>IFERROR(__xludf.DUMMYFUNCTION("""COMPUTED_VALUE"""),77.0)</f>
        <v>77</v>
      </c>
      <c r="F19" s="1">
        <f>IFERROR(__xludf.DUMMYFUNCTION("""COMPUTED_VALUE"""),19.0)</f>
        <v>19</v>
      </c>
      <c r="G19" s="1">
        <f t="shared" si="1"/>
        <v>4.052631579</v>
      </c>
      <c r="H19" s="1">
        <f t="shared" si="2"/>
        <v>4.052631579</v>
      </c>
      <c r="I19" s="1">
        <f>IFERROR(__xludf.DUMMYFUNCTION("IF(B19="""","""",
  100*F19 / MAX(FILTER($F:$F, $A:$A=$A19, $B:$B=$B19))
)
"),4.02542372881356)</f>
        <v>4.025423729</v>
      </c>
      <c r="J19" s="1">
        <f>IFERROR(__xludf.DUMMYFUNCTION("IF(B19="""","""",
  100*E19 / MAX(FILTER($E:$E, $A:$A=$A19, $B:$B=$B19))
)
"),9.390243902439025)</f>
        <v>9.390243902</v>
      </c>
      <c r="K19" s="1">
        <f t="shared" si="3"/>
        <v>6.439592807</v>
      </c>
    </row>
    <row r="20">
      <c r="A20" s="3">
        <f>IFERROR(__xludf.DUMMYFUNCTION("""COMPUTED_VALUE"""),45658.0)</f>
        <v>45658</v>
      </c>
      <c r="B20" s="1" t="str">
        <f>IFERROR(__xludf.DUMMYFUNCTION("""COMPUTED_VALUE"""),"DPMall")</f>
        <v>DPMall</v>
      </c>
      <c r="C20" s="1" t="str">
        <f>IFERROR(__xludf.DUMMYFUNCTION("""COMPUTED_VALUE"""),"Tiger Small")</f>
        <v>Tiger Small</v>
      </c>
      <c r="D20" s="1">
        <f>IFERROR(__xludf.DUMMYFUNCTION("""COMPUTED_VALUE"""),6.0)</f>
        <v>6</v>
      </c>
      <c r="E20" s="1">
        <f>IFERROR(__xludf.DUMMYFUNCTION("""COMPUTED_VALUE"""),6.0)</f>
        <v>6</v>
      </c>
      <c r="F20" s="1">
        <f>IFERROR(__xludf.DUMMYFUNCTION("""COMPUTED_VALUE"""),2.0)</f>
        <v>2</v>
      </c>
      <c r="G20" s="1">
        <f t="shared" si="1"/>
        <v>3</v>
      </c>
      <c r="H20" s="1">
        <f t="shared" si="2"/>
        <v>3</v>
      </c>
      <c r="I20" s="1">
        <f>IFERROR(__xludf.DUMMYFUNCTION("IF(B20="""","""",
  100*F20 / MAX(FILTER($F:$F, $A:$A=$A20, $B:$B=$B20))
)
"),0.423728813559322)</f>
        <v>0.4237288136</v>
      </c>
      <c r="J20" s="1">
        <f>IFERROR(__xludf.DUMMYFUNCTION("IF(B20="""","""",
  100*E20 / MAX(FILTER($E:$E, $A:$A=$A20, $B:$B=$B20))
)
"),0.7317073170731707)</f>
        <v>0.7317073171</v>
      </c>
      <c r="K20" s="1">
        <f t="shared" si="3"/>
        <v>0.5623191401</v>
      </c>
    </row>
    <row r="21">
      <c r="A21" s="3">
        <f>IFERROR(__xludf.DUMMYFUNCTION("""COMPUTED_VALUE"""),45658.0)</f>
        <v>45658</v>
      </c>
      <c r="B21" s="1" t="str">
        <f>IFERROR(__xludf.DUMMYFUNCTION("""COMPUTED_VALUE"""),"DPMall")</f>
        <v>DPMall</v>
      </c>
      <c r="C21" s="1" t="str">
        <f>IFERROR(__xludf.DUMMYFUNCTION("""COMPUTED_VALUE"""),"Tiger excellence *10")</f>
        <v>Tiger excellence *10</v>
      </c>
      <c r="D21" s="1">
        <f>IFERROR(__xludf.DUMMYFUNCTION("""COMPUTED_VALUE"""),430.0)</f>
        <v>430</v>
      </c>
      <c r="E21" s="1">
        <f>IFERROR(__xludf.DUMMYFUNCTION("""COMPUTED_VALUE"""),430.0)</f>
        <v>430</v>
      </c>
      <c r="F21" s="1">
        <f>IFERROR(__xludf.DUMMYFUNCTION("""COMPUTED_VALUE"""),88.0)</f>
        <v>88</v>
      </c>
      <c r="G21" s="1">
        <f t="shared" si="1"/>
        <v>4.886363636</v>
      </c>
      <c r="H21" s="1">
        <f t="shared" si="2"/>
        <v>4.886363636</v>
      </c>
      <c r="I21" s="1">
        <f>IFERROR(__xludf.DUMMYFUNCTION("IF(B21="""","""",
  100*F21 / MAX(FILTER($F:$F, $A:$A=$A21, $B:$B=$B21))
)
"),18.64406779661017)</f>
        <v>18.6440678</v>
      </c>
      <c r="J21" s="1">
        <f>IFERROR(__xludf.DUMMYFUNCTION("IF(B21="""","""",
  100*E21 / MAX(FILTER($E:$E, $A:$A=$A21, $B:$B=$B21))
)
"),52.4390243902439)</f>
        <v>52.43902439</v>
      </c>
      <c r="K21" s="1">
        <f t="shared" si="3"/>
        <v>33.85179826</v>
      </c>
    </row>
    <row r="22">
      <c r="A22" s="3">
        <f>IFERROR(__xludf.DUMMYFUNCTION("""COMPUTED_VALUE"""),45658.0)</f>
        <v>45658</v>
      </c>
      <c r="B22" s="1" t="str">
        <f>IFERROR(__xludf.DUMMYFUNCTION("""COMPUTED_VALUE"""),"DPMall")</f>
        <v>DPMall</v>
      </c>
      <c r="C22" s="1" t="str">
        <f>IFERROR(__xludf.DUMMYFUNCTION("""COMPUTED_VALUE"""),"Wafe up extra")</f>
        <v>Wafe up extra</v>
      </c>
      <c r="D22" s="1">
        <f>IFERROR(__xludf.DUMMYFUNCTION("""COMPUTED_VALUE"""),146.0)</f>
        <v>146</v>
      </c>
      <c r="E22" s="1">
        <f>IFERROR(__xludf.DUMMYFUNCTION("""COMPUTED_VALUE"""),146.0)</f>
        <v>146</v>
      </c>
      <c r="F22" s="1">
        <f>IFERROR(__xludf.DUMMYFUNCTION("""COMPUTED_VALUE"""),71.0)</f>
        <v>71</v>
      </c>
      <c r="G22" s="1">
        <f t="shared" si="1"/>
        <v>2.056338028</v>
      </c>
      <c r="H22" s="1">
        <f t="shared" si="2"/>
        <v>2.056338028</v>
      </c>
      <c r="I22" s="1">
        <f>IFERROR(__xludf.DUMMYFUNCTION("IF(B22="""","""",
  100*F22 / MAX(FILTER($F:$F, $A:$A=$A22, $B:$B=$B22))
)
"),15.042372881355933)</f>
        <v>15.04237288</v>
      </c>
      <c r="J22" s="1">
        <f>IFERROR(__xludf.DUMMYFUNCTION("IF(B22="""","""",
  100*E22 / MAX(FILTER($E:$E, $A:$A=$A22, $B:$B=$B22))
)
"),17.804878048780488)</f>
        <v>17.80487805</v>
      </c>
      <c r="K22" s="1">
        <f t="shared" si="3"/>
        <v>16.28550021</v>
      </c>
    </row>
    <row r="23">
      <c r="A23" s="3">
        <f>IFERROR(__xludf.DUMMYFUNCTION("""COMPUTED_VALUE"""),45658.0)</f>
        <v>45658</v>
      </c>
      <c r="B23" s="1" t="str">
        <f>IFERROR(__xludf.DUMMYFUNCTION("""COMPUTED_VALUE"""),"DPMall")</f>
        <v>DPMall</v>
      </c>
      <c r="C23" s="1" t="str">
        <f>IFERROR(__xludf.DUMMYFUNCTION("""COMPUTED_VALUE"""),"Wanted chocolate")</f>
        <v>Wanted chocolate</v>
      </c>
      <c r="D23" s="1">
        <f>IFERROR(__xludf.DUMMYFUNCTION("""COMPUTED_VALUE"""),28.0)</f>
        <v>28</v>
      </c>
      <c r="E23" s="1">
        <f>IFERROR(__xludf.DUMMYFUNCTION("""COMPUTED_VALUE"""),28.0)</f>
        <v>28</v>
      </c>
      <c r="F23" s="1">
        <f>IFERROR(__xludf.DUMMYFUNCTION("""COMPUTED_VALUE"""),14.0)</f>
        <v>14</v>
      </c>
      <c r="G23" s="1">
        <f t="shared" si="1"/>
        <v>2</v>
      </c>
      <c r="H23" s="1">
        <f t="shared" si="2"/>
        <v>2</v>
      </c>
      <c r="I23" s="1">
        <f>IFERROR(__xludf.DUMMYFUNCTION("IF(B23="""","""",
  100*F23 / MAX(FILTER($F:$F, $A:$A=$A23, $B:$B=$B23))
)
"),2.9661016949152543)</f>
        <v>2.966101695</v>
      </c>
      <c r="J23" s="1">
        <f>IFERROR(__xludf.DUMMYFUNCTION("IF(B23="""","""",
  100*E23 / MAX(FILTER($E:$E, $A:$A=$A23, $B:$B=$B23))
)
"),3.4146341463414633)</f>
        <v>3.414634146</v>
      </c>
      <c r="K23" s="1">
        <f t="shared" si="3"/>
        <v>3.167941298</v>
      </c>
    </row>
    <row r="24">
      <c r="A24" s="3">
        <f>IFERROR(__xludf.DUMMYFUNCTION("""COMPUTED_VALUE"""),45658.0)</f>
        <v>45658</v>
      </c>
      <c r="B24" s="1" t="str">
        <f>IFERROR(__xludf.DUMMYFUNCTION("""COMPUTED_VALUE"""),"DPMall")</f>
        <v>DPMall</v>
      </c>
      <c r="C24" s="1" t="str">
        <f>IFERROR(__xludf.DUMMYFUNCTION("""COMPUTED_VALUE"""),"Water")</f>
        <v>Water</v>
      </c>
      <c r="D24" s="1">
        <f>IFERROR(__xludf.DUMMYFUNCTION("""COMPUTED_VALUE"""),472.0)</f>
        <v>472</v>
      </c>
      <c r="E24" s="1">
        <f>IFERROR(__xludf.DUMMYFUNCTION("""COMPUTED_VALUE"""),472.0)</f>
        <v>472</v>
      </c>
      <c r="F24" s="1">
        <f>IFERROR(__xludf.DUMMYFUNCTION("""COMPUTED_VALUE"""),472.0)</f>
        <v>472</v>
      </c>
      <c r="G24" s="1">
        <f t="shared" si="1"/>
        <v>1</v>
      </c>
      <c r="H24" s="1">
        <f t="shared" si="2"/>
        <v>1</v>
      </c>
      <c r="I24" s="1">
        <f>IFERROR(__xludf.DUMMYFUNCTION("IF(B24="""","""",
  100*F24 / MAX(FILTER($F:$F, $A:$A=$A24, $B:$B=$B24))
)
"),100.0)</f>
        <v>100</v>
      </c>
      <c r="J24" s="1">
        <f>IFERROR(__xludf.DUMMYFUNCTION("IF(B24="""","""",
  100*E24 / MAX(FILTER($E:$E, $A:$A=$A24, $B:$B=$B24))
)
"),57.5609756097561)</f>
        <v>57.56097561</v>
      </c>
      <c r="K24" s="1">
        <f t="shared" si="3"/>
        <v>80.90243902</v>
      </c>
    </row>
    <row r="25">
      <c r="A25" s="3">
        <f>IFERROR(__xludf.DUMMYFUNCTION("""COMPUTED_VALUE"""),45658.0)</f>
        <v>45658</v>
      </c>
      <c r="B25" s="1" t="str">
        <f>IFERROR(__xludf.DUMMYFUNCTION("""COMPUTED_VALUE"""),"DPMall")</f>
        <v>DPMall</v>
      </c>
      <c r="C25" s="1" t="str">
        <f>IFERROR(__xludf.DUMMYFUNCTION("""COMPUTED_VALUE"""),"Wild Power Energy 500ml")</f>
        <v>Wild Power Energy 500ml</v>
      </c>
      <c r="D25" s="1">
        <f>IFERROR(__xludf.DUMMYFUNCTION("""COMPUTED_VALUE"""),330.0)</f>
        <v>330</v>
      </c>
      <c r="E25" s="1">
        <f>IFERROR(__xludf.DUMMYFUNCTION("""COMPUTED_VALUE"""),330.0)</f>
        <v>330</v>
      </c>
      <c r="F25" s="1">
        <f>IFERROR(__xludf.DUMMYFUNCTION("""COMPUTED_VALUE"""),66.0)</f>
        <v>66</v>
      </c>
      <c r="G25" s="1">
        <f t="shared" si="1"/>
        <v>5</v>
      </c>
      <c r="H25" s="1">
        <f t="shared" si="2"/>
        <v>5</v>
      </c>
      <c r="I25" s="1">
        <f>IFERROR(__xludf.DUMMYFUNCTION("IF(B25="""","""",
  100*F25 / MAX(FILTER($F:$F, $A:$A=$A25, $B:$B=$B25))
)
"),13.983050847457626)</f>
        <v>13.98305085</v>
      </c>
      <c r="J25" s="1">
        <f>IFERROR(__xludf.DUMMYFUNCTION("IF(B25="""","""",
  100*E25 / MAX(FILTER($E:$E, $A:$A=$A25, $B:$B=$B25))
)
"),40.24390243902439)</f>
        <v>40.24390244</v>
      </c>
      <c r="K25" s="1">
        <f t="shared" si="3"/>
        <v>25.80043406</v>
      </c>
    </row>
    <row r="26">
      <c r="A26" s="3">
        <f>IFERROR(__xludf.DUMMYFUNCTION("""COMPUTED_VALUE"""),45658.0)</f>
        <v>45658</v>
      </c>
      <c r="B26" s="1" t="str">
        <f>IFERROR(__xludf.DUMMYFUNCTION("""COMPUTED_VALUE"""),"DPMall")</f>
        <v>DPMall</v>
      </c>
      <c r="C26" s="1" t="str">
        <f>IFERROR(__xludf.DUMMYFUNCTION("""COMPUTED_VALUE"""),"Wild Power Energy drink")</f>
        <v>Wild Power Energy drink</v>
      </c>
      <c r="D26" s="1">
        <f>IFERROR(__xludf.DUMMYFUNCTION("""COMPUTED_VALUE"""),185.0)</f>
        <v>185</v>
      </c>
      <c r="E26" s="1">
        <f>IFERROR(__xludf.DUMMYFUNCTION("""COMPUTED_VALUE"""),185.0)</f>
        <v>185</v>
      </c>
      <c r="F26" s="1">
        <f>IFERROR(__xludf.DUMMYFUNCTION("""COMPUTED_VALUE"""),61.0)</f>
        <v>61</v>
      </c>
      <c r="G26" s="1">
        <f t="shared" si="1"/>
        <v>3.032786885</v>
      </c>
      <c r="H26" s="1">
        <f t="shared" si="2"/>
        <v>3.032786885</v>
      </c>
      <c r="I26" s="1">
        <f>IFERROR(__xludf.DUMMYFUNCTION("IF(B26="""","""",
  100*F26 / MAX(FILTER($F:$F, $A:$A=$A26, $B:$B=$B26))
)
"),12.923728813559322)</f>
        <v>12.92372881</v>
      </c>
      <c r="J26" s="1">
        <f>IFERROR(__xludf.DUMMYFUNCTION("IF(B26="""","""",
  100*E26 / MAX(FILTER($E:$E, $A:$A=$A26, $B:$B=$B26))
)
"),22.5609756097561)</f>
        <v>22.56097561</v>
      </c>
      <c r="K26" s="1">
        <f t="shared" si="3"/>
        <v>17.26048987</v>
      </c>
    </row>
    <row r="27">
      <c r="A27" s="3">
        <f>IFERROR(__xludf.DUMMYFUNCTION("""COMPUTED_VALUE"""),45658.0)</f>
        <v>45658</v>
      </c>
      <c r="B27" s="1" t="str">
        <f>IFERROR(__xludf.DUMMYFUNCTION("""COMPUTED_VALUE"""),"DPMall")</f>
        <v>DPMall</v>
      </c>
      <c r="C27" s="1" t="str">
        <f>IFERROR(__xludf.DUMMYFUNCTION("""COMPUTED_VALUE"""),"X!R")</f>
        <v>X!R</v>
      </c>
      <c r="D27" s="1">
        <f>IFERROR(__xludf.DUMMYFUNCTION("""COMPUTED_VALUE"""),583.0)</f>
        <v>583</v>
      </c>
      <c r="E27" s="1">
        <f>IFERROR(__xludf.DUMMYFUNCTION("""COMPUTED_VALUE"""),583.0)</f>
        <v>583</v>
      </c>
      <c r="F27" s="1">
        <f>IFERROR(__xludf.DUMMYFUNCTION("""COMPUTED_VALUE"""),144.0)</f>
        <v>144</v>
      </c>
      <c r="G27" s="1">
        <f t="shared" si="1"/>
        <v>4.048611111</v>
      </c>
      <c r="H27" s="1">
        <f t="shared" si="2"/>
        <v>4.048611111</v>
      </c>
      <c r="I27" s="1">
        <f>IFERROR(__xludf.DUMMYFUNCTION("IF(B27="""","""",
  100*F27 / MAX(FILTER($F:$F, $A:$A=$A27, $B:$B=$B27))
)
"),30.508474576271187)</f>
        <v>30.50847458</v>
      </c>
      <c r="J27" s="1">
        <f>IFERROR(__xludf.DUMMYFUNCTION("IF(B27="""","""",
  100*E27 / MAX(FILTER($E:$E, $A:$A=$A27, $B:$B=$B27))
)
"),71.09756097560975)</f>
        <v>71.09756098</v>
      </c>
      <c r="K27" s="1">
        <f t="shared" si="3"/>
        <v>48.77356346</v>
      </c>
    </row>
    <row r="28">
      <c r="A28" s="3">
        <f>IFERROR(__xludf.DUMMYFUNCTION("""COMPUTED_VALUE"""),45658.0)</f>
        <v>45658</v>
      </c>
      <c r="B28" s="1" t="str">
        <f>IFERROR(__xludf.DUMMYFUNCTION("""COMPUTED_VALUE"""),"DPMall")</f>
        <v>DPMall</v>
      </c>
      <c r="C28" s="1" t="str">
        <f>IFERROR(__xludf.DUMMYFUNCTION("""COMPUTED_VALUE"""),"X!R 500ml")</f>
        <v>X!R 500ml</v>
      </c>
      <c r="D28" s="1">
        <f>IFERROR(__xludf.DUMMYFUNCTION("""COMPUTED_VALUE"""),153.0)</f>
        <v>153</v>
      </c>
      <c r="E28" s="1">
        <f>IFERROR(__xludf.DUMMYFUNCTION("""COMPUTED_VALUE"""),153.0)</f>
        <v>153</v>
      </c>
      <c r="F28" s="1">
        <f>IFERROR(__xludf.DUMMYFUNCTION("""COMPUTED_VALUE"""),24.0)</f>
        <v>24</v>
      </c>
      <c r="G28" s="1">
        <f t="shared" si="1"/>
        <v>6.375</v>
      </c>
      <c r="H28" s="1">
        <f t="shared" si="2"/>
        <v>6.375</v>
      </c>
      <c r="I28" s="1">
        <f>IFERROR(__xludf.DUMMYFUNCTION("IF(B28="""","""",
  100*F28 / MAX(FILTER($F:$F, $A:$A=$A28, $B:$B=$B28))
)
"),5.084745762711864)</f>
        <v>5.084745763</v>
      </c>
      <c r="J28" s="1">
        <f>IFERROR(__xludf.DUMMYFUNCTION("IF(B28="""","""",
  100*E28 / MAX(FILTER($E:$E, $A:$A=$A28, $B:$B=$B28))
)
"),18.658536585365855)</f>
        <v>18.65853659</v>
      </c>
      <c r="K28" s="1">
        <f t="shared" si="3"/>
        <v>11.19295163</v>
      </c>
    </row>
    <row r="29">
      <c r="A29" s="3">
        <f>IFERROR(__xludf.DUMMYFUNCTION("""COMPUTED_VALUE"""),45658.0)</f>
        <v>45658</v>
      </c>
      <c r="B29" s="1" t="str">
        <f>IFERROR(__xludf.DUMMYFUNCTION("""COMPUTED_VALUE"""),"DPMall")</f>
        <v>DPMall</v>
      </c>
      <c r="C29" s="1" t="str">
        <f>IFERROR(__xludf.DUMMYFUNCTION("""COMPUTED_VALUE"""),"drFood Stix")</f>
        <v>drFood Stix</v>
      </c>
      <c r="D29" s="1">
        <f>IFERROR(__xludf.DUMMYFUNCTION("""COMPUTED_VALUE"""),113.0)</f>
        <v>113</v>
      </c>
      <c r="E29" s="1">
        <f>IFERROR(__xludf.DUMMYFUNCTION("""COMPUTED_VALUE"""),113.0)</f>
        <v>113</v>
      </c>
      <c r="F29" s="1">
        <f>IFERROR(__xludf.DUMMYFUNCTION("""COMPUTED_VALUE"""),43.0)</f>
        <v>43</v>
      </c>
      <c r="G29" s="1">
        <f t="shared" si="1"/>
        <v>2.627906977</v>
      </c>
      <c r="H29" s="1">
        <f t="shared" si="2"/>
        <v>2.627906977</v>
      </c>
      <c r="I29" s="1">
        <f>IFERROR(__xludf.DUMMYFUNCTION("IF(B29="""","""",
  100*F29 / MAX(FILTER($F:$F, $A:$A=$A29, $B:$B=$B29))
)
"),9.110169491525424)</f>
        <v>9.110169492</v>
      </c>
      <c r="J29" s="1">
        <f>IFERROR(__xludf.DUMMYFUNCTION("IF(B29="""","""",
  100*E29 / MAX(FILTER($E:$E, $A:$A=$A29, $B:$B=$B29))
)
"),13.78048780487805)</f>
        <v>13.7804878</v>
      </c>
      <c r="K29" s="1">
        <f t="shared" si="3"/>
        <v>11.21181273</v>
      </c>
    </row>
    <row r="30">
      <c r="A30" s="3">
        <f>IFERROR(__xludf.DUMMYFUNCTION("""COMPUTED_VALUE"""),45658.0)</f>
        <v>45658</v>
      </c>
      <c r="B30" s="1" t="str">
        <f>IFERROR(__xludf.DUMMYFUNCTION("""COMPUTED_VALUE"""),"DPMall")</f>
        <v>DPMall</v>
      </c>
      <c r="C30" s="1" t="str">
        <f>IFERROR(__xludf.DUMMYFUNCTION("""COMPUTED_VALUE"""),"festa")</f>
        <v>festa</v>
      </c>
      <c r="D30" s="1">
        <f>IFERROR(__xludf.DUMMYFUNCTION("""COMPUTED_VALUE"""),6.0)</f>
        <v>6</v>
      </c>
      <c r="E30" s="1">
        <f>IFERROR(__xludf.DUMMYFUNCTION("""COMPUTED_VALUE"""),6.0)</f>
        <v>6</v>
      </c>
      <c r="F30" s="1">
        <f>IFERROR(__xludf.DUMMYFUNCTION("""COMPUTED_VALUE"""),2.0)</f>
        <v>2</v>
      </c>
      <c r="G30" s="1">
        <f t="shared" si="1"/>
        <v>3</v>
      </c>
      <c r="H30" s="1">
        <f t="shared" si="2"/>
        <v>3</v>
      </c>
      <c r="I30" s="1">
        <f>IFERROR(__xludf.DUMMYFUNCTION("IF(B30="""","""",
  100*F30 / MAX(FILTER($F:$F, $A:$A=$A30, $B:$B=$B30))
)
"),0.423728813559322)</f>
        <v>0.4237288136</v>
      </c>
      <c r="J30" s="1">
        <f>IFERROR(__xludf.DUMMYFUNCTION("IF(B30="""","""",
  100*E30 / MAX(FILTER($E:$E, $A:$A=$A30, $B:$B=$B30))
)
"),0.7317073170731707)</f>
        <v>0.7317073171</v>
      </c>
      <c r="K30" s="1">
        <f t="shared" si="3"/>
        <v>0.5623191401</v>
      </c>
    </row>
    <row r="31">
      <c r="A31" s="3">
        <f>IFERROR(__xludf.DUMMYFUNCTION("""COMPUTED_VALUE"""),45658.0)</f>
        <v>45658</v>
      </c>
      <c r="B31" s="1" t="str">
        <f>IFERROR(__xludf.DUMMYFUNCTION("""COMPUTED_VALUE"""),"DPMall")</f>
        <v>DPMall</v>
      </c>
      <c r="C31" s="1" t="str">
        <f>IFERROR(__xludf.DUMMYFUNCTION("""COMPUTED_VALUE"""),"kinza")</f>
        <v>kinza</v>
      </c>
      <c r="D31" s="1">
        <f>IFERROR(__xludf.DUMMYFUNCTION("""COMPUTED_VALUE"""),58.0)</f>
        <v>58</v>
      </c>
      <c r="E31" s="1">
        <f>IFERROR(__xludf.DUMMYFUNCTION("""COMPUTED_VALUE"""),58.0)</f>
        <v>58</v>
      </c>
      <c r="F31" s="1">
        <f>IFERROR(__xludf.DUMMYFUNCTION("""COMPUTED_VALUE"""),29.0)</f>
        <v>29</v>
      </c>
      <c r="G31" s="1">
        <f t="shared" si="1"/>
        <v>2</v>
      </c>
      <c r="H31" s="1">
        <f t="shared" si="2"/>
        <v>2</v>
      </c>
      <c r="I31" s="1">
        <f>IFERROR(__xludf.DUMMYFUNCTION("IF(B31="""","""",
  100*F31 / MAX(FILTER($F:$F, $A:$A=$A31, $B:$B=$B31))
)
"),6.1440677966101696)</f>
        <v>6.144067797</v>
      </c>
      <c r="J31" s="1">
        <f>IFERROR(__xludf.DUMMYFUNCTION("IF(B31="""","""",
  100*E31 / MAX(FILTER($E:$E, $A:$A=$A31, $B:$B=$B31))
)
"),7.073170731707317)</f>
        <v>7.073170732</v>
      </c>
      <c r="K31" s="1">
        <f t="shared" si="3"/>
        <v>6.562164117</v>
      </c>
    </row>
    <row r="32">
      <c r="A32" s="3">
        <f>IFERROR(__xludf.DUMMYFUNCTION("""COMPUTED_VALUE"""),45658.0)</f>
        <v>45658</v>
      </c>
      <c r="B32" s="1" t="str">
        <f>IFERROR(__xludf.DUMMYFUNCTION("""COMPUTED_VALUE"""),"DPMall")</f>
        <v>DPMall</v>
      </c>
      <c r="C32" s="1" t="str">
        <f>IFERROR(__xludf.DUMMYFUNCTION("""COMPUTED_VALUE"""),"maxxx chips 65g")</f>
        <v>maxxx chips 65g</v>
      </c>
      <c r="D32" s="1">
        <f>IFERROR(__xludf.DUMMYFUNCTION("""COMPUTED_VALUE"""),392.0)</f>
        <v>392</v>
      </c>
      <c r="E32" s="1">
        <f>IFERROR(__xludf.DUMMYFUNCTION("""COMPUTED_VALUE"""),392.0)</f>
        <v>392</v>
      </c>
      <c r="F32" s="1">
        <f>IFERROR(__xludf.DUMMYFUNCTION("""COMPUTED_VALUE"""),79.0)</f>
        <v>79</v>
      </c>
      <c r="G32" s="1">
        <f t="shared" si="1"/>
        <v>4.962025316</v>
      </c>
      <c r="H32" s="1">
        <f t="shared" si="2"/>
        <v>4.962025316</v>
      </c>
      <c r="I32" s="1">
        <f>IFERROR(__xludf.DUMMYFUNCTION("IF(B32="""","""",
  100*F32 / MAX(FILTER($F:$F, $A:$A=$A32, $B:$B=$B32))
)
"),16.73728813559322)</f>
        <v>16.73728814</v>
      </c>
      <c r="J32" s="1">
        <f>IFERROR(__xludf.DUMMYFUNCTION("IF(B32="""","""",
  100*E32 / MAX(FILTER($E:$E, $A:$A=$A32, $B:$B=$B32))
)
"),47.80487804878049)</f>
        <v>47.80487805</v>
      </c>
      <c r="K32" s="1">
        <f t="shared" si="3"/>
        <v>30.7177036</v>
      </c>
    </row>
    <row r="33">
      <c r="A33" s="3">
        <f>IFERROR(__xludf.DUMMYFUNCTION("""COMPUTED_VALUE"""),45658.0)</f>
        <v>45658</v>
      </c>
      <c r="B33" s="1" t="str">
        <f>IFERROR(__xludf.DUMMYFUNCTION("""COMPUTED_VALUE"""),"DPMall")</f>
        <v>DPMall</v>
      </c>
      <c r="C33" s="1" t="str">
        <f>IFERROR(__xludf.DUMMYFUNCTION("""COMPUTED_VALUE"""),"mr bite")</f>
        <v>mr bite</v>
      </c>
      <c r="D33" s="1">
        <f>IFERROR(__xludf.DUMMYFUNCTION("""COMPUTED_VALUE"""),93.0)</f>
        <v>93</v>
      </c>
      <c r="E33" s="1">
        <f>IFERROR(__xludf.DUMMYFUNCTION("""COMPUTED_VALUE"""),93.0)</f>
        <v>93</v>
      </c>
      <c r="F33" s="1">
        <f>IFERROR(__xludf.DUMMYFUNCTION("""COMPUTED_VALUE"""),47.0)</f>
        <v>47</v>
      </c>
      <c r="G33" s="1">
        <f t="shared" si="1"/>
        <v>1.978723404</v>
      </c>
      <c r="H33" s="1">
        <f t="shared" si="2"/>
        <v>1.978723404</v>
      </c>
      <c r="I33" s="1">
        <f>IFERROR(__xludf.DUMMYFUNCTION("IF(B33="""","""",
  100*F33 / MAX(FILTER($F:$F, $A:$A=$A33, $B:$B=$B33))
)
"),9.957627118644067)</f>
        <v>9.957627119</v>
      </c>
      <c r="J33" s="1">
        <f>IFERROR(__xludf.DUMMYFUNCTION("IF(B33="""","""",
  100*E33 / MAX(FILTER($E:$E, $A:$A=$A33, $B:$B=$B33))
)
"),11.341463414634147)</f>
        <v>11.34146341</v>
      </c>
      <c r="K33" s="1">
        <f t="shared" si="3"/>
        <v>10.58035345</v>
      </c>
    </row>
    <row r="34">
      <c r="A34" s="3">
        <f>IFERROR(__xludf.DUMMYFUNCTION("""COMPUTED_VALUE"""),45658.0)</f>
        <v>45658</v>
      </c>
      <c r="B34" s="1" t="str">
        <f>IFERROR(__xludf.DUMMYFUNCTION("""COMPUTED_VALUE"""),"DPMall")</f>
        <v>DPMall</v>
      </c>
      <c r="C34" s="1" t="str">
        <f>IFERROR(__xludf.DUMMYFUNCTION("""COMPUTED_VALUE"""),"ono cake")</f>
        <v>ono cake</v>
      </c>
      <c r="D34" s="1">
        <f>IFERROR(__xludf.DUMMYFUNCTION("""COMPUTED_VALUE"""),88.0)</f>
        <v>88</v>
      </c>
      <c r="E34" s="1">
        <f>IFERROR(__xludf.DUMMYFUNCTION("""COMPUTED_VALUE"""),88.0)</f>
        <v>88</v>
      </c>
      <c r="F34" s="1">
        <f>IFERROR(__xludf.DUMMYFUNCTION("""COMPUTED_VALUE"""),88.0)</f>
        <v>88</v>
      </c>
      <c r="G34" s="1">
        <f t="shared" si="1"/>
        <v>1</v>
      </c>
      <c r="H34" s="1">
        <f t="shared" si="2"/>
        <v>1</v>
      </c>
      <c r="I34" s="1">
        <f>IFERROR(__xludf.DUMMYFUNCTION("IF(B34="""","""",
  100*F34 / MAX(FILTER($F:$F, $A:$A=$A34, $B:$B=$B34))
)
"),18.64406779661017)</f>
        <v>18.6440678</v>
      </c>
      <c r="J34" s="1">
        <f>IFERROR(__xludf.DUMMYFUNCTION("IF(B34="""","""",
  100*E34 / MAX(FILTER($E:$E, $A:$A=$A34, $B:$B=$B34))
)
"),10.731707317073171)</f>
        <v>10.73170732</v>
      </c>
      <c r="K34" s="1">
        <f t="shared" si="3"/>
        <v>15.08350558</v>
      </c>
    </row>
    <row r="35">
      <c r="A35" s="3">
        <f>IFERROR(__xludf.DUMMYFUNCTION("""COMPUTED_VALUE"""),45658.0)</f>
        <v>45658</v>
      </c>
      <c r="B35" s="1" t="str">
        <f>IFERROR(__xludf.DUMMYFUNCTION("""COMPUTED_VALUE"""),"DPMall")</f>
        <v>DPMall</v>
      </c>
      <c r="C35" s="1" t="str">
        <f>IFERROR(__xludf.DUMMYFUNCTION("""COMPUTED_VALUE"""),"popcorn funday")</f>
        <v>popcorn funday</v>
      </c>
      <c r="D35" s="1">
        <f>IFERROR(__xludf.DUMMYFUNCTION("""COMPUTED_VALUE"""),190.0)</f>
        <v>190</v>
      </c>
      <c r="E35" s="1">
        <f>IFERROR(__xludf.DUMMYFUNCTION("""COMPUTED_VALUE"""),190.0)</f>
        <v>190</v>
      </c>
      <c r="F35" s="1">
        <f>IFERROR(__xludf.DUMMYFUNCTION("""COMPUTED_VALUE"""),38.0)</f>
        <v>38</v>
      </c>
      <c r="G35" s="1">
        <f t="shared" si="1"/>
        <v>5</v>
      </c>
      <c r="H35" s="1">
        <f t="shared" si="2"/>
        <v>5</v>
      </c>
      <c r="I35" s="1">
        <f>IFERROR(__xludf.DUMMYFUNCTION("IF(B35="""","""",
  100*F35 / MAX(FILTER($F:$F, $A:$A=$A35, $B:$B=$B35))
)
"),8.05084745762712)</f>
        <v>8.050847458</v>
      </c>
      <c r="J35" s="1">
        <f>IFERROR(__xludf.DUMMYFUNCTION("IF(B35="""","""",
  100*E35 / MAX(FILTER($E:$E, $A:$A=$A35, $B:$B=$B35))
)
"),23.170731707317074)</f>
        <v>23.17073171</v>
      </c>
      <c r="K35" s="1">
        <f t="shared" si="3"/>
        <v>14.85479537</v>
      </c>
    </row>
    <row r="36">
      <c r="A36" s="3">
        <f>IFERROR(__xludf.DUMMYFUNCTION("""COMPUTED_VALUE"""),45658.0)</f>
        <v>45658</v>
      </c>
      <c r="B36" s="1" t="str">
        <f>IFERROR(__xludf.DUMMYFUNCTION("""COMPUTED_VALUE"""),"DPMall")</f>
        <v>DPMall</v>
      </c>
      <c r="C36" s="1" t="str">
        <f>IFERROR(__xludf.DUMMYFUNCTION("""COMPUTED_VALUE"""),"popcorn pizza funday")</f>
        <v>popcorn pizza funday</v>
      </c>
      <c r="D36" s="1">
        <f>IFERROR(__xludf.DUMMYFUNCTION("""COMPUTED_VALUE"""),15.0)</f>
        <v>15</v>
      </c>
      <c r="E36" s="1">
        <f>IFERROR(__xludf.DUMMYFUNCTION("""COMPUTED_VALUE"""),15.0)</f>
        <v>15</v>
      </c>
      <c r="F36" s="1">
        <f>IFERROR(__xludf.DUMMYFUNCTION("""COMPUTED_VALUE"""),3.0)</f>
        <v>3</v>
      </c>
      <c r="G36" s="1">
        <f t="shared" si="1"/>
        <v>5</v>
      </c>
      <c r="H36" s="1">
        <f t="shared" si="2"/>
        <v>5</v>
      </c>
      <c r="I36" s="1">
        <f>IFERROR(__xludf.DUMMYFUNCTION("IF(B36="""","""",
  100*F36 / MAX(FILTER($F:$F, $A:$A=$A36, $B:$B=$B36))
)
"),0.635593220338983)</f>
        <v>0.6355932203</v>
      </c>
      <c r="J36" s="1">
        <f>IFERROR(__xludf.DUMMYFUNCTION("IF(B36="""","""",
  100*E36 / MAX(FILTER($E:$E, $A:$A=$A36, $B:$B=$B36))
)
"),1.829268292682927)</f>
        <v>1.829268293</v>
      </c>
      <c r="K36" s="1">
        <f t="shared" si="3"/>
        <v>1.172747003</v>
      </c>
    </row>
    <row r="37">
      <c r="A37" s="3">
        <f>IFERROR(__xludf.DUMMYFUNCTION("""COMPUTED_VALUE"""),45658.0)</f>
        <v>45658</v>
      </c>
      <c r="B37" s="1" t="str">
        <f>IFERROR(__xludf.DUMMYFUNCTION("""COMPUTED_VALUE"""),"DPMall")</f>
        <v>DPMall</v>
      </c>
      <c r="C37" s="1" t="str">
        <f>IFERROR(__xludf.DUMMYFUNCTION("""COMPUTED_VALUE"""),"sitos 90g")</f>
        <v>sitos 90g</v>
      </c>
      <c r="D37" s="1">
        <f>IFERROR(__xludf.DUMMYFUNCTION("""COMPUTED_VALUE"""),59.0)</f>
        <v>59</v>
      </c>
      <c r="E37" s="1">
        <f>IFERROR(__xludf.DUMMYFUNCTION("""COMPUTED_VALUE"""),59.0)</f>
        <v>59</v>
      </c>
      <c r="F37" s="1">
        <f>IFERROR(__xludf.DUMMYFUNCTION("""COMPUTED_VALUE"""),10.0)</f>
        <v>10</v>
      </c>
      <c r="G37" s="1">
        <f t="shared" si="1"/>
        <v>5.9</v>
      </c>
      <c r="H37" s="1">
        <f t="shared" si="2"/>
        <v>5.9</v>
      </c>
      <c r="I37" s="1">
        <f>IFERROR(__xludf.DUMMYFUNCTION("IF(B37="""","""",
  100*F37 / MAX(FILTER($F:$F, $A:$A=$A37, $B:$B=$B37))
)
"),2.1186440677966103)</f>
        <v>2.118644068</v>
      </c>
      <c r="J37" s="1">
        <f>IFERROR(__xludf.DUMMYFUNCTION("IF(B37="""","""",
  100*E37 / MAX(FILTER($E:$E, $A:$A=$A37, $B:$B=$B37))
)
"),7.195121951219512)</f>
        <v>7.195121951</v>
      </c>
      <c r="K37" s="1">
        <f t="shared" si="3"/>
        <v>4.403059115</v>
      </c>
    </row>
    <row r="38">
      <c r="A38" s="3">
        <f>IFERROR(__xludf.DUMMYFUNCTION("""COMPUTED_VALUE"""),45658.0)</f>
        <v>45658</v>
      </c>
      <c r="B38" s="1" t="str">
        <f>IFERROR(__xludf.DUMMYFUNCTION("""COMPUTED_VALUE"""),"DPMall")</f>
        <v>DPMall</v>
      </c>
      <c r="C38" s="1" t="str">
        <f>IFERROR(__xludf.DUMMYFUNCTION("""COMPUTED_VALUE"""),"tiger chips *12")</f>
        <v>tiger chips *12</v>
      </c>
      <c r="D38" s="1">
        <f>IFERROR(__xludf.DUMMYFUNCTION("""COMPUTED_VALUE"""),608.0)</f>
        <v>608</v>
      </c>
      <c r="E38" s="1">
        <f>IFERROR(__xludf.DUMMYFUNCTION("""COMPUTED_VALUE"""),608.0)</f>
        <v>608</v>
      </c>
      <c r="F38" s="1">
        <f>IFERROR(__xludf.DUMMYFUNCTION("""COMPUTED_VALUE"""),152.0)</f>
        <v>152</v>
      </c>
      <c r="G38" s="1">
        <f t="shared" si="1"/>
        <v>4</v>
      </c>
      <c r="H38" s="1">
        <f t="shared" si="2"/>
        <v>4</v>
      </c>
      <c r="I38" s="1">
        <f>IFERROR(__xludf.DUMMYFUNCTION("IF(B38="""","""",
  100*F38 / MAX(FILTER($F:$F, $A:$A=$A38, $B:$B=$B38))
)
"),32.20338983050848)</f>
        <v>32.20338983</v>
      </c>
      <c r="J38" s="1">
        <f>IFERROR(__xludf.DUMMYFUNCTION("IF(B38="""","""",
  100*E38 / MAX(FILTER($E:$E, $A:$A=$A38, $B:$B=$B38))
)
"),74.14634146341463)</f>
        <v>74.14634146</v>
      </c>
      <c r="K38" s="1">
        <f t="shared" si="3"/>
        <v>51.07771807</v>
      </c>
    </row>
    <row r="39">
      <c r="A39" s="3">
        <f>IFERROR(__xludf.DUMMYFUNCTION("""COMPUTED_VALUE"""),45689.0)</f>
        <v>45689</v>
      </c>
      <c r="B39" s="1" t="str">
        <f>IFERROR(__xludf.DUMMYFUNCTION("""COMPUTED_VALUE"""),"DPMall")</f>
        <v>DPMall</v>
      </c>
      <c r="C39" s="1" t="str">
        <f>IFERROR(__xludf.DUMMYFUNCTION("""COMPUTED_VALUE"""),"Al Ain can")</f>
        <v>Al Ain can</v>
      </c>
      <c r="D39" s="1">
        <f>IFERROR(__xludf.DUMMYFUNCTION("""COMPUTED_VALUE"""),57.0)</f>
        <v>57</v>
      </c>
      <c r="E39" s="1">
        <f>IFERROR(__xludf.DUMMYFUNCTION("""COMPUTED_VALUE"""),57.0)</f>
        <v>57</v>
      </c>
      <c r="F39" s="1">
        <f>IFERROR(__xludf.DUMMYFUNCTION("""COMPUTED_VALUE"""),19.0)</f>
        <v>19</v>
      </c>
      <c r="G39" s="1">
        <f t="shared" si="1"/>
        <v>3</v>
      </c>
      <c r="H39" s="1">
        <f t="shared" si="2"/>
        <v>3</v>
      </c>
      <c r="I39" s="1">
        <f>IFERROR(__xludf.DUMMYFUNCTION("IF(B39="""","""",
  100*F39 / MAX(FILTER($F:$F, $A:$A=$A39, $B:$B=$B39))
)
"),5.234159779614325)</f>
        <v>5.23415978</v>
      </c>
      <c r="J39" s="1">
        <f>IFERROR(__xludf.DUMMYFUNCTION("IF(B39="""","""",
  100*E39 / MAX(FILTER($E:$E, $A:$A=$A39, $B:$B=$B39))
)
"),7.421875)</f>
        <v>7.421875</v>
      </c>
      <c r="K39" s="1">
        <f t="shared" si="3"/>
        <v>6.218631629</v>
      </c>
    </row>
    <row r="40">
      <c r="A40" s="3">
        <f>IFERROR(__xludf.DUMMYFUNCTION("""COMPUTED_VALUE"""),45689.0)</f>
        <v>45689</v>
      </c>
      <c r="B40" s="1" t="str">
        <f>IFERROR(__xludf.DUMMYFUNCTION("""COMPUTED_VALUE"""),"DPMall")</f>
        <v>DPMall</v>
      </c>
      <c r="C40" s="1" t="str">
        <f>IFERROR(__xludf.DUMMYFUNCTION("""COMPUTED_VALUE"""),"Boss Energy drink")</f>
        <v>Boss Energy drink</v>
      </c>
      <c r="D40" s="1">
        <f>IFERROR(__xludf.DUMMYFUNCTION("""COMPUTED_VALUE"""),57.0)</f>
        <v>57</v>
      </c>
      <c r="E40" s="1">
        <f>IFERROR(__xludf.DUMMYFUNCTION("""COMPUTED_VALUE"""),57.0)</f>
        <v>57</v>
      </c>
      <c r="F40" s="1">
        <f>IFERROR(__xludf.DUMMYFUNCTION("""COMPUTED_VALUE"""),19.0)</f>
        <v>19</v>
      </c>
      <c r="G40" s="1">
        <f t="shared" si="1"/>
        <v>3</v>
      </c>
      <c r="H40" s="1">
        <f t="shared" si="2"/>
        <v>3</v>
      </c>
      <c r="I40" s="1">
        <f>IFERROR(__xludf.DUMMYFUNCTION("IF(B40="""","""",
  100*F40 / MAX(FILTER($F:$F, $A:$A=$A40, $B:$B=$B40))
)
"),5.234159779614325)</f>
        <v>5.23415978</v>
      </c>
      <c r="J40" s="1">
        <f>IFERROR(__xludf.DUMMYFUNCTION("IF(B40="""","""",
  100*E40 / MAX(FILTER($E:$E, $A:$A=$A40, $B:$B=$B40))
)
"),7.421875)</f>
        <v>7.421875</v>
      </c>
      <c r="K40" s="1">
        <f t="shared" si="3"/>
        <v>6.218631629</v>
      </c>
    </row>
    <row r="41">
      <c r="A41" s="3">
        <f>IFERROR(__xludf.DUMMYFUNCTION("""COMPUTED_VALUE"""),45689.0)</f>
        <v>45689</v>
      </c>
      <c r="B41" s="1" t="str">
        <f>IFERROR(__xludf.DUMMYFUNCTION("""COMPUTED_VALUE"""),"DPMall")</f>
        <v>DPMall</v>
      </c>
      <c r="C41" s="1" t="str">
        <f>IFERROR(__xludf.DUMMYFUNCTION("""COMPUTED_VALUE"""),"Freez drink")</f>
        <v>Freez drink</v>
      </c>
      <c r="D41" s="1">
        <f>IFERROR(__xludf.DUMMYFUNCTION("""COMPUTED_VALUE"""),105.0)</f>
        <v>105</v>
      </c>
      <c r="E41" s="1">
        <f>IFERROR(__xludf.DUMMYFUNCTION("""COMPUTED_VALUE"""),105.0)</f>
        <v>105</v>
      </c>
      <c r="F41" s="1">
        <f>IFERROR(__xludf.DUMMYFUNCTION("""COMPUTED_VALUE"""),21.0)</f>
        <v>21</v>
      </c>
      <c r="G41" s="1">
        <f t="shared" si="1"/>
        <v>5</v>
      </c>
      <c r="H41" s="1">
        <f t="shared" si="2"/>
        <v>5</v>
      </c>
      <c r="I41" s="1">
        <f>IFERROR(__xludf.DUMMYFUNCTION("IF(B41="""","""",
  100*F41 / MAX(FILTER($F:$F, $A:$A=$A41, $B:$B=$B41))
)
"),5.785123966942149)</f>
        <v>5.785123967</v>
      </c>
      <c r="J41" s="1">
        <f>IFERROR(__xludf.DUMMYFUNCTION("IF(B41="""","""",
  100*E41 / MAX(FILTER($E:$E, $A:$A=$A41, $B:$B=$B41))
)
"),13.671875)</f>
        <v>13.671875</v>
      </c>
      <c r="K41" s="1">
        <f t="shared" si="3"/>
        <v>9.334161932</v>
      </c>
    </row>
    <row r="42">
      <c r="A42" s="3">
        <f>IFERROR(__xludf.DUMMYFUNCTION("""COMPUTED_VALUE"""),45689.0)</f>
        <v>45689</v>
      </c>
      <c r="B42" s="1" t="str">
        <f>IFERROR(__xludf.DUMMYFUNCTION("""COMPUTED_VALUE"""),"DPMall")</f>
        <v>DPMall</v>
      </c>
      <c r="C42" s="1" t="str">
        <f>IFERROR(__xludf.DUMMYFUNCTION("""COMPUTED_VALUE"""),"Gardena")</f>
        <v>Gardena</v>
      </c>
      <c r="D42" s="1">
        <f>IFERROR(__xludf.DUMMYFUNCTION("""COMPUTED_VALUE"""),79.0)</f>
        <v>79</v>
      </c>
      <c r="E42" s="1">
        <f>IFERROR(__xludf.DUMMYFUNCTION("""COMPUTED_VALUE"""),79.0)</f>
        <v>79</v>
      </c>
      <c r="F42" s="1">
        <f>IFERROR(__xludf.DUMMYFUNCTION("""COMPUTED_VALUE"""),18.0)</f>
        <v>18</v>
      </c>
      <c r="G42" s="1">
        <f t="shared" si="1"/>
        <v>4.388888889</v>
      </c>
      <c r="H42" s="1">
        <f t="shared" si="2"/>
        <v>4.388888889</v>
      </c>
      <c r="I42" s="1">
        <f>IFERROR(__xludf.DUMMYFUNCTION("IF(B42="""","""",
  100*F42 / MAX(FILTER($F:$F, $A:$A=$A42, $B:$B=$B42))
)
"),4.958677685950414)</f>
        <v>4.958677686</v>
      </c>
      <c r="J42" s="1">
        <f>IFERROR(__xludf.DUMMYFUNCTION("IF(B42="""","""",
  100*E42 / MAX(FILTER($E:$E, $A:$A=$A42, $B:$B=$B42))
)
"),10.286458333333334)</f>
        <v>10.28645833</v>
      </c>
      <c r="K42" s="1">
        <f t="shared" si="3"/>
        <v>7.356178977</v>
      </c>
    </row>
    <row r="43">
      <c r="A43" s="3">
        <f>IFERROR(__xludf.DUMMYFUNCTION("""COMPUTED_VALUE"""),45689.0)</f>
        <v>45689</v>
      </c>
      <c r="B43" s="1" t="str">
        <f>IFERROR(__xludf.DUMMYFUNCTION("""COMPUTED_VALUE"""),"DPMall")</f>
        <v>DPMall</v>
      </c>
      <c r="C43" s="1" t="str">
        <f>IFERROR(__xludf.DUMMYFUNCTION("""COMPUTED_VALUE"""),"Green")</f>
        <v>Green</v>
      </c>
      <c r="D43" s="1">
        <f>IFERROR(__xludf.DUMMYFUNCTION("""COMPUTED_VALUE"""),68.0)</f>
        <v>68</v>
      </c>
      <c r="E43" s="1">
        <f>IFERROR(__xludf.DUMMYFUNCTION("""COMPUTED_VALUE"""),68.0)</f>
        <v>68</v>
      </c>
      <c r="F43" s="1">
        <f>IFERROR(__xludf.DUMMYFUNCTION("""COMPUTED_VALUE"""),17.0)</f>
        <v>17</v>
      </c>
      <c r="G43" s="1">
        <f t="shared" si="1"/>
        <v>4</v>
      </c>
      <c r="H43" s="1">
        <f t="shared" si="2"/>
        <v>4</v>
      </c>
      <c r="I43" s="1">
        <f>IFERROR(__xludf.DUMMYFUNCTION("IF(B43="""","""",
  100*F43 / MAX(FILTER($F:$F, $A:$A=$A43, $B:$B=$B43))
)
"),4.683195592286501)</f>
        <v>4.683195592</v>
      </c>
      <c r="J43" s="1">
        <f>IFERROR(__xludf.DUMMYFUNCTION("IF(B43="""","""",
  100*E43 / MAX(FILTER($E:$E, $A:$A=$A43, $B:$B=$B43))
)
"),8.854166666666666)</f>
        <v>8.854166667</v>
      </c>
      <c r="K43" s="1">
        <f t="shared" si="3"/>
        <v>6.560132576</v>
      </c>
    </row>
    <row r="44">
      <c r="A44" s="3">
        <f>IFERROR(__xludf.DUMMYFUNCTION("""COMPUTED_VALUE"""),45689.0)</f>
        <v>45689</v>
      </c>
      <c r="B44" s="1" t="str">
        <f>IFERROR(__xludf.DUMMYFUNCTION("""COMPUTED_VALUE"""),"DPMall")</f>
        <v>DPMall</v>
      </c>
      <c r="C44" s="1" t="str">
        <f>IFERROR(__xludf.DUMMYFUNCTION("""COMPUTED_VALUE"""),"Laviva")</f>
        <v>Laviva</v>
      </c>
      <c r="D44" s="1">
        <f>IFERROR(__xludf.DUMMYFUNCTION("""COMPUTED_VALUE"""),80.0)</f>
        <v>80</v>
      </c>
      <c r="E44" s="1">
        <f>IFERROR(__xludf.DUMMYFUNCTION("""COMPUTED_VALUE"""),80.0)</f>
        <v>80</v>
      </c>
      <c r="F44" s="1">
        <f>IFERROR(__xludf.DUMMYFUNCTION("""COMPUTED_VALUE"""),40.0)</f>
        <v>40</v>
      </c>
      <c r="G44" s="1">
        <f t="shared" si="1"/>
        <v>2</v>
      </c>
      <c r="H44" s="1">
        <f t="shared" si="2"/>
        <v>2</v>
      </c>
      <c r="I44" s="1">
        <f>IFERROR(__xludf.DUMMYFUNCTION("IF(B44="""","""",
  100*F44 / MAX(FILTER($F:$F, $A:$A=$A44, $B:$B=$B44))
)
"),11.019283746556473)</f>
        <v>11.01928375</v>
      </c>
      <c r="J44" s="1">
        <f>IFERROR(__xludf.DUMMYFUNCTION("IF(B44="""","""",
  100*E44 / MAX(FILTER($E:$E, $A:$A=$A44, $B:$B=$B44))
)
"),10.416666666666666)</f>
        <v>10.41666667</v>
      </c>
      <c r="K44" s="1">
        <f t="shared" si="3"/>
        <v>10.74810606</v>
      </c>
    </row>
    <row r="45">
      <c r="A45" s="3">
        <f>IFERROR(__xludf.DUMMYFUNCTION("""COMPUTED_VALUE"""),45689.0)</f>
        <v>45689</v>
      </c>
      <c r="B45" s="1" t="str">
        <f>IFERROR(__xludf.DUMMYFUNCTION("""COMPUTED_VALUE"""),"DPMall")</f>
        <v>DPMall</v>
      </c>
      <c r="C45" s="1" t="str">
        <f>IFERROR(__xludf.DUMMYFUNCTION("""COMPUTED_VALUE"""),"Marshmellow sweetBag")</f>
        <v>Marshmellow sweetBag</v>
      </c>
      <c r="D45" s="1">
        <f>IFERROR(__xludf.DUMMYFUNCTION("""COMPUTED_VALUE"""),27.0)</f>
        <v>27</v>
      </c>
      <c r="E45" s="1">
        <f>IFERROR(__xludf.DUMMYFUNCTION("""COMPUTED_VALUE"""),27.0)</f>
        <v>27</v>
      </c>
      <c r="F45" s="1">
        <f>IFERROR(__xludf.DUMMYFUNCTION("""COMPUTED_VALUE"""),9.0)</f>
        <v>9</v>
      </c>
      <c r="G45" s="1">
        <f t="shared" si="1"/>
        <v>3</v>
      </c>
      <c r="H45" s="1">
        <f t="shared" si="2"/>
        <v>3</v>
      </c>
      <c r="I45" s="1">
        <f>IFERROR(__xludf.DUMMYFUNCTION("IF(B45="""","""",
  100*F45 / MAX(FILTER($F:$F, $A:$A=$A45, $B:$B=$B45))
)
"),2.479338842975207)</f>
        <v>2.479338843</v>
      </c>
      <c r="J45" s="1">
        <f>IFERROR(__xludf.DUMMYFUNCTION("IF(B45="""","""",
  100*E45 / MAX(FILTER($E:$E, $A:$A=$A45, $B:$B=$B45))
)
"),3.515625)</f>
        <v>3.515625</v>
      </c>
      <c r="K45" s="1">
        <f t="shared" si="3"/>
        <v>2.945667614</v>
      </c>
    </row>
    <row r="46">
      <c r="A46" s="3">
        <f>IFERROR(__xludf.DUMMYFUNCTION("""COMPUTED_VALUE"""),45689.0)</f>
        <v>45689</v>
      </c>
      <c r="B46" s="1" t="str">
        <f>IFERROR(__xludf.DUMMYFUNCTION("""COMPUTED_VALUE"""),"DPMall")</f>
        <v>DPMall</v>
      </c>
      <c r="C46" s="1" t="str">
        <f>IFERROR(__xludf.DUMMYFUNCTION("""COMPUTED_VALUE"""),"Masa suntop")</f>
        <v>Masa suntop</v>
      </c>
      <c r="D46" s="1">
        <f>IFERROR(__xludf.DUMMYFUNCTION("""COMPUTED_VALUE"""),218.0)</f>
        <v>218</v>
      </c>
      <c r="E46" s="1">
        <f>IFERROR(__xludf.DUMMYFUNCTION("""COMPUTED_VALUE"""),218.0)</f>
        <v>218</v>
      </c>
      <c r="F46" s="1">
        <f>IFERROR(__xludf.DUMMYFUNCTION("""COMPUTED_VALUE"""),201.0)</f>
        <v>201</v>
      </c>
      <c r="G46" s="1">
        <f t="shared" si="1"/>
        <v>1.084577114</v>
      </c>
      <c r="H46" s="1">
        <f t="shared" si="2"/>
        <v>1.084577114</v>
      </c>
      <c r="I46" s="1">
        <f>IFERROR(__xludf.DUMMYFUNCTION("IF(B46="""","""",
  100*F46 / MAX(FILTER($F:$F, $A:$A=$A46, $B:$B=$B46))
)
"),55.37190082644628)</f>
        <v>55.37190083</v>
      </c>
      <c r="J46" s="1">
        <f>IFERROR(__xludf.DUMMYFUNCTION("IF(B46="""","""",
  100*E46 / MAX(FILTER($E:$E, $A:$A=$A46, $B:$B=$B46))
)
"),28.385416666666668)</f>
        <v>28.38541667</v>
      </c>
      <c r="K46" s="1">
        <f t="shared" si="3"/>
        <v>43.22798295</v>
      </c>
    </row>
    <row r="47">
      <c r="A47" s="3">
        <f>IFERROR(__xludf.DUMMYFUNCTION("""COMPUTED_VALUE"""),45689.0)</f>
        <v>45689</v>
      </c>
      <c r="B47" s="1" t="str">
        <f>IFERROR(__xludf.DUMMYFUNCTION("""COMPUTED_VALUE"""),"DPMall")</f>
        <v>DPMall</v>
      </c>
      <c r="C47" s="1" t="str">
        <f>IFERROR(__xludf.DUMMYFUNCTION("""COMPUTED_VALUE"""),"Milk &amp; cereals loacker")</f>
        <v>Milk &amp; cereals loacker</v>
      </c>
      <c r="D47" s="1">
        <f>IFERROR(__xludf.DUMMYFUNCTION("""COMPUTED_VALUE"""),18.0)</f>
        <v>18</v>
      </c>
      <c r="E47" s="1">
        <f>IFERROR(__xludf.DUMMYFUNCTION("""COMPUTED_VALUE"""),18.0)</f>
        <v>18</v>
      </c>
      <c r="F47" s="1">
        <f>IFERROR(__xludf.DUMMYFUNCTION("""COMPUTED_VALUE"""),6.0)</f>
        <v>6</v>
      </c>
      <c r="G47" s="1">
        <f t="shared" si="1"/>
        <v>3</v>
      </c>
      <c r="H47" s="1">
        <f t="shared" si="2"/>
        <v>3</v>
      </c>
      <c r="I47" s="1">
        <f>IFERROR(__xludf.DUMMYFUNCTION("IF(B47="""","""",
  100*F47 / MAX(FILTER($F:$F, $A:$A=$A47, $B:$B=$B47))
)
"),1.6528925619834711)</f>
        <v>1.652892562</v>
      </c>
      <c r="J47" s="1">
        <f>IFERROR(__xludf.DUMMYFUNCTION("IF(B47="""","""",
  100*E47 / MAX(FILTER($E:$E, $A:$A=$A47, $B:$B=$B47))
)
"),2.34375)</f>
        <v>2.34375</v>
      </c>
      <c r="K47" s="1">
        <f t="shared" si="3"/>
        <v>1.963778409</v>
      </c>
    </row>
    <row r="48">
      <c r="A48" s="3">
        <f>IFERROR(__xludf.DUMMYFUNCTION("""COMPUTED_VALUE"""),45689.0)</f>
        <v>45689</v>
      </c>
      <c r="B48" s="1" t="str">
        <f>IFERROR(__xludf.DUMMYFUNCTION("""COMPUTED_VALUE"""),"DPMall")</f>
        <v>DPMall</v>
      </c>
      <c r="C48" s="1" t="str">
        <f>IFERROR(__xludf.DUMMYFUNCTION("""COMPUTED_VALUE"""),"Mr Crunch")</f>
        <v>Mr Crunch</v>
      </c>
      <c r="D48" s="1">
        <f>IFERROR(__xludf.DUMMYFUNCTION("""COMPUTED_VALUE"""),443.0)</f>
        <v>443</v>
      </c>
      <c r="E48" s="1">
        <f>IFERROR(__xludf.DUMMYFUNCTION("""COMPUTED_VALUE"""),443.0)</f>
        <v>443</v>
      </c>
      <c r="F48" s="1">
        <f>IFERROR(__xludf.DUMMYFUNCTION("""COMPUTED_VALUE"""),107.0)</f>
        <v>107</v>
      </c>
      <c r="G48" s="1">
        <f t="shared" si="1"/>
        <v>4.140186916</v>
      </c>
      <c r="H48" s="1">
        <f t="shared" si="2"/>
        <v>4.140186916</v>
      </c>
      <c r="I48" s="1">
        <f>IFERROR(__xludf.DUMMYFUNCTION("IF(B48="""","""",
  100*F48 / MAX(FILTER($F:$F, $A:$A=$A48, $B:$B=$B48))
)
"),29.47658402203857)</f>
        <v>29.47658402</v>
      </c>
      <c r="J48" s="1">
        <f>IFERROR(__xludf.DUMMYFUNCTION("IF(B48="""","""",
  100*E48 / MAX(FILTER($E:$E, $A:$A=$A48, $B:$B=$B48))
)
"),57.682291666666664)</f>
        <v>57.68229167</v>
      </c>
      <c r="K48" s="1">
        <f t="shared" si="3"/>
        <v>42.16915246</v>
      </c>
    </row>
    <row r="49">
      <c r="A49" s="3">
        <f>IFERROR(__xludf.DUMMYFUNCTION("""COMPUTED_VALUE"""),45689.0)</f>
        <v>45689</v>
      </c>
      <c r="B49" s="1" t="str">
        <f>IFERROR(__xludf.DUMMYFUNCTION("""COMPUTED_VALUE"""),"DPMall")</f>
        <v>DPMall</v>
      </c>
      <c r="C49" s="1" t="str">
        <f>IFERROR(__xludf.DUMMYFUNCTION("""COMPUTED_VALUE"""),"Mr Crunch cheez top")</f>
        <v>Mr Crunch cheez top</v>
      </c>
      <c r="D49" s="1">
        <f>IFERROR(__xludf.DUMMYFUNCTION("""COMPUTED_VALUE"""),200.0)</f>
        <v>200</v>
      </c>
      <c r="E49" s="1">
        <f>IFERROR(__xludf.DUMMYFUNCTION("""COMPUTED_VALUE"""),200.0)</f>
        <v>200</v>
      </c>
      <c r="F49" s="1">
        <f>IFERROR(__xludf.DUMMYFUNCTION("""COMPUTED_VALUE"""),50.0)</f>
        <v>50</v>
      </c>
      <c r="G49" s="1">
        <f t="shared" si="1"/>
        <v>4</v>
      </c>
      <c r="H49" s="1">
        <f t="shared" si="2"/>
        <v>4</v>
      </c>
      <c r="I49" s="1">
        <f>IFERROR(__xludf.DUMMYFUNCTION("IF(B49="""","""",
  100*F49 / MAX(FILTER($F:$F, $A:$A=$A49, $B:$B=$B49))
)
"),13.774104683195592)</f>
        <v>13.77410468</v>
      </c>
      <c r="J49" s="1">
        <f>IFERROR(__xludf.DUMMYFUNCTION("IF(B49="""","""",
  100*E49 / MAX(FILTER($E:$E, $A:$A=$A49, $B:$B=$B49))
)
"),26.041666666666668)</f>
        <v>26.04166667</v>
      </c>
      <c r="K49" s="1">
        <f t="shared" si="3"/>
        <v>19.29450758</v>
      </c>
    </row>
    <row r="50">
      <c r="A50" s="3">
        <f>IFERROR(__xludf.DUMMYFUNCTION("""COMPUTED_VALUE"""),45689.0)</f>
        <v>45689</v>
      </c>
      <c r="B50" s="1" t="str">
        <f>IFERROR(__xludf.DUMMYFUNCTION("""COMPUTED_VALUE"""),"DPMall")</f>
        <v>DPMall</v>
      </c>
      <c r="C50" s="1" t="str">
        <f>IFERROR(__xludf.DUMMYFUNCTION("""COMPUTED_VALUE"""),"Roshen Chocolate")</f>
        <v>Roshen Chocolate</v>
      </c>
      <c r="D50" s="1">
        <f>IFERROR(__xludf.DUMMYFUNCTION("""COMPUTED_VALUE"""),87.0)</f>
        <v>87</v>
      </c>
      <c r="E50" s="1">
        <f>IFERROR(__xludf.DUMMYFUNCTION("""COMPUTED_VALUE"""),87.0)</f>
        <v>87</v>
      </c>
      <c r="F50" s="1">
        <f>IFERROR(__xludf.DUMMYFUNCTION("""COMPUTED_VALUE"""),29.0)</f>
        <v>29</v>
      </c>
      <c r="G50" s="1">
        <f t="shared" si="1"/>
        <v>3</v>
      </c>
      <c r="H50" s="1">
        <f t="shared" si="2"/>
        <v>3</v>
      </c>
      <c r="I50" s="1">
        <f>IFERROR(__xludf.DUMMYFUNCTION("IF(B50="""","""",
  100*F50 / MAX(FILTER($F:$F, $A:$A=$A50, $B:$B=$B50))
)
"),7.988980716253444)</f>
        <v>7.988980716</v>
      </c>
      <c r="J50" s="1">
        <f>IFERROR(__xludf.DUMMYFUNCTION("IF(B50="""","""",
  100*E50 / MAX(FILTER($E:$E, $A:$A=$A50, $B:$B=$B50))
)
"),11.328125)</f>
        <v>11.328125</v>
      </c>
      <c r="K50" s="1">
        <f t="shared" si="3"/>
        <v>9.491595644</v>
      </c>
    </row>
    <row r="51">
      <c r="A51" s="3">
        <f>IFERROR(__xludf.DUMMYFUNCTION("""COMPUTED_VALUE"""),45689.0)</f>
        <v>45689</v>
      </c>
      <c r="B51" s="1" t="str">
        <f>IFERROR(__xludf.DUMMYFUNCTION("""COMPUTED_VALUE"""),"DPMall")</f>
        <v>DPMall</v>
      </c>
      <c r="C51" s="1" t="str">
        <f>IFERROR(__xludf.DUMMYFUNCTION("""COMPUTED_VALUE"""),"Spuds noraml")</f>
        <v>Spuds noraml</v>
      </c>
      <c r="D51" s="1">
        <f>IFERROR(__xludf.DUMMYFUNCTION("""COMPUTED_VALUE"""),41.0)</f>
        <v>41</v>
      </c>
      <c r="E51" s="1">
        <f>IFERROR(__xludf.DUMMYFUNCTION("""COMPUTED_VALUE"""),41.0)</f>
        <v>41</v>
      </c>
      <c r="F51" s="1">
        <f>IFERROR(__xludf.DUMMYFUNCTION("""COMPUTED_VALUE"""),8.0)</f>
        <v>8</v>
      </c>
      <c r="G51" s="1">
        <f t="shared" si="1"/>
        <v>5.125</v>
      </c>
      <c r="H51" s="1">
        <f t="shared" si="2"/>
        <v>5.125</v>
      </c>
      <c r="I51" s="1">
        <f>IFERROR(__xludf.DUMMYFUNCTION("IF(B51="""","""",
  100*F51 / MAX(FILTER($F:$F, $A:$A=$A51, $B:$B=$B51))
)
"),2.203856749311295)</f>
        <v>2.203856749</v>
      </c>
      <c r="J51" s="1">
        <f>IFERROR(__xludf.DUMMYFUNCTION("IF(B51="""","""",
  100*E51 / MAX(FILTER($E:$E, $A:$A=$A51, $B:$B=$B51))
)
"),5.338541666666667)</f>
        <v>5.338541667</v>
      </c>
      <c r="K51" s="1">
        <f t="shared" si="3"/>
        <v>3.614464962</v>
      </c>
    </row>
    <row r="52">
      <c r="A52" s="3">
        <f>IFERROR(__xludf.DUMMYFUNCTION("""COMPUTED_VALUE"""),45689.0)</f>
        <v>45689</v>
      </c>
      <c r="B52" s="1" t="str">
        <f>IFERROR(__xludf.DUMMYFUNCTION("""COMPUTED_VALUE"""),"DPMall")</f>
        <v>DPMall</v>
      </c>
      <c r="C52" s="1" t="str">
        <f>IFERROR(__xludf.DUMMYFUNCTION("""COMPUTED_VALUE"""),"SunTop Saudi")</f>
        <v>SunTop Saudi</v>
      </c>
      <c r="D52" s="1">
        <f>IFERROR(__xludf.DUMMYFUNCTION("""COMPUTED_VALUE"""),313.0)</f>
        <v>313</v>
      </c>
      <c r="E52" s="1">
        <f>IFERROR(__xludf.DUMMYFUNCTION("""COMPUTED_VALUE"""),313.0)</f>
        <v>313</v>
      </c>
      <c r="F52" s="1">
        <f>IFERROR(__xludf.DUMMYFUNCTION("""COMPUTED_VALUE"""),313.0)</f>
        <v>313</v>
      </c>
      <c r="G52" s="1">
        <f t="shared" si="1"/>
        <v>1</v>
      </c>
      <c r="H52" s="1">
        <f t="shared" si="2"/>
        <v>1</v>
      </c>
      <c r="I52" s="1">
        <f>IFERROR(__xludf.DUMMYFUNCTION("IF(B52="""","""",
  100*F52 / MAX(FILTER($F:$F, $A:$A=$A52, $B:$B=$B52))
)
"),86.22589531680441)</f>
        <v>86.22589532</v>
      </c>
      <c r="J52" s="1">
        <f>IFERROR(__xludf.DUMMYFUNCTION("IF(B52="""","""",
  100*E52 / MAX(FILTER($E:$E, $A:$A=$A52, $B:$B=$B52))
)
"),40.755208333333336)</f>
        <v>40.75520833</v>
      </c>
      <c r="K52" s="1">
        <f t="shared" si="3"/>
        <v>65.76408617</v>
      </c>
    </row>
    <row r="53">
      <c r="A53" s="3">
        <f>IFERROR(__xludf.DUMMYFUNCTION("""COMPUTED_VALUE"""),45689.0)</f>
        <v>45689</v>
      </c>
      <c r="B53" s="1" t="str">
        <f>IFERROR(__xludf.DUMMYFUNCTION("""COMPUTED_VALUE"""),"DPMall")</f>
        <v>DPMall</v>
      </c>
      <c r="C53" s="1" t="str">
        <f>IFERROR(__xludf.DUMMYFUNCTION("""COMPUTED_VALUE"""),"Takis")</f>
        <v>Takis</v>
      </c>
      <c r="D53" s="1">
        <f>IFERROR(__xludf.DUMMYFUNCTION("""COMPUTED_VALUE"""),768.0)</f>
        <v>768</v>
      </c>
      <c r="E53" s="1">
        <f>IFERROR(__xludf.DUMMYFUNCTION("""COMPUTED_VALUE"""),768.0)</f>
        <v>768</v>
      </c>
      <c r="F53" s="1">
        <f>IFERROR(__xludf.DUMMYFUNCTION("""COMPUTED_VALUE"""),40.0)</f>
        <v>40</v>
      </c>
      <c r="G53" s="1">
        <f t="shared" si="1"/>
        <v>19.2</v>
      </c>
      <c r="H53" s="1">
        <f t="shared" si="2"/>
        <v>19.2</v>
      </c>
      <c r="I53" s="1">
        <f>IFERROR(__xludf.DUMMYFUNCTION("IF(B53="""","""",
  100*F53 / MAX(FILTER($F:$F, $A:$A=$A53, $B:$B=$B53))
)
"),11.019283746556473)</f>
        <v>11.01928375</v>
      </c>
      <c r="J53" s="1">
        <f>IFERROR(__xludf.DUMMYFUNCTION("IF(B53="""","""",
  100*E53 / MAX(FILTER($E:$E, $A:$A=$A53, $B:$B=$B53))
)
"),100.0)</f>
        <v>100</v>
      </c>
      <c r="K53" s="1">
        <f t="shared" si="3"/>
        <v>51.06060606</v>
      </c>
    </row>
    <row r="54">
      <c r="A54" s="3">
        <f>IFERROR(__xludf.DUMMYFUNCTION("""COMPUTED_VALUE"""),45689.0)</f>
        <v>45689</v>
      </c>
      <c r="B54" s="1" t="str">
        <f>IFERROR(__xludf.DUMMYFUNCTION("""COMPUTED_VALUE"""),"DPMall")</f>
        <v>DPMall</v>
      </c>
      <c r="C54" s="1" t="str">
        <f>IFERROR(__xludf.DUMMYFUNCTION("""COMPUTED_VALUE"""),"Tiger Medium 16")</f>
        <v>Tiger Medium 16</v>
      </c>
      <c r="D54" s="1">
        <f>IFERROR(__xludf.DUMMYFUNCTION("""COMPUTED_VALUE"""),93.0)</f>
        <v>93</v>
      </c>
      <c r="E54" s="1">
        <f>IFERROR(__xludf.DUMMYFUNCTION("""COMPUTED_VALUE"""),93.0)</f>
        <v>93</v>
      </c>
      <c r="F54" s="1">
        <f>IFERROR(__xludf.DUMMYFUNCTION("""COMPUTED_VALUE"""),31.0)</f>
        <v>31</v>
      </c>
      <c r="G54" s="1">
        <f t="shared" si="1"/>
        <v>3</v>
      </c>
      <c r="H54" s="1">
        <f t="shared" si="2"/>
        <v>3</v>
      </c>
      <c r="I54" s="1">
        <f>IFERROR(__xludf.DUMMYFUNCTION("IF(B54="""","""",
  100*F54 / MAX(FILTER($F:$F, $A:$A=$A54, $B:$B=$B54))
)
"),8.539944903581267)</f>
        <v>8.539944904</v>
      </c>
      <c r="J54" s="1">
        <f>IFERROR(__xludf.DUMMYFUNCTION("IF(B54="""","""",
  100*E54 / MAX(FILTER($E:$E, $A:$A=$A54, $B:$B=$B54))
)
"),12.109375)</f>
        <v>12.109375</v>
      </c>
      <c r="K54" s="1">
        <f t="shared" si="3"/>
        <v>10.14618845</v>
      </c>
    </row>
    <row r="55">
      <c r="A55" s="3">
        <f>IFERROR(__xludf.DUMMYFUNCTION("""COMPUTED_VALUE"""),45689.0)</f>
        <v>45689</v>
      </c>
      <c r="B55" s="1" t="str">
        <f>IFERROR(__xludf.DUMMYFUNCTION("""COMPUTED_VALUE"""),"DPMall")</f>
        <v>DPMall</v>
      </c>
      <c r="C55" s="1" t="str">
        <f>IFERROR(__xludf.DUMMYFUNCTION("""COMPUTED_VALUE"""),"Tiger excellence *10")</f>
        <v>Tiger excellence *10</v>
      </c>
      <c r="D55" s="1">
        <f>IFERROR(__xludf.DUMMYFUNCTION("""COMPUTED_VALUE"""),268.0)</f>
        <v>268</v>
      </c>
      <c r="E55" s="1">
        <f>IFERROR(__xludf.DUMMYFUNCTION("""COMPUTED_VALUE"""),268.0)</f>
        <v>268</v>
      </c>
      <c r="F55" s="1">
        <f>IFERROR(__xludf.DUMMYFUNCTION("""COMPUTED_VALUE"""),54.0)</f>
        <v>54</v>
      </c>
      <c r="G55" s="1">
        <f t="shared" si="1"/>
        <v>4.962962963</v>
      </c>
      <c r="H55" s="1">
        <f t="shared" si="2"/>
        <v>4.962962963</v>
      </c>
      <c r="I55" s="1">
        <f>IFERROR(__xludf.DUMMYFUNCTION("IF(B55="""","""",
  100*F55 / MAX(FILTER($F:$F, $A:$A=$A55, $B:$B=$B55))
)
"),14.87603305785124)</f>
        <v>14.87603306</v>
      </c>
      <c r="J55" s="1">
        <f>IFERROR(__xludf.DUMMYFUNCTION("IF(B55="""","""",
  100*E55 / MAX(FILTER($E:$E, $A:$A=$A55, $B:$B=$B55))
)
"),34.895833333333336)</f>
        <v>34.89583333</v>
      </c>
      <c r="K55" s="1">
        <f t="shared" si="3"/>
        <v>23.88494318</v>
      </c>
    </row>
    <row r="56">
      <c r="A56" s="3">
        <f>IFERROR(__xludf.DUMMYFUNCTION("""COMPUTED_VALUE"""),45689.0)</f>
        <v>45689</v>
      </c>
      <c r="B56" s="1" t="str">
        <f>IFERROR(__xludf.DUMMYFUNCTION("""COMPUTED_VALUE"""),"DPMall")</f>
        <v>DPMall</v>
      </c>
      <c r="C56" s="1" t="str">
        <f>IFERROR(__xludf.DUMMYFUNCTION("""COMPUTED_VALUE"""),"Tiger excellence super jambo")</f>
        <v>Tiger excellence super jambo</v>
      </c>
      <c r="D56" s="1">
        <f>IFERROR(__xludf.DUMMYFUNCTION("""COMPUTED_VALUE"""),50.0)</f>
        <v>50</v>
      </c>
      <c r="E56" s="1">
        <f>IFERROR(__xludf.DUMMYFUNCTION("""COMPUTED_VALUE"""),50.0)</f>
        <v>50</v>
      </c>
      <c r="F56" s="1">
        <f>IFERROR(__xludf.DUMMYFUNCTION("""COMPUTED_VALUE"""),10.0)</f>
        <v>10</v>
      </c>
      <c r="G56" s="1">
        <f t="shared" si="1"/>
        <v>5</v>
      </c>
      <c r="H56" s="1">
        <f t="shared" si="2"/>
        <v>5</v>
      </c>
      <c r="I56" s="1">
        <f>IFERROR(__xludf.DUMMYFUNCTION("IF(B56="""","""",
  100*F56 / MAX(FILTER($F:$F, $A:$A=$A56, $B:$B=$B56))
)
"),2.7548209366391183)</f>
        <v>2.754820937</v>
      </c>
      <c r="J56" s="1">
        <f>IFERROR(__xludf.DUMMYFUNCTION("IF(B56="""","""",
  100*E56 / MAX(FILTER($E:$E, $A:$A=$A56, $B:$B=$B56))
)
"),6.510416666666667)</f>
        <v>6.510416667</v>
      </c>
      <c r="K56" s="1">
        <f t="shared" si="3"/>
        <v>4.444839015</v>
      </c>
    </row>
    <row r="57">
      <c r="A57" s="3">
        <f>IFERROR(__xludf.DUMMYFUNCTION("""COMPUTED_VALUE"""),45689.0)</f>
        <v>45689</v>
      </c>
      <c r="B57" s="1" t="str">
        <f>IFERROR(__xludf.DUMMYFUNCTION("""COMPUTED_VALUE"""),"DPMall")</f>
        <v>DPMall</v>
      </c>
      <c r="C57" s="1" t="str">
        <f>IFERROR(__xludf.DUMMYFUNCTION("""COMPUTED_VALUE"""),"Wafe up extra")</f>
        <v>Wafe up extra</v>
      </c>
      <c r="D57" s="1">
        <f>IFERROR(__xludf.DUMMYFUNCTION("""COMPUTED_VALUE"""),138.0)</f>
        <v>138</v>
      </c>
      <c r="E57" s="1">
        <f>IFERROR(__xludf.DUMMYFUNCTION("""COMPUTED_VALUE"""),138.0)</f>
        <v>138</v>
      </c>
      <c r="F57" s="1">
        <f>IFERROR(__xludf.DUMMYFUNCTION("""COMPUTED_VALUE"""),69.0)</f>
        <v>69</v>
      </c>
      <c r="G57" s="1">
        <f t="shared" si="1"/>
        <v>2</v>
      </c>
      <c r="H57" s="1">
        <f t="shared" si="2"/>
        <v>2</v>
      </c>
      <c r="I57" s="1">
        <f>IFERROR(__xludf.DUMMYFUNCTION("IF(B57="""","""",
  100*F57 / MAX(FILTER($F:$F, $A:$A=$A57, $B:$B=$B57))
)
"),19.00826446280992)</f>
        <v>19.00826446</v>
      </c>
      <c r="J57" s="1">
        <f>IFERROR(__xludf.DUMMYFUNCTION("IF(B57="""","""",
  100*E57 / MAX(FILTER($E:$E, $A:$A=$A57, $B:$B=$B57))
)
"),17.96875)</f>
        <v>17.96875</v>
      </c>
      <c r="K57" s="1">
        <f t="shared" si="3"/>
        <v>18.54048295</v>
      </c>
    </row>
    <row r="58">
      <c r="A58" s="3">
        <f>IFERROR(__xludf.DUMMYFUNCTION("""COMPUTED_VALUE"""),45689.0)</f>
        <v>45689</v>
      </c>
      <c r="B58" s="1" t="str">
        <f>IFERROR(__xludf.DUMMYFUNCTION("""COMPUTED_VALUE"""),"DPMall")</f>
        <v>DPMall</v>
      </c>
      <c r="C58" s="1" t="str">
        <f>IFERROR(__xludf.DUMMYFUNCTION("""COMPUTED_VALUE"""),"Water")</f>
        <v>Water</v>
      </c>
      <c r="D58" s="1">
        <f>IFERROR(__xludf.DUMMYFUNCTION("""COMPUTED_VALUE"""),334.0)</f>
        <v>334</v>
      </c>
      <c r="E58" s="1">
        <f>IFERROR(__xludf.DUMMYFUNCTION("""COMPUTED_VALUE"""),334.0)</f>
        <v>334</v>
      </c>
      <c r="F58" s="1">
        <f>IFERROR(__xludf.DUMMYFUNCTION("""COMPUTED_VALUE"""),334.0)</f>
        <v>334</v>
      </c>
      <c r="G58" s="1">
        <f t="shared" si="1"/>
        <v>1</v>
      </c>
      <c r="H58" s="1">
        <f t="shared" si="2"/>
        <v>1</v>
      </c>
      <c r="I58" s="1">
        <f>IFERROR(__xludf.DUMMYFUNCTION("IF(B58="""","""",
  100*F58 / MAX(FILTER($F:$F, $A:$A=$A58, $B:$B=$B58))
)
"),92.01101928374656)</f>
        <v>92.01101928</v>
      </c>
      <c r="J58" s="1">
        <f>IFERROR(__xludf.DUMMYFUNCTION("IF(B58="""","""",
  100*E58 / MAX(FILTER($E:$E, $A:$A=$A58, $B:$B=$B58))
)
"),43.489583333333336)</f>
        <v>43.48958333</v>
      </c>
      <c r="K58" s="1">
        <f t="shared" si="3"/>
        <v>70.17637311</v>
      </c>
    </row>
    <row r="59">
      <c r="A59" s="3">
        <f>IFERROR(__xludf.DUMMYFUNCTION("""COMPUTED_VALUE"""),45689.0)</f>
        <v>45689</v>
      </c>
      <c r="B59" s="1" t="str">
        <f>IFERROR(__xludf.DUMMYFUNCTION("""COMPUTED_VALUE"""),"DPMall")</f>
        <v>DPMall</v>
      </c>
      <c r="C59" s="1" t="str">
        <f>IFERROR(__xludf.DUMMYFUNCTION("""COMPUTED_VALUE"""),"Wild Power Energy 500ml")</f>
        <v>Wild Power Energy 500ml</v>
      </c>
      <c r="D59" s="1">
        <f>IFERROR(__xludf.DUMMYFUNCTION("""COMPUTED_VALUE"""),40.0)</f>
        <v>40</v>
      </c>
      <c r="E59" s="1">
        <f>IFERROR(__xludf.DUMMYFUNCTION("""COMPUTED_VALUE"""),40.0)</f>
        <v>40</v>
      </c>
      <c r="F59" s="1">
        <f>IFERROR(__xludf.DUMMYFUNCTION("""COMPUTED_VALUE"""),8.0)</f>
        <v>8</v>
      </c>
      <c r="G59" s="1">
        <f t="shared" si="1"/>
        <v>5</v>
      </c>
      <c r="H59" s="1">
        <f t="shared" si="2"/>
        <v>5</v>
      </c>
      <c r="I59" s="1">
        <f>IFERROR(__xludf.DUMMYFUNCTION("IF(B59="""","""",
  100*F59 / MAX(FILTER($F:$F, $A:$A=$A59, $B:$B=$B59))
)
"),2.203856749311295)</f>
        <v>2.203856749</v>
      </c>
      <c r="J59" s="1">
        <f>IFERROR(__xludf.DUMMYFUNCTION("IF(B59="""","""",
  100*E59 / MAX(FILTER($E:$E, $A:$A=$A59, $B:$B=$B59))
)
"),5.208333333333333)</f>
        <v>5.208333333</v>
      </c>
      <c r="K59" s="1">
        <f t="shared" si="3"/>
        <v>3.555871212</v>
      </c>
    </row>
    <row r="60">
      <c r="A60" s="3">
        <f>IFERROR(__xludf.DUMMYFUNCTION("""COMPUTED_VALUE"""),45689.0)</f>
        <v>45689</v>
      </c>
      <c r="B60" s="1" t="str">
        <f>IFERROR(__xludf.DUMMYFUNCTION("""COMPUTED_VALUE"""),"DPMall")</f>
        <v>DPMall</v>
      </c>
      <c r="C60" s="1" t="str">
        <f>IFERROR(__xludf.DUMMYFUNCTION("""COMPUTED_VALUE"""),"Wild Power Energy drink")</f>
        <v>Wild Power Energy drink</v>
      </c>
      <c r="D60" s="1">
        <f>IFERROR(__xludf.DUMMYFUNCTION("""COMPUTED_VALUE"""),138.0)</f>
        <v>138</v>
      </c>
      <c r="E60" s="1">
        <f>IFERROR(__xludf.DUMMYFUNCTION("""COMPUTED_VALUE"""),138.0)</f>
        <v>138</v>
      </c>
      <c r="F60" s="1">
        <f>IFERROR(__xludf.DUMMYFUNCTION("""COMPUTED_VALUE"""),46.0)</f>
        <v>46</v>
      </c>
      <c r="G60" s="1">
        <f t="shared" si="1"/>
        <v>3</v>
      </c>
      <c r="H60" s="1">
        <f t="shared" si="2"/>
        <v>3</v>
      </c>
      <c r="I60" s="1">
        <f>IFERROR(__xludf.DUMMYFUNCTION("IF(B60="""","""",
  100*F60 / MAX(FILTER($F:$F, $A:$A=$A60, $B:$B=$B60))
)
"),12.672176308539944)</f>
        <v>12.67217631</v>
      </c>
      <c r="J60" s="1">
        <f>IFERROR(__xludf.DUMMYFUNCTION("IF(B60="""","""",
  100*E60 / MAX(FILTER($E:$E, $A:$A=$A60, $B:$B=$B60))
)
"),17.96875)</f>
        <v>17.96875</v>
      </c>
      <c r="K60" s="1">
        <f t="shared" si="3"/>
        <v>15.05563447</v>
      </c>
    </row>
    <row r="61">
      <c r="A61" s="3">
        <f>IFERROR(__xludf.DUMMYFUNCTION("""COMPUTED_VALUE"""),45689.0)</f>
        <v>45689</v>
      </c>
      <c r="B61" s="1" t="str">
        <f>IFERROR(__xludf.DUMMYFUNCTION("""COMPUTED_VALUE"""),"DPMall")</f>
        <v>DPMall</v>
      </c>
      <c r="C61" s="1" t="str">
        <f>IFERROR(__xludf.DUMMYFUNCTION("""COMPUTED_VALUE"""),"X!R")</f>
        <v>X!R</v>
      </c>
      <c r="D61" s="1">
        <f>IFERROR(__xludf.DUMMYFUNCTION("""COMPUTED_VALUE"""),578.0)</f>
        <v>578</v>
      </c>
      <c r="E61" s="1">
        <f>IFERROR(__xludf.DUMMYFUNCTION("""COMPUTED_VALUE"""),578.0)</f>
        <v>578</v>
      </c>
      <c r="F61" s="1">
        <f>IFERROR(__xludf.DUMMYFUNCTION("""COMPUTED_VALUE"""),144.0)</f>
        <v>144</v>
      </c>
      <c r="G61" s="1">
        <f t="shared" si="1"/>
        <v>4.013888889</v>
      </c>
      <c r="H61" s="1">
        <f t="shared" si="2"/>
        <v>4.013888889</v>
      </c>
      <c r="I61" s="1">
        <f>IFERROR(__xludf.DUMMYFUNCTION("IF(B61="""","""",
  100*F61 / MAX(FILTER($F:$F, $A:$A=$A61, $B:$B=$B61))
)
"),39.66942148760331)</f>
        <v>39.66942149</v>
      </c>
      <c r="J61" s="1">
        <f>IFERROR(__xludf.DUMMYFUNCTION("IF(B61="""","""",
  100*E61 / MAX(FILTER($E:$E, $A:$A=$A61, $B:$B=$B61))
)
"),75.26041666666667)</f>
        <v>75.26041667</v>
      </c>
      <c r="K61" s="1">
        <f t="shared" si="3"/>
        <v>55.68536932</v>
      </c>
    </row>
    <row r="62">
      <c r="A62" s="3">
        <f>IFERROR(__xludf.DUMMYFUNCTION("""COMPUTED_VALUE"""),45689.0)</f>
        <v>45689</v>
      </c>
      <c r="B62" s="1" t="str">
        <f>IFERROR(__xludf.DUMMYFUNCTION("""COMPUTED_VALUE"""),"DPMall")</f>
        <v>DPMall</v>
      </c>
      <c r="C62" s="1" t="str">
        <f>IFERROR(__xludf.DUMMYFUNCTION("""COMPUTED_VALUE"""),"X!R 500ml")</f>
        <v>X!R 500ml</v>
      </c>
      <c r="D62" s="1">
        <f>IFERROR(__xludf.DUMMYFUNCTION("""COMPUTED_VALUE"""),146.0)</f>
        <v>146</v>
      </c>
      <c r="E62" s="1">
        <f>IFERROR(__xludf.DUMMYFUNCTION("""COMPUTED_VALUE"""),146.0)</f>
        <v>146</v>
      </c>
      <c r="F62" s="1">
        <f>IFERROR(__xludf.DUMMYFUNCTION("""COMPUTED_VALUE"""),25.0)</f>
        <v>25</v>
      </c>
      <c r="G62" s="1">
        <f t="shared" si="1"/>
        <v>5.84</v>
      </c>
      <c r="H62" s="1">
        <f t="shared" si="2"/>
        <v>5.84</v>
      </c>
      <c r="I62" s="1">
        <f>IFERROR(__xludf.DUMMYFUNCTION("IF(B62="""","""",
  100*F62 / MAX(FILTER($F:$F, $A:$A=$A62, $B:$B=$B62))
)
"),6.887052341597796)</f>
        <v>6.887052342</v>
      </c>
      <c r="J62" s="1">
        <f>IFERROR(__xludf.DUMMYFUNCTION("IF(B62="""","""",
  100*E62 / MAX(FILTER($E:$E, $A:$A=$A62, $B:$B=$B62))
)
"),19.010416666666668)</f>
        <v>19.01041667</v>
      </c>
      <c r="K62" s="1">
        <f t="shared" si="3"/>
        <v>12.34256629</v>
      </c>
    </row>
    <row r="63">
      <c r="A63" s="3">
        <f>IFERROR(__xludf.DUMMYFUNCTION("""COMPUTED_VALUE"""),45689.0)</f>
        <v>45689</v>
      </c>
      <c r="B63" s="1" t="str">
        <f>IFERROR(__xludf.DUMMYFUNCTION("""COMPUTED_VALUE"""),"DPMall")</f>
        <v>DPMall</v>
      </c>
      <c r="C63" s="1" t="str">
        <f>IFERROR(__xludf.DUMMYFUNCTION("""COMPUTED_VALUE"""),"boba tea")</f>
        <v>boba tea</v>
      </c>
      <c r="D63" s="1">
        <f>IFERROR(__xludf.DUMMYFUNCTION("""COMPUTED_VALUE"""),48.0)</f>
        <v>48</v>
      </c>
      <c r="E63" s="1">
        <f>IFERROR(__xludf.DUMMYFUNCTION("""COMPUTED_VALUE"""),48.0)</f>
        <v>48</v>
      </c>
      <c r="F63" s="1">
        <f>IFERROR(__xludf.DUMMYFUNCTION("""COMPUTED_VALUE"""),4.0)</f>
        <v>4</v>
      </c>
      <c r="G63" s="1">
        <f t="shared" si="1"/>
        <v>12</v>
      </c>
      <c r="H63" s="1">
        <f t="shared" si="2"/>
        <v>12</v>
      </c>
      <c r="I63" s="1">
        <f>IFERROR(__xludf.DUMMYFUNCTION("IF(B63="""","""",
  100*F63 / MAX(FILTER($F:$F, $A:$A=$A63, $B:$B=$B63))
)
"),1.1019283746556474)</f>
        <v>1.101928375</v>
      </c>
      <c r="J63" s="1">
        <f>IFERROR(__xludf.DUMMYFUNCTION("IF(B63="""","""",
  100*E63 / MAX(FILTER($E:$E, $A:$A=$A63, $B:$B=$B63))
)
"),6.25)</f>
        <v>6.25</v>
      </c>
      <c r="K63" s="1">
        <f t="shared" si="3"/>
        <v>3.418560606</v>
      </c>
    </row>
    <row r="64">
      <c r="A64" s="3">
        <f>IFERROR(__xludf.DUMMYFUNCTION("""COMPUTED_VALUE"""),45689.0)</f>
        <v>45689</v>
      </c>
      <c r="B64" s="1" t="str">
        <f>IFERROR(__xludf.DUMMYFUNCTION("""COMPUTED_VALUE"""),"DPMall")</f>
        <v>DPMall</v>
      </c>
      <c r="C64" s="1" t="str">
        <f>IFERROR(__xludf.DUMMYFUNCTION("""COMPUTED_VALUE"""),"bonart sour")</f>
        <v>bonart sour</v>
      </c>
      <c r="D64" s="1">
        <f>IFERROR(__xludf.DUMMYFUNCTION("""COMPUTED_VALUE"""),138.0)</f>
        <v>138</v>
      </c>
      <c r="E64" s="1">
        <f>IFERROR(__xludf.DUMMYFUNCTION("""COMPUTED_VALUE"""),138.0)</f>
        <v>138</v>
      </c>
      <c r="F64" s="1">
        <f>IFERROR(__xludf.DUMMYFUNCTION("""COMPUTED_VALUE"""),34.0)</f>
        <v>34</v>
      </c>
      <c r="G64" s="1">
        <f t="shared" si="1"/>
        <v>4.058823529</v>
      </c>
      <c r="H64" s="1">
        <f t="shared" si="2"/>
        <v>4.058823529</v>
      </c>
      <c r="I64" s="1">
        <f>IFERROR(__xludf.DUMMYFUNCTION("IF(B64="""","""",
  100*F64 / MAX(FILTER($F:$F, $A:$A=$A64, $B:$B=$B64))
)
"),9.366391184573002)</f>
        <v>9.366391185</v>
      </c>
      <c r="J64" s="1">
        <f>IFERROR(__xludf.DUMMYFUNCTION("IF(B64="""","""",
  100*E64 / MAX(FILTER($E:$E, $A:$A=$A64, $B:$B=$B64))
)
"),17.96875)</f>
        <v>17.96875</v>
      </c>
      <c r="K64" s="1">
        <f t="shared" si="3"/>
        <v>13.23745265</v>
      </c>
    </row>
    <row r="65">
      <c r="A65" s="3">
        <f>IFERROR(__xludf.DUMMYFUNCTION("""COMPUTED_VALUE"""),45689.0)</f>
        <v>45689</v>
      </c>
      <c r="B65" s="1" t="str">
        <f>IFERROR(__xludf.DUMMYFUNCTION("""COMPUTED_VALUE"""),"DPMall")</f>
        <v>DPMall</v>
      </c>
      <c r="C65" s="1" t="str">
        <f>IFERROR(__xludf.DUMMYFUNCTION("""COMPUTED_VALUE"""),"drFood Stix")</f>
        <v>drFood Stix</v>
      </c>
      <c r="D65" s="1">
        <f>IFERROR(__xludf.DUMMYFUNCTION("""COMPUTED_VALUE"""),105.0)</f>
        <v>105</v>
      </c>
      <c r="E65" s="1">
        <f>IFERROR(__xludf.DUMMYFUNCTION("""COMPUTED_VALUE"""),105.0)</f>
        <v>105</v>
      </c>
      <c r="F65" s="1">
        <f>IFERROR(__xludf.DUMMYFUNCTION("""COMPUTED_VALUE"""),35.0)</f>
        <v>35</v>
      </c>
      <c r="G65" s="1">
        <f t="shared" si="1"/>
        <v>3</v>
      </c>
      <c r="H65" s="1">
        <f t="shared" si="2"/>
        <v>3</v>
      </c>
      <c r="I65" s="1">
        <f>IFERROR(__xludf.DUMMYFUNCTION("IF(B65="""","""",
  100*F65 / MAX(FILTER($F:$F, $A:$A=$A65, $B:$B=$B65))
)
"),9.641873278236915)</f>
        <v>9.641873278</v>
      </c>
      <c r="J65" s="1">
        <f>IFERROR(__xludf.DUMMYFUNCTION("IF(B65="""","""",
  100*E65 / MAX(FILTER($E:$E, $A:$A=$A65, $B:$B=$B65))
)
"),13.671875)</f>
        <v>13.671875</v>
      </c>
      <c r="K65" s="1">
        <f t="shared" si="3"/>
        <v>11.45537405</v>
      </c>
    </row>
    <row r="66">
      <c r="A66" s="3">
        <f>IFERROR(__xludf.DUMMYFUNCTION("""COMPUTED_VALUE"""),45689.0)</f>
        <v>45689</v>
      </c>
      <c r="B66" s="1" t="str">
        <f>IFERROR(__xludf.DUMMYFUNCTION("""COMPUTED_VALUE"""),"DPMall")</f>
        <v>DPMall</v>
      </c>
      <c r="C66" s="1" t="str">
        <f>IFERROR(__xludf.DUMMYFUNCTION("""COMPUTED_VALUE"""),"festa")</f>
        <v>festa</v>
      </c>
      <c r="D66" s="1">
        <f>IFERROR(__xludf.DUMMYFUNCTION("""COMPUTED_VALUE"""),21.0)</f>
        <v>21</v>
      </c>
      <c r="E66" s="1">
        <f>IFERROR(__xludf.DUMMYFUNCTION("""COMPUTED_VALUE"""),21.0)</f>
        <v>21</v>
      </c>
      <c r="F66" s="1">
        <f>IFERROR(__xludf.DUMMYFUNCTION("""COMPUTED_VALUE"""),7.0)</f>
        <v>7</v>
      </c>
      <c r="G66" s="1">
        <f t="shared" si="1"/>
        <v>3</v>
      </c>
      <c r="H66" s="1">
        <f t="shared" si="2"/>
        <v>3</v>
      </c>
      <c r="I66" s="1">
        <f>IFERROR(__xludf.DUMMYFUNCTION("IF(B66="""","""",
  100*F66 / MAX(FILTER($F:$F, $A:$A=$A66, $B:$B=$B66))
)
"),1.9283746556473829)</f>
        <v>1.928374656</v>
      </c>
      <c r="J66" s="1">
        <f>IFERROR(__xludf.DUMMYFUNCTION("IF(B66="""","""",
  100*E66 / MAX(FILTER($E:$E, $A:$A=$A66, $B:$B=$B66))
)
"),2.734375)</f>
        <v>2.734375</v>
      </c>
      <c r="K66" s="1">
        <f t="shared" si="3"/>
        <v>2.291074811</v>
      </c>
    </row>
    <row r="67">
      <c r="A67" s="3">
        <f>IFERROR(__xludf.DUMMYFUNCTION("""COMPUTED_VALUE"""),45689.0)</f>
        <v>45689</v>
      </c>
      <c r="B67" s="1" t="str">
        <f>IFERROR(__xludf.DUMMYFUNCTION("""COMPUTED_VALUE"""),"DPMall")</f>
        <v>DPMall</v>
      </c>
      <c r="C67" s="1" t="str">
        <f>IFERROR(__xludf.DUMMYFUNCTION("""COMPUTED_VALUE"""),"flik flak")</f>
        <v>flik flak</v>
      </c>
      <c r="D67" s="1">
        <f>IFERROR(__xludf.DUMMYFUNCTION("""COMPUTED_VALUE"""),363.0)</f>
        <v>363</v>
      </c>
      <c r="E67" s="1">
        <f>IFERROR(__xludf.DUMMYFUNCTION("""COMPUTED_VALUE"""),363.0)</f>
        <v>363</v>
      </c>
      <c r="F67" s="1">
        <f>IFERROR(__xludf.DUMMYFUNCTION("""COMPUTED_VALUE"""),363.0)</f>
        <v>363</v>
      </c>
      <c r="G67" s="1">
        <f t="shared" si="1"/>
        <v>1</v>
      </c>
      <c r="H67" s="1">
        <f t="shared" si="2"/>
        <v>1</v>
      </c>
      <c r="I67" s="1">
        <f>IFERROR(__xludf.DUMMYFUNCTION("IF(B67="""","""",
  100*F67 / MAX(FILTER($F:$F, $A:$A=$A67, $B:$B=$B67))
)
"),100.0)</f>
        <v>100</v>
      </c>
      <c r="J67" s="1">
        <f>IFERROR(__xludf.DUMMYFUNCTION("IF(B67="""","""",
  100*E67 / MAX(FILTER($E:$E, $A:$A=$A67, $B:$B=$B67))
)
"),47.265625)</f>
        <v>47.265625</v>
      </c>
      <c r="K67" s="1">
        <f t="shared" si="3"/>
        <v>76.26953125</v>
      </c>
    </row>
    <row r="68">
      <c r="A68" s="3">
        <f>IFERROR(__xludf.DUMMYFUNCTION("""COMPUTED_VALUE"""),45689.0)</f>
        <v>45689</v>
      </c>
      <c r="B68" s="1" t="str">
        <f>IFERROR(__xludf.DUMMYFUNCTION("""COMPUTED_VALUE"""),"DPMall")</f>
        <v>DPMall</v>
      </c>
      <c r="C68" s="1" t="str">
        <f>IFERROR(__xludf.DUMMYFUNCTION("""COMPUTED_VALUE"""),"helo kitty")</f>
        <v>helo kitty</v>
      </c>
      <c r="D68" s="1">
        <f>IFERROR(__xludf.DUMMYFUNCTION("""COMPUTED_VALUE"""),30.0)</f>
        <v>30</v>
      </c>
      <c r="E68" s="1">
        <f>IFERROR(__xludf.DUMMYFUNCTION("""COMPUTED_VALUE"""),30.0)</f>
        <v>30</v>
      </c>
      <c r="F68" s="1">
        <f>IFERROR(__xludf.DUMMYFUNCTION("""COMPUTED_VALUE"""),5.0)</f>
        <v>5</v>
      </c>
      <c r="G68" s="1">
        <f t="shared" si="1"/>
        <v>6</v>
      </c>
      <c r="H68" s="1">
        <f t="shared" si="2"/>
        <v>6</v>
      </c>
      <c r="I68" s="1">
        <f>IFERROR(__xludf.DUMMYFUNCTION("IF(B68="""","""",
  100*F68 / MAX(FILTER($F:$F, $A:$A=$A68, $B:$B=$B68))
)
"),1.3774104683195592)</f>
        <v>1.377410468</v>
      </c>
      <c r="J68" s="1">
        <f>IFERROR(__xludf.DUMMYFUNCTION("IF(B68="""","""",
  100*E68 / MAX(FILTER($E:$E, $A:$A=$A68, $B:$B=$B68))
)
"),3.90625)</f>
        <v>3.90625</v>
      </c>
      <c r="K68" s="1">
        <f t="shared" si="3"/>
        <v>2.515388258</v>
      </c>
    </row>
    <row r="69">
      <c r="A69" s="3">
        <f>IFERROR(__xludf.DUMMYFUNCTION("""COMPUTED_VALUE"""),45689.0)</f>
        <v>45689</v>
      </c>
      <c r="B69" s="1" t="str">
        <f>IFERROR(__xludf.DUMMYFUNCTION("""COMPUTED_VALUE"""),"DPMall")</f>
        <v>DPMall</v>
      </c>
      <c r="C69" s="1" t="str">
        <f>IFERROR(__xludf.DUMMYFUNCTION("""COMPUTED_VALUE"""),"kinder bueno")</f>
        <v>kinder bueno</v>
      </c>
      <c r="D69" s="1">
        <f>IFERROR(__xludf.DUMMYFUNCTION("""COMPUTED_VALUE"""),310.0)</f>
        <v>310</v>
      </c>
      <c r="E69" s="1">
        <f>IFERROR(__xludf.DUMMYFUNCTION("""COMPUTED_VALUE"""),310.0)</f>
        <v>310</v>
      </c>
      <c r="F69" s="1">
        <f>IFERROR(__xludf.DUMMYFUNCTION("""COMPUTED_VALUE"""),62.0)</f>
        <v>62</v>
      </c>
      <c r="G69" s="1">
        <f t="shared" si="1"/>
        <v>5</v>
      </c>
      <c r="H69" s="1">
        <f t="shared" si="2"/>
        <v>5</v>
      </c>
      <c r="I69" s="1">
        <f>IFERROR(__xludf.DUMMYFUNCTION("IF(B69="""","""",
  100*F69 / MAX(FILTER($F:$F, $A:$A=$A69, $B:$B=$B69))
)
"),17.079889807162534)</f>
        <v>17.07988981</v>
      </c>
      <c r="J69" s="1">
        <f>IFERROR(__xludf.DUMMYFUNCTION("IF(B69="""","""",
  100*E69 / MAX(FILTER($E:$E, $A:$A=$A69, $B:$B=$B69))
)
"),40.364583333333336)</f>
        <v>40.36458333</v>
      </c>
      <c r="K69" s="1">
        <f t="shared" si="3"/>
        <v>27.55800189</v>
      </c>
    </row>
    <row r="70">
      <c r="A70" s="3">
        <f>IFERROR(__xludf.DUMMYFUNCTION("""COMPUTED_VALUE"""),45689.0)</f>
        <v>45689</v>
      </c>
      <c r="B70" s="1" t="str">
        <f>IFERROR(__xludf.DUMMYFUNCTION("""COMPUTED_VALUE"""),"DPMall")</f>
        <v>DPMall</v>
      </c>
      <c r="C70" s="1" t="str">
        <f>IFERROR(__xludf.DUMMYFUNCTION("""COMPUTED_VALUE"""),"kinder country")</f>
        <v>kinder country</v>
      </c>
      <c r="D70" s="1">
        <f>IFERROR(__xludf.DUMMYFUNCTION("""COMPUTED_VALUE"""),57.0)</f>
        <v>57</v>
      </c>
      <c r="E70" s="1">
        <f>IFERROR(__xludf.DUMMYFUNCTION("""COMPUTED_VALUE"""),57.0)</f>
        <v>57</v>
      </c>
      <c r="F70" s="1">
        <f>IFERROR(__xludf.DUMMYFUNCTION("""COMPUTED_VALUE"""),19.0)</f>
        <v>19</v>
      </c>
      <c r="G70" s="1">
        <f t="shared" si="1"/>
        <v>3</v>
      </c>
      <c r="H70" s="1">
        <f t="shared" si="2"/>
        <v>3</v>
      </c>
      <c r="I70" s="1">
        <f>IFERROR(__xludf.DUMMYFUNCTION("IF(B70="""","""",
  100*F70 / MAX(FILTER($F:$F, $A:$A=$A70, $B:$B=$B70))
)
"),5.234159779614325)</f>
        <v>5.23415978</v>
      </c>
      <c r="J70" s="1">
        <f>IFERROR(__xludf.DUMMYFUNCTION("IF(B70="""","""",
  100*E70 / MAX(FILTER($E:$E, $A:$A=$A70, $B:$B=$B70))
)
"),7.421875)</f>
        <v>7.421875</v>
      </c>
      <c r="K70" s="1">
        <f t="shared" si="3"/>
        <v>6.218631629</v>
      </c>
    </row>
    <row r="71">
      <c r="A71" s="3">
        <f>IFERROR(__xludf.DUMMYFUNCTION("""COMPUTED_VALUE"""),45689.0)</f>
        <v>45689</v>
      </c>
      <c r="B71" s="1" t="str">
        <f>IFERROR(__xludf.DUMMYFUNCTION("""COMPUTED_VALUE"""),"DPMall")</f>
        <v>DPMall</v>
      </c>
      <c r="C71" s="1" t="str">
        <f>IFERROR(__xludf.DUMMYFUNCTION("""COMPUTED_VALUE"""),"kinza")</f>
        <v>kinza</v>
      </c>
      <c r="D71" s="1">
        <f>IFERROR(__xludf.DUMMYFUNCTION("""COMPUTED_VALUE"""),138.0)</f>
        <v>138</v>
      </c>
      <c r="E71" s="1">
        <f>IFERROR(__xludf.DUMMYFUNCTION("""COMPUTED_VALUE"""),138.0)</f>
        <v>138</v>
      </c>
      <c r="F71" s="1">
        <f>IFERROR(__xludf.DUMMYFUNCTION("""COMPUTED_VALUE"""),69.0)</f>
        <v>69</v>
      </c>
      <c r="G71" s="1">
        <f t="shared" si="1"/>
        <v>2</v>
      </c>
      <c r="H71" s="1">
        <f t="shared" si="2"/>
        <v>2</v>
      </c>
      <c r="I71" s="1">
        <f>IFERROR(__xludf.DUMMYFUNCTION("IF(B71="""","""",
  100*F71 / MAX(FILTER($F:$F, $A:$A=$A71, $B:$B=$B71))
)
"),19.00826446280992)</f>
        <v>19.00826446</v>
      </c>
      <c r="J71" s="1">
        <f>IFERROR(__xludf.DUMMYFUNCTION("IF(B71="""","""",
  100*E71 / MAX(FILTER($E:$E, $A:$A=$A71, $B:$B=$B71))
)
"),17.96875)</f>
        <v>17.96875</v>
      </c>
      <c r="K71" s="1">
        <f t="shared" si="3"/>
        <v>18.54048295</v>
      </c>
    </row>
    <row r="72">
      <c r="A72" s="3">
        <f>IFERROR(__xludf.DUMMYFUNCTION("""COMPUTED_VALUE"""),45689.0)</f>
        <v>45689</v>
      </c>
      <c r="B72" s="1" t="str">
        <f>IFERROR(__xludf.DUMMYFUNCTION("""COMPUTED_VALUE"""),"DPMall")</f>
        <v>DPMall</v>
      </c>
      <c r="C72" s="1" t="str">
        <f>IFERROR(__xludf.DUMMYFUNCTION("""COMPUTED_VALUE"""),"m&amp;m's")</f>
        <v>m&amp;m's</v>
      </c>
      <c r="D72" s="1">
        <f>IFERROR(__xludf.DUMMYFUNCTION("""COMPUTED_VALUE"""),124.0)</f>
        <v>124</v>
      </c>
      <c r="E72" s="1">
        <f>IFERROR(__xludf.DUMMYFUNCTION("""COMPUTED_VALUE"""),124.0)</f>
        <v>124</v>
      </c>
      <c r="F72" s="1">
        <f>IFERROR(__xludf.DUMMYFUNCTION("""COMPUTED_VALUE"""),31.0)</f>
        <v>31</v>
      </c>
      <c r="G72" s="1">
        <f t="shared" si="1"/>
        <v>4</v>
      </c>
      <c r="H72" s="1">
        <f t="shared" si="2"/>
        <v>4</v>
      </c>
      <c r="I72" s="1">
        <f>IFERROR(__xludf.DUMMYFUNCTION("IF(B72="""","""",
  100*F72 / MAX(FILTER($F:$F, $A:$A=$A72, $B:$B=$B72))
)
"),8.539944903581267)</f>
        <v>8.539944904</v>
      </c>
      <c r="J72" s="1">
        <f>IFERROR(__xludf.DUMMYFUNCTION("IF(B72="""","""",
  100*E72 / MAX(FILTER($E:$E, $A:$A=$A72, $B:$B=$B72))
)
"),16.145833333333332)</f>
        <v>16.14583333</v>
      </c>
      <c r="K72" s="1">
        <f t="shared" si="3"/>
        <v>11.9625947</v>
      </c>
    </row>
    <row r="73">
      <c r="A73" s="3">
        <f>IFERROR(__xludf.DUMMYFUNCTION("""COMPUTED_VALUE"""),45689.0)</f>
        <v>45689</v>
      </c>
      <c r="B73" s="1" t="str">
        <f>IFERROR(__xludf.DUMMYFUNCTION("""COMPUTED_VALUE"""),"DPMall")</f>
        <v>DPMall</v>
      </c>
      <c r="C73" s="1" t="str">
        <f>IFERROR(__xludf.DUMMYFUNCTION("""COMPUTED_VALUE"""),"maxxx chips 65g")</f>
        <v>maxxx chips 65g</v>
      </c>
      <c r="D73" s="1">
        <f>IFERROR(__xludf.DUMMYFUNCTION("""COMPUTED_VALUE"""),55.0)</f>
        <v>55</v>
      </c>
      <c r="E73" s="1">
        <f>IFERROR(__xludf.DUMMYFUNCTION("""COMPUTED_VALUE"""),55.0)</f>
        <v>55</v>
      </c>
      <c r="F73" s="1">
        <f>IFERROR(__xludf.DUMMYFUNCTION("""COMPUTED_VALUE"""),11.0)</f>
        <v>11</v>
      </c>
      <c r="G73" s="1">
        <f t="shared" si="1"/>
        <v>5</v>
      </c>
      <c r="H73" s="1">
        <f t="shared" si="2"/>
        <v>5</v>
      </c>
      <c r="I73" s="1">
        <f>IFERROR(__xludf.DUMMYFUNCTION("IF(B73="""","""",
  100*F73 / MAX(FILTER($F:$F, $A:$A=$A73, $B:$B=$B73))
)
"),3.0303030303030303)</f>
        <v>3.03030303</v>
      </c>
      <c r="J73" s="1">
        <f>IFERROR(__xludf.DUMMYFUNCTION("IF(B73="""","""",
  100*E73 / MAX(FILTER($E:$E, $A:$A=$A73, $B:$B=$B73))
)
"),7.161458333333333)</f>
        <v>7.161458333</v>
      </c>
      <c r="K73" s="1">
        <f t="shared" si="3"/>
        <v>4.889322917</v>
      </c>
    </row>
    <row r="74">
      <c r="A74" s="3">
        <f>IFERROR(__xludf.DUMMYFUNCTION("""COMPUTED_VALUE"""),45689.0)</f>
        <v>45689</v>
      </c>
      <c r="B74" s="1" t="str">
        <f>IFERROR(__xludf.DUMMYFUNCTION("""COMPUTED_VALUE"""),"DPMall")</f>
        <v>DPMall</v>
      </c>
      <c r="C74" s="1" t="str">
        <f>IFERROR(__xludf.DUMMYFUNCTION("""COMPUTED_VALUE"""),"monster energy")</f>
        <v>monster energy</v>
      </c>
      <c r="D74" s="1">
        <f>IFERROR(__xludf.DUMMYFUNCTION("""COMPUTED_VALUE"""),9.0)</f>
        <v>9</v>
      </c>
      <c r="E74" s="1">
        <f>IFERROR(__xludf.DUMMYFUNCTION("""COMPUTED_VALUE"""),9.0)</f>
        <v>9</v>
      </c>
      <c r="F74" s="1">
        <f>IFERROR(__xludf.DUMMYFUNCTION("""COMPUTED_VALUE"""),1.0)</f>
        <v>1</v>
      </c>
      <c r="G74" s="1">
        <f t="shared" si="1"/>
        <v>9</v>
      </c>
      <c r="H74" s="1">
        <f t="shared" si="2"/>
        <v>9</v>
      </c>
      <c r="I74" s="1">
        <f>IFERROR(__xludf.DUMMYFUNCTION("IF(B74="""","""",
  100*F74 / MAX(FILTER($F:$F, $A:$A=$A74, $B:$B=$B74))
)
"),0.27548209366391185)</f>
        <v>0.2754820937</v>
      </c>
      <c r="J74" s="1">
        <f>IFERROR(__xludf.DUMMYFUNCTION("IF(B74="""","""",
  100*E74 / MAX(FILTER($E:$E, $A:$A=$A74, $B:$B=$B74))
)
"),1.171875)</f>
        <v>1.171875</v>
      </c>
      <c r="K74" s="1">
        <f t="shared" si="3"/>
        <v>0.6788589015</v>
      </c>
    </row>
    <row r="75">
      <c r="A75" s="3">
        <f>IFERROR(__xludf.DUMMYFUNCTION("""COMPUTED_VALUE"""),45689.0)</f>
        <v>45689</v>
      </c>
      <c r="B75" s="1" t="str">
        <f>IFERROR(__xludf.DUMMYFUNCTION("""COMPUTED_VALUE"""),"DPMall")</f>
        <v>DPMall</v>
      </c>
      <c r="C75" s="1" t="str">
        <f>IFERROR(__xludf.DUMMYFUNCTION("""COMPUTED_VALUE"""),"mr bite")</f>
        <v>mr bite</v>
      </c>
      <c r="D75" s="1">
        <f>IFERROR(__xludf.DUMMYFUNCTION("""COMPUTED_VALUE"""),198.0)</f>
        <v>198</v>
      </c>
      <c r="E75" s="1">
        <f>IFERROR(__xludf.DUMMYFUNCTION("""COMPUTED_VALUE"""),198.0)</f>
        <v>198</v>
      </c>
      <c r="F75" s="1">
        <f>IFERROR(__xludf.DUMMYFUNCTION("""COMPUTED_VALUE"""),95.0)</f>
        <v>95</v>
      </c>
      <c r="G75" s="1">
        <f t="shared" si="1"/>
        <v>2.084210526</v>
      </c>
      <c r="H75" s="1">
        <f t="shared" si="2"/>
        <v>2.084210526</v>
      </c>
      <c r="I75" s="1">
        <f>IFERROR(__xludf.DUMMYFUNCTION("IF(B75="""","""",
  100*F75 / MAX(FILTER($F:$F, $A:$A=$A75, $B:$B=$B75))
)
"),26.170798898071624)</f>
        <v>26.1707989</v>
      </c>
      <c r="J75" s="1">
        <f>IFERROR(__xludf.DUMMYFUNCTION("IF(B75="""","""",
  100*E75 / MAX(FILTER($E:$E, $A:$A=$A75, $B:$B=$B75))
)
"),25.78125)</f>
        <v>25.78125</v>
      </c>
      <c r="K75" s="1">
        <f t="shared" si="3"/>
        <v>25.99550189</v>
      </c>
    </row>
    <row r="76">
      <c r="A76" s="3">
        <f>IFERROR(__xludf.DUMMYFUNCTION("""COMPUTED_VALUE"""),45689.0)</f>
        <v>45689</v>
      </c>
      <c r="B76" s="1" t="str">
        <f>IFERROR(__xludf.DUMMYFUNCTION("""COMPUTED_VALUE"""),"DPMall")</f>
        <v>DPMall</v>
      </c>
      <c r="C76" s="1" t="str">
        <f>IFERROR(__xludf.DUMMYFUNCTION("""COMPUTED_VALUE"""),"ono cake")</f>
        <v>ono cake</v>
      </c>
      <c r="D76" s="1">
        <f>IFERROR(__xludf.DUMMYFUNCTION("""COMPUTED_VALUE"""),61.0)</f>
        <v>61</v>
      </c>
      <c r="E76" s="1">
        <f>IFERROR(__xludf.DUMMYFUNCTION("""COMPUTED_VALUE"""),61.0)</f>
        <v>61</v>
      </c>
      <c r="F76" s="1">
        <f>IFERROR(__xludf.DUMMYFUNCTION("""COMPUTED_VALUE"""),61.0)</f>
        <v>61</v>
      </c>
      <c r="G76" s="1">
        <f t="shared" si="1"/>
        <v>1</v>
      </c>
      <c r="H76" s="1">
        <f t="shared" si="2"/>
        <v>1</v>
      </c>
      <c r="I76" s="1">
        <f>IFERROR(__xludf.DUMMYFUNCTION("IF(B76="""","""",
  100*F76 / MAX(FILTER($F:$F, $A:$A=$A76, $B:$B=$B76))
)
"),16.804407713498623)</f>
        <v>16.80440771</v>
      </c>
      <c r="J76" s="1">
        <f>IFERROR(__xludf.DUMMYFUNCTION("IF(B76="""","""",
  100*E76 / MAX(FILTER($E:$E, $A:$A=$A76, $B:$B=$B76))
)
"),7.942708333333333)</f>
        <v>7.942708333</v>
      </c>
      <c r="K76" s="1">
        <f t="shared" si="3"/>
        <v>12.81664299</v>
      </c>
    </row>
    <row r="77">
      <c r="A77" s="3">
        <f>IFERROR(__xludf.DUMMYFUNCTION("""COMPUTED_VALUE"""),45689.0)</f>
        <v>45689</v>
      </c>
      <c r="B77" s="1" t="str">
        <f>IFERROR(__xludf.DUMMYFUNCTION("""COMPUTED_VALUE"""),"DPMall")</f>
        <v>DPMall</v>
      </c>
      <c r="C77" s="1" t="str">
        <f>IFERROR(__xludf.DUMMYFUNCTION("""COMPUTED_VALUE"""),"pattes chips")</f>
        <v>pattes chips</v>
      </c>
      <c r="D77" s="1">
        <f>IFERROR(__xludf.DUMMYFUNCTION("""COMPUTED_VALUE"""),78.0)</f>
        <v>78</v>
      </c>
      <c r="E77" s="1">
        <f>IFERROR(__xludf.DUMMYFUNCTION("""COMPUTED_VALUE"""),78.0)</f>
        <v>78</v>
      </c>
      <c r="F77" s="1">
        <f>IFERROR(__xludf.DUMMYFUNCTION("""COMPUTED_VALUE"""),13.0)</f>
        <v>13</v>
      </c>
      <c r="G77" s="1">
        <f t="shared" si="1"/>
        <v>6</v>
      </c>
      <c r="H77" s="1">
        <f t="shared" si="2"/>
        <v>6</v>
      </c>
      <c r="I77" s="1">
        <f>IFERROR(__xludf.DUMMYFUNCTION("IF(B77="""","""",
  100*F77 / MAX(FILTER($F:$F, $A:$A=$A77, $B:$B=$B77))
)
"),3.581267217630854)</f>
        <v>3.581267218</v>
      </c>
      <c r="J77" s="1">
        <f>IFERROR(__xludf.DUMMYFUNCTION("IF(B77="""","""",
  100*E77 / MAX(FILTER($E:$E, $A:$A=$A77, $B:$B=$B77))
)
"),10.15625)</f>
        <v>10.15625</v>
      </c>
      <c r="K77" s="1">
        <f t="shared" si="3"/>
        <v>6.54000947</v>
      </c>
    </row>
    <row r="78">
      <c r="A78" s="3">
        <f>IFERROR(__xludf.DUMMYFUNCTION("""COMPUTED_VALUE"""),45689.0)</f>
        <v>45689</v>
      </c>
      <c r="B78" s="1" t="str">
        <f>IFERROR(__xludf.DUMMYFUNCTION("""COMPUTED_VALUE"""),"DPMall")</f>
        <v>DPMall</v>
      </c>
      <c r="C78" s="1" t="str">
        <f>IFERROR(__xludf.DUMMYFUNCTION("""COMPUTED_VALUE"""),"pepsi 500ml")</f>
        <v>pepsi 500ml</v>
      </c>
      <c r="D78" s="1">
        <f>IFERROR(__xludf.DUMMYFUNCTION("""COMPUTED_VALUE"""),108.0)</f>
        <v>108</v>
      </c>
      <c r="E78" s="1">
        <f>IFERROR(__xludf.DUMMYFUNCTION("""COMPUTED_VALUE"""),108.0)</f>
        <v>108</v>
      </c>
      <c r="F78" s="1">
        <f>IFERROR(__xludf.DUMMYFUNCTION("""COMPUTED_VALUE"""),36.0)</f>
        <v>36</v>
      </c>
      <c r="G78" s="1">
        <f t="shared" si="1"/>
        <v>3</v>
      </c>
      <c r="H78" s="1">
        <f t="shared" si="2"/>
        <v>3</v>
      </c>
      <c r="I78" s="1">
        <f>IFERROR(__xludf.DUMMYFUNCTION("IF(B78="""","""",
  100*F78 / MAX(FILTER($F:$F, $A:$A=$A78, $B:$B=$B78))
)
"),9.917355371900827)</f>
        <v>9.917355372</v>
      </c>
      <c r="J78" s="1">
        <f>IFERROR(__xludf.DUMMYFUNCTION("IF(B78="""","""",
  100*E78 / MAX(FILTER($E:$E, $A:$A=$A78, $B:$B=$B78))
)
"),14.0625)</f>
        <v>14.0625</v>
      </c>
      <c r="K78" s="1">
        <f t="shared" si="3"/>
        <v>11.78267045</v>
      </c>
    </row>
    <row r="79">
      <c r="A79" s="3">
        <f>IFERROR(__xludf.DUMMYFUNCTION("""COMPUTED_VALUE"""),45689.0)</f>
        <v>45689</v>
      </c>
      <c r="B79" s="1" t="str">
        <f>IFERROR(__xludf.DUMMYFUNCTION("""COMPUTED_VALUE"""),"DPMall")</f>
        <v>DPMall</v>
      </c>
      <c r="C79" s="1" t="str">
        <f>IFERROR(__xludf.DUMMYFUNCTION("""COMPUTED_VALUE"""),"popcorn pizza funday")</f>
        <v>popcorn pizza funday</v>
      </c>
      <c r="D79" s="1">
        <f>IFERROR(__xludf.DUMMYFUNCTION("""COMPUTED_VALUE"""),84.0)</f>
        <v>84</v>
      </c>
      <c r="E79" s="1">
        <f>IFERROR(__xludf.DUMMYFUNCTION("""COMPUTED_VALUE"""),84.0)</f>
        <v>84</v>
      </c>
      <c r="F79" s="1">
        <f>IFERROR(__xludf.DUMMYFUNCTION("""COMPUTED_VALUE"""),18.0)</f>
        <v>18</v>
      </c>
      <c r="G79" s="1">
        <f t="shared" si="1"/>
        <v>4.666666667</v>
      </c>
      <c r="H79" s="1">
        <f t="shared" si="2"/>
        <v>4.666666667</v>
      </c>
      <c r="I79" s="1">
        <f>IFERROR(__xludf.DUMMYFUNCTION("IF(B79="""","""",
  100*F79 / MAX(FILTER($F:$F, $A:$A=$A79, $B:$B=$B79))
)
"),4.958677685950414)</f>
        <v>4.958677686</v>
      </c>
      <c r="J79" s="1">
        <f>IFERROR(__xludf.DUMMYFUNCTION("IF(B79="""","""",
  100*E79 / MAX(FILTER($E:$E, $A:$A=$A79, $B:$B=$B79))
)
"),10.9375)</f>
        <v>10.9375</v>
      </c>
      <c r="K79" s="1">
        <f t="shared" si="3"/>
        <v>7.649147727</v>
      </c>
    </row>
    <row r="80">
      <c r="A80" s="3">
        <f>IFERROR(__xludf.DUMMYFUNCTION("""COMPUTED_VALUE"""),45689.0)</f>
        <v>45689</v>
      </c>
      <c r="B80" s="1" t="str">
        <f>IFERROR(__xludf.DUMMYFUNCTION("""COMPUTED_VALUE"""),"DPMall")</f>
        <v>DPMall</v>
      </c>
      <c r="C80" s="1" t="str">
        <f>IFERROR(__xludf.DUMMYFUNCTION("""COMPUTED_VALUE"""),"pringles")</f>
        <v>pringles</v>
      </c>
      <c r="D80" s="1">
        <f>IFERROR(__xludf.DUMMYFUNCTION("""COMPUTED_VALUE"""),6.0)</f>
        <v>6</v>
      </c>
      <c r="E80" s="1">
        <f>IFERROR(__xludf.DUMMYFUNCTION("""COMPUTED_VALUE"""),6.0)</f>
        <v>6</v>
      </c>
      <c r="F80" s="1">
        <f>IFERROR(__xludf.DUMMYFUNCTION("""COMPUTED_VALUE"""),1.0)</f>
        <v>1</v>
      </c>
      <c r="G80" s="1">
        <f t="shared" si="1"/>
        <v>6</v>
      </c>
      <c r="H80" s="1">
        <f t="shared" si="2"/>
        <v>6</v>
      </c>
      <c r="I80" s="1">
        <f>IFERROR(__xludf.DUMMYFUNCTION("IF(B80="""","""",
  100*F80 / MAX(FILTER($F:$F, $A:$A=$A80, $B:$B=$B80))
)
"),0.27548209366391185)</f>
        <v>0.2754820937</v>
      </c>
      <c r="J80" s="1">
        <f>IFERROR(__xludf.DUMMYFUNCTION("IF(B80="""","""",
  100*E80 / MAX(FILTER($E:$E, $A:$A=$A80, $B:$B=$B80))
)
"),0.78125)</f>
        <v>0.78125</v>
      </c>
      <c r="K80" s="1">
        <f t="shared" si="3"/>
        <v>0.5030776515</v>
      </c>
    </row>
    <row r="81">
      <c r="A81" s="3">
        <f>IFERROR(__xludf.DUMMYFUNCTION("""COMPUTED_VALUE"""),45689.0)</f>
        <v>45689</v>
      </c>
      <c r="B81" s="1" t="str">
        <f>IFERROR(__xludf.DUMMYFUNCTION("""COMPUTED_VALUE"""),"DPMall")</f>
        <v>DPMall</v>
      </c>
      <c r="C81" s="1" t="str">
        <f>IFERROR(__xludf.DUMMYFUNCTION("""COMPUTED_VALUE"""),"schweppers")</f>
        <v>schweppers</v>
      </c>
      <c r="D81" s="1">
        <f>IFERROR(__xludf.DUMMYFUNCTION("""COMPUTED_VALUE"""),24.0)</f>
        <v>24</v>
      </c>
      <c r="E81" s="1">
        <f>IFERROR(__xludf.DUMMYFUNCTION("""COMPUTED_VALUE"""),24.0)</f>
        <v>24</v>
      </c>
      <c r="F81" s="1">
        <f>IFERROR(__xludf.DUMMYFUNCTION("""COMPUTED_VALUE"""),8.0)</f>
        <v>8</v>
      </c>
      <c r="G81" s="1">
        <f t="shared" si="1"/>
        <v>3</v>
      </c>
      <c r="H81" s="1">
        <f t="shared" si="2"/>
        <v>3</v>
      </c>
      <c r="I81" s="1">
        <f>IFERROR(__xludf.DUMMYFUNCTION("IF(B81="""","""",
  100*F81 / MAX(FILTER($F:$F, $A:$A=$A81, $B:$B=$B81))
)
"),2.203856749311295)</f>
        <v>2.203856749</v>
      </c>
      <c r="J81" s="1">
        <f>IFERROR(__xludf.DUMMYFUNCTION("IF(B81="""","""",
  100*E81 / MAX(FILTER($E:$E, $A:$A=$A81, $B:$B=$B81))
)
"),3.125)</f>
        <v>3.125</v>
      </c>
      <c r="K81" s="1">
        <f t="shared" si="3"/>
        <v>2.618371212</v>
      </c>
    </row>
    <row r="82">
      <c r="A82" s="3">
        <f>IFERROR(__xludf.DUMMYFUNCTION("""COMPUTED_VALUE"""),45689.0)</f>
        <v>45689</v>
      </c>
      <c r="B82" s="1" t="str">
        <f>IFERROR(__xludf.DUMMYFUNCTION("""COMPUTED_VALUE"""),"DPMall")</f>
        <v>DPMall</v>
      </c>
      <c r="C82" s="1" t="str">
        <f>IFERROR(__xludf.DUMMYFUNCTION("""COMPUTED_VALUE"""),"shani 500ml")</f>
        <v>shani 500ml</v>
      </c>
      <c r="D82" s="1">
        <f>IFERROR(__xludf.DUMMYFUNCTION("""COMPUTED_VALUE"""),24.0)</f>
        <v>24</v>
      </c>
      <c r="E82" s="1">
        <f>IFERROR(__xludf.DUMMYFUNCTION("""COMPUTED_VALUE"""),24.0)</f>
        <v>24</v>
      </c>
      <c r="F82" s="1">
        <f>IFERROR(__xludf.DUMMYFUNCTION("""COMPUTED_VALUE"""),8.0)</f>
        <v>8</v>
      </c>
      <c r="G82" s="1">
        <f t="shared" si="1"/>
        <v>3</v>
      </c>
      <c r="H82" s="1">
        <f t="shared" si="2"/>
        <v>3</v>
      </c>
      <c r="I82" s="1">
        <f>IFERROR(__xludf.DUMMYFUNCTION("IF(B82="""","""",
  100*F82 / MAX(FILTER($F:$F, $A:$A=$A82, $B:$B=$B82))
)
"),2.203856749311295)</f>
        <v>2.203856749</v>
      </c>
      <c r="J82" s="1">
        <f>IFERROR(__xludf.DUMMYFUNCTION("IF(B82="""","""",
  100*E82 / MAX(FILTER($E:$E, $A:$A=$A82, $B:$B=$B82))
)
"),3.125)</f>
        <v>3.125</v>
      </c>
      <c r="K82" s="1">
        <f t="shared" si="3"/>
        <v>2.618371212</v>
      </c>
    </row>
    <row r="83">
      <c r="A83" s="3">
        <f>IFERROR(__xludf.DUMMYFUNCTION("""COMPUTED_VALUE"""),45689.0)</f>
        <v>45689</v>
      </c>
      <c r="B83" s="1" t="str">
        <f>IFERROR(__xludf.DUMMYFUNCTION("""COMPUTED_VALUE"""),"DPMall")</f>
        <v>DPMall</v>
      </c>
      <c r="C83" s="1" t="str">
        <f>IFERROR(__xludf.DUMMYFUNCTION("""COMPUTED_VALUE"""),"skittles")</f>
        <v>skittles</v>
      </c>
      <c r="D83" s="1">
        <f>IFERROR(__xludf.DUMMYFUNCTION("""COMPUTED_VALUE"""),164.0)</f>
        <v>164</v>
      </c>
      <c r="E83" s="1">
        <f>IFERROR(__xludf.DUMMYFUNCTION("""COMPUTED_VALUE"""),164.0)</f>
        <v>164</v>
      </c>
      <c r="F83" s="1">
        <f>IFERROR(__xludf.DUMMYFUNCTION("""COMPUTED_VALUE"""),41.0)</f>
        <v>41</v>
      </c>
      <c r="G83" s="1">
        <f t="shared" si="1"/>
        <v>4</v>
      </c>
      <c r="H83" s="1">
        <f t="shared" si="2"/>
        <v>4</v>
      </c>
      <c r="I83" s="1">
        <f>IFERROR(__xludf.DUMMYFUNCTION("IF(B83="""","""",
  100*F83 / MAX(FILTER($F:$F, $A:$A=$A83, $B:$B=$B83))
)
"),11.294765840220386)</f>
        <v>11.29476584</v>
      </c>
      <c r="J83" s="1">
        <f>IFERROR(__xludf.DUMMYFUNCTION("IF(B83="""","""",
  100*E83 / MAX(FILTER($E:$E, $A:$A=$A83, $B:$B=$B83))
)
"),21.354166666666668)</f>
        <v>21.35416667</v>
      </c>
      <c r="K83" s="1">
        <f t="shared" si="3"/>
        <v>15.82149621</v>
      </c>
    </row>
    <row r="84">
      <c r="A84" s="3">
        <f>IFERROR(__xludf.DUMMYFUNCTION("""COMPUTED_VALUE"""),45689.0)</f>
        <v>45689</v>
      </c>
      <c r="B84" s="1" t="str">
        <f>IFERROR(__xludf.DUMMYFUNCTION("""COMPUTED_VALUE"""),"DPMall")</f>
        <v>DPMall</v>
      </c>
      <c r="C84" s="1" t="str">
        <f>IFERROR(__xludf.DUMMYFUNCTION("""COMPUTED_VALUE"""),"sprite")</f>
        <v>sprite</v>
      </c>
      <c r="D84" s="1">
        <f>IFERROR(__xludf.DUMMYFUNCTION("""COMPUTED_VALUE"""),2.0)</f>
        <v>2</v>
      </c>
      <c r="E84" s="1">
        <f>IFERROR(__xludf.DUMMYFUNCTION("""COMPUTED_VALUE"""),2.0)</f>
        <v>2</v>
      </c>
      <c r="F84" s="1">
        <f>IFERROR(__xludf.DUMMYFUNCTION("""COMPUTED_VALUE"""),1.0)</f>
        <v>1</v>
      </c>
      <c r="G84" s="1">
        <f t="shared" si="1"/>
        <v>2</v>
      </c>
      <c r="H84" s="1">
        <f t="shared" si="2"/>
        <v>2</v>
      </c>
      <c r="I84" s="1">
        <f>IFERROR(__xludf.DUMMYFUNCTION("IF(B84="""","""",
  100*F84 / MAX(FILTER($F:$F, $A:$A=$A84, $B:$B=$B84))
)
"),0.27548209366391185)</f>
        <v>0.2754820937</v>
      </c>
      <c r="J84" s="1">
        <f>IFERROR(__xludf.DUMMYFUNCTION("IF(B84="""","""",
  100*E84 / MAX(FILTER($E:$E, $A:$A=$A84, $B:$B=$B84))
)
"),0.2604166666666667)</f>
        <v>0.2604166667</v>
      </c>
      <c r="K84" s="1">
        <f t="shared" si="3"/>
        <v>0.2687026515</v>
      </c>
    </row>
    <row r="85">
      <c r="A85" s="3">
        <f>IFERROR(__xludf.DUMMYFUNCTION("""COMPUTED_VALUE"""),45689.0)</f>
        <v>45689</v>
      </c>
      <c r="B85" s="1" t="str">
        <f>IFERROR(__xludf.DUMMYFUNCTION("""COMPUTED_VALUE"""),"DPMall")</f>
        <v>DPMall</v>
      </c>
      <c r="C85" s="1" t="str">
        <f>IFERROR(__xludf.DUMMYFUNCTION("""COMPUTED_VALUE"""),"tiger chips *12")</f>
        <v>tiger chips *12</v>
      </c>
      <c r="D85" s="1">
        <f>IFERROR(__xludf.DUMMYFUNCTION("""COMPUTED_VALUE"""),691.0)</f>
        <v>691</v>
      </c>
      <c r="E85" s="1">
        <f>IFERROR(__xludf.DUMMYFUNCTION("""COMPUTED_VALUE"""),691.0)</f>
        <v>691</v>
      </c>
      <c r="F85" s="1">
        <f>IFERROR(__xludf.DUMMYFUNCTION("""COMPUTED_VALUE"""),174.0)</f>
        <v>174</v>
      </c>
      <c r="G85" s="1">
        <f t="shared" si="1"/>
        <v>3.971264368</v>
      </c>
      <c r="H85" s="1">
        <f t="shared" si="2"/>
        <v>3.971264368</v>
      </c>
      <c r="I85" s="1">
        <f>IFERROR(__xludf.DUMMYFUNCTION("IF(B85="""","""",
  100*F85 / MAX(FILTER($F:$F, $A:$A=$A85, $B:$B=$B85))
)
"),47.93388429752066)</f>
        <v>47.9338843</v>
      </c>
      <c r="J85" s="1">
        <f>IFERROR(__xludf.DUMMYFUNCTION("IF(B85="""","""",
  100*E85 / MAX(FILTER($E:$E, $A:$A=$A85, $B:$B=$B85))
)
"),89.97395833333333)</f>
        <v>89.97395833</v>
      </c>
      <c r="K85" s="1">
        <f t="shared" si="3"/>
        <v>66.85191761</v>
      </c>
    </row>
    <row r="86">
      <c r="A86" s="3">
        <f>IFERROR(__xludf.DUMMYFUNCTION("""COMPUTED_VALUE"""),45689.0)</f>
        <v>45689</v>
      </c>
      <c r="B86" s="1" t="str">
        <f>IFERROR(__xludf.DUMMYFUNCTION("""COMPUTED_VALUE"""),"DPMall")</f>
        <v>DPMall</v>
      </c>
      <c r="C86" s="1" t="str">
        <f>IFERROR(__xludf.DUMMYFUNCTION("""COMPUTED_VALUE"""),"vivaldi")</f>
        <v>vivaldi</v>
      </c>
      <c r="D86" s="1">
        <f>IFERROR(__xludf.DUMMYFUNCTION("""COMPUTED_VALUE"""),44.0)</f>
        <v>44</v>
      </c>
      <c r="E86" s="1">
        <f>IFERROR(__xludf.DUMMYFUNCTION("""COMPUTED_VALUE"""),44.0)</f>
        <v>44</v>
      </c>
      <c r="F86" s="1">
        <f>IFERROR(__xludf.DUMMYFUNCTION("""COMPUTED_VALUE"""),22.0)</f>
        <v>22</v>
      </c>
      <c r="G86" s="1">
        <f t="shared" si="1"/>
        <v>2</v>
      </c>
      <c r="H86" s="1">
        <f t="shared" si="2"/>
        <v>2</v>
      </c>
      <c r="I86" s="1">
        <f>IFERROR(__xludf.DUMMYFUNCTION("IF(B86="""","""",
  100*F86 / MAX(FILTER($F:$F, $A:$A=$A86, $B:$B=$B86))
)
"),6.0606060606060606)</f>
        <v>6.060606061</v>
      </c>
      <c r="J86" s="1">
        <f>IFERROR(__xludf.DUMMYFUNCTION("IF(B86="""","""",
  100*E86 / MAX(FILTER($E:$E, $A:$A=$A86, $B:$B=$B86))
)
"),5.729166666666667)</f>
        <v>5.729166667</v>
      </c>
      <c r="K86" s="1">
        <f t="shared" si="3"/>
        <v>5.911458333</v>
      </c>
    </row>
    <row r="87">
      <c r="A87" s="3">
        <f>IFERROR(__xludf.DUMMYFUNCTION("""COMPUTED_VALUE"""),45689.0)</f>
        <v>45689</v>
      </c>
      <c r="B87" s="1" t="str">
        <f>IFERROR(__xludf.DUMMYFUNCTION("""COMPUTED_VALUE"""),"DPMall")</f>
        <v>DPMall</v>
      </c>
      <c r="C87" s="1" t="str">
        <f>IFERROR(__xludf.DUMMYFUNCTION("""COMPUTED_VALUE"""),"xo energy")</f>
        <v>xo energy</v>
      </c>
      <c r="D87" s="1">
        <f>IFERROR(__xludf.DUMMYFUNCTION("""COMPUTED_VALUE"""),156.0)</f>
        <v>156</v>
      </c>
      <c r="E87" s="1">
        <f>IFERROR(__xludf.DUMMYFUNCTION("""COMPUTED_VALUE"""),156.0)</f>
        <v>156</v>
      </c>
      <c r="F87" s="1">
        <f>IFERROR(__xludf.DUMMYFUNCTION("""COMPUTED_VALUE"""),31.0)</f>
        <v>31</v>
      </c>
      <c r="G87" s="1">
        <f t="shared" si="1"/>
        <v>5.032258065</v>
      </c>
      <c r="H87" s="1">
        <f t="shared" si="2"/>
        <v>5.032258065</v>
      </c>
      <c r="I87" s="1">
        <f>IFERROR(__xludf.DUMMYFUNCTION("IF(B87="""","""",
  100*F87 / MAX(FILTER($F:$F, $A:$A=$A87, $B:$B=$B87))
)
"),8.539944903581267)</f>
        <v>8.539944904</v>
      </c>
      <c r="J87" s="1">
        <f>IFERROR(__xludf.DUMMYFUNCTION("IF(B87="""","""",
  100*E87 / MAX(FILTER($E:$E, $A:$A=$A87, $B:$B=$B87))
)
"),20.3125)</f>
        <v>20.3125</v>
      </c>
      <c r="K87" s="1">
        <f t="shared" si="3"/>
        <v>13.8375947</v>
      </c>
    </row>
    <row r="88">
      <c r="A88" s="3">
        <f>IFERROR(__xludf.DUMMYFUNCTION("""COMPUTED_VALUE"""),45717.0)</f>
        <v>45717</v>
      </c>
      <c r="B88" s="1" t="str">
        <f>IFERROR(__xludf.DUMMYFUNCTION("""COMPUTED_VALUE"""),"DPMall")</f>
        <v>DPMall</v>
      </c>
      <c r="C88" s="1" t="str">
        <f>IFERROR(__xludf.DUMMYFUNCTION("""COMPUTED_VALUE"""),"Al rihan")</f>
        <v>Al rihan</v>
      </c>
      <c r="D88" s="1">
        <f>IFERROR(__xludf.DUMMYFUNCTION("""COMPUTED_VALUE"""),90.0)</f>
        <v>90</v>
      </c>
      <c r="E88" s="1">
        <f>IFERROR(__xludf.DUMMYFUNCTION("""COMPUTED_VALUE"""),90.0)</f>
        <v>90</v>
      </c>
      <c r="F88" s="1">
        <f>IFERROR(__xludf.DUMMYFUNCTION("""COMPUTED_VALUE"""),90.0)</f>
        <v>90</v>
      </c>
      <c r="G88" s="1">
        <f t="shared" si="1"/>
        <v>1</v>
      </c>
      <c r="H88" s="1">
        <f t="shared" si="2"/>
        <v>1</v>
      </c>
      <c r="I88" s="1">
        <f>IFERROR(__xludf.DUMMYFUNCTION("IF(B88="""","""",
  100*F88 / MAX(FILTER($F:$F, $A:$A=$A88, $B:$B=$B88))
)
"),15.0)</f>
        <v>15</v>
      </c>
      <c r="J88" s="1">
        <f>IFERROR(__xludf.DUMMYFUNCTION("IF(B88="""","""",
  100*E88 / MAX(FILTER($E:$E, $A:$A=$A88, $B:$B=$B88))
)
"),7.4812967581047385)</f>
        <v>7.481296758</v>
      </c>
      <c r="K88" s="1">
        <f t="shared" si="3"/>
        <v>11.61658354</v>
      </c>
    </row>
    <row r="89">
      <c r="A89" s="3">
        <f>IFERROR(__xludf.DUMMYFUNCTION("""COMPUTED_VALUE"""),45717.0)</f>
        <v>45717</v>
      </c>
      <c r="B89" s="1" t="str">
        <f>IFERROR(__xludf.DUMMYFUNCTION("""COMPUTED_VALUE"""),"DPMall")</f>
        <v>DPMall</v>
      </c>
      <c r="C89" s="1" t="str">
        <f>IFERROR(__xludf.DUMMYFUNCTION("""COMPUTED_VALUE"""),"Barbican")</f>
        <v>Barbican</v>
      </c>
      <c r="D89" s="1">
        <f>IFERROR(__xludf.DUMMYFUNCTION("""COMPUTED_VALUE"""),24.0)</f>
        <v>24</v>
      </c>
      <c r="E89" s="1">
        <f>IFERROR(__xludf.DUMMYFUNCTION("""COMPUTED_VALUE"""),24.0)</f>
        <v>24</v>
      </c>
      <c r="F89" s="1">
        <f>IFERROR(__xludf.DUMMYFUNCTION("""COMPUTED_VALUE"""),6.0)</f>
        <v>6</v>
      </c>
      <c r="G89" s="1">
        <f t="shared" si="1"/>
        <v>4</v>
      </c>
      <c r="H89" s="1">
        <f t="shared" si="2"/>
        <v>4</v>
      </c>
      <c r="I89" s="1">
        <f>IFERROR(__xludf.DUMMYFUNCTION("IF(B89="""","""",
  100*F89 / MAX(FILTER($F:$F, $A:$A=$A89, $B:$B=$B89))
)
"),1.0)</f>
        <v>1</v>
      </c>
      <c r="J89" s="1">
        <f>IFERROR(__xludf.DUMMYFUNCTION("IF(B89="""","""",
  100*E89 / MAX(FILTER($E:$E, $A:$A=$A89, $B:$B=$B89))
)
"),1.9950124688279303)</f>
        <v>1.995012469</v>
      </c>
      <c r="K89" s="1">
        <f t="shared" si="3"/>
        <v>1.447755611</v>
      </c>
    </row>
    <row r="90">
      <c r="A90" s="3">
        <f>IFERROR(__xludf.DUMMYFUNCTION("""COMPUTED_VALUE"""),45717.0)</f>
        <v>45717</v>
      </c>
      <c r="B90" s="1" t="str">
        <f>IFERROR(__xludf.DUMMYFUNCTION("""COMPUTED_VALUE"""),"DPMall")</f>
        <v>DPMall</v>
      </c>
      <c r="C90" s="1" t="str">
        <f>IFERROR(__xludf.DUMMYFUNCTION("""COMPUTED_VALUE"""),"Chotos")</f>
        <v>Chotos</v>
      </c>
      <c r="D90" s="1">
        <f>IFERROR(__xludf.DUMMYFUNCTION("""COMPUTED_VALUE"""),100.0)</f>
        <v>100</v>
      </c>
      <c r="E90" s="1">
        <f>IFERROR(__xludf.DUMMYFUNCTION("""COMPUTED_VALUE"""),100.0)</f>
        <v>100</v>
      </c>
      <c r="F90" s="1">
        <f>IFERROR(__xludf.DUMMYFUNCTION("""COMPUTED_VALUE"""),28.0)</f>
        <v>28</v>
      </c>
      <c r="G90" s="1">
        <f t="shared" si="1"/>
        <v>3.571428571</v>
      </c>
      <c r="H90" s="1">
        <f t="shared" si="2"/>
        <v>3.571428571</v>
      </c>
      <c r="I90" s="1">
        <f>IFERROR(__xludf.DUMMYFUNCTION("IF(B90="""","""",
  100*F90 / MAX(FILTER($F:$F, $A:$A=$A90, $B:$B=$B90))
)
"),4.666666666666667)</f>
        <v>4.666666667</v>
      </c>
      <c r="J90" s="1">
        <f>IFERROR(__xludf.DUMMYFUNCTION("IF(B90="""","""",
  100*E90 / MAX(FILTER($E:$E, $A:$A=$A90, $B:$B=$B90))
)
"),8.31255195344971)</f>
        <v>8.312551953</v>
      </c>
      <c r="K90" s="1">
        <f t="shared" si="3"/>
        <v>6.307315046</v>
      </c>
    </row>
    <row r="91">
      <c r="A91" s="3">
        <f>IFERROR(__xludf.DUMMYFUNCTION("""COMPUTED_VALUE"""),45717.0)</f>
        <v>45717</v>
      </c>
      <c r="B91" s="1" t="str">
        <f>IFERROR(__xludf.DUMMYFUNCTION("""COMPUTED_VALUE"""),"DPMall")</f>
        <v>DPMall</v>
      </c>
      <c r="C91" s="1" t="str">
        <f>IFERROR(__xludf.DUMMYFUNCTION("""COMPUTED_VALUE"""),"Doritos nacho")</f>
        <v>Doritos nacho</v>
      </c>
      <c r="D91" s="1">
        <f>IFERROR(__xludf.DUMMYFUNCTION("""COMPUTED_VALUE"""),1203.0)</f>
        <v>1203</v>
      </c>
      <c r="E91" s="1">
        <f>IFERROR(__xludf.DUMMYFUNCTION("""COMPUTED_VALUE"""),1203.0)</f>
        <v>1203</v>
      </c>
      <c r="F91" s="1">
        <f>IFERROR(__xludf.DUMMYFUNCTION("""COMPUTED_VALUE"""),302.0)</f>
        <v>302</v>
      </c>
      <c r="G91" s="1">
        <f t="shared" si="1"/>
        <v>3.983443709</v>
      </c>
      <c r="H91" s="1">
        <f t="shared" si="2"/>
        <v>3.983443709</v>
      </c>
      <c r="I91" s="1">
        <f>IFERROR(__xludf.DUMMYFUNCTION("IF(B91="""","""",
  100*F91 / MAX(FILTER($F:$F, $A:$A=$A91, $B:$B=$B91))
)
"),50.333333333333336)</f>
        <v>50.33333333</v>
      </c>
      <c r="J91" s="1">
        <f>IFERROR(__xludf.DUMMYFUNCTION("IF(B91="""","""",
  100*E91 / MAX(FILTER($E:$E, $A:$A=$A91, $B:$B=$B91))
)
"),100.0)</f>
        <v>100</v>
      </c>
      <c r="K91" s="1">
        <f t="shared" si="3"/>
        <v>72.68333333</v>
      </c>
    </row>
    <row r="92">
      <c r="A92" s="3">
        <f>IFERROR(__xludf.DUMMYFUNCTION("""COMPUTED_VALUE"""),45717.0)</f>
        <v>45717</v>
      </c>
      <c r="B92" s="1" t="str">
        <f>IFERROR(__xludf.DUMMYFUNCTION("""COMPUTED_VALUE"""),"DPMall")</f>
        <v>DPMall</v>
      </c>
      <c r="C92" s="1" t="str">
        <f>IFERROR(__xludf.DUMMYFUNCTION("""COMPUTED_VALUE"""),"Freez drink")</f>
        <v>Freez drink</v>
      </c>
      <c r="D92" s="1">
        <f>IFERROR(__xludf.DUMMYFUNCTION("""COMPUTED_VALUE"""),40.0)</f>
        <v>40</v>
      </c>
      <c r="E92" s="1">
        <f>IFERROR(__xludf.DUMMYFUNCTION("""COMPUTED_VALUE"""),40.0)</f>
        <v>40</v>
      </c>
      <c r="F92" s="1">
        <f>IFERROR(__xludf.DUMMYFUNCTION("""COMPUTED_VALUE"""),8.0)</f>
        <v>8</v>
      </c>
      <c r="G92" s="1">
        <f t="shared" si="1"/>
        <v>5</v>
      </c>
      <c r="H92" s="1">
        <f t="shared" si="2"/>
        <v>5</v>
      </c>
      <c r="I92" s="1">
        <f>IFERROR(__xludf.DUMMYFUNCTION("IF(B92="""","""",
  100*F92 / MAX(FILTER($F:$F, $A:$A=$A92, $B:$B=$B92))
)
"),1.3333333333333333)</f>
        <v>1.333333333</v>
      </c>
      <c r="J92" s="1">
        <f>IFERROR(__xludf.DUMMYFUNCTION("IF(B92="""","""",
  100*E92 / MAX(FILTER($E:$E, $A:$A=$A92, $B:$B=$B92))
)
"),3.3250207813798838)</f>
        <v>3.325020781</v>
      </c>
      <c r="K92" s="1">
        <f t="shared" si="3"/>
        <v>2.229592685</v>
      </c>
    </row>
    <row r="93">
      <c r="A93" s="3">
        <f>IFERROR(__xludf.DUMMYFUNCTION("""COMPUTED_VALUE"""),45717.0)</f>
        <v>45717</v>
      </c>
      <c r="B93" s="1" t="str">
        <f>IFERROR(__xludf.DUMMYFUNCTION("""COMPUTED_VALUE"""),"DPMall")</f>
        <v>DPMall</v>
      </c>
      <c r="C93" s="1" t="str">
        <f>IFERROR(__xludf.DUMMYFUNCTION("""COMPUTED_VALUE"""),"Gardena")</f>
        <v>Gardena</v>
      </c>
      <c r="D93" s="1">
        <f>IFERROR(__xludf.DUMMYFUNCTION("""COMPUTED_VALUE"""),104.0)</f>
        <v>104</v>
      </c>
      <c r="E93" s="1">
        <f>IFERROR(__xludf.DUMMYFUNCTION("""COMPUTED_VALUE"""),104.0)</f>
        <v>104</v>
      </c>
      <c r="F93" s="1">
        <f>IFERROR(__xludf.DUMMYFUNCTION("""COMPUTED_VALUE"""),26.0)</f>
        <v>26</v>
      </c>
      <c r="G93" s="1">
        <f t="shared" si="1"/>
        <v>4</v>
      </c>
      <c r="H93" s="1">
        <f t="shared" si="2"/>
        <v>4</v>
      </c>
      <c r="I93" s="1">
        <f>IFERROR(__xludf.DUMMYFUNCTION("IF(B93="""","""",
  100*F93 / MAX(FILTER($F:$F, $A:$A=$A93, $B:$B=$B93))
)
"),4.333333333333333)</f>
        <v>4.333333333</v>
      </c>
      <c r="J93" s="1">
        <f>IFERROR(__xludf.DUMMYFUNCTION("IF(B93="""","""",
  100*E93 / MAX(FILTER($E:$E, $A:$A=$A93, $B:$B=$B93))
)
"),8.645054031587698)</f>
        <v>8.645054032</v>
      </c>
      <c r="K93" s="1">
        <f t="shared" si="3"/>
        <v>6.273607648</v>
      </c>
    </row>
    <row r="94">
      <c r="A94" s="3">
        <f>IFERROR(__xludf.DUMMYFUNCTION("""COMPUTED_VALUE"""),45717.0)</f>
        <v>45717</v>
      </c>
      <c r="B94" s="1" t="str">
        <f>IFERROR(__xludf.DUMMYFUNCTION("""COMPUTED_VALUE"""),"DPMall")</f>
        <v>DPMall</v>
      </c>
      <c r="C94" s="1" t="str">
        <f>IFERROR(__xludf.DUMMYFUNCTION("""COMPUTED_VALUE"""),"Green")</f>
        <v>Green</v>
      </c>
      <c r="D94" s="1">
        <f>IFERROR(__xludf.DUMMYFUNCTION("""COMPUTED_VALUE"""),24.0)</f>
        <v>24</v>
      </c>
      <c r="E94" s="1">
        <f>IFERROR(__xludf.DUMMYFUNCTION("""COMPUTED_VALUE"""),24.0)</f>
        <v>24</v>
      </c>
      <c r="F94" s="1">
        <f>IFERROR(__xludf.DUMMYFUNCTION("""COMPUTED_VALUE"""),6.0)</f>
        <v>6</v>
      </c>
      <c r="G94" s="1">
        <f t="shared" si="1"/>
        <v>4</v>
      </c>
      <c r="H94" s="1">
        <f t="shared" si="2"/>
        <v>4</v>
      </c>
      <c r="I94" s="1">
        <f>IFERROR(__xludf.DUMMYFUNCTION("IF(B94="""","""",
  100*F94 / MAX(FILTER($F:$F, $A:$A=$A94, $B:$B=$B94))
)
"),1.0)</f>
        <v>1</v>
      </c>
      <c r="J94" s="1">
        <f>IFERROR(__xludf.DUMMYFUNCTION("IF(B94="""","""",
  100*E94 / MAX(FILTER($E:$E, $A:$A=$A94, $B:$B=$B94))
)
"),1.9950124688279303)</f>
        <v>1.995012469</v>
      </c>
      <c r="K94" s="1">
        <f t="shared" si="3"/>
        <v>1.447755611</v>
      </c>
    </row>
    <row r="95">
      <c r="A95" s="3">
        <f>IFERROR(__xludf.DUMMYFUNCTION("""COMPUTED_VALUE"""),45717.0)</f>
        <v>45717</v>
      </c>
      <c r="B95" s="1" t="str">
        <f>IFERROR(__xludf.DUMMYFUNCTION("""COMPUTED_VALUE"""),"DPMall")</f>
        <v>DPMall</v>
      </c>
      <c r="C95" s="1" t="str">
        <f>IFERROR(__xludf.DUMMYFUNCTION("""COMPUTED_VALUE"""),"Laviva")</f>
        <v>Laviva</v>
      </c>
      <c r="D95" s="1">
        <f>IFERROR(__xludf.DUMMYFUNCTION("""COMPUTED_VALUE"""),105.0)</f>
        <v>105</v>
      </c>
      <c r="E95" s="1">
        <f>IFERROR(__xludf.DUMMYFUNCTION("""COMPUTED_VALUE"""),105.0)</f>
        <v>105</v>
      </c>
      <c r="F95" s="1">
        <f>IFERROR(__xludf.DUMMYFUNCTION("""COMPUTED_VALUE"""),35.0)</f>
        <v>35</v>
      </c>
      <c r="G95" s="1">
        <f t="shared" si="1"/>
        <v>3</v>
      </c>
      <c r="H95" s="1">
        <f t="shared" si="2"/>
        <v>3</v>
      </c>
      <c r="I95" s="1">
        <f>IFERROR(__xludf.DUMMYFUNCTION("IF(B95="""","""",
  100*F95 / MAX(FILTER($F:$F, $A:$A=$A95, $B:$B=$B95))
)
"),5.833333333333333)</f>
        <v>5.833333333</v>
      </c>
      <c r="J95" s="1">
        <f>IFERROR(__xludf.DUMMYFUNCTION("IF(B95="""","""",
  100*E95 / MAX(FILTER($E:$E, $A:$A=$A95, $B:$B=$B95))
)
"),8.728179551122194)</f>
        <v>8.728179551</v>
      </c>
      <c r="K95" s="1">
        <f t="shared" si="3"/>
        <v>7.136014131</v>
      </c>
    </row>
    <row r="96">
      <c r="A96" s="3">
        <f>IFERROR(__xludf.DUMMYFUNCTION("""COMPUTED_VALUE"""),45717.0)</f>
        <v>45717</v>
      </c>
      <c r="B96" s="1" t="str">
        <f>IFERROR(__xludf.DUMMYFUNCTION("""COMPUTED_VALUE"""),"DPMall")</f>
        <v>DPMall</v>
      </c>
      <c r="C96" s="1" t="str">
        <f>IFERROR(__xludf.DUMMYFUNCTION("""COMPUTED_VALUE"""),"Masa suntop")</f>
        <v>Masa suntop</v>
      </c>
      <c r="D96" s="1">
        <f>IFERROR(__xludf.DUMMYFUNCTION("""COMPUTED_VALUE"""),106.0)</f>
        <v>106</v>
      </c>
      <c r="E96" s="1">
        <f>IFERROR(__xludf.DUMMYFUNCTION("""COMPUTED_VALUE"""),106.0)</f>
        <v>106</v>
      </c>
      <c r="F96" s="1">
        <f>IFERROR(__xludf.DUMMYFUNCTION("""COMPUTED_VALUE"""),106.0)</f>
        <v>106</v>
      </c>
      <c r="G96" s="1">
        <f t="shared" si="1"/>
        <v>1</v>
      </c>
      <c r="H96" s="1">
        <f t="shared" si="2"/>
        <v>1</v>
      </c>
      <c r="I96" s="1">
        <f>IFERROR(__xludf.DUMMYFUNCTION("IF(B96="""","""",
  100*F96 / MAX(FILTER($F:$F, $A:$A=$A96, $B:$B=$B96))
)
"),17.666666666666668)</f>
        <v>17.66666667</v>
      </c>
      <c r="J96" s="1">
        <f>IFERROR(__xludf.DUMMYFUNCTION("IF(B96="""","""",
  100*E96 / MAX(FILTER($E:$E, $A:$A=$A96, $B:$B=$B96))
)
"),8.811305070656692)</f>
        <v>8.811305071</v>
      </c>
      <c r="K96" s="1">
        <f t="shared" si="3"/>
        <v>13.68175395</v>
      </c>
    </row>
    <row r="97">
      <c r="A97" s="3">
        <f>IFERROR(__xludf.DUMMYFUNCTION("""COMPUTED_VALUE"""),45717.0)</f>
        <v>45717</v>
      </c>
      <c r="B97" s="1" t="str">
        <f>IFERROR(__xludf.DUMMYFUNCTION("""COMPUTED_VALUE"""),"DPMall")</f>
        <v>DPMall</v>
      </c>
      <c r="C97" s="1" t="str">
        <f>IFERROR(__xludf.DUMMYFUNCTION("""COMPUTED_VALUE"""),"Mr Crunch")</f>
        <v>Mr Crunch</v>
      </c>
      <c r="D97" s="1">
        <f>IFERROR(__xludf.DUMMYFUNCTION("""COMPUTED_VALUE"""),145.0)</f>
        <v>145</v>
      </c>
      <c r="E97" s="1">
        <f>IFERROR(__xludf.DUMMYFUNCTION("""COMPUTED_VALUE"""),145.0)</f>
        <v>145</v>
      </c>
      <c r="F97" s="1">
        <f>IFERROR(__xludf.DUMMYFUNCTION("""COMPUTED_VALUE"""),35.0)</f>
        <v>35</v>
      </c>
      <c r="G97" s="1">
        <f t="shared" si="1"/>
        <v>4.142857143</v>
      </c>
      <c r="H97" s="1">
        <f t="shared" si="2"/>
        <v>4.142857143</v>
      </c>
      <c r="I97" s="1">
        <f>IFERROR(__xludf.DUMMYFUNCTION("IF(B97="""","""",
  100*F97 / MAX(FILTER($F:$F, $A:$A=$A97, $B:$B=$B97))
)
"),5.833333333333333)</f>
        <v>5.833333333</v>
      </c>
      <c r="J97" s="1">
        <f>IFERROR(__xludf.DUMMYFUNCTION("IF(B97="""","""",
  100*E97 / MAX(FILTER($E:$E, $A:$A=$A97, $B:$B=$B97))
)
"),12.053200332502078)</f>
        <v>12.05320033</v>
      </c>
      <c r="K97" s="1">
        <f t="shared" si="3"/>
        <v>8.632273483</v>
      </c>
    </row>
    <row r="98">
      <c r="A98" s="3">
        <f>IFERROR(__xludf.DUMMYFUNCTION("""COMPUTED_VALUE"""),45717.0)</f>
        <v>45717</v>
      </c>
      <c r="B98" s="1" t="str">
        <f>IFERROR(__xludf.DUMMYFUNCTION("""COMPUTED_VALUE"""),"DPMall")</f>
        <v>DPMall</v>
      </c>
      <c r="C98" s="1" t="str">
        <f>IFERROR(__xludf.DUMMYFUNCTION("""COMPUTED_VALUE"""),"Mr Crunch cheez top")</f>
        <v>Mr Crunch cheez top</v>
      </c>
      <c r="D98" s="1">
        <f>IFERROR(__xludf.DUMMYFUNCTION("""COMPUTED_VALUE"""),8.0)</f>
        <v>8</v>
      </c>
      <c r="E98" s="1">
        <f>IFERROR(__xludf.DUMMYFUNCTION("""COMPUTED_VALUE"""),8.0)</f>
        <v>8</v>
      </c>
      <c r="F98" s="1">
        <f>IFERROR(__xludf.DUMMYFUNCTION("""COMPUTED_VALUE"""),2.0)</f>
        <v>2</v>
      </c>
      <c r="G98" s="1">
        <f t="shared" si="1"/>
        <v>4</v>
      </c>
      <c r="H98" s="1">
        <f t="shared" si="2"/>
        <v>4</v>
      </c>
      <c r="I98" s="1">
        <f>IFERROR(__xludf.DUMMYFUNCTION("IF(B98="""","""",
  100*F98 / MAX(FILTER($F:$F, $A:$A=$A98, $B:$B=$B98))
)
"),0.3333333333333333)</f>
        <v>0.3333333333</v>
      </c>
      <c r="J98" s="1">
        <f>IFERROR(__xludf.DUMMYFUNCTION("IF(B98="""","""",
  100*E98 / MAX(FILTER($E:$E, $A:$A=$A98, $B:$B=$B98))
)
"),0.6650041562759768)</f>
        <v>0.6650041563</v>
      </c>
      <c r="K98" s="1">
        <f t="shared" si="3"/>
        <v>0.4825852037</v>
      </c>
    </row>
    <row r="99">
      <c r="A99" s="3">
        <f>IFERROR(__xludf.DUMMYFUNCTION("""COMPUTED_VALUE"""),45717.0)</f>
        <v>45717</v>
      </c>
      <c r="B99" s="1" t="str">
        <f>IFERROR(__xludf.DUMMYFUNCTION("""COMPUTED_VALUE"""),"DPMall")</f>
        <v>DPMall</v>
      </c>
      <c r="C99" s="1" t="str">
        <f>IFERROR(__xludf.DUMMYFUNCTION("""COMPUTED_VALUE"""),"Spuds noraml")</f>
        <v>Spuds noraml</v>
      </c>
      <c r="D99" s="1">
        <f>IFERROR(__xludf.DUMMYFUNCTION("""COMPUTED_VALUE"""),24.0)</f>
        <v>24</v>
      </c>
      <c r="E99" s="1">
        <f>IFERROR(__xludf.DUMMYFUNCTION("""COMPUTED_VALUE"""),24.0)</f>
        <v>24</v>
      </c>
      <c r="F99" s="1">
        <f>IFERROR(__xludf.DUMMYFUNCTION("""COMPUTED_VALUE"""),8.0)</f>
        <v>8</v>
      </c>
      <c r="G99" s="1">
        <f t="shared" si="1"/>
        <v>3</v>
      </c>
      <c r="H99" s="1">
        <f t="shared" si="2"/>
        <v>3</v>
      </c>
      <c r="I99" s="1">
        <f>IFERROR(__xludf.DUMMYFUNCTION("IF(B99="""","""",
  100*F99 / MAX(FILTER($F:$F, $A:$A=$A99, $B:$B=$B99))
)
"),1.3333333333333333)</f>
        <v>1.333333333</v>
      </c>
      <c r="J99" s="1">
        <f>IFERROR(__xludf.DUMMYFUNCTION("IF(B99="""","""",
  100*E99 / MAX(FILTER($E:$E, $A:$A=$A99, $B:$B=$B99))
)
"),1.9950124688279303)</f>
        <v>1.995012469</v>
      </c>
      <c r="K99" s="1">
        <f t="shared" si="3"/>
        <v>1.631088944</v>
      </c>
    </row>
    <row r="100">
      <c r="A100" s="3">
        <f>IFERROR(__xludf.DUMMYFUNCTION("""COMPUTED_VALUE"""),45717.0)</f>
        <v>45717</v>
      </c>
      <c r="B100" s="1" t="str">
        <f>IFERROR(__xludf.DUMMYFUNCTION("""COMPUTED_VALUE"""),"DPMall")</f>
        <v>DPMall</v>
      </c>
      <c r="C100" s="1" t="str">
        <f>IFERROR(__xludf.DUMMYFUNCTION("""COMPUTED_VALUE"""),"SunTop Saudi")</f>
        <v>SunTop Saudi</v>
      </c>
      <c r="D100" s="1">
        <f>IFERROR(__xludf.DUMMYFUNCTION("""COMPUTED_VALUE"""),341.0)</f>
        <v>341</v>
      </c>
      <c r="E100" s="1">
        <f>IFERROR(__xludf.DUMMYFUNCTION("""COMPUTED_VALUE"""),341.0)</f>
        <v>341</v>
      </c>
      <c r="F100" s="1">
        <f>IFERROR(__xludf.DUMMYFUNCTION("""COMPUTED_VALUE"""),341.0)</f>
        <v>341</v>
      </c>
      <c r="G100" s="1">
        <f t="shared" si="1"/>
        <v>1</v>
      </c>
      <c r="H100" s="1">
        <f t="shared" si="2"/>
        <v>1</v>
      </c>
      <c r="I100" s="1">
        <f>IFERROR(__xludf.DUMMYFUNCTION("IF(B100="""","""",
  100*F100 / MAX(FILTER($F:$F, $A:$A=$A100, $B:$B=$B100))
)
"),56.833333333333336)</f>
        <v>56.83333333</v>
      </c>
      <c r="J100" s="1">
        <f>IFERROR(__xludf.DUMMYFUNCTION("IF(B100="""","""",
  100*E100 / MAX(FILTER($E:$E, $A:$A=$A100, $B:$B=$B100))
)
"),28.345802161263506)</f>
        <v>28.34580216</v>
      </c>
      <c r="K100" s="1">
        <f t="shared" si="3"/>
        <v>44.01394431</v>
      </c>
    </row>
    <row r="101">
      <c r="A101" s="3">
        <f>IFERROR(__xludf.DUMMYFUNCTION("""COMPUTED_VALUE"""),45717.0)</f>
        <v>45717</v>
      </c>
      <c r="B101" s="1" t="str">
        <f>IFERROR(__xludf.DUMMYFUNCTION("""COMPUTED_VALUE"""),"DPMall")</f>
        <v>DPMall</v>
      </c>
      <c r="C101" s="1" t="str">
        <f>IFERROR(__xludf.DUMMYFUNCTION("""COMPUTED_VALUE"""),"Takis")</f>
        <v>Takis</v>
      </c>
      <c r="D101" s="1">
        <f>IFERROR(__xludf.DUMMYFUNCTION("""COMPUTED_VALUE"""),428.0)</f>
        <v>428</v>
      </c>
      <c r="E101" s="1">
        <f>IFERROR(__xludf.DUMMYFUNCTION("""COMPUTED_VALUE"""),428.0)</f>
        <v>428</v>
      </c>
      <c r="F101" s="1">
        <f>IFERROR(__xludf.DUMMYFUNCTION("""COMPUTED_VALUE"""),23.0)</f>
        <v>23</v>
      </c>
      <c r="G101" s="1">
        <f t="shared" si="1"/>
        <v>18.60869565</v>
      </c>
      <c r="H101" s="1">
        <f t="shared" si="2"/>
        <v>18.60869565</v>
      </c>
      <c r="I101" s="1">
        <f>IFERROR(__xludf.DUMMYFUNCTION("IF(B101="""","""",
  100*F101 / MAX(FILTER($F:$F, $A:$A=$A101, $B:$B=$B101))
)
"),3.8333333333333335)</f>
        <v>3.833333333</v>
      </c>
      <c r="J101" s="1">
        <f>IFERROR(__xludf.DUMMYFUNCTION("IF(B101="""","""",
  100*E101 / MAX(FILTER($E:$E, $A:$A=$A101, $B:$B=$B101))
)
"),35.57772236076475)</f>
        <v>35.57772236</v>
      </c>
      <c r="K101" s="1">
        <f t="shared" si="3"/>
        <v>18.1183084</v>
      </c>
    </row>
    <row r="102">
      <c r="A102" s="3">
        <f>IFERROR(__xludf.DUMMYFUNCTION("""COMPUTED_VALUE"""),45717.0)</f>
        <v>45717</v>
      </c>
      <c r="B102" s="1" t="str">
        <f>IFERROR(__xludf.DUMMYFUNCTION("""COMPUTED_VALUE"""),"DPMall")</f>
        <v>DPMall</v>
      </c>
      <c r="C102" s="1" t="str">
        <f>IFERROR(__xludf.DUMMYFUNCTION("""COMPUTED_VALUE"""),"Tiger *12")</f>
        <v>Tiger *12</v>
      </c>
      <c r="D102" s="1">
        <f>IFERROR(__xludf.DUMMYFUNCTION("""COMPUTED_VALUE"""),841.0)</f>
        <v>841</v>
      </c>
      <c r="E102" s="1">
        <f>IFERROR(__xludf.DUMMYFUNCTION("""COMPUTED_VALUE"""),841.0)</f>
        <v>841</v>
      </c>
      <c r="F102" s="1">
        <f>IFERROR(__xludf.DUMMYFUNCTION("""COMPUTED_VALUE"""),211.0)</f>
        <v>211</v>
      </c>
      <c r="G102" s="1">
        <f t="shared" si="1"/>
        <v>3.985781991</v>
      </c>
      <c r="H102" s="1">
        <f t="shared" si="2"/>
        <v>3.985781991</v>
      </c>
      <c r="I102" s="1">
        <f>IFERROR(__xludf.DUMMYFUNCTION("IF(B102="""","""",
  100*F102 / MAX(FILTER($F:$F, $A:$A=$A102, $B:$B=$B102))
)
"),35.166666666666664)</f>
        <v>35.16666667</v>
      </c>
      <c r="J102" s="1">
        <f>IFERROR(__xludf.DUMMYFUNCTION("IF(B102="""","""",
  100*E102 / MAX(FILTER($E:$E, $A:$A=$A102, $B:$B=$B102))
)
"),69.90856192851206)</f>
        <v>69.90856193</v>
      </c>
      <c r="K102" s="1">
        <f t="shared" si="3"/>
        <v>50.80051953</v>
      </c>
    </row>
    <row r="103">
      <c r="A103" s="3">
        <f>IFERROR(__xludf.DUMMYFUNCTION("""COMPUTED_VALUE"""),45717.0)</f>
        <v>45717</v>
      </c>
      <c r="B103" s="1" t="str">
        <f>IFERROR(__xludf.DUMMYFUNCTION("""COMPUTED_VALUE"""),"DPMall")</f>
        <v>DPMall</v>
      </c>
      <c r="C103" s="1" t="str">
        <f>IFERROR(__xludf.DUMMYFUNCTION("""COMPUTED_VALUE"""),"Tiger excellence *10")</f>
        <v>Tiger excellence *10</v>
      </c>
      <c r="D103" s="1">
        <f>IFERROR(__xludf.DUMMYFUNCTION("""COMPUTED_VALUE"""),320.0)</f>
        <v>320</v>
      </c>
      <c r="E103" s="1">
        <f>IFERROR(__xludf.DUMMYFUNCTION("""COMPUTED_VALUE"""),320.0)</f>
        <v>320</v>
      </c>
      <c r="F103" s="1">
        <f>IFERROR(__xludf.DUMMYFUNCTION("""COMPUTED_VALUE"""),64.0)</f>
        <v>64</v>
      </c>
      <c r="G103" s="1">
        <f t="shared" si="1"/>
        <v>5</v>
      </c>
      <c r="H103" s="1">
        <f t="shared" si="2"/>
        <v>5</v>
      </c>
      <c r="I103" s="1">
        <f>IFERROR(__xludf.DUMMYFUNCTION("IF(B103="""","""",
  100*F103 / MAX(FILTER($F:$F, $A:$A=$A103, $B:$B=$B103))
)
"),10.666666666666666)</f>
        <v>10.66666667</v>
      </c>
      <c r="J103" s="1">
        <f>IFERROR(__xludf.DUMMYFUNCTION("IF(B103="""","""",
  100*E103 / MAX(FILTER($E:$E, $A:$A=$A103, $B:$B=$B103))
)
"),26.60016625103907)</f>
        <v>26.60016625</v>
      </c>
      <c r="K103" s="1">
        <f t="shared" si="3"/>
        <v>17.83674148</v>
      </c>
    </row>
    <row r="104">
      <c r="A104" s="3">
        <f>IFERROR(__xludf.DUMMYFUNCTION("""COMPUTED_VALUE"""),45717.0)</f>
        <v>45717</v>
      </c>
      <c r="B104" s="1" t="str">
        <f>IFERROR(__xludf.DUMMYFUNCTION("""COMPUTED_VALUE"""),"DPMall")</f>
        <v>DPMall</v>
      </c>
      <c r="C104" s="1" t="str">
        <f>IFERROR(__xludf.DUMMYFUNCTION("""COMPUTED_VALUE"""),"Wafe up extra")</f>
        <v>Wafe up extra</v>
      </c>
      <c r="D104" s="1">
        <f>IFERROR(__xludf.DUMMYFUNCTION("""COMPUTED_VALUE"""),152.0)</f>
        <v>152</v>
      </c>
      <c r="E104" s="1">
        <f>IFERROR(__xludf.DUMMYFUNCTION("""COMPUTED_VALUE"""),152.0)</f>
        <v>152</v>
      </c>
      <c r="F104" s="1">
        <f>IFERROR(__xludf.DUMMYFUNCTION("""COMPUTED_VALUE"""),76.0)</f>
        <v>76</v>
      </c>
      <c r="G104" s="1">
        <f t="shared" si="1"/>
        <v>2</v>
      </c>
      <c r="H104" s="1">
        <f t="shared" si="2"/>
        <v>2</v>
      </c>
      <c r="I104" s="1">
        <f>IFERROR(__xludf.DUMMYFUNCTION("IF(B104="""","""",
  100*F104 / MAX(FILTER($F:$F, $A:$A=$A104, $B:$B=$B104))
)
"),12.666666666666666)</f>
        <v>12.66666667</v>
      </c>
      <c r="J104" s="1">
        <f>IFERROR(__xludf.DUMMYFUNCTION("IF(B104="""","""",
  100*E104 / MAX(FILTER($E:$E, $A:$A=$A104, $B:$B=$B104))
)
"),12.635078969243558)</f>
        <v>12.63507897</v>
      </c>
      <c r="K104" s="1">
        <f t="shared" si="3"/>
        <v>12.6524522</v>
      </c>
    </row>
    <row r="105">
      <c r="A105" s="3">
        <f>IFERROR(__xludf.DUMMYFUNCTION("""COMPUTED_VALUE"""),45717.0)</f>
        <v>45717</v>
      </c>
      <c r="B105" s="1" t="str">
        <f>IFERROR(__xludf.DUMMYFUNCTION("""COMPUTED_VALUE"""),"DPMall")</f>
        <v>DPMall</v>
      </c>
      <c r="C105" s="1" t="str">
        <f>IFERROR(__xludf.DUMMYFUNCTION("""COMPUTED_VALUE"""),"Water")</f>
        <v>Water</v>
      </c>
      <c r="D105" s="1">
        <f>IFERROR(__xludf.DUMMYFUNCTION("""COMPUTED_VALUE"""),600.0)</f>
        <v>600</v>
      </c>
      <c r="E105" s="1">
        <f>IFERROR(__xludf.DUMMYFUNCTION("""COMPUTED_VALUE"""),600.0)</f>
        <v>600</v>
      </c>
      <c r="F105" s="1">
        <f>IFERROR(__xludf.DUMMYFUNCTION("""COMPUTED_VALUE"""),600.0)</f>
        <v>600</v>
      </c>
      <c r="G105" s="1">
        <f t="shared" si="1"/>
        <v>1</v>
      </c>
      <c r="H105" s="1">
        <f t="shared" si="2"/>
        <v>1</v>
      </c>
      <c r="I105" s="1">
        <f>IFERROR(__xludf.DUMMYFUNCTION("IF(B105="""","""",
  100*F105 / MAX(FILTER($F:$F, $A:$A=$A105, $B:$B=$B105))
)
"),100.0)</f>
        <v>100</v>
      </c>
      <c r="J105" s="1">
        <f>IFERROR(__xludf.DUMMYFUNCTION("IF(B105="""","""",
  100*E105 / MAX(FILTER($E:$E, $A:$A=$A105, $B:$B=$B105))
)
"),49.87531172069826)</f>
        <v>49.87531172</v>
      </c>
      <c r="K105" s="1">
        <f t="shared" si="3"/>
        <v>77.44389027</v>
      </c>
    </row>
    <row r="106">
      <c r="A106" s="3">
        <f>IFERROR(__xludf.DUMMYFUNCTION("""COMPUTED_VALUE"""),45717.0)</f>
        <v>45717</v>
      </c>
      <c r="B106" s="1" t="str">
        <f>IFERROR(__xludf.DUMMYFUNCTION("""COMPUTED_VALUE"""),"DPMall")</f>
        <v>DPMall</v>
      </c>
      <c r="C106" s="1" t="str">
        <f>IFERROR(__xludf.DUMMYFUNCTION("""COMPUTED_VALUE"""),"Wild Power Energy 500ml")</f>
        <v>Wild Power Energy 500ml</v>
      </c>
      <c r="D106" s="1">
        <f>IFERROR(__xludf.DUMMYFUNCTION("""COMPUTED_VALUE"""),105.0)</f>
        <v>105</v>
      </c>
      <c r="E106" s="1">
        <f>IFERROR(__xludf.DUMMYFUNCTION("""COMPUTED_VALUE"""),105.0)</f>
        <v>105</v>
      </c>
      <c r="F106" s="1">
        <f>IFERROR(__xludf.DUMMYFUNCTION("""COMPUTED_VALUE"""),21.0)</f>
        <v>21</v>
      </c>
      <c r="G106" s="1">
        <f t="shared" si="1"/>
        <v>5</v>
      </c>
      <c r="H106" s="1">
        <f t="shared" si="2"/>
        <v>5</v>
      </c>
      <c r="I106" s="1">
        <f>IFERROR(__xludf.DUMMYFUNCTION("IF(B106="""","""",
  100*F106 / MAX(FILTER($F:$F, $A:$A=$A106, $B:$B=$B106))
)
"),3.5)</f>
        <v>3.5</v>
      </c>
      <c r="J106" s="1">
        <f>IFERROR(__xludf.DUMMYFUNCTION("IF(B106="""","""",
  100*E106 / MAX(FILTER($E:$E, $A:$A=$A106, $B:$B=$B106))
)
"),8.728179551122194)</f>
        <v>8.728179551</v>
      </c>
      <c r="K106" s="1">
        <f t="shared" si="3"/>
        <v>5.852680798</v>
      </c>
    </row>
    <row r="107">
      <c r="A107" s="3">
        <f>IFERROR(__xludf.DUMMYFUNCTION("""COMPUTED_VALUE"""),45717.0)</f>
        <v>45717</v>
      </c>
      <c r="B107" s="1" t="str">
        <f>IFERROR(__xludf.DUMMYFUNCTION("""COMPUTED_VALUE"""),"DPMall")</f>
        <v>DPMall</v>
      </c>
      <c r="C107" s="1" t="str">
        <f>IFERROR(__xludf.DUMMYFUNCTION("""COMPUTED_VALUE"""),"X!R")</f>
        <v>X!R</v>
      </c>
      <c r="D107" s="1">
        <f>IFERROR(__xludf.DUMMYFUNCTION("""COMPUTED_VALUE"""),708.0)</f>
        <v>708</v>
      </c>
      <c r="E107" s="1">
        <f>IFERROR(__xludf.DUMMYFUNCTION("""COMPUTED_VALUE"""),708.0)</f>
        <v>708</v>
      </c>
      <c r="F107" s="1">
        <f>IFERROR(__xludf.DUMMYFUNCTION("""COMPUTED_VALUE"""),177.0)</f>
        <v>177</v>
      </c>
      <c r="G107" s="1">
        <f t="shared" si="1"/>
        <v>4</v>
      </c>
      <c r="H107" s="1">
        <f t="shared" si="2"/>
        <v>4</v>
      </c>
      <c r="I107" s="1">
        <f>IFERROR(__xludf.DUMMYFUNCTION("IF(B107="""","""",
  100*F107 / MAX(FILTER($F:$F, $A:$A=$A107, $B:$B=$B107))
)
"),29.5)</f>
        <v>29.5</v>
      </c>
      <c r="J107" s="1">
        <f>IFERROR(__xludf.DUMMYFUNCTION("IF(B107="""","""",
  100*E107 / MAX(FILTER($E:$E, $A:$A=$A107, $B:$B=$B107))
)
"),58.85286783042394)</f>
        <v>58.85286783</v>
      </c>
      <c r="K107" s="1">
        <f t="shared" si="3"/>
        <v>42.70879052</v>
      </c>
    </row>
    <row r="108">
      <c r="A108" s="3">
        <f>IFERROR(__xludf.DUMMYFUNCTION("""COMPUTED_VALUE"""),45717.0)</f>
        <v>45717</v>
      </c>
      <c r="B108" s="1" t="str">
        <f>IFERROR(__xludf.DUMMYFUNCTION("""COMPUTED_VALUE"""),"DPMall")</f>
        <v>DPMall</v>
      </c>
      <c r="C108" s="1" t="str">
        <f>IFERROR(__xludf.DUMMYFUNCTION("""COMPUTED_VALUE"""),"X!R 500ml")</f>
        <v>X!R 500ml</v>
      </c>
      <c r="D108" s="1">
        <f>IFERROR(__xludf.DUMMYFUNCTION("""COMPUTED_VALUE"""),172.0)</f>
        <v>172</v>
      </c>
      <c r="E108" s="1">
        <f>IFERROR(__xludf.DUMMYFUNCTION("""COMPUTED_VALUE"""),172.0)</f>
        <v>172</v>
      </c>
      <c r="F108" s="1">
        <f>IFERROR(__xludf.DUMMYFUNCTION("""COMPUTED_VALUE"""),30.0)</f>
        <v>30</v>
      </c>
      <c r="G108" s="1">
        <f t="shared" si="1"/>
        <v>5.733333333</v>
      </c>
      <c r="H108" s="1">
        <f t="shared" si="2"/>
        <v>5.733333333</v>
      </c>
      <c r="I108" s="1">
        <f>IFERROR(__xludf.DUMMYFUNCTION("IF(B108="""","""",
  100*F108 / MAX(FILTER($F:$F, $A:$A=$A108, $B:$B=$B108))
)
"),5.0)</f>
        <v>5</v>
      </c>
      <c r="J108" s="1">
        <f>IFERROR(__xludf.DUMMYFUNCTION("IF(B108="""","""",
  100*E108 / MAX(FILTER($E:$E, $A:$A=$A108, $B:$B=$B108))
)
"),14.2975893599335)</f>
        <v>14.29758936</v>
      </c>
      <c r="K108" s="1">
        <f t="shared" si="3"/>
        <v>9.183915212</v>
      </c>
    </row>
    <row r="109">
      <c r="A109" s="3">
        <f>IFERROR(__xludf.DUMMYFUNCTION("""COMPUTED_VALUE"""),45717.0)</f>
        <v>45717</v>
      </c>
      <c r="B109" s="1" t="str">
        <f>IFERROR(__xludf.DUMMYFUNCTION("""COMPUTED_VALUE"""),"DPMall")</f>
        <v>DPMall</v>
      </c>
      <c r="C109" s="1" t="str">
        <f>IFERROR(__xludf.DUMMYFUNCTION("""COMPUTED_VALUE"""),"boba tea")</f>
        <v>boba tea</v>
      </c>
      <c r="D109" s="1">
        <f>IFERROR(__xludf.DUMMYFUNCTION("""COMPUTED_VALUE"""),96.0)</f>
        <v>96</v>
      </c>
      <c r="E109" s="1">
        <f>IFERROR(__xludf.DUMMYFUNCTION("""COMPUTED_VALUE"""),96.0)</f>
        <v>96</v>
      </c>
      <c r="F109" s="1">
        <f>IFERROR(__xludf.DUMMYFUNCTION("""COMPUTED_VALUE"""),8.0)</f>
        <v>8</v>
      </c>
      <c r="G109" s="1">
        <f t="shared" si="1"/>
        <v>12</v>
      </c>
      <c r="H109" s="1">
        <f t="shared" si="2"/>
        <v>12</v>
      </c>
      <c r="I109" s="1">
        <f>IFERROR(__xludf.DUMMYFUNCTION("IF(B109="""","""",
  100*F109 / MAX(FILTER($F:$F, $A:$A=$A109, $B:$B=$B109))
)
"),1.3333333333333333)</f>
        <v>1.333333333</v>
      </c>
      <c r="J109" s="1">
        <f>IFERROR(__xludf.DUMMYFUNCTION("IF(B109="""","""",
  100*E109 / MAX(FILTER($E:$E, $A:$A=$A109, $B:$B=$B109))
)
"),7.980049875311721)</f>
        <v>7.980049875</v>
      </c>
      <c r="K109" s="1">
        <f t="shared" si="3"/>
        <v>4.324355777</v>
      </c>
    </row>
    <row r="110">
      <c r="A110" s="3">
        <f>IFERROR(__xludf.DUMMYFUNCTION("""COMPUTED_VALUE"""),45717.0)</f>
        <v>45717</v>
      </c>
      <c r="B110" s="1" t="str">
        <f>IFERROR(__xludf.DUMMYFUNCTION("""COMPUTED_VALUE"""),"DPMall")</f>
        <v>DPMall</v>
      </c>
      <c r="C110" s="1" t="str">
        <f>IFERROR(__xludf.DUMMYFUNCTION("""COMPUTED_VALUE"""),"bonart sour")</f>
        <v>bonart sour</v>
      </c>
      <c r="D110" s="1">
        <f>IFERROR(__xludf.DUMMYFUNCTION("""COMPUTED_VALUE"""),275.0)</f>
        <v>275</v>
      </c>
      <c r="E110" s="1">
        <f>IFERROR(__xludf.DUMMYFUNCTION("""COMPUTED_VALUE"""),275.0)</f>
        <v>275</v>
      </c>
      <c r="F110" s="1">
        <f>IFERROR(__xludf.DUMMYFUNCTION("""COMPUTED_VALUE"""),57.0)</f>
        <v>57</v>
      </c>
      <c r="G110" s="1">
        <f t="shared" si="1"/>
        <v>4.824561404</v>
      </c>
      <c r="H110" s="1">
        <f t="shared" si="2"/>
        <v>4.824561404</v>
      </c>
      <c r="I110" s="1">
        <f>IFERROR(__xludf.DUMMYFUNCTION("IF(B110="""","""",
  100*F110 / MAX(FILTER($F:$F, $A:$A=$A110, $B:$B=$B110))
)
"),9.5)</f>
        <v>9.5</v>
      </c>
      <c r="J110" s="1">
        <f>IFERROR(__xludf.DUMMYFUNCTION("IF(B110="""","""",
  100*E110 / MAX(FILTER($E:$E, $A:$A=$A110, $B:$B=$B110))
)
"),22.8595178719867)</f>
        <v>22.85951787</v>
      </c>
      <c r="K110" s="1">
        <f t="shared" si="3"/>
        <v>15.51178304</v>
      </c>
    </row>
    <row r="111">
      <c r="A111" s="3">
        <f>IFERROR(__xludf.DUMMYFUNCTION("""COMPUTED_VALUE"""),45717.0)</f>
        <v>45717</v>
      </c>
      <c r="B111" s="1" t="str">
        <f>IFERROR(__xludf.DUMMYFUNCTION("""COMPUTED_VALUE"""),"DPMall")</f>
        <v>DPMall</v>
      </c>
      <c r="C111" s="1" t="str">
        <f>IFERROR(__xludf.DUMMYFUNCTION("""COMPUTED_VALUE"""),"flik flak")</f>
        <v>flik flak</v>
      </c>
      <c r="D111" s="1">
        <f>IFERROR(__xludf.DUMMYFUNCTION("""COMPUTED_VALUE"""),465.0)</f>
        <v>465</v>
      </c>
      <c r="E111" s="1">
        <f>IFERROR(__xludf.DUMMYFUNCTION("""COMPUTED_VALUE"""),465.0)</f>
        <v>465</v>
      </c>
      <c r="F111" s="1">
        <f>IFERROR(__xludf.DUMMYFUNCTION("""COMPUTED_VALUE"""),465.0)</f>
        <v>465</v>
      </c>
      <c r="G111" s="1">
        <f t="shared" si="1"/>
        <v>1</v>
      </c>
      <c r="H111" s="1">
        <f t="shared" si="2"/>
        <v>1</v>
      </c>
      <c r="I111" s="1">
        <f>IFERROR(__xludf.DUMMYFUNCTION("IF(B111="""","""",
  100*F111 / MAX(FILTER($F:$F, $A:$A=$A111, $B:$B=$B111))
)
"),77.5)</f>
        <v>77.5</v>
      </c>
      <c r="J111" s="1">
        <f>IFERROR(__xludf.DUMMYFUNCTION("IF(B111="""","""",
  100*E111 / MAX(FILTER($E:$E, $A:$A=$A111, $B:$B=$B111))
)
"),38.65336658354115)</f>
        <v>38.65336658</v>
      </c>
      <c r="K111" s="1">
        <f t="shared" si="3"/>
        <v>60.01901496</v>
      </c>
    </row>
    <row r="112">
      <c r="A112" s="3">
        <f>IFERROR(__xludf.DUMMYFUNCTION("""COMPUTED_VALUE"""),45717.0)</f>
        <v>45717</v>
      </c>
      <c r="B112" s="1" t="str">
        <f>IFERROR(__xludf.DUMMYFUNCTION("""COMPUTED_VALUE"""),"DPMall")</f>
        <v>DPMall</v>
      </c>
      <c r="C112" s="1" t="str">
        <f>IFERROR(__xludf.DUMMYFUNCTION("""COMPUTED_VALUE"""),"helo kitty")</f>
        <v>helo kitty</v>
      </c>
      <c r="D112" s="1">
        <f>IFERROR(__xludf.DUMMYFUNCTION("""COMPUTED_VALUE"""),195.0)</f>
        <v>195</v>
      </c>
      <c r="E112" s="1">
        <f>IFERROR(__xludf.DUMMYFUNCTION("""COMPUTED_VALUE"""),195.0)</f>
        <v>195</v>
      </c>
      <c r="F112" s="1">
        <f>IFERROR(__xludf.DUMMYFUNCTION("""COMPUTED_VALUE"""),33.0)</f>
        <v>33</v>
      </c>
      <c r="G112" s="1">
        <f t="shared" si="1"/>
        <v>5.909090909</v>
      </c>
      <c r="H112" s="1">
        <f t="shared" si="2"/>
        <v>5.909090909</v>
      </c>
      <c r="I112" s="1">
        <f>IFERROR(__xludf.DUMMYFUNCTION("IF(B112="""","""",
  100*F112 / MAX(FILTER($F:$F, $A:$A=$A112, $B:$B=$B112))
)
"),5.5)</f>
        <v>5.5</v>
      </c>
      <c r="J112" s="1">
        <f>IFERROR(__xludf.DUMMYFUNCTION("IF(B112="""","""",
  100*E112 / MAX(FILTER($E:$E, $A:$A=$A112, $B:$B=$B112))
)
"),16.209476309226932)</f>
        <v>16.20947631</v>
      </c>
      <c r="K112" s="1">
        <f t="shared" si="3"/>
        <v>10.31926434</v>
      </c>
    </row>
    <row r="113">
      <c r="A113" s="3">
        <f>IFERROR(__xludf.DUMMYFUNCTION("""COMPUTED_VALUE"""),45717.0)</f>
        <v>45717</v>
      </c>
      <c r="B113" s="1" t="str">
        <f>IFERROR(__xludf.DUMMYFUNCTION("""COMPUTED_VALUE"""),"DPMall")</f>
        <v>DPMall</v>
      </c>
      <c r="C113" s="1" t="str">
        <f>IFERROR(__xludf.DUMMYFUNCTION("""COMPUTED_VALUE"""),"jelly candy")</f>
        <v>jelly candy</v>
      </c>
      <c r="D113" s="1">
        <f>IFERROR(__xludf.DUMMYFUNCTION("""COMPUTED_VALUE"""),79.0)</f>
        <v>79</v>
      </c>
      <c r="E113" s="1">
        <f>IFERROR(__xludf.DUMMYFUNCTION("""COMPUTED_VALUE"""),79.0)</f>
        <v>79</v>
      </c>
      <c r="F113" s="1">
        <f>IFERROR(__xludf.DUMMYFUNCTION("""COMPUTED_VALUE"""),23.0)</f>
        <v>23</v>
      </c>
      <c r="G113" s="1">
        <f t="shared" si="1"/>
        <v>3.434782609</v>
      </c>
      <c r="H113" s="1">
        <f t="shared" si="2"/>
        <v>3.434782609</v>
      </c>
      <c r="I113" s="1">
        <f>IFERROR(__xludf.DUMMYFUNCTION("IF(B113="""","""",
  100*F113 / MAX(FILTER($F:$F, $A:$A=$A113, $B:$B=$B113))
)
"),3.8333333333333335)</f>
        <v>3.833333333</v>
      </c>
      <c r="J113" s="1">
        <f>IFERROR(__xludf.DUMMYFUNCTION("IF(B113="""","""",
  100*E113 / MAX(FILTER($E:$E, $A:$A=$A113, $B:$B=$B113))
)
"),6.5669160432252704)</f>
        <v>6.566916043</v>
      </c>
      <c r="K113" s="1">
        <f t="shared" si="3"/>
        <v>5.063445553</v>
      </c>
    </row>
    <row r="114">
      <c r="A114" s="3">
        <f>IFERROR(__xludf.DUMMYFUNCTION("""COMPUTED_VALUE"""),45717.0)</f>
        <v>45717</v>
      </c>
      <c r="B114" s="1" t="str">
        <f>IFERROR(__xludf.DUMMYFUNCTION("""COMPUTED_VALUE"""),"DPMall")</f>
        <v>DPMall</v>
      </c>
      <c r="C114" s="1" t="str">
        <f>IFERROR(__xludf.DUMMYFUNCTION("""COMPUTED_VALUE"""),"kinder bones")</f>
        <v>kinder bones</v>
      </c>
      <c r="D114" s="1">
        <f>IFERROR(__xludf.DUMMYFUNCTION("""COMPUTED_VALUE"""),50.0)</f>
        <v>50</v>
      </c>
      <c r="E114" s="1">
        <f>IFERROR(__xludf.DUMMYFUNCTION("""COMPUTED_VALUE"""),50.0)</f>
        <v>50</v>
      </c>
      <c r="F114" s="1">
        <f>IFERROR(__xludf.DUMMYFUNCTION("""COMPUTED_VALUE"""),10.0)</f>
        <v>10</v>
      </c>
      <c r="G114" s="1">
        <f t="shared" si="1"/>
        <v>5</v>
      </c>
      <c r="H114" s="1">
        <f t="shared" si="2"/>
        <v>5</v>
      </c>
      <c r="I114" s="1">
        <f>IFERROR(__xludf.DUMMYFUNCTION("IF(B114="""","""",
  100*F114 / MAX(FILTER($F:$F, $A:$A=$A114, $B:$B=$B114))
)
"),1.6666666666666667)</f>
        <v>1.666666667</v>
      </c>
      <c r="J114" s="1">
        <f>IFERROR(__xludf.DUMMYFUNCTION("IF(B114="""","""",
  100*E114 / MAX(FILTER($E:$E, $A:$A=$A114, $B:$B=$B114))
)
"),4.156275976724855)</f>
        <v>4.156275977</v>
      </c>
      <c r="K114" s="1">
        <f t="shared" si="3"/>
        <v>2.786990856</v>
      </c>
    </row>
    <row r="115">
      <c r="A115" s="3">
        <f>IFERROR(__xludf.DUMMYFUNCTION("""COMPUTED_VALUE"""),45717.0)</f>
        <v>45717</v>
      </c>
      <c r="B115" s="1" t="str">
        <f>IFERROR(__xludf.DUMMYFUNCTION("""COMPUTED_VALUE"""),"DPMall")</f>
        <v>DPMall</v>
      </c>
      <c r="C115" s="1" t="str">
        <f>IFERROR(__xludf.DUMMYFUNCTION("""COMPUTED_VALUE"""),"kinder bueno")</f>
        <v>kinder bueno</v>
      </c>
      <c r="D115" s="1">
        <f>IFERROR(__xludf.DUMMYFUNCTION("""COMPUTED_VALUE"""),475.0)</f>
        <v>475</v>
      </c>
      <c r="E115" s="1">
        <f>IFERROR(__xludf.DUMMYFUNCTION("""COMPUTED_VALUE"""),475.0)</f>
        <v>475</v>
      </c>
      <c r="F115" s="1">
        <f>IFERROR(__xludf.DUMMYFUNCTION("""COMPUTED_VALUE"""),95.0)</f>
        <v>95</v>
      </c>
      <c r="G115" s="1">
        <f t="shared" si="1"/>
        <v>5</v>
      </c>
      <c r="H115" s="1">
        <f t="shared" si="2"/>
        <v>5</v>
      </c>
      <c r="I115" s="1">
        <f>IFERROR(__xludf.DUMMYFUNCTION("IF(B115="""","""",
  100*F115 / MAX(FILTER($F:$F, $A:$A=$A115, $B:$B=$B115))
)
"),15.833333333333334)</f>
        <v>15.83333333</v>
      </c>
      <c r="J115" s="1">
        <f>IFERROR(__xludf.DUMMYFUNCTION("IF(B115="""","""",
  100*E115 / MAX(FILTER($E:$E, $A:$A=$A115, $B:$B=$B115))
)
"),39.484621778886115)</f>
        <v>39.48462178</v>
      </c>
      <c r="K115" s="1">
        <f t="shared" si="3"/>
        <v>26.47641313</v>
      </c>
    </row>
    <row r="116">
      <c r="A116" s="3">
        <f>IFERROR(__xludf.DUMMYFUNCTION("""COMPUTED_VALUE"""),45717.0)</f>
        <v>45717</v>
      </c>
      <c r="B116" s="1" t="str">
        <f>IFERROR(__xludf.DUMMYFUNCTION("""COMPUTED_VALUE"""),"DPMall")</f>
        <v>DPMall</v>
      </c>
      <c r="C116" s="1" t="str">
        <f>IFERROR(__xludf.DUMMYFUNCTION("""COMPUTED_VALUE"""),"kinder country")</f>
        <v>kinder country</v>
      </c>
      <c r="D116" s="1">
        <f>IFERROR(__xludf.DUMMYFUNCTION("""COMPUTED_VALUE"""),15.0)</f>
        <v>15</v>
      </c>
      <c r="E116" s="1">
        <f>IFERROR(__xludf.DUMMYFUNCTION("""COMPUTED_VALUE"""),15.0)</f>
        <v>15</v>
      </c>
      <c r="F116" s="1">
        <f>IFERROR(__xludf.DUMMYFUNCTION("""COMPUTED_VALUE"""),5.0)</f>
        <v>5</v>
      </c>
      <c r="G116" s="1">
        <f t="shared" si="1"/>
        <v>3</v>
      </c>
      <c r="H116" s="1">
        <f t="shared" si="2"/>
        <v>3</v>
      </c>
      <c r="I116" s="1">
        <f>IFERROR(__xludf.DUMMYFUNCTION("IF(B116="""","""",
  100*F116 / MAX(FILTER($F:$F, $A:$A=$A116, $B:$B=$B116))
)
"),0.8333333333333334)</f>
        <v>0.8333333333</v>
      </c>
      <c r="J116" s="1">
        <f>IFERROR(__xludf.DUMMYFUNCTION("IF(B116="""","""",
  100*E116 / MAX(FILTER($E:$E, $A:$A=$A116, $B:$B=$B116))
)
"),1.2468827930174564)</f>
        <v>1.246882793</v>
      </c>
      <c r="K116" s="1">
        <f t="shared" si="3"/>
        <v>1.01943059</v>
      </c>
    </row>
    <row r="117">
      <c r="A117" s="3">
        <f>IFERROR(__xludf.DUMMYFUNCTION("""COMPUTED_VALUE"""),45717.0)</f>
        <v>45717</v>
      </c>
      <c r="B117" s="1" t="str">
        <f>IFERROR(__xludf.DUMMYFUNCTION("""COMPUTED_VALUE"""),"DPMall")</f>
        <v>DPMall</v>
      </c>
      <c r="C117" s="1" t="str">
        <f>IFERROR(__xludf.DUMMYFUNCTION("""COMPUTED_VALUE"""),"kinza")</f>
        <v>kinza</v>
      </c>
      <c r="D117" s="1">
        <f>IFERROR(__xludf.DUMMYFUNCTION("""COMPUTED_VALUE"""),78.0)</f>
        <v>78</v>
      </c>
      <c r="E117" s="1">
        <f>IFERROR(__xludf.DUMMYFUNCTION("""COMPUTED_VALUE"""),78.0)</f>
        <v>78</v>
      </c>
      <c r="F117" s="1">
        <f>IFERROR(__xludf.DUMMYFUNCTION("""COMPUTED_VALUE"""),39.0)</f>
        <v>39</v>
      </c>
      <c r="G117" s="1">
        <f t="shared" si="1"/>
        <v>2</v>
      </c>
      <c r="H117" s="1">
        <f t="shared" si="2"/>
        <v>2</v>
      </c>
      <c r="I117" s="1">
        <f>IFERROR(__xludf.DUMMYFUNCTION("IF(B117="""","""",
  100*F117 / MAX(FILTER($F:$F, $A:$A=$A117, $B:$B=$B117))
)
"),6.5)</f>
        <v>6.5</v>
      </c>
      <c r="J117" s="1">
        <f>IFERROR(__xludf.DUMMYFUNCTION("IF(B117="""","""",
  100*E117 / MAX(FILTER($E:$E, $A:$A=$A117, $B:$B=$B117))
)
"),6.483790523690773)</f>
        <v>6.483790524</v>
      </c>
      <c r="K117" s="1">
        <f t="shared" si="3"/>
        <v>6.492705736</v>
      </c>
    </row>
    <row r="118">
      <c r="A118" s="3">
        <f>IFERROR(__xludf.DUMMYFUNCTION("""COMPUTED_VALUE"""),45717.0)</f>
        <v>45717</v>
      </c>
      <c r="B118" s="1" t="str">
        <f>IFERROR(__xludf.DUMMYFUNCTION("""COMPUTED_VALUE"""),"DPMall")</f>
        <v>DPMall</v>
      </c>
      <c r="C118" s="1" t="str">
        <f>IFERROR(__xludf.DUMMYFUNCTION("""COMPUTED_VALUE"""),"kitkat")</f>
        <v>kitkat</v>
      </c>
      <c r="D118" s="1">
        <f>IFERROR(__xludf.DUMMYFUNCTION("""COMPUTED_VALUE"""),140.0)</f>
        <v>140</v>
      </c>
      <c r="E118" s="1">
        <f>IFERROR(__xludf.DUMMYFUNCTION("""COMPUTED_VALUE"""),140.0)</f>
        <v>140</v>
      </c>
      <c r="F118" s="1">
        <f>IFERROR(__xludf.DUMMYFUNCTION("""COMPUTED_VALUE"""),44.0)</f>
        <v>44</v>
      </c>
      <c r="G118" s="1">
        <f t="shared" si="1"/>
        <v>3.181818182</v>
      </c>
      <c r="H118" s="1">
        <f t="shared" si="2"/>
        <v>3.181818182</v>
      </c>
      <c r="I118" s="1">
        <f>IFERROR(__xludf.DUMMYFUNCTION("IF(B118="""","""",
  100*F118 / MAX(FILTER($F:$F, $A:$A=$A118, $B:$B=$B118))
)
"),7.333333333333333)</f>
        <v>7.333333333</v>
      </c>
      <c r="J118" s="1">
        <f>IFERROR(__xludf.DUMMYFUNCTION("IF(B118="""","""",
  100*E118 / MAX(FILTER($E:$E, $A:$A=$A118, $B:$B=$B118))
)
"),11.637572734829593)</f>
        <v>11.63757273</v>
      </c>
      <c r="K118" s="1">
        <f t="shared" si="3"/>
        <v>9.270241064</v>
      </c>
    </row>
    <row r="119">
      <c r="A119" s="3">
        <f>IFERROR(__xludf.DUMMYFUNCTION("""COMPUTED_VALUE"""),45717.0)</f>
        <v>45717</v>
      </c>
      <c r="B119" s="1" t="str">
        <f>IFERROR(__xludf.DUMMYFUNCTION("""COMPUTED_VALUE"""),"DPMall")</f>
        <v>DPMall</v>
      </c>
      <c r="C119" s="1" t="str">
        <f>IFERROR(__xludf.DUMMYFUNCTION("""COMPUTED_VALUE"""),"m&amp;m's")</f>
        <v>m&amp;m's</v>
      </c>
      <c r="D119" s="1">
        <f>IFERROR(__xludf.DUMMYFUNCTION("""COMPUTED_VALUE"""),180.0)</f>
        <v>180</v>
      </c>
      <c r="E119" s="1">
        <f>IFERROR(__xludf.DUMMYFUNCTION("""COMPUTED_VALUE"""),180.0)</f>
        <v>180</v>
      </c>
      <c r="F119" s="1">
        <f>IFERROR(__xludf.DUMMYFUNCTION("""COMPUTED_VALUE"""),45.0)</f>
        <v>45</v>
      </c>
      <c r="G119" s="1">
        <f t="shared" si="1"/>
        <v>4</v>
      </c>
      <c r="H119" s="1">
        <f t="shared" si="2"/>
        <v>4</v>
      </c>
      <c r="I119" s="1">
        <f>IFERROR(__xludf.DUMMYFUNCTION("IF(B119="""","""",
  100*F119 / MAX(FILTER($F:$F, $A:$A=$A119, $B:$B=$B119))
)
"),7.5)</f>
        <v>7.5</v>
      </c>
      <c r="J119" s="1">
        <f>IFERROR(__xludf.DUMMYFUNCTION("IF(B119="""","""",
  100*E119 / MAX(FILTER($E:$E, $A:$A=$A119, $B:$B=$B119))
)
"),14.962593516209477)</f>
        <v>14.96259352</v>
      </c>
      <c r="K119" s="1">
        <f t="shared" si="3"/>
        <v>10.85816708</v>
      </c>
    </row>
    <row r="120">
      <c r="A120" s="3">
        <f>IFERROR(__xludf.DUMMYFUNCTION("""COMPUTED_VALUE"""),45717.0)</f>
        <v>45717</v>
      </c>
      <c r="B120" s="1" t="str">
        <f>IFERROR(__xludf.DUMMYFUNCTION("""COMPUTED_VALUE"""),"DPMall")</f>
        <v>DPMall</v>
      </c>
      <c r="C120" s="1" t="str">
        <f>IFERROR(__xludf.DUMMYFUNCTION("""COMPUTED_VALUE"""),"maxBrew")</f>
        <v>maxBrew</v>
      </c>
      <c r="D120" s="1">
        <f>IFERROR(__xludf.DUMMYFUNCTION("""COMPUTED_VALUE"""),6.0)</f>
        <v>6</v>
      </c>
      <c r="E120" s="1">
        <f>IFERROR(__xludf.DUMMYFUNCTION("""COMPUTED_VALUE"""),6.0)</f>
        <v>6</v>
      </c>
      <c r="F120" s="1">
        <f>IFERROR(__xludf.DUMMYFUNCTION("""COMPUTED_VALUE"""),1.0)</f>
        <v>1</v>
      </c>
      <c r="G120" s="1">
        <f t="shared" si="1"/>
        <v>6</v>
      </c>
      <c r="H120" s="1">
        <f t="shared" si="2"/>
        <v>6</v>
      </c>
      <c r="I120" s="1">
        <f>IFERROR(__xludf.DUMMYFUNCTION("IF(B120="""","""",
  100*F120 / MAX(FILTER($F:$F, $A:$A=$A120, $B:$B=$B120))
)
"),0.16666666666666666)</f>
        <v>0.1666666667</v>
      </c>
      <c r="J120" s="1">
        <f>IFERROR(__xludf.DUMMYFUNCTION("IF(B120="""","""",
  100*E120 / MAX(FILTER($E:$E, $A:$A=$A120, $B:$B=$B120))
)
"),0.49875311720698257)</f>
        <v>0.4987531172</v>
      </c>
      <c r="K120" s="1">
        <f t="shared" si="3"/>
        <v>0.3161055694</v>
      </c>
    </row>
    <row r="121">
      <c r="A121" s="3">
        <f>IFERROR(__xludf.DUMMYFUNCTION("""COMPUTED_VALUE"""),45717.0)</f>
        <v>45717</v>
      </c>
      <c r="B121" s="1" t="str">
        <f>IFERROR(__xludf.DUMMYFUNCTION("""COMPUTED_VALUE"""),"DPMall")</f>
        <v>DPMall</v>
      </c>
      <c r="C121" s="1" t="str">
        <f>IFERROR(__xludf.DUMMYFUNCTION("""COMPUTED_VALUE"""),"maxFly")</f>
        <v>maxFly</v>
      </c>
      <c r="D121" s="1">
        <f>IFERROR(__xludf.DUMMYFUNCTION("""COMPUTED_VALUE"""),28.0)</f>
        <v>28</v>
      </c>
      <c r="E121" s="1">
        <f>IFERROR(__xludf.DUMMYFUNCTION("""COMPUTED_VALUE"""),28.0)</f>
        <v>28</v>
      </c>
      <c r="F121" s="1">
        <f>IFERROR(__xludf.DUMMYFUNCTION("""COMPUTED_VALUE"""),7.0)</f>
        <v>7</v>
      </c>
      <c r="G121" s="1">
        <f t="shared" si="1"/>
        <v>4</v>
      </c>
      <c r="H121" s="1">
        <f t="shared" si="2"/>
        <v>4</v>
      </c>
      <c r="I121" s="1">
        <f>IFERROR(__xludf.DUMMYFUNCTION("IF(B121="""","""",
  100*F121 / MAX(FILTER($F:$F, $A:$A=$A121, $B:$B=$B121))
)
"),1.1666666666666667)</f>
        <v>1.166666667</v>
      </c>
      <c r="J121" s="1">
        <f>IFERROR(__xludf.DUMMYFUNCTION("IF(B121="""","""",
  100*E121 / MAX(FILTER($E:$E, $A:$A=$A121, $B:$B=$B121))
)
"),2.3275145469659186)</f>
        <v>2.327514547</v>
      </c>
      <c r="K121" s="1">
        <f t="shared" si="3"/>
        <v>1.689048213</v>
      </c>
    </row>
    <row r="122">
      <c r="A122" s="3">
        <f>IFERROR(__xludf.DUMMYFUNCTION("""COMPUTED_VALUE"""),45717.0)</f>
        <v>45717</v>
      </c>
      <c r="B122" s="1" t="str">
        <f>IFERROR(__xludf.DUMMYFUNCTION("""COMPUTED_VALUE"""),"DPMall")</f>
        <v>DPMall</v>
      </c>
      <c r="C122" s="1" t="str">
        <f>IFERROR(__xludf.DUMMYFUNCTION("""COMPUTED_VALUE"""),"maxxx chips 65g")</f>
        <v>maxxx chips 65g</v>
      </c>
      <c r="D122" s="1">
        <f>IFERROR(__xludf.DUMMYFUNCTION("""COMPUTED_VALUE"""),28.0)</f>
        <v>28</v>
      </c>
      <c r="E122" s="1">
        <f>IFERROR(__xludf.DUMMYFUNCTION("""COMPUTED_VALUE"""),28.0)</f>
        <v>28</v>
      </c>
      <c r="F122" s="1">
        <f>IFERROR(__xludf.DUMMYFUNCTION("""COMPUTED_VALUE"""),7.0)</f>
        <v>7</v>
      </c>
      <c r="G122" s="1">
        <f t="shared" si="1"/>
        <v>4</v>
      </c>
      <c r="H122" s="1">
        <f t="shared" si="2"/>
        <v>4</v>
      </c>
      <c r="I122" s="1">
        <f>IFERROR(__xludf.DUMMYFUNCTION("IF(B122="""","""",
  100*F122 / MAX(FILTER($F:$F, $A:$A=$A122, $B:$B=$B122))
)
"),1.1666666666666667)</f>
        <v>1.166666667</v>
      </c>
      <c r="J122" s="1">
        <f>IFERROR(__xludf.DUMMYFUNCTION("IF(B122="""","""",
  100*E122 / MAX(FILTER($E:$E, $A:$A=$A122, $B:$B=$B122))
)
"),2.3275145469659186)</f>
        <v>2.327514547</v>
      </c>
      <c r="K122" s="1">
        <f t="shared" si="3"/>
        <v>1.689048213</v>
      </c>
    </row>
    <row r="123">
      <c r="A123" s="3">
        <f>IFERROR(__xludf.DUMMYFUNCTION("""COMPUTED_VALUE"""),45717.0)</f>
        <v>45717</v>
      </c>
      <c r="B123" s="1" t="str">
        <f>IFERROR(__xludf.DUMMYFUNCTION("""COMPUTED_VALUE"""),"DPMall")</f>
        <v>DPMall</v>
      </c>
      <c r="C123" s="1" t="str">
        <f>IFERROR(__xludf.DUMMYFUNCTION("""COMPUTED_VALUE"""),"monster energy")</f>
        <v>monster energy</v>
      </c>
      <c r="D123" s="1">
        <f>IFERROR(__xludf.DUMMYFUNCTION("""COMPUTED_VALUE"""),10.0)</f>
        <v>10</v>
      </c>
      <c r="E123" s="1">
        <f>IFERROR(__xludf.DUMMYFUNCTION("""COMPUTED_VALUE"""),10.0)</f>
        <v>10</v>
      </c>
      <c r="F123" s="1">
        <f>IFERROR(__xludf.DUMMYFUNCTION("""COMPUTED_VALUE"""),2.0)</f>
        <v>2</v>
      </c>
      <c r="G123" s="1">
        <f t="shared" si="1"/>
        <v>5</v>
      </c>
      <c r="H123" s="1">
        <f t="shared" si="2"/>
        <v>5</v>
      </c>
      <c r="I123" s="1">
        <f>IFERROR(__xludf.DUMMYFUNCTION("IF(B123="""","""",
  100*F123 / MAX(FILTER($F:$F, $A:$A=$A123, $B:$B=$B123))
)
"),0.3333333333333333)</f>
        <v>0.3333333333</v>
      </c>
      <c r="J123" s="1">
        <f>IFERROR(__xludf.DUMMYFUNCTION("IF(B123="""","""",
  100*E123 / MAX(FILTER($E:$E, $A:$A=$A123, $B:$B=$B123))
)
"),0.8312551953449709)</f>
        <v>0.8312551953</v>
      </c>
      <c r="K123" s="1">
        <f t="shared" si="3"/>
        <v>0.5573981712</v>
      </c>
    </row>
    <row r="124">
      <c r="A124" s="3">
        <f>IFERROR(__xludf.DUMMYFUNCTION("""COMPUTED_VALUE"""),45717.0)</f>
        <v>45717</v>
      </c>
      <c r="B124" s="1" t="str">
        <f>IFERROR(__xludf.DUMMYFUNCTION("""COMPUTED_VALUE"""),"DPMall")</f>
        <v>DPMall</v>
      </c>
      <c r="C124" s="1" t="str">
        <f>IFERROR(__xludf.DUMMYFUNCTION("""COMPUTED_VALUE"""),"mr bite")</f>
        <v>mr bite</v>
      </c>
      <c r="D124" s="1">
        <f>IFERROR(__xludf.DUMMYFUNCTION("""COMPUTED_VALUE"""),186.0)</f>
        <v>186</v>
      </c>
      <c r="E124" s="1">
        <f>IFERROR(__xludf.DUMMYFUNCTION("""COMPUTED_VALUE"""),186.0)</f>
        <v>186</v>
      </c>
      <c r="F124" s="1">
        <f>IFERROR(__xludf.DUMMYFUNCTION("""COMPUTED_VALUE"""),93.0)</f>
        <v>93</v>
      </c>
      <c r="G124" s="1">
        <f t="shared" si="1"/>
        <v>2</v>
      </c>
      <c r="H124" s="1">
        <f t="shared" si="2"/>
        <v>2</v>
      </c>
      <c r="I124" s="1">
        <f>IFERROR(__xludf.DUMMYFUNCTION("IF(B124="""","""",
  100*F124 / MAX(FILTER($F:$F, $A:$A=$A124, $B:$B=$B124))
)
"),15.5)</f>
        <v>15.5</v>
      </c>
      <c r="J124" s="1">
        <f>IFERROR(__xludf.DUMMYFUNCTION("IF(B124="""","""",
  100*E124 / MAX(FILTER($E:$E, $A:$A=$A124, $B:$B=$B124))
)
"),15.46134663341646)</f>
        <v>15.46134663</v>
      </c>
      <c r="K124" s="1">
        <f t="shared" si="3"/>
        <v>15.48260599</v>
      </c>
    </row>
    <row r="125">
      <c r="A125" s="3">
        <f>IFERROR(__xludf.DUMMYFUNCTION("""COMPUTED_VALUE"""),45717.0)</f>
        <v>45717</v>
      </c>
      <c r="B125" s="1" t="str">
        <f>IFERROR(__xludf.DUMMYFUNCTION("""COMPUTED_VALUE"""),"DPMall")</f>
        <v>DPMall</v>
      </c>
      <c r="C125" s="1" t="str">
        <f>IFERROR(__xludf.DUMMYFUNCTION("""COMPUTED_VALUE"""),"pattes chips")</f>
        <v>pattes chips</v>
      </c>
      <c r="D125" s="1">
        <f>IFERROR(__xludf.DUMMYFUNCTION("""COMPUTED_VALUE"""),42.0)</f>
        <v>42</v>
      </c>
      <c r="E125" s="1">
        <f>IFERROR(__xludf.DUMMYFUNCTION("""COMPUTED_VALUE"""),42.0)</f>
        <v>42</v>
      </c>
      <c r="F125" s="1">
        <f>IFERROR(__xludf.DUMMYFUNCTION("""COMPUTED_VALUE"""),8.0)</f>
        <v>8</v>
      </c>
      <c r="G125" s="1">
        <f t="shared" si="1"/>
        <v>5.25</v>
      </c>
      <c r="H125" s="1">
        <f t="shared" si="2"/>
        <v>5.25</v>
      </c>
      <c r="I125" s="1">
        <f>IFERROR(__xludf.DUMMYFUNCTION("IF(B125="""","""",
  100*F125 / MAX(FILTER($F:$F, $A:$A=$A125, $B:$B=$B125))
)
"),1.3333333333333333)</f>
        <v>1.333333333</v>
      </c>
      <c r="J125" s="1">
        <f>IFERROR(__xludf.DUMMYFUNCTION("IF(B125="""","""",
  100*E125 / MAX(FILTER($E:$E, $A:$A=$A125, $B:$B=$B125))
)
"),3.491271820448878)</f>
        <v>3.49127182</v>
      </c>
      <c r="K125" s="1">
        <f t="shared" si="3"/>
        <v>2.304405653</v>
      </c>
    </row>
    <row r="126">
      <c r="A126" s="3">
        <f>IFERROR(__xludf.DUMMYFUNCTION("""COMPUTED_VALUE"""),45717.0)</f>
        <v>45717</v>
      </c>
      <c r="B126" s="1" t="str">
        <f>IFERROR(__xludf.DUMMYFUNCTION("""COMPUTED_VALUE"""),"DPMall")</f>
        <v>DPMall</v>
      </c>
      <c r="C126" s="1" t="str">
        <f>IFERROR(__xludf.DUMMYFUNCTION("""COMPUTED_VALUE"""),"pepsi 500ml")</f>
        <v>pepsi 500ml</v>
      </c>
      <c r="D126" s="1">
        <f>IFERROR(__xludf.DUMMYFUNCTION("""COMPUTED_VALUE"""),144.0)</f>
        <v>144</v>
      </c>
      <c r="E126" s="1">
        <f>IFERROR(__xludf.DUMMYFUNCTION("""COMPUTED_VALUE"""),144.0)</f>
        <v>144</v>
      </c>
      <c r="F126" s="1">
        <f>IFERROR(__xludf.DUMMYFUNCTION("""COMPUTED_VALUE"""),48.0)</f>
        <v>48</v>
      </c>
      <c r="G126" s="1">
        <f t="shared" si="1"/>
        <v>3</v>
      </c>
      <c r="H126" s="1">
        <f t="shared" si="2"/>
        <v>3</v>
      </c>
      <c r="I126" s="1">
        <f>IFERROR(__xludf.DUMMYFUNCTION("IF(B126="""","""",
  100*F126 / MAX(FILTER($F:$F, $A:$A=$A126, $B:$B=$B126))
)
"),8.0)</f>
        <v>8</v>
      </c>
      <c r="J126" s="1">
        <f>IFERROR(__xludf.DUMMYFUNCTION("IF(B126="""","""",
  100*E126 / MAX(FILTER($E:$E, $A:$A=$A126, $B:$B=$B126))
)
"),11.970074812967582)</f>
        <v>11.97007481</v>
      </c>
      <c r="K126" s="1">
        <f t="shared" si="3"/>
        <v>9.786533666</v>
      </c>
    </row>
    <row r="127">
      <c r="A127" s="3">
        <f>IFERROR(__xludf.DUMMYFUNCTION("""COMPUTED_VALUE"""),45717.0)</f>
        <v>45717</v>
      </c>
      <c r="B127" s="1" t="str">
        <f>IFERROR(__xludf.DUMMYFUNCTION("""COMPUTED_VALUE"""),"DPMall")</f>
        <v>DPMall</v>
      </c>
      <c r="C127" s="1" t="str">
        <f>IFERROR(__xludf.DUMMYFUNCTION("""COMPUTED_VALUE"""),"prigles bugle")</f>
        <v>prigles bugle</v>
      </c>
      <c r="D127" s="1">
        <f>IFERROR(__xludf.DUMMYFUNCTION("""COMPUTED_VALUE"""),176.0)</f>
        <v>176</v>
      </c>
      <c r="E127" s="1">
        <f>IFERROR(__xludf.DUMMYFUNCTION("""COMPUTED_VALUE"""),176.0)</f>
        <v>176</v>
      </c>
      <c r="F127" s="1">
        <f>IFERROR(__xludf.DUMMYFUNCTION("""COMPUTED_VALUE"""),44.0)</f>
        <v>44</v>
      </c>
      <c r="G127" s="1">
        <f t="shared" si="1"/>
        <v>4</v>
      </c>
      <c r="H127" s="1">
        <f t="shared" si="2"/>
        <v>4</v>
      </c>
      <c r="I127" s="1">
        <f>IFERROR(__xludf.DUMMYFUNCTION("IF(B127="""","""",
  100*F127 / MAX(FILTER($F:$F, $A:$A=$A127, $B:$B=$B127))
)
"),7.333333333333333)</f>
        <v>7.333333333</v>
      </c>
      <c r="J127" s="1">
        <f>IFERROR(__xludf.DUMMYFUNCTION("IF(B127="""","""",
  100*E127 / MAX(FILTER($E:$E, $A:$A=$A127, $B:$B=$B127))
)
"),14.630091438071489)</f>
        <v>14.63009144</v>
      </c>
      <c r="K127" s="1">
        <f t="shared" si="3"/>
        <v>10.61687448</v>
      </c>
    </row>
    <row r="128">
      <c r="A128" s="3">
        <f>IFERROR(__xludf.DUMMYFUNCTION("""COMPUTED_VALUE"""),45717.0)</f>
        <v>45717</v>
      </c>
      <c r="B128" s="1" t="str">
        <f>IFERROR(__xludf.DUMMYFUNCTION("""COMPUTED_VALUE"""),"DPMall")</f>
        <v>DPMall</v>
      </c>
      <c r="C128" s="1" t="str">
        <f>IFERROR(__xludf.DUMMYFUNCTION("""COMPUTED_VALUE"""),"pringles")</f>
        <v>pringles</v>
      </c>
      <c r="D128" s="1">
        <f>IFERROR(__xludf.DUMMYFUNCTION("""COMPUTED_VALUE"""),66.0)</f>
        <v>66</v>
      </c>
      <c r="E128" s="1">
        <f>IFERROR(__xludf.DUMMYFUNCTION("""COMPUTED_VALUE"""),66.0)</f>
        <v>66</v>
      </c>
      <c r="F128" s="1">
        <f>IFERROR(__xludf.DUMMYFUNCTION("""COMPUTED_VALUE"""),11.0)</f>
        <v>11</v>
      </c>
      <c r="G128" s="1">
        <f t="shared" si="1"/>
        <v>6</v>
      </c>
      <c r="H128" s="1">
        <f t="shared" si="2"/>
        <v>6</v>
      </c>
      <c r="I128" s="1">
        <f>IFERROR(__xludf.DUMMYFUNCTION("IF(B128="""","""",
  100*F128 / MAX(FILTER($F:$F, $A:$A=$A128, $B:$B=$B128))
)
"),1.8333333333333333)</f>
        <v>1.833333333</v>
      </c>
      <c r="J128" s="1">
        <f>IFERROR(__xludf.DUMMYFUNCTION("IF(B128="""","""",
  100*E128 / MAX(FILTER($E:$E, $A:$A=$A128, $B:$B=$B128))
)
"),5.486284289276808)</f>
        <v>5.486284289</v>
      </c>
      <c r="K128" s="1">
        <f t="shared" si="3"/>
        <v>3.477161264</v>
      </c>
    </row>
    <row r="129">
      <c r="A129" s="3">
        <f>IFERROR(__xludf.DUMMYFUNCTION("""COMPUTED_VALUE"""),45717.0)</f>
        <v>45717</v>
      </c>
      <c r="B129" s="1" t="str">
        <f>IFERROR(__xludf.DUMMYFUNCTION("""COMPUTED_VALUE"""),"DPMall")</f>
        <v>DPMall</v>
      </c>
      <c r="C129" s="1" t="str">
        <f>IFERROR(__xludf.DUMMYFUNCTION("""COMPUTED_VALUE"""),"schweppers")</f>
        <v>schweppers</v>
      </c>
      <c r="D129" s="1">
        <f>IFERROR(__xludf.DUMMYFUNCTION("""COMPUTED_VALUE"""),72.0)</f>
        <v>72</v>
      </c>
      <c r="E129" s="1">
        <f>IFERROR(__xludf.DUMMYFUNCTION("""COMPUTED_VALUE"""),72.0)</f>
        <v>72</v>
      </c>
      <c r="F129" s="1">
        <f>IFERROR(__xludf.DUMMYFUNCTION("""COMPUTED_VALUE"""),24.0)</f>
        <v>24</v>
      </c>
      <c r="G129" s="1">
        <f t="shared" si="1"/>
        <v>3</v>
      </c>
      <c r="H129" s="1">
        <f t="shared" si="2"/>
        <v>3</v>
      </c>
      <c r="I129" s="1">
        <f>IFERROR(__xludf.DUMMYFUNCTION("IF(B129="""","""",
  100*F129 / MAX(FILTER($F:$F, $A:$A=$A129, $B:$B=$B129))
)
"),4.0)</f>
        <v>4</v>
      </c>
      <c r="J129" s="1">
        <f>IFERROR(__xludf.DUMMYFUNCTION("IF(B129="""","""",
  100*E129 / MAX(FILTER($E:$E, $A:$A=$A129, $B:$B=$B129))
)
"),5.985037406483791)</f>
        <v>5.985037406</v>
      </c>
      <c r="K129" s="1">
        <f t="shared" si="3"/>
        <v>4.893266833</v>
      </c>
    </row>
    <row r="130">
      <c r="A130" s="3">
        <f>IFERROR(__xludf.DUMMYFUNCTION("""COMPUTED_VALUE"""),45717.0)</f>
        <v>45717</v>
      </c>
      <c r="B130" s="1" t="str">
        <f>IFERROR(__xludf.DUMMYFUNCTION("""COMPUTED_VALUE"""),"DPMall")</f>
        <v>DPMall</v>
      </c>
      <c r="C130" s="1" t="str">
        <f>IFERROR(__xludf.DUMMYFUNCTION("""COMPUTED_VALUE"""),"shani 500ml")</f>
        <v>shani 500ml</v>
      </c>
      <c r="D130" s="1">
        <f>IFERROR(__xludf.DUMMYFUNCTION("""COMPUTED_VALUE"""),3.0)</f>
        <v>3</v>
      </c>
      <c r="E130" s="1">
        <f>IFERROR(__xludf.DUMMYFUNCTION("""COMPUTED_VALUE"""),3.0)</f>
        <v>3</v>
      </c>
      <c r="F130" s="1">
        <f>IFERROR(__xludf.DUMMYFUNCTION("""COMPUTED_VALUE"""),1.0)</f>
        <v>1</v>
      </c>
      <c r="G130" s="1">
        <f t="shared" si="1"/>
        <v>3</v>
      </c>
      <c r="H130" s="1">
        <f t="shared" si="2"/>
        <v>3</v>
      </c>
      <c r="I130" s="1">
        <f>IFERROR(__xludf.DUMMYFUNCTION("IF(B130="""","""",
  100*F130 / MAX(FILTER($F:$F, $A:$A=$A130, $B:$B=$B130))
)
"),0.16666666666666666)</f>
        <v>0.1666666667</v>
      </c>
      <c r="J130" s="1">
        <f>IFERROR(__xludf.DUMMYFUNCTION("IF(B130="""","""",
  100*E130 / MAX(FILTER($E:$E, $A:$A=$A130, $B:$B=$B130))
)
"),0.24937655860349128)</f>
        <v>0.2493765586</v>
      </c>
      <c r="K130" s="1">
        <f t="shared" si="3"/>
        <v>0.203886118</v>
      </c>
    </row>
    <row r="131">
      <c r="A131" s="3">
        <f>IFERROR(__xludf.DUMMYFUNCTION("""COMPUTED_VALUE"""),45717.0)</f>
        <v>45717</v>
      </c>
      <c r="B131" s="1" t="str">
        <f>IFERROR(__xludf.DUMMYFUNCTION("""COMPUTED_VALUE"""),"DPMall")</f>
        <v>DPMall</v>
      </c>
      <c r="C131" s="1" t="str">
        <f>IFERROR(__xludf.DUMMYFUNCTION("""COMPUTED_VALUE"""),"skittles")</f>
        <v>skittles</v>
      </c>
      <c r="D131" s="1">
        <f>IFERROR(__xludf.DUMMYFUNCTION("""COMPUTED_VALUE"""),240.0)</f>
        <v>240</v>
      </c>
      <c r="E131" s="1">
        <f>IFERROR(__xludf.DUMMYFUNCTION("""COMPUTED_VALUE"""),240.0)</f>
        <v>240</v>
      </c>
      <c r="F131" s="1">
        <f>IFERROR(__xludf.DUMMYFUNCTION("""COMPUTED_VALUE"""),60.0)</f>
        <v>60</v>
      </c>
      <c r="G131" s="1">
        <f t="shared" si="1"/>
        <v>4</v>
      </c>
      <c r="H131" s="1">
        <f t="shared" si="2"/>
        <v>4</v>
      </c>
      <c r="I131" s="1">
        <f>IFERROR(__xludf.DUMMYFUNCTION("IF(B131="""","""",
  100*F131 / MAX(FILTER($F:$F, $A:$A=$A131, $B:$B=$B131))
)
"),10.0)</f>
        <v>10</v>
      </c>
      <c r="J131" s="1">
        <f>IFERROR(__xludf.DUMMYFUNCTION("IF(B131="""","""",
  100*E131 / MAX(FILTER($E:$E, $A:$A=$A131, $B:$B=$B131))
)
"),19.950124688279303)</f>
        <v>19.95012469</v>
      </c>
      <c r="K131" s="1">
        <f t="shared" si="3"/>
        <v>14.47755611</v>
      </c>
    </row>
    <row r="132">
      <c r="A132" s="3">
        <f>IFERROR(__xludf.DUMMYFUNCTION("""COMPUTED_VALUE"""),45717.0)</f>
        <v>45717</v>
      </c>
      <c r="B132" s="1" t="str">
        <f>IFERROR(__xludf.DUMMYFUNCTION("""COMPUTED_VALUE"""),"DPMall")</f>
        <v>DPMall</v>
      </c>
      <c r="C132" s="1" t="str">
        <f>IFERROR(__xludf.DUMMYFUNCTION("""COMPUTED_VALUE"""),"sprite")</f>
        <v>sprite</v>
      </c>
      <c r="D132" s="1">
        <f>IFERROR(__xludf.DUMMYFUNCTION("""COMPUTED_VALUE"""),20.0)</f>
        <v>20</v>
      </c>
      <c r="E132" s="1">
        <f>IFERROR(__xludf.DUMMYFUNCTION("""COMPUTED_VALUE"""),20.0)</f>
        <v>20</v>
      </c>
      <c r="F132" s="1">
        <f>IFERROR(__xludf.DUMMYFUNCTION("""COMPUTED_VALUE"""),10.0)</f>
        <v>10</v>
      </c>
      <c r="G132" s="1">
        <f t="shared" si="1"/>
        <v>2</v>
      </c>
      <c r="H132" s="1">
        <f t="shared" si="2"/>
        <v>2</v>
      </c>
      <c r="I132" s="1">
        <f>IFERROR(__xludf.DUMMYFUNCTION("IF(B132="""","""",
  100*F132 / MAX(FILTER($F:$F, $A:$A=$A132, $B:$B=$B132))
)
"),1.6666666666666667)</f>
        <v>1.666666667</v>
      </c>
      <c r="J132" s="1">
        <f>IFERROR(__xludf.DUMMYFUNCTION("IF(B132="""","""",
  100*E132 / MAX(FILTER($E:$E, $A:$A=$A132, $B:$B=$B132))
)
"),1.6625103906899419)</f>
        <v>1.662510391</v>
      </c>
      <c r="K132" s="1">
        <f t="shared" si="3"/>
        <v>1.664796342</v>
      </c>
    </row>
    <row r="133">
      <c r="A133" s="3">
        <f>IFERROR(__xludf.DUMMYFUNCTION("""COMPUTED_VALUE"""),45717.0)</f>
        <v>45717</v>
      </c>
      <c r="B133" s="1" t="str">
        <f>IFERROR(__xludf.DUMMYFUNCTION("""COMPUTED_VALUE"""),"DPMall")</f>
        <v>DPMall</v>
      </c>
      <c r="C133" s="1" t="str">
        <f>IFERROR(__xludf.DUMMYFUNCTION("""COMPUTED_VALUE"""),"xo energy")</f>
        <v>xo energy</v>
      </c>
      <c r="D133" s="1">
        <f>IFERROR(__xludf.DUMMYFUNCTION("""COMPUTED_VALUE"""),150.0)</f>
        <v>150</v>
      </c>
      <c r="E133" s="1">
        <f>IFERROR(__xludf.DUMMYFUNCTION("""COMPUTED_VALUE"""),150.0)</f>
        <v>150</v>
      </c>
      <c r="F133" s="1">
        <f>IFERROR(__xludf.DUMMYFUNCTION("""COMPUTED_VALUE"""),30.0)</f>
        <v>30</v>
      </c>
      <c r="G133" s="1">
        <f t="shared" si="1"/>
        <v>5</v>
      </c>
      <c r="H133" s="1">
        <f t="shared" si="2"/>
        <v>5</v>
      </c>
      <c r="I133" s="1">
        <f>IFERROR(__xludf.DUMMYFUNCTION("IF(B133="""","""",
  100*F133 / MAX(FILTER($F:$F, $A:$A=$A133, $B:$B=$B133))
)
"),5.0)</f>
        <v>5</v>
      </c>
      <c r="J133" s="1">
        <f>IFERROR(__xludf.DUMMYFUNCTION("IF(B133="""","""",
  100*E133 / MAX(FILTER($E:$E, $A:$A=$A133, $B:$B=$B133))
)
"),12.468827930174564)</f>
        <v>12.46882793</v>
      </c>
      <c r="K133" s="1">
        <f t="shared" si="3"/>
        <v>8.360972569</v>
      </c>
    </row>
    <row r="134">
      <c r="A134" s="3">
        <f>IFERROR(__xludf.DUMMYFUNCTION("""COMPUTED_VALUE"""),45748.0)</f>
        <v>45748</v>
      </c>
      <c r="B134" s="1" t="str">
        <f>IFERROR(__xludf.DUMMYFUNCTION("""COMPUTED_VALUE"""),"DPMall")</f>
        <v>DPMall</v>
      </c>
      <c r="C134" s="1" t="str">
        <f>IFERROR(__xludf.DUMMYFUNCTION("""COMPUTED_VALUE"""),"Al rihan")</f>
        <v>Al rihan</v>
      </c>
      <c r="D134" s="1">
        <f>IFERROR(__xludf.DUMMYFUNCTION("""COMPUTED_VALUE"""),156.0)</f>
        <v>156</v>
      </c>
      <c r="E134" s="1">
        <f>IFERROR(__xludf.DUMMYFUNCTION("""COMPUTED_VALUE"""),156.0)</f>
        <v>156</v>
      </c>
      <c r="F134" s="1">
        <f>IFERROR(__xludf.DUMMYFUNCTION("""COMPUTED_VALUE"""),156.0)</f>
        <v>156</v>
      </c>
      <c r="G134" s="1">
        <f t="shared" si="1"/>
        <v>1</v>
      </c>
      <c r="H134" s="1">
        <f t="shared" si="2"/>
        <v>1</v>
      </c>
      <c r="I134" s="1">
        <f>IFERROR(__xludf.DUMMYFUNCTION("IF(B134="""","""",
  100*F134 / MAX(FILTER($F:$F, $A:$A=$A134, $B:$B=$B134))
)
"),21.910112359550563)</f>
        <v>21.91011236</v>
      </c>
      <c r="J134" s="1">
        <f>IFERROR(__xludf.DUMMYFUNCTION("IF(B134="""","""",
  100*E134 / MAX(FILTER($E:$E, $A:$A=$A134, $B:$B=$B134))
)
"),6.800348735832607)</f>
        <v>6.800348736</v>
      </c>
      <c r="K134" s="1">
        <f t="shared" si="3"/>
        <v>15.11071873</v>
      </c>
    </row>
    <row r="135">
      <c r="A135" s="3">
        <f>IFERROR(__xludf.DUMMYFUNCTION("""COMPUTED_VALUE"""),45748.0)</f>
        <v>45748</v>
      </c>
      <c r="B135" s="1" t="str">
        <f>IFERROR(__xludf.DUMMYFUNCTION("""COMPUTED_VALUE"""),"DPMall")</f>
        <v>DPMall</v>
      </c>
      <c r="C135" s="1" t="str">
        <f>IFERROR(__xludf.DUMMYFUNCTION("""COMPUTED_VALUE"""),"Barbican")</f>
        <v>Barbican</v>
      </c>
      <c r="D135" s="1">
        <f>IFERROR(__xludf.DUMMYFUNCTION("""COMPUTED_VALUE"""),8.0)</f>
        <v>8</v>
      </c>
      <c r="E135" s="1">
        <f>IFERROR(__xludf.DUMMYFUNCTION("""COMPUTED_VALUE"""),8.0)</f>
        <v>8</v>
      </c>
      <c r="F135" s="1">
        <f>IFERROR(__xludf.DUMMYFUNCTION("""COMPUTED_VALUE"""),2.0)</f>
        <v>2</v>
      </c>
      <c r="G135" s="1">
        <f t="shared" si="1"/>
        <v>4</v>
      </c>
      <c r="H135" s="1">
        <f t="shared" si="2"/>
        <v>4</v>
      </c>
      <c r="I135" s="1">
        <f>IFERROR(__xludf.DUMMYFUNCTION("IF(B135="""","""",
  100*F135 / MAX(FILTER($F:$F, $A:$A=$A135, $B:$B=$B135))
)
"),0.2808988764044944)</f>
        <v>0.2808988764</v>
      </c>
      <c r="J135" s="1">
        <f>IFERROR(__xludf.DUMMYFUNCTION("IF(B135="""","""",
  100*E135 / MAX(FILTER($E:$E, $A:$A=$A135, $B:$B=$B135))
)
"),0.34873583260680036)</f>
        <v>0.3487358326</v>
      </c>
      <c r="K135" s="1">
        <f t="shared" si="3"/>
        <v>0.3114255067</v>
      </c>
    </row>
    <row r="136">
      <c r="A136" s="3">
        <f>IFERROR(__xludf.DUMMYFUNCTION("""COMPUTED_VALUE"""),45748.0)</f>
        <v>45748</v>
      </c>
      <c r="B136" s="1" t="str">
        <f>IFERROR(__xludf.DUMMYFUNCTION("""COMPUTED_VALUE"""),"DPMall")</f>
        <v>DPMall</v>
      </c>
      <c r="C136" s="1" t="str">
        <f>IFERROR(__xludf.DUMMYFUNCTION("""COMPUTED_VALUE"""),"Chotos")</f>
        <v>Chotos</v>
      </c>
      <c r="D136" s="1">
        <f>IFERROR(__xludf.DUMMYFUNCTION("""COMPUTED_VALUE"""),857.0)</f>
        <v>857</v>
      </c>
      <c r="E136" s="1">
        <f>IFERROR(__xludf.DUMMYFUNCTION("""COMPUTED_VALUE"""),857.0)</f>
        <v>857</v>
      </c>
      <c r="F136" s="1">
        <f>IFERROR(__xludf.DUMMYFUNCTION("""COMPUTED_VALUE"""),216.0)</f>
        <v>216</v>
      </c>
      <c r="G136" s="1">
        <f t="shared" si="1"/>
        <v>3.967592593</v>
      </c>
      <c r="H136" s="1">
        <f t="shared" si="2"/>
        <v>3.967592593</v>
      </c>
      <c r="I136" s="1">
        <f>IFERROR(__xludf.DUMMYFUNCTION("IF(B136="""","""",
  100*F136 / MAX(FILTER($F:$F, $A:$A=$A136, $B:$B=$B136))
)
"),30.337078651685392)</f>
        <v>30.33707865</v>
      </c>
      <c r="J136" s="1">
        <f>IFERROR(__xludf.DUMMYFUNCTION("IF(B136="""","""",
  100*E136 / MAX(FILTER($E:$E, $A:$A=$A136, $B:$B=$B136))
)
"),37.358326068003485)</f>
        <v>37.35832607</v>
      </c>
      <c r="K136" s="1">
        <f t="shared" si="3"/>
        <v>33.49663999</v>
      </c>
    </row>
    <row r="137">
      <c r="A137" s="3">
        <f>IFERROR(__xludf.DUMMYFUNCTION("""COMPUTED_VALUE"""),45748.0)</f>
        <v>45748</v>
      </c>
      <c r="B137" s="1" t="str">
        <f>IFERROR(__xludf.DUMMYFUNCTION("""COMPUTED_VALUE"""),"DPMall")</f>
        <v>DPMall</v>
      </c>
      <c r="C137" s="1" t="str">
        <f>IFERROR(__xludf.DUMMYFUNCTION("""COMPUTED_VALUE"""),"Doritos nacho")</f>
        <v>Doritos nacho</v>
      </c>
      <c r="D137" s="1">
        <f>IFERROR(__xludf.DUMMYFUNCTION("""COMPUTED_VALUE"""),1227.0)</f>
        <v>1227</v>
      </c>
      <c r="E137" s="1">
        <f>IFERROR(__xludf.DUMMYFUNCTION("""COMPUTED_VALUE"""),1227.0)</f>
        <v>1227</v>
      </c>
      <c r="F137" s="1">
        <f>IFERROR(__xludf.DUMMYFUNCTION("""COMPUTED_VALUE"""),252.0)</f>
        <v>252</v>
      </c>
      <c r="G137" s="1">
        <f t="shared" si="1"/>
        <v>4.869047619</v>
      </c>
      <c r="H137" s="1">
        <f t="shared" si="2"/>
        <v>4.869047619</v>
      </c>
      <c r="I137" s="1">
        <f>IFERROR(__xludf.DUMMYFUNCTION("IF(B137="""","""",
  100*F137 / MAX(FILTER($F:$F, $A:$A=$A137, $B:$B=$B137))
)
"),35.39325842696629)</f>
        <v>35.39325843</v>
      </c>
      <c r="J137" s="1">
        <f>IFERROR(__xludf.DUMMYFUNCTION("IF(B137="""","""",
  100*E137 / MAX(FILTER($E:$E, $A:$A=$A137, $B:$B=$B137))
)
"),53.487358326068005)</f>
        <v>53.48735833</v>
      </c>
      <c r="K137" s="1">
        <f t="shared" si="3"/>
        <v>43.53560338</v>
      </c>
    </row>
    <row r="138">
      <c r="A138" s="3">
        <f>IFERROR(__xludf.DUMMYFUNCTION("""COMPUTED_VALUE"""),45748.0)</f>
        <v>45748</v>
      </c>
      <c r="B138" s="1" t="str">
        <f>IFERROR(__xludf.DUMMYFUNCTION("""COMPUTED_VALUE"""),"DPMall")</f>
        <v>DPMall</v>
      </c>
      <c r="C138" s="1" t="str">
        <f>IFERROR(__xludf.DUMMYFUNCTION("""COMPUTED_VALUE"""),"Freez drink")</f>
        <v>Freez drink</v>
      </c>
      <c r="D138" s="1">
        <f>IFERROR(__xludf.DUMMYFUNCTION("""COMPUTED_VALUE"""),210.0)</f>
        <v>210</v>
      </c>
      <c r="E138" s="1">
        <f>IFERROR(__xludf.DUMMYFUNCTION("""COMPUTED_VALUE"""),210.0)</f>
        <v>210</v>
      </c>
      <c r="F138" s="1">
        <f>IFERROR(__xludf.DUMMYFUNCTION("""COMPUTED_VALUE"""),42.0)</f>
        <v>42</v>
      </c>
      <c r="G138" s="1">
        <f t="shared" si="1"/>
        <v>5</v>
      </c>
      <c r="H138" s="1">
        <f t="shared" si="2"/>
        <v>5</v>
      </c>
      <c r="I138" s="1">
        <f>IFERROR(__xludf.DUMMYFUNCTION("IF(B138="""","""",
  100*F138 / MAX(FILTER($F:$F, $A:$A=$A138, $B:$B=$B138))
)
"),5.898876404494382)</f>
        <v>5.898876404</v>
      </c>
      <c r="J138" s="1">
        <f>IFERROR(__xludf.DUMMYFUNCTION("IF(B138="""","""",
  100*E138 / MAX(FILTER($E:$E, $A:$A=$A138, $B:$B=$B138))
)
"),9.15431560592851)</f>
        <v>9.154315606</v>
      </c>
      <c r="K138" s="1">
        <f t="shared" si="3"/>
        <v>7.363824045</v>
      </c>
    </row>
    <row r="139">
      <c r="A139" s="3">
        <f>IFERROR(__xludf.DUMMYFUNCTION("""COMPUTED_VALUE"""),45748.0)</f>
        <v>45748</v>
      </c>
      <c r="B139" s="1" t="str">
        <f>IFERROR(__xludf.DUMMYFUNCTION("""COMPUTED_VALUE"""),"DPMall")</f>
        <v>DPMall</v>
      </c>
      <c r="C139" s="1" t="str">
        <f>IFERROR(__xludf.DUMMYFUNCTION("""COMPUTED_VALUE"""),"Gardena")</f>
        <v>Gardena</v>
      </c>
      <c r="D139" s="1">
        <f>IFERROR(__xludf.DUMMYFUNCTION("""COMPUTED_VALUE"""),40.0)</f>
        <v>40</v>
      </c>
      <c r="E139" s="1">
        <f>IFERROR(__xludf.DUMMYFUNCTION("""COMPUTED_VALUE"""),40.0)</f>
        <v>40</v>
      </c>
      <c r="F139" s="1">
        <f>IFERROR(__xludf.DUMMYFUNCTION("""COMPUTED_VALUE"""),10.0)</f>
        <v>10</v>
      </c>
      <c r="G139" s="1">
        <f t="shared" si="1"/>
        <v>4</v>
      </c>
      <c r="H139" s="1">
        <f t="shared" si="2"/>
        <v>4</v>
      </c>
      <c r="I139" s="1">
        <f>IFERROR(__xludf.DUMMYFUNCTION("IF(B139="""","""",
  100*F139 / MAX(FILTER($F:$F, $A:$A=$A139, $B:$B=$B139))
)
"),1.404494382022472)</f>
        <v>1.404494382</v>
      </c>
      <c r="J139" s="1">
        <f>IFERROR(__xludf.DUMMYFUNCTION("IF(B139="""","""",
  100*E139 / MAX(FILTER($E:$E, $A:$A=$A139, $B:$B=$B139))
)
"),1.7436791630340018)</f>
        <v>1.743679163</v>
      </c>
      <c r="K139" s="1">
        <f t="shared" si="3"/>
        <v>1.557127533</v>
      </c>
    </row>
    <row r="140">
      <c r="A140" s="3">
        <f>IFERROR(__xludf.DUMMYFUNCTION("""COMPUTED_VALUE"""),45748.0)</f>
        <v>45748</v>
      </c>
      <c r="B140" s="1" t="str">
        <f>IFERROR(__xludf.DUMMYFUNCTION("""COMPUTED_VALUE"""),"DPMall")</f>
        <v>DPMall</v>
      </c>
      <c r="C140" s="1" t="str">
        <f>IFERROR(__xludf.DUMMYFUNCTION("""COMPUTED_VALUE"""),"Green")</f>
        <v>Green</v>
      </c>
      <c r="D140" s="1">
        <f>IFERROR(__xludf.DUMMYFUNCTION("""COMPUTED_VALUE"""),68.0)</f>
        <v>68</v>
      </c>
      <c r="E140" s="1">
        <f>IFERROR(__xludf.DUMMYFUNCTION("""COMPUTED_VALUE"""),68.0)</f>
        <v>68</v>
      </c>
      <c r="F140" s="1">
        <f>IFERROR(__xludf.DUMMYFUNCTION("""COMPUTED_VALUE"""),17.0)</f>
        <v>17</v>
      </c>
      <c r="G140" s="1">
        <f t="shared" si="1"/>
        <v>4</v>
      </c>
      <c r="H140" s="1">
        <f t="shared" si="2"/>
        <v>4</v>
      </c>
      <c r="I140" s="1">
        <f>IFERROR(__xludf.DUMMYFUNCTION("IF(B140="""","""",
  100*F140 / MAX(FILTER($F:$F, $A:$A=$A140, $B:$B=$B140))
)
"),2.3876404494382024)</f>
        <v>2.387640449</v>
      </c>
      <c r="J140" s="1">
        <f>IFERROR(__xludf.DUMMYFUNCTION("IF(B140="""","""",
  100*E140 / MAX(FILTER($E:$E, $A:$A=$A140, $B:$B=$B140))
)
"),2.964254577157803)</f>
        <v>2.964254577</v>
      </c>
      <c r="K140" s="1">
        <f t="shared" si="3"/>
        <v>2.647116807</v>
      </c>
    </row>
    <row r="141">
      <c r="A141" s="3">
        <f>IFERROR(__xludf.DUMMYFUNCTION("""COMPUTED_VALUE"""),45748.0)</f>
        <v>45748</v>
      </c>
      <c r="B141" s="1" t="str">
        <f>IFERROR(__xludf.DUMMYFUNCTION("""COMPUTED_VALUE"""),"DPMall")</f>
        <v>DPMall</v>
      </c>
      <c r="C141" s="1" t="str">
        <f>IFERROR(__xludf.DUMMYFUNCTION("""COMPUTED_VALUE"""),"Laviva")</f>
        <v>Laviva</v>
      </c>
      <c r="D141" s="1">
        <f>IFERROR(__xludf.DUMMYFUNCTION("""COMPUTED_VALUE"""),246.0)</f>
        <v>246</v>
      </c>
      <c r="E141" s="1">
        <f>IFERROR(__xludf.DUMMYFUNCTION("""COMPUTED_VALUE"""),246.0)</f>
        <v>246</v>
      </c>
      <c r="F141" s="1">
        <f>IFERROR(__xludf.DUMMYFUNCTION("""COMPUTED_VALUE"""),82.0)</f>
        <v>82</v>
      </c>
      <c r="G141" s="1">
        <f t="shared" si="1"/>
        <v>3</v>
      </c>
      <c r="H141" s="1">
        <f t="shared" si="2"/>
        <v>3</v>
      </c>
      <c r="I141" s="1">
        <f>IFERROR(__xludf.DUMMYFUNCTION("IF(B141="""","""",
  100*F141 / MAX(FILTER($F:$F, $A:$A=$A141, $B:$B=$B141))
)
"),11.51685393258427)</f>
        <v>11.51685393</v>
      </c>
      <c r="J141" s="1">
        <f>IFERROR(__xludf.DUMMYFUNCTION("IF(B141="""","""",
  100*E141 / MAX(FILTER($E:$E, $A:$A=$A141, $B:$B=$B141))
)
"),10.72362685265911)</f>
        <v>10.72362685</v>
      </c>
      <c r="K141" s="1">
        <f t="shared" si="3"/>
        <v>11.15990175</v>
      </c>
    </row>
    <row r="142">
      <c r="A142" s="3">
        <f>IFERROR(__xludf.DUMMYFUNCTION("""COMPUTED_VALUE"""),45748.0)</f>
        <v>45748</v>
      </c>
      <c r="B142" s="1" t="str">
        <f>IFERROR(__xludf.DUMMYFUNCTION("""COMPUTED_VALUE"""),"DPMall")</f>
        <v>DPMall</v>
      </c>
      <c r="C142" s="1" t="str">
        <f>IFERROR(__xludf.DUMMYFUNCTION("""COMPUTED_VALUE"""),"Maltesers")</f>
        <v>Maltesers</v>
      </c>
      <c r="D142" s="1">
        <f>IFERROR(__xludf.DUMMYFUNCTION("""COMPUTED_VALUE"""),115.0)</f>
        <v>115</v>
      </c>
      <c r="E142" s="1">
        <f>IFERROR(__xludf.DUMMYFUNCTION("""COMPUTED_VALUE"""),115.0)</f>
        <v>115</v>
      </c>
      <c r="F142" s="1">
        <f>IFERROR(__xludf.DUMMYFUNCTION("""COMPUTED_VALUE"""),23.0)</f>
        <v>23</v>
      </c>
      <c r="G142" s="1">
        <f t="shared" si="1"/>
        <v>5</v>
      </c>
      <c r="H142" s="1">
        <f t="shared" si="2"/>
        <v>5</v>
      </c>
      <c r="I142" s="1">
        <f>IFERROR(__xludf.DUMMYFUNCTION("IF(B142="""","""",
  100*F142 / MAX(FILTER($F:$F, $A:$A=$A142, $B:$B=$B142))
)
"),3.230337078651685)</f>
        <v>3.230337079</v>
      </c>
      <c r="J142" s="1">
        <f>IFERROR(__xludf.DUMMYFUNCTION("IF(B142="""","""",
  100*E142 / MAX(FILTER($E:$E, $A:$A=$A142, $B:$B=$B142))
)
"),5.013077593722755)</f>
        <v>5.013077594</v>
      </c>
      <c r="K142" s="1">
        <f t="shared" si="3"/>
        <v>4.03257031</v>
      </c>
    </row>
    <row r="143">
      <c r="A143" s="3">
        <f>IFERROR(__xludf.DUMMYFUNCTION("""COMPUTED_VALUE"""),45748.0)</f>
        <v>45748</v>
      </c>
      <c r="B143" s="1" t="str">
        <f>IFERROR(__xludf.DUMMYFUNCTION("""COMPUTED_VALUE"""),"DPMall")</f>
        <v>DPMall</v>
      </c>
      <c r="C143" s="1" t="str">
        <f>IFERROR(__xludf.DUMMYFUNCTION("""COMPUTED_VALUE"""),"Marshmellow sweetBag")</f>
        <v>Marshmellow sweetBag</v>
      </c>
      <c r="D143" s="1">
        <f>IFERROR(__xludf.DUMMYFUNCTION("""COMPUTED_VALUE"""),208.0)</f>
        <v>208</v>
      </c>
      <c r="E143" s="1">
        <f>IFERROR(__xludf.DUMMYFUNCTION("""COMPUTED_VALUE"""),208.0)</f>
        <v>208</v>
      </c>
      <c r="F143" s="1">
        <f>IFERROR(__xludf.DUMMYFUNCTION("""COMPUTED_VALUE"""),57.0)</f>
        <v>57</v>
      </c>
      <c r="G143" s="1">
        <f t="shared" si="1"/>
        <v>3.649122807</v>
      </c>
      <c r="H143" s="1">
        <f t="shared" si="2"/>
        <v>3.649122807</v>
      </c>
      <c r="I143" s="1">
        <f>IFERROR(__xludf.DUMMYFUNCTION("IF(B143="""","""",
  100*F143 / MAX(FILTER($F:$F, $A:$A=$A143, $B:$B=$B143))
)
"),8.00561797752809)</f>
        <v>8.005617978</v>
      </c>
      <c r="J143" s="1">
        <f>IFERROR(__xludf.DUMMYFUNCTION("IF(B143="""","""",
  100*E143 / MAX(FILTER($E:$E, $A:$A=$A143, $B:$B=$B143))
)
"),9.06713164777681)</f>
        <v>9.067131648</v>
      </c>
      <c r="K143" s="1">
        <f t="shared" si="3"/>
        <v>8.483299129</v>
      </c>
    </row>
    <row r="144">
      <c r="A144" s="3">
        <f>IFERROR(__xludf.DUMMYFUNCTION("""COMPUTED_VALUE"""),45748.0)</f>
        <v>45748</v>
      </c>
      <c r="B144" s="1" t="str">
        <f>IFERROR(__xludf.DUMMYFUNCTION("""COMPUTED_VALUE"""),"DPMall")</f>
        <v>DPMall</v>
      </c>
      <c r="C144" s="1" t="str">
        <f>IFERROR(__xludf.DUMMYFUNCTION("""COMPUTED_VALUE"""),"Masa suntop")</f>
        <v>Masa suntop</v>
      </c>
      <c r="D144" s="1">
        <f>IFERROR(__xludf.DUMMYFUNCTION("""COMPUTED_VALUE"""),22.0)</f>
        <v>22</v>
      </c>
      <c r="E144" s="1">
        <f>IFERROR(__xludf.DUMMYFUNCTION("""COMPUTED_VALUE"""),22.0)</f>
        <v>22</v>
      </c>
      <c r="F144" s="1">
        <f>IFERROR(__xludf.DUMMYFUNCTION("""COMPUTED_VALUE"""),22.0)</f>
        <v>22</v>
      </c>
      <c r="G144" s="1">
        <f t="shared" si="1"/>
        <v>1</v>
      </c>
      <c r="H144" s="1">
        <f t="shared" si="2"/>
        <v>1</v>
      </c>
      <c r="I144" s="1">
        <f>IFERROR(__xludf.DUMMYFUNCTION("IF(B144="""","""",
  100*F144 / MAX(FILTER($F:$F, $A:$A=$A144, $B:$B=$B144))
)
"),3.0898876404494384)</f>
        <v>3.08988764</v>
      </c>
      <c r="J144" s="1">
        <f>IFERROR(__xludf.DUMMYFUNCTION("IF(B144="""","""",
  100*E144 / MAX(FILTER($E:$E, $A:$A=$A144, $B:$B=$B144))
)
"),0.9590235396687009)</f>
        <v>0.9590235397</v>
      </c>
      <c r="K144" s="1">
        <f t="shared" si="3"/>
        <v>2.130998795</v>
      </c>
    </row>
    <row r="145">
      <c r="A145" s="3">
        <f>IFERROR(__xludf.DUMMYFUNCTION("""COMPUTED_VALUE"""),45748.0)</f>
        <v>45748</v>
      </c>
      <c r="B145" s="1" t="str">
        <f>IFERROR(__xludf.DUMMYFUNCTION("""COMPUTED_VALUE"""),"DPMall")</f>
        <v>DPMall</v>
      </c>
      <c r="C145" s="1" t="str">
        <f>IFERROR(__xludf.DUMMYFUNCTION("""COMPUTED_VALUE"""),"Mr Crunch")</f>
        <v>Mr Crunch</v>
      </c>
      <c r="D145" s="1">
        <f>IFERROR(__xludf.DUMMYFUNCTION("""COMPUTED_VALUE"""),683.0)</f>
        <v>683</v>
      </c>
      <c r="E145" s="1">
        <f>IFERROR(__xludf.DUMMYFUNCTION("""COMPUTED_VALUE"""),683.0)</f>
        <v>683</v>
      </c>
      <c r="F145" s="1">
        <f>IFERROR(__xludf.DUMMYFUNCTION("""COMPUTED_VALUE"""),170.0)</f>
        <v>170</v>
      </c>
      <c r="G145" s="1">
        <f t="shared" si="1"/>
        <v>4.017647059</v>
      </c>
      <c r="H145" s="1">
        <f t="shared" si="2"/>
        <v>4.017647059</v>
      </c>
      <c r="I145" s="1">
        <f>IFERROR(__xludf.DUMMYFUNCTION("IF(B145="""","""",
  100*F145 / MAX(FILTER($F:$F, $A:$A=$A145, $B:$B=$B145))
)
"),23.876404494382022)</f>
        <v>23.87640449</v>
      </c>
      <c r="J145" s="1">
        <f>IFERROR(__xludf.DUMMYFUNCTION("IF(B145="""","""",
  100*E145 / MAX(FILTER($E:$E, $A:$A=$A145, $B:$B=$B145))
)
"),29.77332170880558)</f>
        <v>29.77332171</v>
      </c>
      <c r="K145" s="1">
        <f t="shared" si="3"/>
        <v>26.53001724</v>
      </c>
    </row>
    <row r="146">
      <c r="A146" s="3">
        <f>IFERROR(__xludf.DUMMYFUNCTION("""COMPUTED_VALUE"""),45748.0)</f>
        <v>45748</v>
      </c>
      <c r="B146" s="1" t="str">
        <f>IFERROR(__xludf.DUMMYFUNCTION("""COMPUTED_VALUE"""),"DPMall")</f>
        <v>DPMall</v>
      </c>
      <c r="C146" s="1" t="str">
        <f>IFERROR(__xludf.DUMMYFUNCTION("""COMPUTED_VALUE"""),"SunTop")</f>
        <v>SunTop</v>
      </c>
      <c r="D146" s="1">
        <f>IFERROR(__xludf.DUMMYFUNCTION("""COMPUTED_VALUE"""),447.0)</f>
        <v>447</v>
      </c>
      <c r="E146" s="1">
        <f>IFERROR(__xludf.DUMMYFUNCTION("""COMPUTED_VALUE"""),447.0)</f>
        <v>447</v>
      </c>
      <c r="F146" s="1">
        <f>IFERROR(__xludf.DUMMYFUNCTION("""COMPUTED_VALUE"""),447.0)</f>
        <v>447</v>
      </c>
      <c r="G146" s="1">
        <f t="shared" si="1"/>
        <v>1</v>
      </c>
      <c r="H146" s="1">
        <f t="shared" si="2"/>
        <v>1</v>
      </c>
      <c r="I146" s="1">
        <f>IFERROR(__xludf.DUMMYFUNCTION("IF(B146="""","""",
  100*F146 / MAX(FILTER($F:$F, $A:$A=$A146, $B:$B=$B146))
)
"),62.78089887640449)</f>
        <v>62.78089888</v>
      </c>
      <c r="J146" s="1">
        <f>IFERROR(__xludf.DUMMYFUNCTION("IF(B146="""","""",
  100*E146 / MAX(FILTER($E:$E, $A:$A=$A146, $B:$B=$B146))
)
"),19.48561464690497)</f>
        <v>19.48561465</v>
      </c>
      <c r="K146" s="1">
        <f t="shared" si="3"/>
        <v>43.29802097</v>
      </c>
    </row>
    <row r="147">
      <c r="A147" s="3">
        <f>IFERROR(__xludf.DUMMYFUNCTION("""COMPUTED_VALUE"""),45748.0)</f>
        <v>45748</v>
      </c>
      <c r="B147" s="1" t="str">
        <f>IFERROR(__xludf.DUMMYFUNCTION("""COMPUTED_VALUE"""),"DPMall")</f>
        <v>DPMall</v>
      </c>
      <c r="C147" s="1" t="str">
        <f>IFERROR(__xludf.DUMMYFUNCTION("""COMPUTED_VALUE"""),"Takis")</f>
        <v>Takis</v>
      </c>
      <c r="D147" s="1">
        <f>IFERROR(__xludf.DUMMYFUNCTION("""COMPUTED_VALUE"""),165.0)</f>
        <v>165</v>
      </c>
      <c r="E147" s="1">
        <f>IFERROR(__xludf.DUMMYFUNCTION("""COMPUTED_VALUE"""),165.0)</f>
        <v>165</v>
      </c>
      <c r="F147" s="1">
        <f>IFERROR(__xludf.DUMMYFUNCTION("""COMPUTED_VALUE"""),9.0)</f>
        <v>9</v>
      </c>
      <c r="G147" s="1">
        <f t="shared" si="1"/>
        <v>18.33333333</v>
      </c>
      <c r="H147" s="1">
        <f t="shared" si="2"/>
        <v>18.33333333</v>
      </c>
      <c r="I147" s="1">
        <f>IFERROR(__xludf.DUMMYFUNCTION("IF(B147="""","""",
  100*F147 / MAX(FILTER($F:$F, $A:$A=$A147, $B:$B=$B147))
)
"),1.2640449438202248)</f>
        <v>1.264044944</v>
      </c>
      <c r="J147" s="1">
        <f>IFERROR(__xludf.DUMMYFUNCTION("IF(B147="""","""",
  100*E147 / MAX(FILTER($E:$E, $A:$A=$A147, $B:$B=$B147))
)
"),7.192676547515257)</f>
        <v>7.192676548</v>
      </c>
      <c r="K147" s="1">
        <f t="shared" si="3"/>
        <v>3.931929165</v>
      </c>
    </row>
    <row r="148">
      <c r="A148" s="3">
        <f>IFERROR(__xludf.DUMMYFUNCTION("""COMPUTED_VALUE"""),45748.0)</f>
        <v>45748</v>
      </c>
      <c r="B148" s="1" t="str">
        <f>IFERROR(__xludf.DUMMYFUNCTION("""COMPUTED_VALUE"""),"DPMall")</f>
        <v>DPMall</v>
      </c>
      <c r="C148" s="1" t="str">
        <f>IFERROR(__xludf.DUMMYFUNCTION("""COMPUTED_VALUE"""),"Tiger *12")</f>
        <v>Tiger *12</v>
      </c>
      <c r="D148" s="1">
        <f>IFERROR(__xludf.DUMMYFUNCTION("""COMPUTED_VALUE"""),2294.0)</f>
        <v>2294</v>
      </c>
      <c r="E148" s="1">
        <f>IFERROR(__xludf.DUMMYFUNCTION("""COMPUTED_VALUE"""),2294.0)</f>
        <v>2294</v>
      </c>
      <c r="F148" s="1">
        <f>IFERROR(__xludf.DUMMYFUNCTION("""COMPUTED_VALUE"""),499.0)</f>
        <v>499</v>
      </c>
      <c r="G148" s="1">
        <f t="shared" si="1"/>
        <v>4.597194389</v>
      </c>
      <c r="H148" s="1">
        <f t="shared" si="2"/>
        <v>4.597194389</v>
      </c>
      <c r="I148" s="1">
        <f>IFERROR(__xludf.DUMMYFUNCTION("IF(B148="""","""",
  100*F148 / MAX(FILTER($F:$F, $A:$A=$A148, $B:$B=$B148))
)
"),70.08426966292134)</f>
        <v>70.08426966</v>
      </c>
      <c r="J148" s="1">
        <f>IFERROR(__xludf.DUMMYFUNCTION("IF(B148="""","""",
  100*E148 / MAX(FILTER($E:$E, $A:$A=$A148, $B:$B=$B148))
)
"),100.0)</f>
        <v>100</v>
      </c>
      <c r="K148" s="1">
        <f t="shared" si="3"/>
        <v>83.54634831</v>
      </c>
    </row>
    <row r="149">
      <c r="A149" s="3">
        <f>IFERROR(__xludf.DUMMYFUNCTION("""COMPUTED_VALUE"""),45748.0)</f>
        <v>45748</v>
      </c>
      <c r="B149" s="1" t="str">
        <f>IFERROR(__xludf.DUMMYFUNCTION("""COMPUTED_VALUE"""),"DPMall")</f>
        <v>DPMall</v>
      </c>
      <c r="C149" s="1" t="str">
        <f>IFERROR(__xludf.DUMMYFUNCTION("""COMPUTED_VALUE"""),"Tiger excellence *10")</f>
        <v>Tiger excellence *10</v>
      </c>
      <c r="D149" s="1">
        <f>IFERROR(__xludf.DUMMYFUNCTION("""COMPUTED_VALUE"""),511.0)</f>
        <v>511</v>
      </c>
      <c r="E149" s="1">
        <f>IFERROR(__xludf.DUMMYFUNCTION("""COMPUTED_VALUE"""),511.0)</f>
        <v>511</v>
      </c>
      <c r="F149" s="1">
        <f>IFERROR(__xludf.DUMMYFUNCTION("""COMPUTED_VALUE"""),109.0)</f>
        <v>109</v>
      </c>
      <c r="G149" s="1">
        <f t="shared" si="1"/>
        <v>4.688073394</v>
      </c>
      <c r="H149" s="1">
        <f t="shared" si="2"/>
        <v>4.688073394</v>
      </c>
      <c r="I149" s="1">
        <f>IFERROR(__xludf.DUMMYFUNCTION("IF(B149="""","""",
  100*F149 / MAX(FILTER($F:$F, $A:$A=$A149, $B:$B=$B149))
)
"),15.308988764044944)</f>
        <v>15.30898876</v>
      </c>
      <c r="J149" s="1">
        <f>IFERROR(__xludf.DUMMYFUNCTION("IF(B149="""","""",
  100*E149 / MAX(FILTER($E:$E, $A:$A=$A149, $B:$B=$B149))
)
"),22.275501307759374)</f>
        <v>22.27550131</v>
      </c>
      <c r="K149" s="1">
        <f t="shared" si="3"/>
        <v>18.44391941</v>
      </c>
    </row>
    <row r="150">
      <c r="A150" s="3">
        <f>IFERROR(__xludf.DUMMYFUNCTION("""COMPUTED_VALUE"""),45748.0)</f>
        <v>45748</v>
      </c>
      <c r="B150" s="1" t="str">
        <f>IFERROR(__xludf.DUMMYFUNCTION("""COMPUTED_VALUE"""),"DPMall")</f>
        <v>DPMall</v>
      </c>
      <c r="C150" s="1" t="str">
        <f>IFERROR(__xludf.DUMMYFUNCTION("""COMPUTED_VALUE"""),"Wafe up extra")</f>
        <v>Wafe up extra</v>
      </c>
      <c r="D150" s="1">
        <f>IFERROR(__xludf.DUMMYFUNCTION("""COMPUTED_VALUE"""),263.0)</f>
        <v>263</v>
      </c>
      <c r="E150" s="1">
        <f>IFERROR(__xludf.DUMMYFUNCTION("""COMPUTED_VALUE"""),263.0)</f>
        <v>263</v>
      </c>
      <c r="F150" s="1">
        <f>IFERROR(__xludf.DUMMYFUNCTION("""COMPUTED_VALUE"""),120.0)</f>
        <v>120</v>
      </c>
      <c r="G150" s="1">
        <f t="shared" si="1"/>
        <v>2.191666667</v>
      </c>
      <c r="H150" s="1">
        <f t="shared" si="2"/>
        <v>2.191666667</v>
      </c>
      <c r="I150" s="1">
        <f>IFERROR(__xludf.DUMMYFUNCTION("IF(B150="""","""",
  100*F150 / MAX(FILTER($F:$F, $A:$A=$A150, $B:$B=$B150))
)
"),16.853932584269664)</f>
        <v>16.85393258</v>
      </c>
      <c r="J150" s="1">
        <f>IFERROR(__xludf.DUMMYFUNCTION("IF(B150="""","""",
  100*E150 / MAX(FILTER($E:$E, $A:$A=$A150, $B:$B=$B150))
)
"),11.464690496948561)</f>
        <v>11.4646905</v>
      </c>
      <c r="K150" s="1">
        <f t="shared" si="3"/>
        <v>14.42877364</v>
      </c>
    </row>
    <row r="151">
      <c r="A151" s="3">
        <f>IFERROR(__xludf.DUMMYFUNCTION("""COMPUTED_VALUE"""),45748.0)</f>
        <v>45748</v>
      </c>
      <c r="B151" s="1" t="str">
        <f>IFERROR(__xludf.DUMMYFUNCTION("""COMPUTED_VALUE"""),"DPMall")</f>
        <v>DPMall</v>
      </c>
      <c r="C151" s="1" t="str">
        <f>IFERROR(__xludf.DUMMYFUNCTION("""COMPUTED_VALUE"""),"Water")</f>
        <v>Water</v>
      </c>
      <c r="D151" s="1">
        <f>IFERROR(__xludf.DUMMYFUNCTION("""COMPUTED_VALUE"""),712.0)</f>
        <v>712</v>
      </c>
      <c r="E151" s="1">
        <f>IFERROR(__xludf.DUMMYFUNCTION("""COMPUTED_VALUE"""),712.0)</f>
        <v>712</v>
      </c>
      <c r="F151" s="1">
        <f>IFERROR(__xludf.DUMMYFUNCTION("""COMPUTED_VALUE"""),712.0)</f>
        <v>712</v>
      </c>
      <c r="G151" s="1">
        <f t="shared" si="1"/>
        <v>1</v>
      </c>
      <c r="H151" s="1">
        <f t="shared" si="2"/>
        <v>1</v>
      </c>
      <c r="I151" s="1">
        <f>IFERROR(__xludf.DUMMYFUNCTION("IF(B151="""","""",
  100*F151 / MAX(FILTER($F:$F, $A:$A=$A151, $B:$B=$B151))
)
"),100.0)</f>
        <v>100</v>
      </c>
      <c r="J151" s="1">
        <f>IFERROR(__xludf.DUMMYFUNCTION("IF(B151="""","""",
  100*E151 / MAX(FILTER($E:$E, $A:$A=$A151, $B:$B=$B151))
)
"),31.03748910200523)</f>
        <v>31.0374891</v>
      </c>
      <c r="K151" s="1">
        <f t="shared" si="3"/>
        <v>68.9668701</v>
      </c>
    </row>
    <row r="152">
      <c r="A152" s="3">
        <f>IFERROR(__xludf.DUMMYFUNCTION("""COMPUTED_VALUE"""),45748.0)</f>
        <v>45748</v>
      </c>
      <c r="B152" s="1" t="str">
        <f>IFERROR(__xludf.DUMMYFUNCTION("""COMPUTED_VALUE"""),"DPMall")</f>
        <v>DPMall</v>
      </c>
      <c r="C152" s="1" t="str">
        <f>IFERROR(__xludf.DUMMYFUNCTION("""COMPUTED_VALUE"""),"X!R")</f>
        <v>X!R</v>
      </c>
      <c r="D152" s="1">
        <f>IFERROR(__xludf.DUMMYFUNCTION("""COMPUTED_VALUE"""),988.0)</f>
        <v>988</v>
      </c>
      <c r="E152" s="1">
        <f>IFERROR(__xludf.DUMMYFUNCTION("""COMPUTED_VALUE"""),988.0)</f>
        <v>988</v>
      </c>
      <c r="F152" s="1">
        <f>IFERROR(__xludf.DUMMYFUNCTION("""COMPUTED_VALUE"""),247.0)</f>
        <v>247</v>
      </c>
      <c r="G152" s="1">
        <f t="shared" si="1"/>
        <v>4</v>
      </c>
      <c r="H152" s="1">
        <f t="shared" si="2"/>
        <v>4</v>
      </c>
      <c r="I152" s="1">
        <f>IFERROR(__xludf.DUMMYFUNCTION("IF(B152="""","""",
  100*F152 / MAX(FILTER($F:$F, $A:$A=$A152, $B:$B=$B152))
)
"),34.69101123595506)</f>
        <v>34.69101124</v>
      </c>
      <c r="J152" s="1">
        <f>IFERROR(__xludf.DUMMYFUNCTION("IF(B152="""","""",
  100*E152 / MAX(FILTER($E:$E, $A:$A=$A152, $B:$B=$B152))
)
"),43.068875326939846)</f>
        <v>43.06887533</v>
      </c>
      <c r="K152" s="1">
        <f t="shared" si="3"/>
        <v>38.46105008</v>
      </c>
    </row>
    <row r="153">
      <c r="A153" s="3">
        <f>IFERROR(__xludf.DUMMYFUNCTION("""COMPUTED_VALUE"""),45748.0)</f>
        <v>45748</v>
      </c>
      <c r="B153" s="1" t="str">
        <f>IFERROR(__xludf.DUMMYFUNCTION("""COMPUTED_VALUE"""),"DPMall")</f>
        <v>DPMall</v>
      </c>
      <c r="C153" s="1" t="str">
        <f>IFERROR(__xludf.DUMMYFUNCTION("""COMPUTED_VALUE"""),"X!R 500ml")</f>
        <v>X!R 500ml</v>
      </c>
      <c r="D153" s="1">
        <f>IFERROR(__xludf.DUMMYFUNCTION("""COMPUTED_VALUE"""),80.0)</f>
        <v>80</v>
      </c>
      <c r="E153" s="1">
        <f>IFERROR(__xludf.DUMMYFUNCTION("""COMPUTED_VALUE"""),80.0)</f>
        <v>80</v>
      </c>
      <c r="F153" s="1">
        <f>IFERROR(__xludf.DUMMYFUNCTION("""COMPUTED_VALUE"""),13.0)</f>
        <v>13</v>
      </c>
      <c r="G153" s="1">
        <f t="shared" si="1"/>
        <v>6.153846154</v>
      </c>
      <c r="H153" s="1">
        <f t="shared" si="2"/>
        <v>6.153846154</v>
      </c>
      <c r="I153" s="1">
        <f>IFERROR(__xludf.DUMMYFUNCTION("IF(B153="""","""",
  100*F153 / MAX(FILTER($F:$F, $A:$A=$A153, $B:$B=$B153))
)
"),1.8258426966292134)</f>
        <v>1.825842697</v>
      </c>
      <c r="J153" s="1">
        <f>IFERROR(__xludf.DUMMYFUNCTION("IF(B153="""","""",
  100*E153 / MAX(FILTER($E:$E, $A:$A=$A153, $B:$B=$B153))
)
"),3.4873583260680037)</f>
        <v>3.487358326</v>
      </c>
      <c r="K153" s="1">
        <f t="shared" si="3"/>
        <v>2.57352473</v>
      </c>
    </row>
    <row r="154">
      <c r="A154" s="3">
        <f>IFERROR(__xludf.DUMMYFUNCTION("""COMPUTED_VALUE"""),45748.0)</f>
        <v>45748</v>
      </c>
      <c r="B154" s="1" t="str">
        <f>IFERROR(__xludf.DUMMYFUNCTION("""COMPUTED_VALUE"""),"DPMall")</f>
        <v>DPMall</v>
      </c>
      <c r="C154" s="1" t="str">
        <f>IFERROR(__xludf.DUMMYFUNCTION("""COMPUTED_VALUE"""),"boba tea")</f>
        <v>boba tea</v>
      </c>
      <c r="D154" s="1">
        <f>IFERROR(__xludf.DUMMYFUNCTION("""COMPUTED_VALUE"""),84.0)</f>
        <v>84</v>
      </c>
      <c r="E154" s="1">
        <f>IFERROR(__xludf.DUMMYFUNCTION("""COMPUTED_VALUE"""),84.0)</f>
        <v>84</v>
      </c>
      <c r="F154" s="1">
        <f>IFERROR(__xludf.DUMMYFUNCTION("""COMPUTED_VALUE"""),7.0)</f>
        <v>7</v>
      </c>
      <c r="G154" s="1">
        <f t="shared" si="1"/>
        <v>12</v>
      </c>
      <c r="H154" s="1">
        <f t="shared" si="2"/>
        <v>12</v>
      </c>
      <c r="I154" s="1">
        <f>IFERROR(__xludf.DUMMYFUNCTION("IF(B154="""","""",
  100*F154 / MAX(FILTER($F:$F, $A:$A=$A154, $B:$B=$B154))
)
"),0.9831460674157303)</f>
        <v>0.9831460674</v>
      </c>
      <c r="J154" s="1">
        <f>IFERROR(__xludf.DUMMYFUNCTION("IF(B154="""","""",
  100*E154 / MAX(FILTER($E:$E, $A:$A=$A154, $B:$B=$B154))
)
"),3.6617262423714037)</f>
        <v>3.661726242</v>
      </c>
      <c r="K154" s="1">
        <f t="shared" si="3"/>
        <v>2.188507146</v>
      </c>
    </row>
    <row r="155">
      <c r="A155" s="3">
        <f>IFERROR(__xludf.DUMMYFUNCTION("""COMPUTED_VALUE"""),45748.0)</f>
        <v>45748</v>
      </c>
      <c r="B155" s="1" t="str">
        <f>IFERROR(__xludf.DUMMYFUNCTION("""COMPUTED_VALUE"""),"DPMall")</f>
        <v>DPMall</v>
      </c>
      <c r="C155" s="1" t="str">
        <f>IFERROR(__xludf.DUMMYFUNCTION("""COMPUTED_VALUE"""),"bonart sour")</f>
        <v>bonart sour</v>
      </c>
      <c r="D155" s="1">
        <f>IFERROR(__xludf.DUMMYFUNCTION("""COMPUTED_VALUE"""),457.0)</f>
        <v>457</v>
      </c>
      <c r="E155" s="1">
        <f>IFERROR(__xludf.DUMMYFUNCTION("""COMPUTED_VALUE"""),457.0)</f>
        <v>457</v>
      </c>
      <c r="F155" s="1">
        <f>IFERROR(__xludf.DUMMYFUNCTION("""COMPUTED_VALUE"""),97.0)</f>
        <v>97</v>
      </c>
      <c r="G155" s="1">
        <f t="shared" si="1"/>
        <v>4.711340206</v>
      </c>
      <c r="H155" s="1">
        <f t="shared" si="2"/>
        <v>4.711340206</v>
      </c>
      <c r="I155" s="1">
        <f>IFERROR(__xludf.DUMMYFUNCTION("IF(B155="""","""",
  100*F155 / MAX(FILTER($F:$F, $A:$A=$A155, $B:$B=$B155))
)
"),13.623595505617978)</f>
        <v>13.62359551</v>
      </c>
      <c r="J155" s="1">
        <f>IFERROR(__xludf.DUMMYFUNCTION("IF(B155="""","""",
  100*E155 / MAX(FILTER($E:$E, $A:$A=$A155, $B:$B=$B155))
)
"),19.92153443766347)</f>
        <v>19.92153444</v>
      </c>
      <c r="K155" s="1">
        <f t="shared" si="3"/>
        <v>16.45766803</v>
      </c>
    </row>
    <row r="156">
      <c r="A156" s="3">
        <f>IFERROR(__xludf.DUMMYFUNCTION("""COMPUTED_VALUE"""),45748.0)</f>
        <v>45748</v>
      </c>
      <c r="B156" s="1" t="str">
        <f>IFERROR(__xludf.DUMMYFUNCTION("""COMPUTED_VALUE"""),"DPMall")</f>
        <v>DPMall</v>
      </c>
      <c r="C156" s="1" t="str">
        <f>IFERROR(__xludf.DUMMYFUNCTION("""COMPUTED_VALUE"""),"flik flak")</f>
        <v>flik flak</v>
      </c>
      <c r="D156" s="1">
        <f>IFERROR(__xludf.DUMMYFUNCTION("""COMPUTED_VALUE"""),566.0)</f>
        <v>566</v>
      </c>
      <c r="E156" s="1">
        <f>IFERROR(__xludf.DUMMYFUNCTION("""COMPUTED_VALUE"""),566.0)</f>
        <v>566</v>
      </c>
      <c r="F156" s="1">
        <f>IFERROR(__xludf.DUMMYFUNCTION("""COMPUTED_VALUE"""),566.0)</f>
        <v>566</v>
      </c>
      <c r="G156" s="1">
        <f t="shared" si="1"/>
        <v>1</v>
      </c>
      <c r="H156" s="1">
        <f t="shared" si="2"/>
        <v>1</v>
      </c>
      <c r="I156" s="1">
        <f>IFERROR(__xludf.DUMMYFUNCTION("IF(B156="""","""",
  100*F156 / MAX(FILTER($F:$F, $A:$A=$A156, $B:$B=$B156))
)
"),79.49438202247191)</f>
        <v>79.49438202</v>
      </c>
      <c r="J156" s="1">
        <f>IFERROR(__xludf.DUMMYFUNCTION("IF(B156="""","""",
  100*E156 / MAX(FILTER($E:$E, $A:$A=$A156, $B:$B=$B156))
)
"),24.673060156931125)</f>
        <v>24.67306016</v>
      </c>
      <c r="K156" s="1">
        <f t="shared" si="3"/>
        <v>54.82478718</v>
      </c>
    </row>
    <row r="157">
      <c r="A157" s="3">
        <f>IFERROR(__xludf.DUMMYFUNCTION("""COMPUTED_VALUE"""),45748.0)</f>
        <v>45748</v>
      </c>
      <c r="B157" s="1" t="str">
        <f>IFERROR(__xludf.DUMMYFUNCTION("""COMPUTED_VALUE"""),"DPMall")</f>
        <v>DPMall</v>
      </c>
      <c r="C157" s="1" t="str">
        <f>IFERROR(__xludf.DUMMYFUNCTION("""COMPUTED_VALUE"""),"helo kitty")</f>
        <v>helo kitty</v>
      </c>
      <c r="D157" s="1">
        <f>IFERROR(__xludf.DUMMYFUNCTION("""COMPUTED_VALUE"""),219.0)</f>
        <v>219</v>
      </c>
      <c r="E157" s="1">
        <f>IFERROR(__xludf.DUMMYFUNCTION("""COMPUTED_VALUE"""),219.0)</f>
        <v>219</v>
      </c>
      <c r="F157" s="1">
        <f>IFERROR(__xludf.DUMMYFUNCTION("""COMPUTED_VALUE"""),32.0)</f>
        <v>32</v>
      </c>
      <c r="G157" s="1">
        <f t="shared" si="1"/>
        <v>6.84375</v>
      </c>
      <c r="H157" s="1">
        <f t="shared" si="2"/>
        <v>6.84375</v>
      </c>
      <c r="I157" s="1">
        <f>IFERROR(__xludf.DUMMYFUNCTION("IF(B157="""","""",
  100*F157 / MAX(FILTER($F:$F, $A:$A=$A157, $B:$B=$B157))
)
"),4.49438202247191)</f>
        <v>4.494382022</v>
      </c>
      <c r="J157" s="1">
        <f>IFERROR(__xludf.DUMMYFUNCTION("IF(B157="""","""",
  100*E157 / MAX(FILTER($E:$E, $A:$A=$A157, $B:$B=$B157))
)
"),9.54664341761116)</f>
        <v>9.546643418</v>
      </c>
      <c r="K157" s="1">
        <f t="shared" si="3"/>
        <v>6.76789965</v>
      </c>
    </row>
    <row r="158">
      <c r="A158" s="3">
        <f>IFERROR(__xludf.DUMMYFUNCTION("""COMPUTED_VALUE"""),45748.0)</f>
        <v>45748</v>
      </c>
      <c r="B158" s="1" t="str">
        <f>IFERROR(__xludf.DUMMYFUNCTION("""COMPUTED_VALUE"""),"DPMall")</f>
        <v>DPMall</v>
      </c>
      <c r="C158" s="1" t="str">
        <f>IFERROR(__xludf.DUMMYFUNCTION("""COMPUTED_VALUE"""),"kinder bones")</f>
        <v>kinder bones</v>
      </c>
      <c r="D158" s="1">
        <f>IFERROR(__xludf.DUMMYFUNCTION("""COMPUTED_VALUE"""),481.0)</f>
        <v>481</v>
      </c>
      <c r="E158" s="1">
        <f>IFERROR(__xludf.DUMMYFUNCTION("""COMPUTED_VALUE"""),481.0)</f>
        <v>481</v>
      </c>
      <c r="F158" s="1">
        <f>IFERROR(__xludf.DUMMYFUNCTION("""COMPUTED_VALUE"""),97.0)</f>
        <v>97</v>
      </c>
      <c r="G158" s="1">
        <f t="shared" si="1"/>
        <v>4.958762887</v>
      </c>
      <c r="H158" s="1">
        <f t="shared" si="2"/>
        <v>4.958762887</v>
      </c>
      <c r="I158" s="1">
        <f>IFERROR(__xludf.DUMMYFUNCTION("IF(B158="""","""",
  100*F158 / MAX(FILTER($F:$F, $A:$A=$A158, $B:$B=$B158))
)
"),13.623595505617978)</f>
        <v>13.62359551</v>
      </c>
      <c r="J158" s="1">
        <f>IFERROR(__xludf.DUMMYFUNCTION("IF(B158="""","""",
  100*E158 / MAX(FILTER($E:$E, $A:$A=$A158, $B:$B=$B158))
)
"),20.967741935483872)</f>
        <v>20.96774194</v>
      </c>
      <c r="K158" s="1">
        <f t="shared" si="3"/>
        <v>16.9284614</v>
      </c>
    </row>
    <row r="159">
      <c r="A159" s="3">
        <f>IFERROR(__xludf.DUMMYFUNCTION("""COMPUTED_VALUE"""),45748.0)</f>
        <v>45748</v>
      </c>
      <c r="B159" s="1" t="str">
        <f>IFERROR(__xludf.DUMMYFUNCTION("""COMPUTED_VALUE"""),"DPMall")</f>
        <v>DPMall</v>
      </c>
      <c r="C159" s="1" t="str">
        <f>IFERROR(__xludf.DUMMYFUNCTION("""COMPUTED_VALUE"""),"kinder bueno")</f>
        <v>kinder bueno</v>
      </c>
      <c r="D159" s="1">
        <f>IFERROR(__xludf.DUMMYFUNCTION("""COMPUTED_VALUE"""),610.0)</f>
        <v>610</v>
      </c>
      <c r="E159" s="1">
        <f>IFERROR(__xludf.DUMMYFUNCTION("""COMPUTED_VALUE"""),610.0)</f>
        <v>610</v>
      </c>
      <c r="F159" s="1">
        <f>IFERROR(__xludf.DUMMYFUNCTION("""COMPUTED_VALUE"""),115.0)</f>
        <v>115</v>
      </c>
      <c r="G159" s="1">
        <f t="shared" si="1"/>
        <v>5.304347826</v>
      </c>
      <c r="H159" s="1">
        <f t="shared" si="2"/>
        <v>5.304347826</v>
      </c>
      <c r="I159" s="1">
        <f>IFERROR(__xludf.DUMMYFUNCTION("IF(B159="""","""",
  100*F159 / MAX(FILTER($F:$F, $A:$A=$A159, $B:$B=$B159))
)
"),16.151685393258425)</f>
        <v>16.15168539</v>
      </c>
      <c r="J159" s="1">
        <f>IFERROR(__xludf.DUMMYFUNCTION("IF(B159="""","""",
  100*E159 / MAX(FILTER($E:$E, $A:$A=$A159, $B:$B=$B159))
)
"),26.591107236268527)</f>
        <v>26.59110724</v>
      </c>
      <c r="K159" s="1">
        <f t="shared" si="3"/>
        <v>20.84942522</v>
      </c>
    </row>
    <row r="160">
      <c r="A160" s="3">
        <f>IFERROR(__xludf.DUMMYFUNCTION("""COMPUTED_VALUE"""),45748.0)</f>
        <v>45748</v>
      </c>
      <c r="B160" s="1" t="str">
        <f>IFERROR(__xludf.DUMMYFUNCTION("""COMPUTED_VALUE"""),"DPMall")</f>
        <v>DPMall</v>
      </c>
      <c r="C160" s="1" t="str">
        <f>IFERROR(__xludf.DUMMYFUNCTION("""COMPUTED_VALUE"""),"kinza")</f>
        <v>kinza</v>
      </c>
      <c r="D160" s="1">
        <f>IFERROR(__xludf.DUMMYFUNCTION("""COMPUTED_VALUE"""),212.0)</f>
        <v>212</v>
      </c>
      <c r="E160" s="1">
        <f>IFERROR(__xludf.DUMMYFUNCTION("""COMPUTED_VALUE"""),212.0)</f>
        <v>212</v>
      </c>
      <c r="F160" s="1">
        <f>IFERROR(__xludf.DUMMYFUNCTION("""COMPUTED_VALUE"""),106.0)</f>
        <v>106</v>
      </c>
      <c r="G160" s="1">
        <f t="shared" si="1"/>
        <v>2</v>
      </c>
      <c r="H160" s="1">
        <f t="shared" si="2"/>
        <v>2</v>
      </c>
      <c r="I160" s="1">
        <f>IFERROR(__xludf.DUMMYFUNCTION("IF(B160="""","""",
  100*F160 / MAX(FILTER($F:$F, $A:$A=$A160, $B:$B=$B160))
)
"),14.887640449438202)</f>
        <v>14.88764045</v>
      </c>
      <c r="J160" s="1">
        <f>IFERROR(__xludf.DUMMYFUNCTION("IF(B160="""","""",
  100*E160 / MAX(FILTER($E:$E, $A:$A=$A160, $B:$B=$B160))
)
"),9.24149956408021)</f>
        <v>9.241499564</v>
      </c>
      <c r="K160" s="1">
        <f t="shared" si="3"/>
        <v>12.34687705</v>
      </c>
    </row>
    <row r="161">
      <c r="A161" s="3">
        <f>IFERROR(__xludf.DUMMYFUNCTION("""COMPUTED_VALUE"""),45748.0)</f>
        <v>45748</v>
      </c>
      <c r="B161" s="1" t="str">
        <f>IFERROR(__xludf.DUMMYFUNCTION("""COMPUTED_VALUE"""),"DPMall")</f>
        <v>DPMall</v>
      </c>
      <c r="C161" s="1" t="str">
        <f>IFERROR(__xludf.DUMMYFUNCTION("""COMPUTED_VALUE"""),"kitkat")</f>
        <v>kitkat</v>
      </c>
      <c r="D161" s="1">
        <f>IFERROR(__xludf.DUMMYFUNCTION("""COMPUTED_VALUE"""),148.0)</f>
        <v>148</v>
      </c>
      <c r="E161" s="1">
        <f>IFERROR(__xludf.DUMMYFUNCTION("""COMPUTED_VALUE"""),148.0)</f>
        <v>148</v>
      </c>
      <c r="F161" s="1">
        <f>IFERROR(__xludf.DUMMYFUNCTION("""COMPUTED_VALUE"""),37.0)</f>
        <v>37</v>
      </c>
      <c r="G161" s="1">
        <f t="shared" si="1"/>
        <v>4</v>
      </c>
      <c r="H161" s="1">
        <f t="shared" si="2"/>
        <v>4</v>
      </c>
      <c r="I161" s="1">
        <f>IFERROR(__xludf.DUMMYFUNCTION("IF(B161="""","""",
  100*F161 / MAX(FILTER($F:$F, $A:$A=$A161, $B:$B=$B161))
)
"),5.196629213483146)</f>
        <v>5.196629213</v>
      </c>
      <c r="J161" s="1">
        <f>IFERROR(__xludf.DUMMYFUNCTION("IF(B161="""","""",
  100*E161 / MAX(FILTER($E:$E, $A:$A=$A161, $B:$B=$B161))
)
"),6.451612903225806)</f>
        <v>6.451612903</v>
      </c>
      <c r="K161" s="1">
        <f t="shared" si="3"/>
        <v>5.761371874</v>
      </c>
    </row>
    <row r="162">
      <c r="A162" s="3">
        <f>IFERROR(__xludf.DUMMYFUNCTION("""COMPUTED_VALUE"""),45748.0)</f>
        <v>45748</v>
      </c>
      <c r="B162" s="1" t="str">
        <f>IFERROR(__xludf.DUMMYFUNCTION("""COMPUTED_VALUE"""),"DPMall")</f>
        <v>DPMall</v>
      </c>
      <c r="C162" s="1" t="str">
        <f>IFERROR(__xludf.DUMMYFUNCTION("""COMPUTED_VALUE"""),"m&amp;m's")</f>
        <v>m&amp;m's</v>
      </c>
      <c r="D162" s="1">
        <f>IFERROR(__xludf.DUMMYFUNCTION("""COMPUTED_VALUE"""),235.0)</f>
        <v>235</v>
      </c>
      <c r="E162" s="1">
        <f>IFERROR(__xludf.DUMMYFUNCTION("""COMPUTED_VALUE"""),235.0)</f>
        <v>235</v>
      </c>
      <c r="F162" s="1">
        <f>IFERROR(__xludf.DUMMYFUNCTION("""COMPUTED_VALUE"""),53.0)</f>
        <v>53</v>
      </c>
      <c r="G162" s="1">
        <f t="shared" si="1"/>
        <v>4.433962264</v>
      </c>
      <c r="H162" s="1">
        <f t="shared" si="2"/>
        <v>4.433962264</v>
      </c>
      <c r="I162" s="1">
        <f>IFERROR(__xludf.DUMMYFUNCTION("IF(B162="""","""",
  100*F162 / MAX(FILTER($F:$F, $A:$A=$A162, $B:$B=$B162))
)
"),7.443820224719101)</f>
        <v>7.443820225</v>
      </c>
      <c r="J162" s="1">
        <f>IFERROR(__xludf.DUMMYFUNCTION("IF(B162="""","""",
  100*E162 / MAX(FILTER($E:$E, $A:$A=$A162, $B:$B=$B162))
)
"),10.244115082824761)</f>
        <v>10.24411508</v>
      </c>
      <c r="K162" s="1">
        <f t="shared" si="3"/>
        <v>8.703952911</v>
      </c>
    </row>
    <row r="163">
      <c r="A163" s="3">
        <f>IFERROR(__xludf.DUMMYFUNCTION("""COMPUTED_VALUE"""),45748.0)</f>
        <v>45748</v>
      </c>
      <c r="B163" s="1" t="str">
        <f>IFERROR(__xludf.DUMMYFUNCTION("""COMPUTED_VALUE"""),"DPMall")</f>
        <v>DPMall</v>
      </c>
      <c r="C163" s="1" t="str">
        <f>IFERROR(__xludf.DUMMYFUNCTION("""COMPUTED_VALUE"""),"maxBrew")</f>
        <v>maxBrew</v>
      </c>
      <c r="D163" s="1">
        <f>IFERROR(__xludf.DUMMYFUNCTION("""COMPUTED_VALUE"""),18.0)</f>
        <v>18</v>
      </c>
      <c r="E163" s="1">
        <f>IFERROR(__xludf.DUMMYFUNCTION("""COMPUTED_VALUE"""),18.0)</f>
        <v>18</v>
      </c>
      <c r="F163" s="1">
        <f>IFERROR(__xludf.DUMMYFUNCTION("""COMPUTED_VALUE"""),3.0)</f>
        <v>3</v>
      </c>
      <c r="G163" s="1">
        <f t="shared" si="1"/>
        <v>6</v>
      </c>
      <c r="H163" s="1">
        <f t="shared" si="2"/>
        <v>6</v>
      </c>
      <c r="I163" s="1">
        <f>IFERROR(__xludf.DUMMYFUNCTION("IF(B163="""","""",
  100*F163 / MAX(FILTER($F:$F, $A:$A=$A163, $B:$B=$B163))
)
"),0.42134831460674155)</f>
        <v>0.4213483146</v>
      </c>
      <c r="J163" s="1">
        <f>IFERROR(__xludf.DUMMYFUNCTION("IF(B163="""","""",
  100*E163 / MAX(FILTER($E:$E, $A:$A=$A163, $B:$B=$B163))
)
"),0.7846556233653008)</f>
        <v>0.7846556234</v>
      </c>
      <c r="K163" s="1">
        <f t="shared" si="3"/>
        <v>0.5848366035</v>
      </c>
    </row>
    <row r="164">
      <c r="A164" s="3">
        <f>IFERROR(__xludf.DUMMYFUNCTION("""COMPUTED_VALUE"""),45748.0)</f>
        <v>45748</v>
      </c>
      <c r="B164" s="1" t="str">
        <f>IFERROR(__xludf.DUMMYFUNCTION("""COMPUTED_VALUE"""),"DPMall")</f>
        <v>DPMall</v>
      </c>
      <c r="C164" s="1" t="str">
        <f>IFERROR(__xludf.DUMMYFUNCTION("""COMPUTED_VALUE"""),"maxFly")</f>
        <v>maxFly</v>
      </c>
      <c r="D164" s="1">
        <f>IFERROR(__xludf.DUMMYFUNCTION("""COMPUTED_VALUE"""),72.0)</f>
        <v>72</v>
      </c>
      <c r="E164" s="1">
        <f>IFERROR(__xludf.DUMMYFUNCTION("""COMPUTED_VALUE"""),72.0)</f>
        <v>72</v>
      </c>
      <c r="F164" s="1">
        <f>IFERROR(__xludf.DUMMYFUNCTION("""COMPUTED_VALUE"""),18.0)</f>
        <v>18</v>
      </c>
      <c r="G164" s="1">
        <f t="shared" si="1"/>
        <v>4</v>
      </c>
      <c r="H164" s="1">
        <f t="shared" si="2"/>
        <v>4</v>
      </c>
      <c r="I164" s="1">
        <f>IFERROR(__xludf.DUMMYFUNCTION("IF(B164="""","""",
  100*F164 / MAX(FILTER($F:$F, $A:$A=$A164, $B:$B=$B164))
)
"),2.5280898876404496)</f>
        <v>2.528089888</v>
      </c>
      <c r="J164" s="1">
        <f>IFERROR(__xludf.DUMMYFUNCTION("IF(B164="""","""",
  100*E164 / MAX(FILTER($E:$E, $A:$A=$A164, $B:$B=$B164))
)
"),3.1386224934612033)</f>
        <v>3.138622493</v>
      </c>
      <c r="K164" s="1">
        <f t="shared" si="3"/>
        <v>2.80282956</v>
      </c>
    </row>
    <row r="165">
      <c r="A165" s="3">
        <f>IFERROR(__xludf.DUMMYFUNCTION("""COMPUTED_VALUE"""),45748.0)</f>
        <v>45748</v>
      </c>
      <c r="B165" s="1" t="str">
        <f>IFERROR(__xludf.DUMMYFUNCTION("""COMPUTED_VALUE"""),"DPMall")</f>
        <v>DPMall</v>
      </c>
      <c r="C165" s="1" t="str">
        <f>IFERROR(__xludf.DUMMYFUNCTION("""COMPUTED_VALUE"""),"mr bite")</f>
        <v>mr bite</v>
      </c>
      <c r="D165" s="1">
        <f>IFERROR(__xludf.DUMMYFUNCTION("""COMPUTED_VALUE"""),248.0)</f>
        <v>248</v>
      </c>
      <c r="E165" s="1">
        <f>IFERROR(__xludf.DUMMYFUNCTION("""COMPUTED_VALUE"""),248.0)</f>
        <v>248</v>
      </c>
      <c r="F165" s="1">
        <f>IFERROR(__xludf.DUMMYFUNCTION("""COMPUTED_VALUE"""),124.0)</f>
        <v>124</v>
      </c>
      <c r="G165" s="1">
        <f t="shared" si="1"/>
        <v>2</v>
      </c>
      <c r="H165" s="1">
        <f t="shared" si="2"/>
        <v>2</v>
      </c>
      <c r="I165" s="1">
        <f>IFERROR(__xludf.DUMMYFUNCTION("IF(B165="""","""",
  100*F165 / MAX(FILTER($F:$F, $A:$A=$A165, $B:$B=$B165))
)
"),17.415730337078653)</f>
        <v>17.41573034</v>
      </c>
      <c r="J165" s="1">
        <f>IFERROR(__xludf.DUMMYFUNCTION("IF(B165="""","""",
  100*E165 / MAX(FILTER($E:$E, $A:$A=$A165, $B:$B=$B165))
)
"),10.81081081081081)</f>
        <v>10.81081081</v>
      </c>
      <c r="K165" s="1">
        <f t="shared" si="3"/>
        <v>14.44351655</v>
      </c>
    </row>
    <row r="166">
      <c r="A166" s="3">
        <f>IFERROR(__xludf.DUMMYFUNCTION("""COMPUTED_VALUE"""),45748.0)</f>
        <v>45748</v>
      </c>
      <c r="B166" s="1" t="str">
        <f>IFERROR(__xludf.DUMMYFUNCTION("""COMPUTED_VALUE"""),"DPMall")</f>
        <v>DPMall</v>
      </c>
      <c r="C166" s="1" t="str">
        <f>IFERROR(__xludf.DUMMYFUNCTION("""COMPUTED_VALUE"""),"pepsi 500ml")</f>
        <v>pepsi 500ml</v>
      </c>
      <c r="D166" s="1">
        <f>IFERROR(__xludf.DUMMYFUNCTION("""COMPUTED_VALUE"""),183.0)</f>
        <v>183</v>
      </c>
      <c r="E166" s="1">
        <f>IFERROR(__xludf.DUMMYFUNCTION("""COMPUTED_VALUE"""),183.0)</f>
        <v>183</v>
      </c>
      <c r="F166" s="1">
        <f>IFERROR(__xludf.DUMMYFUNCTION("""COMPUTED_VALUE"""),62.0)</f>
        <v>62</v>
      </c>
      <c r="G166" s="1">
        <f t="shared" si="1"/>
        <v>2.951612903</v>
      </c>
      <c r="H166" s="1">
        <f t="shared" si="2"/>
        <v>2.951612903</v>
      </c>
      <c r="I166" s="1">
        <f>IFERROR(__xludf.DUMMYFUNCTION("IF(B166="""","""",
  100*F166 / MAX(FILTER($F:$F, $A:$A=$A166, $B:$B=$B166))
)
"),8.707865168539326)</f>
        <v>8.707865169</v>
      </c>
      <c r="J166" s="1">
        <f>IFERROR(__xludf.DUMMYFUNCTION("IF(B166="""","""",
  100*E166 / MAX(FILTER($E:$E, $A:$A=$A166, $B:$B=$B166))
)
"),7.977332170880558)</f>
        <v>7.977332171</v>
      </c>
      <c r="K166" s="1">
        <f t="shared" si="3"/>
        <v>8.37912532</v>
      </c>
    </row>
    <row r="167">
      <c r="A167" s="3">
        <f>IFERROR(__xludf.DUMMYFUNCTION("""COMPUTED_VALUE"""),45748.0)</f>
        <v>45748</v>
      </c>
      <c r="B167" s="1" t="str">
        <f>IFERROR(__xludf.DUMMYFUNCTION("""COMPUTED_VALUE"""),"DPMall")</f>
        <v>DPMall</v>
      </c>
      <c r="C167" s="1" t="str">
        <f>IFERROR(__xludf.DUMMYFUNCTION("""COMPUTED_VALUE"""),"prigles bugle")</f>
        <v>prigles bugle</v>
      </c>
      <c r="D167" s="1">
        <f>IFERROR(__xludf.DUMMYFUNCTION("""COMPUTED_VALUE"""),417.0)</f>
        <v>417</v>
      </c>
      <c r="E167" s="1">
        <f>IFERROR(__xludf.DUMMYFUNCTION("""COMPUTED_VALUE"""),417.0)</f>
        <v>417</v>
      </c>
      <c r="F167" s="1">
        <f>IFERROR(__xludf.DUMMYFUNCTION("""COMPUTED_VALUE"""),101.0)</f>
        <v>101</v>
      </c>
      <c r="G167" s="1">
        <f t="shared" si="1"/>
        <v>4.128712871</v>
      </c>
      <c r="H167" s="1">
        <f t="shared" si="2"/>
        <v>4.128712871</v>
      </c>
      <c r="I167" s="1">
        <f>IFERROR(__xludf.DUMMYFUNCTION("IF(B167="""","""",
  100*F167 / MAX(FILTER($F:$F, $A:$A=$A167, $B:$B=$B167))
)
"),14.185393258426966)</f>
        <v>14.18539326</v>
      </c>
      <c r="J167" s="1">
        <f>IFERROR(__xludf.DUMMYFUNCTION("IF(B167="""","""",
  100*E167 / MAX(FILTER($E:$E, $A:$A=$A167, $B:$B=$B167))
)
"),18.17785527462947)</f>
        <v>18.17785527</v>
      </c>
      <c r="K167" s="1">
        <f t="shared" si="3"/>
        <v>15.98200117</v>
      </c>
    </row>
    <row r="168">
      <c r="A168" s="3">
        <f>IFERROR(__xludf.DUMMYFUNCTION("""COMPUTED_VALUE"""),45748.0)</f>
        <v>45748</v>
      </c>
      <c r="B168" s="1" t="str">
        <f>IFERROR(__xludf.DUMMYFUNCTION("""COMPUTED_VALUE"""),"DPMall")</f>
        <v>DPMall</v>
      </c>
      <c r="C168" s="1" t="str">
        <f>IFERROR(__xludf.DUMMYFUNCTION("""COMPUTED_VALUE"""),"real Doritos")</f>
        <v>real Doritos</v>
      </c>
      <c r="D168" s="1">
        <f>IFERROR(__xludf.DUMMYFUNCTION("""COMPUTED_VALUE"""),64.0)</f>
        <v>64</v>
      </c>
      <c r="E168" s="1">
        <f>IFERROR(__xludf.DUMMYFUNCTION("""COMPUTED_VALUE"""),64.0)</f>
        <v>64</v>
      </c>
      <c r="F168" s="1">
        <f>IFERROR(__xludf.DUMMYFUNCTION("""COMPUTED_VALUE"""),9.0)</f>
        <v>9</v>
      </c>
      <c r="G168" s="1">
        <f t="shared" si="1"/>
        <v>7.111111111</v>
      </c>
      <c r="H168" s="1">
        <f t="shared" si="2"/>
        <v>7.111111111</v>
      </c>
      <c r="I168" s="1">
        <f>IFERROR(__xludf.DUMMYFUNCTION("IF(B168="""","""",
  100*F168 / MAX(FILTER($F:$F, $A:$A=$A168, $B:$B=$B168))
)
"),1.2640449438202248)</f>
        <v>1.264044944</v>
      </c>
      <c r="J168" s="1">
        <f>IFERROR(__xludf.DUMMYFUNCTION("IF(B168="""","""",
  100*E168 / MAX(FILTER($E:$E, $A:$A=$A168, $B:$B=$B168))
)
"),2.789886660854403)</f>
        <v>2.789886661</v>
      </c>
      <c r="K168" s="1">
        <f t="shared" si="3"/>
        <v>1.950673716</v>
      </c>
    </row>
    <row r="169">
      <c r="A169" s="3">
        <f>IFERROR(__xludf.DUMMYFUNCTION("""COMPUTED_VALUE"""),45748.0)</f>
        <v>45748</v>
      </c>
      <c r="B169" s="1" t="str">
        <f>IFERROR(__xludf.DUMMYFUNCTION("""COMPUTED_VALUE"""),"DPMall")</f>
        <v>DPMall</v>
      </c>
      <c r="C169" s="1" t="str">
        <f>IFERROR(__xludf.DUMMYFUNCTION("""COMPUTED_VALUE"""),"schweppers")</f>
        <v>schweppers</v>
      </c>
      <c r="D169" s="1">
        <f>IFERROR(__xludf.DUMMYFUNCTION("""COMPUTED_VALUE"""),150.0)</f>
        <v>150</v>
      </c>
      <c r="E169" s="1">
        <f>IFERROR(__xludf.DUMMYFUNCTION("""COMPUTED_VALUE"""),150.0)</f>
        <v>150</v>
      </c>
      <c r="F169" s="1">
        <f>IFERROR(__xludf.DUMMYFUNCTION("""COMPUTED_VALUE"""),50.0)</f>
        <v>50</v>
      </c>
      <c r="G169" s="1">
        <f t="shared" si="1"/>
        <v>3</v>
      </c>
      <c r="H169" s="1">
        <f t="shared" si="2"/>
        <v>3</v>
      </c>
      <c r="I169" s="1">
        <f>IFERROR(__xludf.DUMMYFUNCTION("IF(B169="""","""",
  100*F169 / MAX(FILTER($F:$F, $A:$A=$A169, $B:$B=$B169))
)
"),7.022471910112359)</f>
        <v>7.02247191</v>
      </c>
      <c r="J169" s="1">
        <f>IFERROR(__xludf.DUMMYFUNCTION("IF(B169="""","""",
  100*E169 / MAX(FILTER($E:$E, $A:$A=$A169, $B:$B=$B169))
)
"),6.538796861377507)</f>
        <v>6.538796861</v>
      </c>
      <c r="K169" s="1">
        <f t="shared" si="3"/>
        <v>6.804818138</v>
      </c>
    </row>
    <row r="170">
      <c r="A170" s="3">
        <f>IFERROR(__xludf.DUMMYFUNCTION("""COMPUTED_VALUE"""),45748.0)</f>
        <v>45748</v>
      </c>
      <c r="B170" s="1" t="str">
        <f>IFERROR(__xludf.DUMMYFUNCTION("""COMPUTED_VALUE"""),"DPMall")</f>
        <v>DPMall</v>
      </c>
      <c r="C170" s="1" t="str">
        <f>IFERROR(__xludf.DUMMYFUNCTION("""COMPUTED_VALUE"""),"skittles")</f>
        <v>skittles</v>
      </c>
      <c r="D170" s="1">
        <f>IFERROR(__xludf.DUMMYFUNCTION("""COMPUTED_VALUE"""),391.0)</f>
        <v>391</v>
      </c>
      <c r="E170" s="1">
        <f>IFERROR(__xludf.DUMMYFUNCTION("""COMPUTED_VALUE"""),391.0)</f>
        <v>391</v>
      </c>
      <c r="F170" s="1">
        <f>IFERROR(__xludf.DUMMYFUNCTION("""COMPUTED_VALUE"""),86.0)</f>
        <v>86</v>
      </c>
      <c r="G170" s="1">
        <f t="shared" si="1"/>
        <v>4.546511628</v>
      </c>
      <c r="H170" s="1">
        <f t="shared" si="2"/>
        <v>4.546511628</v>
      </c>
      <c r="I170" s="1">
        <f>IFERROR(__xludf.DUMMYFUNCTION("IF(B170="""","""",
  100*F170 / MAX(FILTER($F:$F, $A:$A=$A170, $B:$B=$B170))
)
"),12.07865168539326)</f>
        <v>12.07865169</v>
      </c>
      <c r="J170" s="1">
        <f>IFERROR(__xludf.DUMMYFUNCTION("IF(B170="""","""",
  100*E170 / MAX(FILTER($E:$E, $A:$A=$A170, $B:$B=$B170))
)
"),17.044463818657366)</f>
        <v>17.04446382</v>
      </c>
      <c r="K170" s="1">
        <f t="shared" si="3"/>
        <v>14.31326715</v>
      </c>
    </row>
    <row r="171">
      <c r="A171" s="3">
        <f>IFERROR(__xludf.DUMMYFUNCTION("""COMPUTED_VALUE"""),45748.0)</f>
        <v>45748</v>
      </c>
      <c r="B171" s="1" t="str">
        <f>IFERROR(__xludf.DUMMYFUNCTION("""COMPUTED_VALUE"""),"DPMall")</f>
        <v>DPMall</v>
      </c>
      <c r="C171" s="1" t="str">
        <f>IFERROR(__xludf.DUMMYFUNCTION("""COMPUTED_VALUE"""),"skittles drink")</f>
        <v>skittles drink</v>
      </c>
      <c r="D171" s="1">
        <f>IFERROR(__xludf.DUMMYFUNCTION("""COMPUTED_VALUE"""),140.0)</f>
        <v>140</v>
      </c>
      <c r="E171" s="1">
        <f>IFERROR(__xludf.DUMMYFUNCTION("""COMPUTED_VALUE"""),140.0)</f>
        <v>140</v>
      </c>
      <c r="F171" s="1">
        <f>IFERROR(__xludf.DUMMYFUNCTION("""COMPUTED_VALUE"""),20.0)</f>
        <v>20</v>
      </c>
      <c r="G171" s="1">
        <f t="shared" si="1"/>
        <v>7</v>
      </c>
      <c r="H171" s="1">
        <f t="shared" si="2"/>
        <v>7</v>
      </c>
      <c r="I171" s="1">
        <f>IFERROR(__xludf.DUMMYFUNCTION("IF(B171="""","""",
  100*F171 / MAX(FILTER($F:$F, $A:$A=$A171, $B:$B=$B171))
)
"),2.808988764044944)</f>
        <v>2.808988764</v>
      </c>
      <c r="J171" s="1">
        <f>IFERROR(__xludf.DUMMYFUNCTION("IF(B171="""","""",
  100*E171 / MAX(FILTER($E:$E, $A:$A=$A171, $B:$B=$B171))
)
"),6.102877070619006)</f>
        <v>6.102877071</v>
      </c>
      <c r="K171" s="1">
        <f t="shared" si="3"/>
        <v>4.291238502</v>
      </c>
    </row>
    <row r="172">
      <c r="A172" s="3">
        <f>IFERROR(__xludf.DUMMYFUNCTION("""COMPUTED_VALUE"""),45748.0)</f>
        <v>45748</v>
      </c>
      <c r="B172" s="1" t="str">
        <f>IFERROR(__xludf.DUMMYFUNCTION("""COMPUTED_VALUE"""),"DPMall")</f>
        <v>DPMall</v>
      </c>
      <c r="C172" s="1" t="str">
        <f>IFERROR(__xludf.DUMMYFUNCTION("""COMPUTED_VALUE"""),"snickers")</f>
        <v>snickers</v>
      </c>
      <c r="D172" s="1">
        <f>IFERROR(__xludf.DUMMYFUNCTION("""COMPUTED_VALUE"""),75.0)</f>
        <v>75</v>
      </c>
      <c r="E172" s="1">
        <f>IFERROR(__xludf.DUMMYFUNCTION("""COMPUTED_VALUE"""),75.0)</f>
        <v>75</v>
      </c>
      <c r="F172" s="1">
        <f>IFERROR(__xludf.DUMMYFUNCTION("""COMPUTED_VALUE"""),15.0)</f>
        <v>15</v>
      </c>
      <c r="G172" s="1">
        <f t="shared" si="1"/>
        <v>5</v>
      </c>
      <c r="H172" s="1">
        <f t="shared" si="2"/>
        <v>5</v>
      </c>
      <c r="I172" s="1">
        <f>IFERROR(__xludf.DUMMYFUNCTION("IF(B172="""","""",
  100*F172 / MAX(FILTER($F:$F, $A:$A=$A172, $B:$B=$B172))
)
"),2.106741573033708)</f>
        <v>2.106741573</v>
      </c>
      <c r="J172" s="1">
        <f>IFERROR(__xludf.DUMMYFUNCTION("IF(B172="""","""",
  100*E172 / MAX(FILTER($E:$E, $A:$A=$A172, $B:$B=$B172))
)
"),3.2693984306887534)</f>
        <v>3.269398431</v>
      </c>
      <c r="K172" s="1">
        <f t="shared" si="3"/>
        <v>2.629937159</v>
      </c>
    </row>
    <row r="173">
      <c r="A173" s="3">
        <f>IFERROR(__xludf.DUMMYFUNCTION("""COMPUTED_VALUE"""),45748.0)</f>
        <v>45748</v>
      </c>
      <c r="B173" s="1" t="str">
        <f>IFERROR(__xludf.DUMMYFUNCTION("""COMPUTED_VALUE"""),"DPMall")</f>
        <v>DPMall</v>
      </c>
      <c r="C173" s="1" t="str">
        <f>IFERROR(__xludf.DUMMYFUNCTION("""COMPUTED_VALUE"""),"vitaGo")</f>
        <v>vitaGo</v>
      </c>
      <c r="D173" s="1">
        <f>IFERROR(__xludf.DUMMYFUNCTION("""COMPUTED_VALUE"""),24.0)</f>
        <v>24</v>
      </c>
      <c r="E173" s="1">
        <f>IFERROR(__xludf.DUMMYFUNCTION("""COMPUTED_VALUE"""),24.0)</f>
        <v>24</v>
      </c>
      <c r="F173" s="1">
        <f>IFERROR(__xludf.DUMMYFUNCTION("""COMPUTED_VALUE"""),8.0)</f>
        <v>8</v>
      </c>
      <c r="G173" s="1">
        <f t="shared" si="1"/>
        <v>3</v>
      </c>
      <c r="H173" s="1">
        <f t="shared" si="2"/>
        <v>3</v>
      </c>
      <c r="I173" s="1">
        <f>IFERROR(__xludf.DUMMYFUNCTION("IF(B173="""","""",
  100*F173 / MAX(FILTER($F:$F, $A:$A=$A173, $B:$B=$B173))
)
"),1.1235955056179776)</f>
        <v>1.123595506</v>
      </c>
      <c r="J173" s="1">
        <f>IFERROR(__xludf.DUMMYFUNCTION("IF(B173="""","""",
  100*E173 / MAX(FILTER($E:$E, $A:$A=$A173, $B:$B=$B173))
)
"),1.046207497820401)</f>
        <v>1.046207498</v>
      </c>
      <c r="K173" s="1">
        <f t="shared" si="3"/>
        <v>1.088770902</v>
      </c>
    </row>
    <row r="174">
      <c r="A174" s="3">
        <f>IFERROR(__xludf.DUMMYFUNCTION("""COMPUTED_VALUE"""),45748.0)</f>
        <v>45748</v>
      </c>
      <c r="B174" s="1" t="str">
        <f>IFERROR(__xludf.DUMMYFUNCTION("""COMPUTED_VALUE"""),"DPMall")</f>
        <v>DPMall</v>
      </c>
      <c r="C174" s="1" t="str">
        <f>IFERROR(__xludf.DUMMYFUNCTION("""COMPUTED_VALUE"""),"xo energy")</f>
        <v>xo energy</v>
      </c>
      <c r="D174" s="1">
        <f>IFERROR(__xludf.DUMMYFUNCTION("""COMPUTED_VALUE"""),110.0)</f>
        <v>110</v>
      </c>
      <c r="E174" s="1">
        <f>IFERROR(__xludf.DUMMYFUNCTION("""COMPUTED_VALUE"""),110.0)</f>
        <v>110</v>
      </c>
      <c r="F174" s="1">
        <f>IFERROR(__xludf.DUMMYFUNCTION("""COMPUTED_VALUE"""),22.0)</f>
        <v>22</v>
      </c>
      <c r="G174" s="1">
        <f t="shared" si="1"/>
        <v>5</v>
      </c>
      <c r="H174" s="1">
        <f t="shared" si="2"/>
        <v>5</v>
      </c>
      <c r="I174" s="1">
        <f>IFERROR(__xludf.DUMMYFUNCTION("IF(B174="""","""",
  100*F174 / MAX(FILTER($F:$F, $A:$A=$A174, $B:$B=$B174))
)
"),3.0898876404494384)</f>
        <v>3.08988764</v>
      </c>
      <c r="J174" s="1">
        <f>IFERROR(__xludf.DUMMYFUNCTION("IF(B174="""","""",
  100*E174 / MAX(FILTER($E:$E, $A:$A=$A174, $B:$B=$B174))
)
"),4.795117698343505)</f>
        <v>4.795117698</v>
      </c>
      <c r="K174" s="1">
        <f t="shared" si="3"/>
        <v>3.857241167</v>
      </c>
    </row>
    <row r="175">
      <c r="A175" s="3">
        <f>IFERROR(__xludf.DUMMYFUNCTION("""COMPUTED_VALUE"""),45778.0)</f>
        <v>45778</v>
      </c>
      <c r="B175" s="1" t="str">
        <f>IFERROR(__xludf.DUMMYFUNCTION("""COMPUTED_VALUE"""),"DPMall")</f>
        <v>DPMall</v>
      </c>
      <c r="C175" s="1" t="str">
        <f>IFERROR(__xludf.DUMMYFUNCTION("""COMPUTED_VALUE"""),"Barbican")</f>
        <v>Barbican</v>
      </c>
      <c r="D175" s="1">
        <f>IFERROR(__xludf.DUMMYFUNCTION("""COMPUTED_VALUE"""),64.0)</f>
        <v>64</v>
      </c>
      <c r="E175" s="1">
        <f>IFERROR(__xludf.DUMMYFUNCTION("""COMPUTED_VALUE"""),64.0)</f>
        <v>64</v>
      </c>
      <c r="F175" s="1">
        <f>IFERROR(__xludf.DUMMYFUNCTION("""COMPUTED_VALUE"""),16.0)</f>
        <v>16</v>
      </c>
      <c r="G175" s="1">
        <f t="shared" si="1"/>
        <v>4</v>
      </c>
      <c r="H175" s="1">
        <f t="shared" si="2"/>
        <v>4</v>
      </c>
      <c r="I175" s="1">
        <f>IFERROR(__xludf.DUMMYFUNCTION("IF(B175="""","""",
  100*F175 / MAX(FILTER($F:$F, $A:$A=$A175, $B:$B=$B175))
)
"),3.883495145631068)</f>
        <v>3.883495146</v>
      </c>
      <c r="J175" s="1">
        <f>IFERROR(__xludf.DUMMYFUNCTION("IF(B175="""","""",
  100*E175 / MAX(FILTER($E:$E, $A:$A=$A175, $B:$B=$B175))
)
"),5.333333333333333)</f>
        <v>5.333333333</v>
      </c>
      <c r="K175" s="1">
        <f t="shared" si="3"/>
        <v>4.53592233</v>
      </c>
    </row>
    <row r="176">
      <c r="A176" s="3">
        <f>IFERROR(__xludf.DUMMYFUNCTION("""COMPUTED_VALUE"""),45778.0)</f>
        <v>45778</v>
      </c>
      <c r="B176" s="1" t="str">
        <f>IFERROR(__xludf.DUMMYFUNCTION("""COMPUTED_VALUE"""),"DPMall")</f>
        <v>DPMall</v>
      </c>
      <c r="C176" s="1" t="str">
        <f>IFERROR(__xludf.DUMMYFUNCTION("""COMPUTED_VALUE"""),"Chotos")</f>
        <v>Chotos</v>
      </c>
      <c r="D176" s="1">
        <f>IFERROR(__xludf.DUMMYFUNCTION("""COMPUTED_VALUE"""),98.0)</f>
        <v>98</v>
      </c>
      <c r="E176" s="1">
        <f>IFERROR(__xludf.DUMMYFUNCTION("""COMPUTED_VALUE"""),98.0)</f>
        <v>98</v>
      </c>
      <c r="F176" s="1">
        <f>IFERROR(__xludf.DUMMYFUNCTION("""COMPUTED_VALUE"""),23.0)</f>
        <v>23</v>
      </c>
      <c r="G176" s="1">
        <f t="shared" si="1"/>
        <v>4.260869565</v>
      </c>
      <c r="H176" s="1">
        <f t="shared" si="2"/>
        <v>4.260869565</v>
      </c>
      <c r="I176" s="1">
        <f>IFERROR(__xludf.DUMMYFUNCTION("IF(B176="""","""",
  100*F176 / MAX(FILTER($F:$F, $A:$A=$A176, $B:$B=$B176))
)
"),5.58252427184466)</f>
        <v>5.582524272</v>
      </c>
      <c r="J176" s="1">
        <f>IFERROR(__xludf.DUMMYFUNCTION("IF(B176="""","""",
  100*E176 / MAX(FILTER($E:$E, $A:$A=$A176, $B:$B=$B176))
)
"),8.166666666666666)</f>
        <v>8.166666667</v>
      </c>
      <c r="K176" s="1">
        <f t="shared" si="3"/>
        <v>6.74538835</v>
      </c>
    </row>
    <row r="177">
      <c r="A177" s="3">
        <f>IFERROR(__xludf.DUMMYFUNCTION("""COMPUTED_VALUE"""),45778.0)</f>
        <v>45778</v>
      </c>
      <c r="B177" s="1" t="str">
        <f>IFERROR(__xludf.DUMMYFUNCTION("""COMPUTED_VALUE"""),"DPMall")</f>
        <v>DPMall</v>
      </c>
      <c r="C177" s="1" t="str">
        <f>IFERROR(__xludf.DUMMYFUNCTION("""COMPUTED_VALUE"""),"Doritos Dinamita")</f>
        <v>Doritos Dinamita</v>
      </c>
      <c r="D177" s="1">
        <f>IFERROR(__xludf.DUMMYFUNCTION("""COMPUTED_VALUE"""),96.0)</f>
        <v>96</v>
      </c>
      <c r="E177" s="1">
        <f>IFERROR(__xludf.DUMMYFUNCTION("""COMPUTED_VALUE"""),96.0)</f>
        <v>96</v>
      </c>
      <c r="F177" s="1">
        <f>IFERROR(__xludf.DUMMYFUNCTION("""COMPUTED_VALUE"""),8.0)</f>
        <v>8</v>
      </c>
      <c r="G177" s="1">
        <f t="shared" si="1"/>
        <v>12</v>
      </c>
      <c r="H177" s="1">
        <f t="shared" si="2"/>
        <v>12</v>
      </c>
      <c r="I177" s="1">
        <f>IFERROR(__xludf.DUMMYFUNCTION("IF(B177="""","""",
  100*F177 / MAX(FILTER($F:$F, $A:$A=$A177, $B:$B=$B177))
)
"),1.941747572815534)</f>
        <v>1.941747573</v>
      </c>
      <c r="J177" s="1">
        <f>IFERROR(__xludf.DUMMYFUNCTION("IF(B177="""","""",
  100*E177 / MAX(FILTER($E:$E, $A:$A=$A177, $B:$B=$B177))
)
"),8.0)</f>
        <v>8</v>
      </c>
      <c r="K177" s="1">
        <f t="shared" si="3"/>
        <v>4.667961165</v>
      </c>
    </row>
    <row r="178">
      <c r="A178" s="3">
        <f>IFERROR(__xludf.DUMMYFUNCTION("""COMPUTED_VALUE"""),45778.0)</f>
        <v>45778</v>
      </c>
      <c r="B178" s="1" t="str">
        <f>IFERROR(__xludf.DUMMYFUNCTION("""COMPUTED_VALUE"""),"DPMall")</f>
        <v>DPMall</v>
      </c>
      <c r="C178" s="1" t="str">
        <f>IFERROR(__xludf.DUMMYFUNCTION("""COMPUTED_VALUE"""),"Doritos nacho")</f>
        <v>Doritos nacho</v>
      </c>
      <c r="D178" s="1">
        <f>IFERROR(__xludf.DUMMYFUNCTION("""COMPUTED_VALUE"""),1200.0)</f>
        <v>1200</v>
      </c>
      <c r="E178" s="1">
        <f>IFERROR(__xludf.DUMMYFUNCTION("""COMPUTED_VALUE"""),1200.0)</f>
        <v>1200</v>
      </c>
      <c r="F178" s="1">
        <f>IFERROR(__xludf.DUMMYFUNCTION("""COMPUTED_VALUE"""),240.0)</f>
        <v>240</v>
      </c>
      <c r="G178" s="1">
        <f t="shared" si="1"/>
        <v>5</v>
      </c>
      <c r="H178" s="1">
        <f t="shared" si="2"/>
        <v>5</v>
      </c>
      <c r="I178" s="1">
        <f>IFERROR(__xludf.DUMMYFUNCTION("IF(B178="""","""",
  100*F178 / MAX(FILTER($F:$F, $A:$A=$A178, $B:$B=$B178))
)
"),58.25242718446602)</f>
        <v>58.25242718</v>
      </c>
      <c r="J178" s="1">
        <f>IFERROR(__xludf.DUMMYFUNCTION("IF(B178="""","""",
  100*E178 / MAX(FILTER($E:$E, $A:$A=$A178, $B:$B=$B178))
)
"),100.0)</f>
        <v>100</v>
      </c>
      <c r="K178" s="1">
        <f t="shared" si="3"/>
        <v>77.03883495</v>
      </c>
    </row>
    <row r="179">
      <c r="A179" s="3">
        <f>IFERROR(__xludf.DUMMYFUNCTION("""COMPUTED_VALUE"""),45778.0)</f>
        <v>45778</v>
      </c>
      <c r="B179" s="1" t="str">
        <f>IFERROR(__xludf.DUMMYFUNCTION("""COMPUTED_VALUE"""),"DPMall")</f>
        <v>DPMall</v>
      </c>
      <c r="C179" s="1" t="str">
        <f>IFERROR(__xludf.DUMMYFUNCTION("""COMPUTED_VALUE"""),"Freez drink")</f>
        <v>Freez drink</v>
      </c>
      <c r="D179" s="1">
        <f>IFERROR(__xludf.DUMMYFUNCTION("""COMPUTED_VALUE"""),90.0)</f>
        <v>90</v>
      </c>
      <c r="E179" s="1">
        <f>IFERROR(__xludf.DUMMYFUNCTION("""COMPUTED_VALUE"""),90.0)</f>
        <v>90</v>
      </c>
      <c r="F179" s="1">
        <f>IFERROR(__xludf.DUMMYFUNCTION("""COMPUTED_VALUE"""),18.0)</f>
        <v>18</v>
      </c>
      <c r="G179" s="1">
        <f t="shared" si="1"/>
        <v>5</v>
      </c>
      <c r="H179" s="1">
        <f t="shared" si="2"/>
        <v>5</v>
      </c>
      <c r="I179" s="1">
        <f>IFERROR(__xludf.DUMMYFUNCTION("IF(B179="""","""",
  100*F179 / MAX(FILTER($F:$F, $A:$A=$A179, $B:$B=$B179))
)
"),4.368932038834951)</f>
        <v>4.368932039</v>
      </c>
      <c r="J179" s="1">
        <f>IFERROR(__xludf.DUMMYFUNCTION("IF(B179="""","""",
  100*E179 / MAX(FILTER($E:$E, $A:$A=$A179, $B:$B=$B179))
)
"),7.5)</f>
        <v>7.5</v>
      </c>
      <c r="K179" s="1">
        <f t="shared" si="3"/>
        <v>5.777912621</v>
      </c>
    </row>
    <row r="180">
      <c r="A180" s="3">
        <f>IFERROR(__xludf.DUMMYFUNCTION("""COMPUTED_VALUE"""),45778.0)</f>
        <v>45778</v>
      </c>
      <c r="B180" s="1" t="str">
        <f>IFERROR(__xludf.DUMMYFUNCTION("""COMPUTED_VALUE"""),"DPMall")</f>
        <v>DPMall</v>
      </c>
      <c r="C180" s="1" t="str">
        <f>IFERROR(__xludf.DUMMYFUNCTION("""COMPUTED_VALUE"""),"Gardena")</f>
        <v>Gardena</v>
      </c>
      <c r="D180" s="1">
        <f>IFERROR(__xludf.DUMMYFUNCTION("""COMPUTED_VALUE"""),4.0)</f>
        <v>4</v>
      </c>
      <c r="E180" s="1">
        <f>IFERROR(__xludf.DUMMYFUNCTION("""COMPUTED_VALUE"""),4.0)</f>
        <v>4</v>
      </c>
      <c r="F180" s="1">
        <f>IFERROR(__xludf.DUMMYFUNCTION("""COMPUTED_VALUE"""),1.0)</f>
        <v>1</v>
      </c>
      <c r="G180" s="1">
        <f t="shared" si="1"/>
        <v>4</v>
      </c>
      <c r="H180" s="1">
        <f t="shared" si="2"/>
        <v>4</v>
      </c>
      <c r="I180" s="1">
        <f>IFERROR(__xludf.DUMMYFUNCTION("IF(B180="""","""",
  100*F180 / MAX(FILTER($F:$F, $A:$A=$A180, $B:$B=$B180))
)
"),0.24271844660194175)</f>
        <v>0.2427184466</v>
      </c>
      <c r="J180" s="1">
        <f>IFERROR(__xludf.DUMMYFUNCTION("IF(B180="""","""",
  100*E180 / MAX(FILTER($E:$E, $A:$A=$A180, $B:$B=$B180))
)
"),0.3333333333333333)</f>
        <v>0.3333333333</v>
      </c>
      <c r="K180" s="1">
        <f t="shared" si="3"/>
        <v>0.2834951456</v>
      </c>
    </row>
    <row r="181">
      <c r="A181" s="3">
        <f>IFERROR(__xludf.DUMMYFUNCTION("""COMPUTED_VALUE"""),45778.0)</f>
        <v>45778</v>
      </c>
      <c r="B181" s="1" t="str">
        <f>IFERROR(__xludf.DUMMYFUNCTION("""COMPUTED_VALUE"""),"DPMall")</f>
        <v>DPMall</v>
      </c>
      <c r="C181" s="1" t="str">
        <f>IFERROR(__xludf.DUMMYFUNCTION("""COMPUTED_VALUE"""),"Green")</f>
        <v>Green</v>
      </c>
      <c r="D181" s="1">
        <f>IFERROR(__xludf.DUMMYFUNCTION("""COMPUTED_VALUE"""),32.0)</f>
        <v>32</v>
      </c>
      <c r="E181" s="1">
        <f>IFERROR(__xludf.DUMMYFUNCTION("""COMPUTED_VALUE"""),32.0)</f>
        <v>32</v>
      </c>
      <c r="F181" s="1">
        <f>IFERROR(__xludf.DUMMYFUNCTION("""COMPUTED_VALUE"""),8.0)</f>
        <v>8</v>
      </c>
      <c r="G181" s="1">
        <f t="shared" si="1"/>
        <v>4</v>
      </c>
      <c r="H181" s="1">
        <f t="shared" si="2"/>
        <v>4</v>
      </c>
      <c r="I181" s="1">
        <f>IFERROR(__xludf.DUMMYFUNCTION("IF(B181="""","""",
  100*F181 / MAX(FILTER($F:$F, $A:$A=$A181, $B:$B=$B181))
)
"),1.941747572815534)</f>
        <v>1.941747573</v>
      </c>
      <c r="J181" s="1">
        <f>IFERROR(__xludf.DUMMYFUNCTION("IF(B181="""","""",
  100*E181 / MAX(FILTER($E:$E, $A:$A=$A181, $B:$B=$B181))
)
"),2.6666666666666665)</f>
        <v>2.666666667</v>
      </c>
      <c r="K181" s="1">
        <f t="shared" si="3"/>
        <v>2.267961165</v>
      </c>
    </row>
    <row r="182">
      <c r="A182" s="3">
        <f>IFERROR(__xludf.DUMMYFUNCTION("""COMPUTED_VALUE"""),45778.0)</f>
        <v>45778</v>
      </c>
      <c r="B182" s="1" t="str">
        <f>IFERROR(__xludf.DUMMYFUNCTION("""COMPUTED_VALUE"""),"DPMall")</f>
        <v>DPMall</v>
      </c>
      <c r="C182" s="1" t="str">
        <f>IFERROR(__xludf.DUMMYFUNCTION("""COMPUTED_VALUE"""),"Laviva")</f>
        <v>Laviva</v>
      </c>
      <c r="D182" s="1">
        <f>IFERROR(__xludf.DUMMYFUNCTION("""COMPUTED_VALUE"""),105.0)</f>
        <v>105</v>
      </c>
      <c r="E182" s="1">
        <f>IFERROR(__xludf.DUMMYFUNCTION("""COMPUTED_VALUE"""),105.0)</f>
        <v>105</v>
      </c>
      <c r="F182" s="1">
        <f>IFERROR(__xludf.DUMMYFUNCTION("""COMPUTED_VALUE"""),35.0)</f>
        <v>35</v>
      </c>
      <c r="G182" s="1">
        <f t="shared" si="1"/>
        <v>3</v>
      </c>
      <c r="H182" s="1">
        <f t="shared" si="2"/>
        <v>3</v>
      </c>
      <c r="I182" s="1">
        <f>IFERROR(__xludf.DUMMYFUNCTION("IF(B182="""","""",
  100*F182 / MAX(FILTER($F:$F, $A:$A=$A182, $B:$B=$B182))
)
"),8.495145631067961)</f>
        <v>8.495145631</v>
      </c>
      <c r="J182" s="1">
        <f>IFERROR(__xludf.DUMMYFUNCTION("IF(B182="""","""",
  100*E182 / MAX(FILTER($E:$E, $A:$A=$A182, $B:$B=$B182))
)
"),8.75)</f>
        <v>8.75</v>
      </c>
      <c r="K182" s="1">
        <f t="shared" si="3"/>
        <v>8.609830097</v>
      </c>
    </row>
    <row r="183">
      <c r="A183" s="3">
        <f>IFERROR(__xludf.DUMMYFUNCTION("""COMPUTED_VALUE"""),45778.0)</f>
        <v>45778</v>
      </c>
      <c r="B183" s="1" t="str">
        <f>IFERROR(__xludf.DUMMYFUNCTION("""COMPUTED_VALUE"""),"DPMall")</f>
        <v>DPMall</v>
      </c>
      <c r="C183" s="1" t="str">
        <f>IFERROR(__xludf.DUMMYFUNCTION("""COMPUTED_VALUE"""),"Maltesers")</f>
        <v>Maltesers</v>
      </c>
      <c r="D183" s="1">
        <f>IFERROR(__xludf.DUMMYFUNCTION("""COMPUTED_VALUE"""),230.0)</f>
        <v>230</v>
      </c>
      <c r="E183" s="1">
        <f>IFERROR(__xludf.DUMMYFUNCTION("""COMPUTED_VALUE"""),230.0)</f>
        <v>230</v>
      </c>
      <c r="F183" s="1">
        <f>IFERROR(__xludf.DUMMYFUNCTION("""COMPUTED_VALUE"""),46.0)</f>
        <v>46</v>
      </c>
      <c r="G183" s="1">
        <f t="shared" si="1"/>
        <v>5</v>
      </c>
      <c r="H183" s="1">
        <f t="shared" si="2"/>
        <v>5</v>
      </c>
      <c r="I183" s="1">
        <f>IFERROR(__xludf.DUMMYFUNCTION("IF(B183="""","""",
  100*F183 / MAX(FILTER($F:$F, $A:$A=$A183, $B:$B=$B183))
)
"),11.16504854368932)</f>
        <v>11.16504854</v>
      </c>
      <c r="J183" s="1">
        <f>IFERROR(__xludf.DUMMYFUNCTION("IF(B183="""","""",
  100*E183 / MAX(FILTER($E:$E, $A:$A=$A183, $B:$B=$B183))
)
"),19.166666666666668)</f>
        <v>19.16666667</v>
      </c>
      <c r="K183" s="1">
        <f t="shared" si="3"/>
        <v>14.7657767</v>
      </c>
    </row>
    <row r="184">
      <c r="A184" s="3">
        <f>IFERROR(__xludf.DUMMYFUNCTION("""COMPUTED_VALUE"""),45778.0)</f>
        <v>45778</v>
      </c>
      <c r="B184" s="1" t="str">
        <f>IFERROR(__xludf.DUMMYFUNCTION("""COMPUTED_VALUE"""),"DPMall")</f>
        <v>DPMall</v>
      </c>
      <c r="C184" s="1" t="str">
        <f>IFERROR(__xludf.DUMMYFUNCTION("""COMPUTED_VALUE"""),"Marshmellow sweetBag")</f>
        <v>Marshmellow sweetBag</v>
      </c>
      <c r="D184" s="1">
        <f>IFERROR(__xludf.DUMMYFUNCTION("""COMPUTED_VALUE"""),56.0)</f>
        <v>56</v>
      </c>
      <c r="E184" s="1">
        <f>IFERROR(__xludf.DUMMYFUNCTION("""COMPUTED_VALUE"""),56.0)</f>
        <v>56</v>
      </c>
      <c r="F184" s="1">
        <f>IFERROR(__xludf.DUMMYFUNCTION("""COMPUTED_VALUE"""),16.0)</f>
        <v>16</v>
      </c>
      <c r="G184" s="1">
        <f t="shared" si="1"/>
        <v>3.5</v>
      </c>
      <c r="H184" s="1">
        <f t="shared" si="2"/>
        <v>3.5</v>
      </c>
      <c r="I184" s="1">
        <f>IFERROR(__xludf.DUMMYFUNCTION("IF(B184="""","""",
  100*F184 / MAX(FILTER($F:$F, $A:$A=$A184, $B:$B=$B184))
)
"),3.883495145631068)</f>
        <v>3.883495146</v>
      </c>
      <c r="J184" s="1">
        <f>IFERROR(__xludf.DUMMYFUNCTION("IF(B184="""","""",
  100*E184 / MAX(FILTER($E:$E, $A:$A=$A184, $B:$B=$B184))
)
"),4.666666666666667)</f>
        <v>4.666666667</v>
      </c>
      <c r="K184" s="1">
        <f t="shared" si="3"/>
        <v>4.23592233</v>
      </c>
    </row>
    <row r="185">
      <c r="A185" s="3">
        <f>IFERROR(__xludf.DUMMYFUNCTION("""COMPUTED_VALUE"""),45778.0)</f>
        <v>45778</v>
      </c>
      <c r="B185" s="1" t="str">
        <f>IFERROR(__xludf.DUMMYFUNCTION("""COMPUTED_VALUE"""),"DPMall")</f>
        <v>DPMall</v>
      </c>
      <c r="C185" s="1" t="str">
        <f>IFERROR(__xludf.DUMMYFUNCTION("""COMPUTED_VALUE"""),"Mr Crunch")</f>
        <v>Mr Crunch</v>
      </c>
      <c r="D185" s="1">
        <f>IFERROR(__xludf.DUMMYFUNCTION("""COMPUTED_VALUE"""),28.0)</f>
        <v>28</v>
      </c>
      <c r="E185" s="1">
        <f>IFERROR(__xludf.DUMMYFUNCTION("""COMPUTED_VALUE"""),28.0)</f>
        <v>28</v>
      </c>
      <c r="F185" s="1">
        <f>IFERROR(__xludf.DUMMYFUNCTION("""COMPUTED_VALUE"""),7.0)</f>
        <v>7</v>
      </c>
      <c r="G185" s="1">
        <f t="shared" si="1"/>
        <v>4</v>
      </c>
      <c r="H185" s="1">
        <f t="shared" si="2"/>
        <v>4</v>
      </c>
      <c r="I185" s="1">
        <f>IFERROR(__xludf.DUMMYFUNCTION("IF(B185="""","""",
  100*F185 / MAX(FILTER($F:$F, $A:$A=$A185, $B:$B=$B185))
)
"),1.6990291262135921)</f>
        <v>1.699029126</v>
      </c>
      <c r="J185" s="1">
        <f>IFERROR(__xludf.DUMMYFUNCTION("IF(B185="""","""",
  100*E185 / MAX(FILTER($E:$E, $A:$A=$A185, $B:$B=$B185))
)
"),2.3333333333333335)</f>
        <v>2.333333333</v>
      </c>
      <c r="K185" s="1">
        <f t="shared" si="3"/>
        <v>1.984466019</v>
      </c>
    </row>
    <row r="186">
      <c r="A186" s="3">
        <f>IFERROR(__xludf.DUMMYFUNCTION("""COMPUTED_VALUE"""),45778.0)</f>
        <v>45778</v>
      </c>
      <c r="B186" s="1" t="str">
        <f>IFERROR(__xludf.DUMMYFUNCTION("""COMPUTED_VALUE"""),"DPMall")</f>
        <v>DPMall</v>
      </c>
      <c r="C186" s="1" t="str">
        <f>IFERROR(__xludf.DUMMYFUNCTION("""COMPUTED_VALUE"""),"SunTop")</f>
        <v>SunTop</v>
      </c>
      <c r="D186" s="1">
        <f>IFERROR(__xludf.DUMMYFUNCTION("""COMPUTED_VALUE"""),269.0)</f>
        <v>269</v>
      </c>
      <c r="E186" s="1">
        <f>IFERROR(__xludf.DUMMYFUNCTION("""COMPUTED_VALUE"""),269.0)</f>
        <v>269</v>
      </c>
      <c r="F186" s="1">
        <f>IFERROR(__xludf.DUMMYFUNCTION("""COMPUTED_VALUE"""),269.0)</f>
        <v>269</v>
      </c>
      <c r="G186" s="1">
        <f t="shared" si="1"/>
        <v>1</v>
      </c>
      <c r="H186" s="1">
        <f t="shared" si="2"/>
        <v>1</v>
      </c>
      <c r="I186" s="1">
        <f>IFERROR(__xludf.DUMMYFUNCTION("IF(B186="""","""",
  100*F186 / MAX(FILTER($F:$F, $A:$A=$A186, $B:$B=$B186))
)
"),65.29126213592232)</f>
        <v>65.29126214</v>
      </c>
      <c r="J186" s="1">
        <f>IFERROR(__xludf.DUMMYFUNCTION("IF(B186="""","""",
  100*E186 / MAX(FILTER($E:$E, $A:$A=$A186, $B:$B=$B186))
)
"),22.416666666666668)</f>
        <v>22.41666667</v>
      </c>
      <c r="K186" s="1">
        <f t="shared" si="3"/>
        <v>45.99769417</v>
      </c>
    </row>
    <row r="187">
      <c r="A187" s="3">
        <f>IFERROR(__xludf.DUMMYFUNCTION("""COMPUTED_VALUE"""),45778.0)</f>
        <v>45778</v>
      </c>
      <c r="B187" s="1" t="str">
        <f>IFERROR(__xludf.DUMMYFUNCTION("""COMPUTED_VALUE"""),"DPMall")</f>
        <v>DPMall</v>
      </c>
      <c r="C187" s="1" t="str">
        <f>IFERROR(__xludf.DUMMYFUNCTION("""COMPUTED_VALUE"""),"Takis")</f>
        <v>Takis</v>
      </c>
      <c r="D187" s="1">
        <f>IFERROR(__xludf.DUMMYFUNCTION("""COMPUTED_VALUE"""),50.0)</f>
        <v>50</v>
      </c>
      <c r="E187" s="1">
        <f>IFERROR(__xludf.DUMMYFUNCTION("""COMPUTED_VALUE"""),50.0)</f>
        <v>50</v>
      </c>
      <c r="F187" s="1">
        <f>IFERROR(__xludf.DUMMYFUNCTION("""COMPUTED_VALUE"""),2.0)</f>
        <v>2</v>
      </c>
      <c r="G187" s="1">
        <f t="shared" si="1"/>
        <v>25</v>
      </c>
      <c r="H187" s="1">
        <f t="shared" si="2"/>
        <v>25</v>
      </c>
      <c r="I187" s="1">
        <f>IFERROR(__xludf.DUMMYFUNCTION("IF(B187="""","""",
  100*F187 / MAX(FILTER($F:$F, $A:$A=$A187, $B:$B=$B187))
)
"),0.4854368932038835)</f>
        <v>0.4854368932</v>
      </c>
      <c r="J187" s="1">
        <f>IFERROR(__xludf.DUMMYFUNCTION("IF(B187="""","""",
  100*E187 / MAX(FILTER($E:$E, $A:$A=$A187, $B:$B=$B187))
)
"),4.166666666666667)</f>
        <v>4.166666667</v>
      </c>
      <c r="K187" s="1">
        <f t="shared" si="3"/>
        <v>2.141990291</v>
      </c>
    </row>
    <row r="188">
      <c r="A188" s="3">
        <f>IFERROR(__xludf.DUMMYFUNCTION("""COMPUTED_VALUE"""),45778.0)</f>
        <v>45778</v>
      </c>
      <c r="B188" s="1" t="str">
        <f>IFERROR(__xludf.DUMMYFUNCTION("""COMPUTED_VALUE"""),"DPMall")</f>
        <v>DPMall</v>
      </c>
      <c r="C188" s="1" t="str">
        <f>IFERROR(__xludf.DUMMYFUNCTION("""COMPUTED_VALUE"""),"Tiger *12")</f>
        <v>Tiger *12</v>
      </c>
      <c r="D188" s="1">
        <f>IFERROR(__xludf.DUMMYFUNCTION("""COMPUTED_VALUE"""),1172.0)</f>
        <v>1172</v>
      </c>
      <c r="E188" s="1">
        <f>IFERROR(__xludf.DUMMYFUNCTION("""COMPUTED_VALUE"""),1172.0)</f>
        <v>1172</v>
      </c>
      <c r="F188" s="1">
        <f>IFERROR(__xludf.DUMMYFUNCTION("""COMPUTED_VALUE"""),233.0)</f>
        <v>233</v>
      </c>
      <c r="G188" s="1">
        <f t="shared" si="1"/>
        <v>5.030042918</v>
      </c>
      <c r="H188" s="1">
        <f t="shared" si="2"/>
        <v>5.030042918</v>
      </c>
      <c r="I188" s="1">
        <f>IFERROR(__xludf.DUMMYFUNCTION("IF(B188="""","""",
  100*F188 / MAX(FILTER($F:$F, $A:$A=$A188, $B:$B=$B188))
)
"),56.55339805825243)</f>
        <v>56.55339806</v>
      </c>
      <c r="J188" s="1">
        <f>IFERROR(__xludf.DUMMYFUNCTION("IF(B188="""","""",
  100*E188 / MAX(FILTER($E:$E, $A:$A=$A188, $B:$B=$B188))
)
"),97.66666666666667)</f>
        <v>97.66666667</v>
      </c>
      <c r="K188" s="1">
        <f t="shared" si="3"/>
        <v>75.05436893</v>
      </c>
    </row>
    <row r="189">
      <c r="A189" s="3">
        <f>IFERROR(__xludf.DUMMYFUNCTION("""COMPUTED_VALUE"""),45778.0)</f>
        <v>45778</v>
      </c>
      <c r="B189" s="1" t="str">
        <f>IFERROR(__xludf.DUMMYFUNCTION("""COMPUTED_VALUE"""),"DPMall")</f>
        <v>DPMall</v>
      </c>
      <c r="C189" s="1" t="str">
        <f>IFERROR(__xludf.DUMMYFUNCTION("""COMPUTED_VALUE"""),"Wafe up extra")</f>
        <v>Wafe up extra</v>
      </c>
      <c r="D189" s="1">
        <f>IFERROR(__xludf.DUMMYFUNCTION("""COMPUTED_VALUE"""),33.0)</f>
        <v>33</v>
      </c>
      <c r="E189" s="1">
        <f>IFERROR(__xludf.DUMMYFUNCTION("""COMPUTED_VALUE"""),33.0)</f>
        <v>33</v>
      </c>
      <c r="F189" s="1">
        <f>IFERROR(__xludf.DUMMYFUNCTION("""COMPUTED_VALUE"""),11.0)</f>
        <v>11</v>
      </c>
      <c r="G189" s="1">
        <f t="shared" si="1"/>
        <v>3</v>
      </c>
      <c r="H189" s="1">
        <f t="shared" si="2"/>
        <v>3</v>
      </c>
      <c r="I189" s="1">
        <f>IFERROR(__xludf.DUMMYFUNCTION("IF(B189="""","""",
  100*F189 / MAX(FILTER($F:$F, $A:$A=$A189, $B:$B=$B189))
)
"),2.6699029126213594)</f>
        <v>2.669902913</v>
      </c>
      <c r="J189" s="1">
        <f>IFERROR(__xludf.DUMMYFUNCTION("IF(B189="""","""",
  100*E189 / MAX(FILTER($E:$E, $A:$A=$A189, $B:$B=$B189))
)
"),2.75)</f>
        <v>2.75</v>
      </c>
      <c r="K189" s="1">
        <f t="shared" si="3"/>
        <v>2.705946602</v>
      </c>
    </row>
    <row r="190">
      <c r="A190" s="3">
        <f>IFERROR(__xludf.DUMMYFUNCTION("""COMPUTED_VALUE"""),45778.0)</f>
        <v>45778</v>
      </c>
      <c r="B190" s="1" t="str">
        <f>IFERROR(__xludf.DUMMYFUNCTION("""COMPUTED_VALUE"""),"DPMall")</f>
        <v>DPMall</v>
      </c>
      <c r="C190" s="1" t="str">
        <f>IFERROR(__xludf.DUMMYFUNCTION("""COMPUTED_VALUE"""),"Water")</f>
        <v>Water</v>
      </c>
      <c r="D190" s="1">
        <f>IFERROR(__xludf.DUMMYFUNCTION("""COMPUTED_VALUE"""),416.0)</f>
        <v>416</v>
      </c>
      <c r="E190" s="1">
        <f>IFERROR(__xludf.DUMMYFUNCTION("""COMPUTED_VALUE"""),416.0)</f>
        <v>416</v>
      </c>
      <c r="F190" s="1">
        <f>IFERROR(__xludf.DUMMYFUNCTION("""COMPUTED_VALUE"""),412.0)</f>
        <v>412</v>
      </c>
      <c r="G190" s="1">
        <f t="shared" si="1"/>
        <v>1.009708738</v>
      </c>
      <c r="H190" s="1">
        <f t="shared" si="2"/>
        <v>1.009708738</v>
      </c>
      <c r="I190" s="1">
        <f>IFERROR(__xludf.DUMMYFUNCTION("IF(B190="""","""",
  100*F190 / MAX(FILTER($F:$F, $A:$A=$A190, $B:$B=$B190))
)
"),100.0)</f>
        <v>100</v>
      </c>
      <c r="J190" s="1">
        <f>IFERROR(__xludf.DUMMYFUNCTION("IF(B190="""","""",
  100*E190 / MAX(FILTER($E:$E, $A:$A=$A190, $B:$B=$B190))
)
"),34.666666666666664)</f>
        <v>34.66666667</v>
      </c>
      <c r="K190" s="1">
        <f t="shared" si="3"/>
        <v>70.6</v>
      </c>
    </row>
    <row r="191">
      <c r="A191" s="3">
        <f>IFERROR(__xludf.DUMMYFUNCTION("""COMPUTED_VALUE"""),45778.0)</f>
        <v>45778</v>
      </c>
      <c r="B191" s="1" t="str">
        <f>IFERROR(__xludf.DUMMYFUNCTION("""COMPUTED_VALUE"""),"DPMall")</f>
        <v>DPMall</v>
      </c>
      <c r="C191" s="1" t="str">
        <f>IFERROR(__xludf.DUMMYFUNCTION("""COMPUTED_VALUE"""),"X!R")</f>
        <v>X!R</v>
      </c>
      <c r="D191" s="1">
        <f>IFERROR(__xludf.DUMMYFUNCTION("""COMPUTED_VALUE"""),644.0)</f>
        <v>644</v>
      </c>
      <c r="E191" s="1">
        <f>IFERROR(__xludf.DUMMYFUNCTION("""COMPUTED_VALUE"""),644.0)</f>
        <v>644</v>
      </c>
      <c r="F191" s="1">
        <f>IFERROR(__xludf.DUMMYFUNCTION("""COMPUTED_VALUE"""),161.0)</f>
        <v>161</v>
      </c>
      <c r="G191" s="1">
        <f t="shared" si="1"/>
        <v>4</v>
      </c>
      <c r="H191" s="1">
        <f t="shared" si="2"/>
        <v>4</v>
      </c>
      <c r="I191" s="1">
        <f>IFERROR(__xludf.DUMMYFUNCTION("IF(B191="""","""",
  100*F191 / MAX(FILTER($F:$F, $A:$A=$A191, $B:$B=$B191))
)
"),39.077669902912625)</f>
        <v>39.0776699</v>
      </c>
      <c r="J191" s="1">
        <f>IFERROR(__xludf.DUMMYFUNCTION("IF(B191="""","""",
  100*E191 / MAX(FILTER($E:$E, $A:$A=$A191, $B:$B=$B191))
)
"),53.666666666666664)</f>
        <v>53.66666667</v>
      </c>
      <c r="K191" s="1">
        <f t="shared" si="3"/>
        <v>45.64271845</v>
      </c>
    </row>
    <row r="192">
      <c r="A192" s="3">
        <f>IFERROR(__xludf.DUMMYFUNCTION("""COMPUTED_VALUE"""),45778.0)</f>
        <v>45778</v>
      </c>
      <c r="B192" s="1" t="str">
        <f>IFERROR(__xludf.DUMMYFUNCTION("""COMPUTED_VALUE"""),"DPMall")</f>
        <v>DPMall</v>
      </c>
      <c r="C192" s="1" t="str">
        <f>IFERROR(__xludf.DUMMYFUNCTION("""COMPUTED_VALUE"""),"bonart sour")</f>
        <v>bonart sour</v>
      </c>
      <c r="D192" s="1">
        <f>IFERROR(__xludf.DUMMYFUNCTION("""COMPUTED_VALUE"""),260.0)</f>
        <v>260</v>
      </c>
      <c r="E192" s="1">
        <f>IFERROR(__xludf.DUMMYFUNCTION("""COMPUTED_VALUE"""),260.0)</f>
        <v>260</v>
      </c>
      <c r="F192" s="1">
        <f>IFERROR(__xludf.DUMMYFUNCTION("""COMPUTED_VALUE"""),52.0)</f>
        <v>52</v>
      </c>
      <c r="G192" s="1">
        <f t="shared" si="1"/>
        <v>5</v>
      </c>
      <c r="H192" s="1">
        <f t="shared" si="2"/>
        <v>5</v>
      </c>
      <c r="I192" s="1">
        <f>IFERROR(__xludf.DUMMYFUNCTION("IF(B192="""","""",
  100*F192 / MAX(FILTER($F:$F, $A:$A=$A192, $B:$B=$B192))
)
"),12.62135922330097)</f>
        <v>12.62135922</v>
      </c>
      <c r="J192" s="1">
        <f>IFERROR(__xludf.DUMMYFUNCTION("IF(B192="""","""",
  100*E192 / MAX(FILTER($E:$E, $A:$A=$A192, $B:$B=$B192))
)
"),21.666666666666668)</f>
        <v>21.66666667</v>
      </c>
      <c r="K192" s="1">
        <f t="shared" si="3"/>
        <v>16.69174757</v>
      </c>
    </row>
    <row r="193">
      <c r="A193" s="3">
        <f>IFERROR(__xludf.DUMMYFUNCTION("""COMPUTED_VALUE"""),45778.0)</f>
        <v>45778</v>
      </c>
      <c r="B193" s="1" t="str">
        <f>IFERROR(__xludf.DUMMYFUNCTION("""COMPUTED_VALUE"""),"DPMall")</f>
        <v>DPMall</v>
      </c>
      <c r="C193" s="1" t="str">
        <f>IFERROR(__xludf.DUMMYFUNCTION("""COMPUTED_VALUE"""),"flik flak")</f>
        <v>flik flak</v>
      </c>
      <c r="D193" s="1">
        <f>IFERROR(__xludf.DUMMYFUNCTION("""COMPUTED_VALUE"""),290.0)</f>
        <v>290</v>
      </c>
      <c r="E193" s="1">
        <f>IFERROR(__xludf.DUMMYFUNCTION("""COMPUTED_VALUE"""),290.0)</f>
        <v>290</v>
      </c>
      <c r="F193" s="1">
        <f>IFERROR(__xludf.DUMMYFUNCTION("""COMPUTED_VALUE"""),279.0)</f>
        <v>279</v>
      </c>
      <c r="G193" s="1">
        <f t="shared" si="1"/>
        <v>1.039426523</v>
      </c>
      <c r="H193" s="1">
        <f t="shared" si="2"/>
        <v>1.039426523</v>
      </c>
      <c r="I193" s="1">
        <f>IFERROR(__xludf.DUMMYFUNCTION("IF(B193="""","""",
  100*F193 / MAX(FILTER($F:$F, $A:$A=$A193, $B:$B=$B193))
)
"),67.71844660194175)</f>
        <v>67.7184466</v>
      </c>
      <c r="J193" s="1">
        <f>IFERROR(__xludf.DUMMYFUNCTION("IF(B193="""","""",
  100*E193 / MAX(FILTER($E:$E, $A:$A=$A193, $B:$B=$B193))
)
"),24.166666666666668)</f>
        <v>24.16666667</v>
      </c>
      <c r="K193" s="1">
        <f t="shared" si="3"/>
        <v>48.12014563</v>
      </c>
    </row>
    <row r="194">
      <c r="A194" s="3">
        <f>IFERROR(__xludf.DUMMYFUNCTION("""COMPUTED_VALUE"""),45778.0)</f>
        <v>45778</v>
      </c>
      <c r="B194" s="1" t="str">
        <f>IFERROR(__xludf.DUMMYFUNCTION("""COMPUTED_VALUE"""),"DPMall")</f>
        <v>DPMall</v>
      </c>
      <c r="C194" s="1" t="str">
        <f>IFERROR(__xludf.DUMMYFUNCTION("""COMPUTED_VALUE"""),"helo kitty")</f>
        <v>helo kitty</v>
      </c>
      <c r="D194" s="1">
        <f>IFERROR(__xludf.DUMMYFUNCTION("""COMPUTED_VALUE"""),56.0)</f>
        <v>56</v>
      </c>
      <c r="E194" s="1">
        <f>IFERROR(__xludf.DUMMYFUNCTION("""COMPUTED_VALUE"""),56.0)</f>
        <v>56</v>
      </c>
      <c r="F194" s="1">
        <f>IFERROR(__xludf.DUMMYFUNCTION("""COMPUTED_VALUE"""),8.0)</f>
        <v>8</v>
      </c>
      <c r="G194" s="1">
        <f t="shared" si="1"/>
        <v>7</v>
      </c>
      <c r="H194" s="1">
        <f t="shared" si="2"/>
        <v>7</v>
      </c>
      <c r="I194" s="1">
        <f>IFERROR(__xludf.DUMMYFUNCTION("IF(B194="""","""",
  100*F194 / MAX(FILTER($F:$F, $A:$A=$A194, $B:$B=$B194))
)
"),1.941747572815534)</f>
        <v>1.941747573</v>
      </c>
      <c r="J194" s="1">
        <f>IFERROR(__xludf.DUMMYFUNCTION("IF(B194="""","""",
  100*E194 / MAX(FILTER($E:$E, $A:$A=$A194, $B:$B=$B194))
)
"),4.666666666666667)</f>
        <v>4.666666667</v>
      </c>
      <c r="K194" s="1">
        <f t="shared" si="3"/>
        <v>3.167961165</v>
      </c>
    </row>
    <row r="195">
      <c r="A195" s="3">
        <f>IFERROR(__xludf.DUMMYFUNCTION("""COMPUTED_VALUE"""),45778.0)</f>
        <v>45778</v>
      </c>
      <c r="B195" s="1" t="str">
        <f>IFERROR(__xludf.DUMMYFUNCTION("""COMPUTED_VALUE"""),"DPMall")</f>
        <v>DPMall</v>
      </c>
      <c r="C195" s="1" t="str">
        <f>IFERROR(__xludf.DUMMYFUNCTION("""COMPUTED_VALUE"""),"ifrui juice")</f>
        <v>ifrui juice</v>
      </c>
      <c r="D195" s="1">
        <f>IFERROR(__xludf.DUMMYFUNCTION("""COMPUTED_VALUE"""),24.0)</f>
        <v>24</v>
      </c>
      <c r="E195" s="1">
        <f>IFERROR(__xludf.DUMMYFUNCTION("""COMPUTED_VALUE"""),24.0)</f>
        <v>24</v>
      </c>
      <c r="F195" s="1">
        <f>IFERROR(__xludf.DUMMYFUNCTION("""COMPUTED_VALUE"""),12.0)</f>
        <v>12</v>
      </c>
      <c r="G195" s="1">
        <f t="shared" si="1"/>
        <v>2</v>
      </c>
      <c r="H195" s="1">
        <f t="shared" si="2"/>
        <v>2</v>
      </c>
      <c r="I195" s="1">
        <f>IFERROR(__xludf.DUMMYFUNCTION("IF(B195="""","""",
  100*F195 / MAX(FILTER($F:$F, $A:$A=$A195, $B:$B=$B195))
)
"),2.912621359223301)</f>
        <v>2.912621359</v>
      </c>
      <c r="J195" s="1">
        <f>IFERROR(__xludf.DUMMYFUNCTION("IF(B195="""","""",
  100*E195 / MAX(FILTER($E:$E, $A:$A=$A195, $B:$B=$B195))
)
"),2.0)</f>
        <v>2</v>
      </c>
      <c r="K195" s="1">
        <f t="shared" si="3"/>
        <v>2.501941748</v>
      </c>
    </row>
    <row r="196">
      <c r="A196" s="3">
        <f>IFERROR(__xludf.DUMMYFUNCTION("""COMPUTED_VALUE"""),45778.0)</f>
        <v>45778</v>
      </c>
      <c r="B196" s="1" t="str">
        <f>IFERROR(__xludf.DUMMYFUNCTION("""COMPUTED_VALUE"""),"DPMall")</f>
        <v>DPMall</v>
      </c>
      <c r="C196" s="1" t="str">
        <f>IFERROR(__xludf.DUMMYFUNCTION("""COMPUTED_VALUE"""),"kinder bueno")</f>
        <v>kinder bueno</v>
      </c>
      <c r="D196" s="1">
        <f>IFERROR(__xludf.DUMMYFUNCTION("""COMPUTED_VALUE"""),144.0)</f>
        <v>144</v>
      </c>
      <c r="E196" s="1">
        <f>IFERROR(__xludf.DUMMYFUNCTION("""COMPUTED_VALUE"""),144.0)</f>
        <v>144</v>
      </c>
      <c r="F196" s="1">
        <f>IFERROR(__xludf.DUMMYFUNCTION("""COMPUTED_VALUE"""),24.0)</f>
        <v>24</v>
      </c>
      <c r="G196" s="1">
        <f t="shared" si="1"/>
        <v>6</v>
      </c>
      <c r="H196" s="1">
        <f t="shared" si="2"/>
        <v>6</v>
      </c>
      <c r="I196" s="1">
        <f>IFERROR(__xludf.DUMMYFUNCTION("IF(B196="""","""",
  100*F196 / MAX(FILTER($F:$F, $A:$A=$A196, $B:$B=$B196))
)
"),5.825242718446602)</f>
        <v>5.825242718</v>
      </c>
      <c r="J196" s="1">
        <f>IFERROR(__xludf.DUMMYFUNCTION("IF(B196="""","""",
  100*E196 / MAX(FILTER($E:$E, $A:$A=$A196, $B:$B=$B196))
)
"),12.0)</f>
        <v>12</v>
      </c>
      <c r="K196" s="1">
        <f t="shared" si="3"/>
        <v>8.603883495</v>
      </c>
    </row>
    <row r="197">
      <c r="A197" s="3">
        <f>IFERROR(__xludf.DUMMYFUNCTION("""COMPUTED_VALUE"""),45778.0)</f>
        <v>45778</v>
      </c>
      <c r="B197" s="1" t="str">
        <f>IFERROR(__xludf.DUMMYFUNCTION("""COMPUTED_VALUE"""),"DPMall")</f>
        <v>DPMall</v>
      </c>
      <c r="C197" s="1" t="str">
        <f>IFERROR(__xludf.DUMMYFUNCTION("""COMPUTED_VALUE"""),"kinza")</f>
        <v>kinza</v>
      </c>
      <c r="D197" s="1">
        <f>IFERROR(__xludf.DUMMYFUNCTION("""COMPUTED_VALUE"""),115.0)</f>
        <v>115</v>
      </c>
      <c r="E197" s="1">
        <f>IFERROR(__xludf.DUMMYFUNCTION("""COMPUTED_VALUE"""),115.0)</f>
        <v>115</v>
      </c>
      <c r="F197" s="1">
        <f>IFERROR(__xludf.DUMMYFUNCTION("""COMPUTED_VALUE"""),59.0)</f>
        <v>59</v>
      </c>
      <c r="G197" s="1">
        <f t="shared" si="1"/>
        <v>1.949152542</v>
      </c>
      <c r="H197" s="1">
        <f t="shared" si="2"/>
        <v>1.949152542</v>
      </c>
      <c r="I197" s="1">
        <f>IFERROR(__xludf.DUMMYFUNCTION("IF(B197="""","""",
  100*F197 / MAX(FILTER($F:$F, $A:$A=$A197, $B:$B=$B197))
)
"),14.320388349514563)</f>
        <v>14.32038835</v>
      </c>
      <c r="J197" s="1">
        <f>IFERROR(__xludf.DUMMYFUNCTION("IF(B197="""","""",
  100*E197 / MAX(FILTER($E:$E, $A:$A=$A197, $B:$B=$B197))
)
"),9.583333333333334)</f>
        <v>9.583333333</v>
      </c>
      <c r="K197" s="1">
        <f t="shared" si="3"/>
        <v>12.18871359</v>
      </c>
    </row>
    <row r="198">
      <c r="A198" s="3">
        <f>IFERROR(__xludf.DUMMYFUNCTION("""COMPUTED_VALUE"""),45778.0)</f>
        <v>45778</v>
      </c>
      <c r="B198" s="1" t="str">
        <f>IFERROR(__xludf.DUMMYFUNCTION("""COMPUTED_VALUE"""),"DPMall")</f>
        <v>DPMall</v>
      </c>
      <c r="C198" s="1" t="str">
        <f>IFERROR(__xludf.DUMMYFUNCTION("""COMPUTED_VALUE"""),"kitkat")</f>
        <v>kitkat</v>
      </c>
      <c r="D198" s="1">
        <f>IFERROR(__xludf.DUMMYFUNCTION("""COMPUTED_VALUE"""),113.0)</f>
        <v>113</v>
      </c>
      <c r="E198" s="1">
        <f>IFERROR(__xludf.DUMMYFUNCTION("""COMPUTED_VALUE"""),113.0)</f>
        <v>113</v>
      </c>
      <c r="F198" s="1">
        <f>IFERROR(__xludf.DUMMYFUNCTION("""COMPUTED_VALUE"""),35.0)</f>
        <v>35</v>
      </c>
      <c r="G198" s="1">
        <f t="shared" si="1"/>
        <v>3.228571429</v>
      </c>
      <c r="H198" s="1">
        <f t="shared" si="2"/>
        <v>3.228571429</v>
      </c>
      <c r="I198" s="1">
        <f>IFERROR(__xludf.DUMMYFUNCTION("IF(B198="""","""",
  100*F198 / MAX(FILTER($F:$F, $A:$A=$A198, $B:$B=$B198))
)
"),8.495145631067961)</f>
        <v>8.495145631</v>
      </c>
      <c r="J198" s="1">
        <f>IFERROR(__xludf.DUMMYFUNCTION("IF(B198="""","""",
  100*E198 / MAX(FILTER($E:$E, $A:$A=$A198, $B:$B=$B198))
)
"),9.416666666666666)</f>
        <v>9.416666667</v>
      </c>
      <c r="K198" s="1">
        <f t="shared" si="3"/>
        <v>8.909830097</v>
      </c>
    </row>
    <row r="199">
      <c r="A199" s="3">
        <f>IFERROR(__xludf.DUMMYFUNCTION("""COMPUTED_VALUE"""),45778.0)</f>
        <v>45778</v>
      </c>
      <c r="B199" s="1" t="str">
        <f>IFERROR(__xludf.DUMMYFUNCTION("""COMPUTED_VALUE"""),"DPMall")</f>
        <v>DPMall</v>
      </c>
      <c r="C199" s="1" t="str">
        <f>IFERROR(__xludf.DUMMYFUNCTION("""COMPUTED_VALUE"""),"m&amp;m's")</f>
        <v>m&amp;m's</v>
      </c>
      <c r="D199" s="1">
        <f>IFERROR(__xludf.DUMMYFUNCTION("""COMPUTED_VALUE"""),155.0)</f>
        <v>155</v>
      </c>
      <c r="E199" s="1">
        <f>IFERROR(__xludf.DUMMYFUNCTION("""COMPUTED_VALUE"""),155.0)</f>
        <v>155</v>
      </c>
      <c r="F199" s="1">
        <f>IFERROR(__xludf.DUMMYFUNCTION("""COMPUTED_VALUE"""),31.0)</f>
        <v>31</v>
      </c>
      <c r="G199" s="1">
        <f t="shared" si="1"/>
        <v>5</v>
      </c>
      <c r="H199" s="1">
        <f t="shared" si="2"/>
        <v>5</v>
      </c>
      <c r="I199" s="1">
        <f>IFERROR(__xludf.DUMMYFUNCTION("IF(B199="""","""",
  100*F199 / MAX(FILTER($F:$F, $A:$A=$A199, $B:$B=$B199))
)
"),7.524271844660194)</f>
        <v>7.524271845</v>
      </c>
      <c r="J199" s="1">
        <f>IFERROR(__xludf.DUMMYFUNCTION("IF(B199="""","""",
  100*E199 / MAX(FILTER($E:$E, $A:$A=$A199, $B:$B=$B199))
)
"),12.916666666666666)</f>
        <v>12.91666667</v>
      </c>
      <c r="K199" s="1">
        <f t="shared" si="3"/>
        <v>9.950849515</v>
      </c>
    </row>
    <row r="200">
      <c r="A200" s="3">
        <f>IFERROR(__xludf.DUMMYFUNCTION("""COMPUTED_VALUE"""),45778.0)</f>
        <v>45778</v>
      </c>
      <c r="B200" s="1" t="str">
        <f>IFERROR(__xludf.DUMMYFUNCTION("""COMPUTED_VALUE"""),"DPMall")</f>
        <v>DPMall</v>
      </c>
      <c r="C200" s="1" t="str">
        <f>IFERROR(__xludf.DUMMYFUNCTION("""COMPUTED_VALUE"""),"mr bite")</f>
        <v>mr bite</v>
      </c>
      <c r="D200" s="1">
        <f>IFERROR(__xludf.DUMMYFUNCTION("""COMPUTED_VALUE"""),216.0)</f>
        <v>216</v>
      </c>
      <c r="E200" s="1">
        <f>IFERROR(__xludf.DUMMYFUNCTION("""COMPUTED_VALUE"""),216.0)</f>
        <v>216</v>
      </c>
      <c r="F200" s="1">
        <f>IFERROR(__xludf.DUMMYFUNCTION("""COMPUTED_VALUE"""),108.0)</f>
        <v>108</v>
      </c>
      <c r="G200" s="1">
        <f t="shared" si="1"/>
        <v>2</v>
      </c>
      <c r="H200" s="1">
        <f t="shared" si="2"/>
        <v>2</v>
      </c>
      <c r="I200" s="1">
        <f>IFERROR(__xludf.DUMMYFUNCTION("IF(B200="""","""",
  100*F200 / MAX(FILTER($F:$F, $A:$A=$A200, $B:$B=$B200))
)
"),26.21359223300971)</f>
        <v>26.21359223</v>
      </c>
      <c r="J200" s="1">
        <f>IFERROR(__xludf.DUMMYFUNCTION("IF(B200="""","""",
  100*E200 / MAX(FILTER($E:$E, $A:$A=$A200, $B:$B=$B200))
)
"),18.0)</f>
        <v>18</v>
      </c>
      <c r="K200" s="1">
        <f t="shared" si="3"/>
        <v>22.51747573</v>
      </c>
    </row>
    <row r="201">
      <c r="A201" s="3">
        <f>IFERROR(__xludf.DUMMYFUNCTION("""COMPUTED_VALUE"""),45778.0)</f>
        <v>45778</v>
      </c>
      <c r="B201" s="1" t="str">
        <f>IFERROR(__xludf.DUMMYFUNCTION("""COMPUTED_VALUE"""),"DPMall")</f>
        <v>DPMall</v>
      </c>
      <c r="C201" s="1" t="str">
        <f>IFERROR(__xludf.DUMMYFUNCTION("""COMPUTED_VALUE"""),"ono cake")</f>
        <v>ono cake</v>
      </c>
      <c r="D201" s="1">
        <f>IFERROR(__xludf.DUMMYFUNCTION("""COMPUTED_VALUE"""),74.0)</f>
        <v>74</v>
      </c>
      <c r="E201" s="1">
        <f>IFERROR(__xludf.DUMMYFUNCTION("""COMPUTED_VALUE"""),74.0)</f>
        <v>74</v>
      </c>
      <c r="F201" s="1">
        <f>IFERROR(__xludf.DUMMYFUNCTION("""COMPUTED_VALUE"""),60.0)</f>
        <v>60</v>
      </c>
      <c r="G201" s="1">
        <f t="shared" si="1"/>
        <v>1.233333333</v>
      </c>
      <c r="H201" s="1">
        <f t="shared" si="2"/>
        <v>1.233333333</v>
      </c>
      <c r="I201" s="1">
        <f>IFERROR(__xludf.DUMMYFUNCTION("IF(B201="""","""",
  100*F201 / MAX(FILTER($F:$F, $A:$A=$A201, $B:$B=$B201))
)
"),14.563106796116505)</f>
        <v>14.5631068</v>
      </c>
      <c r="J201" s="1">
        <f>IFERROR(__xludf.DUMMYFUNCTION("IF(B201="""","""",
  100*E201 / MAX(FILTER($E:$E, $A:$A=$A201, $B:$B=$B201))
)
"),6.166666666666667)</f>
        <v>6.166666667</v>
      </c>
      <c r="K201" s="1">
        <f t="shared" si="3"/>
        <v>10.78470874</v>
      </c>
    </row>
    <row r="202">
      <c r="A202" s="3">
        <f>IFERROR(__xludf.DUMMYFUNCTION("""COMPUTED_VALUE"""),45778.0)</f>
        <v>45778</v>
      </c>
      <c r="B202" s="1" t="str">
        <f>IFERROR(__xludf.DUMMYFUNCTION("""COMPUTED_VALUE"""),"DPMall")</f>
        <v>DPMall</v>
      </c>
      <c r="C202" s="1" t="str">
        <f>IFERROR(__xludf.DUMMYFUNCTION("""COMPUTED_VALUE"""),"pepsi 500ml")</f>
        <v>pepsi 500ml</v>
      </c>
      <c r="D202" s="1">
        <f>IFERROR(__xludf.DUMMYFUNCTION("""COMPUTED_VALUE"""),255.0)</f>
        <v>255</v>
      </c>
      <c r="E202" s="1">
        <f>IFERROR(__xludf.DUMMYFUNCTION("""COMPUTED_VALUE"""),255.0)</f>
        <v>255</v>
      </c>
      <c r="F202" s="1">
        <f>IFERROR(__xludf.DUMMYFUNCTION("""COMPUTED_VALUE"""),85.0)</f>
        <v>85</v>
      </c>
      <c r="G202" s="1">
        <f t="shared" si="1"/>
        <v>3</v>
      </c>
      <c r="H202" s="1">
        <f t="shared" si="2"/>
        <v>3</v>
      </c>
      <c r="I202" s="1">
        <f>IFERROR(__xludf.DUMMYFUNCTION("IF(B202="""","""",
  100*F202 / MAX(FILTER($F:$F, $A:$A=$A202, $B:$B=$B202))
)
"),20.631067961165048)</f>
        <v>20.63106796</v>
      </c>
      <c r="J202" s="1">
        <f>IFERROR(__xludf.DUMMYFUNCTION("IF(B202="""","""",
  100*E202 / MAX(FILTER($E:$E, $A:$A=$A202, $B:$B=$B202))
)
"),21.25)</f>
        <v>21.25</v>
      </c>
      <c r="K202" s="1">
        <f t="shared" si="3"/>
        <v>20.90958738</v>
      </c>
    </row>
    <row r="203">
      <c r="A203" s="3">
        <f>IFERROR(__xludf.DUMMYFUNCTION("""COMPUTED_VALUE"""),45778.0)</f>
        <v>45778</v>
      </c>
      <c r="B203" s="1" t="str">
        <f>IFERROR(__xludf.DUMMYFUNCTION("""COMPUTED_VALUE"""),"DPMall")</f>
        <v>DPMall</v>
      </c>
      <c r="C203" s="1" t="str">
        <f>IFERROR(__xludf.DUMMYFUNCTION("""COMPUTED_VALUE"""),"schweppers")</f>
        <v>schweppers</v>
      </c>
      <c r="D203" s="1">
        <f>IFERROR(__xludf.DUMMYFUNCTION("""COMPUTED_VALUE"""),57.0)</f>
        <v>57</v>
      </c>
      <c r="E203" s="1">
        <f>IFERROR(__xludf.DUMMYFUNCTION("""COMPUTED_VALUE"""),57.0)</f>
        <v>57</v>
      </c>
      <c r="F203" s="1">
        <f>IFERROR(__xludf.DUMMYFUNCTION("""COMPUTED_VALUE"""),19.0)</f>
        <v>19</v>
      </c>
      <c r="G203" s="1">
        <f t="shared" si="1"/>
        <v>3</v>
      </c>
      <c r="H203" s="1">
        <f t="shared" si="2"/>
        <v>3</v>
      </c>
      <c r="I203" s="1">
        <f>IFERROR(__xludf.DUMMYFUNCTION("IF(B203="""","""",
  100*F203 / MAX(FILTER($F:$F, $A:$A=$A203, $B:$B=$B203))
)
"),4.611650485436893)</f>
        <v>4.611650485</v>
      </c>
      <c r="J203" s="1">
        <f>IFERROR(__xludf.DUMMYFUNCTION("IF(B203="""","""",
  100*E203 / MAX(FILTER($E:$E, $A:$A=$A203, $B:$B=$B203))
)
"),4.75)</f>
        <v>4.75</v>
      </c>
      <c r="K203" s="1">
        <f t="shared" si="3"/>
        <v>4.673907767</v>
      </c>
    </row>
    <row r="204">
      <c r="A204" s="3">
        <f>IFERROR(__xludf.DUMMYFUNCTION("""COMPUTED_VALUE"""),45778.0)</f>
        <v>45778</v>
      </c>
      <c r="B204" s="1" t="str">
        <f>IFERROR(__xludf.DUMMYFUNCTION("""COMPUTED_VALUE"""),"DPMall")</f>
        <v>DPMall</v>
      </c>
      <c r="C204" s="1" t="str">
        <f>IFERROR(__xludf.DUMMYFUNCTION("""COMPUTED_VALUE"""),"skittles")</f>
        <v>skittles</v>
      </c>
      <c r="D204" s="1">
        <f>IFERROR(__xludf.DUMMYFUNCTION("""COMPUTED_VALUE"""),245.0)</f>
        <v>245</v>
      </c>
      <c r="E204" s="1">
        <f>IFERROR(__xludf.DUMMYFUNCTION("""COMPUTED_VALUE"""),245.0)</f>
        <v>245</v>
      </c>
      <c r="F204" s="1">
        <f>IFERROR(__xludf.DUMMYFUNCTION("""COMPUTED_VALUE"""),49.0)</f>
        <v>49</v>
      </c>
      <c r="G204" s="1">
        <f t="shared" si="1"/>
        <v>5</v>
      </c>
      <c r="H204" s="1">
        <f t="shared" si="2"/>
        <v>5</v>
      </c>
      <c r="I204" s="1">
        <f>IFERROR(__xludf.DUMMYFUNCTION("IF(B204="""","""",
  100*F204 / MAX(FILTER($F:$F, $A:$A=$A204, $B:$B=$B204))
)
"),11.893203883495145)</f>
        <v>11.89320388</v>
      </c>
      <c r="J204" s="1">
        <f>IFERROR(__xludf.DUMMYFUNCTION("IF(B204="""","""",
  100*E204 / MAX(FILTER($E:$E, $A:$A=$A204, $B:$B=$B204))
)
"),20.416666666666668)</f>
        <v>20.41666667</v>
      </c>
      <c r="K204" s="1">
        <f t="shared" si="3"/>
        <v>15.72876214</v>
      </c>
    </row>
    <row r="205">
      <c r="A205" s="3">
        <f>IFERROR(__xludf.DUMMYFUNCTION("""COMPUTED_VALUE"""),45778.0)</f>
        <v>45778</v>
      </c>
      <c r="B205" s="1" t="str">
        <f>IFERROR(__xludf.DUMMYFUNCTION("""COMPUTED_VALUE"""),"DPMall")</f>
        <v>DPMall</v>
      </c>
      <c r="C205" s="1" t="str">
        <f>IFERROR(__xludf.DUMMYFUNCTION("""COMPUTED_VALUE"""),"skittles drink")</f>
        <v>skittles drink</v>
      </c>
      <c r="D205" s="1">
        <f>IFERROR(__xludf.DUMMYFUNCTION("""COMPUTED_VALUE"""),236.0)</f>
        <v>236</v>
      </c>
      <c r="E205" s="1">
        <f>IFERROR(__xludf.DUMMYFUNCTION("""COMPUTED_VALUE"""),236.0)</f>
        <v>236</v>
      </c>
      <c r="F205" s="1">
        <f>IFERROR(__xludf.DUMMYFUNCTION("""COMPUTED_VALUE"""),34.0)</f>
        <v>34</v>
      </c>
      <c r="G205" s="1">
        <f t="shared" si="1"/>
        <v>6.941176471</v>
      </c>
      <c r="H205" s="1">
        <f t="shared" si="2"/>
        <v>6.941176471</v>
      </c>
      <c r="I205" s="1">
        <f>IFERROR(__xludf.DUMMYFUNCTION("IF(B205="""","""",
  100*F205 / MAX(FILTER($F:$F, $A:$A=$A205, $B:$B=$B205))
)
"),8.25242718446602)</f>
        <v>8.252427184</v>
      </c>
      <c r="J205" s="1">
        <f>IFERROR(__xludf.DUMMYFUNCTION("IF(B205="""","""",
  100*E205 / MAX(FILTER($E:$E, $A:$A=$A205, $B:$B=$B205))
)
"),19.666666666666668)</f>
        <v>19.66666667</v>
      </c>
      <c r="K205" s="1">
        <f t="shared" si="3"/>
        <v>13.38883495</v>
      </c>
    </row>
    <row r="206">
      <c r="A206" s="3">
        <f>IFERROR(__xludf.DUMMYFUNCTION("""COMPUTED_VALUE"""),45778.0)</f>
        <v>45778</v>
      </c>
      <c r="B206" s="1" t="str">
        <f>IFERROR(__xludf.DUMMYFUNCTION("""COMPUTED_VALUE"""),"DPMall")</f>
        <v>DPMall</v>
      </c>
      <c r="C206" s="1" t="str">
        <f>IFERROR(__xludf.DUMMYFUNCTION("""COMPUTED_VALUE"""),"snickers")</f>
        <v>snickers</v>
      </c>
      <c r="D206" s="1">
        <f>IFERROR(__xludf.DUMMYFUNCTION("""COMPUTED_VALUE"""),25.0)</f>
        <v>25</v>
      </c>
      <c r="E206" s="1">
        <f>IFERROR(__xludf.DUMMYFUNCTION("""COMPUTED_VALUE"""),25.0)</f>
        <v>25</v>
      </c>
      <c r="F206" s="1">
        <f>IFERROR(__xludf.DUMMYFUNCTION("""COMPUTED_VALUE"""),5.0)</f>
        <v>5</v>
      </c>
      <c r="G206" s="1">
        <f t="shared" si="1"/>
        <v>5</v>
      </c>
      <c r="H206" s="1">
        <f t="shared" si="2"/>
        <v>5</v>
      </c>
      <c r="I206" s="1">
        <f>IFERROR(__xludf.DUMMYFUNCTION("IF(B206="""","""",
  100*F206 / MAX(FILTER($F:$F, $A:$A=$A206, $B:$B=$B206))
)
"),1.2135922330097086)</f>
        <v>1.213592233</v>
      </c>
      <c r="J206" s="1">
        <f>IFERROR(__xludf.DUMMYFUNCTION("IF(B206="""","""",
  100*E206 / MAX(FILTER($E:$E, $A:$A=$A206, $B:$B=$B206))
)
"),2.0833333333333335)</f>
        <v>2.083333333</v>
      </c>
      <c r="K206" s="1">
        <f t="shared" si="3"/>
        <v>1.604975728</v>
      </c>
    </row>
    <row r="207">
      <c r="A207" s="3">
        <f>IFERROR(__xludf.DUMMYFUNCTION("""COMPUTED_VALUE"""),45778.0)</f>
        <v>45778</v>
      </c>
      <c r="B207" s="1" t="str">
        <f>IFERROR(__xludf.DUMMYFUNCTION("""COMPUTED_VALUE"""),"DPMall")</f>
        <v>DPMall</v>
      </c>
      <c r="C207" s="1" t="str">
        <f>IFERROR(__xludf.DUMMYFUNCTION("""COMPUTED_VALUE"""),"vitaGo")</f>
        <v>vitaGo</v>
      </c>
      <c r="D207" s="1">
        <f>IFERROR(__xludf.DUMMYFUNCTION("""COMPUTED_VALUE"""),63.0)</f>
        <v>63</v>
      </c>
      <c r="E207" s="1">
        <f>IFERROR(__xludf.DUMMYFUNCTION("""COMPUTED_VALUE"""),63.0)</f>
        <v>63</v>
      </c>
      <c r="F207" s="1">
        <f>IFERROR(__xludf.DUMMYFUNCTION("""COMPUTED_VALUE"""),21.0)</f>
        <v>21</v>
      </c>
      <c r="G207" s="1">
        <f t="shared" si="1"/>
        <v>3</v>
      </c>
      <c r="H207" s="1">
        <f t="shared" si="2"/>
        <v>3</v>
      </c>
      <c r="I207" s="1">
        <f>IFERROR(__xludf.DUMMYFUNCTION("IF(B207="""","""",
  100*F207 / MAX(FILTER($F:$F, $A:$A=$A207, $B:$B=$B207))
)
"),5.097087378640777)</f>
        <v>5.097087379</v>
      </c>
      <c r="J207" s="1">
        <f>IFERROR(__xludf.DUMMYFUNCTION("IF(B207="""","""",
  100*E207 / MAX(FILTER($E:$E, $A:$A=$A207, $B:$B=$B207))
)
"),5.25)</f>
        <v>5.25</v>
      </c>
      <c r="K207" s="1">
        <f t="shared" si="3"/>
        <v>5.165898058</v>
      </c>
    </row>
    <row r="208">
      <c r="A208" s="3">
        <f>IFERROR(__xludf.DUMMYFUNCTION("""COMPUTED_VALUE"""),45778.0)</f>
        <v>45778</v>
      </c>
      <c r="B208" s="1" t="str">
        <f>IFERROR(__xludf.DUMMYFUNCTION("""COMPUTED_VALUE"""),"DPMall")</f>
        <v>DPMall</v>
      </c>
      <c r="C208" s="1" t="str">
        <f>IFERROR(__xludf.DUMMYFUNCTION("""COMPUTED_VALUE"""),"waffle cones")</f>
        <v>waffle cones</v>
      </c>
      <c r="D208" s="1">
        <f>IFERROR(__xludf.DUMMYFUNCTION("""COMPUTED_VALUE"""),12.0)</f>
        <v>12</v>
      </c>
      <c r="E208" s="1">
        <f>IFERROR(__xludf.DUMMYFUNCTION("""COMPUTED_VALUE"""),12.0)</f>
        <v>12</v>
      </c>
      <c r="F208" s="1">
        <f>IFERROR(__xludf.DUMMYFUNCTION("""COMPUTED_VALUE"""),3.0)</f>
        <v>3</v>
      </c>
      <c r="G208" s="1">
        <f t="shared" si="1"/>
        <v>4</v>
      </c>
      <c r="H208" s="1">
        <f t="shared" si="2"/>
        <v>4</v>
      </c>
      <c r="I208" s="1">
        <f>IFERROR(__xludf.DUMMYFUNCTION("IF(B208="""","""",
  100*F208 / MAX(FILTER($F:$F, $A:$A=$A208, $B:$B=$B208))
)
"),0.7281553398058253)</f>
        <v>0.7281553398</v>
      </c>
      <c r="J208" s="1">
        <f>IFERROR(__xludf.DUMMYFUNCTION("IF(B208="""","""",
  100*E208 / MAX(FILTER($E:$E, $A:$A=$A208, $B:$B=$B208))
)
"),1.0)</f>
        <v>1</v>
      </c>
      <c r="K208" s="1">
        <f t="shared" si="3"/>
        <v>0.8504854369</v>
      </c>
    </row>
    <row r="209">
      <c r="A209" s="3">
        <f>IFERROR(__xludf.DUMMYFUNCTION("""COMPUTED_VALUE"""),45778.0)</f>
        <v>45778</v>
      </c>
      <c r="B209" s="1" t="str">
        <f>IFERROR(__xludf.DUMMYFUNCTION("""COMPUTED_VALUE"""),"DPMall")</f>
        <v>DPMall</v>
      </c>
      <c r="C209" s="1" t="str">
        <f>IFERROR(__xludf.DUMMYFUNCTION("""COMPUTED_VALUE"""),"xo energy")</f>
        <v>xo energy</v>
      </c>
      <c r="D209" s="1">
        <f>IFERROR(__xludf.DUMMYFUNCTION("""COMPUTED_VALUE"""),120.0)</f>
        <v>120</v>
      </c>
      <c r="E209" s="1">
        <f>IFERROR(__xludf.DUMMYFUNCTION("""COMPUTED_VALUE"""),120.0)</f>
        <v>120</v>
      </c>
      <c r="F209" s="1">
        <f>IFERROR(__xludf.DUMMYFUNCTION("""COMPUTED_VALUE"""),24.0)</f>
        <v>24</v>
      </c>
      <c r="G209" s="1">
        <f t="shared" si="1"/>
        <v>5</v>
      </c>
      <c r="H209" s="1">
        <f t="shared" si="2"/>
        <v>5</v>
      </c>
      <c r="I209" s="1">
        <f>IFERROR(__xludf.DUMMYFUNCTION("IF(B209="""","""",
  100*F209 / MAX(FILTER($F:$F, $A:$A=$A209, $B:$B=$B209))
)
"),5.825242718446602)</f>
        <v>5.825242718</v>
      </c>
      <c r="J209" s="1">
        <f>IFERROR(__xludf.DUMMYFUNCTION("IF(B209="""","""",
  100*E209 / MAX(FILTER($E:$E, $A:$A=$A209, $B:$B=$B209))
)
"),10.0)</f>
        <v>10</v>
      </c>
      <c r="K209" s="1">
        <f t="shared" si="3"/>
        <v>7.703883495</v>
      </c>
    </row>
    <row r="210">
      <c r="A210" s="3">
        <f>IFERROR(__xludf.DUMMYFUNCTION("""COMPUTED_VALUE"""),45809.0)</f>
        <v>45809</v>
      </c>
      <c r="B210" s="1" t="str">
        <f>IFERROR(__xludf.DUMMYFUNCTION("""COMPUTED_VALUE"""),"DPMall")</f>
        <v>DPMall</v>
      </c>
      <c r="C210" s="1" t="str">
        <f>IFERROR(__xludf.DUMMYFUNCTION("""COMPUTED_VALUE"""),"Barbican")</f>
        <v>Barbican</v>
      </c>
      <c r="D210" s="1">
        <f>IFERROR(__xludf.DUMMYFUNCTION("""COMPUTED_VALUE"""),168.0)</f>
        <v>168</v>
      </c>
      <c r="E210" s="1">
        <f>IFERROR(__xludf.DUMMYFUNCTION("""COMPUTED_VALUE"""),168.0)</f>
        <v>168</v>
      </c>
      <c r="F210" s="1">
        <f>IFERROR(__xludf.DUMMYFUNCTION("""COMPUTED_VALUE"""),42.0)</f>
        <v>42</v>
      </c>
      <c r="G210" s="1">
        <f t="shared" si="1"/>
        <v>4</v>
      </c>
      <c r="H210" s="1">
        <f t="shared" si="2"/>
        <v>4</v>
      </c>
      <c r="I210" s="1">
        <f>IFERROR(__xludf.DUMMYFUNCTION("IF(B210="""","""",
  100*F210 / MAX(FILTER($F:$F, $A:$A=$A210, $B:$B=$B210))
)
"),8.624229979466119)</f>
        <v>8.624229979</v>
      </c>
      <c r="J210" s="1">
        <f>IFERROR(__xludf.DUMMYFUNCTION("IF(B210="""","""",
  100*E210 / MAX(FILTER($E:$E, $A:$A=$A210, $B:$B=$B210))
)
"),14.117647058823529)</f>
        <v>14.11764706</v>
      </c>
      <c r="K210" s="1">
        <f t="shared" si="3"/>
        <v>11.09626767</v>
      </c>
    </row>
    <row r="211">
      <c r="A211" s="3">
        <f>IFERROR(__xludf.DUMMYFUNCTION("""COMPUTED_VALUE"""),45809.0)</f>
        <v>45809</v>
      </c>
      <c r="B211" s="1" t="str">
        <f>IFERROR(__xludf.DUMMYFUNCTION("""COMPUTED_VALUE"""),"DPMall")</f>
        <v>DPMall</v>
      </c>
      <c r="C211" s="1" t="str">
        <f>IFERROR(__xludf.DUMMYFUNCTION("""COMPUTED_VALUE"""),"Doritos Dinamita")</f>
        <v>Doritos Dinamita</v>
      </c>
      <c r="D211" s="1">
        <f>IFERROR(__xludf.DUMMYFUNCTION("""COMPUTED_VALUE"""),204.0)</f>
        <v>204</v>
      </c>
      <c r="E211" s="1">
        <f>IFERROR(__xludf.DUMMYFUNCTION("""COMPUTED_VALUE"""),204.0)</f>
        <v>204</v>
      </c>
      <c r="F211" s="1">
        <f>IFERROR(__xludf.DUMMYFUNCTION("""COMPUTED_VALUE"""),17.0)</f>
        <v>17</v>
      </c>
      <c r="G211" s="1">
        <f t="shared" si="1"/>
        <v>12</v>
      </c>
      <c r="H211" s="1">
        <f t="shared" si="2"/>
        <v>12</v>
      </c>
      <c r="I211" s="1">
        <f>IFERROR(__xludf.DUMMYFUNCTION("IF(B211="""","""",
  100*F211 / MAX(FILTER($F:$F, $A:$A=$A211, $B:$B=$B211))
)
"),3.490759753593429)</f>
        <v>3.490759754</v>
      </c>
      <c r="J211" s="1">
        <f>IFERROR(__xludf.DUMMYFUNCTION("IF(B211="""","""",
  100*E211 / MAX(FILTER($E:$E, $A:$A=$A211, $B:$B=$B211))
)
"),17.142857142857142)</f>
        <v>17.14285714</v>
      </c>
      <c r="K211" s="1">
        <f t="shared" si="3"/>
        <v>9.634203579</v>
      </c>
    </row>
    <row r="212">
      <c r="A212" s="3">
        <f>IFERROR(__xludf.DUMMYFUNCTION("""COMPUTED_VALUE"""),45809.0)</f>
        <v>45809</v>
      </c>
      <c r="B212" s="1" t="str">
        <f>IFERROR(__xludf.DUMMYFUNCTION("""COMPUTED_VALUE"""),"DPMall")</f>
        <v>DPMall</v>
      </c>
      <c r="C212" s="1" t="str">
        <f>IFERROR(__xludf.DUMMYFUNCTION("""COMPUTED_VALUE"""),"Doritos nacho")</f>
        <v>Doritos nacho</v>
      </c>
      <c r="D212" s="1">
        <f>IFERROR(__xludf.DUMMYFUNCTION("""COMPUTED_VALUE"""),1190.0)</f>
        <v>1190</v>
      </c>
      <c r="E212" s="1">
        <f>IFERROR(__xludf.DUMMYFUNCTION("""COMPUTED_VALUE"""),1190.0)</f>
        <v>1190</v>
      </c>
      <c r="F212" s="1">
        <f>IFERROR(__xludf.DUMMYFUNCTION("""COMPUTED_VALUE"""),238.0)</f>
        <v>238</v>
      </c>
      <c r="G212" s="1">
        <f t="shared" si="1"/>
        <v>5</v>
      </c>
      <c r="H212" s="1">
        <f t="shared" si="2"/>
        <v>5</v>
      </c>
      <c r="I212" s="1">
        <f>IFERROR(__xludf.DUMMYFUNCTION("IF(B212="""","""",
  100*F212 / MAX(FILTER($F:$F, $A:$A=$A212, $B:$B=$B212))
)
"),48.87063655030801)</f>
        <v>48.87063655</v>
      </c>
      <c r="J212" s="1">
        <f>IFERROR(__xludf.DUMMYFUNCTION("IF(B212="""","""",
  100*E212 / MAX(FILTER($E:$E, $A:$A=$A212, $B:$B=$B212))
)
"),100.0)</f>
        <v>100</v>
      </c>
      <c r="K212" s="1">
        <f t="shared" si="3"/>
        <v>71.8788501</v>
      </c>
    </row>
    <row r="213">
      <c r="A213" s="3">
        <f>IFERROR(__xludf.DUMMYFUNCTION("""COMPUTED_VALUE"""),45809.0)</f>
        <v>45809</v>
      </c>
      <c r="B213" s="1" t="str">
        <f>IFERROR(__xludf.DUMMYFUNCTION("""COMPUTED_VALUE"""),"DPMall")</f>
        <v>DPMall</v>
      </c>
      <c r="C213" s="1" t="str">
        <f>IFERROR(__xludf.DUMMYFUNCTION("""COMPUTED_VALUE"""),"Freez drink")</f>
        <v>Freez drink</v>
      </c>
      <c r="D213" s="1">
        <f>IFERROR(__xludf.DUMMYFUNCTION("""COMPUTED_VALUE"""),59.0)</f>
        <v>59</v>
      </c>
      <c r="E213" s="1">
        <f>IFERROR(__xludf.DUMMYFUNCTION("""COMPUTED_VALUE"""),59.0)</f>
        <v>59</v>
      </c>
      <c r="F213" s="1">
        <f>IFERROR(__xludf.DUMMYFUNCTION("""COMPUTED_VALUE"""),12.0)</f>
        <v>12</v>
      </c>
      <c r="G213" s="1">
        <f t="shared" si="1"/>
        <v>4.916666667</v>
      </c>
      <c r="H213" s="1">
        <f t="shared" si="2"/>
        <v>4.916666667</v>
      </c>
      <c r="I213" s="1">
        <f>IFERROR(__xludf.DUMMYFUNCTION("IF(B213="""","""",
  100*F213 / MAX(FILTER($F:$F, $A:$A=$A213, $B:$B=$B213))
)
"),2.4640657084188913)</f>
        <v>2.464065708</v>
      </c>
      <c r="J213" s="1">
        <f>IFERROR(__xludf.DUMMYFUNCTION("IF(B213="""","""",
  100*E213 / MAX(FILTER($E:$E, $A:$A=$A213, $B:$B=$B213))
)
"),4.957983193277311)</f>
        <v>4.957983193</v>
      </c>
      <c r="K213" s="1">
        <f t="shared" si="3"/>
        <v>3.586328577</v>
      </c>
    </row>
    <row r="214">
      <c r="A214" s="3">
        <f>IFERROR(__xludf.DUMMYFUNCTION("""COMPUTED_VALUE"""),45809.0)</f>
        <v>45809</v>
      </c>
      <c r="B214" s="1" t="str">
        <f>IFERROR(__xludf.DUMMYFUNCTION("""COMPUTED_VALUE"""),"DPMall")</f>
        <v>DPMall</v>
      </c>
      <c r="C214" s="1" t="str">
        <f>IFERROR(__xludf.DUMMYFUNCTION("""COMPUTED_VALUE"""),"Gardena")</f>
        <v>Gardena</v>
      </c>
      <c r="D214" s="1">
        <f>IFERROR(__xludf.DUMMYFUNCTION("""COMPUTED_VALUE"""),60.0)</f>
        <v>60</v>
      </c>
      <c r="E214" s="1">
        <f>IFERROR(__xludf.DUMMYFUNCTION("""COMPUTED_VALUE"""),60.0)</f>
        <v>60</v>
      </c>
      <c r="F214" s="1">
        <f>IFERROR(__xludf.DUMMYFUNCTION("""COMPUTED_VALUE"""),15.0)</f>
        <v>15</v>
      </c>
      <c r="G214" s="1">
        <f t="shared" si="1"/>
        <v>4</v>
      </c>
      <c r="H214" s="1">
        <f t="shared" si="2"/>
        <v>4</v>
      </c>
      <c r="I214" s="1">
        <f>IFERROR(__xludf.DUMMYFUNCTION("IF(B214="""","""",
  100*F214 / MAX(FILTER($F:$F, $A:$A=$A214, $B:$B=$B214))
)
"),3.080082135523614)</f>
        <v>3.080082136</v>
      </c>
      <c r="J214" s="1">
        <f>IFERROR(__xludf.DUMMYFUNCTION("IF(B214="""","""",
  100*E214 / MAX(FILTER($E:$E, $A:$A=$A214, $B:$B=$B214))
)
"),5.042016806722689)</f>
        <v>5.042016807</v>
      </c>
      <c r="K214" s="1">
        <f t="shared" si="3"/>
        <v>3.962952738</v>
      </c>
    </row>
    <row r="215">
      <c r="A215" s="3">
        <f>IFERROR(__xludf.DUMMYFUNCTION("""COMPUTED_VALUE"""),45809.0)</f>
        <v>45809</v>
      </c>
      <c r="B215" s="1" t="str">
        <f>IFERROR(__xludf.DUMMYFUNCTION("""COMPUTED_VALUE"""),"DPMall")</f>
        <v>DPMall</v>
      </c>
      <c r="C215" s="1" t="str">
        <f>IFERROR(__xludf.DUMMYFUNCTION("""COMPUTED_VALUE"""),"Green")</f>
        <v>Green</v>
      </c>
      <c r="D215" s="1">
        <f>IFERROR(__xludf.DUMMYFUNCTION("""COMPUTED_VALUE"""),71.0)</f>
        <v>71</v>
      </c>
      <c r="E215" s="1">
        <f>IFERROR(__xludf.DUMMYFUNCTION("""COMPUTED_VALUE"""),71.0)</f>
        <v>71</v>
      </c>
      <c r="F215" s="1">
        <f>IFERROR(__xludf.DUMMYFUNCTION("""COMPUTED_VALUE"""),35.0)</f>
        <v>35</v>
      </c>
      <c r="G215" s="1">
        <f t="shared" si="1"/>
        <v>2.028571429</v>
      </c>
      <c r="H215" s="1">
        <f t="shared" si="2"/>
        <v>2.028571429</v>
      </c>
      <c r="I215" s="1">
        <f>IFERROR(__xludf.DUMMYFUNCTION("IF(B215="""","""",
  100*F215 / MAX(FILTER($F:$F, $A:$A=$A215, $B:$B=$B215))
)
"),7.186858316221766)</f>
        <v>7.186858316</v>
      </c>
      <c r="J215" s="1">
        <f>IFERROR(__xludf.DUMMYFUNCTION("IF(B215="""","""",
  100*E215 / MAX(FILTER($E:$E, $A:$A=$A215, $B:$B=$B215))
)
"),5.966386554621849)</f>
        <v>5.966386555</v>
      </c>
      <c r="K215" s="1">
        <f t="shared" si="3"/>
        <v>6.637646024</v>
      </c>
    </row>
    <row r="216">
      <c r="A216" s="3">
        <f>IFERROR(__xludf.DUMMYFUNCTION("""COMPUTED_VALUE"""),45809.0)</f>
        <v>45809</v>
      </c>
      <c r="B216" s="1" t="str">
        <f>IFERROR(__xludf.DUMMYFUNCTION("""COMPUTED_VALUE"""),"DPMall")</f>
        <v>DPMall</v>
      </c>
      <c r="C216" s="1" t="str">
        <f>IFERROR(__xludf.DUMMYFUNCTION("""COMPUTED_VALUE"""),"Laviva")</f>
        <v>Laviva</v>
      </c>
      <c r="D216" s="1">
        <f>IFERROR(__xludf.DUMMYFUNCTION("""COMPUTED_VALUE"""),90.0)</f>
        <v>90</v>
      </c>
      <c r="E216" s="1">
        <f>IFERROR(__xludf.DUMMYFUNCTION("""COMPUTED_VALUE"""),90.0)</f>
        <v>90</v>
      </c>
      <c r="F216" s="1">
        <f>IFERROR(__xludf.DUMMYFUNCTION("""COMPUTED_VALUE"""),34.0)</f>
        <v>34</v>
      </c>
      <c r="G216" s="1">
        <f t="shared" si="1"/>
        <v>2.647058824</v>
      </c>
      <c r="H216" s="1">
        <f t="shared" si="2"/>
        <v>2.647058824</v>
      </c>
      <c r="I216" s="1">
        <f>IFERROR(__xludf.DUMMYFUNCTION("IF(B216="""","""",
  100*F216 / MAX(FILTER($F:$F, $A:$A=$A216, $B:$B=$B216))
)
"),6.981519507186858)</f>
        <v>6.981519507</v>
      </c>
      <c r="J216" s="1">
        <f>IFERROR(__xludf.DUMMYFUNCTION("IF(B216="""","""",
  100*E216 / MAX(FILTER($E:$E, $A:$A=$A216, $B:$B=$B216))
)
"),7.563025210084033)</f>
        <v>7.56302521</v>
      </c>
      <c r="K216" s="1">
        <f t="shared" si="3"/>
        <v>7.243197073</v>
      </c>
    </row>
    <row r="217">
      <c r="A217" s="3">
        <f>IFERROR(__xludf.DUMMYFUNCTION("""COMPUTED_VALUE"""),45809.0)</f>
        <v>45809</v>
      </c>
      <c r="B217" s="1" t="str">
        <f>IFERROR(__xludf.DUMMYFUNCTION("""COMPUTED_VALUE"""),"DPMall")</f>
        <v>DPMall</v>
      </c>
      <c r="C217" s="1" t="str">
        <f>IFERROR(__xludf.DUMMYFUNCTION("""COMPUTED_VALUE"""),"Maltesers")</f>
        <v>Maltesers</v>
      </c>
      <c r="D217" s="1">
        <f>IFERROR(__xludf.DUMMYFUNCTION("""COMPUTED_VALUE"""),250.0)</f>
        <v>250</v>
      </c>
      <c r="E217" s="1">
        <f>IFERROR(__xludf.DUMMYFUNCTION("""COMPUTED_VALUE"""),250.0)</f>
        <v>250</v>
      </c>
      <c r="F217" s="1">
        <f>IFERROR(__xludf.DUMMYFUNCTION("""COMPUTED_VALUE"""),50.0)</f>
        <v>50</v>
      </c>
      <c r="G217" s="1">
        <f t="shared" si="1"/>
        <v>5</v>
      </c>
      <c r="H217" s="1">
        <f t="shared" si="2"/>
        <v>5</v>
      </c>
      <c r="I217" s="1">
        <f>IFERROR(__xludf.DUMMYFUNCTION("IF(B217="""","""",
  100*F217 / MAX(FILTER($F:$F, $A:$A=$A217, $B:$B=$B217))
)
"),10.26694045174538)</f>
        <v>10.26694045</v>
      </c>
      <c r="J217" s="1">
        <f>IFERROR(__xludf.DUMMYFUNCTION("IF(B217="""","""",
  100*E217 / MAX(FILTER($E:$E, $A:$A=$A217, $B:$B=$B217))
)
"),21.008403361344538)</f>
        <v>21.00840336</v>
      </c>
      <c r="K217" s="1">
        <f t="shared" si="3"/>
        <v>15.10059876</v>
      </c>
    </row>
    <row r="218">
      <c r="A218" s="3">
        <f>IFERROR(__xludf.DUMMYFUNCTION("""COMPUTED_VALUE"""),45809.0)</f>
        <v>45809</v>
      </c>
      <c r="B218" s="1" t="str">
        <f>IFERROR(__xludf.DUMMYFUNCTION("""COMPUTED_VALUE"""),"DPMall")</f>
        <v>DPMall</v>
      </c>
      <c r="C218" s="1" t="str">
        <f>IFERROR(__xludf.DUMMYFUNCTION("""COMPUTED_VALUE"""),"Marshmellow sweetBag")</f>
        <v>Marshmellow sweetBag</v>
      </c>
      <c r="D218" s="1">
        <f>IFERROR(__xludf.DUMMYFUNCTION("""COMPUTED_VALUE"""),130.0)</f>
        <v>130</v>
      </c>
      <c r="E218" s="1">
        <f>IFERROR(__xludf.DUMMYFUNCTION("""COMPUTED_VALUE"""),130.0)</f>
        <v>130</v>
      </c>
      <c r="F218" s="1">
        <f>IFERROR(__xludf.DUMMYFUNCTION("""COMPUTED_VALUE"""),26.0)</f>
        <v>26</v>
      </c>
      <c r="G218" s="1">
        <f t="shared" si="1"/>
        <v>5</v>
      </c>
      <c r="H218" s="1">
        <f t="shared" si="2"/>
        <v>5</v>
      </c>
      <c r="I218" s="1">
        <f>IFERROR(__xludf.DUMMYFUNCTION("IF(B218="""","""",
  100*F218 / MAX(FILTER($F:$F, $A:$A=$A218, $B:$B=$B218))
)
"),5.338809034907597)</f>
        <v>5.338809035</v>
      </c>
      <c r="J218" s="1">
        <f>IFERROR(__xludf.DUMMYFUNCTION("IF(B218="""","""",
  100*E218 / MAX(FILTER($E:$E, $A:$A=$A218, $B:$B=$B218))
)
"),10.92436974789916)</f>
        <v>10.92436975</v>
      </c>
      <c r="K218" s="1">
        <f t="shared" si="3"/>
        <v>7.852311356</v>
      </c>
    </row>
    <row r="219">
      <c r="A219" s="3">
        <f>IFERROR(__xludf.DUMMYFUNCTION("""COMPUTED_VALUE"""),45809.0)</f>
        <v>45809</v>
      </c>
      <c r="B219" s="1" t="str">
        <f>IFERROR(__xludf.DUMMYFUNCTION("""COMPUTED_VALUE"""),"DPMall")</f>
        <v>DPMall</v>
      </c>
      <c r="C219" s="1" t="str">
        <f>IFERROR(__xludf.DUMMYFUNCTION("""COMPUTED_VALUE"""),"SunTop")</f>
        <v>SunTop</v>
      </c>
      <c r="D219" s="1">
        <f>IFERROR(__xludf.DUMMYFUNCTION("""COMPUTED_VALUE"""),250.0)</f>
        <v>250</v>
      </c>
      <c r="E219" s="1">
        <f>IFERROR(__xludf.DUMMYFUNCTION("""COMPUTED_VALUE"""),250.0)</f>
        <v>250</v>
      </c>
      <c r="F219" s="1">
        <f>IFERROR(__xludf.DUMMYFUNCTION("""COMPUTED_VALUE"""),244.0)</f>
        <v>244</v>
      </c>
      <c r="G219" s="1">
        <f t="shared" si="1"/>
        <v>1.024590164</v>
      </c>
      <c r="H219" s="1">
        <f t="shared" si="2"/>
        <v>1.024590164</v>
      </c>
      <c r="I219" s="1">
        <f>IFERROR(__xludf.DUMMYFUNCTION("IF(B219="""","""",
  100*F219 / MAX(FILTER($F:$F, $A:$A=$A219, $B:$B=$B219))
)
"),50.10266940451746)</f>
        <v>50.1026694</v>
      </c>
      <c r="J219" s="1">
        <f>IFERROR(__xludf.DUMMYFUNCTION("IF(B219="""","""",
  100*E219 / MAX(FILTER($E:$E, $A:$A=$A219, $B:$B=$B219))
)
"),21.008403361344538)</f>
        <v>21.00840336</v>
      </c>
      <c r="K219" s="1">
        <f t="shared" si="3"/>
        <v>37.01024969</v>
      </c>
    </row>
    <row r="220">
      <c r="A220" s="3">
        <f>IFERROR(__xludf.DUMMYFUNCTION("""COMPUTED_VALUE"""),45809.0)</f>
        <v>45809</v>
      </c>
      <c r="B220" s="1" t="str">
        <f>IFERROR(__xludf.DUMMYFUNCTION("""COMPUTED_VALUE"""),"DPMall")</f>
        <v>DPMall</v>
      </c>
      <c r="C220" s="1" t="str">
        <f>IFERROR(__xludf.DUMMYFUNCTION("""COMPUTED_VALUE"""),"Takis")</f>
        <v>Takis</v>
      </c>
      <c r="D220" s="1">
        <f>IFERROR(__xludf.DUMMYFUNCTION("""COMPUTED_VALUE"""),120.0)</f>
        <v>120</v>
      </c>
      <c r="E220" s="1">
        <f>IFERROR(__xludf.DUMMYFUNCTION("""COMPUTED_VALUE"""),120.0)</f>
        <v>120</v>
      </c>
      <c r="F220" s="1">
        <f>IFERROR(__xludf.DUMMYFUNCTION("""COMPUTED_VALUE"""),6.0)</f>
        <v>6</v>
      </c>
      <c r="G220" s="1">
        <f t="shared" si="1"/>
        <v>20</v>
      </c>
      <c r="H220" s="1">
        <f t="shared" si="2"/>
        <v>20</v>
      </c>
      <c r="I220" s="1">
        <f>IFERROR(__xludf.DUMMYFUNCTION("IF(B220="""","""",
  100*F220 / MAX(FILTER($F:$F, $A:$A=$A220, $B:$B=$B220))
)
"),1.2320328542094456)</f>
        <v>1.232032854</v>
      </c>
      <c r="J220" s="1">
        <f>IFERROR(__xludf.DUMMYFUNCTION("IF(B220="""","""",
  100*E220 / MAX(FILTER($E:$E, $A:$A=$A220, $B:$B=$B220))
)
"),10.084033613445378)</f>
        <v>10.08403361</v>
      </c>
      <c r="K220" s="1">
        <f t="shared" si="3"/>
        <v>5.215433196</v>
      </c>
    </row>
    <row r="221">
      <c r="A221" s="3">
        <f>IFERROR(__xludf.DUMMYFUNCTION("""COMPUTED_VALUE"""),45809.0)</f>
        <v>45809</v>
      </c>
      <c r="B221" s="1" t="str">
        <f>IFERROR(__xludf.DUMMYFUNCTION("""COMPUTED_VALUE"""),"DPMall")</f>
        <v>DPMall</v>
      </c>
      <c r="C221" s="1" t="str">
        <f>IFERROR(__xludf.DUMMYFUNCTION("""COMPUTED_VALUE"""),"Tiger *12")</f>
        <v>Tiger *12</v>
      </c>
      <c r="D221" s="1">
        <f>IFERROR(__xludf.DUMMYFUNCTION("""COMPUTED_VALUE"""),811.0)</f>
        <v>811</v>
      </c>
      <c r="E221" s="1">
        <f>IFERROR(__xludf.DUMMYFUNCTION("""COMPUTED_VALUE"""),811.0)</f>
        <v>811</v>
      </c>
      <c r="F221" s="1">
        <f>IFERROR(__xludf.DUMMYFUNCTION("""COMPUTED_VALUE"""),161.0)</f>
        <v>161</v>
      </c>
      <c r="G221" s="1">
        <f t="shared" si="1"/>
        <v>5.037267081</v>
      </c>
      <c r="H221" s="1">
        <f t="shared" si="2"/>
        <v>5.037267081</v>
      </c>
      <c r="I221" s="1">
        <f>IFERROR(__xludf.DUMMYFUNCTION("IF(B221="""","""",
  100*F221 / MAX(FILTER($F:$F, $A:$A=$A221, $B:$B=$B221))
)
"),33.059548254620125)</f>
        <v>33.05954825</v>
      </c>
      <c r="J221" s="1">
        <f>IFERROR(__xludf.DUMMYFUNCTION("IF(B221="""","""",
  100*E221 / MAX(FILTER($E:$E, $A:$A=$A221, $B:$B=$B221))
)
"),68.15126050420169)</f>
        <v>68.1512605</v>
      </c>
      <c r="K221" s="1">
        <f t="shared" si="3"/>
        <v>48.85081877</v>
      </c>
    </row>
    <row r="222">
      <c r="A222" s="3">
        <f>IFERROR(__xludf.DUMMYFUNCTION("""COMPUTED_VALUE"""),45809.0)</f>
        <v>45809</v>
      </c>
      <c r="B222" s="1" t="str">
        <f>IFERROR(__xludf.DUMMYFUNCTION("""COMPUTED_VALUE"""),"DPMall")</f>
        <v>DPMall</v>
      </c>
      <c r="C222" s="1" t="str">
        <f>IFERROR(__xludf.DUMMYFUNCTION("""COMPUTED_VALUE"""),"Wafe up extra")</f>
        <v>Wafe up extra</v>
      </c>
      <c r="D222" s="1">
        <f>IFERROR(__xludf.DUMMYFUNCTION("""COMPUTED_VALUE"""),117.0)</f>
        <v>117</v>
      </c>
      <c r="E222" s="1">
        <f>IFERROR(__xludf.DUMMYFUNCTION("""COMPUTED_VALUE"""),117.0)</f>
        <v>117</v>
      </c>
      <c r="F222" s="1">
        <f>IFERROR(__xludf.DUMMYFUNCTION("""COMPUTED_VALUE"""),39.0)</f>
        <v>39</v>
      </c>
      <c r="G222" s="1">
        <f t="shared" si="1"/>
        <v>3</v>
      </c>
      <c r="H222" s="1">
        <f t="shared" si="2"/>
        <v>3</v>
      </c>
      <c r="I222" s="1">
        <f>IFERROR(__xludf.DUMMYFUNCTION("IF(B222="""","""",
  100*F222 / MAX(FILTER($F:$F, $A:$A=$A222, $B:$B=$B222))
)
"),8.008213552361397)</f>
        <v>8.008213552</v>
      </c>
      <c r="J222" s="1">
        <f>IFERROR(__xludf.DUMMYFUNCTION("IF(B222="""","""",
  100*E222 / MAX(FILTER($E:$E, $A:$A=$A222, $B:$B=$B222))
)
"),9.831932773109244)</f>
        <v>9.831932773</v>
      </c>
      <c r="K222" s="1">
        <f t="shared" si="3"/>
        <v>8.828887202</v>
      </c>
    </row>
    <row r="223">
      <c r="A223" s="3">
        <f>IFERROR(__xludf.DUMMYFUNCTION("""COMPUTED_VALUE"""),45809.0)</f>
        <v>45809</v>
      </c>
      <c r="B223" s="1" t="str">
        <f>IFERROR(__xludf.DUMMYFUNCTION("""COMPUTED_VALUE"""),"DPMall")</f>
        <v>DPMall</v>
      </c>
      <c r="C223" s="1" t="str">
        <f>IFERROR(__xludf.DUMMYFUNCTION("""COMPUTED_VALUE"""),"Water")</f>
        <v>Water</v>
      </c>
      <c r="D223" s="1">
        <f>IFERROR(__xludf.DUMMYFUNCTION("""COMPUTED_VALUE"""),496.0)</f>
        <v>496</v>
      </c>
      <c r="E223" s="1">
        <f>IFERROR(__xludf.DUMMYFUNCTION("""COMPUTED_VALUE"""),496.0)</f>
        <v>496</v>
      </c>
      <c r="F223" s="1">
        <f>IFERROR(__xludf.DUMMYFUNCTION("""COMPUTED_VALUE"""),487.0)</f>
        <v>487</v>
      </c>
      <c r="G223" s="1">
        <f t="shared" si="1"/>
        <v>1.018480493</v>
      </c>
      <c r="H223" s="1">
        <f t="shared" si="2"/>
        <v>1.018480493</v>
      </c>
      <c r="I223" s="1">
        <f>IFERROR(__xludf.DUMMYFUNCTION("IF(B223="""","""",
  100*F223 / MAX(FILTER($F:$F, $A:$A=$A223, $B:$B=$B223))
)
"),100.0)</f>
        <v>100</v>
      </c>
      <c r="J223" s="1">
        <f>IFERROR(__xludf.DUMMYFUNCTION("IF(B223="""","""",
  100*E223 / MAX(FILTER($E:$E, $A:$A=$A223, $B:$B=$B223))
)
"),41.680672268907564)</f>
        <v>41.68067227</v>
      </c>
      <c r="K223" s="1">
        <f t="shared" si="3"/>
        <v>73.75630252</v>
      </c>
    </row>
    <row r="224">
      <c r="A224" s="3">
        <f>IFERROR(__xludf.DUMMYFUNCTION("""COMPUTED_VALUE"""),45809.0)</f>
        <v>45809</v>
      </c>
      <c r="B224" s="1" t="str">
        <f>IFERROR(__xludf.DUMMYFUNCTION("""COMPUTED_VALUE"""),"DPMall")</f>
        <v>DPMall</v>
      </c>
      <c r="C224" s="1" t="str">
        <f>IFERROR(__xludf.DUMMYFUNCTION("""COMPUTED_VALUE"""),"X!R")</f>
        <v>X!R</v>
      </c>
      <c r="D224" s="1">
        <f>IFERROR(__xludf.DUMMYFUNCTION("""COMPUTED_VALUE"""),581.0)</f>
        <v>581</v>
      </c>
      <c r="E224" s="1">
        <f>IFERROR(__xludf.DUMMYFUNCTION("""COMPUTED_VALUE"""),581.0)</f>
        <v>581</v>
      </c>
      <c r="F224" s="1">
        <f>IFERROR(__xludf.DUMMYFUNCTION("""COMPUTED_VALUE"""),141.0)</f>
        <v>141</v>
      </c>
      <c r="G224" s="1">
        <f t="shared" si="1"/>
        <v>4.120567376</v>
      </c>
      <c r="H224" s="1">
        <f t="shared" si="2"/>
        <v>4.120567376</v>
      </c>
      <c r="I224" s="1">
        <f>IFERROR(__xludf.DUMMYFUNCTION("IF(B224="""","""",
  100*F224 / MAX(FILTER($F:$F, $A:$A=$A224, $B:$B=$B224))
)
"),28.95277207392197)</f>
        <v>28.95277207</v>
      </c>
      <c r="J224" s="1">
        <f>IFERROR(__xludf.DUMMYFUNCTION("IF(B224="""","""",
  100*E224 / MAX(FILTER($E:$E, $A:$A=$A224, $B:$B=$B224))
)
"),48.8235294117647)</f>
        <v>48.82352941</v>
      </c>
      <c r="K224" s="1">
        <f t="shared" si="3"/>
        <v>37.89461288</v>
      </c>
    </row>
    <row r="225">
      <c r="A225" s="3">
        <f>IFERROR(__xludf.DUMMYFUNCTION("""COMPUTED_VALUE"""),45809.0)</f>
        <v>45809</v>
      </c>
      <c r="B225" s="1" t="str">
        <f>IFERROR(__xludf.DUMMYFUNCTION("""COMPUTED_VALUE"""),"DPMall")</f>
        <v>DPMall</v>
      </c>
      <c r="C225" s="1" t="str">
        <f>IFERROR(__xludf.DUMMYFUNCTION("""COMPUTED_VALUE"""),"bonart sour")</f>
        <v>bonart sour</v>
      </c>
      <c r="D225" s="1">
        <f>IFERROR(__xludf.DUMMYFUNCTION("""COMPUTED_VALUE"""),117.0)</f>
        <v>117</v>
      </c>
      <c r="E225" s="1">
        <f>IFERROR(__xludf.DUMMYFUNCTION("""COMPUTED_VALUE"""),117.0)</f>
        <v>117</v>
      </c>
      <c r="F225" s="1">
        <f>IFERROR(__xludf.DUMMYFUNCTION("""COMPUTED_VALUE"""),25.0)</f>
        <v>25</v>
      </c>
      <c r="G225" s="1">
        <f t="shared" si="1"/>
        <v>4.68</v>
      </c>
      <c r="H225" s="1">
        <f t="shared" si="2"/>
        <v>4.68</v>
      </c>
      <c r="I225" s="1">
        <f>IFERROR(__xludf.DUMMYFUNCTION("IF(B225="""","""",
  100*F225 / MAX(FILTER($F:$F, $A:$A=$A225, $B:$B=$B225))
)
"),5.13347022587269)</f>
        <v>5.133470226</v>
      </c>
      <c r="J225" s="1">
        <f>IFERROR(__xludf.DUMMYFUNCTION("IF(B225="""","""",
  100*E225 / MAX(FILTER($E:$E, $A:$A=$A225, $B:$B=$B225))
)
"),9.831932773109244)</f>
        <v>9.831932773</v>
      </c>
      <c r="K225" s="1">
        <f t="shared" si="3"/>
        <v>7.247778372</v>
      </c>
    </row>
    <row r="226">
      <c r="A226" s="3">
        <f>IFERROR(__xludf.DUMMYFUNCTION("""COMPUTED_VALUE"""),45809.0)</f>
        <v>45809</v>
      </c>
      <c r="B226" s="1" t="str">
        <f>IFERROR(__xludf.DUMMYFUNCTION("""COMPUTED_VALUE"""),"DPMall")</f>
        <v>DPMall</v>
      </c>
      <c r="C226" s="1" t="str">
        <f>IFERROR(__xludf.DUMMYFUNCTION("""COMPUTED_VALUE"""),"helo kitty")</f>
        <v>helo kitty</v>
      </c>
      <c r="D226" s="1">
        <f>IFERROR(__xludf.DUMMYFUNCTION("""COMPUTED_VALUE"""),57.0)</f>
        <v>57</v>
      </c>
      <c r="E226" s="1">
        <f>IFERROR(__xludf.DUMMYFUNCTION("""COMPUTED_VALUE"""),57.0)</f>
        <v>57</v>
      </c>
      <c r="F226" s="1">
        <f>IFERROR(__xludf.DUMMYFUNCTION("""COMPUTED_VALUE"""),11.0)</f>
        <v>11</v>
      </c>
      <c r="G226" s="1">
        <f t="shared" si="1"/>
        <v>5.181818182</v>
      </c>
      <c r="H226" s="1">
        <f t="shared" si="2"/>
        <v>5.181818182</v>
      </c>
      <c r="I226" s="1">
        <f>IFERROR(__xludf.DUMMYFUNCTION("IF(B226="""","""",
  100*F226 / MAX(FILTER($F:$F, $A:$A=$A226, $B:$B=$B226))
)
"),2.2587268993839835)</f>
        <v>2.258726899</v>
      </c>
      <c r="J226" s="1">
        <f>IFERROR(__xludf.DUMMYFUNCTION("IF(B226="""","""",
  100*E226 / MAX(FILTER($E:$E, $A:$A=$A226, $B:$B=$B226))
)
"),4.7899159663865545)</f>
        <v>4.789915966</v>
      </c>
      <c r="K226" s="1">
        <f t="shared" si="3"/>
        <v>3.39776198</v>
      </c>
    </row>
    <row r="227">
      <c r="A227" s="3">
        <f>IFERROR(__xludf.DUMMYFUNCTION("""COMPUTED_VALUE"""),45809.0)</f>
        <v>45809</v>
      </c>
      <c r="B227" s="1" t="str">
        <f>IFERROR(__xludf.DUMMYFUNCTION("""COMPUTED_VALUE"""),"DPMall")</f>
        <v>DPMall</v>
      </c>
      <c r="C227" s="1" t="str">
        <f>IFERROR(__xludf.DUMMYFUNCTION("""COMPUTED_VALUE"""),"ifrui juice")</f>
        <v>ifrui juice</v>
      </c>
      <c r="D227" s="1">
        <f>IFERROR(__xludf.DUMMYFUNCTION("""COMPUTED_VALUE"""),36.0)</f>
        <v>36</v>
      </c>
      <c r="E227" s="1">
        <f>IFERROR(__xludf.DUMMYFUNCTION("""COMPUTED_VALUE"""),36.0)</f>
        <v>36</v>
      </c>
      <c r="F227" s="1">
        <f>IFERROR(__xludf.DUMMYFUNCTION("""COMPUTED_VALUE"""),19.0)</f>
        <v>19</v>
      </c>
      <c r="G227" s="1">
        <f t="shared" si="1"/>
        <v>1.894736842</v>
      </c>
      <c r="H227" s="1">
        <f t="shared" si="2"/>
        <v>1.894736842</v>
      </c>
      <c r="I227" s="1">
        <f>IFERROR(__xludf.DUMMYFUNCTION("IF(B227="""","""",
  100*F227 / MAX(FILTER($F:$F, $A:$A=$A227, $B:$B=$B227))
)
"),3.9014373716632442)</f>
        <v>3.901437372</v>
      </c>
      <c r="J227" s="1">
        <f>IFERROR(__xludf.DUMMYFUNCTION("IF(B227="""","""",
  100*E227 / MAX(FILTER($E:$E, $A:$A=$A227, $B:$B=$B227))
)
"),3.0252100840336134)</f>
        <v>3.025210084</v>
      </c>
      <c r="K227" s="1">
        <f t="shared" si="3"/>
        <v>3.507135092</v>
      </c>
    </row>
    <row r="228">
      <c r="A228" s="3">
        <f>IFERROR(__xludf.DUMMYFUNCTION("""COMPUTED_VALUE"""),45809.0)</f>
        <v>45809</v>
      </c>
      <c r="B228" s="1" t="str">
        <f>IFERROR(__xludf.DUMMYFUNCTION("""COMPUTED_VALUE"""),"DPMall")</f>
        <v>DPMall</v>
      </c>
      <c r="C228" s="1" t="str">
        <f>IFERROR(__xludf.DUMMYFUNCTION("""COMPUTED_VALUE"""),"kinder bueno")</f>
        <v>kinder bueno</v>
      </c>
      <c r="D228" s="1">
        <f>IFERROR(__xludf.DUMMYFUNCTION("""COMPUTED_VALUE"""),156.0)</f>
        <v>156</v>
      </c>
      <c r="E228" s="1">
        <f>IFERROR(__xludf.DUMMYFUNCTION("""COMPUTED_VALUE"""),156.0)</f>
        <v>156</v>
      </c>
      <c r="F228" s="1">
        <f>IFERROR(__xludf.DUMMYFUNCTION("""COMPUTED_VALUE"""),26.0)</f>
        <v>26</v>
      </c>
      <c r="G228" s="1">
        <f t="shared" si="1"/>
        <v>6</v>
      </c>
      <c r="H228" s="1">
        <f t="shared" si="2"/>
        <v>6</v>
      </c>
      <c r="I228" s="1">
        <f>IFERROR(__xludf.DUMMYFUNCTION("IF(B228="""","""",
  100*F228 / MAX(FILTER($F:$F, $A:$A=$A228, $B:$B=$B228))
)
"),5.338809034907597)</f>
        <v>5.338809035</v>
      </c>
      <c r="J228" s="1">
        <f>IFERROR(__xludf.DUMMYFUNCTION("IF(B228="""","""",
  100*E228 / MAX(FILTER($E:$E, $A:$A=$A228, $B:$B=$B228))
)
"),13.109243697478991)</f>
        <v>13.1092437</v>
      </c>
      <c r="K228" s="1">
        <f t="shared" si="3"/>
        <v>8.835504633</v>
      </c>
    </row>
    <row r="229">
      <c r="A229" s="3">
        <f>IFERROR(__xludf.DUMMYFUNCTION("""COMPUTED_VALUE"""),45809.0)</f>
        <v>45809</v>
      </c>
      <c r="B229" s="1" t="str">
        <f>IFERROR(__xludf.DUMMYFUNCTION("""COMPUTED_VALUE"""),"DPMall")</f>
        <v>DPMall</v>
      </c>
      <c r="C229" s="1" t="str">
        <f>IFERROR(__xludf.DUMMYFUNCTION("""COMPUTED_VALUE"""),"kinza")</f>
        <v>kinza</v>
      </c>
      <c r="D229" s="1">
        <f>IFERROR(__xludf.DUMMYFUNCTION("""COMPUTED_VALUE"""),97.0)</f>
        <v>97</v>
      </c>
      <c r="E229" s="1">
        <f>IFERROR(__xludf.DUMMYFUNCTION("""COMPUTED_VALUE"""),97.0)</f>
        <v>97</v>
      </c>
      <c r="F229" s="1">
        <f>IFERROR(__xludf.DUMMYFUNCTION("""COMPUTED_VALUE"""),71.0)</f>
        <v>71</v>
      </c>
      <c r="G229" s="1">
        <f t="shared" si="1"/>
        <v>1.366197183</v>
      </c>
      <c r="H229" s="1">
        <f t="shared" si="2"/>
        <v>1.366197183</v>
      </c>
      <c r="I229" s="1">
        <f>IFERROR(__xludf.DUMMYFUNCTION("IF(B229="""","""",
  100*F229 / MAX(FILTER($F:$F, $A:$A=$A229, $B:$B=$B229))
)
"),14.57905544147844)</f>
        <v>14.57905544</v>
      </c>
      <c r="J229" s="1">
        <f>IFERROR(__xludf.DUMMYFUNCTION("IF(B229="""","""",
  100*E229 / MAX(FILTER($E:$E, $A:$A=$A229, $B:$B=$B229))
)
"),8.15126050420168)</f>
        <v>8.151260504</v>
      </c>
      <c r="K229" s="1">
        <f t="shared" si="3"/>
        <v>11.68654772</v>
      </c>
    </row>
    <row r="230">
      <c r="A230" s="3">
        <f>IFERROR(__xludf.DUMMYFUNCTION("""COMPUTED_VALUE"""),45809.0)</f>
        <v>45809</v>
      </c>
      <c r="B230" s="1" t="str">
        <f>IFERROR(__xludf.DUMMYFUNCTION("""COMPUTED_VALUE"""),"DPMall")</f>
        <v>DPMall</v>
      </c>
      <c r="C230" s="1" t="str">
        <f>IFERROR(__xludf.DUMMYFUNCTION("""COMPUTED_VALUE"""),"kitkat")</f>
        <v>kitkat</v>
      </c>
      <c r="D230" s="1">
        <f>IFERROR(__xludf.DUMMYFUNCTION("""COMPUTED_VALUE"""),48.0)</f>
        <v>48</v>
      </c>
      <c r="E230" s="1">
        <f>IFERROR(__xludf.DUMMYFUNCTION("""COMPUTED_VALUE"""),48.0)</f>
        <v>48</v>
      </c>
      <c r="F230" s="1">
        <f>IFERROR(__xludf.DUMMYFUNCTION("""COMPUTED_VALUE"""),12.0)</f>
        <v>12</v>
      </c>
      <c r="G230" s="1">
        <f t="shared" si="1"/>
        <v>4</v>
      </c>
      <c r="H230" s="1">
        <f t="shared" si="2"/>
        <v>4</v>
      </c>
      <c r="I230" s="1">
        <f>IFERROR(__xludf.DUMMYFUNCTION("IF(B230="""","""",
  100*F230 / MAX(FILTER($F:$F, $A:$A=$A230, $B:$B=$B230))
)
"),2.4640657084188913)</f>
        <v>2.464065708</v>
      </c>
      <c r="J230" s="1">
        <f>IFERROR(__xludf.DUMMYFUNCTION("IF(B230="""","""",
  100*E230 / MAX(FILTER($E:$E, $A:$A=$A230, $B:$B=$B230))
)
"),4.033613445378151)</f>
        <v>4.033613445</v>
      </c>
      <c r="K230" s="1">
        <f t="shared" si="3"/>
        <v>3.17036219</v>
      </c>
    </row>
    <row r="231">
      <c r="A231" s="3">
        <f>IFERROR(__xludf.DUMMYFUNCTION("""COMPUTED_VALUE"""),45809.0)</f>
        <v>45809</v>
      </c>
      <c r="B231" s="1" t="str">
        <f>IFERROR(__xludf.DUMMYFUNCTION("""COMPUTED_VALUE"""),"DPMall")</f>
        <v>DPMall</v>
      </c>
      <c r="C231" s="1" t="str">
        <f>IFERROR(__xludf.DUMMYFUNCTION("""COMPUTED_VALUE"""),"mr bite")</f>
        <v>mr bite</v>
      </c>
      <c r="D231" s="1">
        <f>IFERROR(__xludf.DUMMYFUNCTION("""COMPUTED_VALUE"""),152.0)</f>
        <v>152</v>
      </c>
      <c r="E231" s="1">
        <f>IFERROR(__xludf.DUMMYFUNCTION("""COMPUTED_VALUE"""),152.0)</f>
        <v>152</v>
      </c>
      <c r="F231" s="1">
        <f>IFERROR(__xludf.DUMMYFUNCTION("""COMPUTED_VALUE"""),76.0)</f>
        <v>76</v>
      </c>
      <c r="G231" s="1">
        <f t="shared" si="1"/>
        <v>2</v>
      </c>
      <c r="H231" s="1">
        <f t="shared" si="2"/>
        <v>2</v>
      </c>
      <c r="I231" s="1">
        <f>IFERROR(__xludf.DUMMYFUNCTION("IF(B231="""","""",
  100*F231 / MAX(FILTER($F:$F, $A:$A=$A231, $B:$B=$B231))
)
"),15.605749486652977)</f>
        <v>15.60574949</v>
      </c>
      <c r="J231" s="1">
        <f>IFERROR(__xludf.DUMMYFUNCTION("IF(B231="""","""",
  100*E231 / MAX(FILTER($E:$E, $A:$A=$A231, $B:$B=$B231))
)
"),12.77310924369748)</f>
        <v>12.77310924</v>
      </c>
      <c r="K231" s="1">
        <f t="shared" si="3"/>
        <v>14.33106138</v>
      </c>
    </row>
    <row r="232">
      <c r="A232" s="3">
        <f>IFERROR(__xludf.DUMMYFUNCTION("""COMPUTED_VALUE"""),45809.0)</f>
        <v>45809</v>
      </c>
      <c r="B232" s="1" t="str">
        <f>IFERROR(__xludf.DUMMYFUNCTION("""COMPUTED_VALUE"""),"DPMall")</f>
        <v>DPMall</v>
      </c>
      <c r="C232" s="1" t="str">
        <f>IFERROR(__xludf.DUMMYFUNCTION("""COMPUTED_VALUE"""),"ono cake")</f>
        <v>ono cake</v>
      </c>
      <c r="D232" s="1">
        <f>IFERROR(__xludf.DUMMYFUNCTION("""COMPUTED_VALUE"""),239.0)</f>
        <v>239</v>
      </c>
      <c r="E232" s="1">
        <f>IFERROR(__xludf.DUMMYFUNCTION("""COMPUTED_VALUE"""),239.0)</f>
        <v>239</v>
      </c>
      <c r="F232" s="1">
        <f>IFERROR(__xludf.DUMMYFUNCTION("""COMPUTED_VALUE"""),239.0)</f>
        <v>239</v>
      </c>
      <c r="G232" s="1">
        <f t="shared" si="1"/>
        <v>1</v>
      </c>
      <c r="H232" s="1">
        <f t="shared" si="2"/>
        <v>1</v>
      </c>
      <c r="I232" s="1">
        <f>IFERROR(__xludf.DUMMYFUNCTION("IF(B232="""","""",
  100*F232 / MAX(FILTER($F:$F, $A:$A=$A232, $B:$B=$B232))
)
"),49.07597535934291)</f>
        <v>49.07597536</v>
      </c>
      <c r="J232" s="1">
        <f>IFERROR(__xludf.DUMMYFUNCTION("IF(B232="""","""",
  100*E232 / MAX(FILTER($E:$E, $A:$A=$A232, $B:$B=$B232))
)
"),20.084033613445378)</f>
        <v>20.08403361</v>
      </c>
      <c r="K232" s="1">
        <f t="shared" si="3"/>
        <v>36.02960157</v>
      </c>
    </row>
    <row r="233">
      <c r="A233" s="3">
        <f>IFERROR(__xludf.DUMMYFUNCTION("""COMPUTED_VALUE"""),45809.0)</f>
        <v>45809</v>
      </c>
      <c r="B233" s="1" t="str">
        <f>IFERROR(__xludf.DUMMYFUNCTION("""COMPUTED_VALUE"""),"DPMall")</f>
        <v>DPMall</v>
      </c>
      <c r="C233" s="1" t="str">
        <f>IFERROR(__xludf.DUMMYFUNCTION("""COMPUTED_VALUE"""),"pepsi 500ml")</f>
        <v>pepsi 500ml</v>
      </c>
      <c r="D233" s="1">
        <f>IFERROR(__xludf.DUMMYFUNCTION("""COMPUTED_VALUE"""),190.0)</f>
        <v>190</v>
      </c>
      <c r="E233" s="1">
        <f>IFERROR(__xludf.DUMMYFUNCTION("""COMPUTED_VALUE"""),190.0)</f>
        <v>190</v>
      </c>
      <c r="F233" s="1">
        <f>IFERROR(__xludf.DUMMYFUNCTION("""COMPUTED_VALUE"""),63.0)</f>
        <v>63</v>
      </c>
      <c r="G233" s="1">
        <f t="shared" si="1"/>
        <v>3.015873016</v>
      </c>
      <c r="H233" s="1">
        <f t="shared" si="2"/>
        <v>3.015873016</v>
      </c>
      <c r="I233" s="1">
        <f>IFERROR(__xludf.DUMMYFUNCTION("IF(B233="""","""",
  100*F233 / MAX(FILTER($F:$F, $A:$A=$A233, $B:$B=$B233))
)
"),12.936344969199178)</f>
        <v>12.93634497</v>
      </c>
      <c r="J233" s="1">
        <f>IFERROR(__xludf.DUMMYFUNCTION("IF(B233="""","""",
  100*E233 / MAX(FILTER($E:$E, $A:$A=$A233, $B:$B=$B233))
)
"),15.966386554621849)</f>
        <v>15.96638655</v>
      </c>
      <c r="K233" s="1">
        <f t="shared" si="3"/>
        <v>14.29986368</v>
      </c>
    </row>
    <row r="234">
      <c r="A234" s="3">
        <f>IFERROR(__xludf.DUMMYFUNCTION("""COMPUTED_VALUE"""),45809.0)</f>
        <v>45809</v>
      </c>
      <c r="B234" s="1" t="str">
        <f>IFERROR(__xludf.DUMMYFUNCTION("""COMPUTED_VALUE"""),"DPMall")</f>
        <v>DPMall</v>
      </c>
      <c r="C234" s="1" t="str">
        <f>IFERROR(__xludf.DUMMYFUNCTION("""COMPUTED_VALUE"""),"schweppers")</f>
        <v>schweppers</v>
      </c>
      <c r="D234" s="1">
        <f>IFERROR(__xludf.DUMMYFUNCTION("""COMPUTED_VALUE"""),46.0)</f>
        <v>46</v>
      </c>
      <c r="E234" s="1">
        <f>IFERROR(__xludf.DUMMYFUNCTION("""COMPUTED_VALUE"""),46.0)</f>
        <v>46</v>
      </c>
      <c r="F234" s="1">
        <f>IFERROR(__xludf.DUMMYFUNCTION("""COMPUTED_VALUE"""),16.0)</f>
        <v>16</v>
      </c>
      <c r="G234" s="1">
        <f t="shared" si="1"/>
        <v>2.875</v>
      </c>
      <c r="H234" s="1">
        <f t="shared" si="2"/>
        <v>2.875</v>
      </c>
      <c r="I234" s="1">
        <f>IFERROR(__xludf.DUMMYFUNCTION("IF(B234="""","""",
  100*F234 / MAX(FILTER($F:$F, $A:$A=$A234, $B:$B=$B234))
)
"),3.2854209445585214)</f>
        <v>3.285420945</v>
      </c>
      <c r="J234" s="1">
        <f>IFERROR(__xludf.DUMMYFUNCTION("IF(B234="""","""",
  100*E234 / MAX(FILTER($E:$E, $A:$A=$A234, $B:$B=$B234))
)
"),3.865546218487395)</f>
        <v>3.865546218</v>
      </c>
      <c r="K234" s="1">
        <f t="shared" si="3"/>
        <v>3.546477318</v>
      </c>
    </row>
    <row r="235">
      <c r="A235" s="3">
        <f>IFERROR(__xludf.DUMMYFUNCTION("""COMPUTED_VALUE"""),45809.0)</f>
        <v>45809</v>
      </c>
      <c r="B235" s="1" t="str">
        <f>IFERROR(__xludf.DUMMYFUNCTION("""COMPUTED_VALUE"""),"DPMall")</f>
        <v>DPMall</v>
      </c>
      <c r="C235" s="1" t="str">
        <f>IFERROR(__xludf.DUMMYFUNCTION("""COMPUTED_VALUE"""),"skittles")</f>
        <v>skittles</v>
      </c>
      <c r="D235" s="1">
        <f>IFERROR(__xludf.DUMMYFUNCTION("""COMPUTED_VALUE"""),145.0)</f>
        <v>145</v>
      </c>
      <c r="E235" s="1">
        <f>IFERROR(__xludf.DUMMYFUNCTION("""COMPUTED_VALUE"""),145.0)</f>
        <v>145</v>
      </c>
      <c r="F235" s="1">
        <f>IFERROR(__xludf.DUMMYFUNCTION("""COMPUTED_VALUE"""),29.0)</f>
        <v>29</v>
      </c>
      <c r="G235" s="1">
        <f t="shared" si="1"/>
        <v>5</v>
      </c>
      <c r="H235" s="1">
        <f t="shared" si="2"/>
        <v>5</v>
      </c>
      <c r="I235" s="1">
        <f>IFERROR(__xludf.DUMMYFUNCTION("IF(B235="""","""",
  100*F235 / MAX(FILTER($F:$F, $A:$A=$A235, $B:$B=$B235))
)
"),5.95482546201232)</f>
        <v>5.954825462</v>
      </c>
      <c r="J235" s="1">
        <f>IFERROR(__xludf.DUMMYFUNCTION("IF(B235="""","""",
  100*E235 / MAX(FILTER($E:$E, $A:$A=$A235, $B:$B=$B235))
)
"),12.184873949579831)</f>
        <v>12.18487395</v>
      </c>
      <c r="K235" s="1">
        <f t="shared" si="3"/>
        <v>8.758347281</v>
      </c>
    </row>
    <row r="236">
      <c r="A236" s="3">
        <f>IFERROR(__xludf.DUMMYFUNCTION("""COMPUTED_VALUE"""),45809.0)</f>
        <v>45809</v>
      </c>
      <c r="B236" s="1" t="str">
        <f>IFERROR(__xludf.DUMMYFUNCTION("""COMPUTED_VALUE"""),"DPMall")</f>
        <v>DPMall</v>
      </c>
      <c r="C236" s="1" t="str">
        <f>IFERROR(__xludf.DUMMYFUNCTION("""COMPUTED_VALUE"""),"skittles drink")</f>
        <v>skittles drink</v>
      </c>
      <c r="D236" s="1">
        <f>IFERROR(__xludf.DUMMYFUNCTION("""COMPUTED_VALUE"""),108.0)</f>
        <v>108</v>
      </c>
      <c r="E236" s="1">
        <f>IFERROR(__xludf.DUMMYFUNCTION("""COMPUTED_VALUE"""),108.0)</f>
        <v>108</v>
      </c>
      <c r="F236" s="1">
        <f>IFERROR(__xludf.DUMMYFUNCTION("""COMPUTED_VALUE"""),13.0)</f>
        <v>13</v>
      </c>
      <c r="G236" s="1">
        <f t="shared" si="1"/>
        <v>8.307692308</v>
      </c>
      <c r="H236" s="1">
        <f t="shared" si="2"/>
        <v>8.307692308</v>
      </c>
      <c r="I236" s="1">
        <f>IFERROR(__xludf.DUMMYFUNCTION("IF(B236="""","""",
  100*F236 / MAX(FILTER($F:$F, $A:$A=$A236, $B:$B=$B236))
)
"),2.6694045174537986)</f>
        <v>2.669404517</v>
      </c>
      <c r="J236" s="1">
        <f>IFERROR(__xludf.DUMMYFUNCTION("IF(B236="""","""",
  100*E236 / MAX(FILTER($E:$E, $A:$A=$A236, $B:$B=$B236))
)
"),9.07563025210084)</f>
        <v>9.075630252</v>
      </c>
      <c r="K236" s="1">
        <f t="shared" si="3"/>
        <v>5.552206098</v>
      </c>
    </row>
    <row r="237">
      <c r="A237" s="3">
        <f>IFERROR(__xludf.DUMMYFUNCTION("""COMPUTED_VALUE"""),45809.0)</f>
        <v>45809</v>
      </c>
      <c r="B237" s="1" t="str">
        <f>IFERROR(__xludf.DUMMYFUNCTION("""COMPUTED_VALUE"""),"DPMall")</f>
        <v>DPMall</v>
      </c>
      <c r="C237" s="1" t="str">
        <f>IFERROR(__xludf.DUMMYFUNCTION("""COMPUTED_VALUE"""),"snickers")</f>
        <v>snickers</v>
      </c>
      <c r="D237" s="1">
        <f>IFERROR(__xludf.DUMMYFUNCTION("""COMPUTED_VALUE"""),130.0)</f>
        <v>130</v>
      </c>
      <c r="E237" s="1">
        <f>IFERROR(__xludf.DUMMYFUNCTION("""COMPUTED_VALUE"""),130.0)</f>
        <v>130</v>
      </c>
      <c r="F237" s="1">
        <f>IFERROR(__xludf.DUMMYFUNCTION("""COMPUTED_VALUE"""),26.0)</f>
        <v>26</v>
      </c>
      <c r="G237" s="1">
        <f t="shared" si="1"/>
        <v>5</v>
      </c>
      <c r="H237" s="1">
        <f t="shared" si="2"/>
        <v>5</v>
      </c>
      <c r="I237" s="1">
        <f>IFERROR(__xludf.DUMMYFUNCTION("IF(B237="""","""",
  100*F237 / MAX(FILTER($F:$F, $A:$A=$A237, $B:$B=$B237))
)
"),5.338809034907597)</f>
        <v>5.338809035</v>
      </c>
      <c r="J237" s="1">
        <f>IFERROR(__xludf.DUMMYFUNCTION("IF(B237="""","""",
  100*E237 / MAX(FILTER($E:$E, $A:$A=$A237, $B:$B=$B237))
)
"),10.92436974789916)</f>
        <v>10.92436975</v>
      </c>
      <c r="K237" s="1">
        <f t="shared" si="3"/>
        <v>7.852311356</v>
      </c>
    </row>
    <row r="238">
      <c r="A238" s="3">
        <f>IFERROR(__xludf.DUMMYFUNCTION("""COMPUTED_VALUE"""),45809.0)</f>
        <v>45809</v>
      </c>
      <c r="B238" s="1" t="str">
        <f>IFERROR(__xludf.DUMMYFUNCTION("""COMPUTED_VALUE"""),"DPMall")</f>
        <v>DPMall</v>
      </c>
      <c r="C238" s="1" t="str">
        <f>IFERROR(__xludf.DUMMYFUNCTION("""COMPUTED_VALUE"""),"vitaGo")</f>
        <v>vitaGo</v>
      </c>
      <c r="D238" s="1">
        <f>IFERROR(__xludf.DUMMYFUNCTION("""COMPUTED_VALUE"""),126.0)</f>
        <v>126</v>
      </c>
      <c r="E238" s="1">
        <f>IFERROR(__xludf.DUMMYFUNCTION("""COMPUTED_VALUE"""),126.0)</f>
        <v>126</v>
      </c>
      <c r="F238" s="1">
        <f>IFERROR(__xludf.DUMMYFUNCTION("""COMPUTED_VALUE"""),42.0)</f>
        <v>42</v>
      </c>
      <c r="G238" s="1">
        <f t="shared" si="1"/>
        <v>3</v>
      </c>
      <c r="H238" s="1">
        <f t="shared" si="2"/>
        <v>3</v>
      </c>
      <c r="I238" s="1">
        <f>IFERROR(__xludf.DUMMYFUNCTION("IF(B238="""","""",
  100*F238 / MAX(FILTER($F:$F, $A:$A=$A238, $B:$B=$B238))
)
"),8.624229979466119)</f>
        <v>8.624229979</v>
      </c>
      <c r="J238" s="1">
        <f>IFERROR(__xludf.DUMMYFUNCTION("IF(B238="""","""",
  100*E238 / MAX(FILTER($E:$E, $A:$A=$A238, $B:$B=$B238))
)
"),10.588235294117647)</f>
        <v>10.58823529</v>
      </c>
      <c r="K238" s="1">
        <f t="shared" si="3"/>
        <v>9.508032371</v>
      </c>
    </row>
    <row r="239">
      <c r="A239" s="3">
        <f>IFERROR(__xludf.DUMMYFUNCTION("""COMPUTED_VALUE"""),45809.0)</f>
        <v>45809</v>
      </c>
      <c r="B239" s="1" t="str">
        <f>IFERROR(__xludf.DUMMYFUNCTION("""COMPUTED_VALUE"""),"DPMall")</f>
        <v>DPMall</v>
      </c>
      <c r="C239" s="1" t="str">
        <f>IFERROR(__xludf.DUMMYFUNCTION("""COMPUTED_VALUE"""),"xo energy")</f>
        <v>xo energy</v>
      </c>
      <c r="D239" s="1">
        <f>IFERROR(__xludf.DUMMYFUNCTION("""COMPUTED_VALUE"""),144.0)</f>
        <v>144</v>
      </c>
      <c r="E239" s="1">
        <f>IFERROR(__xludf.DUMMYFUNCTION("""COMPUTED_VALUE"""),144.0)</f>
        <v>144</v>
      </c>
      <c r="F239" s="1">
        <f>IFERROR(__xludf.DUMMYFUNCTION("""COMPUTED_VALUE"""),29.0)</f>
        <v>29</v>
      </c>
      <c r="G239" s="1">
        <f t="shared" si="1"/>
        <v>4.965517241</v>
      </c>
      <c r="H239" s="1">
        <f t="shared" si="2"/>
        <v>4.965517241</v>
      </c>
      <c r="I239" s="1">
        <f>IFERROR(__xludf.DUMMYFUNCTION("IF(B239="""","""",
  100*F239 / MAX(FILTER($F:$F, $A:$A=$A239, $B:$B=$B239))
)
"),5.95482546201232)</f>
        <v>5.954825462</v>
      </c>
      <c r="J239" s="1">
        <f>IFERROR(__xludf.DUMMYFUNCTION("IF(B239="""","""",
  100*E239 / MAX(FILTER($E:$E, $A:$A=$A239, $B:$B=$B239))
)
"),12.100840336134453)</f>
        <v>12.10084034</v>
      </c>
      <c r="K239" s="1">
        <f t="shared" si="3"/>
        <v>8.720532155</v>
      </c>
    </row>
    <row r="240">
      <c r="A240" s="3">
        <f>IFERROR(__xludf.DUMMYFUNCTION("""COMPUTED_VALUE"""),45809.0)</f>
        <v>45809</v>
      </c>
      <c r="B240" s="1" t="str">
        <f>IFERROR(__xludf.DUMMYFUNCTION("""COMPUTED_VALUE"""),"HTMall")</f>
        <v>HTMall</v>
      </c>
      <c r="C240" s="1" t="str">
        <f>IFERROR(__xludf.DUMMYFUNCTION("""COMPUTED_VALUE"""),"Doritos Dinamita")</f>
        <v>Doritos Dinamita</v>
      </c>
      <c r="D240" s="1">
        <f>IFERROR(__xludf.DUMMYFUNCTION("""COMPUTED_VALUE"""),456.0)</f>
        <v>456</v>
      </c>
      <c r="E240" s="1">
        <f>IFERROR(__xludf.DUMMYFUNCTION("""COMPUTED_VALUE"""),190.0)</f>
        <v>190</v>
      </c>
      <c r="F240" s="1">
        <f>IFERROR(__xludf.DUMMYFUNCTION("""COMPUTED_VALUE"""),38.0)</f>
        <v>38</v>
      </c>
      <c r="G240" s="1">
        <f t="shared" si="1"/>
        <v>12</v>
      </c>
      <c r="H240" s="1">
        <f t="shared" si="2"/>
        <v>5</v>
      </c>
      <c r="I240" s="1">
        <f>IFERROR(__xludf.DUMMYFUNCTION("IF(B240="""","""",
  100*F240 / MAX(FILTER($F:$F, $A:$A=$A240, $B:$B=$B240))
)
"),3.7109375)</f>
        <v>3.7109375</v>
      </c>
      <c r="J240" s="1">
        <f>IFERROR(__xludf.DUMMYFUNCTION("IF(B240="""","""",
  100*E240 / MAX(FILTER($E:$E, $A:$A=$A240, $B:$B=$B240))
)
"),26.013143483023)</f>
        <v>26.01314348</v>
      </c>
      <c r="K240" s="1">
        <f t="shared" si="3"/>
        <v>13.74693019</v>
      </c>
    </row>
    <row r="241">
      <c r="A241" s="3">
        <f>IFERROR(__xludf.DUMMYFUNCTION("""COMPUTED_VALUE"""),45809.0)</f>
        <v>45809</v>
      </c>
      <c r="B241" s="1" t="str">
        <f>IFERROR(__xludf.DUMMYFUNCTION("""COMPUTED_VALUE"""),"HTMall")</f>
        <v>HTMall</v>
      </c>
      <c r="C241" s="1" t="str">
        <f>IFERROR(__xludf.DUMMYFUNCTION("""COMPUTED_VALUE"""),"Doritos cool ranc")</f>
        <v>Doritos cool ranc</v>
      </c>
      <c r="D241" s="1">
        <f>IFERROR(__xludf.DUMMYFUNCTION("""COMPUTED_VALUE"""),1660.0)</f>
        <v>1660</v>
      </c>
      <c r="E241" s="1">
        <f>IFERROR(__xludf.DUMMYFUNCTION("""COMPUTED_VALUE"""),730.4)</f>
        <v>730.4</v>
      </c>
      <c r="F241" s="1">
        <f>IFERROR(__xludf.DUMMYFUNCTION("""COMPUTED_VALUE"""),332.0)</f>
        <v>332</v>
      </c>
      <c r="G241" s="1">
        <f t="shared" si="1"/>
        <v>5</v>
      </c>
      <c r="H241" s="1">
        <f t="shared" si="2"/>
        <v>2.2</v>
      </c>
      <c r="I241" s="1">
        <f>IFERROR(__xludf.DUMMYFUNCTION("IF(B241="""","""",
  100*F241 / MAX(FILTER($F:$F, $A:$A=$A241, $B:$B=$B241))
)
"),32.421875)</f>
        <v>32.421875</v>
      </c>
      <c r="J241" s="1">
        <f>IFERROR(__xludf.DUMMYFUNCTION("IF(B241="""","""",
  100*E241 / MAX(FILTER($E:$E, $A:$A=$A241, $B:$B=$B241))
)
"),100.0)</f>
        <v>100</v>
      </c>
      <c r="K241" s="1">
        <f t="shared" si="3"/>
        <v>62.83203125</v>
      </c>
    </row>
    <row r="242">
      <c r="A242" s="3">
        <f>IFERROR(__xludf.DUMMYFUNCTION("""COMPUTED_VALUE"""),45809.0)</f>
        <v>45809</v>
      </c>
      <c r="B242" s="1" t="str">
        <f>IFERROR(__xludf.DUMMYFUNCTION("""COMPUTED_VALUE"""),"HTMall")</f>
        <v>HTMall</v>
      </c>
      <c r="C242" s="1" t="str">
        <f>IFERROR(__xludf.DUMMYFUNCTION("""COMPUTED_VALUE"""),"Freez")</f>
        <v>Freez</v>
      </c>
      <c r="D242" s="1">
        <f>IFERROR(__xludf.DUMMYFUNCTION("""COMPUTED_VALUE"""),165.0)</f>
        <v>165</v>
      </c>
      <c r="E242" s="1">
        <f>IFERROR(__xludf.DUMMYFUNCTION("""COMPUTED_VALUE"""),35.42)</f>
        <v>35.42</v>
      </c>
      <c r="F242" s="1">
        <f>IFERROR(__xludf.DUMMYFUNCTION("""COMPUTED_VALUE"""),38.0)</f>
        <v>38</v>
      </c>
      <c r="G242" s="1">
        <f t="shared" si="1"/>
        <v>4.342105263</v>
      </c>
      <c r="H242" s="1">
        <f t="shared" si="2"/>
        <v>0.9321052632</v>
      </c>
      <c r="I242" s="1">
        <f>IFERROR(__xludf.DUMMYFUNCTION("IF(B242="""","""",
  100*F242 / MAX(FILTER($F:$F, $A:$A=$A242, $B:$B=$B242))
)
"),3.7109375)</f>
        <v>3.7109375</v>
      </c>
      <c r="J242" s="1">
        <f>IFERROR(__xludf.DUMMYFUNCTION("IF(B242="""","""",
  100*E242 / MAX(FILTER($E:$E, $A:$A=$A242, $B:$B=$B242))
)
"),4.849397590361446)</f>
        <v>4.84939759</v>
      </c>
      <c r="K242" s="1">
        <f t="shared" si="3"/>
        <v>4.223244541</v>
      </c>
    </row>
    <row r="243">
      <c r="A243" s="3">
        <f>IFERROR(__xludf.DUMMYFUNCTION("""COMPUTED_VALUE"""),45809.0)</f>
        <v>45809</v>
      </c>
      <c r="B243" s="1" t="str">
        <f>IFERROR(__xludf.DUMMYFUNCTION("""COMPUTED_VALUE"""),"HTMall")</f>
        <v>HTMall</v>
      </c>
      <c r="C243" s="1" t="str">
        <f>IFERROR(__xludf.DUMMYFUNCTION("""COMPUTED_VALUE"""),"Kinder Bueno")</f>
        <v>Kinder Bueno</v>
      </c>
      <c r="D243" s="1">
        <f>IFERROR(__xludf.DUMMYFUNCTION("""COMPUTED_VALUE"""),236.0)</f>
        <v>236</v>
      </c>
      <c r="E243" s="1">
        <f>IFERROR(__xludf.DUMMYFUNCTION("""COMPUTED_VALUE"""),-7.6)</f>
        <v>-7.6</v>
      </c>
      <c r="F243" s="1">
        <f>IFERROR(__xludf.DUMMYFUNCTION("""COMPUTED_VALUE"""),42.0)</f>
        <v>42</v>
      </c>
      <c r="G243" s="1">
        <f t="shared" si="1"/>
        <v>5.619047619</v>
      </c>
      <c r="H243" s="1">
        <f t="shared" si="2"/>
        <v>-0.180952381</v>
      </c>
      <c r="I243" s="1">
        <f>IFERROR(__xludf.DUMMYFUNCTION("IF(B243="""","""",
  100*F243 / MAX(FILTER($F:$F, $A:$A=$A243, $B:$B=$B243))
)
"),4.1015625)</f>
        <v>4.1015625</v>
      </c>
      <c r="J243" s="1">
        <f>IFERROR(__xludf.DUMMYFUNCTION("IF(B243="""","""",
  100*E243 / MAX(FILTER($E:$E, $A:$A=$A243, $B:$B=$B243))
)
"),-1.0405257393209202)</f>
        <v>-1.040525739</v>
      </c>
      <c r="K243" s="1">
        <f t="shared" si="3"/>
        <v>1.787622792</v>
      </c>
    </row>
    <row r="244">
      <c r="A244" s="3">
        <f>IFERROR(__xludf.DUMMYFUNCTION("""COMPUTED_VALUE"""),45809.0)</f>
        <v>45809</v>
      </c>
      <c r="B244" s="1" t="str">
        <f>IFERROR(__xludf.DUMMYFUNCTION("""COMPUTED_VALUE"""),"HTMall")</f>
        <v>HTMall</v>
      </c>
      <c r="C244" s="1" t="str">
        <f>IFERROR(__xludf.DUMMYFUNCTION("""COMPUTED_VALUE"""),"Laviva")</f>
        <v>Laviva</v>
      </c>
      <c r="D244" s="1">
        <f>IFERROR(__xludf.DUMMYFUNCTION("""COMPUTED_VALUE"""),319.0)</f>
        <v>319</v>
      </c>
      <c r="E244" s="1">
        <f>IFERROR(__xludf.DUMMYFUNCTION("""COMPUTED_VALUE"""),66.0)</f>
        <v>66</v>
      </c>
      <c r="F244" s="1">
        <f>IFERROR(__xludf.DUMMYFUNCTION("""COMPUTED_VALUE"""),115.0)</f>
        <v>115</v>
      </c>
      <c r="G244" s="1">
        <f t="shared" si="1"/>
        <v>2.773913043</v>
      </c>
      <c r="H244" s="1">
        <f t="shared" si="2"/>
        <v>0.5739130435</v>
      </c>
      <c r="I244" s="1">
        <f>IFERROR(__xludf.DUMMYFUNCTION("IF(B244="""","""",
  100*F244 / MAX(FILTER($F:$F, $A:$A=$A244, $B:$B=$B244))
)
"),11.23046875)</f>
        <v>11.23046875</v>
      </c>
      <c r="J244" s="1">
        <f>IFERROR(__xludf.DUMMYFUNCTION("IF(B244="""","""",
  100*E244 / MAX(FILTER($E:$E, $A:$A=$A244, $B:$B=$B244))
)
"),9.036144578313253)</f>
        <v>9.036144578</v>
      </c>
      <c r="K244" s="1">
        <f t="shared" si="3"/>
        <v>10.24302287</v>
      </c>
    </row>
    <row r="245">
      <c r="A245" s="3">
        <f>IFERROR(__xludf.DUMMYFUNCTION("""COMPUTED_VALUE"""),45809.0)</f>
        <v>45809</v>
      </c>
      <c r="B245" s="1" t="str">
        <f>IFERROR(__xludf.DUMMYFUNCTION("""COMPUTED_VALUE"""),"HTMall")</f>
        <v>HTMall</v>
      </c>
      <c r="C245" s="1" t="str">
        <f>IFERROR(__xludf.DUMMYFUNCTION("""COMPUTED_VALUE"""),"Maltesers")</f>
        <v>Maltesers</v>
      </c>
      <c r="D245" s="1">
        <f>IFERROR(__xludf.DUMMYFUNCTION("""COMPUTED_VALUE"""),635.0)</f>
        <v>635</v>
      </c>
      <c r="E245" s="1">
        <f>IFERROR(__xludf.DUMMYFUNCTION("""COMPUTED_VALUE"""),-152.4)</f>
        <v>-152.4</v>
      </c>
      <c r="F245" s="1">
        <f>IFERROR(__xludf.DUMMYFUNCTION("""COMPUTED_VALUE"""),127.0)</f>
        <v>127</v>
      </c>
      <c r="G245" s="1">
        <f t="shared" si="1"/>
        <v>5</v>
      </c>
      <c r="H245" s="1">
        <f t="shared" si="2"/>
        <v>-1.2</v>
      </c>
      <c r="I245" s="1">
        <f>IFERROR(__xludf.DUMMYFUNCTION("IF(B245="""","""",
  100*F245 / MAX(FILTER($F:$F, $A:$A=$A245, $B:$B=$B245))
)
"),12.40234375)</f>
        <v>12.40234375</v>
      </c>
      <c r="J245" s="1">
        <f>IFERROR(__xludf.DUMMYFUNCTION("IF(B245="""","""",
  100*E245 / MAX(FILTER($E:$E, $A:$A=$A245, $B:$B=$B245))
)
"),-20.86527929901424)</f>
        <v>-20.8652793</v>
      </c>
      <c r="K245" s="1">
        <f t="shared" si="3"/>
        <v>-2.568086622</v>
      </c>
    </row>
    <row r="246">
      <c r="A246" s="3">
        <f>IFERROR(__xludf.DUMMYFUNCTION("""COMPUTED_VALUE"""),45809.0)</f>
        <v>45809</v>
      </c>
      <c r="B246" s="1" t="str">
        <f>IFERROR(__xludf.DUMMYFUNCTION("""COMPUTED_VALUE"""),"HTMall")</f>
        <v>HTMall</v>
      </c>
      <c r="C246" s="1" t="str">
        <f>IFERROR(__xludf.DUMMYFUNCTION("""COMPUTED_VALUE"""),"Ono cake")</f>
        <v>Ono cake</v>
      </c>
      <c r="D246" s="1">
        <f>IFERROR(__xludf.DUMMYFUNCTION("""COMPUTED_VALUE"""),548.0)</f>
        <v>548</v>
      </c>
      <c r="E246" s="1">
        <f>IFERROR(__xludf.DUMMYFUNCTION("""COMPUTED_VALUE"""),164.4)</f>
        <v>164.4</v>
      </c>
      <c r="F246" s="1">
        <f>IFERROR(__xludf.DUMMYFUNCTION("""COMPUTED_VALUE"""),548.0)</f>
        <v>548</v>
      </c>
      <c r="G246" s="1">
        <f t="shared" si="1"/>
        <v>1</v>
      </c>
      <c r="H246" s="1">
        <f t="shared" si="2"/>
        <v>0.3</v>
      </c>
      <c r="I246" s="1">
        <f>IFERROR(__xludf.DUMMYFUNCTION("IF(B246="""","""",
  100*F246 / MAX(FILTER($F:$F, $A:$A=$A246, $B:$B=$B246))
)
"),53.515625)</f>
        <v>53.515625</v>
      </c>
      <c r="J246" s="1">
        <f>IFERROR(__xludf.DUMMYFUNCTION("IF(B246="""","""",
  100*E246 / MAX(FILTER($E:$E, $A:$A=$A246, $B:$B=$B246))
)
"),22.508214676889377)</f>
        <v>22.50821468</v>
      </c>
      <c r="K246" s="1">
        <f t="shared" si="3"/>
        <v>39.56229035</v>
      </c>
    </row>
    <row r="247">
      <c r="A247" s="3">
        <f>IFERROR(__xludf.DUMMYFUNCTION("""COMPUTED_VALUE"""),45809.0)</f>
        <v>45809</v>
      </c>
      <c r="B247" s="1" t="str">
        <f>IFERROR(__xludf.DUMMYFUNCTION("""COMPUTED_VALUE"""),"HTMall")</f>
        <v>HTMall</v>
      </c>
      <c r="C247" s="1" t="str">
        <f>IFERROR(__xludf.DUMMYFUNCTION("""COMPUTED_VALUE"""),"Pepsi 500ml")</f>
        <v>Pepsi 500ml</v>
      </c>
      <c r="D247" s="1">
        <f>IFERROR(__xludf.DUMMYFUNCTION("""COMPUTED_VALUE"""),370.0)</f>
        <v>370</v>
      </c>
      <c r="E247" s="1">
        <f>IFERROR(__xludf.DUMMYFUNCTION("""COMPUTED_VALUE"""),144.91)</f>
        <v>144.91</v>
      </c>
      <c r="F247" s="1">
        <f>IFERROR(__xludf.DUMMYFUNCTION("""COMPUTED_VALUE"""),123.0)</f>
        <v>123</v>
      </c>
      <c r="G247" s="1">
        <f t="shared" si="1"/>
        <v>3.008130081</v>
      </c>
      <c r="H247" s="1">
        <f t="shared" si="2"/>
        <v>1.178130081</v>
      </c>
      <c r="I247" s="1">
        <f>IFERROR(__xludf.DUMMYFUNCTION("IF(B247="""","""",
  100*F247 / MAX(FILTER($F:$F, $A:$A=$A247, $B:$B=$B247))
)
"),12.01171875)</f>
        <v>12.01171875</v>
      </c>
      <c r="J247" s="1">
        <f>IFERROR(__xludf.DUMMYFUNCTION("IF(B247="""","""",
  100*E247 / MAX(FILTER($E:$E, $A:$A=$A247, $B:$B=$B247))
)
"),19.839813800657176)</f>
        <v>19.8398138</v>
      </c>
      <c r="K247" s="1">
        <f t="shared" si="3"/>
        <v>15.53436152</v>
      </c>
    </row>
    <row r="248">
      <c r="A248" s="3">
        <f>IFERROR(__xludf.DUMMYFUNCTION("""COMPUTED_VALUE"""),45809.0)</f>
        <v>45809</v>
      </c>
      <c r="B248" s="1" t="str">
        <f>IFERROR(__xludf.DUMMYFUNCTION("""COMPUTED_VALUE"""),"HTMall")</f>
        <v>HTMall</v>
      </c>
      <c r="C248" s="1" t="str">
        <f>IFERROR(__xludf.DUMMYFUNCTION("""COMPUTED_VALUE"""),"Schweppes")</f>
        <v>Schweppes</v>
      </c>
      <c r="D248" s="1">
        <f>IFERROR(__xludf.DUMMYFUNCTION("""COMPUTED_VALUE"""),138.0)</f>
        <v>138</v>
      </c>
      <c r="E248" s="1">
        <f>IFERROR(__xludf.DUMMYFUNCTION("""COMPUTED_VALUE"""),46.0)</f>
        <v>46</v>
      </c>
      <c r="F248" s="1">
        <f>IFERROR(__xludf.DUMMYFUNCTION("""COMPUTED_VALUE"""),46.0)</f>
        <v>46</v>
      </c>
      <c r="G248" s="1">
        <f t="shared" si="1"/>
        <v>3</v>
      </c>
      <c r="H248" s="1">
        <f t="shared" si="2"/>
        <v>1</v>
      </c>
      <c r="I248" s="1">
        <f>IFERROR(__xludf.DUMMYFUNCTION("IF(B248="""","""",
  100*F248 / MAX(FILTER($F:$F, $A:$A=$A248, $B:$B=$B248))
)
"),4.4921875)</f>
        <v>4.4921875</v>
      </c>
      <c r="J248" s="1">
        <f>IFERROR(__xludf.DUMMYFUNCTION("IF(B248="""","""",
  100*E248 / MAX(FILTER($E:$E, $A:$A=$A248, $B:$B=$B248))
)
"),6.2979189485213585)</f>
        <v>6.297918949</v>
      </c>
      <c r="K248" s="1">
        <f t="shared" si="3"/>
        <v>5.304766652</v>
      </c>
    </row>
    <row r="249">
      <c r="A249" s="3">
        <f>IFERROR(__xludf.DUMMYFUNCTION("""COMPUTED_VALUE"""),45809.0)</f>
        <v>45809</v>
      </c>
      <c r="B249" s="1" t="str">
        <f>IFERROR(__xludf.DUMMYFUNCTION("""COMPUTED_VALUE"""),"HTMall")</f>
        <v>HTMall</v>
      </c>
      <c r="C249" s="1" t="str">
        <f>IFERROR(__xludf.DUMMYFUNCTION("""COMPUTED_VALUE"""),"Skittles")</f>
        <v>Skittles</v>
      </c>
      <c r="D249" s="1">
        <f>IFERROR(__xludf.DUMMYFUNCTION("""COMPUTED_VALUE"""),418.0)</f>
        <v>418</v>
      </c>
      <c r="E249" s="1">
        <f>IFERROR(__xludf.DUMMYFUNCTION("""COMPUTED_VALUE"""),-95.04)</f>
        <v>-95.04</v>
      </c>
      <c r="F249" s="1">
        <f>IFERROR(__xludf.DUMMYFUNCTION("""COMPUTED_VALUE"""),88.0)</f>
        <v>88</v>
      </c>
      <c r="G249" s="1">
        <f t="shared" si="1"/>
        <v>4.75</v>
      </c>
      <c r="H249" s="1">
        <f t="shared" si="2"/>
        <v>-1.08</v>
      </c>
      <c r="I249" s="1">
        <f>IFERROR(__xludf.DUMMYFUNCTION("IF(B249="""","""",
  100*F249 / MAX(FILTER($F:$F, $A:$A=$A249, $B:$B=$B249))
)
"),8.59375)</f>
        <v>8.59375</v>
      </c>
      <c r="J249" s="1">
        <f>IFERROR(__xludf.DUMMYFUNCTION("IF(B249="""","""",
  100*E249 / MAX(FILTER($E:$E, $A:$A=$A249, $B:$B=$B249))
)
"),-13.012048192771084)</f>
        <v>-13.01204819</v>
      </c>
      <c r="K249" s="1">
        <f t="shared" si="3"/>
        <v>-1.128859187</v>
      </c>
    </row>
    <row r="250">
      <c r="A250" s="3">
        <f>IFERROR(__xludf.DUMMYFUNCTION("""COMPUTED_VALUE"""),45809.0)</f>
        <v>45809</v>
      </c>
      <c r="B250" s="1" t="str">
        <f>IFERROR(__xludf.DUMMYFUNCTION("""COMPUTED_VALUE"""),"HTMall")</f>
        <v>HTMall</v>
      </c>
      <c r="C250" s="1" t="str">
        <f>IFERROR(__xludf.DUMMYFUNCTION("""COMPUTED_VALUE"""),"Skittles Drink")</f>
        <v>Skittles Drink</v>
      </c>
      <c r="D250" s="1">
        <f>IFERROR(__xludf.DUMMYFUNCTION("""COMPUTED_VALUE"""),244.0)</f>
        <v>244</v>
      </c>
      <c r="E250" s="1">
        <f>IFERROR(__xludf.DUMMYFUNCTION("""COMPUTED_VALUE"""),111.0)</f>
        <v>111</v>
      </c>
      <c r="F250" s="1">
        <f>IFERROR(__xludf.DUMMYFUNCTION("""COMPUTED_VALUE"""),28.0)</f>
        <v>28</v>
      </c>
      <c r="G250" s="1">
        <f t="shared" si="1"/>
        <v>8.714285714</v>
      </c>
      <c r="H250" s="1">
        <f t="shared" si="2"/>
        <v>3.964285714</v>
      </c>
      <c r="I250" s="1">
        <f>IFERROR(__xludf.DUMMYFUNCTION("IF(B250="""","""",
  100*F250 / MAX(FILTER($F:$F, $A:$A=$A250, $B:$B=$B250))
)
"),2.734375)</f>
        <v>2.734375</v>
      </c>
      <c r="J250" s="1">
        <f>IFERROR(__xludf.DUMMYFUNCTION("IF(B250="""","""",
  100*E250 / MAX(FILTER($E:$E, $A:$A=$A250, $B:$B=$B250))
)
"),15.197152245345016)</f>
        <v>15.19715225</v>
      </c>
      <c r="K250" s="1">
        <f t="shared" si="3"/>
        <v>8.34262476</v>
      </c>
    </row>
    <row r="251">
      <c r="A251" s="3">
        <f>IFERROR(__xludf.DUMMYFUNCTION("""COMPUTED_VALUE"""),45809.0)</f>
        <v>45809</v>
      </c>
      <c r="B251" s="1" t="str">
        <f>IFERROR(__xludf.DUMMYFUNCTION("""COMPUTED_VALUE"""),"HTMall")</f>
        <v>HTMall</v>
      </c>
      <c r="C251" s="1" t="str">
        <f>IFERROR(__xludf.DUMMYFUNCTION("""COMPUTED_VALUE"""),"Skittles drink")</f>
        <v>Skittles drink</v>
      </c>
      <c r="D251" s="1">
        <f>IFERROR(__xludf.DUMMYFUNCTION("""COMPUTED_VALUE"""),149.0)</f>
        <v>149</v>
      </c>
      <c r="E251" s="1">
        <f>IFERROR(__xludf.DUMMYFUNCTION("""COMPUTED_VALUE"""),49.25)</f>
        <v>49.25</v>
      </c>
      <c r="F251" s="1">
        <f>IFERROR(__xludf.DUMMYFUNCTION("""COMPUTED_VALUE"""),21.0)</f>
        <v>21</v>
      </c>
      <c r="G251" s="1">
        <f t="shared" si="1"/>
        <v>7.095238095</v>
      </c>
      <c r="H251" s="1">
        <f t="shared" si="2"/>
        <v>2.345238095</v>
      </c>
      <c r="I251" s="1">
        <f>IFERROR(__xludf.DUMMYFUNCTION("IF(B251="""","""",
  100*F251 / MAX(FILTER($F:$F, $A:$A=$A251, $B:$B=$B251))
)
"),2.05078125)</f>
        <v>2.05078125</v>
      </c>
      <c r="J251" s="1">
        <f>IFERROR(__xludf.DUMMYFUNCTION("IF(B251="""","""",
  100*E251 / MAX(FILTER($E:$E, $A:$A=$A251, $B:$B=$B251))
)
"),6.742880613362542)</f>
        <v>6.742880613</v>
      </c>
      <c r="K251" s="1">
        <f t="shared" si="3"/>
        <v>4.162225964</v>
      </c>
    </row>
    <row r="252">
      <c r="A252" s="3">
        <f>IFERROR(__xludf.DUMMYFUNCTION("""COMPUTED_VALUE"""),45809.0)</f>
        <v>45809</v>
      </c>
      <c r="B252" s="1" t="str">
        <f>IFERROR(__xludf.DUMMYFUNCTION("""COMPUTED_VALUE"""),"HTMall")</f>
        <v>HTMall</v>
      </c>
      <c r="C252" s="1" t="str">
        <f>IFERROR(__xludf.DUMMYFUNCTION("""COMPUTED_VALUE"""),"Takies")</f>
        <v>Takies</v>
      </c>
      <c r="D252" s="1">
        <f>IFERROR(__xludf.DUMMYFUNCTION("""COMPUTED_VALUE"""),160.0)</f>
        <v>160</v>
      </c>
      <c r="E252" s="1">
        <f>IFERROR(__xludf.DUMMYFUNCTION("""COMPUTED_VALUE"""),64.0)</f>
        <v>64</v>
      </c>
      <c r="F252" s="1">
        <f>IFERROR(__xludf.DUMMYFUNCTION("""COMPUTED_VALUE"""),8.0)</f>
        <v>8</v>
      </c>
      <c r="G252" s="1">
        <f t="shared" si="1"/>
        <v>20</v>
      </c>
      <c r="H252" s="1">
        <f t="shared" si="2"/>
        <v>8</v>
      </c>
      <c r="I252" s="1">
        <f>IFERROR(__xludf.DUMMYFUNCTION("IF(B252="""","""",
  100*F252 / MAX(FILTER($F:$F, $A:$A=$A252, $B:$B=$B252))
)
"),0.78125)</f>
        <v>0.78125</v>
      </c>
      <c r="J252" s="1">
        <f>IFERROR(__xludf.DUMMYFUNCTION("IF(B252="""","""",
  100*E252 / MAX(FILTER($E:$E, $A:$A=$A252, $B:$B=$B252))
)
"),8.762322015334064)</f>
        <v>8.762322015</v>
      </c>
      <c r="K252" s="1">
        <f t="shared" si="3"/>
        <v>4.372732407</v>
      </c>
    </row>
    <row r="253">
      <c r="A253" s="3">
        <f>IFERROR(__xludf.DUMMYFUNCTION("""COMPUTED_VALUE"""),45809.0)</f>
        <v>45809</v>
      </c>
      <c r="B253" s="1" t="str">
        <f>IFERROR(__xludf.DUMMYFUNCTION("""COMPUTED_VALUE"""),"HTMall")</f>
        <v>HTMall</v>
      </c>
      <c r="C253" s="1" t="str">
        <f>IFERROR(__xludf.DUMMYFUNCTION("""COMPUTED_VALUE"""),"Tiger *12")</f>
        <v>Tiger *12</v>
      </c>
      <c r="D253" s="1">
        <f>IFERROR(__xludf.DUMMYFUNCTION("""COMPUTED_VALUE"""),1368.0)</f>
        <v>1368</v>
      </c>
      <c r="E253" s="1">
        <f>IFERROR(__xludf.DUMMYFUNCTION("""COMPUTED_VALUE"""),539.48)</f>
        <v>539.48</v>
      </c>
      <c r="F253" s="1">
        <f>IFERROR(__xludf.DUMMYFUNCTION("""COMPUTED_VALUE"""),269.0)</f>
        <v>269</v>
      </c>
      <c r="G253" s="1">
        <f t="shared" si="1"/>
        <v>5.085501859</v>
      </c>
      <c r="H253" s="1">
        <f t="shared" si="2"/>
        <v>2.005501859</v>
      </c>
      <c r="I253" s="1">
        <f>IFERROR(__xludf.DUMMYFUNCTION("IF(B253="""","""",
  100*F253 / MAX(FILTER($F:$F, $A:$A=$A253, $B:$B=$B253))
)
"),26.26953125)</f>
        <v>26.26953125</v>
      </c>
      <c r="J253" s="1">
        <f>IFERROR(__xludf.DUMMYFUNCTION("IF(B253="""","""",
  100*E253 / MAX(FILTER($E:$E, $A:$A=$A253, $B:$B=$B253))
)
"),73.86089813800658)</f>
        <v>73.86089814</v>
      </c>
      <c r="K253" s="1">
        <f t="shared" si="3"/>
        <v>47.68564635</v>
      </c>
    </row>
    <row r="254">
      <c r="A254" s="3">
        <f>IFERROR(__xludf.DUMMYFUNCTION("""COMPUTED_VALUE"""),45809.0)</f>
        <v>45809</v>
      </c>
      <c r="B254" s="1" t="str">
        <f>IFERROR(__xludf.DUMMYFUNCTION("""COMPUTED_VALUE"""),"HTMall")</f>
        <v>HTMall</v>
      </c>
      <c r="C254" s="1" t="str">
        <f>IFERROR(__xludf.DUMMYFUNCTION("""COMPUTED_VALUE"""),"Water")</f>
        <v>Water</v>
      </c>
      <c r="D254" s="1">
        <f>IFERROR(__xludf.DUMMYFUNCTION("""COMPUTED_VALUE"""),1024.0)</f>
        <v>1024</v>
      </c>
      <c r="E254" s="1">
        <f>IFERROR(__xludf.DUMMYFUNCTION("""COMPUTED_VALUE"""),716.8)</f>
        <v>716.8</v>
      </c>
      <c r="F254" s="1">
        <f>IFERROR(__xludf.DUMMYFUNCTION("""COMPUTED_VALUE"""),1024.0)</f>
        <v>1024</v>
      </c>
      <c r="G254" s="1">
        <f t="shared" si="1"/>
        <v>1</v>
      </c>
      <c r="H254" s="1">
        <f t="shared" si="2"/>
        <v>0.7</v>
      </c>
      <c r="I254" s="1">
        <f>IFERROR(__xludf.DUMMYFUNCTION("IF(B254="""","""",
  100*F254 / MAX(FILTER($F:$F, $A:$A=$A254, $B:$B=$B254))
)
"),100.0)</f>
        <v>100</v>
      </c>
      <c r="J254" s="1">
        <f>IFERROR(__xludf.DUMMYFUNCTION("IF(B254="""","""",
  100*E254 / MAX(FILTER($E:$E, $A:$A=$A254, $B:$B=$B254))
)
"),98.13800657174151)</f>
        <v>98.13800657</v>
      </c>
      <c r="K254" s="1">
        <f t="shared" si="3"/>
        <v>99.16210296</v>
      </c>
    </row>
    <row r="255">
      <c r="A255" s="3">
        <f>IFERROR(__xludf.DUMMYFUNCTION("""COMPUTED_VALUE"""),45809.0)</f>
        <v>45809</v>
      </c>
      <c r="B255" s="1" t="str">
        <f>IFERROR(__xludf.DUMMYFUNCTION("""COMPUTED_VALUE"""),"HTMall")</f>
        <v>HTMall</v>
      </c>
      <c r="C255" s="1" t="str">
        <f>IFERROR(__xludf.DUMMYFUNCTION("""COMPUTED_VALUE"""),"X!R")</f>
        <v>X!R</v>
      </c>
      <c r="D255" s="1">
        <f>IFERROR(__xludf.DUMMYFUNCTION("""COMPUTED_VALUE"""),823.0)</f>
        <v>823</v>
      </c>
      <c r="E255" s="1">
        <f>IFERROR(__xludf.DUMMYFUNCTION("""COMPUTED_VALUE"""),119.5)</f>
        <v>119.5</v>
      </c>
      <c r="F255" s="1">
        <f>IFERROR(__xludf.DUMMYFUNCTION("""COMPUTED_VALUE"""),201.0)</f>
        <v>201</v>
      </c>
      <c r="G255" s="1">
        <f t="shared" si="1"/>
        <v>4.094527363</v>
      </c>
      <c r="H255" s="1">
        <f t="shared" si="2"/>
        <v>0.5945273632</v>
      </c>
      <c r="I255" s="1">
        <f>IFERROR(__xludf.DUMMYFUNCTION("IF(B255="""","""",
  100*F255 / MAX(FILTER($F:$F, $A:$A=$A255, $B:$B=$B255))
)
"),19.62890625)</f>
        <v>19.62890625</v>
      </c>
      <c r="J255" s="1">
        <f>IFERROR(__xludf.DUMMYFUNCTION("IF(B255="""","""",
  100*E255 / MAX(FILTER($E:$E, $A:$A=$A255, $B:$B=$B255))
)
"),16.360898138006572)</f>
        <v>16.36089814</v>
      </c>
      <c r="K255" s="1">
        <f t="shared" si="3"/>
        <v>18.1583026</v>
      </c>
    </row>
    <row r="256">
      <c r="A256" s="3">
        <f>IFERROR(__xludf.DUMMYFUNCTION("""COMPUTED_VALUE"""),45809.0)</f>
        <v>45809</v>
      </c>
      <c r="B256" s="1" t="str">
        <f>IFERROR(__xludf.DUMMYFUNCTION("""COMPUTED_VALUE"""),"HTMall")</f>
        <v>HTMall</v>
      </c>
      <c r="C256" s="1" t="str">
        <f>IFERROR(__xludf.DUMMYFUNCTION("""COMPUTED_VALUE"""),"Xo Energy")</f>
        <v>Xo Energy</v>
      </c>
      <c r="D256" s="1">
        <f>IFERROR(__xludf.DUMMYFUNCTION("""COMPUTED_VALUE"""),163.0)</f>
        <v>163</v>
      </c>
      <c r="E256" s="1">
        <f>IFERROR(__xludf.DUMMYFUNCTION("""COMPUTED_VALUE"""),42.25)</f>
        <v>42.25</v>
      </c>
      <c r="F256" s="1">
        <f>IFERROR(__xludf.DUMMYFUNCTION("""COMPUTED_VALUE"""),35.0)</f>
        <v>35</v>
      </c>
      <c r="G256" s="1">
        <f t="shared" si="1"/>
        <v>4.657142857</v>
      </c>
      <c r="H256" s="1">
        <f t="shared" si="2"/>
        <v>1.207142857</v>
      </c>
      <c r="I256" s="1">
        <f>IFERROR(__xludf.DUMMYFUNCTION("IF(B256="""","""",
  100*F256 / MAX(FILTER($F:$F, $A:$A=$A256, $B:$B=$B256))
)
"),3.41796875)</f>
        <v>3.41796875</v>
      </c>
      <c r="J256" s="1">
        <f>IFERROR(__xludf.DUMMYFUNCTION("IF(B256="""","""",
  100*E256 / MAX(FILTER($E:$E, $A:$A=$A256, $B:$B=$B256))
)
"),5.784501642935378)</f>
        <v>5.784501643</v>
      </c>
      <c r="K256" s="1">
        <f t="shared" si="3"/>
        <v>4.482908552</v>
      </c>
    </row>
    <row r="257">
      <c r="A257" s="3">
        <f>IFERROR(__xludf.DUMMYFUNCTION("""COMPUTED_VALUE"""),45809.0)</f>
        <v>45809</v>
      </c>
      <c r="B257" s="1" t="str">
        <f>IFERROR(__xludf.DUMMYFUNCTION("""COMPUTED_VALUE"""),"HTMall")</f>
        <v>HTMall</v>
      </c>
      <c r="C257" s="1" t="str">
        <f>IFERROR(__xludf.DUMMYFUNCTION("""COMPUTED_VALUE"""),"bonart")</f>
        <v>bonart</v>
      </c>
      <c r="D257" s="1">
        <f>IFERROR(__xludf.DUMMYFUNCTION("""COMPUTED_VALUE"""),311.0)</f>
        <v>311</v>
      </c>
      <c r="E257" s="1">
        <f>IFERROR(__xludf.DUMMYFUNCTION("""COMPUTED_VALUE"""),115.36)</f>
        <v>115.36</v>
      </c>
      <c r="F257" s="1">
        <f>IFERROR(__xludf.DUMMYFUNCTION("""COMPUTED_VALUE"""),67.0)</f>
        <v>67</v>
      </c>
      <c r="G257" s="1">
        <f t="shared" si="1"/>
        <v>4.641791045</v>
      </c>
      <c r="H257" s="1">
        <f t="shared" si="2"/>
        <v>1.721791045</v>
      </c>
      <c r="I257" s="1">
        <f>IFERROR(__xludf.DUMMYFUNCTION("IF(B257="""","""",
  100*F257 / MAX(FILTER($F:$F, $A:$A=$A257, $B:$B=$B257))
)
"),6.54296875)</f>
        <v>6.54296875</v>
      </c>
      <c r="J257" s="1">
        <f>IFERROR(__xludf.DUMMYFUNCTION("IF(B257="""","""",
  100*E257 / MAX(FILTER($E:$E, $A:$A=$A257, $B:$B=$B257))
)
"),15.79408543263965)</f>
        <v>15.79408543</v>
      </c>
      <c r="K257" s="1">
        <f t="shared" si="3"/>
        <v>10.70597126</v>
      </c>
    </row>
    <row r="258">
      <c r="A258" s="3">
        <f>IFERROR(__xludf.DUMMYFUNCTION("""COMPUTED_VALUE"""),45809.0)</f>
        <v>45809</v>
      </c>
      <c r="B258" s="1" t="str">
        <f>IFERROR(__xludf.DUMMYFUNCTION("""COMPUTED_VALUE"""),"HTMall")</f>
        <v>HTMall</v>
      </c>
      <c r="C258" s="1" t="str">
        <f>IFERROR(__xludf.DUMMYFUNCTION("""COMPUTED_VALUE"""),"kinza")</f>
        <v>kinza</v>
      </c>
      <c r="D258" s="1">
        <f>IFERROR(__xludf.DUMMYFUNCTION("""COMPUTED_VALUE"""),166.0)</f>
        <v>166</v>
      </c>
      <c r="E258" s="1">
        <f>IFERROR(__xludf.DUMMYFUNCTION("""COMPUTED_VALUE"""),38.18)</f>
        <v>38.18</v>
      </c>
      <c r="F258" s="1">
        <f>IFERROR(__xludf.DUMMYFUNCTION("""COMPUTED_VALUE"""),83.0)</f>
        <v>83</v>
      </c>
      <c r="G258" s="1">
        <f t="shared" si="1"/>
        <v>2</v>
      </c>
      <c r="H258" s="1">
        <f t="shared" si="2"/>
        <v>0.46</v>
      </c>
      <c r="I258" s="1">
        <f>IFERROR(__xludf.DUMMYFUNCTION("IF(B258="""","""",
  100*F258 / MAX(FILTER($F:$F, $A:$A=$A258, $B:$B=$B258))
)
"),8.10546875)</f>
        <v>8.10546875</v>
      </c>
      <c r="J258" s="1">
        <f>IFERROR(__xludf.DUMMYFUNCTION("IF(B258="""","""",
  100*E258 / MAX(FILTER($E:$E, $A:$A=$A258, $B:$B=$B258))
)
"),5.2272727272727275)</f>
        <v>5.227272727</v>
      </c>
      <c r="K258" s="1">
        <f t="shared" si="3"/>
        <v>6.81028054</v>
      </c>
    </row>
    <row r="259">
      <c r="A259" s="3">
        <f>IFERROR(__xludf.DUMMYFUNCTION("""COMPUTED_VALUE"""),45809.0)</f>
        <v>45809</v>
      </c>
      <c r="B259" s="1" t="str">
        <f>IFERROR(__xludf.DUMMYFUNCTION("""COMPUTED_VALUE"""),"HTMall")</f>
        <v>HTMall</v>
      </c>
      <c r="C259" s="1" t="str">
        <f>IFERROR(__xludf.DUMMYFUNCTION("""COMPUTED_VALUE"""),"m&amp;m")</f>
        <v>m&amp;m</v>
      </c>
      <c r="D259" s="1">
        <f>IFERROR(__xludf.DUMMYFUNCTION("""COMPUTED_VALUE"""),529.0)</f>
        <v>529</v>
      </c>
      <c r="E259" s="1">
        <f>IFERROR(__xludf.DUMMYFUNCTION("""COMPUTED_VALUE"""),115.89)</f>
        <v>115.89</v>
      </c>
      <c r="F259" s="1">
        <f>IFERROR(__xludf.DUMMYFUNCTION("""COMPUTED_VALUE"""),109.0)</f>
        <v>109</v>
      </c>
      <c r="G259" s="1">
        <f t="shared" si="1"/>
        <v>4.853211009</v>
      </c>
      <c r="H259" s="1">
        <f t="shared" si="2"/>
        <v>1.063211009</v>
      </c>
      <c r="I259" s="1">
        <f>IFERROR(__xludf.DUMMYFUNCTION("IF(B259="""","""",
  100*F259 / MAX(FILTER($F:$F, $A:$A=$A259, $B:$B=$B259))
)
"),10.64453125)</f>
        <v>10.64453125</v>
      </c>
      <c r="J259" s="1">
        <f>IFERROR(__xludf.DUMMYFUNCTION("IF(B259="""","""",
  100*E259 / MAX(FILTER($E:$E, $A:$A=$A259, $B:$B=$B259))
)
"),15.866648411829136)</f>
        <v>15.86664841</v>
      </c>
      <c r="K259" s="1">
        <f t="shared" si="3"/>
        <v>12.99448397</v>
      </c>
    </row>
    <row r="260">
      <c r="A260" s="3">
        <f>IFERROR(__xludf.DUMMYFUNCTION("""COMPUTED_VALUE"""),45809.0)</f>
        <v>45809</v>
      </c>
      <c r="B260" s="1" t="str">
        <f>IFERROR(__xludf.DUMMYFUNCTION("""COMPUTED_VALUE"""),"HTMall")</f>
        <v>HTMall</v>
      </c>
      <c r="C260" s="1" t="str">
        <f>IFERROR(__xludf.DUMMYFUNCTION("""COMPUTED_VALUE"""),"mr bite")</f>
        <v>mr bite</v>
      </c>
      <c r="D260" s="1">
        <f>IFERROR(__xludf.DUMMYFUNCTION("""COMPUTED_VALUE"""),226.0)</f>
        <v>226</v>
      </c>
      <c r="E260" s="1">
        <f>IFERROR(__xludf.DUMMYFUNCTION("""COMPUTED_VALUE"""),90.34)</f>
        <v>90.34</v>
      </c>
      <c r="F260" s="1">
        <f>IFERROR(__xludf.DUMMYFUNCTION("""COMPUTED_VALUE"""),102.0)</f>
        <v>102</v>
      </c>
      <c r="G260" s="1">
        <f t="shared" si="1"/>
        <v>2.215686275</v>
      </c>
      <c r="H260" s="1">
        <f t="shared" si="2"/>
        <v>0.8856862745</v>
      </c>
      <c r="I260" s="1">
        <f>IFERROR(__xludf.DUMMYFUNCTION("IF(B260="""","""",
  100*F260 / MAX(FILTER($F:$F, $A:$A=$A260, $B:$B=$B260))
)
"),9.9609375)</f>
        <v>9.9609375</v>
      </c>
      <c r="J260" s="1">
        <f>IFERROR(__xludf.DUMMYFUNCTION("IF(B260="""","""",
  100*E260 / MAX(FILTER($E:$E, $A:$A=$A260, $B:$B=$B260))
)
"),12.36856516976999)</f>
        <v>12.36856517</v>
      </c>
      <c r="K260" s="1">
        <f t="shared" si="3"/>
        <v>11.04436995</v>
      </c>
    </row>
    <row r="261">
      <c r="A261" s="3">
        <f>IFERROR(__xludf.DUMMYFUNCTION("""COMPUTED_VALUE"""),45809.0)</f>
        <v>45809</v>
      </c>
      <c r="B261" s="1" t="str">
        <f>IFERROR(__xludf.DUMMYFUNCTION("""COMPUTED_VALUE"""),"HTMall")</f>
        <v>HTMall</v>
      </c>
      <c r="C261" s="1" t="str">
        <f>IFERROR(__xludf.DUMMYFUNCTION("""COMPUTED_VALUE"""),"sunTop")</f>
        <v>sunTop</v>
      </c>
      <c r="D261" s="1">
        <f>IFERROR(__xludf.DUMMYFUNCTION("""COMPUTED_VALUE"""),574.0)</f>
        <v>574</v>
      </c>
      <c r="E261" s="1">
        <f>IFERROR(__xludf.DUMMYFUNCTION("""COMPUTED_VALUE"""),237.4)</f>
        <v>237.4</v>
      </c>
      <c r="F261" s="1">
        <f>IFERROR(__xludf.DUMMYFUNCTION("""COMPUTED_VALUE"""),561.0)</f>
        <v>561</v>
      </c>
      <c r="G261" s="1">
        <f t="shared" si="1"/>
        <v>1.023172906</v>
      </c>
      <c r="H261" s="1">
        <f t="shared" si="2"/>
        <v>0.4231729055</v>
      </c>
      <c r="I261" s="1">
        <f>IFERROR(__xludf.DUMMYFUNCTION("IF(B261="""","""",
  100*F261 / MAX(FILTER($F:$F, $A:$A=$A261, $B:$B=$B261))
)
"),54.78515625)</f>
        <v>54.78515625</v>
      </c>
      <c r="J261" s="1">
        <f>IFERROR(__xludf.DUMMYFUNCTION("IF(B261="""","""",
  100*E261 / MAX(FILTER($E:$E, $A:$A=$A261, $B:$B=$B261))
)
"),32.50273822562979)</f>
        <v>32.50273823</v>
      </c>
      <c r="K261" s="1">
        <f t="shared" si="3"/>
        <v>44.75806814</v>
      </c>
    </row>
    <row r="262">
      <c r="A262" s="3">
        <f>IFERROR(__xludf.DUMMYFUNCTION("""COMPUTED_VALUE"""),45809.0)</f>
        <v>45809</v>
      </c>
      <c r="B262" s="1" t="str">
        <f>IFERROR(__xludf.DUMMYFUNCTION("""COMPUTED_VALUE"""),"HTMall")</f>
        <v>HTMall</v>
      </c>
      <c r="C262" s="1" t="str">
        <f>IFERROR(__xludf.DUMMYFUNCTION("""COMPUTED_VALUE"""),"wafe'up")</f>
        <v>wafe'up</v>
      </c>
      <c r="D262" s="1">
        <f>IFERROR(__xludf.DUMMYFUNCTION("""COMPUTED_VALUE"""),184.0)</f>
        <v>184</v>
      </c>
      <c r="E262" s="1">
        <f>IFERROR(__xludf.DUMMYFUNCTION("""COMPUTED_VALUE"""),141.68)</f>
        <v>141.68</v>
      </c>
      <c r="F262" s="1">
        <f>IFERROR(__xludf.DUMMYFUNCTION("""COMPUTED_VALUE"""),46.0)</f>
        <v>46</v>
      </c>
      <c r="G262" s="1">
        <f t="shared" si="1"/>
        <v>4</v>
      </c>
      <c r="H262" s="1">
        <f t="shared" si="2"/>
        <v>3.08</v>
      </c>
      <c r="I262" s="1">
        <f>IFERROR(__xludf.DUMMYFUNCTION("IF(B262="""","""",
  100*F262 / MAX(FILTER($F:$F, $A:$A=$A262, $B:$B=$B262))
)
"),4.4921875)</f>
        <v>4.4921875</v>
      </c>
      <c r="J262" s="1">
        <f>IFERROR(__xludf.DUMMYFUNCTION("IF(B262="""","""",
  100*E262 / MAX(FILTER($E:$E, $A:$A=$A262, $B:$B=$B262))
)
"),19.397590361445783)</f>
        <v>19.39759036</v>
      </c>
      <c r="K262" s="1">
        <f t="shared" si="3"/>
        <v>11.19961879</v>
      </c>
    </row>
    <row r="263">
      <c r="A263" s="3">
        <f>IFERROR(__xludf.DUMMYFUNCTION("""COMPUTED_VALUE"""),45839.0)</f>
        <v>45839</v>
      </c>
      <c r="B263" s="1" t="str">
        <f>IFERROR(__xludf.DUMMYFUNCTION("""COMPUTED_VALUE"""),"DPMall")</f>
        <v>DPMall</v>
      </c>
      <c r="C263" s="1" t="str">
        <f>IFERROR(__xludf.DUMMYFUNCTION("""COMPUTED_VALUE"""),"Doritos Dinamita")</f>
        <v>Doritos Dinamita</v>
      </c>
      <c r="D263" s="1">
        <f>IFERROR(__xludf.DUMMYFUNCTION("""COMPUTED_VALUE"""),192.0)</f>
        <v>192</v>
      </c>
      <c r="E263" s="1">
        <f>IFERROR(__xludf.DUMMYFUNCTION("""COMPUTED_VALUE"""),192.0)</f>
        <v>192</v>
      </c>
      <c r="F263" s="1">
        <f>IFERROR(__xludf.DUMMYFUNCTION("""COMPUTED_VALUE"""),16.0)</f>
        <v>16</v>
      </c>
      <c r="G263" s="1">
        <f t="shared" si="1"/>
        <v>12</v>
      </c>
      <c r="H263" s="1">
        <f t="shared" si="2"/>
        <v>12</v>
      </c>
      <c r="I263" s="1">
        <f>IFERROR(__xludf.DUMMYFUNCTION("IF(B263="""","""",
  100*F263 / MAX(FILTER($F:$F, $A:$A=$A263, $B:$B=$B263))
)
"),1.845444059976932)</f>
        <v>1.84544406</v>
      </c>
      <c r="J263" s="1">
        <f>IFERROR(__xludf.DUMMYFUNCTION("IF(B263="""","""",
  100*E263 / MAX(FILTER($E:$E, $A:$A=$A263, $B:$B=$B263))
)
"),16.08040201005025)</f>
        <v>16.08040201</v>
      </c>
      <c r="K263" s="1">
        <f t="shared" si="3"/>
        <v>8.251175138</v>
      </c>
    </row>
    <row r="264">
      <c r="A264" s="3">
        <f>IFERROR(__xludf.DUMMYFUNCTION("""COMPUTED_VALUE"""),45839.0)</f>
        <v>45839</v>
      </c>
      <c r="B264" s="1" t="str">
        <f>IFERROR(__xludf.DUMMYFUNCTION("""COMPUTED_VALUE"""),"DPMall")</f>
        <v>DPMall</v>
      </c>
      <c r="C264" s="1" t="str">
        <f>IFERROR(__xludf.DUMMYFUNCTION("""COMPUTED_VALUE"""),"Doritos nacho")</f>
        <v>Doritos nacho</v>
      </c>
      <c r="D264" s="1">
        <f>IFERROR(__xludf.DUMMYFUNCTION("""COMPUTED_VALUE"""),1194.0)</f>
        <v>1194</v>
      </c>
      <c r="E264" s="1">
        <f>IFERROR(__xludf.DUMMYFUNCTION("""COMPUTED_VALUE"""),1194.0)</f>
        <v>1194</v>
      </c>
      <c r="F264" s="1">
        <f>IFERROR(__xludf.DUMMYFUNCTION("""COMPUTED_VALUE"""),240.0)</f>
        <v>240</v>
      </c>
      <c r="G264" s="1">
        <f t="shared" si="1"/>
        <v>4.975</v>
      </c>
      <c r="H264" s="1">
        <f t="shared" si="2"/>
        <v>4.975</v>
      </c>
      <c r="I264" s="1">
        <f>IFERROR(__xludf.DUMMYFUNCTION("IF(B264="""","""",
  100*F264 / MAX(FILTER($F:$F, $A:$A=$A264, $B:$B=$B264))
)
"),27.68166089965398)</f>
        <v>27.6816609</v>
      </c>
      <c r="J264" s="1">
        <f>IFERROR(__xludf.DUMMYFUNCTION("IF(B264="""","""",
  100*E264 / MAX(FILTER($E:$E, $A:$A=$A264, $B:$B=$B264))
)
"),100.0)</f>
        <v>100</v>
      </c>
      <c r="K264" s="1">
        <f t="shared" si="3"/>
        <v>60.22491349</v>
      </c>
    </row>
    <row r="265">
      <c r="A265" s="3">
        <f>IFERROR(__xludf.DUMMYFUNCTION("""COMPUTED_VALUE"""),45839.0)</f>
        <v>45839</v>
      </c>
      <c r="B265" s="1" t="str">
        <f>IFERROR(__xludf.DUMMYFUNCTION("""COMPUTED_VALUE"""),"DPMall")</f>
        <v>DPMall</v>
      </c>
      <c r="C265" s="1" t="str">
        <f>IFERROR(__xludf.DUMMYFUNCTION("""COMPUTED_VALUE"""),"Freez drink")</f>
        <v>Freez drink</v>
      </c>
      <c r="D265" s="1">
        <f>IFERROR(__xludf.DUMMYFUNCTION("""COMPUTED_VALUE"""),102.0)</f>
        <v>102</v>
      </c>
      <c r="E265" s="1">
        <f>IFERROR(__xludf.DUMMYFUNCTION("""COMPUTED_VALUE"""),102.0)</f>
        <v>102</v>
      </c>
      <c r="F265" s="1">
        <f>IFERROR(__xludf.DUMMYFUNCTION("""COMPUTED_VALUE"""),21.0)</f>
        <v>21</v>
      </c>
      <c r="G265" s="1">
        <f t="shared" si="1"/>
        <v>4.857142857</v>
      </c>
      <c r="H265" s="1">
        <f t="shared" si="2"/>
        <v>4.857142857</v>
      </c>
      <c r="I265" s="1">
        <f>IFERROR(__xludf.DUMMYFUNCTION("IF(B265="""","""",
  100*F265 / MAX(FILTER($F:$F, $A:$A=$A265, $B:$B=$B265))
)
"),2.422145328719723)</f>
        <v>2.422145329</v>
      </c>
      <c r="J265" s="1">
        <f>IFERROR(__xludf.DUMMYFUNCTION("IF(B265="""","""",
  100*E265 / MAX(FILTER($E:$E, $A:$A=$A265, $B:$B=$B265))
)
"),8.542713567839195)</f>
        <v>8.542713568</v>
      </c>
      <c r="K265" s="1">
        <f t="shared" si="3"/>
        <v>5.176401036</v>
      </c>
    </row>
    <row r="266">
      <c r="A266" s="3">
        <f>IFERROR(__xludf.DUMMYFUNCTION("""COMPUTED_VALUE"""),45839.0)</f>
        <v>45839</v>
      </c>
      <c r="B266" s="1" t="str">
        <f>IFERROR(__xludf.DUMMYFUNCTION("""COMPUTED_VALUE"""),"DPMall")</f>
        <v>DPMall</v>
      </c>
      <c r="C266" s="1" t="str">
        <f>IFERROR(__xludf.DUMMYFUNCTION("""COMPUTED_VALUE"""),"Gardena")</f>
        <v>Gardena</v>
      </c>
      <c r="D266" s="1">
        <f>IFERROR(__xludf.DUMMYFUNCTION("""COMPUTED_VALUE"""),52.0)</f>
        <v>52</v>
      </c>
      <c r="E266" s="1">
        <f>IFERROR(__xludf.DUMMYFUNCTION("""COMPUTED_VALUE"""),52.0)</f>
        <v>52</v>
      </c>
      <c r="F266" s="1">
        <f>IFERROR(__xludf.DUMMYFUNCTION("""COMPUTED_VALUE"""),13.0)</f>
        <v>13</v>
      </c>
      <c r="G266" s="1">
        <f t="shared" si="1"/>
        <v>4</v>
      </c>
      <c r="H266" s="1">
        <f t="shared" si="2"/>
        <v>4</v>
      </c>
      <c r="I266" s="1">
        <f>IFERROR(__xludf.DUMMYFUNCTION("IF(B266="""","""",
  100*F266 / MAX(FILTER($F:$F, $A:$A=$A266, $B:$B=$B266))
)
"),1.4994232987312572)</f>
        <v>1.499423299</v>
      </c>
      <c r="J266" s="1">
        <f>IFERROR(__xludf.DUMMYFUNCTION("IF(B266="""","""",
  100*E266 / MAX(FILTER($E:$E, $A:$A=$A266, $B:$B=$B266))
)
"),4.355108877721943)</f>
        <v>4.355108878</v>
      </c>
      <c r="K266" s="1">
        <f t="shared" si="3"/>
        <v>2.784481809</v>
      </c>
    </row>
    <row r="267">
      <c r="A267" s="3">
        <f>IFERROR(__xludf.DUMMYFUNCTION("""COMPUTED_VALUE"""),45839.0)</f>
        <v>45839</v>
      </c>
      <c r="B267" s="1" t="str">
        <f>IFERROR(__xludf.DUMMYFUNCTION("""COMPUTED_VALUE"""),"DPMall")</f>
        <v>DPMall</v>
      </c>
      <c r="C267" s="1" t="str">
        <f>IFERROR(__xludf.DUMMYFUNCTION("""COMPUTED_VALUE"""),"Green")</f>
        <v>Green</v>
      </c>
      <c r="D267" s="1">
        <f>IFERROR(__xludf.DUMMYFUNCTION("""COMPUTED_VALUE"""),49.0)</f>
        <v>49</v>
      </c>
      <c r="E267" s="1">
        <f>IFERROR(__xludf.DUMMYFUNCTION("""COMPUTED_VALUE"""),49.0)</f>
        <v>49</v>
      </c>
      <c r="F267" s="1">
        <f>IFERROR(__xludf.DUMMYFUNCTION("""COMPUTED_VALUE"""),12.0)</f>
        <v>12</v>
      </c>
      <c r="G267" s="1">
        <f t="shared" si="1"/>
        <v>4.083333333</v>
      </c>
      <c r="H267" s="1">
        <f t="shared" si="2"/>
        <v>4.083333333</v>
      </c>
      <c r="I267" s="1">
        <f>IFERROR(__xludf.DUMMYFUNCTION("IF(B267="""","""",
  100*F267 / MAX(FILTER($F:$F, $A:$A=$A267, $B:$B=$B267))
)
"),1.3840830449826989)</f>
        <v>1.384083045</v>
      </c>
      <c r="J267" s="1">
        <f>IFERROR(__xludf.DUMMYFUNCTION("IF(B267="""","""",
  100*E267 / MAX(FILTER($E:$E, $A:$A=$A267, $B:$B=$B267))
)
"),4.1038525963149075)</f>
        <v>4.103852596</v>
      </c>
      <c r="K267" s="1">
        <f t="shared" si="3"/>
        <v>2.607979343</v>
      </c>
    </row>
    <row r="268">
      <c r="A268" s="3">
        <f>IFERROR(__xludf.DUMMYFUNCTION("""COMPUTED_VALUE"""),45839.0)</f>
        <v>45839</v>
      </c>
      <c r="B268" s="1" t="str">
        <f>IFERROR(__xludf.DUMMYFUNCTION("""COMPUTED_VALUE"""),"DPMall")</f>
        <v>DPMall</v>
      </c>
      <c r="C268" s="1" t="str">
        <f>IFERROR(__xludf.DUMMYFUNCTION("""COMPUTED_VALUE"""),"Laviva")</f>
        <v>Laviva</v>
      </c>
      <c r="D268" s="1">
        <f>IFERROR(__xludf.DUMMYFUNCTION("""COMPUTED_VALUE"""),138.0)</f>
        <v>138</v>
      </c>
      <c r="E268" s="1">
        <f>IFERROR(__xludf.DUMMYFUNCTION("""COMPUTED_VALUE"""),138.0)</f>
        <v>138</v>
      </c>
      <c r="F268" s="1">
        <f>IFERROR(__xludf.DUMMYFUNCTION("""COMPUTED_VALUE"""),46.0)</f>
        <v>46</v>
      </c>
      <c r="G268" s="1">
        <f t="shared" si="1"/>
        <v>3</v>
      </c>
      <c r="H268" s="1">
        <f t="shared" si="2"/>
        <v>3</v>
      </c>
      <c r="I268" s="1">
        <f>IFERROR(__xludf.DUMMYFUNCTION("IF(B268="""","""",
  100*F268 / MAX(FILTER($F:$F, $A:$A=$A268, $B:$B=$B268))
)
"),5.3056516724336795)</f>
        <v>5.305651672</v>
      </c>
      <c r="J268" s="1">
        <f>IFERROR(__xludf.DUMMYFUNCTION("IF(B268="""","""",
  100*E268 / MAX(FILTER($E:$E, $A:$A=$A268, $B:$B=$B268))
)
"),11.557788944723619)</f>
        <v>11.55778894</v>
      </c>
      <c r="K268" s="1">
        <f t="shared" si="3"/>
        <v>8.119113445</v>
      </c>
    </row>
    <row r="269">
      <c r="A269" s="3">
        <f>IFERROR(__xludf.DUMMYFUNCTION("""COMPUTED_VALUE"""),45839.0)</f>
        <v>45839</v>
      </c>
      <c r="B269" s="1" t="str">
        <f>IFERROR(__xludf.DUMMYFUNCTION("""COMPUTED_VALUE"""),"DPMall")</f>
        <v>DPMall</v>
      </c>
      <c r="C269" s="1" t="str">
        <f>IFERROR(__xludf.DUMMYFUNCTION("""COMPUTED_VALUE"""),"Maltesers")</f>
        <v>Maltesers</v>
      </c>
      <c r="D269" s="1">
        <f>IFERROR(__xludf.DUMMYFUNCTION("""COMPUTED_VALUE"""),235.0)</f>
        <v>235</v>
      </c>
      <c r="E269" s="1">
        <f>IFERROR(__xludf.DUMMYFUNCTION("""COMPUTED_VALUE"""),235.0)</f>
        <v>235</v>
      </c>
      <c r="F269" s="1">
        <f>IFERROR(__xludf.DUMMYFUNCTION("""COMPUTED_VALUE"""),47.0)</f>
        <v>47</v>
      </c>
      <c r="G269" s="1">
        <f t="shared" si="1"/>
        <v>5</v>
      </c>
      <c r="H269" s="1">
        <f t="shared" si="2"/>
        <v>5</v>
      </c>
      <c r="I269" s="1">
        <f>IFERROR(__xludf.DUMMYFUNCTION("IF(B269="""","""",
  100*F269 / MAX(FILTER($F:$F, $A:$A=$A269, $B:$B=$B269))
)
"),5.4209919261822375)</f>
        <v>5.420991926</v>
      </c>
      <c r="J269" s="1">
        <f>IFERROR(__xludf.DUMMYFUNCTION("IF(B269="""","""",
  100*E269 / MAX(FILTER($E:$E, $A:$A=$A269, $B:$B=$B269))
)
"),19.68174204355109)</f>
        <v>19.68174204</v>
      </c>
      <c r="K269" s="1">
        <f t="shared" si="3"/>
        <v>11.83832948</v>
      </c>
    </row>
    <row r="270">
      <c r="A270" s="3">
        <f>IFERROR(__xludf.DUMMYFUNCTION("""COMPUTED_VALUE"""),45839.0)</f>
        <v>45839</v>
      </c>
      <c r="B270" s="1" t="str">
        <f>IFERROR(__xludf.DUMMYFUNCTION("""COMPUTED_VALUE"""),"DPMall")</f>
        <v>DPMall</v>
      </c>
      <c r="C270" s="1" t="str">
        <f>IFERROR(__xludf.DUMMYFUNCTION("""COMPUTED_VALUE"""),"Marshmellow sweetBag")</f>
        <v>Marshmellow sweetBag</v>
      </c>
      <c r="D270" s="1">
        <f>IFERROR(__xludf.DUMMYFUNCTION("""COMPUTED_VALUE"""),95.0)</f>
        <v>95</v>
      </c>
      <c r="E270" s="1">
        <f>IFERROR(__xludf.DUMMYFUNCTION("""COMPUTED_VALUE"""),95.0)</f>
        <v>95</v>
      </c>
      <c r="F270" s="1">
        <f>IFERROR(__xludf.DUMMYFUNCTION("""COMPUTED_VALUE"""),23.0)</f>
        <v>23</v>
      </c>
      <c r="G270" s="1">
        <f t="shared" si="1"/>
        <v>4.130434783</v>
      </c>
      <c r="H270" s="1">
        <f t="shared" si="2"/>
        <v>4.130434783</v>
      </c>
      <c r="I270" s="1">
        <f>IFERROR(__xludf.DUMMYFUNCTION("IF(B270="""","""",
  100*F270 / MAX(FILTER($F:$F, $A:$A=$A270, $B:$B=$B270))
)
"),2.6528258362168398)</f>
        <v>2.652825836</v>
      </c>
      <c r="J270" s="1">
        <f>IFERROR(__xludf.DUMMYFUNCTION("IF(B270="""","""",
  100*E270 / MAX(FILTER($E:$E, $A:$A=$A270, $B:$B=$B270))
)
"),7.956448911222781)</f>
        <v>7.956448911</v>
      </c>
      <c r="K270" s="1">
        <f t="shared" si="3"/>
        <v>5.03945622</v>
      </c>
    </row>
    <row r="271">
      <c r="A271" s="3">
        <f>IFERROR(__xludf.DUMMYFUNCTION("""COMPUTED_VALUE"""),45839.0)</f>
        <v>45839</v>
      </c>
      <c r="B271" s="1" t="str">
        <f>IFERROR(__xludf.DUMMYFUNCTION("""COMPUTED_VALUE"""),"DPMall")</f>
        <v>DPMall</v>
      </c>
      <c r="C271" s="1" t="str">
        <f>IFERROR(__xludf.DUMMYFUNCTION("""COMPUTED_VALUE"""),"Takis")</f>
        <v>Takis</v>
      </c>
      <c r="D271" s="1">
        <f>IFERROR(__xludf.DUMMYFUNCTION("""COMPUTED_VALUE"""),120.0)</f>
        <v>120</v>
      </c>
      <c r="E271" s="1">
        <f>IFERROR(__xludf.DUMMYFUNCTION("""COMPUTED_VALUE"""),120.0)</f>
        <v>120</v>
      </c>
      <c r="F271" s="1">
        <f>IFERROR(__xludf.DUMMYFUNCTION("""COMPUTED_VALUE"""),6.0)</f>
        <v>6</v>
      </c>
      <c r="G271" s="1">
        <f t="shared" si="1"/>
        <v>20</v>
      </c>
      <c r="H271" s="1">
        <f t="shared" si="2"/>
        <v>20</v>
      </c>
      <c r="I271" s="1">
        <f>IFERROR(__xludf.DUMMYFUNCTION("IF(B271="""","""",
  100*F271 / MAX(FILTER($F:$F, $A:$A=$A271, $B:$B=$B271))
)
"),0.6920415224913494)</f>
        <v>0.6920415225</v>
      </c>
      <c r="J271" s="1">
        <f>IFERROR(__xludf.DUMMYFUNCTION("IF(B271="""","""",
  100*E271 / MAX(FILTER($E:$E, $A:$A=$A271, $B:$B=$B271))
)
"),10.050251256281408)</f>
        <v>10.05025126</v>
      </c>
      <c r="K271" s="1">
        <f t="shared" si="3"/>
        <v>4.903235903</v>
      </c>
    </row>
    <row r="272">
      <c r="A272" s="3">
        <f>IFERROR(__xludf.DUMMYFUNCTION("""COMPUTED_VALUE"""),45839.0)</f>
        <v>45839</v>
      </c>
      <c r="B272" s="1" t="str">
        <f>IFERROR(__xludf.DUMMYFUNCTION("""COMPUTED_VALUE"""),"DPMall")</f>
        <v>DPMall</v>
      </c>
      <c r="C272" s="1" t="str">
        <f>IFERROR(__xludf.DUMMYFUNCTION("""COMPUTED_VALUE"""),"Tiger *12")</f>
        <v>Tiger *12</v>
      </c>
      <c r="D272" s="1">
        <f>IFERROR(__xludf.DUMMYFUNCTION("""COMPUTED_VALUE"""),955.0)</f>
        <v>955</v>
      </c>
      <c r="E272" s="1">
        <f>IFERROR(__xludf.DUMMYFUNCTION("""COMPUTED_VALUE"""),955.0)</f>
        <v>955</v>
      </c>
      <c r="F272" s="1">
        <f>IFERROR(__xludf.DUMMYFUNCTION("""COMPUTED_VALUE"""),191.0)</f>
        <v>191</v>
      </c>
      <c r="G272" s="1">
        <f t="shared" si="1"/>
        <v>5</v>
      </c>
      <c r="H272" s="1">
        <f t="shared" si="2"/>
        <v>5</v>
      </c>
      <c r="I272" s="1">
        <f>IFERROR(__xludf.DUMMYFUNCTION("IF(B272="""","""",
  100*F272 / MAX(FILTER($F:$F, $A:$A=$A272, $B:$B=$B272))
)
"),22.029988465974625)</f>
        <v>22.02998847</v>
      </c>
      <c r="J272" s="1">
        <f>IFERROR(__xludf.DUMMYFUNCTION("IF(B272="""","""",
  100*E272 / MAX(FILTER($E:$E, $A:$A=$A272, $B:$B=$B272))
)
"),79.98324958123953)</f>
        <v>79.98324958</v>
      </c>
      <c r="K272" s="1">
        <f t="shared" si="3"/>
        <v>48.10895597</v>
      </c>
    </row>
    <row r="273">
      <c r="A273" s="3">
        <f>IFERROR(__xludf.DUMMYFUNCTION("""COMPUTED_VALUE"""),45839.0)</f>
        <v>45839</v>
      </c>
      <c r="B273" s="1" t="str">
        <f>IFERROR(__xludf.DUMMYFUNCTION("""COMPUTED_VALUE"""),"DPMall")</f>
        <v>DPMall</v>
      </c>
      <c r="C273" s="1" t="str">
        <f>IFERROR(__xludf.DUMMYFUNCTION("""COMPUTED_VALUE"""),"Wafe up extra")</f>
        <v>Wafe up extra</v>
      </c>
      <c r="D273" s="1">
        <f>IFERROR(__xludf.DUMMYFUNCTION("""COMPUTED_VALUE"""),58.0)</f>
        <v>58</v>
      </c>
      <c r="E273" s="1">
        <f>IFERROR(__xludf.DUMMYFUNCTION("""COMPUTED_VALUE"""),58.0)</f>
        <v>58</v>
      </c>
      <c r="F273" s="1">
        <f>IFERROR(__xludf.DUMMYFUNCTION("""COMPUTED_VALUE"""),14.0)</f>
        <v>14</v>
      </c>
      <c r="G273" s="1">
        <f t="shared" si="1"/>
        <v>4.142857143</v>
      </c>
      <c r="H273" s="1">
        <f t="shared" si="2"/>
        <v>4.142857143</v>
      </c>
      <c r="I273" s="1">
        <f>IFERROR(__xludf.DUMMYFUNCTION("IF(B273="""","""",
  100*F273 / MAX(FILTER($F:$F, $A:$A=$A273, $B:$B=$B273))
)
"),1.6147635524798154)</f>
        <v>1.614763552</v>
      </c>
      <c r="J273" s="1">
        <f>IFERROR(__xludf.DUMMYFUNCTION("IF(B273="""","""",
  100*E273 / MAX(FILTER($E:$E, $A:$A=$A273, $B:$B=$B273))
)
"),4.857621440536013)</f>
        <v>4.857621441</v>
      </c>
      <c r="K273" s="1">
        <f t="shared" si="3"/>
        <v>3.074049602</v>
      </c>
    </row>
    <row r="274">
      <c r="A274" s="3">
        <f>IFERROR(__xludf.DUMMYFUNCTION("""COMPUTED_VALUE"""),45839.0)</f>
        <v>45839</v>
      </c>
      <c r="B274" s="1" t="str">
        <f>IFERROR(__xludf.DUMMYFUNCTION("""COMPUTED_VALUE"""),"DPMall")</f>
        <v>DPMall</v>
      </c>
      <c r="C274" s="1" t="str">
        <f>IFERROR(__xludf.DUMMYFUNCTION("""COMPUTED_VALUE"""),"Water")</f>
        <v>Water</v>
      </c>
      <c r="D274" s="1">
        <f>IFERROR(__xludf.DUMMYFUNCTION("""COMPUTED_VALUE"""),867.0)</f>
        <v>867</v>
      </c>
      <c r="E274" s="1">
        <f>IFERROR(__xludf.DUMMYFUNCTION("""COMPUTED_VALUE"""),867.0)</f>
        <v>867</v>
      </c>
      <c r="F274" s="1">
        <f>IFERROR(__xludf.DUMMYFUNCTION("""COMPUTED_VALUE"""),867.0)</f>
        <v>867</v>
      </c>
      <c r="G274" s="1">
        <f t="shared" si="1"/>
        <v>1</v>
      </c>
      <c r="H274" s="1">
        <f t="shared" si="2"/>
        <v>1</v>
      </c>
      <c r="I274" s="1">
        <f>IFERROR(__xludf.DUMMYFUNCTION("IF(B274="""","""",
  100*F274 / MAX(FILTER($F:$F, $A:$A=$A274, $B:$B=$B274))
)
"),100.0)</f>
        <v>100</v>
      </c>
      <c r="J274" s="1">
        <f>IFERROR(__xludf.DUMMYFUNCTION("IF(B274="""","""",
  100*E274 / MAX(FILTER($E:$E, $A:$A=$A274, $B:$B=$B274))
)
"),72.61306532663316)</f>
        <v>72.61306533</v>
      </c>
      <c r="K274" s="1">
        <f t="shared" si="3"/>
        <v>87.6758794</v>
      </c>
    </row>
    <row r="275">
      <c r="A275" s="3">
        <f>IFERROR(__xludf.DUMMYFUNCTION("""COMPUTED_VALUE"""),45839.0)</f>
        <v>45839</v>
      </c>
      <c r="B275" s="1" t="str">
        <f>IFERROR(__xludf.DUMMYFUNCTION("""COMPUTED_VALUE"""),"DPMall")</f>
        <v>DPMall</v>
      </c>
      <c r="C275" s="1" t="str">
        <f>IFERROR(__xludf.DUMMYFUNCTION("""COMPUTED_VALUE"""),"X!R")</f>
        <v>X!R</v>
      </c>
      <c r="D275" s="1">
        <f>IFERROR(__xludf.DUMMYFUNCTION("""COMPUTED_VALUE"""),843.0)</f>
        <v>843</v>
      </c>
      <c r="E275" s="1">
        <f>IFERROR(__xludf.DUMMYFUNCTION("""COMPUTED_VALUE"""),843.0)</f>
        <v>843</v>
      </c>
      <c r="F275" s="1">
        <f>IFERROR(__xludf.DUMMYFUNCTION("""COMPUTED_VALUE"""),174.0)</f>
        <v>174</v>
      </c>
      <c r="G275" s="1">
        <f t="shared" si="1"/>
        <v>4.844827586</v>
      </c>
      <c r="H275" s="1">
        <f t="shared" si="2"/>
        <v>4.844827586</v>
      </c>
      <c r="I275" s="1">
        <f>IFERROR(__xludf.DUMMYFUNCTION("IF(B275="""","""",
  100*F275 / MAX(FILTER($F:$F, $A:$A=$A275, $B:$B=$B275))
)
"),20.069204152249135)</f>
        <v>20.06920415</v>
      </c>
      <c r="J275" s="1">
        <f>IFERROR(__xludf.DUMMYFUNCTION("IF(B275="""","""",
  100*E275 / MAX(FILTER($E:$E, $A:$A=$A275, $B:$B=$B275))
)
"),70.60301507537689)</f>
        <v>70.60301508</v>
      </c>
      <c r="K275" s="1">
        <f t="shared" si="3"/>
        <v>42.80941907</v>
      </c>
    </row>
    <row r="276">
      <c r="A276" s="3">
        <f>IFERROR(__xludf.DUMMYFUNCTION("""COMPUTED_VALUE"""),45839.0)</f>
        <v>45839</v>
      </c>
      <c r="B276" s="1" t="str">
        <f>IFERROR(__xludf.DUMMYFUNCTION("""COMPUTED_VALUE"""),"DPMall")</f>
        <v>DPMall</v>
      </c>
      <c r="C276" s="1" t="str">
        <f>IFERROR(__xludf.DUMMYFUNCTION("""COMPUTED_VALUE"""),"bonart sour")</f>
        <v>bonart sour</v>
      </c>
      <c r="D276" s="1">
        <f>IFERROR(__xludf.DUMMYFUNCTION("""COMPUTED_VALUE"""),156.0)</f>
        <v>156</v>
      </c>
      <c r="E276" s="1">
        <f>IFERROR(__xludf.DUMMYFUNCTION("""COMPUTED_VALUE"""),156.0)</f>
        <v>156</v>
      </c>
      <c r="F276" s="1">
        <f>IFERROR(__xludf.DUMMYFUNCTION("""COMPUTED_VALUE"""),41.0)</f>
        <v>41</v>
      </c>
      <c r="G276" s="1">
        <f t="shared" si="1"/>
        <v>3.804878049</v>
      </c>
      <c r="H276" s="1">
        <f t="shared" si="2"/>
        <v>3.804878049</v>
      </c>
      <c r="I276" s="1">
        <f>IFERROR(__xludf.DUMMYFUNCTION("IF(B276="""","""",
  100*F276 / MAX(FILTER($F:$F, $A:$A=$A276, $B:$B=$B276))
)
"),4.728950403690888)</f>
        <v>4.728950404</v>
      </c>
      <c r="J276" s="1">
        <f>IFERROR(__xludf.DUMMYFUNCTION("IF(B276="""","""",
  100*E276 / MAX(FILTER($E:$E, $A:$A=$A276, $B:$B=$B276))
)
"),13.06532663316583)</f>
        <v>13.06532663</v>
      </c>
      <c r="K276" s="1">
        <f t="shared" si="3"/>
        <v>8.480319707</v>
      </c>
    </row>
    <row r="277">
      <c r="A277" s="3">
        <f>IFERROR(__xludf.DUMMYFUNCTION("""COMPUTED_VALUE"""),45839.0)</f>
        <v>45839</v>
      </c>
      <c r="B277" s="1" t="str">
        <f>IFERROR(__xludf.DUMMYFUNCTION("""COMPUTED_VALUE"""),"DPMall")</f>
        <v>DPMall</v>
      </c>
      <c r="C277" s="1" t="str">
        <f>IFERROR(__xludf.DUMMYFUNCTION("""COMPUTED_VALUE"""),"helo kitty")</f>
        <v>helo kitty</v>
      </c>
      <c r="D277" s="1">
        <f>IFERROR(__xludf.DUMMYFUNCTION("""COMPUTED_VALUE"""),60.0)</f>
        <v>60</v>
      </c>
      <c r="E277" s="1">
        <f>IFERROR(__xludf.DUMMYFUNCTION("""COMPUTED_VALUE"""),60.0)</f>
        <v>60</v>
      </c>
      <c r="F277" s="1">
        <f>IFERROR(__xludf.DUMMYFUNCTION("""COMPUTED_VALUE"""),14.0)</f>
        <v>14</v>
      </c>
      <c r="G277" s="1">
        <f t="shared" si="1"/>
        <v>4.285714286</v>
      </c>
      <c r="H277" s="1">
        <f t="shared" si="2"/>
        <v>4.285714286</v>
      </c>
      <c r="I277" s="1">
        <f>IFERROR(__xludf.DUMMYFUNCTION("IF(B277="""","""",
  100*F277 / MAX(FILTER($F:$F, $A:$A=$A277, $B:$B=$B277))
)
"),1.6147635524798154)</f>
        <v>1.614763552</v>
      </c>
      <c r="J277" s="1">
        <f>IFERROR(__xludf.DUMMYFUNCTION("IF(B277="""","""",
  100*E277 / MAX(FILTER($E:$E, $A:$A=$A277, $B:$B=$B277))
)
"),5.025125628140704)</f>
        <v>5.025125628</v>
      </c>
      <c r="K277" s="1">
        <f t="shared" si="3"/>
        <v>3.149426487</v>
      </c>
    </row>
    <row r="278">
      <c r="A278" s="3">
        <f>IFERROR(__xludf.DUMMYFUNCTION("""COMPUTED_VALUE"""),45839.0)</f>
        <v>45839</v>
      </c>
      <c r="B278" s="1" t="str">
        <f>IFERROR(__xludf.DUMMYFUNCTION("""COMPUTED_VALUE"""),"DPMall")</f>
        <v>DPMall</v>
      </c>
      <c r="C278" s="1" t="str">
        <f>IFERROR(__xludf.DUMMYFUNCTION("""COMPUTED_VALUE"""),"ifrui juice")</f>
        <v>ifrui juice</v>
      </c>
      <c r="D278" s="1">
        <f>IFERROR(__xludf.DUMMYFUNCTION("""COMPUTED_VALUE"""),75.0)</f>
        <v>75</v>
      </c>
      <c r="E278" s="1">
        <f>IFERROR(__xludf.DUMMYFUNCTION("""COMPUTED_VALUE"""),75.0)</f>
        <v>75</v>
      </c>
      <c r="F278" s="1">
        <f>IFERROR(__xludf.DUMMYFUNCTION("""COMPUTED_VALUE"""),25.0)</f>
        <v>25</v>
      </c>
      <c r="G278" s="1">
        <f t="shared" si="1"/>
        <v>3</v>
      </c>
      <c r="H278" s="1">
        <f t="shared" si="2"/>
        <v>3</v>
      </c>
      <c r="I278" s="1">
        <f>IFERROR(__xludf.DUMMYFUNCTION("IF(B278="""","""",
  100*F278 / MAX(FILTER($F:$F, $A:$A=$A278, $B:$B=$B278))
)
"),2.883506343713956)</f>
        <v>2.883506344</v>
      </c>
      <c r="J278" s="1">
        <f>IFERROR(__xludf.DUMMYFUNCTION("IF(B278="""","""",
  100*E278 / MAX(FILTER($E:$E, $A:$A=$A278, $B:$B=$B278))
)
"),6.28140703517588)</f>
        <v>6.281407035</v>
      </c>
      <c r="K278" s="1">
        <f t="shared" si="3"/>
        <v>4.412561655</v>
      </c>
    </row>
    <row r="279">
      <c r="A279" s="3">
        <f>IFERROR(__xludf.DUMMYFUNCTION("""COMPUTED_VALUE"""),45839.0)</f>
        <v>45839</v>
      </c>
      <c r="B279" s="1" t="str">
        <f>IFERROR(__xludf.DUMMYFUNCTION("""COMPUTED_VALUE"""),"DPMall")</f>
        <v>DPMall</v>
      </c>
      <c r="C279" s="1" t="str">
        <f>IFERROR(__xludf.DUMMYFUNCTION("""COMPUTED_VALUE"""),"kinder bueno")</f>
        <v>kinder bueno</v>
      </c>
      <c r="D279" s="1">
        <f>IFERROR(__xludf.DUMMYFUNCTION("""COMPUTED_VALUE"""),243.0)</f>
        <v>243</v>
      </c>
      <c r="E279" s="1">
        <f>IFERROR(__xludf.DUMMYFUNCTION("""COMPUTED_VALUE"""),243.0)</f>
        <v>243</v>
      </c>
      <c r="F279" s="1">
        <f>IFERROR(__xludf.DUMMYFUNCTION("""COMPUTED_VALUE"""),48.0)</f>
        <v>48</v>
      </c>
      <c r="G279" s="1">
        <f t="shared" si="1"/>
        <v>5.0625</v>
      </c>
      <c r="H279" s="1">
        <f t="shared" si="2"/>
        <v>5.0625</v>
      </c>
      <c r="I279" s="1">
        <f>IFERROR(__xludf.DUMMYFUNCTION("IF(B279="""","""",
  100*F279 / MAX(FILTER($F:$F, $A:$A=$A279, $B:$B=$B279))
)
"),5.536332179930795)</f>
        <v>5.53633218</v>
      </c>
      <c r="J279" s="1">
        <f>IFERROR(__xludf.DUMMYFUNCTION("IF(B279="""","""",
  100*E279 / MAX(FILTER($E:$E, $A:$A=$A279, $B:$B=$B279))
)
"),20.35175879396985)</f>
        <v>20.35175879</v>
      </c>
      <c r="K279" s="1">
        <f t="shared" si="3"/>
        <v>12.20327416</v>
      </c>
    </row>
    <row r="280">
      <c r="A280" s="3">
        <f>IFERROR(__xludf.DUMMYFUNCTION("""COMPUTED_VALUE"""),45839.0)</f>
        <v>45839</v>
      </c>
      <c r="B280" s="1" t="str">
        <f>IFERROR(__xludf.DUMMYFUNCTION("""COMPUTED_VALUE"""),"DPMall")</f>
        <v>DPMall</v>
      </c>
      <c r="C280" s="1" t="str">
        <f>IFERROR(__xludf.DUMMYFUNCTION("""COMPUTED_VALUE"""),"kinza")</f>
        <v>kinza</v>
      </c>
      <c r="D280" s="1">
        <f>IFERROR(__xludf.DUMMYFUNCTION("""COMPUTED_VALUE"""),176.0)</f>
        <v>176</v>
      </c>
      <c r="E280" s="1">
        <f>IFERROR(__xludf.DUMMYFUNCTION("""COMPUTED_VALUE"""),176.0)</f>
        <v>176</v>
      </c>
      <c r="F280" s="1">
        <f>IFERROR(__xludf.DUMMYFUNCTION("""COMPUTED_VALUE"""),85.0)</f>
        <v>85</v>
      </c>
      <c r="G280" s="1">
        <f t="shared" si="1"/>
        <v>2.070588235</v>
      </c>
      <c r="H280" s="1">
        <f t="shared" si="2"/>
        <v>2.070588235</v>
      </c>
      <c r="I280" s="1">
        <f>IFERROR(__xludf.DUMMYFUNCTION("IF(B280="""","""",
  100*F280 / MAX(FILTER($F:$F, $A:$A=$A280, $B:$B=$B280))
)
"),9.803921568627452)</f>
        <v>9.803921569</v>
      </c>
      <c r="J280" s="1">
        <f>IFERROR(__xludf.DUMMYFUNCTION("IF(B280="""","""",
  100*E280 / MAX(FILTER($E:$E, $A:$A=$A280, $B:$B=$B280))
)
"),14.74036850921273)</f>
        <v>14.74036851</v>
      </c>
      <c r="K280" s="1">
        <f t="shared" si="3"/>
        <v>12.02532269</v>
      </c>
    </row>
    <row r="281">
      <c r="A281" s="3">
        <f>IFERROR(__xludf.DUMMYFUNCTION("""COMPUTED_VALUE"""),45839.0)</f>
        <v>45839</v>
      </c>
      <c r="B281" s="1" t="str">
        <f>IFERROR(__xludf.DUMMYFUNCTION("""COMPUTED_VALUE"""),"DPMall")</f>
        <v>DPMall</v>
      </c>
      <c r="C281" s="1" t="str">
        <f>IFERROR(__xludf.DUMMYFUNCTION("""COMPUTED_VALUE"""),"kitkat")</f>
        <v>kitkat</v>
      </c>
      <c r="D281" s="1">
        <f>IFERROR(__xludf.DUMMYFUNCTION("""COMPUTED_VALUE"""),47.0)</f>
        <v>47</v>
      </c>
      <c r="E281" s="1">
        <f>IFERROR(__xludf.DUMMYFUNCTION("""COMPUTED_VALUE"""),47.0)</f>
        <v>47</v>
      </c>
      <c r="F281" s="1">
        <f>IFERROR(__xludf.DUMMYFUNCTION("""COMPUTED_VALUE"""),11.0)</f>
        <v>11</v>
      </c>
      <c r="G281" s="1">
        <f t="shared" si="1"/>
        <v>4.272727273</v>
      </c>
      <c r="H281" s="1">
        <f t="shared" si="2"/>
        <v>4.272727273</v>
      </c>
      <c r="I281" s="1">
        <f>IFERROR(__xludf.DUMMYFUNCTION("IF(B281="""","""",
  100*F281 / MAX(FILTER($F:$F, $A:$A=$A281, $B:$B=$B281))
)
"),1.2687427912341407)</f>
        <v>1.268742791</v>
      </c>
      <c r="J281" s="1">
        <f>IFERROR(__xludf.DUMMYFUNCTION("IF(B281="""","""",
  100*E281 / MAX(FILTER($E:$E, $A:$A=$A281, $B:$B=$B281))
)
"),3.936348408710218)</f>
        <v>3.936348409</v>
      </c>
      <c r="K281" s="1">
        <f t="shared" si="3"/>
        <v>2.469165319</v>
      </c>
    </row>
    <row r="282">
      <c r="A282" s="3">
        <f>IFERROR(__xludf.DUMMYFUNCTION("""COMPUTED_VALUE"""),45839.0)</f>
        <v>45839</v>
      </c>
      <c r="B282" s="1" t="str">
        <f>IFERROR(__xludf.DUMMYFUNCTION("""COMPUTED_VALUE"""),"DPMall")</f>
        <v>DPMall</v>
      </c>
      <c r="C282" s="1" t="str">
        <f>IFERROR(__xludf.DUMMYFUNCTION("""COMPUTED_VALUE"""),"mr bite")</f>
        <v>mr bite</v>
      </c>
      <c r="D282" s="1">
        <f>IFERROR(__xludf.DUMMYFUNCTION("""COMPUTED_VALUE"""),142.0)</f>
        <v>142</v>
      </c>
      <c r="E282" s="1">
        <f>IFERROR(__xludf.DUMMYFUNCTION("""COMPUTED_VALUE"""),142.0)</f>
        <v>142</v>
      </c>
      <c r="F282" s="1">
        <f>IFERROR(__xludf.DUMMYFUNCTION("""COMPUTED_VALUE"""),71.0)</f>
        <v>71</v>
      </c>
      <c r="G282" s="1">
        <f t="shared" si="1"/>
        <v>2</v>
      </c>
      <c r="H282" s="1">
        <f t="shared" si="2"/>
        <v>2</v>
      </c>
      <c r="I282" s="1">
        <f>IFERROR(__xludf.DUMMYFUNCTION("IF(B282="""","""",
  100*F282 / MAX(FILTER($F:$F, $A:$A=$A282, $B:$B=$B282))
)
"),8.189158016147635)</f>
        <v>8.189158016</v>
      </c>
      <c r="J282" s="1">
        <f>IFERROR(__xludf.DUMMYFUNCTION("IF(B282="""","""",
  100*E282 / MAX(FILTER($E:$E, $A:$A=$A282, $B:$B=$B282))
)
"),11.892797319932999)</f>
        <v>11.89279732</v>
      </c>
      <c r="K282" s="1">
        <f t="shared" si="3"/>
        <v>9.855795703</v>
      </c>
    </row>
    <row r="283">
      <c r="A283" s="3">
        <f>IFERROR(__xludf.DUMMYFUNCTION("""COMPUTED_VALUE"""),45839.0)</f>
        <v>45839</v>
      </c>
      <c r="B283" s="1" t="str">
        <f>IFERROR(__xludf.DUMMYFUNCTION("""COMPUTED_VALUE"""),"DPMall")</f>
        <v>DPMall</v>
      </c>
      <c r="C283" s="1" t="str">
        <f>IFERROR(__xludf.DUMMYFUNCTION("""COMPUTED_VALUE"""),"ono cake")</f>
        <v>ono cake</v>
      </c>
      <c r="D283" s="1">
        <f>IFERROR(__xludf.DUMMYFUNCTION("""COMPUTED_VALUE"""),193.0)</f>
        <v>193</v>
      </c>
      <c r="E283" s="1">
        <f>IFERROR(__xludf.DUMMYFUNCTION("""COMPUTED_VALUE"""),193.0)</f>
        <v>193</v>
      </c>
      <c r="F283" s="1">
        <f>IFERROR(__xludf.DUMMYFUNCTION("""COMPUTED_VALUE"""),183.0)</f>
        <v>183</v>
      </c>
      <c r="G283" s="1">
        <f t="shared" si="1"/>
        <v>1.054644809</v>
      </c>
      <c r="H283" s="1">
        <f t="shared" si="2"/>
        <v>1.054644809</v>
      </c>
      <c r="I283" s="1">
        <f>IFERROR(__xludf.DUMMYFUNCTION("IF(B283="""","""",
  100*F283 / MAX(FILTER($F:$F, $A:$A=$A283, $B:$B=$B283))
)
"),21.10726643598616)</f>
        <v>21.10726644</v>
      </c>
      <c r="J283" s="1">
        <f>IFERROR(__xludf.DUMMYFUNCTION("IF(B283="""","""",
  100*E283 / MAX(FILTER($E:$E, $A:$A=$A283, $B:$B=$B283))
)
"),16.164154103852596)</f>
        <v>16.1641541</v>
      </c>
      <c r="K283" s="1">
        <f t="shared" si="3"/>
        <v>18.88286589</v>
      </c>
    </row>
    <row r="284">
      <c r="A284" s="3">
        <f>IFERROR(__xludf.DUMMYFUNCTION("""COMPUTED_VALUE"""),45839.0)</f>
        <v>45839</v>
      </c>
      <c r="B284" s="1" t="str">
        <f>IFERROR(__xludf.DUMMYFUNCTION("""COMPUTED_VALUE"""),"DPMall")</f>
        <v>DPMall</v>
      </c>
      <c r="C284" s="1" t="str">
        <f>IFERROR(__xludf.DUMMYFUNCTION("""COMPUTED_VALUE"""),"pepsi 500ml")</f>
        <v>pepsi 500ml</v>
      </c>
      <c r="D284" s="1">
        <f>IFERROR(__xludf.DUMMYFUNCTION("""COMPUTED_VALUE"""),54.0)</f>
        <v>54</v>
      </c>
      <c r="E284" s="1">
        <f>IFERROR(__xludf.DUMMYFUNCTION("""COMPUTED_VALUE"""),54.0)</f>
        <v>54</v>
      </c>
      <c r="F284" s="1">
        <f>IFERROR(__xludf.DUMMYFUNCTION("""COMPUTED_VALUE"""),18.0)</f>
        <v>18</v>
      </c>
      <c r="G284" s="1">
        <f t="shared" si="1"/>
        <v>3</v>
      </c>
      <c r="H284" s="1">
        <f t="shared" si="2"/>
        <v>3</v>
      </c>
      <c r="I284" s="1">
        <f>IFERROR(__xludf.DUMMYFUNCTION("IF(B284="""","""",
  100*F284 / MAX(FILTER($F:$F, $A:$A=$A284, $B:$B=$B284))
)
"),2.0761245674740483)</f>
        <v>2.076124567</v>
      </c>
      <c r="J284" s="1">
        <f>IFERROR(__xludf.DUMMYFUNCTION("IF(B284="""","""",
  100*E284 / MAX(FILTER($E:$E, $A:$A=$A284, $B:$B=$B284))
)
"),4.522613065326633)</f>
        <v>4.522613065</v>
      </c>
      <c r="K284" s="1">
        <f t="shared" si="3"/>
        <v>3.177044392</v>
      </c>
    </row>
    <row r="285">
      <c r="A285" s="3">
        <f>IFERROR(__xludf.DUMMYFUNCTION("""COMPUTED_VALUE"""),45839.0)</f>
        <v>45839</v>
      </c>
      <c r="B285" s="1" t="str">
        <f>IFERROR(__xludf.DUMMYFUNCTION("""COMPUTED_VALUE"""),"DPMall")</f>
        <v>DPMall</v>
      </c>
      <c r="C285" s="1" t="str">
        <f>IFERROR(__xludf.DUMMYFUNCTION("""COMPUTED_VALUE"""),"schweppers")</f>
        <v>schweppers</v>
      </c>
      <c r="D285" s="1">
        <f>IFERROR(__xludf.DUMMYFUNCTION("""COMPUTED_VALUE"""),84.0)</f>
        <v>84</v>
      </c>
      <c r="E285" s="1">
        <f>IFERROR(__xludf.DUMMYFUNCTION("""COMPUTED_VALUE"""),84.0)</f>
        <v>84</v>
      </c>
      <c r="F285" s="1">
        <f>IFERROR(__xludf.DUMMYFUNCTION("""COMPUTED_VALUE"""),41.0)</f>
        <v>41</v>
      </c>
      <c r="G285" s="1">
        <f t="shared" si="1"/>
        <v>2.048780488</v>
      </c>
      <c r="H285" s="1">
        <f t="shared" si="2"/>
        <v>2.048780488</v>
      </c>
      <c r="I285" s="1">
        <f>IFERROR(__xludf.DUMMYFUNCTION("IF(B285="""","""",
  100*F285 / MAX(FILTER($F:$F, $A:$A=$A285, $B:$B=$B285))
)
"),4.728950403690888)</f>
        <v>4.728950404</v>
      </c>
      <c r="J285" s="1">
        <f>IFERROR(__xludf.DUMMYFUNCTION("IF(B285="""","""",
  100*E285 / MAX(FILTER($E:$E, $A:$A=$A285, $B:$B=$B285))
)
"),7.035175879396985)</f>
        <v>7.035175879</v>
      </c>
      <c r="K285" s="1">
        <f t="shared" si="3"/>
        <v>5.766751868</v>
      </c>
    </row>
    <row r="286">
      <c r="A286" s="3">
        <f>IFERROR(__xludf.DUMMYFUNCTION("""COMPUTED_VALUE"""),45839.0)</f>
        <v>45839</v>
      </c>
      <c r="B286" s="1" t="str">
        <f>IFERROR(__xludf.DUMMYFUNCTION("""COMPUTED_VALUE"""),"DPMall")</f>
        <v>DPMall</v>
      </c>
      <c r="C286" s="1" t="str">
        <f>IFERROR(__xludf.DUMMYFUNCTION("""COMPUTED_VALUE"""),"skittles drink")</f>
        <v>skittles drink</v>
      </c>
      <c r="D286" s="1">
        <f>IFERROR(__xludf.DUMMYFUNCTION("""COMPUTED_VALUE"""),62.0)</f>
        <v>62</v>
      </c>
      <c r="E286" s="1">
        <f>IFERROR(__xludf.DUMMYFUNCTION("""COMPUTED_VALUE"""),62.0)</f>
        <v>62</v>
      </c>
      <c r="F286" s="1">
        <f>IFERROR(__xludf.DUMMYFUNCTION("""COMPUTED_VALUE"""),12.0)</f>
        <v>12</v>
      </c>
      <c r="G286" s="1">
        <f t="shared" si="1"/>
        <v>5.166666667</v>
      </c>
      <c r="H286" s="1">
        <f t="shared" si="2"/>
        <v>5.166666667</v>
      </c>
      <c r="I286" s="1">
        <f>IFERROR(__xludf.DUMMYFUNCTION("IF(B286="""","""",
  100*F286 / MAX(FILTER($F:$F, $A:$A=$A286, $B:$B=$B286))
)
"),1.3840830449826989)</f>
        <v>1.384083045</v>
      </c>
      <c r="J286" s="1">
        <f>IFERROR(__xludf.DUMMYFUNCTION("IF(B286="""","""",
  100*E286 / MAX(FILTER($E:$E, $A:$A=$A286, $B:$B=$B286))
)
"),5.192629815745394)</f>
        <v>5.192629816</v>
      </c>
      <c r="K286" s="1">
        <f t="shared" si="3"/>
        <v>3.097929092</v>
      </c>
    </row>
    <row r="287">
      <c r="A287" s="3">
        <f>IFERROR(__xludf.DUMMYFUNCTION("""COMPUTED_VALUE"""),45839.0)</f>
        <v>45839</v>
      </c>
      <c r="B287" s="1" t="str">
        <f>IFERROR(__xludf.DUMMYFUNCTION("""COMPUTED_VALUE"""),"DPMall")</f>
        <v>DPMall</v>
      </c>
      <c r="C287" s="1" t="str">
        <f>IFERROR(__xludf.DUMMYFUNCTION("""COMPUTED_VALUE"""),"snickers")</f>
        <v>snickers</v>
      </c>
      <c r="D287" s="1">
        <f>IFERROR(__xludf.DUMMYFUNCTION("""COMPUTED_VALUE"""),83.0)</f>
        <v>83</v>
      </c>
      <c r="E287" s="1">
        <f>IFERROR(__xludf.DUMMYFUNCTION("""COMPUTED_VALUE"""),83.0)</f>
        <v>83</v>
      </c>
      <c r="F287" s="1">
        <f>IFERROR(__xludf.DUMMYFUNCTION("""COMPUTED_VALUE"""),19.0)</f>
        <v>19</v>
      </c>
      <c r="G287" s="1">
        <f t="shared" si="1"/>
        <v>4.368421053</v>
      </c>
      <c r="H287" s="1">
        <f t="shared" si="2"/>
        <v>4.368421053</v>
      </c>
      <c r="I287" s="1">
        <f>IFERROR(__xludf.DUMMYFUNCTION("IF(B287="""","""",
  100*F287 / MAX(FILTER($F:$F, $A:$A=$A287, $B:$B=$B287))
)
"),2.1914648212226067)</f>
        <v>2.191464821</v>
      </c>
      <c r="J287" s="1">
        <f>IFERROR(__xludf.DUMMYFUNCTION("IF(B287="""","""",
  100*E287 / MAX(FILTER($E:$E, $A:$A=$A287, $B:$B=$B287))
)
"),6.95142378559464)</f>
        <v>6.951423786</v>
      </c>
      <c r="K287" s="1">
        <f t="shared" si="3"/>
        <v>4.333446355</v>
      </c>
    </row>
    <row r="288">
      <c r="A288" s="3">
        <f>IFERROR(__xludf.DUMMYFUNCTION("""COMPUTED_VALUE"""),45839.0)</f>
        <v>45839</v>
      </c>
      <c r="B288" s="1" t="str">
        <f>IFERROR(__xludf.DUMMYFUNCTION("""COMPUTED_VALUE"""),"DPMall")</f>
        <v>DPMall</v>
      </c>
      <c r="C288" s="1" t="str">
        <f>IFERROR(__xludf.DUMMYFUNCTION("""COMPUTED_VALUE"""),"sunTop")</f>
        <v>sunTop</v>
      </c>
      <c r="D288" s="1">
        <f>IFERROR(__xludf.DUMMYFUNCTION("""COMPUTED_VALUE"""),326.0)</f>
        <v>326</v>
      </c>
      <c r="E288" s="1">
        <f>IFERROR(__xludf.DUMMYFUNCTION("""COMPUTED_VALUE"""),326.0)</f>
        <v>326</v>
      </c>
      <c r="F288" s="1">
        <f>IFERROR(__xludf.DUMMYFUNCTION("""COMPUTED_VALUE"""),225.0)</f>
        <v>225</v>
      </c>
      <c r="G288" s="1">
        <f t="shared" si="1"/>
        <v>1.448888889</v>
      </c>
      <c r="H288" s="1">
        <f t="shared" si="2"/>
        <v>1.448888889</v>
      </c>
      <c r="I288" s="1">
        <f>IFERROR(__xludf.DUMMYFUNCTION("IF(B288="""","""",
  100*F288 / MAX(FILTER($F:$F, $A:$A=$A288, $B:$B=$B288))
)
"),25.951557093425606)</f>
        <v>25.95155709</v>
      </c>
      <c r="J288" s="1">
        <f>IFERROR(__xludf.DUMMYFUNCTION("IF(B288="""","""",
  100*E288 / MAX(FILTER($E:$E, $A:$A=$A288, $B:$B=$B288))
)
"),27.30318257956449)</f>
        <v>27.30318258</v>
      </c>
      <c r="K288" s="1">
        <f t="shared" si="3"/>
        <v>26.55978856</v>
      </c>
    </row>
    <row r="289">
      <c r="A289" s="3">
        <f>IFERROR(__xludf.DUMMYFUNCTION("""COMPUTED_VALUE"""),45839.0)</f>
        <v>45839</v>
      </c>
      <c r="B289" s="1" t="str">
        <f>IFERROR(__xludf.DUMMYFUNCTION("""COMPUTED_VALUE"""),"DPMall")</f>
        <v>DPMall</v>
      </c>
      <c r="C289" s="1" t="str">
        <f>IFERROR(__xludf.DUMMYFUNCTION("""COMPUTED_VALUE"""),"vitaGo")</f>
        <v>vitaGo</v>
      </c>
      <c r="D289" s="1">
        <f>IFERROR(__xludf.DUMMYFUNCTION("""COMPUTED_VALUE"""),102.0)</f>
        <v>102</v>
      </c>
      <c r="E289" s="1">
        <f>IFERROR(__xludf.DUMMYFUNCTION("""COMPUTED_VALUE"""),102.0)</f>
        <v>102</v>
      </c>
      <c r="F289" s="1">
        <f>IFERROR(__xludf.DUMMYFUNCTION("""COMPUTED_VALUE"""),34.0)</f>
        <v>34</v>
      </c>
      <c r="G289" s="1">
        <f t="shared" si="1"/>
        <v>3</v>
      </c>
      <c r="H289" s="1">
        <f t="shared" si="2"/>
        <v>3</v>
      </c>
      <c r="I289" s="1">
        <f>IFERROR(__xludf.DUMMYFUNCTION("IF(B289="""","""",
  100*F289 / MAX(FILTER($F:$F, $A:$A=$A289, $B:$B=$B289))
)
"),3.9215686274509802)</f>
        <v>3.921568627</v>
      </c>
      <c r="J289" s="1">
        <f>IFERROR(__xludf.DUMMYFUNCTION("IF(B289="""","""",
  100*E289 / MAX(FILTER($E:$E, $A:$A=$A289, $B:$B=$B289))
)
"),8.542713567839195)</f>
        <v>8.542713568</v>
      </c>
      <c r="K289" s="1">
        <f t="shared" si="3"/>
        <v>6.001083851</v>
      </c>
    </row>
    <row r="290">
      <c r="A290" s="3">
        <f>IFERROR(__xludf.DUMMYFUNCTION("""COMPUTED_VALUE"""),45839.0)</f>
        <v>45839</v>
      </c>
      <c r="B290" s="1" t="str">
        <f>IFERROR(__xludf.DUMMYFUNCTION("""COMPUTED_VALUE"""),"DPMall")</f>
        <v>DPMall</v>
      </c>
      <c r="C290" s="1" t="str">
        <f>IFERROR(__xludf.DUMMYFUNCTION("""COMPUTED_VALUE"""),"xo energy")</f>
        <v>xo energy</v>
      </c>
      <c r="D290" s="1">
        <f>IFERROR(__xludf.DUMMYFUNCTION("""COMPUTED_VALUE"""),215.0)</f>
        <v>215</v>
      </c>
      <c r="E290" s="1">
        <f>IFERROR(__xludf.DUMMYFUNCTION("""COMPUTED_VALUE"""),215.0)</f>
        <v>215</v>
      </c>
      <c r="F290" s="1">
        <f>IFERROR(__xludf.DUMMYFUNCTION("""COMPUTED_VALUE"""),43.0)</f>
        <v>43</v>
      </c>
      <c r="G290" s="1">
        <f t="shared" si="1"/>
        <v>5</v>
      </c>
      <c r="H290" s="1">
        <f t="shared" si="2"/>
        <v>5</v>
      </c>
      <c r="I290" s="1">
        <f>IFERROR(__xludf.DUMMYFUNCTION("IF(B290="""","""",
  100*F290 / MAX(FILTER($F:$F, $A:$A=$A290, $B:$B=$B290))
)
"),4.959630911188005)</f>
        <v>4.959630911</v>
      </c>
      <c r="J290" s="1">
        <f>IFERROR(__xludf.DUMMYFUNCTION("IF(B290="""","""",
  100*E290 / MAX(FILTER($E:$E, $A:$A=$A290, $B:$B=$B290))
)
"),18.00670016750419)</f>
        <v>18.00670017</v>
      </c>
      <c r="K290" s="1">
        <f t="shared" si="3"/>
        <v>10.83081208</v>
      </c>
    </row>
    <row r="291">
      <c r="A291" s="3">
        <f>IFERROR(__xludf.DUMMYFUNCTION("""COMPUTED_VALUE"""),45839.0)</f>
        <v>45839</v>
      </c>
      <c r="B291" s="1" t="str">
        <f>IFERROR(__xludf.DUMMYFUNCTION("""COMPUTED_VALUE"""),"HTMall")</f>
        <v>HTMall</v>
      </c>
      <c r="C291" s="1" t="str">
        <f>IFERROR(__xludf.DUMMYFUNCTION("""COMPUTED_VALUE"""),"Bounty")</f>
        <v>Bounty</v>
      </c>
      <c r="D291" s="1">
        <f>IFERROR(__xludf.DUMMYFUNCTION("""COMPUTED_VALUE"""),36.0)</f>
        <v>36</v>
      </c>
      <c r="E291" s="1">
        <f>IFERROR(__xludf.DUMMYFUNCTION("""COMPUTED_VALUE"""),2.25)</f>
        <v>2.25</v>
      </c>
      <c r="F291" s="1">
        <f>IFERROR(__xludf.DUMMYFUNCTION("""COMPUTED_VALUE"""),9.0)</f>
        <v>9</v>
      </c>
      <c r="G291" s="1">
        <f t="shared" si="1"/>
        <v>4</v>
      </c>
      <c r="H291" s="1">
        <f t="shared" si="2"/>
        <v>0.25</v>
      </c>
      <c r="I291" s="1">
        <f>IFERROR(__xludf.DUMMYFUNCTION("IF(B291="""","""",
  100*F291 / MAX(FILTER($F:$F, $A:$A=$A291, $B:$B=$B291))
)
"),0.6756756756756757)</f>
        <v>0.6756756757</v>
      </c>
      <c r="J291" s="1">
        <f>IFERROR(__xludf.DUMMYFUNCTION("IF(B291="""","""",
  100*E291 / MAX(FILTER($E:$E, $A:$A=$A291, $B:$B=$B291))
)
"),0.24131274131274133)</f>
        <v>0.2413127413</v>
      </c>
      <c r="K291" s="1">
        <f t="shared" si="3"/>
        <v>0.4802123552</v>
      </c>
    </row>
    <row r="292">
      <c r="A292" s="3">
        <f>IFERROR(__xludf.DUMMYFUNCTION("""COMPUTED_VALUE"""),45839.0)</f>
        <v>45839</v>
      </c>
      <c r="B292" s="1" t="str">
        <f>IFERROR(__xludf.DUMMYFUNCTION("""COMPUTED_VALUE"""),"HTMall")</f>
        <v>HTMall</v>
      </c>
      <c r="C292" s="1" t="str">
        <f>IFERROR(__xludf.DUMMYFUNCTION("""COMPUTED_VALUE"""),"Doritos Dinamita")</f>
        <v>Doritos Dinamita</v>
      </c>
      <c r="D292" s="1">
        <f>IFERROR(__xludf.DUMMYFUNCTION("""COMPUTED_VALUE"""),528.0)</f>
        <v>528</v>
      </c>
      <c r="E292" s="1">
        <f>IFERROR(__xludf.DUMMYFUNCTION("""COMPUTED_VALUE"""),220.0)</f>
        <v>220</v>
      </c>
      <c r="F292" s="1">
        <f>IFERROR(__xludf.DUMMYFUNCTION("""COMPUTED_VALUE"""),44.0)</f>
        <v>44</v>
      </c>
      <c r="G292" s="1">
        <f t="shared" si="1"/>
        <v>12</v>
      </c>
      <c r="H292" s="1">
        <f t="shared" si="2"/>
        <v>5</v>
      </c>
      <c r="I292" s="1">
        <f>IFERROR(__xludf.DUMMYFUNCTION("IF(B292="""","""",
  100*F292 / MAX(FILTER($F:$F, $A:$A=$A292, $B:$B=$B292))
)
"),3.3033033033033035)</f>
        <v>3.303303303</v>
      </c>
      <c r="J292" s="1">
        <f>IFERROR(__xludf.DUMMYFUNCTION("IF(B292="""","""",
  100*E292 / MAX(FILTER($E:$E, $A:$A=$A292, $B:$B=$B292))
)
"),23.595023595023594)</f>
        <v>23.5950236</v>
      </c>
      <c r="K292" s="1">
        <f t="shared" si="3"/>
        <v>12.43457743</v>
      </c>
    </row>
    <row r="293">
      <c r="A293" s="3">
        <f>IFERROR(__xludf.DUMMYFUNCTION("""COMPUTED_VALUE"""),45839.0)</f>
        <v>45839</v>
      </c>
      <c r="B293" s="1" t="str">
        <f>IFERROR(__xludf.DUMMYFUNCTION("""COMPUTED_VALUE"""),"HTMall")</f>
        <v>HTMall</v>
      </c>
      <c r="C293" s="1" t="str">
        <f>IFERROR(__xludf.DUMMYFUNCTION("""COMPUTED_VALUE"""),"Doritos cool ranc")</f>
        <v>Doritos cool ranc</v>
      </c>
      <c r="D293" s="1">
        <f>IFERROR(__xludf.DUMMYFUNCTION("""COMPUTED_VALUE"""),1040.0)</f>
        <v>1040</v>
      </c>
      <c r="E293" s="1">
        <f>IFERROR(__xludf.DUMMYFUNCTION("""COMPUTED_VALUE"""),457.6)</f>
        <v>457.6</v>
      </c>
      <c r="F293" s="1">
        <f>IFERROR(__xludf.DUMMYFUNCTION("""COMPUTED_VALUE"""),208.0)</f>
        <v>208</v>
      </c>
      <c r="G293" s="1">
        <f t="shared" si="1"/>
        <v>5</v>
      </c>
      <c r="H293" s="1">
        <f t="shared" si="2"/>
        <v>2.2</v>
      </c>
      <c r="I293" s="1">
        <f>IFERROR(__xludf.DUMMYFUNCTION("IF(B293="""","""",
  100*F293 / MAX(FILTER($F:$F, $A:$A=$A293, $B:$B=$B293))
)
"),15.615615615615615)</f>
        <v>15.61561562</v>
      </c>
      <c r="J293" s="1">
        <f>IFERROR(__xludf.DUMMYFUNCTION("IF(B293="""","""",
  100*E293 / MAX(FILTER($E:$E, $A:$A=$A293, $B:$B=$B293))
)
"),49.07764907764908)</f>
        <v>49.07764908</v>
      </c>
      <c r="K293" s="1">
        <f t="shared" si="3"/>
        <v>30.67353067</v>
      </c>
    </row>
    <row r="294">
      <c r="A294" s="3">
        <f>IFERROR(__xludf.DUMMYFUNCTION("""COMPUTED_VALUE"""),45839.0)</f>
        <v>45839</v>
      </c>
      <c r="B294" s="1" t="str">
        <f>IFERROR(__xludf.DUMMYFUNCTION("""COMPUTED_VALUE"""),"HTMall")</f>
        <v>HTMall</v>
      </c>
      <c r="C294" s="1" t="str">
        <f>IFERROR(__xludf.DUMMYFUNCTION("""COMPUTED_VALUE"""),"Freez")</f>
        <v>Freez</v>
      </c>
      <c r="D294" s="1">
        <f>IFERROR(__xludf.DUMMYFUNCTION("""COMPUTED_VALUE"""),143.0)</f>
        <v>143</v>
      </c>
      <c r="E294" s="1">
        <f>IFERROR(__xludf.DUMMYFUNCTION("""COMPUTED_VALUE"""),20.24)</f>
        <v>20.24</v>
      </c>
      <c r="F294" s="1">
        <f>IFERROR(__xludf.DUMMYFUNCTION("""COMPUTED_VALUE"""),36.0)</f>
        <v>36</v>
      </c>
      <c r="G294" s="1">
        <f t="shared" si="1"/>
        <v>3.972222222</v>
      </c>
      <c r="H294" s="1">
        <f t="shared" si="2"/>
        <v>0.5622222222</v>
      </c>
      <c r="I294" s="1">
        <f>IFERROR(__xludf.DUMMYFUNCTION("IF(B294="""","""",
  100*F294 / MAX(FILTER($F:$F, $A:$A=$A294, $B:$B=$B294))
)
"),2.7027027027027026)</f>
        <v>2.702702703</v>
      </c>
      <c r="J294" s="1">
        <f>IFERROR(__xludf.DUMMYFUNCTION("IF(B294="""","""",
  100*E294 / MAX(FILTER($E:$E, $A:$A=$A294, $B:$B=$B294))
)
"),2.1707421707421704)</f>
        <v>2.170742171</v>
      </c>
      <c r="K294" s="1">
        <f t="shared" si="3"/>
        <v>2.463320463</v>
      </c>
    </row>
    <row r="295">
      <c r="A295" s="3">
        <f>IFERROR(__xludf.DUMMYFUNCTION("""COMPUTED_VALUE"""),45839.0)</f>
        <v>45839</v>
      </c>
      <c r="B295" s="1" t="str">
        <f>IFERROR(__xludf.DUMMYFUNCTION("""COMPUTED_VALUE"""),"HTMall")</f>
        <v>HTMall</v>
      </c>
      <c r="C295" s="1" t="str">
        <f>IFERROR(__xludf.DUMMYFUNCTION("""COMPUTED_VALUE"""),"Gardena")</f>
        <v>Gardena</v>
      </c>
      <c r="D295" s="1">
        <f>IFERROR(__xludf.DUMMYFUNCTION("""COMPUTED_VALUE"""),16.0)</f>
        <v>16</v>
      </c>
      <c r="E295" s="1">
        <f>IFERROR(__xludf.DUMMYFUNCTION("""COMPUTED_VALUE"""),2.88)</f>
        <v>2.88</v>
      </c>
      <c r="F295" s="1">
        <f>IFERROR(__xludf.DUMMYFUNCTION("""COMPUTED_VALUE"""),4.0)</f>
        <v>4</v>
      </c>
      <c r="G295" s="1">
        <f t="shared" si="1"/>
        <v>4</v>
      </c>
      <c r="H295" s="1">
        <f t="shared" si="2"/>
        <v>0.72</v>
      </c>
      <c r="I295" s="1">
        <f>IFERROR(__xludf.DUMMYFUNCTION("IF(B295="""","""",
  100*F295 / MAX(FILTER($F:$F, $A:$A=$A295, $B:$B=$B295))
)
"),0.3003003003003003)</f>
        <v>0.3003003003</v>
      </c>
      <c r="J295" s="1">
        <f>IFERROR(__xludf.DUMMYFUNCTION("IF(B295="""","""",
  100*E295 / MAX(FILTER($E:$E, $A:$A=$A295, $B:$B=$B295))
)
"),0.3088803088803089)</f>
        <v>0.3088803089</v>
      </c>
      <c r="K295" s="1">
        <f t="shared" si="3"/>
        <v>0.3041613042</v>
      </c>
    </row>
    <row r="296">
      <c r="A296" s="3">
        <f>IFERROR(__xludf.DUMMYFUNCTION("""COMPUTED_VALUE"""),45839.0)</f>
        <v>45839</v>
      </c>
      <c r="B296" s="1" t="str">
        <f>IFERROR(__xludf.DUMMYFUNCTION("""COMPUTED_VALUE"""),"HTMall")</f>
        <v>HTMall</v>
      </c>
      <c r="C296" s="1" t="str">
        <f>IFERROR(__xludf.DUMMYFUNCTION("""COMPUTED_VALUE"""),"Kinder Bueno")</f>
        <v>Kinder Bueno</v>
      </c>
      <c r="D296" s="1">
        <f>IFERROR(__xludf.DUMMYFUNCTION("""COMPUTED_VALUE"""),265.0)</f>
        <v>265</v>
      </c>
      <c r="E296" s="1">
        <f>IFERROR(__xludf.DUMMYFUNCTION("""COMPUTED_VALUE"""),-30.8)</f>
        <v>-30.8</v>
      </c>
      <c r="F296" s="1">
        <f>IFERROR(__xludf.DUMMYFUNCTION("""COMPUTED_VALUE"""),51.0)</f>
        <v>51</v>
      </c>
      <c r="G296" s="1">
        <f t="shared" si="1"/>
        <v>5.196078431</v>
      </c>
      <c r="H296" s="1">
        <f t="shared" si="2"/>
        <v>-0.6039215686</v>
      </c>
      <c r="I296" s="1">
        <f>IFERROR(__xludf.DUMMYFUNCTION("IF(B296="""","""",
  100*F296 / MAX(FILTER($F:$F, $A:$A=$A296, $B:$B=$B296))
)
"),3.828828828828829)</f>
        <v>3.828828829</v>
      </c>
      <c r="J296" s="1">
        <f>IFERROR(__xludf.DUMMYFUNCTION("IF(B296="""","""",
  100*E296 / MAX(FILTER($E:$E, $A:$A=$A296, $B:$B=$B296))
)
"),-3.3033033033033035)</f>
        <v>-3.303303303</v>
      </c>
      <c r="K296" s="1">
        <f t="shared" si="3"/>
        <v>0.6193693694</v>
      </c>
    </row>
    <row r="297">
      <c r="A297" s="3">
        <f>IFERROR(__xludf.DUMMYFUNCTION("""COMPUTED_VALUE"""),45839.0)</f>
        <v>45839</v>
      </c>
      <c r="B297" s="1" t="str">
        <f>IFERROR(__xludf.DUMMYFUNCTION("""COMPUTED_VALUE"""),"HTMall")</f>
        <v>HTMall</v>
      </c>
      <c r="C297" s="1" t="str">
        <f>IFERROR(__xludf.DUMMYFUNCTION("""COMPUTED_VALUE"""),"Laviva")</f>
        <v>Laviva</v>
      </c>
      <c r="D297" s="1">
        <f>IFERROR(__xludf.DUMMYFUNCTION("""COMPUTED_VALUE"""),129.0)</f>
        <v>129</v>
      </c>
      <c r="E297" s="1">
        <f>IFERROR(__xludf.DUMMYFUNCTION("""COMPUTED_VALUE"""),34.4)</f>
        <v>34.4</v>
      </c>
      <c r="F297" s="1">
        <f>IFERROR(__xludf.DUMMYFUNCTION("""COMPUTED_VALUE"""),43.0)</f>
        <v>43</v>
      </c>
      <c r="G297" s="1">
        <f t="shared" si="1"/>
        <v>3</v>
      </c>
      <c r="H297" s="1">
        <f t="shared" si="2"/>
        <v>0.8</v>
      </c>
      <c r="I297" s="1">
        <f>IFERROR(__xludf.DUMMYFUNCTION("IF(B297="""","""",
  100*F297 / MAX(FILTER($F:$F, $A:$A=$A297, $B:$B=$B297))
)
"),3.2282282282282284)</f>
        <v>3.228228228</v>
      </c>
      <c r="J297" s="1">
        <f>IFERROR(__xludf.DUMMYFUNCTION("IF(B297="""","""",
  100*E297 / MAX(FILTER($E:$E, $A:$A=$A297, $B:$B=$B297))
)
"),3.6894036894036897)</f>
        <v>3.689403689</v>
      </c>
      <c r="K297" s="1">
        <f t="shared" si="3"/>
        <v>3.435757186</v>
      </c>
    </row>
    <row r="298">
      <c r="A298" s="3">
        <f>IFERROR(__xludf.DUMMYFUNCTION("""COMPUTED_VALUE"""),45839.0)</f>
        <v>45839</v>
      </c>
      <c r="B298" s="1" t="str">
        <f>IFERROR(__xludf.DUMMYFUNCTION("""COMPUTED_VALUE"""),"HTMall")</f>
        <v>HTMall</v>
      </c>
      <c r="C298" s="1" t="str">
        <f>IFERROR(__xludf.DUMMYFUNCTION("""COMPUTED_VALUE"""),"Maltesers")</f>
        <v>Maltesers</v>
      </c>
      <c r="D298" s="1">
        <f>IFERROR(__xludf.DUMMYFUNCTION("""COMPUTED_VALUE"""),465.0)</f>
        <v>465</v>
      </c>
      <c r="E298" s="1">
        <f>IFERROR(__xludf.DUMMYFUNCTION("""COMPUTED_VALUE"""),-111.6)</f>
        <v>-111.6</v>
      </c>
      <c r="F298" s="1">
        <f>IFERROR(__xludf.DUMMYFUNCTION("""COMPUTED_VALUE"""),93.0)</f>
        <v>93</v>
      </c>
      <c r="G298" s="1">
        <f t="shared" si="1"/>
        <v>5</v>
      </c>
      <c r="H298" s="1">
        <f t="shared" si="2"/>
        <v>-1.2</v>
      </c>
      <c r="I298" s="1">
        <f>IFERROR(__xludf.DUMMYFUNCTION("IF(B298="""","""",
  100*F298 / MAX(FILTER($F:$F, $A:$A=$A298, $B:$B=$B298))
)
"),6.981981981981982)</f>
        <v>6.981981982</v>
      </c>
      <c r="J298" s="1">
        <f>IFERROR(__xludf.DUMMYFUNCTION("IF(B298="""","""",
  100*E298 / MAX(FILTER($E:$E, $A:$A=$A298, $B:$B=$B298))
)
"),-11.96911196911197)</f>
        <v>-11.96911197</v>
      </c>
      <c r="K298" s="1">
        <f t="shared" si="3"/>
        <v>-1.546010296</v>
      </c>
    </row>
    <row r="299">
      <c r="A299" s="3">
        <f>IFERROR(__xludf.DUMMYFUNCTION("""COMPUTED_VALUE"""),45839.0)</f>
        <v>45839</v>
      </c>
      <c r="B299" s="1" t="str">
        <f>IFERROR(__xludf.DUMMYFUNCTION("""COMPUTED_VALUE"""),"HTMall")</f>
        <v>HTMall</v>
      </c>
      <c r="C299" s="1" t="str">
        <f>IFERROR(__xludf.DUMMYFUNCTION("""COMPUTED_VALUE"""),"Ono cake")</f>
        <v>Ono cake</v>
      </c>
      <c r="D299" s="1">
        <f>IFERROR(__xludf.DUMMYFUNCTION("""COMPUTED_VALUE"""),77.0)</f>
        <v>77</v>
      </c>
      <c r="E299" s="1">
        <f>IFERROR(__xludf.DUMMYFUNCTION("""COMPUTED_VALUE"""),28.7)</f>
        <v>28.7</v>
      </c>
      <c r="F299" s="1">
        <f>IFERROR(__xludf.DUMMYFUNCTION("""COMPUTED_VALUE"""),69.0)</f>
        <v>69</v>
      </c>
      <c r="G299" s="1">
        <f t="shared" si="1"/>
        <v>1.115942029</v>
      </c>
      <c r="H299" s="1">
        <f t="shared" si="2"/>
        <v>0.415942029</v>
      </c>
      <c r="I299" s="1">
        <f>IFERROR(__xludf.DUMMYFUNCTION("IF(B299="""","""",
  100*F299 / MAX(FILTER($F:$F, $A:$A=$A299, $B:$B=$B299))
)
"),5.18018018018018)</f>
        <v>5.18018018</v>
      </c>
      <c r="J299" s="1">
        <f>IFERROR(__xludf.DUMMYFUNCTION("IF(B299="""","""",
  100*E299 / MAX(FILTER($E:$E, $A:$A=$A299, $B:$B=$B299))
)
"),3.0780780780780783)</f>
        <v>3.078078078</v>
      </c>
      <c r="K299" s="1">
        <f t="shared" si="3"/>
        <v>4.234234234</v>
      </c>
    </row>
    <row r="300">
      <c r="A300" s="3">
        <f>IFERROR(__xludf.DUMMYFUNCTION("""COMPUTED_VALUE"""),45839.0)</f>
        <v>45839</v>
      </c>
      <c r="B300" s="1" t="str">
        <f>IFERROR(__xludf.DUMMYFUNCTION("""COMPUTED_VALUE"""),"HTMall")</f>
        <v>HTMall</v>
      </c>
      <c r="C300" s="1" t="str">
        <f>IFERROR(__xludf.DUMMYFUNCTION("""COMPUTED_VALUE"""),"Pepsi")</f>
        <v>Pepsi</v>
      </c>
      <c r="D300" s="1">
        <f>IFERROR(__xludf.DUMMYFUNCTION("""COMPUTED_VALUE"""),75.0)</f>
        <v>75</v>
      </c>
      <c r="E300" s="1">
        <f>IFERROR(__xludf.DUMMYFUNCTION("""COMPUTED_VALUE"""),18.75)</f>
        <v>18.75</v>
      </c>
      <c r="F300" s="1">
        <f>IFERROR(__xludf.DUMMYFUNCTION("""COMPUTED_VALUE"""),25.0)</f>
        <v>25</v>
      </c>
      <c r="G300" s="1">
        <f t="shared" si="1"/>
        <v>3</v>
      </c>
      <c r="H300" s="1">
        <f t="shared" si="2"/>
        <v>0.75</v>
      </c>
      <c r="I300" s="1">
        <f>IFERROR(__xludf.DUMMYFUNCTION("IF(B300="""","""",
  100*F300 / MAX(FILTER($F:$F, $A:$A=$A300, $B:$B=$B300))
)
"),1.8768768768768769)</f>
        <v>1.876876877</v>
      </c>
      <c r="J300" s="1">
        <f>IFERROR(__xludf.DUMMYFUNCTION("IF(B300="""","""",
  100*E300 / MAX(FILTER($E:$E, $A:$A=$A300, $B:$B=$B300))
)
"),2.010939510939511)</f>
        <v>2.010939511</v>
      </c>
      <c r="K300" s="1">
        <f t="shared" si="3"/>
        <v>1.937205062</v>
      </c>
    </row>
    <row r="301">
      <c r="A301" s="3">
        <f>IFERROR(__xludf.DUMMYFUNCTION("""COMPUTED_VALUE"""),45839.0)</f>
        <v>45839</v>
      </c>
      <c r="B301" s="1" t="str">
        <f>IFERROR(__xludf.DUMMYFUNCTION("""COMPUTED_VALUE"""),"HTMall")</f>
        <v>HTMall</v>
      </c>
      <c r="C301" s="1" t="str">
        <f>IFERROR(__xludf.DUMMYFUNCTION("""COMPUTED_VALUE"""),"Pepsi 500ml")</f>
        <v>Pepsi 500ml</v>
      </c>
      <c r="D301" s="1">
        <f>IFERROR(__xludf.DUMMYFUNCTION("""COMPUTED_VALUE"""),124.0)</f>
        <v>124</v>
      </c>
      <c r="E301" s="1">
        <f>IFERROR(__xludf.DUMMYFUNCTION("""COMPUTED_VALUE"""),47.14)</f>
        <v>47.14</v>
      </c>
      <c r="F301" s="1">
        <f>IFERROR(__xludf.DUMMYFUNCTION("""COMPUTED_VALUE"""),42.0)</f>
        <v>42</v>
      </c>
      <c r="G301" s="1">
        <f t="shared" si="1"/>
        <v>2.952380952</v>
      </c>
      <c r="H301" s="1">
        <f t="shared" si="2"/>
        <v>1.122380952</v>
      </c>
      <c r="I301" s="1">
        <f>IFERROR(__xludf.DUMMYFUNCTION("IF(B301="""","""",
  100*F301 / MAX(FILTER($F:$F, $A:$A=$A301, $B:$B=$B301))
)
"),3.1531531531531534)</f>
        <v>3.153153153</v>
      </c>
      <c r="J301" s="1">
        <f>IFERROR(__xludf.DUMMYFUNCTION("IF(B301="""","""",
  100*E301 / MAX(FILTER($E:$E, $A:$A=$A301, $B:$B=$B301))
)
"),5.055770055770056)</f>
        <v>5.055770056</v>
      </c>
      <c r="K301" s="1">
        <f t="shared" si="3"/>
        <v>4.009330759</v>
      </c>
    </row>
    <row r="302">
      <c r="A302" s="3">
        <f>IFERROR(__xludf.DUMMYFUNCTION("""COMPUTED_VALUE"""),45839.0)</f>
        <v>45839</v>
      </c>
      <c r="B302" s="1" t="str">
        <f>IFERROR(__xludf.DUMMYFUNCTION("""COMPUTED_VALUE"""),"HTMall")</f>
        <v>HTMall</v>
      </c>
      <c r="C302" s="1" t="str">
        <f>IFERROR(__xludf.DUMMYFUNCTION("""COMPUTED_VALUE"""),"Schweppes")</f>
        <v>Schweppes</v>
      </c>
      <c r="D302" s="1">
        <f>IFERROR(__xludf.DUMMYFUNCTION("""COMPUTED_VALUE"""),111.0)</f>
        <v>111</v>
      </c>
      <c r="E302" s="1">
        <f>IFERROR(__xludf.DUMMYFUNCTION("""COMPUTED_VALUE"""),41.0)</f>
        <v>41</v>
      </c>
      <c r="F302" s="1">
        <f>IFERROR(__xludf.DUMMYFUNCTION("""COMPUTED_VALUE"""),35.0)</f>
        <v>35</v>
      </c>
      <c r="G302" s="1">
        <f t="shared" si="1"/>
        <v>3.171428571</v>
      </c>
      <c r="H302" s="1">
        <f t="shared" si="2"/>
        <v>1.171428571</v>
      </c>
      <c r="I302" s="1">
        <f>IFERROR(__xludf.DUMMYFUNCTION("IF(B302="""","""",
  100*F302 / MAX(FILTER($F:$F, $A:$A=$A302, $B:$B=$B302))
)
"),2.6276276276276276)</f>
        <v>2.627627628</v>
      </c>
      <c r="J302" s="1">
        <f>IFERROR(__xludf.DUMMYFUNCTION("IF(B302="""","""",
  100*E302 / MAX(FILTER($E:$E, $A:$A=$A302, $B:$B=$B302))
)
"),4.397254397254398)</f>
        <v>4.397254397</v>
      </c>
      <c r="K302" s="1">
        <f t="shared" si="3"/>
        <v>3.423959674</v>
      </c>
    </row>
    <row r="303">
      <c r="A303" s="3">
        <f>IFERROR(__xludf.DUMMYFUNCTION("""COMPUTED_VALUE"""),45839.0)</f>
        <v>45839</v>
      </c>
      <c r="B303" s="1" t="str">
        <f>IFERROR(__xludf.DUMMYFUNCTION("""COMPUTED_VALUE"""),"HTMall")</f>
        <v>HTMall</v>
      </c>
      <c r="C303" s="1" t="str">
        <f>IFERROR(__xludf.DUMMYFUNCTION("""COMPUTED_VALUE"""),"Sirma")</f>
        <v>Sirma</v>
      </c>
      <c r="D303" s="1">
        <f>IFERROR(__xludf.DUMMYFUNCTION("""COMPUTED_VALUE"""),12.0)</f>
        <v>12</v>
      </c>
      <c r="E303" s="1">
        <f>IFERROR(__xludf.DUMMYFUNCTION("""COMPUTED_VALUE"""),3.0)</f>
        <v>3</v>
      </c>
      <c r="F303" s="1">
        <f>IFERROR(__xludf.DUMMYFUNCTION("""COMPUTED_VALUE"""),3.0)</f>
        <v>3</v>
      </c>
      <c r="G303" s="1">
        <f t="shared" si="1"/>
        <v>4</v>
      </c>
      <c r="H303" s="1">
        <f t="shared" si="2"/>
        <v>1</v>
      </c>
      <c r="I303" s="1">
        <f>IFERROR(__xludf.DUMMYFUNCTION("IF(B303="""","""",
  100*F303 / MAX(FILTER($F:$F, $A:$A=$A303, $B:$B=$B303))
)
"),0.22522522522522523)</f>
        <v>0.2252252252</v>
      </c>
      <c r="J303" s="1">
        <f>IFERROR(__xludf.DUMMYFUNCTION("IF(B303="""","""",
  100*E303 / MAX(FILTER($E:$E, $A:$A=$A303, $B:$B=$B303))
)
"),0.32175032175032175)</f>
        <v>0.3217503218</v>
      </c>
      <c r="K303" s="1">
        <f t="shared" si="3"/>
        <v>0.2686615187</v>
      </c>
    </row>
    <row r="304">
      <c r="A304" s="3">
        <f>IFERROR(__xludf.DUMMYFUNCTION("""COMPUTED_VALUE"""),45839.0)</f>
        <v>45839</v>
      </c>
      <c r="B304" s="1" t="str">
        <f>IFERROR(__xludf.DUMMYFUNCTION("""COMPUTED_VALUE"""),"HTMall")</f>
        <v>HTMall</v>
      </c>
      <c r="C304" s="1" t="str">
        <f>IFERROR(__xludf.DUMMYFUNCTION("""COMPUTED_VALUE"""),"Skittles")</f>
        <v>Skittles</v>
      </c>
      <c r="D304" s="1">
        <f>IFERROR(__xludf.DUMMYFUNCTION("""COMPUTED_VALUE"""),14.0)</f>
        <v>14</v>
      </c>
      <c r="E304" s="1">
        <f>IFERROR(__xludf.DUMMYFUNCTION("""COMPUTED_VALUE"""),2.34)</f>
        <v>2.34</v>
      </c>
      <c r="F304" s="1">
        <f>IFERROR(__xludf.DUMMYFUNCTION("""COMPUTED_VALUE"""),2.0)</f>
        <v>2</v>
      </c>
      <c r="G304" s="1">
        <f t="shared" si="1"/>
        <v>7</v>
      </c>
      <c r="H304" s="1">
        <f t="shared" si="2"/>
        <v>1.17</v>
      </c>
      <c r="I304" s="1">
        <f>IFERROR(__xludf.DUMMYFUNCTION("IF(B304="""","""",
  100*F304 / MAX(FILTER($F:$F, $A:$A=$A304, $B:$B=$B304))
)
"),0.15015015015015015)</f>
        <v>0.1501501502</v>
      </c>
      <c r="J304" s="1">
        <f>IFERROR(__xludf.DUMMYFUNCTION("IF(B304="""","""",
  100*E304 / MAX(FILTER($E:$E, $A:$A=$A304, $B:$B=$B304))
)
"),0.25096525096525096)</f>
        <v>0.250965251</v>
      </c>
      <c r="K304" s="1">
        <f t="shared" si="3"/>
        <v>0.1955169455</v>
      </c>
    </row>
    <row r="305">
      <c r="A305" s="3">
        <f>IFERROR(__xludf.DUMMYFUNCTION("""COMPUTED_VALUE"""),45839.0)</f>
        <v>45839</v>
      </c>
      <c r="B305" s="1" t="str">
        <f>IFERROR(__xludf.DUMMYFUNCTION("""COMPUTED_VALUE"""),"HTMall")</f>
        <v>HTMall</v>
      </c>
      <c r="C305" s="1" t="str">
        <f>IFERROR(__xludf.DUMMYFUNCTION("""COMPUTED_VALUE"""),"Skittles Drink")</f>
        <v>Skittles Drink</v>
      </c>
      <c r="D305" s="1">
        <f>IFERROR(__xludf.DUMMYFUNCTION("""COMPUTED_VALUE"""),131.0)</f>
        <v>131</v>
      </c>
      <c r="E305" s="1">
        <f>IFERROR(__xludf.DUMMYFUNCTION("""COMPUTED_VALUE"""),64.5)</f>
        <v>64.5</v>
      </c>
      <c r="F305" s="1">
        <f>IFERROR(__xludf.DUMMYFUNCTION("""COMPUTED_VALUE"""),14.0)</f>
        <v>14</v>
      </c>
      <c r="G305" s="1">
        <f t="shared" si="1"/>
        <v>9.357142857</v>
      </c>
      <c r="H305" s="1">
        <f t="shared" si="2"/>
        <v>4.607142857</v>
      </c>
      <c r="I305" s="1">
        <f>IFERROR(__xludf.DUMMYFUNCTION("IF(B305="""","""",
  100*F305 / MAX(FILTER($F:$F, $A:$A=$A305, $B:$B=$B305))
)
"),1.0510510510510511)</f>
        <v>1.051051051</v>
      </c>
      <c r="J305" s="1">
        <f>IFERROR(__xludf.DUMMYFUNCTION("IF(B305="""","""",
  100*E305 / MAX(FILTER($E:$E, $A:$A=$A305, $B:$B=$B305))
)
"),6.917631917631918)</f>
        <v>6.917631918</v>
      </c>
      <c r="K305" s="1">
        <f t="shared" si="3"/>
        <v>3.691012441</v>
      </c>
    </row>
    <row r="306">
      <c r="A306" s="3">
        <f>IFERROR(__xludf.DUMMYFUNCTION("""COMPUTED_VALUE"""),45839.0)</f>
        <v>45839</v>
      </c>
      <c r="B306" s="1" t="str">
        <f>IFERROR(__xludf.DUMMYFUNCTION("""COMPUTED_VALUE"""),"HTMall")</f>
        <v>HTMall</v>
      </c>
      <c r="C306" s="1" t="str">
        <f>IFERROR(__xludf.DUMMYFUNCTION("""COMPUTED_VALUE"""),"Skittles drink")</f>
        <v>Skittles drink</v>
      </c>
      <c r="D306" s="1">
        <f>IFERROR(__xludf.DUMMYFUNCTION("""COMPUTED_VALUE"""),104.0)</f>
        <v>104</v>
      </c>
      <c r="E306" s="1">
        <f>IFERROR(__xludf.DUMMYFUNCTION("""COMPUTED_VALUE"""),-19.5)</f>
        <v>-19.5</v>
      </c>
      <c r="F306" s="1">
        <f>IFERROR(__xludf.DUMMYFUNCTION("""COMPUTED_VALUE"""),26.0)</f>
        <v>26</v>
      </c>
      <c r="G306" s="1">
        <f t="shared" si="1"/>
        <v>4</v>
      </c>
      <c r="H306" s="1">
        <f t="shared" si="2"/>
        <v>-0.75</v>
      </c>
      <c r="I306" s="1">
        <f>IFERROR(__xludf.DUMMYFUNCTION("IF(B306="""","""",
  100*F306 / MAX(FILTER($F:$F, $A:$A=$A306, $B:$B=$B306))
)
"),1.951951951951952)</f>
        <v>1.951951952</v>
      </c>
      <c r="J306" s="1">
        <f>IFERROR(__xludf.DUMMYFUNCTION("IF(B306="""","""",
  100*E306 / MAX(FILTER($E:$E, $A:$A=$A306, $B:$B=$B306))
)
"),-2.0913770913770913)</f>
        <v>-2.091377091</v>
      </c>
      <c r="K306" s="1">
        <f t="shared" si="3"/>
        <v>0.1324538825</v>
      </c>
    </row>
    <row r="307">
      <c r="A307" s="3">
        <f>IFERROR(__xludf.DUMMYFUNCTION("""COMPUTED_VALUE"""),45839.0)</f>
        <v>45839</v>
      </c>
      <c r="B307" s="1" t="str">
        <f>IFERROR(__xludf.DUMMYFUNCTION("""COMPUTED_VALUE"""),"HTMall")</f>
        <v>HTMall</v>
      </c>
      <c r="C307" s="1" t="str">
        <f>IFERROR(__xludf.DUMMYFUNCTION("""COMPUTED_VALUE"""),"Snickers")</f>
        <v>Snickers</v>
      </c>
      <c r="D307" s="1">
        <f>IFERROR(__xludf.DUMMYFUNCTION("""COMPUTED_VALUE"""),84.0)</f>
        <v>84</v>
      </c>
      <c r="E307" s="1">
        <f>IFERROR(__xludf.DUMMYFUNCTION("""COMPUTED_VALUE"""),-10.5)</f>
        <v>-10.5</v>
      </c>
      <c r="F307" s="1">
        <f>IFERROR(__xludf.DUMMYFUNCTION("""COMPUTED_VALUE"""),21.0)</f>
        <v>21</v>
      </c>
      <c r="G307" s="1">
        <f t="shared" si="1"/>
        <v>4</v>
      </c>
      <c r="H307" s="1">
        <f t="shared" si="2"/>
        <v>-0.5</v>
      </c>
      <c r="I307" s="1">
        <f>IFERROR(__xludf.DUMMYFUNCTION("IF(B307="""","""",
  100*F307 / MAX(FILTER($F:$F, $A:$A=$A307, $B:$B=$B307))
)
"),1.5765765765765767)</f>
        <v>1.576576577</v>
      </c>
      <c r="J307" s="1">
        <f>IFERROR(__xludf.DUMMYFUNCTION("IF(B307="""","""",
  100*E307 / MAX(FILTER($E:$E, $A:$A=$A307, $B:$B=$B307))
)
"),-1.1261261261261262)</f>
        <v>-1.126126126</v>
      </c>
      <c r="K307" s="1">
        <f t="shared" si="3"/>
        <v>0.3603603604</v>
      </c>
    </row>
    <row r="308">
      <c r="A308" s="3">
        <f>IFERROR(__xludf.DUMMYFUNCTION("""COMPUTED_VALUE"""),45839.0)</f>
        <v>45839</v>
      </c>
      <c r="B308" s="1" t="str">
        <f>IFERROR(__xludf.DUMMYFUNCTION("""COMPUTED_VALUE"""),"HTMall")</f>
        <v>HTMall</v>
      </c>
      <c r="C308" s="1" t="str">
        <f>IFERROR(__xludf.DUMMYFUNCTION("""COMPUTED_VALUE"""),"Takies")</f>
        <v>Takies</v>
      </c>
      <c r="D308" s="1">
        <f>IFERROR(__xludf.DUMMYFUNCTION("""COMPUTED_VALUE"""),190.0)</f>
        <v>190</v>
      </c>
      <c r="E308" s="1">
        <f>IFERROR(__xludf.DUMMYFUNCTION("""COMPUTED_VALUE"""),22.0)</f>
        <v>22</v>
      </c>
      <c r="F308" s="1">
        <f>IFERROR(__xludf.DUMMYFUNCTION("""COMPUTED_VALUE"""),14.0)</f>
        <v>14</v>
      </c>
      <c r="G308" s="1">
        <f t="shared" si="1"/>
        <v>13.57142857</v>
      </c>
      <c r="H308" s="1">
        <f t="shared" si="2"/>
        <v>1.571428571</v>
      </c>
      <c r="I308" s="1">
        <f>IFERROR(__xludf.DUMMYFUNCTION("IF(B308="""","""",
  100*F308 / MAX(FILTER($F:$F, $A:$A=$A308, $B:$B=$B308))
)
"),1.0510510510510511)</f>
        <v>1.051051051</v>
      </c>
      <c r="J308" s="1">
        <f>IFERROR(__xludf.DUMMYFUNCTION("IF(B308="""","""",
  100*E308 / MAX(FILTER($E:$E, $A:$A=$A308, $B:$B=$B308))
)
"),2.3595023595023594)</f>
        <v>2.35950236</v>
      </c>
      <c r="K308" s="1">
        <f t="shared" si="3"/>
        <v>1.63985414</v>
      </c>
    </row>
    <row r="309">
      <c r="A309" s="3">
        <f>IFERROR(__xludf.DUMMYFUNCTION("""COMPUTED_VALUE"""),45839.0)</f>
        <v>45839</v>
      </c>
      <c r="B309" s="1" t="str">
        <f>IFERROR(__xludf.DUMMYFUNCTION("""COMPUTED_VALUE"""),"HTMall")</f>
        <v>HTMall</v>
      </c>
      <c r="C309" s="1" t="str">
        <f>IFERROR(__xludf.DUMMYFUNCTION("""COMPUTED_VALUE"""),"Tiger *12")</f>
        <v>Tiger *12</v>
      </c>
      <c r="D309" s="1">
        <f>IFERROR(__xludf.DUMMYFUNCTION("""COMPUTED_VALUE"""),972.0)</f>
        <v>972</v>
      </c>
      <c r="E309" s="1">
        <f>IFERROR(__xludf.DUMMYFUNCTION("""COMPUTED_VALUE"""),377.56)</f>
        <v>377.56</v>
      </c>
      <c r="F309" s="1">
        <f>IFERROR(__xludf.DUMMYFUNCTION("""COMPUTED_VALUE"""),193.0)</f>
        <v>193</v>
      </c>
      <c r="G309" s="1">
        <f t="shared" si="1"/>
        <v>5.03626943</v>
      </c>
      <c r="H309" s="1">
        <f t="shared" si="2"/>
        <v>1.95626943</v>
      </c>
      <c r="I309" s="1">
        <f>IFERROR(__xludf.DUMMYFUNCTION("IF(B309="""","""",
  100*F309 / MAX(FILTER($F:$F, $A:$A=$A309, $B:$B=$B309))
)
"),14.48948948948949)</f>
        <v>14.48948949</v>
      </c>
      <c r="J309" s="1">
        <f>IFERROR(__xludf.DUMMYFUNCTION("IF(B309="""","""",
  100*E309 / MAX(FILTER($E:$E, $A:$A=$A309, $B:$B=$B309))
)
"),40.4933504933505)</f>
        <v>40.49335049</v>
      </c>
      <c r="K309" s="1">
        <f t="shared" si="3"/>
        <v>26.19122694</v>
      </c>
    </row>
    <row r="310">
      <c r="A310" s="3">
        <f>IFERROR(__xludf.DUMMYFUNCTION("""COMPUTED_VALUE"""),45839.0)</f>
        <v>45839</v>
      </c>
      <c r="B310" s="1" t="str">
        <f>IFERROR(__xludf.DUMMYFUNCTION("""COMPUTED_VALUE"""),"HTMall")</f>
        <v>HTMall</v>
      </c>
      <c r="C310" s="1" t="str">
        <f>IFERROR(__xludf.DUMMYFUNCTION("""COMPUTED_VALUE"""),"Twix")</f>
        <v>Twix</v>
      </c>
      <c r="D310" s="1">
        <f>IFERROR(__xludf.DUMMYFUNCTION("""COMPUTED_VALUE"""),35.0)</f>
        <v>35</v>
      </c>
      <c r="E310" s="1">
        <f>IFERROR(__xludf.DUMMYFUNCTION("""COMPUTED_VALUE"""),10.5)</f>
        <v>10.5</v>
      </c>
      <c r="F310" s="1">
        <f>IFERROR(__xludf.DUMMYFUNCTION("""COMPUTED_VALUE"""),7.0)</f>
        <v>7</v>
      </c>
      <c r="G310" s="1">
        <f t="shared" si="1"/>
        <v>5</v>
      </c>
      <c r="H310" s="1">
        <f t="shared" si="2"/>
        <v>1.5</v>
      </c>
      <c r="I310" s="1">
        <f>IFERROR(__xludf.DUMMYFUNCTION("IF(B310="""","""",
  100*F310 / MAX(FILTER($F:$F, $A:$A=$A310, $B:$B=$B310))
)
"),0.5255255255255256)</f>
        <v>0.5255255255</v>
      </c>
      <c r="J310" s="1">
        <f>IFERROR(__xludf.DUMMYFUNCTION("IF(B310="""","""",
  100*E310 / MAX(FILTER($E:$E, $A:$A=$A310, $B:$B=$B310))
)
"),1.1261261261261262)</f>
        <v>1.126126126</v>
      </c>
      <c r="K310" s="1">
        <f t="shared" si="3"/>
        <v>0.7957957958</v>
      </c>
    </row>
    <row r="311">
      <c r="A311" s="3">
        <f>IFERROR(__xludf.DUMMYFUNCTION("""COMPUTED_VALUE"""),45839.0)</f>
        <v>45839</v>
      </c>
      <c r="B311" s="1" t="str">
        <f>IFERROR(__xludf.DUMMYFUNCTION("""COMPUTED_VALUE"""),"HTMall")</f>
        <v>HTMall</v>
      </c>
      <c r="C311" s="1" t="str">
        <f>IFERROR(__xludf.DUMMYFUNCTION("""COMPUTED_VALUE"""),"Water")</f>
        <v>Water</v>
      </c>
      <c r="D311" s="1">
        <f>IFERROR(__xludf.DUMMYFUNCTION("""COMPUTED_VALUE"""),1332.0)</f>
        <v>1332</v>
      </c>
      <c r="E311" s="1">
        <f>IFERROR(__xludf.DUMMYFUNCTION("""COMPUTED_VALUE"""),932.4)</f>
        <v>932.4</v>
      </c>
      <c r="F311" s="1">
        <f>IFERROR(__xludf.DUMMYFUNCTION("""COMPUTED_VALUE"""),1332.0)</f>
        <v>1332</v>
      </c>
      <c r="G311" s="1">
        <f t="shared" si="1"/>
        <v>1</v>
      </c>
      <c r="H311" s="1">
        <f t="shared" si="2"/>
        <v>0.7</v>
      </c>
      <c r="I311" s="1">
        <f>IFERROR(__xludf.DUMMYFUNCTION("IF(B311="""","""",
  100*F311 / MAX(FILTER($F:$F, $A:$A=$A311, $B:$B=$B311))
)
"),100.0)</f>
        <v>100</v>
      </c>
      <c r="J311" s="1">
        <f>IFERROR(__xludf.DUMMYFUNCTION("IF(B311="""","""",
  100*E311 / MAX(FILTER($E:$E, $A:$A=$A311, $B:$B=$B311))
)
"),100.0)</f>
        <v>100</v>
      </c>
      <c r="K311" s="1">
        <f t="shared" si="3"/>
        <v>100</v>
      </c>
    </row>
    <row r="312">
      <c r="A312" s="3">
        <f>IFERROR(__xludf.DUMMYFUNCTION("""COMPUTED_VALUE"""),45839.0)</f>
        <v>45839</v>
      </c>
      <c r="B312" s="1" t="str">
        <f>IFERROR(__xludf.DUMMYFUNCTION("""COMPUTED_VALUE"""),"HTMall")</f>
        <v>HTMall</v>
      </c>
      <c r="C312" s="1" t="str">
        <f>IFERROR(__xludf.DUMMYFUNCTION("""COMPUTED_VALUE"""),"X!R")</f>
        <v>X!R</v>
      </c>
      <c r="D312" s="1">
        <f>IFERROR(__xludf.DUMMYFUNCTION("""COMPUTED_VALUE"""),515.0)</f>
        <v>515</v>
      </c>
      <c r="E312" s="1">
        <f>IFERROR(__xludf.DUMMYFUNCTION("""COMPUTED_VALUE"""),28.5)</f>
        <v>28.5</v>
      </c>
      <c r="F312" s="1">
        <f>IFERROR(__xludf.DUMMYFUNCTION("""COMPUTED_VALUE"""),139.0)</f>
        <v>139</v>
      </c>
      <c r="G312" s="1">
        <f t="shared" si="1"/>
        <v>3.705035971</v>
      </c>
      <c r="H312" s="1">
        <f t="shared" si="2"/>
        <v>0.2050359712</v>
      </c>
      <c r="I312" s="1">
        <f>IFERROR(__xludf.DUMMYFUNCTION("IF(B312="""","""",
  100*F312 / MAX(FILTER($F:$F, $A:$A=$A312, $B:$B=$B312))
)
"),10.435435435435435)</f>
        <v>10.43543544</v>
      </c>
      <c r="J312" s="1">
        <f>IFERROR(__xludf.DUMMYFUNCTION("IF(B312="""","""",
  100*E312 / MAX(FILTER($E:$E, $A:$A=$A312, $B:$B=$B312))
)
"),3.056628056628057)</f>
        <v>3.056628057</v>
      </c>
      <c r="K312" s="1">
        <f t="shared" si="3"/>
        <v>7.114972115</v>
      </c>
    </row>
    <row r="313">
      <c r="A313" s="3">
        <f>IFERROR(__xludf.DUMMYFUNCTION("""COMPUTED_VALUE"""),45839.0)</f>
        <v>45839</v>
      </c>
      <c r="B313" s="1" t="str">
        <f>IFERROR(__xludf.DUMMYFUNCTION("""COMPUTED_VALUE"""),"HTMall")</f>
        <v>HTMall</v>
      </c>
      <c r="C313" s="1" t="str">
        <f>IFERROR(__xludf.DUMMYFUNCTION("""COMPUTED_VALUE"""),"Xo Energy")</f>
        <v>Xo Energy</v>
      </c>
      <c r="D313" s="1">
        <f>IFERROR(__xludf.DUMMYFUNCTION("""COMPUTED_VALUE"""),92.0)</f>
        <v>92</v>
      </c>
      <c r="E313" s="1">
        <f>IFERROR(__xludf.DUMMYFUNCTION("""COMPUTED_VALUE"""),23.0)</f>
        <v>23</v>
      </c>
      <c r="F313" s="1">
        <f>IFERROR(__xludf.DUMMYFUNCTION("""COMPUTED_VALUE"""),20.0)</f>
        <v>20</v>
      </c>
      <c r="G313" s="1">
        <f t="shared" si="1"/>
        <v>4.6</v>
      </c>
      <c r="H313" s="1">
        <f t="shared" si="2"/>
        <v>1.15</v>
      </c>
      <c r="I313" s="1">
        <f>IFERROR(__xludf.DUMMYFUNCTION("IF(B313="""","""",
  100*F313 / MAX(FILTER($F:$F, $A:$A=$A313, $B:$B=$B313))
)
"),1.5015015015015014)</f>
        <v>1.501501502</v>
      </c>
      <c r="J313" s="1">
        <f>IFERROR(__xludf.DUMMYFUNCTION("IF(B313="""","""",
  100*E313 / MAX(FILTER($E:$E, $A:$A=$A313, $B:$B=$B313))
)
"),2.466752466752467)</f>
        <v>2.466752467</v>
      </c>
      <c r="K313" s="1">
        <f t="shared" si="3"/>
        <v>1.935864436</v>
      </c>
    </row>
    <row r="314">
      <c r="A314" s="3">
        <f>IFERROR(__xludf.DUMMYFUNCTION("""COMPUTED_VALUE"""),45839.0)</f>
        <v>45839</v>
      </c>
      <c r="B314" s="1" t="str">
        <f>IFERROR(__xludf.DUMMYFUNCTION("""COMPUTED_VALUE"""),"HTMall")</f>
        <v>HTMall</v>
      </c>
      <c r="C314" s="1" t="str">
        <f>IFERROR(__xludf.DUMMYFUNCTION("""COMPUTED_VALUE"""),"bonart")</f>
        <v>bonart</v>
      </c>
      <c r="D314" s="1">
        <f>IFERROR(__xludf.DUMMYFUNCTION("""COMPUTED_VALUE"""),385.0)</f>
        <v>385</v>
      </c>
      <c r="E314" s="1">
        <f>IFERROR(__xludf.DUMMYFUNCTION("""COMPUTED_VALUE"""),57.96)</f>
        <v>57.96</v>
      </c>
      <c r="F314" s="1">
        <f>IFERROR(__xludf.DUMMYFUNCTION("""COMPUTED_VALUE"""),112.0)</f>
        <v>112</v>
      </c>
      <c r="G314" s="1">
        <f t="shared" si="1"/>
        <v>3.4375</v>
      </c>
      <c r="H314" s="1">
        <f t="shared" si="2"/>
        <v>0.5175</v>
      </c>
      <c r="I314" s="1">
        <f>IFERROR(__xludf.DUMMYFUNCTION("IF(B314="""","""",
  100*F314 / MAX(FILTER($F:$F, $A:$A=$A314, $B:$B=$B314))
)
"),8.408408408408409)</f>
        <v>8.408408408</v>
      </c>
      <c r="J314" s="1">
        <f>IFERROR(__xludf.DUMMYFUNCTION("IF(B314="""","""",
  100*E314 / MAX(FILTER($E:$E, $A:$A=$A314, $B:$B=$B314))
)
"),6.216216216216217)</f>
        <v>6.216216216</v>
      </c>
      <c r="K314" s="1">
        <f t="shared" si="3"/>
        <v>7.421921922</v>
      </c>
    </row>
    <row r="315">
      <c r="A315" s="3">
        <f>IFERROR(__xludf.DUMMYFUNCTION("""COMPUTED_VALUE"""),45839.0)</f>
        <v>45839</v>
      </c>
      <c r="B315" s="1" t="str">
        <f>IFERROR(__xludf.DUMMYFUNCTION("""COMPUTED_VALUE"""),"HTMall")</f>
        <v>HTMall</v>
      </c>
      <c r="C315" s="1" t="str">
        <f>IFERROR(__xludf.DUMMYFUNCTION("""COMPUTED_VALUE"""),"kinder delice")</f>
        <v>kinder delice</v>
      </c>
      <c r="D315" s="1">
        <f>IFERROR(__xludf.DUMMYFUNCTION("""COMPUTED_VALUE"""),75.0)</f>
        <v>75</v>
      </c>
      <c r="E315" s="1">
        <f>IFERROR(__xludf.DUMMYFUNCTION("""COMPUTED_VALUE"""),15.0)</f>
        <v>15</v>
      </c>
      <c r="F315" s="1">
        <f>IFERROR(__xludf.DUMMYFUNCTION("""COMPUTED_VALUE"""),25.0)</f>
        <v>25</v>
      </c>
      <c r="G315" s="1">
        <f t="shared" si="1"/>
        <v>3</v>
      </c>
      <c r="H315" s="1">
        <f t="shared" si="2"/>
        <v>0.6</v>
      </c>
      <c r="I315" s="1">
        <f>IFERROR(__xludf.DUMMYFUNCTION("IF(B315="""","""",
  100*F315 / MAX(FILTER($F:$F, $A:$A=$A315, $B:$B=$B315))
)
"),1.8768768768768769)</f>
        <v>1.876876877</v>
      </c>
      <c r="J315" s="1">
        <f>IFERROR(__xludf.DUMMYFUNCTION("IF(B315="""","""",
  100*E315 / MAX(FILTER($E:$E, $A:$A=$A315, $B:$B=$B315))
)
"),1.6087516087516087)</f>
        <v>1.608751609</v>
      </c>
      <c r="K315" s="1">
        <f t="shared" si="3"/>
        <v>1.756220506</v>
      </c>
    </row>
    <row r="316">
      <c r="A316" s="3">
        <f>IFERROR(__xludf.DUMMYFUNCTION("""COMPUTED_VALUE"""),45839.0)</f>
        <v>45839</v>
      </c>
      <c r="B316" s="1" t="str">
        <f>IFERROR(__xludf.DUMMYFUNCTION("""COMPUTED_VALUE"""),"HTMall")</f>
        <v>HTMall</v>
      </c>
      <c r="C316" s="1" t="str">
        <f>IFERROR(__xludf.DUMMYFUNCTION("""COMPUTED_VALUE"""),"kinza")</f>
        <v>kinza</v>
      </c>
      <c r="D316" s="1">
        <f>IFERROR(__xludf.DUMMYFUNCTION("""COMPUTED_VALUE"""),369.0)</f>
        <v>369</v>
      </c>
      <c r="E316" s="1">
        <f>IFERROR(__xludf.DUMMYFUNCTION("""COMPUTED_VALUE"""),107.2)</f>
        <v>107.2</v>
      </c>
      <c r="F316" s="1">
        <f>IFERROR(__xludf.DUMMYFUNCTION("""COMPUTED_VALUE"""),170.0)</f>
        <v>170</v>
      </c>
      <c r="G316" s="1">
        <f t="shared" si="1"/>
        <v>2.170588235</v>
      </c>
      <c r="H316" s="1">
        <f t="shared" si="2"/>
        <v>0.6305882353</v>
      </c>
      <c r="I316" s="1">
        <f>IFERROR(__xludf.DUMMYFUNCTION("IF(B316="""","""",
  100*F316 / MAX(FILTER($F:$F, $A:$A=$A316, $B:$B=$B316))
)
"),12.762762762762764)</f>
        <v>12.76276276</v>
      </c>
      <c r="J316" s="1">
        <f>IFERROR(__xludf.DUMMYFUNCTION("IF(B316="""","""",
  100*E316 / MAX(FILTER($E:$E, $A:$A=$A316, $B:$B=$B316))
)
"),11.497211497211497)</f>
        <v>11.4972115</v>
      </c>
      <c r="K316" s="1">
        <f t="shared" si="3"/>
        <v>12.19326469</v>
      </c>
    </row>
    <row r="317">
      <c r="A317" s="3">
        <f>IFERROR(__xludf.DUMMYFUNCTION("""COMPUTED_VALUE"""),45839.0)</f>
        <v>45839</v>
      </c>
      <c r="B317" s="1" t="str">
        <f>IFERROR(__xludf.DUMMYFUNCTION("""COMPUTED_VALUE"""),"HTMall")</f>
        <v>HTMall</v>
      </c>
      <c r="C317" s="1" t="str">
        <f>IFERROR(__xludf.DUMMYFUNCTION("""COMPUTED_VALUE"""),"m&amp;m")</f>
        <v>m&amp;m</v>
      </c>
      <c r="D317" s="1">
        <f>IFERROR(__xludf.DUMMYFUNCTION("""COMPUTED_VALUE"""),135.0)</f>
        <v>135</v>
      </c>
      <c r="E317" s="1">
        <f>IFERROR(__xludf.DUMMYFUNCTION("""COMPUTED_VALUE"""),-92.4)</f>
        <v>-92.4</v>
      </c>
      <c r="F317" s="1">
        <f>IFERROR(__xludf.DUMMYFUNCTION("""COMPUTED_VALUE"""),60.0)</f>
        <v>60</v>
      </c>
      <c r="G317" s="1">
        <f t="shared" si="1"/>
        <v>2.25</v>
      </c>
      <c r="H317" s="1">
        <f t="shared" si="2"/>
        <v>-1.54</v>
      </c>
      <c r="I317" s="1">
        <f>IFERROR(__xludf.DUMMYFUNCTION("IF(B317="""","""",
  100*F317 / MAX(FILTER($F:$F, $A:$A=$A317, $B:$B=$B317))
)
"),4.504504504504505)</f>
        <v>4.504504505</v>
      </c>
      <c r="J317" s="1">
        <f>IFERROR(__xludf.DUMMYFUNCTION("IF(B317="""","""",
  100*E317 / MAX(FILTER($E:$E, $A:$A=$A317, $B:$B=$B317))
)
"),-9.90990990990991)</f>
        <v>-9.90990991</v>
      </c>
      <c r="K317" s="1">
        <f t="shared" si="3"/>
        <v>-1.981981982</v>
      </c>
    </row>
    <row r="318">
      <c r="A318" s="3">
        <f>IFERROR(__xludf.DUMMYFUNCTION("""COMPUTED_VALUE"""),45839.0)</f>
        <v>45839</v>
      </c>
      <c r="B318" s="1" t="str">
        <f>IFERROR(__xludf.DUMMYFUNCTION("""COMPUTED_VALUE"""),"HTMall")</f>
        <v>HTMall</v>
      </c>
      <c r="C318" s="1" t="str">
        <f>IFERROR(__xludf.DUMMYFUNCTION("""COMPUTED_VALUE"""),"mr bite")</f>
        <v>mr bite</v>
      </c>
      <c r="D318" s="1">
        <f>IFERROR(__xludf.DUMMYFUNCTION("""COMPUTED_VALUE"""),167.0)</f>
        <v>167</v>
      </c>
      <c r="E318" s="1">
        <f>IFERROR(__xludf.DUMMYFUNCTION("""COMPUTED_VALUE"""),59.27)</f>
        <v>59.27</v>
      </c>
      <c r="F318" s="1">
        <f>IFERROR(__xludf.DUMMYFUNCTION("""COMPUTED_VALUE"""),81.0)</f>
        <v>81</v>
      </c>
      <c r="G318" s="1">
        <f t="shared" si="1"/>
        <v>2.061728395</v>
      </c>
      <c r="H318" s="1">
        <f t="shared" si="2"/>
        <v>0.7317283951</v>
      </c>
      <c r="I318" s="1">
        <f>IFERROR(__xludf.DUMMYFUNCTION("IF(B318="""","""",
  100*F318 / MAX(FILTER($F:$F, $A:$A=$A318, $B:$B=$B318))
)
"),6.081081081081081)</f>
        <v>6.081081081</v>
      </c>
      <c r="J318" s="1">
        <f>IFERROR(__xludf.DUMMYFUNCTION("IF(B318="""","""",
  100*E318 / MAX(FILTER($E:$E, $A:$A=$A318, $B:$B=$B318))
)
"),6.356713856713857)</f>
        <v>6.356713857</v>
      </c>
      <c r="K318" s="1">
        <f t="shared" si="3"/>
        <v>6.20511583</v>
      </c>
    </row>
    <row r="319">
      <c r="A319" s="3">
        <f>IFERROR(__xludf.DUMMYFUNCTION("""COMPUTED_VALUE"""),45839.0)</f>
        <v>45839</v>
      </c>
      <c r="B319" s="1" t="str">
        <f>IFERROR(__xludf.DUMMYFUNCTION("""COMPUTED_VALUE"""),"HTMall")</f>
        <v>HTMall</v>
      </c>
      <c r="C319" s="1" t="str">
        <f>IFERROR(__xludf.DUMMYFUNCTION("""COMPUTED_VALUE"""),"sunTop")</f>
        <v>sunTop</v>
      </c>
      <c r="D319" s="1">
        <f>IFERROR(__xludf.DUMMYFUNCTION("""COMPUTED_VALUE"""),492.0)</f>
        <v>492</v>
      </c>
      <c r="E319" s="1">
        <f>IFERROR(__xludf.DUMMYFUNCTION("""COMPUTED_VALUE"""),257.4)</f>
        <v>257.4</v>
      </c>
      <c r="F319" s="1">
        <f>IFERROR(__xludf.DUMMYFUNCTION("""COMPUTED_VALUE"""),391.0)</f>
        <v>391</v>
      </c>
      <c r="G319" s="1">
        <f t="shared" si="1"/>
        <v>1.25831202</v>
      </c>
      <c r="H319" s="1">
        <f t="shared" si="2"/>
        <v>0.6583120205</v>
      </c>
      <c r="I319" s="1">
        <f>IFERROR(__xludf.DUMMYFUNCTION("IF(B319="""","""",
  100*F319 / MAX(FILTER($F:$F, $A:$A=$A319, $B:$B=$B319))
)
"),29.354354354354353)</f>
        <v>29.35435435</v>
      </c>
      <c r="J319" s="1">
        <f>IFERROR(__xludf.DUMMYFUNCTION("IF(B319="""","""",
  100*E319 / MAX(FILTER($E:$E, $A:$A=$A319, $B:$B=$B319))
)
"),27.606177606177603)</f>
        <v>27.60617761</v>
      </c>
      <c r="K319" s="1">
        <f t="shared" si="3"/>
        <v>28.56767482</v>
      </c>
    </row>
    <row r="320">
      <c r="A320" s="3">
        <f>IFERROR(__xludf.DUMMYFUNCTION("""COMPUTED_VALUE"""),45839.0)</f>
        <v>45839</v>
      </c>
      <c r="B320" s="1" t="str">
        <f>IFERROR(__xludf.DUMMYFUNCTION("""COMPUTED_VALUE"""),"HTMall")</f>
        <v>HTMall</v>
      </c>
      <c r="C320" s="1" t="str">
        <f>IFERROR(__xludf.DUMMYFUNCTION("""COMPUTED_VALUE"""),"wafe'up")</f>
        <v>wafe'up</v>
      </c>
      <c r="D320" s="1">
        <f>IFERROR(__xludf.DUMMYFUNCTION("""COMPUTED_VALUE"""),42.0)</f>
        <v>42</v>
      </c>
      <c r="E320" s="1">
        <f>IFERROR(__xludf.DUMMYFUNCTION("""COMPUTED_VALUE"""),30.04)</f>
        <v>30.04</v>
      </c>
      <c r="F320" s="1">
        <f>IFERROR(__xludf.DUMMYFUNCTION("""COMPUTED_VALUE"""),13.0)</f>
        <v>13</v>
      </c>
      <c r="G320" s="1">
        <f t="shared" si="1"/>
        <v>3.230769231</v>
      </c>
      <c r="H320" s="1">
        <f t="shared" si="2"/>
        <v>2.310769231</v>
      </c>
      <c r="I320" s="1">
        <f>IFERROR(__xludf.DUMMYFUNCTION("IF(B320="""","""",
  100*F320 / MAX(FILTER($F:$F, $A:$A=$A320, $B:$B=$B320))
)
"),0.975975975975976)</f>
        <v>0.975975976</v>
      </c>
      <c r="J320" s="1">
        <f>IFERROR(__xludf.DUMMYFUNCTION("IF(B320="""","""",
  100*E320 / MAX(FILTER($E:$E, $A:$A=$A320, $B:$B=$B320))
)
"),3.221793221793222)</f>
        <v>3.221793222</v>
      </c>
      <c r="K320" s="1">
        <f t="shared" si="3"/>
        <v>1.986593737</v>
      </c>
    </row>
    <row r="321">
      <c r="A321" s="3">
        <f>IFERROR(__xludf.DUMMYFUNCTION("""COMPUTED_VALUE"""),45839.0)</f>
        <v>45839</v>
      </c>
      <c r="B321" s="1" t="str">
        <f>IFERROR(__xludf.DUMMYFUNCTION("""COMPUTED_VALUE"""),"HospAlmoa")</f>
        <v>HospAlmoa</v>
      </c>
      <c r="C321" s="1" t="str">
        <f>IFERROR(__xludf.DUMMYFUNCTION("""COMPUTED_VALUE"""),"Almarai Chocolate")</f>
        <v>Almarai Chocolate</v>
      </c>
      <c r="D321" s="1">
        <f>IFERROR(__xludf.DUMMYFUNCTION("""COMPUTED_VALUE"""),24.0)</f>
        <v>24</v>
      </c>
      <c r="E321" s="1">
        <f>IFERROR(__xludf.DUMMYFUNCTION("""COMPUTED_VALUE"""),2.0)</f>
        <v>2</v>
      </c>
      <c r="F321" s="1">
        <f>IFERROR(__xludf.DUMMYFUNCTION("""COMPUTED_VALUE"""),11.0)</f>
        <v>11</v>
      </c>
      <c r="G321" s="1">
        <f t="shared" si="1"/>
        <v>2.181818182</v>
      </c>
      <c r="H321" s="1">
        <f t="shared" si="2"/>
        <v>0.1818181818</v>
      </c>
      <c r="I321" s="1">
        <f>IFERROR(__xludf.DUMMYFUNCTION("IF(B321="""","""",
  100*F321 / MAX(FILTER($F:$F, $A:$A=$A321, $B:$B=$B321))
)
"),5.140186915887851)</f>
        <v>5.140186916</v>
      </c>
      <c r="J321" s="1">
        <f>IFERROR(__xludf.DUMMYFUNCTION("IF(B321="""","""",
  100*E321 / MAX(FILTER($E:$E, $A:$A=$A321, $B:$B=$B321))
)
"),1.3351134846461947)</f>
        <v>1.335113485</v>
      </c>
      <c r="K321" s="1">
        <f t="shared" si="3"/>
        <v>3.427903872</v>
      </c>
    </row>
    <row r="322">
      <c r="A322" s="3">
        <f>IFERROR(__xludf.DUMMYFUNCTION("""COMPUTED_VALUE"""),45839.0)</f>
        <v>45839</v>
      </c>
      <c r="B322" s="1" t="str">
        <f>IFERROR(__xludf.DUMMYFUNCTION("""COMPUTED_VALUE"""),"HospAlmoa")</f>
        <v>HospAlmoa</v>
      </c>
      <c r="C322" s="1" t="str">
        <f>IFERROR(__xludf.DUMMYFUNCTION("""COMPUTED_VALUE"""),"Bounty")</f>
        <v>Bounty</v>
      </c>
      <c r="D322" s="1">
        <f>IFERROR(__xludf.DUMMYFUNCTION("""COMPUTED_VALUE"""),40.0)</f>
        <v>40</v>
      </c>
      <c r="E322" s="1">
        <f>IFERROR(__xludf.DUMMYFUNCTION("""COMPUTED_VALUE"""),2.5)</f>
        <v>2.5</v>
      </c>
      <c r="F322" s="1">
        <f>IFERROR(__xludf.DUMMYFUNCTION("""COMPUTED_VALUE"""),10.0)</f>
        <v>10</v>
      </c>
      <c r="G322" s="1">
        <f t="shared" si="1"/>
        <v>4</v>
      </c>
      <c r="H322" s="1">
        <f t="shared" si="2"/>
        <v>0.25</v>
      </c>
      <c r="I322" s="1">
        <f>IFERROR(__xludf.DUMMYFUNCTION("IF(B322="""","""",
  100*F322 / MAX(FILTER($F:$F, $A:$A=$A322, $B:$B=$B322))
)
"),4.672897196261682)</f>
        <v>4.672897196</v>
      </c>
      <c r="J322" s="1">
        <f>IFERROR(__xludf.DUMMYFUNCTION("IF(B322="""","""",
  100*E322 / MAX(FILTER($E:$E, $A:$A=$A322, $B:$B=$B322))
)
"),1.6688918558077435)</f>
        <v>1.668891856</v>
      </c>
      <c r="K322" s="1">
        <f t="shared" si="3"/>
        <v>3.321094793</v>
      </c>
    </row>
    <row r="323">
      <c r="A323" s="3">
        <f>IFERROR(__xludf.DUMMYFUNCTION("""COMPUTED_VALUE"""),45839.0)</f>
        <v>45839</v>
      </c>
      <c r="B323" s="1" t="str">
        <f>IFERROR(__xludf.DUMMYFUNCTION("""COMPUTED_VALUE"""),"HospAlmoa")</f>
        <v>HospAlmoa</v>
      </c>
      <c r="C323" s="1" t="str">
        <f>IFERROR(__xludf.DUMMYFUNCTION("""COMPUTED_VALUE"""),"Corissant Karuzo")</f>
        <v>Corissant Karuzo</v>
      </c>
      <c r="D323" s="1">
        <f>IFERROR(__xludf.DUMMYFUNCTION("""COMPUTED_VALUE"""),78.0)</f>
        <v>78</v>
      </c>
      <c r="E323" s="1">
        <f>IFERROR(__xludf.DUMMYFUNCTION("""COMPUTED_VALUE"""),43.42)</f>
        <v>43.42</v>
      </c>
      <c r="F323" s="1">
        <f>IFERROR(__xludf.DUMMYFUNCTION("""COMPUTED_VALUE"""),26.0)</f>
        <v>26</v>
      </c>
      <c r="G323" s="1">
        <f t="shared" si="1"/>
        <v>3</v>
      </c>
      <c r="H323" s="1">
        <f t="shared" si="2"/>
        <v>1.67</v>
      </c>
      <c r="I323" s="1">
        <f>IFERROR(__xludf.DUMMYFUNCTION("IF(B323="""","""",
  100*F323 / MAX(FILTER($F:$F, $A:$A=$A323, $B:$B=$B323))
)
"),12.149532710280374)</f>
        <v>12.14953271</v>
      </c>
      <c r="J323" s="1">
        <f>IFERROR(__xludf.DUMMYFUNCTION("IF(B323="""","""",
  100*E323 / MAX(FILTER($E:$E, $A:$A=$A323, $B:$B=$B323))
)
"),28.98531375166889)</f>
        <v>28.98531375</v>
      </c>
      <c r="K323" s="1">
        <f t="shared" si="3"/>
        <v>19.72563418</v>
      </c>
    </row>
    <row r="324">
      <c r="A324" s="3">
        <f>IFERROR(__xludf.DUMMYFUNCTION("""COMPUTED_VALUE"""),45839.0)</f>
        <v>45839</v>
      </c>
      <c r="B324" s="1" t="str">
        <f>IFERROR(__xludf.DUMMYFUNCTION("""COMPUTED_VALUE"""),"HospAlmoa")</f>
        <v>HospAlmoa</v>
      </c>
      <c r="C324" s="1" t="str">
        <f>IFERROR(__xludf.DUMMYFUNCTION("""COMPUTED_VALUE"""),"Digestive")</f>
        <v>Digestive</v>
      </c>
      <c r="D324" s="1">
        <f>IFERROR(__xludf.DUMMYFUNCTION("""COMPUTED_VALUE"""),26.0)</f>
        <v>26</v>
      </c>
      <c r="E324" s="1">
        <f>IFERROR(__xludf.DUMMYFUNCTION("""COMPUTED_VALUE"""),9.62)</f>
        <v>9.62</v>
      </c>
      <c r="F324" s="1">
        <f>IFERROR(__xludf.DUMMYFUNCTION("""COMPUTED_VALUE"""),26.0)</f>
        <v>26</v>
      </c>
      <c r="G324" s="1">
        <f t="shared" si="1"/>
        <v>1</v>
      </c>
      <c r="H324" s="1">
        <f t="shared" si="2"/>
        <v>0.37</v>
      </c>
      <c r="I324" s="1">
        <f>IFERROR(__xludf.DUMMYFUNCTION("IF(B324="""","""",
  100*F324 / MAX(FILTER($F:$F, $A:$A=$A324, $B:$B=$B324))
)
"),12.149532710280374)</f>
        <v>12.14953271</v>
      </c>
      <c r="J324" s="1">
        <f>IFERROR(__xludf.DUMMYFUNCTION("IF(B324="""","""",
  100*E324 / MAX(FILTER($E:$E, $A:$A=$A324, $B:$B=$B324))
)
"),6.421895861148196)</f>
        <v>6.421895861</v>
      </c>
      <c r="K324" s="1">
        <f t="shared" si="3"/>
        <v>9.572096128</v>
      </c>
    </row>
    <row r="325">
      <c r="A325" s="3">
        <f>IFERROR(__xludf.DUMMYFUNCTION("""COMPUTED_VALUE"""),45839.0)</f>
        <v>45839</v>
      </c>
      <c r="B325" s="1" t="str">
        <f>IFERROR(__xludf.DUMMYFUNCTION("""COMPUTED_VALUE"""),"HospAlmoa")</f>
        <v>HospAlmoa</v>
      </c>
      <c r="C325" s="1" t="str">
        <f>IFERROR(__xludf.DUMMYFUNCTION("""COMPUTED_VALUE"""),"Doritos nacho")</f>
        <v>Doritos nacho</v>
      </c>
      <c r="D325" s="1">
        <f>IFERROR(__xludf.DUMMYFUNCTION("""COMPUTED_VALUE"""),201.0)</f>
        <v>201</v>
      </c>
      <c r="E325" s="1">
        <f>IFERROR(__xludf.DUMMYFUNCTION("""COMPUTED_VALUE"""),83.4)</f>
        <v>83.4</v>
      </c>
      <c r="F325" s="1">
        <f>IFERROR(__xludf.DUMMYFUNCTION("""COMPUTED_VALUE"""),42.0)</f>
        <v>42</v>
      </c>
      <c r="G325" s="1">
        <f t="shared" si="1"/>
        <v>4.785714286</v>
      </c>
      <c r="H325" s="1">
        <f t="shared" si="2"/>
        <v>1.985714286</v>
      </c>
      <c r="I325" s="1">
        <f>IFERROR(__xludf.DUMMYFUNCTION("IF(B325="""","""",
  100*F325 / MAX(FILTER($F:$F, $A:$A=$A325, $B:$B=$B325))
)
"),19.626168224299064)</f>
        <v>19.62616822</v>
      </c>
      <c r="J325" s="1">
        <f>IFERROR(__xludf.DUMMYFUNCTION("IF(B325="""","""",
  100*E325 / MAX(FILTER($E:$E, $A:$A=$A325, $B:$B=$B325))
)
"),55.67423230974632)</f>
        <v>55.67423231</v>
      </c>
      <c r="K325" s="1">
        <f t="shared" si="3"/>
        <v>35.84779706</v>
      </c>
    </row>
    <row r="326">
      <c r="A326" s="3">
        <f>IFERROR(__xludf.DUMMYFUNCTION("""COMPUTED_VALUE"""),45839.0)</f>
        <v>45839</v>
      </c>
      <c r="B326" s="1" t="str">
        <f>IFERROR(__xludf.DUMMYFUNCTION("""COMPUTED_VALUE"""),"HospAlmoa")</f>
        <v>HospAlmoa</v>
      </c>
      <c r="C326" s="1" t="str">
        <f>IFERROR(__xludf.DUMMYFUNCTION("""COMPUTED_VALUE"""),"Freez")</f>
        <v>Freez</v>
      </c>
      <c r="D326" s="1">
        <f>IFERROR(__xludf.DUMMYFUNCTION("""COMPUTED_VALUE"""),115.0)</f>
        <v>115</v>
      </c>
      <c r="E326" s="1">
        <f>IFERROR(__xludf.DUMMYFUNCTION("""COMPUTED_VALUE"""),36.57)</f>
        <v>36.57</v>
      </c>
      <c r="F326" s="1">
        <f>IFERROR(__xludf.DUMMYFUNCTION("""COMPUTED_VALUE"""),23.0)</f>
        <v>23</v>
      </c>
      <c r="G326" s="1">
        <f t="shared" si="1"/>
        <v>5</v>
      </c>
      <c r="H326" s="1">
        <f t="shared" si="2"/>
        <v>1.59</v>
      </c>
      <c r="I326" s="1">
        <f>IFERROR(__xludf.DUMMYFUNCTION("IF(B326="""","""",
  100*F326 / MAX(FILTER($F:$F, $A:$A=$A326, $B:$B=$B326))
)
"),10.74766355140187)</f>
        <v>10.74766355</v>
      </c>
      <c r="J326" s="1">
        <f>IFERROR(__xludf.DUMMYFUNCTION("IF(B326="""","""",
  100*E326 / MAX(FILTER($E:$E, $A:$A=$A326, $B:$B=$B326))
)
"),24.41255006675567)</f>
        <v>24.41255007</v>
      </c>
      <c r="K326" s="1">
        <f t="shared" si="3"/>
        <v>16.89686248</v>
      </c>
    </row>
    <row r="327">
      <c r="A327" s="3">
        <f>IFERROR(__xludf.DUMMYFUNCTION("""COMPUTED_VALUE"""),45839.0)</f>
        <v>45839</v>
      </c>
      <c r="B327" s="1" t="str">
        <f>IFERROR(__xludf.DUMMYFUNCTION("""COMPUTED_VALUE"""),"HospAlmoa")</f>
        <v>HospAlmoa</v>
      </c>
      <c r="C327" s="1" t="str">
        <f>IFERROR(__xludf.DUMMYFUNCTION("""COMPUTED_VALUE"""),"Gardena")</f>
        <v>Gardena</v>
      </c>
      <c r="D327" s="1">
        <f>IFERROR(__xludf.DUMMYFUNCTION("""COMPUTED_VALUE"""),8.0)</f>
        <v>8</v>
      </c>
      <c r="E327" s="1">
        <f>IFERROR(__xludf.DUMMYFUNCTION("""COMPUTED_VALUE"""),1.44)</f>
        <v>1.44</v>
      </c>
      <c r="F327" s="1">
        <f>IFERROR(__xludf.DUMMYFUNCTION("""COMPUTED_VALUE"""),2.0)</f>
        <v>2</v>
      </c>
      <c r="G327" s="1">
        <f t="shared" si="1"/>
        <v>4</v>
      </c>
      <c r="H327" s="1">
        <f t="shared" si="2"/>
        <v>0.72</v>
      </c>
      <c r="I327" s="1">
        <f>IFERROR(__xludf.DUMMYFUNCTION("IF(B327="""","""",
  100*F327 / MAX(FILTER($F:$F, $A:$A=$A327, $B:$B=$B327))
)
"),0.9345794392523364)</f>
        <v>0.9345794393</v>
      </c>
      <c r="J327" s="1">
        <f>IFERROR(__xludf.DUMMYFUNCTION("IF(B327="""","""",
  100*E327 / MAX(FILTER($E:$E, $A:$A=$A327, $B:$B=$B327))
)
"),0.9612817089452603)</f>
        <v>0.9612817089</v>
      </c>
      <c r="K327" s="1">
        <f t="shared" si="3"/>
        <v>0.9465954606</v>
      </c>
    </row>
    <row r="328">
      <c r="A328" s="3">
        <f>IFERROR(__xludf.DUMMYFUNCTION("""COMPUTED_VALUE"""),45839.0)</f>
        <v>45839</v>
      </c>
      <c r="B328" s="1" t="str">
        <f>IFERROR(__xludf.DUMMYFUNCTION("""COMPUTED_VALUE"""),"HospAlmoa")</f>
        <v>HospAlmoa</v>
      </c>
      <c r="C328" s="1" t="str">
        <f>IFERROR(__xludf.DUMMYFUNCTION("""COMPUTED_VALUE"""),"Kinder Bueno")</f>
        <v>Kinder Bueno</v>
      </c>
      <c r="D328" s="1">
        <f>IFERROR(__xludf.DUMMYFUNCTION("""COMPUTED_VALUE"""),310.0)</f>
        <v>310</v>
      </c>
      <c r="E328" s="1">
        <f>IFERROR(__xludf.DUMMYFUNCTION("""COMPUTED_VALUE"""),-49.6)</f>
        <v>-49.6</v>
      </c>
      <c r="F328" s="1">
        <f>IFERROR(__xludf.DUMMYFUNCTION("""COMPUTED_VALUE"""),62.0)</f>
        <v>62</v>
      </c>
      <c r="G328" s="1">
        <f t="shared" si="1"/>
        <v>5</v>
      </c>
      <c r="H328" s="1">
        <f t="shared" si="2"/>
        <v>-0.8</v>
      </c>
      <c r="I328" s="1">
        <f>IFERROR(__xludf.DUMMYFUNCTION("IF(B328="""","""",
  100*F328 / MAX(FILTER($F:$F, $A:$A=$A328, $B:$B=$B328))
)
"),28.97196261682243)</f>
        <v>28.97196262</v>
      </c>
      <c r="J328" s="1">
        <f>IFERROR(__xludf.DUMMYFUNCTION("IF(B328="""","""",
  100*E328 / MAX(FILTER($E:$E, $A:$A=$A328, $B:$B=$B328))
)
"),-33.11081441922563)</f>
        <v>-33.11081442</v>
      </c>
      <c r="K328" s="1">
        <f t="shared" si="3"/>
        <v>1.034712951</v>
      </c>
    </row>
    <row r="329">
      <c r="A329" s="3">
        <f>IFERROR(__xludf.DUMMYFUNCTION("""COMPUTED_VALUE"""),45839.0)</f>
        <v>45839</v>
      </c>
      <c r="B329" s="1" t="str">
        <f>IFERROR(__xludf.DUMMYFUNCTION("""COMPUTED_VALUE"""),"HospAlmoa")</f>
        <v>HospAlmoa</v>
      </c>
      <c r="C329" s="1" t="str">
        <f>IFERROR(__xludf.DUMMYFUNCTION("""COMPUTED_VALUE"""),"KitKat")</f>
        <v>KitKat</v>
      </c>
      <c r="D329" s="1">
        <f>IFERROR(__xludf.DUMMYFUNCTION("""COMPUTED_VALUE"""),52.0)</f>
        <v>52</v>
      </c>
      <c r="E329" s="1">
        <f>IFERROR(__xludf.DUMMYFUNCTION("""COMPUTED_VALUE"""),4.81)</f>
        <v>4.81</v>
      </c>
      <c r="F329" s="1">
        <f>IFERROR(__xludf.DUMMYFUNCTION("""COMPUTED_VALUE"""),13.0)</f>
        <v>13</v>
      </c>
      <c r="G329" s="1">
        <f t="shared" si="1"/>
        <v>4</v>
      </c>
      <c r="H329" s="1">
        <f t="shared" si="2"/>
        <v>0.37</v>
      </c>
      <c r="I329" s="1">
        <f>IFERROR(__xludf.DUMMYFUNCTION("IF(B329="""","""",
  100*F329 / MAX(FILTER($F:$F, $A:$A=$A329, $B:$B=$B329))
)
"),6.074766355140187)</f>
        <v>6.074766355</v>
      </c>
      <c r="J329" s="1">
        <f>IFERROR(__xludf.DUMMYFUNCTION("IF(B329="""","""",
  100*E329 / MAX(FILTER($E:$E, $A:$A=$A329, $B:$B=$B329))
)
"),3.210947930574098)</f>
        <v>3.210947931</v>
      </c>
      <c r="K329" s="1">
        <f t="shared" si="3"/>
        <v>4.786048064</v>
      </c>
    </row>
    <row r="330">
      <c r="A330" s="3">
        <f>IFERROR(__xludf.DUMMYFUNCTION("""COMPUTED_VALUE"""),45839.0)</f>
        <v>45839</v>
      </c>
      <c r="B330" s="1" t="str">
        <f>IFERROR(__xludf.DUMMYFUNCTION("""COMPUTED_VALUE"""),"HospAlmoa")</f>
        <v>HospAlmoa</v>
      </c>
      <c r="C330" s="1" t="str">
        <f>IFERROR(__xludf.DUMMYFUNCTION("""COMPUTED_VALUE"""),"Kunuz Juice")</f>
        <v>Kunuz Juice</v>
      </c>
      <c r="D330" s="1">
        <f>IFERROR(__xludf.DUMMYFUNCTION("""COMPUTED_VALUE"""),75.0)</f>
        <v>75</v>
      </c>
      <c r="E330" s="1">
        <f>IFERROR(__xludf.DUMMYFUNCTION("""COMPUTED_VALUE"""),37.0)</f>
        <v>37</v>
      </c>
      <c r="F330" s="1">
        <f>IFERROR(__xludf.DUMMYFUNCTION("""COMPUTED_VALUE"""),19.0)</f>
        <v>19</v>
      </c>
      <c r="G330" s="1">
        <f t="shared" si="1"/>
        <v>3.947368421</v>
      </c>
      <c r="H330" s="1">
        <f t="shared" si="2"/>
        <v>1.947368421</v>
      </c>
      <c r="I330" s="1">
        <f>IFERROR(__xludf.DUMMYFUNCTION("IF(B330="""","""",
  100*F330 / MAX(FILTER($F:$F, $A:$A=$A330, $B:$B=$B330))
)
"),8.878504672897197)</f>
        <v>8.878504673</v>
      </c>
      <c r="J330" s="1">
        <f>IFERROR(__xludf.DUMMYFUNCTION("IF(B330="""","""",
  100*E330 / MAX(FILTER($E:$E, $A:$A=$A330, $B:$B=$B330))
)
"),24.699599465954606)</f>
        <v>24.69959947</v>
      </c>
      <c r="K330" s="1">
        <f t="shared" si="3"/>
        <v>15.99799733</v>
      </c>
    </row>
    <row r="331">
      <c r="A331" s="3">
        <f>IFERROR(__xludf.DUMMYFUNCTION("""COMPUTED_VALUE"""),45839.0)</f>
        <v>45839</v>
      </c>
      <c r="B331" s="1" t="str">
        <f>IFERROR(__xludf.DUMMYFUNCTION("""COMPUTED_VALUE"""),"HospAlmoa")</f>
        <v>HospAlmoa</v>
      </c>
      <c r="C331" s="1" t="str">
        <f>IFERROR(__xludf.DUMMYFUNCTION("""COMPUTED_VALUE"""),"Laviva")</f>
        <v>Laviva</v>
      </c>
      <c r="D331" s="1">
        <f>IFERROR(__xludf.DUMMYFUNCTION("""COMPUTED_VALUE"""),36.0)</f>
        <v>36</v>
      </c>
      <c r="E331" s="1">
        <f>IFERROR(__xludf.DUMMYFUNCTION("""COMPUTED_VALUE"""),9.6)</f>
        <v>9.6</v>
      </c>
      <c r="F331" s="1">
        <f>IFERROR(__xludf.DUMMYFUNCTION("""COMPUTED_VALUE"""),12.0)</f>
        <v>12</v>
      </c>
      <c r="G331" s="1">
        <f t="shared" si="1"/>
        <v>3</v>
      </c>
      <c r="H331" s="1">
        <f t="shared" si="2"/>
        <v>0.8</v>
      </c>
      <c r="I331" s="1">
        <f>IFERROR(__xludf.DUMMYFUNCTION("IF(B331="""","""",
  100*F331 / MAX(FILTER($F:$F, $A:$A=$A331, $B:$B=$B331))
)
"),5.607476635514018)</f>
        <v>5.607476636</v>
      </c>
      <c r="J331" s="1">
        <f>IFERROR(__xludf.DUMMYFUNCTION("IF(B331="""","""",
  100*E331 / MAX(FILTER($E:$E, $A:$A=$A331, $B:$B=$B331))
)
"),6.408544726301735)</f>
        <v>6.408544726</v>
      </c>
      <c r="K331" s="1">
        <f t="shared" si="3"/>
        <v>5.967957276</v>
      </c>
    </row>
    <row r="332">
      <c r="A332" s="3">
        <f>IFERROR(__xludf.DUMMYFUNCTION("""COMPUTED_VALUE"""),45839.0)</f>
        <v>45839</v>
      </c>
      <c r="B332" s="1" t="str">
        <f>IFERROR(__xludf.DUMMYFUNCTION("""COMPUTED_VALUE"""),"HospAlmoa")</f>
        <v>HospAlmoa</v>
      </c>
      <c r="C332" s="1" t="str">
        <f>IFERROR(__xludf.DUMMYFUNCTION("""COMPUTED_VALUE"""),"Lovita cookies")</f>
        <v>Lovita cookies</v>
      </c>
      <c r="D332" s="1">
        <f>IFERROR(__xludf.DUMMYFUNCTION("""COMPUTED_VALUE"""),101.0)</f>
        <v>101</v>
      </c>
      <c r="E332" s="1">
        <f>IFERROR(__xludf.DUMMYFUNCTION("""COMPUTED_VALUE"""),18.12)</f>
        <v>18.12</v>
      </c>
      <c r="F332" s="1">
        <f>IFERROR(__xludf.DUMMYFUNCTION("""COMPUTED_VALUE"""),16.0)</f>
        <v>16</v>
      </c>
      <c r="G332" s="1">
        <f t="shared" si="1"/>
        <v>6.3125</v>
      </c>
      <c r="H332" s="1">
        <f t="shared" si="2"/>
        <v>1.1325</v>
      </c>
      <c r="I332" s="1">
        <f>IFERROR(__xludf.DUMMYFUNCTION("IF(B332="""","""",
  100*F332 / MAX(FILTER($F:$F, $A:$A=$A332, $B:$B=$B332))
)
"),7.4766355140186915)</f>
        <v>7.476635514</v>
      </c>
      <c r="J332" s="1">
        <f>IFERROR(__xludf.DUMMYFUNCTION("IF(B332="""","""",
  100*E332 / MAX(FILTER($E:$E, $A:$A=$A332, $B:$B=$B332))
)
"),12.096128170894525)</f>
        <v>12.09612817</v>
      </c>
      <c r="K332" s="1">
        <f t="shared" si="3"/>
        <v>9.55540721</v>
      </c>
    </row>
    <row r="333">
      <c r="A333" s="3">
        <f>IFERROR(__xludf.DUMMYFUNCTION("""COMPUTED_VALUE"""),45839.0)</f>
        <v>45839</v>
      </c>
      <c r="B333" s="1" t="str">
        <f>IFERROR(__xludf.DUMMYFUNCTION("""COMPUTED_VALUE"""),"HospAlmoa")</f>
        <v>HospAlmoa</v>
      </c>
      <c r="C333" s="1" t="str">
        <f>IFERROR(__xludf.DUMMYFUNCTION("""COMPUTED_VALUE"""),"Maltesers")</f>
        <v>Maltesers</v>
      </c>
      <c r="D333" s="1">
        <f>IFERROR(__xludf.DUMMYFUNCTION("""COMPUTED_VALUE"""),130.0)</f>
        <v>130</v>
      </c>
      <c r="E333" s="1">
        <f>IFERROR(__xludf.DUMMYFUNCTION("""COMPUTED_VALUE"""),-31.2)</f>
        <v>-31.2</v>
      </c>
      <c r="F333" s="1">
        <f>IFERROR(__xludf.DUMMYFUNCTION("""COMPUTED_VALUE"""),26.0)</f>
        <v>26</v>
      </c>
      <c r="G333" s="1">
        <f t="shared" si="1"/>
        <v>5</v>
      </c>
      <c r="H333" s="1">
        <f t="shared" si="2"/>
        <v>-1.2</v>
      </c>
      <c r="I333" s="1">
        <f>IFERROR(__xludf.DUMMYFUNCTION("IF(B333="""","""",
  100*F333 / MAX(FILTER($F:$F, $A:$A=$A333, $B:$B=$B333))
)
"),12.149532710280374)</f>
        <v>12.14953271</v>
      </c>
      <c r="J333" s="1">
        <f>IFERROR(__xludf.DUMMYFUNCTION("IF(B333="""","""",
  100*E333 / MAX(FILTER($E:$E, $A:$A=$A333, $B:$B=$B333))
)
"),-20.82777036048064)</f>
        <v>-20.82777036</v>
      </c>
      <c r="K333" s="1">
        <f t="shared" si="3"/>
        <v>-2.690253672</v>
      </c>
    </row>
    <row r="334">
      <c r="A334" s="3">
        <f>IFERROR(__xludf.DUMMYFUNCTION("""COMPUTED_VALUE"""),45839.0)</f>
        <v>45839</v>
      </c>
      <c r="B334" s="1" t="str">
        <f>IFERROR(__xludf.DUMMYFUNCTION("""COMPUTED_VALUE"""),"HospAlmoa")</f>
        <v>HospAlmoa</v>
      </c>
      <c r="C334" s="1" t="str">
        <f>IFERROR(__xludf.DUMMYFUNCTION("""COMPUTED_VALUE"""),"Mars")</f>
        <v>Mars</v>
      </c>
      <c r="D334" s="1">
        <f>IFERROR(__xludf.DUMMYFUNCTION("""COMPUTED_VALUE"""),24.0)</f>
        <v>24</v>
      </c>
      <c r="E334" s="1">
        <f>IFERROR(__xludf.DUMMYFUNCTION("""COMPUTED_VALUE"""),2.4)</f>
        <v>2.4</v>
      </c>
      <c r="F334" s="1">
        <f>IFERROR(__xludf.DUMMYFUNCTION("""COMPUTED_VALUE"""),6.0)</f>
        <v>6</v>
      </c>
      <c r="G334" s="1">
        <f t="shared" si="1"/>
        <v>4</v>
      </c>
      <c r="H334" s="1">
        <f t="shared" si="2"/>
        <v>0.4</v>
      </c>
      <c r="I334" s="1">
        <f>IFERROR(__xludf.DUMMYFUNCTION("IF(B334="""","""",
  100*F334 / MAX(FILTER($F:$F, $A:$A=$A334, $B:$B=$B334))
)
"),2.803738317757009)</f>
        <v>2.803738318</v>
      </c>
      <c r="J334" s="1">
        <f>IFERROR(__xludf.DUMMYFUNCTION("IF(B334="""","""",
  100*E334 / MAX(FILTER($E:$E, $A:$A=$A334, $B:$B=$B334))
)
"),1.6021361815754338)</f>
        <v>1.602136182</v>
      </c>
      <c r="K334" s="1">
        <f t="shared" si="3"/>
        <v>2.263017356</v>
      </c>
    </row>
    <row r="335">
      <c r="A335" s="3">
        <f>IFERROR(__xludf.DUMMYFUNCTION("""COMPUTED_VALUE"""),45839.0)</f>
        <v>45839</v>
      </c>
      <c r="B335" s="1" t="str">
        <f>IFERROR(__xludf.DUMMYFUNCTION("""COMPUTED_VALUE"""),"HospAlmoa")</f>
        <v>HospAlmoa</v>
      </c>
      <c r="C335" s="1" t="str">
        <f>IFERROR(__xludf.DUMMYFUNCTION("""COMPUTED_VALUE"""),"Pepsi")</f>
        <v>Pepsi</v>
      </c>
      <c r="D335" s="1">
        <f>IFERROR(__xludf.DUMMYFUNCTION("""COMPUTED_VALUE"""),75.0)</f>
        <v>75</v>
      </c>
      <c r="E335" s="1">
        <f>IFERROR(__xludf.DUMMYFUNCTION("""COMPUTED_VALUE"""),18.75)</f>
        <v>18.75</v>
      </c>
      <c r="F335" s="1">
        <f>IFERROR(__xludf.DUMMYFUNCTION("""COMPUTED_VALUE"""),25.0)</f>
        <v>25</v>
      </c>
      <c r="G335" s="1">
        <f t="shared" si="1"/>
        <v>3</v>
      </c>
      <c r="H335" s="1">
        <f t="shared" si="2"/>
        <v>0.75</v>
      </c>
      <c r="I335" s="1">
        <f>IFERROR(__xludf.DUMMYFUNCTION("IF(B335="""","""",
  100*F335 / MAX(FILTER($F:$F, $A:$A=$A335, $B:$B=$B335))
)
"),11.682242990654206)</f>
        <v>11.68224299</v>
      </c>
      <c r="J335" s="1">
        <f>IFERROR(__xludf.DUMMYFUNCTION("IF(B335="""","""",
  100*E335 / MAX(FILTER($E:$E, $A:$A=$A335, $B:$B=$B335))
)
"),12.516688918558076)</f>
        <v>12.51668892</v>
      </c>
      <c r="K335" s="1">
        <f t="shared" si="3"/>
        <v>12.05774366</v>
      </c>
    </row>
    <row r="336">
      <c r="A336" s="3">
        <f>IFERROR(__xludf.DUMMYFUNCTION("""COMPUTED_VALUE"""),45839.0)</f>
        <v>45839</v>
      </c>
      <c r="B336" s="1" t="str">
        <f>IFERROR(__xludf.DUMMYFUNCTION("""COMPUTED_VALUE"""),"HospAlmoa")</f>
        <v>HospAlmoa</v>
      </c>
      <c r="C336" s="1" t="str">
        <f>IFERROR(__xludf.DUMMYFUNCTION("""COMPUTED_VALUE"""),"Pretzels")</f>
        <v>Pretzels</v>
      </c>
      <c r="D336" s="1">
        <f>IFERROR(__xludf.DUMMYFUNCTION("""COMPUTED_VALUE"""),50.0)</f>
        <v>50</v>
      </c>
      <c r="E336" s="1">
        <f>IFERROR(__xludf.DUMMYFUNCTION("""COMPUTED_VALUE"""),17.5)</f>
        <v>17.5</v>
      </c>
      <c r="F336" s="1">
        <f>IFERROR(__xludf.DUMMYFUNCTION("""COMPUTED_VALUE"""),10.0)</f>
        <v>10</v>
      </c>
      <c r="G336" s="1">
        <f t="shared" si="1"/>
        <v>5</v>
      </c>
      <c r="H336" s="1">
        <f t="shared" si="2"/>
        <v>1.75</v>
      </c>
      <c r="I336" s="1">
        <f>IFERROR(__xludf.DUMMYFUNCTION("IF(B336="""","""",
  100*F336 / MAX(FILTER($F:$F, $A:$A=$A336, $B:$B=$B336))
)
"),4.672897196261682)</f>
        <v>4.672897196</v>
      </c>
      <c r="J336" s="1">
        <f>IFERROR(__xludf.DUMMYFUNCTION("IF(B336="""","""",
  100*E336 / MAX(FILTER($E:$E, $A:$A=$A336, $B:$B=$B336))
)
"),11.682242990654204)</f>
        <v>11.68224299</v>
      </c>
      <c r="K336" s="1">
        <f t="shared" si="3"/>
        <v>7.827102804</v>
      </c>
    </row>
    <row r="337">
      <c r="A337" s="3">
        <f>IFERROR(__xludf.DUMMYFUNCTION("""COMPUTED_VALUE"""),45839.0)</f>
        <v>45839</v>
      </c>
      <c r="B337" s="1" t="str">
        <f>IFERROR(__xludf.DUMMYFUNCTION("""COMPUTED_VALUE"""),"HospAlmoa")</f>
        <v>HospAlmoa</v>
      </c>
      <c r="C337" s="1" t="str">
        <f>IFERROR(__xludf.DUMMYFUNCTION("""COMPUTED_VALUE"""),"Rauch Drink")</f>
        <v>Rauch Drink</v>
      </c>
      <c r="D337" s="1">
        <f>IFERROR(__xludf.DUMMYFUNCTION("""COMPUTED_VALUE"""),63.0)</f>
        <v>63</v>
      </c>
      <c r="E337" s="1">
        <f>IFERROR(__xludf.DUMMYFUNCTION("""COMPUTED_VALUE"""),5.25)</f>
        <v>5.25</v>
      </c>
      <c r="F337" s="1">
        <f>IFERROR(__xludf.DUMMYFUNCTION("""COMPUTED_VALUE"""),7.0)</f>
        <v>7</v>
      </c>
      <c r="G337" s="1">
        <f t="shared" si="1"/>
        <v>9</v>
      </c>
      <c r="H337" s="1">
        <f t="shared" si="2"/>
        <v>0.75</v>
      </c>
      <c r="I337" s="1">
        <f>IFERROR(__xludf.DUMMYFUNCTION("IF(B337="""","""",
  100*F337 / MAX(FILTER($F:$F, $A:$A=$A337, $B:$B=$B337))
)
"),3.2710280373831777)</f>
        <v>3.271028037</v>
      </c>
      <c r="J337" s="1">
        <f>IFERROR(__xludf.DUMMYFUNCTION("IF(B337="""","""",
  100*E337 / MAX(FILTER($E:$E, $A:$A=$A337, $B:$B=$B337))
)
"),3.5046728971962615)</f>
        <v>3.504672897</v>
      </c>
      <c r="K337" s="1">
        <f t="shared" si="3"/>
        <v>3.376168224</v>
      </c>
    </row>
    <row r="338">
      <c r="A338" s="3">
        <f>IFERROR(__xludf.DUMMYFUNCTION("""COMPUTED_VALUE"""),45839.0)</f>
        <v>45839</v>
      </c>
      <c r="B338" s="1" t="str">
        <f>IFERROR(__xludf.DUMMYFUNCTION("""COMPUTED_VALUE"""),"HospAlmoa")</f>
        <v>HospAlmoa</v>
      </c>
      <c r="C338" s="1" t="str">
        <f>IFERROR(__xludf.DUMMYFUNCTION("""COMPUTED_VALUE"""),"Schweppes")</f>
        <v>Schweppes</v>
      </c>
      <c r="D338" s="1">
        <f>IFERROR(__xludf.DUMMYFUNCTION("""COMPUTED_VALUE"""),55.0)</f>
        <v>55</v>
      </c>
      <c r="E338" s="1">
        <f>IFERROR(__xludf.DUMMYFUNCTION("""COMPUTED_VALUE"""),25.0)</f>
        <v>25</v>
      </c>
      <c r="F338" s="1">
        <f>IFERROR(__xludf.DUMMYFUNCTION("""COMPUTED_VALUE"""),15.0)</f>
        <v>15</v>
      </c>
      <c r="G338" s="1">
        <f t="shared" si="1"/>
        <v>3.666666667</v>
      </c>
      <c r="H338" s="1">
        <f t="shared" si="2"/>
        <v>1.666666667</v>
      </c>
      <c r="I338" s="1">
        <f>IFERROR(__xludf.DUMMYFUNCTION("IF(B338="""","""",
  100*F338 / MAX(FILTER($F:$F, $A:$A=$A338, $B:$B=$B338))
)
"),7.009345794392523)</f>
        <v>7.009345794</v>
      </c>
      <c r="J338" s="1">
        <f>IFERROR(__xludf.DUMMYFUNCTION("IF(B338="""","""",
  100*E338 / MAX(FILTER($E:$E, $A:$A=$A338, $B:$B=$B338))
)
"),16.688918558077436)</f>
        <v>16.68891856</v>
      </c>
      <c r="K338" s="1">
        <f t="shared" si="3"/>
        <v>11.36515354</v>
      </c>
    </row>
    <row r="339">
      <c r="A339" s="3">
        <f>IFERROR(__xludf.DUMMYFUNCTION("""COMPUTED_VALUE"""),45839.0)</f>
        <v>45839</v>
      </c>
      <c r="B339" s="1" t="str">
        <f>IFERROR(__xludf.DUMMYFUNCTION("""COMPUTED_VALUE"""),"HospAlmoa")</f>
        <v>HospAlmoa</v>
      </c>
      <c r="C339" s="1" t="str">
        <f>IFERROR(__xludf.DUMMYFUNCTION("""COMPUTED_VALUE"""),"Sirma")</f>
        <v>Sirma</v>
      </c>
      <c r="D339" s="1">
        <f>IFERROR(__xludf.DUMMYFUNCTION("""COMPUTED_VALUE"""),24.0)</f>
        <v>24</v>
      </c>
      <c r="E339" s="1">
        <f>IFERROR(__xludf.DUMMYFUNCTION("""COMPUTED_VALUE"""),6.0)</f>
        <v>6</v>
      </c>
      <c r="F339" s="1">
        <f>IFERROR(__xludf.DUMMYFUNCTION("""COMPUTED_VALUE"""),6.0)</f>
        <v>6</v>
      </c>
      <c r="G339" s="1">
        <f t="shared" si="1"/>
        <v>4</v>
      </c>
      <c r="H339" s="1">
        <f t="shared" si="2"/>
        <v>1</v>
      </c>
      <c r="I339" s="1">
        <f>IFERROR(__xludf.DUMMYFUNCTION("IF(B339="""","""",
  100*F339 / MAX(FILTER($F:$F, $A:$A=$A339, $B:$B=$B339))
)
"),2.803738317757009)</f>
        <v>2.803738318</v>
      </c>
      <c r="J339" s="1">
        <f>IFERROR(__xludf.DUMMYFUNCTION("IF(B339="""","""",
  100*E339 / MAX(FILTER($E:$E, $A:$A=$A339, $B:$B=$B339))
)
"),4.005340453938585)</f>
        <v>4.005340454</v>
      </c>
      <c r="K339" s="1">
        <f t="shared" si="3"/>
        <v>3.344459279</v>
      </c>
    </row>
    <row r="340">
      <c r="A340" s="3">
        <f>IFERROR(__xludf.DUMMYFUNCTION("""COMPUTED_VALUE"""),45839.0)</f>
        <v>45839</v>
      </c>
      <c r="B340" s="1" t="str">
        <f>IFERROR(__xludf.DUMMYFUNCTION("""COMPUTED_VALUE"""),"HospAlmoa")</f>
        <v>HospAlmoa</v>
      </c>
      <c r="C340" s="1" t="str">
        <f>IFERROR(__xludf.DUMMYFUNCTION("""COMPUTED_VALUE"""),"Snickers")</f>
        <v>Snickers</v>
      </c>
      <c r="D340" s="1">
        <f>IFERROR(__xludf.DUMMYFUNCTION("""COMPUTED_VALUE"""),44.0)</f>
        <v>44</v>
      </c>
      <c r="E340" s="1">
        <f>IFERROR(__xludf.DUMMYFUNCTION("""COMPUTED_VALUE"""),-5.5)</f>
        <v>-5.5</v>
      </c>
      <c r="F340" s="1">
        <f>IFERROR(__xludf.DUMMYFUNCTION("""COMPUTED_VALUE"""),11.0)</f>
        <v>11</v>
      </c>
      <c r="G340" s="1">
        <f t="shared" si="1"/>
        <v>4</v>
      </c>
      <c r="H340" s="1">
        <f t="shared" si="2"/>
        <v>-0.5</v>
      </c>
      <c r="I340" s="1">
        <f>IFERROR(__xludf.DUMMYFUNCTION("IF(B340="""","""",
  100*F340 / MAX(FILTER($F:$F, $A:$A=$A340, $B:$B=$B340))
)
"),5.140186915887851)</f>
        <v>5.140186916</v>
      </c>
      <c r="J340" s="1">
        <f>IFERROR(__xludf.DUMMYFUNCTION("IF(B340="""","""",
  100*E340 / MAX(FILTER($E:$E, $A:$A=$A340, $B:$B=$B340))
)
"),-3.6715620827770357)</f>
        <v>-3.671562083</v>
      </c>
      <c r="K340" s="1">
        <f t="shared" si="3"/>
        <v>1.174899866</v>
      </c>
    </row>
    <row r="341">
      <c r="A341" s="3">
        <f>IFERROR(__xludf.DUMMYFUNCTION("""COMPUTED_VALUE"""),45839.0)</f>
        <v>45839</v>
      </c>
      <c r="B341" s="1" t="str">
        <f>IFERROR(__xludf.DUMMYFUNCTION("""COMPUTED_VALUE"""),"HospAlmoa")</f>
        <v>HospAlmoa</v>
      </c>
      <c r="C341" s="1" t="str">
        <f>IFERROR(__xludf.DUMMYFUNCTION("""COMPUTED_VALUE"""),"Tiger *12")</f>
        <v>Tiger *12</v>
      </c>
      <c r="D341" s="1">
        <f>IFERROR(__xludf.DUMMYFUNCTION("""COMPUTED_VALUE"""),254.0)</f>
        <v>254</v>
      </c>
      <c r="E341" s="1">
        <f>IFERROR(__xludf.DUMMYFUNCTION("""COMPUTED_VALUE"""),100.0)</f>
        <v>100</v>
      </c>
      <c r="F341" s="1">
        <f>IFERROR(__xludf.DUMMYFUNCTION("""COMPUTED_VALUE"""),50.0)</f>
        <v>50</v>
      </c>
      <c r="G341" s="1">
        <f t="shared" si="1"/>
        <v>5.08</v>
      </c>
      <c r="H341" s="1">
        <f t="shared" si="2"/>
        <v>2</v>
      </c>
      <c r="I341" s="1">
        <f>IFERROR(__xludf.DUMMYFUNCTION("IF(B341="""","""",
  100*F341 / MAX(FILTER($F:$F, $A:$A=$A341, $B:$B=$B341))
)
"),23.364485981308412)</f>
        <v>23.36448598</v>
      </c>
      <c r="J341" s="1">
        <f>IFERROR(__xludf.DUMMYFUNCTION("IF(B341="""","""",
  100*E341 / MAX(FILTER($E:$E, $A:$A=$A341, $B:$B=$B341))
)
"),66.75567423230974)</f>
        <v>66.75567423</v>
      </c>
      <c r="K341" s="1">
        <f t="shared" si="3"/>
        <v>42.89052069</v>
      </c>
    </row>
    <row r="342">
      <c r="A342" s="3">
        <f>IFERROR(__xludf.DUMMYFUNCTION("""COMPUTED_VALUE"""),45839.0)</f>
        <v>45839</v>
      </c>
      <c r="B342" s="1" t="str">
        <f>IFERROR(__xludf.DUMMYFUNCTION("""COMPUTED_VALUE"""),"HospAlmoa")</f>
        <v>HospAlmoa</v>
      </c>
      <c r="C342" s="1" t="str">
        <f>IFERROR(__xludf.DUMMYFUNCTION("""COMPUTED_VALUE"""),"Twix")</f>
        <v>Twix</v>
      </c>
      <c r="D342" s="1">
        <f>IFERROR(__xludf.DUMMYFUNCTION("""COMPUTED_VALUE"""),45.0)</f>
        <v>45</v>
      </c>
      <c r="E342" s="1">
        <f>IFERROR(__xludf.DUMMYFUNCTION("""COMPUTED_VALUE"""),13.5)</f>
        <v>13.5</v>
      </c>
      <c r="F342" s="1">
        <f>IFERROR(__xludf.DUMMYFUNCTION("""COMPUTED_VALUE"""),9.0)</f>
        <v>9</v>
      </c>
      <c r="G342" s="1">
        <f t="shared" si="1"/>
        <v>5</v>
      </c>
      <c r="H342" s="1">
        <f t="shared" si="2"/>
        <v>1.5</v>
      </c>
      <c r="I342" s="1">
        <f>IFERROR(__xludf.DUMMYFUNCTION("IF(B342="""","""",
  100*F342 / MAX(FILTER($F:$F, $A:$A=$A342, $B:$B=$B342))
)
"),4.205607476635514)</f>
        <v>4.205607477</v>
      </c>
      <c r="J342" s="1">
        <f>IFERROR(__xludf.DUMMYFUNCTION("IF(B342="""","""",
  100*E342 / MAX(FILTER($E:$E, $A:$A=$A342, $B:$B=$B342))
)
"),9.012016021361815)</f>
        <v>9.012016021</v>
      </c>
      <c r="K342" s="1">
        <f t="shared" si="3"/>
        <v>6.368491322</v>
      </c>
    </row>
    <row r="343">
      <c r="A343" s="3">
        <f>IFERROR(__xludf.DUMMYFUNCTION("""COMPUTED_VALUE"""),45839.0)</f>
        <v>45839</v>
      </c>
      <c r="B343" s="1" t="str">
        <f>IFERROR(__xludf.DUMMYFUNCTION("""COMPUTED_VALUE"""),"HospAlmoa")</f>
        <v>HospAlmoa</v>
      </c>
      <c r="C343" s="1" t="str">
        <f>IFERROR(__xludf.DUMMYFUNCTION("""COMPUTED_VALUE"""),"Water")</f>
        <v>Water</v>
      </c>
      <c r="D343" s="1">
        <f>IFERROR(__xludf.DUMMYFUNCTION("""COMPUTED_VALUE"""),214.0)</f>
        <v>214</v>
      </c>
      <c r="E343" s="1">
        <f>IFERROR(__xludf.DUMMYFUNCTION("""COMPUTED_VALUE"""),149.8)</f>
        <v>149.8</v>
      </c>
      <c r="F343" s="1">
        <f>IFERROR(__xludf.DUMMYFUNCTION("""COMPUTED_VALUE"""),214.0)</f>
        <v>214</v>
      </c>
      <c r="G343" s="1">
        <f t="shared" si="1"/>
        <v>1</v>
      </c>
      <c r="H343" s="1">
        <f t="shared" si="2"/>
        <v>0.7</v>
      </c>
      <c r="I343" s="1">
        <f>IFERROR(__xludf.DUMMYFUNCTION("IF(B343="""","""",
  100*F343 / MAX(FILTER($F:$F, $A:$A=$A343, $B:$B=$B343))
)
"),100.0)</f>
        <v>100</v>
      </c>
      <c r="J343" s="1">
        <f>IFERROR(__xludf.DUMMYFUNCTION("IF(B343="""","""",
  100*E343 / MAX(FILTER($E:$E, $A:$A=$A343, $B:$B=$B343))
)
"),100.0)</f>
        <v>100</v>
      </c>
      <c r="K343" s="1">
        <f t="shared" si="3"/>
        <v>100</v>
      </c>
    </row>
    <row r="344">
      <c r="A344" s="3">
        <f>IFERROR(__xludf.DUMMYFUNCTION("""COMPUTED_VALUE"""),45839.0)</f>
        <v>45839</v>
      </c>
      <c r="B344" s="1" t="str">
        <f>IFERROR(__xludf.DUMMYFUNCTION("""COMPUTED_VALUE"""),"HospAlmoa")</f>
        <v>HospAlmoa</v>
      </c>
      <c r="C344" s="1" t="str">
        <f>IFERROR(__xludf.DUMMYFUNCTION("""COMPUTED_VALUE"""),"X!R")</f>
        <v>X!R</v>
      </c>
      <c r="D344" s="1">
        <f>IFERROR(__xludf.DUMMYFUNCTION("""COMPUTED_VALUE"""),296.0)</f>
        <v>296</v>
      </c>
      <c r="E344" s="1">
        <f>IFERROR(__xludf.DUMMYFUNCTION("""COMPUTED_VALUE"""),37.0)</f>
        <v>37</v>
      </c>
      <c r="F344" s="1">
        <f>IFERROR(__xludf.DUMMYFUNCTION("""COMPUTED_VALUE"""),74.0)</f>
        <v>74</v>
      </c>
      <c r="G344" s="1">
        <f t="shared" si="1"/>
        <v>4</v>
      </c>
      <c r="H344" s="1">
        <f t="shared" si="2"/>
        <v>0.5</v>
      </c>
      <c r="I344" s="1">
        <f>IFERROR(__xludf.DUMMYFUNCTION("IF(B344="""","""",
  100*F344 / MAX(FILTER($F:$F, $A:$A=$A344, $B:$B=$B344))
)
"),34.57943925233645)</f>
        <v>34.57943925</v>
      </c>
      <c r="J344" s="1">
        <f>IFERROR(__xludf.DUMMYFUNCTION("IF(B344="""","""",
  100*E344 / MAX(FILTER($E:$E, $A:$A=$A344, $B:$B=$B344))
)
"),24.699599465954606)</f>
        <v>24.69959947</v>
      </c>
      <c r="K344" s="1">
        <f t="shared" si="3"/>
        <v>30.13351135</v>
      </c>
    </row>
    <row r="345">
      <c r="A345" s="3">
        <f>IFERROR(__xludf.DUMMYFUNCTION("""COMPUTED_VALUE"""),45839.0)</f>
        <v>45839</v>
      </c>
      <c r="B345" s="1" t="str">
        <f>IFERROR(__xludf.DUMMYFUNCTION("""COMPUTED_VALUE"""),"HospAlmoa")</f>
        <v>HospAlmoa</v>
      </c>
      <c r="C345" s="1" t="str">
        <f>IFERROR(__xludf.DUMMYFUNCTION("""COMPUTED_VALUE"""),"kinza")</f>
        <v>kinza</v>
      </c>
      <c r="D345" s="1">
        <f>IFERROR(__xludf.DUMMYFUNCTION("""COMPUTED_VALUE"""),34.0)</f>
        <v>34</v>
      </c>
      <c r="E345" s="1">
        <f>IFERROR(__xludf.DUMMYFUNCTION("""COMPUTED_VALUE"""),10.9)</f>
        <v>10.9</v>
      </c>
      <c r="F345" s="1">
        <f>IFERROR(__xludf.DUMMYFUNCTION("""COMPUTED_VALUE"""),15.0)</f>
        <v>15</v>
      </c>
      <c r="G345" s="1">
        <f t="shared" si="1"/>
        <v>2.266666667</v>
      </c>
      <c r="H345" s="1">
        <f t="shared" si="2"/>
        <v>0.7266666667</v>
      </c>
      <c r="I345" s="1">
        <f>IFERROR(__xludf.DUMMYFUNCTION("IF(B345="""","""",
  100*F345 / MAX(FILTER($F:$F, $A:$A=$A345, $B:$B=$B345))
)
"),7.009345794392523)</f>
        <v>7.009345794</v>
      </c>
      <c r="J345" s="1">
        <f>IFERROR(__xludf.DUMMYFUNCTION("IF(B345="""","""",
  100*E345 / MAX(FILTER($E:$E, $A:$A=$A345, $B:$B=$B345))
)
"),7.276368491321762)</f>
        <v>7.276368491</v>
      </c>
      <c r="K345" s="1">
        <f t="shared" si="3"/>
        <v>7.129506008</v>
      </c>
    </row>
    <row r="346">
      <c r="A346" s="3">
        <f>IFERROR(__xludf.DUMMYFUNCTION("""COMPUTED_VALUE"""),45839.0)</f>
        <v>45839</v>
      </c>
      <c r="B346" s="1" t="str">
        <f>IFERROR(__xludf.DUMMYFUNCTION("""COMPUTED_VALUE"""),"HospAlmoa")</f>
        <v>HospAlmoa</v>
      </c>
      <c r="C346" s="1" t="str">
        <f>IFERROR(__xludf.DUMMYFUNCTION("""COMPUTED_VALUE"""),"mr bite")</f>
        <v>mr bite</v>
      </c>
      <c r="D346" s="1">
        <f>IFERROR(__xludf.DUMMYFUNCTION("""COMPUTED_VALUE"""),60.0)</f>
        <v>60</v>
      </c>
      <c r="E346" s="1">
        <f>IFERROR(__xludf.DUMMYFUNCTION("""COMPUTED_VALUE"""),20.1)</f>
        <v>20.1</v>
      </c>
      <c r="F346" s="1">
        <f>IFERROR(__xludf.DUMMYFUNCTION("""COMPUTED_VALUE"""),30.0)</f>
        <v>30</v>
      </c>
      <c r="G346" s="1">
        <f t="shared" si="1"/>
        <v>2</v>
      </c>
      <c r="H346" s="1">
        <f t="shared" si="2"/>
        <v>0.67</v>
      </c>
      <c r="I346" s="1">
        <f>IFERROR(__xludf.DUMMYFUNCTION("IF(B346="""","""",
  100*F346 / MAX(FILTER($F:$F, $A:$A=$A346, $B:$B=$B346))
)
"),14.018691588785046)</f>
        <v>14.01869159</v>
      </c>
      <c r="J346" s="1">
        <f>IFERROR(__xludf.DUMMYFUNCTION("IF(B346="""","""",
  100*E346 / MAX(FILTER($E:$E, $A:$A=$A346, $B:$B=$B346))
)
"),13.41789052069426)</f>
        <v>13.41789052</v>
      </c>
      <c r="K346" s="1">
        <f t="shared" si="3"/>
        <v>13.74833111</v>
      </c>
    </row>
    <row r="347">
      <c r="A347" s="3">
        <f>IFERROR(__xludf.DUMMYFUNCTION("""COMPUTED_VALUE"""),45839.0)</f>
        <v>45839</v>
      </c>
      <c r="B347" s="1" t="str">
        <f>IFERROR(__xludf.DUMMYFUNCTION("""COMPUTED_VALUE"""),"HospAlmoa")</f>
        <v>HospAlmoa</v>
      </c>
      <c r="C347" s="1" t="str">
        <f>IFERROR(__xludf.DUMMYFUNCTION("""COMPUTED_VALUE"""),"sunTop")</f>
        <v>sunTop</v>
      </c>
      <c r="D347" s="1">
        <f>IFERROR(__xludf.DUMMYFUNCTION("""COMPUTED_VALUE"""),40.0)</f>
        <v>40</v>
      </c>
      <c r="E347" s="1">
        <f>IFERROR(__xludf.DUMMYFUNCTION("""COMPUTED_VALUE"""),16.0)</f>
        <v>16</v>
      </c>
      <c r="F347" s="1">
        <f>IFERROR(__xludf.DUMMYFUNCTION("""COMPUTED_VALUE"""),40.0)</f>
        <v>40</v>
      </c>
      <c r="G347" s="1">
        <f t="shared" si="1"/>
        <v>1</v>
      </c>
      <c r="H347" s="1">
        <f t="shared" si="2"/>
        <v>0.4</v>
      </c>
      <c r="I347" s="1">
        <f>IFERROR(__xludf.DUMMYFUNCTION("IF(B347="""","""",
  100*F347 / MAX(FILTER($F:$F, $A:$A=$A347, $B:$B=$B347))
)
"),18.69158878504673)</f>
        <v>18.69158879</v>
      </c>
      <c r="J347" s="1">
        <f>IFERROR(__xludf.DUMMYFUNCTION("IF(B347="""","""",
  100*E347 / MAX(FILTER($E:$E, $A:$A=$A347, $B:$B=$B347))
)
"),10.680907877169558)</f>
        <v>10.68090788</v>
      </c>
      <c r="K347" s="1">
        <f t="shared" si="3"/>
        <v>15.08678238</v>
      </c>
    </row>
    <row r="348">
      <c r="A348" s="3">
        <f>IFERROR(__xludf.DUMMYFUNCTION("""COMPUTED_VALUE"""),45870.0)</f>
        <v>45870</v>
      </c>
      <c r="B348" s="1" t="str">
        <f>IFERROR(__xludf.DUMMYFUNCTION("""COMPUTED_VALUE"""),"DPMall")</f>
        <v>DPMall</v>
      </c>
      <c r="C348" s="1" t="str">
        <f>IFERROR(__xludf.DUMMYFUNCTION("""COMPUTED_VALUE"""),"Doritos Dinamita")</f>
        <v>Doritos Dinamita</v>
      </c>
      <c r="D348" s="1">
        <f>IFERROR(__xludf.DUMMYFUNCTION("""COMPUTED_VALUE"""),144.0)</f>
        <v>144</v>
      </c>
      <c r="E348" s="1">
        <f>IFERROR(__xludf.DUMMYFUNCTION("""COMPUTED_VALUE"""),144.0)</f>
        <v>144</v>
      </c>
      <c r="F348" s="1">
        <f>IFERROR(__xludf.DUMMYFUNCTION("""COMPUTED_VALUE"""),12.0)</f>
        <v>12</v>
      </c>
      <c r="G348" s="1">
        <f t="shared" si="1"/>
        <v>12</v>
      </c>
      <c r="H348" s="1">
        <f t="shared" si="2"/>
        <v>12</v>
      </c>
      <c r="I348" s="1">
        <f>IFERROR(__xludf.DUMMYFUNCTION("IF(B348="""","""",
  100*F348 / MAX(FILTER($F:$F, $A:$A=$A348, $B:$B=$B348))
)
"),1.411764705882353)</f>
        <v>1.411764706</v>
      </c>
      <c r="J348" s="1">
        <f>IFERROR(__xludf.DUMMYFUNCTION("IF(B348="""","""",
  100*E348 / MAX(FILTER($E:$E, $A:$A=$A348, $B:$B=$B348))
)
"),16.941176470588236)</f>
        <v>16.94117647</v>
      </c>
      <c r="K348" s="1">
        <f t="shared" si="3"/>
        <v>8.4</v>
      </c>
    </row>
    <row r="349">
      <c r="A349" s="3">
        <f>IFERROR(__xludf.DUMMYFUNCTION("""COMPUTED_VALUE"""),45870.0)</f>
        <v>45870</v>
      </c>
      <c r="B349" s="1" t="str">
        <f>IFERROR(__xludf.DUMMYFUNCTION("""COMPUTED_VALUE"""),"DPMall")</f>
        <v>DPMall</v>
      </c>
      <c r="C349" s="1" t="str">
        <f>IFERROR(__xludf.DUMMYFUNCTION("""COMPUTED_VALUE"""),"Doritos cool ranc")</f>
        <v>Doritos cool ranc</v>
      </c>
      <c r="D349" s="1">
        <f>IFERROR(__xludf.DUMMYFUNCTION("""COMPUTED_VALUE"""),823.0)</f>
        <v>823</v>
      </c>
      <c r="E349" s="1">
        <f>IFERROR(__xludf.DUMMYFUNCTION("""COMPUTED_VALUE"""),823.0)</f>
        <v>823</v>
      </c>
      <c r="F349" s="1">
        <f>IFERROR(__xludf.DUMMYFUNCTION("""COMPUTED_VALUE"""),166.0)</f>
        <v>166</v>
      </c>
      <c r="G349" s="1">
        <f t="shared" si="1"/>
        <v>4.957831325</v>
      </c>
      <c r="H349" s="1">
        <f t="shared" si="2"/>
        <v>4.957831325</v>
      </c>
      <c r="I349" s="1">
        <f>IFERROR(__xludf.DUMMYFUNCTION("IF(B349="""","""",
  100*F349 / MAX(FILTER($F:$F, $A:$A=$A349, $B:$B=$B349))
)
"),19.529411764705884)</f>
        <v>19.52941176</v>
      </c>
      <c r="J349" s="1">
        <f>IFERROR(__xludf.DUMMYFUNCTION("IF(B349="""","""",
  100*E349 / MAX(FILTER($E:$E, $A:$A=$A349, $B:$B=$B349))
)
"),96.82352941176471)</f>
        <v>96.82352941</v>
      </c>
      <c r="K349" s="1">
        <f t="shared" si="3"/>
        <v>54.31176471</v>
      </c>
    </row>
    <row r="350">
      <c r="A350" s="3">
        <f>IFERROR(__xludf.DUMMYFUNCTION("""COMPUTED_VALUE"""),45870.0)</f>
        <v>45870</v>
      </c>
      <c r="B350" s="1" t="str">
        <f>IFERROR(__xludf.DUMMYFUNCTION("""COMPUTED_VALUE"""),"DPMall")</f>
        <v>DPMall</v>
      </c>
      <c r="C350" s="1" t="str">
        <f>IFERROR(__xludf.DUMMYFUNCTION("""COMPUTED_VALUE"""),"Freez drink")</f>
        <v>Freez drink</v>
      </c>
      <c r="D350" s="1">
        <f>IFERROR(__xludf.DUMMYFUNCTION("""COMPUTED_VALUE"""),125.0)</f>
        <v>125</v>
      </c>
      <c r="E350" s="1">
        <f>IFERROR(__xludf.DUMMYFUNCTION("""COMPUTED_VALUE"""),125.0)</f>
        <v>125</v>
      </c>
      <c r="F350" s="1">
        <f>IFERROR(__xludf.DUMMYFUNCTION("""COMPUTED_VALUE"""),25.0)</f>
        <v>25</v>
      </c>
      <c r="G350" s="1">
        <f t="shared" si="1"/>
        <v>5</v>
      </c>
      <c r="H350" s="1">
        <f t="shared" si="2"/>
        <v>5</v>
      </c>
      <c r="I350" s="1">
        <f>IFERROR(__xludf.DUMMYFUNCTION("IF(B350="""","""",
  100*F350 / MAX(FILTER($F:$F, $A:$A=$A350, $B:$B=$B350))
)
"),2.9411764705882355)</f>
        <v>2.941176471</v>
      </c>
      <c r="J350" s="1">
        <f>IFERROR(__xludf.DUMMYFUNCTION("IF(B350="""","""",
  100*E350 / MAX(FILTER($E:$E, $A:$A=$A350, $B:$B=$B350))
)
"),14.705882352941176)</f>
        <v>14.70588235</v>
      </c>
      <c r="K350" s="1">
        <f t="shared" si="3"/>
        <v>8.235294118</v>
      </c>
    </row>
    <row r="351">
      <c r="A351" s="3">
        <f>IFERROR(__xludf.DUMMYFUNCTION("""COMPUTED_VALUE"""),45870.0)</f>
        <v>45870</v>
      </c>
      <c r="B351" s="1" t="str">
        <f>IFERROR(__xludf.DUMMYFUNCTION("""COMPUTED_VALUE"""),"DPMall")</f>
        <v>DPMall</v>
      </c>
      <c r="C351" s="1" t="str">
        <f>IFERROR(__xludf.DUMMYFUNCTION("""COMPUTED_VALUE"""),"Gardena")</f>
        <v>Gardena</v>
      </c>
      <c r="D351" s="1">
        <f>IFERROR(__xludf.DUMMYFUNCTION("""COMPUTED_VALUE"""),91.0)</f>
        <v>91</v>
      </c>
      <c r="E351" s="1">
        <f>IFERROR(__xludf.DUMMYFUNCTION("""COMPUTED_VALUE"""),91.0)</f>
        <v>91</v>
      </c>
      <c r="F351" s="1">
        <f>IFERROR(__xludf.DUMMYFUNCTION("""COMPUTED_VALUE"""),15.0)</f>
        <v>15</v>
      </c>
      <c r="G351" s="1">
        <f t="shared" si="1"/>
        <v>6.066666667</v>
      </c>
      <c r="H351" s="1">
        <f t="shared" si="2"/>
        <v>6.066666667</v>
      </c>
      <c r="I351" s="1">
        <f>IFERROR(__xludf.DUMMYFUNCTION("IF(B351="""","""",
  100*F351 / MAX(FILTER($F:$F, $A:$A=$A351, $B:$B=$B351))
)
"),1.7647058823529411)</f>
        <v>1.764705882</v>
      </c>
      <c r="J351" s="1">
        <f>IFERROR(__xludf.DUMMYFUNCTION("IF(B351="""","""",
  100*E351 / MAX(FILTER($E:$E, $A:$A=$A351, $B:$B=$B351))
)
"),10.705882352941176)</f>
        <v>10.70588235</v>
      </c>
      <c r="K351" s="1">
        <f t="shared" si="3"/>
        <v>5.788235294</v>
      </c>
    </row>
    <row r="352">
      <c r="A352" s="3">
        <f>IFERROR(__xludf.DUMMYFUNCTION("""COMPUTED_VALUE"""),45870.0)</f>
        <v>45870</v>
      </c>
      <c r="B352" s="1" t="str">
        <f>IFERROR(__xludf.DUMMYFUNCTION("""COMPUTED_VALUE"""),"DPMall")</f>
        <v>DPMall</v>
      </c>
      <c r="C352" s="1" t="str">
        <f>IFERROR(__xludf.DUMMYFUNCTION("""COMPUTED_VALUE"""),"Green")</f>
        <v>Green</v>
      </c>
      <c r="D352" s="1">
        <f>IFERROR(__xludf.DUMMYFUNCTION("""COMPUTED_VALUE"""),87.0)</f>
        <v>87</v>
      </c>
      <c r="E352" s="1">
        <f>IFERROR(__xludf.DUMMYFUNCTION("""COMPUTED_VALUE"""),87.0)</f>
        <v>87</v>
      </c>
      <c r="F352" s="1">
        <f>IFERROR(__xludf.DUMMYFUNCTION("""COMPUTED_VALUE"""),29.0)</f>
        <v>29</v>
      </c>
      <c r="G352" s="1">
        <f t="shared" si="1"/>
        <v>3</v>
      </c>
      <c r="H352" s="1">
        <f t="shared" si="2"/>
        <v>3</v>
      </c>
      <c r="I352" s="1">
        <f>IFERROR(__xludf.DUMMYFUNCTION("IF(B352="""","""",
  100*F352 / MAX(FILTER($F:$F, $A:$A=$A352, $B:$B=$B352))
)
"),3.411764705882353)</f>
        <v>3.411764706</v>
      </c>
      <c r="J352" s="1">
        <f>IFERROR(__xludf.DUMMYFUNCTION("IF(B352="""","""",
  100*E352 / MAX(FILTER($E:$E, $A:$A=$A352, $B:$B=$B352))
)
"),10.235294117647058)</f>
        <v>10.23529412</v>
      </c>
      <c r="K352" s="1">
        <f t="shared" si="3"/>
        <v>6.482352941</v>
      </c>
    </row>
    <row r="353">
      <c r="A353" s="3">
        <f>IFERROR(__xludf.DUMMYFUNCTION("""COMPUTED_VALUE"""),45870.0)</f>
        <v>45870</v>
      </c>
      <c r="B353" s="1" t="str">
        <f>IFERROR(__xludf.DUMMYFUNCTION("""COMPUTED_VALUE"""),"DPMall")</f>
        <v>DPMall</v>
      </c>
      <c r="C353" s="1" t="str">
        <f>IFERROR(__xludf.DUMMYFUNCTION("""COMPUTED_VALUE"""),"Laviva")</f>
        <v>Laviva</v>
      </c>
      <c r="D353" s="1">
        <f>IFERROR(__xludf.DUMMYFUNCTION("""COMPUTED_VALUE"""),105.0)</f>
        <v>105</v>
      </c>
      <c r="E353" s="1">
        <f>IFERROR(__xludf.DUMMYFUNCTION("""COMPUTED_VALUE"""),105.0)</f>
        <v>105</v>
      </c>
      <c r="F353" s="1">
        <f>IFERROR(__xludf.DUMMYFUNCTION("""COMPUTED_VALUE"""),35.0)</f>
        <v>35</v>
      </c>
      <c r="G353" s="1">
        <f t="shared" si="1"/>
        <v>3</v>
      </c>
      <c r="H353" s="1">
        <f t="shared" si="2"/>
        <v>3</v>
      </c>
      <c r="I353" s="1">
        <f>IFERROR(__xludf.DUMMYFUNCTION("IF(B353="""","""",
  100*F353 / MAX(FILTER($F:$F, $A:$A=$A353, $B:$B=$B353))
)
"),4.117647058823529)</f>
        <v>4.117647059</v>
      </c>
      <c r="J353" s="1">
        <f>IFERROR(__xludf.DUMMYFUNCTION("IF(B353="""","""",
  100*E353 / MAX(FILTER($E:$E, $A:$A=$A353, $B:$B=$B353))
)
"),12.352941176470589)</f>
        <v>12.35294118</v>
      </c>
      <c r="K353" s="1">
        <f t="shared" si="3"/>
        <v>7.823529412</v>
      </c>
    </row>
    <row r="354">
      <c r="A354" s="3">
        <f>IFERROR(__xludf.DUMMYFUNCTION("""COMPUTED_VALUE"""),45870.0)</f>
        <v>45870</v>
      </c>
      <c r="B354" s="1" t="str">
        <f>IFERROR(__xludf.DUMMYFUNCTION("""COMPUTED_VALUE"""),"DPMall")</f>
        <v>DPMall</v>
      </c>
      <c r="C354" s="1" t="str">
        <f>IFERROR(__xludf.DUMMYFUNCTION("""COMPUTED_VALUE"""),"Maltesers")</f>
        <v>Maltesers</v>
      </c>
      <c r="D354" s="1">
        <f>IFERROR(__xludf.DUMMYFUNCTION("""COMPUTED_VALUE"""),165.0)</f>
        <v>165</v>
      </c>
      <c r="E354" s="1">
        <f>IFERROR(__xludf.DUMMYFUNCTION("""COMPUTED_VALUE"""),165.0)</f>
        <v>165</v>
      </c>
      <c r="F354" s="1">
        <f>IFERROR(__xludf.DUMMYFUNCTION("""COMPUTED_VALUE"""),31.0)</f>
        <v>31</v>
      </c>
      <c r="G354" s="1">
        <f t="shared" si="1"/>
        <v>5.322580645</v>
      </c>
      <c r="H354" s="1">
        <f t="shared" si="2"/>
        <v>5.322580645</v>
      </c>
      <c r="I354" s="1">
        <f>IFERROR(__xludf.DUMMYFUNCTION("IF(B354="""","""",
  100*F354 / MAX(FILTER($F:$F, $A:$A=$A354, $B:$B=$B354))
)
"),3.6470588235294117)</f>
        <v>3.647058824</v>
      </c>
      <c r="J354" s="1">
        <f>IFERROR(__xludf.DUMMYFUNCTION("IF(B354="""","""",
  100*E354 / MAX(FILTER($E:$E, $A:$A=$A354, $B:$B=$B354))
)
"),19.41176470588235)</f>
        <v>19.41176471</v>
      </c>
      <c r="K354" s="1">
        <f t="shared" si="3"/>
        <v>10.74117647</v>
      </c>
    </row>
    <row r="355">
      <c r="A355" s="3">
        <f>IFERROR(__xludf.DUMMYFUNCTION("""COMPUTED_VALUE"""),45870.0)</f>
        <v>45870</v>
      </c>
      <c r="B355" s="1" t="str">
        <f>IFERROR(__xludf.DUMMYFUNCTION("""COMPUTED_VALUE"""),"DPMall")</f>
        <v>DPMall</v>
      </c>
      <c r="C355" s="1" t="str">
        <f>IFERROR(__xludf.DUMMYFUNCTION("""COMPUTED_VALUE"""),"Marshmellow sweetBag")</f>
        <v>Marshmellow sweetBag</v>
      </c>
      <c r="D355" s="1">
        <f>IFERROR(__xludf.DUMMYFUNCTION("""COMPUTED_VALUE"""),45.0)</f>
        <v>45</v>
      </c>
      <c r="E355" s="1">
        <f>IFERROR(__xludf.DUMMYFUNCTION("""COMPUTED_VALUE"""),45.0)</f>
        <v>45</v>
      </c>
      <c r="F355" s="1">
        <f>IFERROR(__xludf.DUMMYFUNCTION("""COMPUTED_VALUE"""),9.0)</f>
        <v>9</v>
      </c>
      <c r="G355" s="1">
        <f t="shared" si="1"/>
        <v>5</v>
      </c>
      <c r="H355" s="1">
        <f t="shared" si="2"/>
        <v>5</v>
      </c>
      <c r="I355" s="1">
        <f>IFERROR(__xludf.DUMMYFUNCTION("IF(B355="""","""",
  100*F355 / MAX(FILTER($F:$F, $A:$A=$A355, $B:$B=$B355))
)
"),1.0588235294117647)</f>
        <v>1.058823529</v>
      </c>
      <c r="J355" s="1">
        <f>IFERROR(__xludf.DUMMYFUNCTION("IF(B355="""","""",
  100*E355 / MAX(FILTER($E:$E, $A:$A=$A355, $B:$B=$B355))
)
"),5.294117647058823)</f>
        <v>5.294117647</v>
      </c>
      <c r="K355" s="1">
        <f t="shared" si="3"/>
        <v>2.964705882</v>
      </c>
    </row>
    <row r="356">
      <c r="A356" s="3">
        <f>IFERROR(__xludf.DUMMYFUNCTION("""COMPUTED_VALUE"""),45870.0)</f>
        <v>45870</v>
      </c>
      <c r="B356" s="1" t="str">
        <f>IFERROR(__xludf.DUMMYFUNCTION("""COMPUTED_VALUE"""),"DPMall")</f>
        <v>DPMall</v>
      </c>
      <c r="C356" s="1" t="str">
        <f>IFERROR(__xludf.DUMMYFUNCTION("""COMPUTED_VALUE"""),"Tiger *12")</f>
        <v>Tiger *12</v>
      </c>
      <c r="D356" s="1">
        <f>IFERROR(__xludf.DUMMYFUNCTION("""COMPUTED_VALUE"""),830.0)</f>
        <v>830</v>
      </c>
      <c r="E356" s="1">
        <f>IFERROR(__xludf.DUMMYFUNCTION("""COMPUTED_VALUE"""),830.0)</f>
        <v>830</v>
      </c>
      <c r="F356" s="1">
        <f>IFERROR(__xludf.DUMMYFUNCTION("""COMPUTED_VALUE"""),166.0)</f>
        <v>166</v>
      </c>
      <c r="G356" s="1">
        <f t="shared" si="1"/>
        <v>5</v>
      </c>
      <c r="H356" s="1">
        <f t="shared" si="2"/>
        <v>5</v>
      </c>
      <c r="I356" s="1">
        <f>IFERROR(__xludf.DUMMYFUNCTION("IF(B356="""","""",
  100*F356 / MAX(FILTER($F:$F, $A:$A=$A356, $B:$B=$B356))
)
"),19.529411764705884)</f>
        <v>19.52941176</v>
      </c>
      <c r="J356" s="1">
        <f>IFERROR(__xludf.DUMMYFUNCTION("IF(B356="""","""",
  100*E356 / MAX(FILTER($E:$E, $A:$A=$A356, $B:$B=$B356))
)
"),97.6470588235294)</f>
        <v>97.64705882</v>
      </c>
      <c r="K356" s="1">
        <f t="shared" si="3"/>
        <v>54.68235294</v>
      </c>
    </row>
    <row r="357">
      <c r="A357" s="3">
        <f>IFERROR(__xludf.DUMMYFUNCTION("""COMPUTED_VALUE"""),45870.0)</f>
        <v>45870</v>
      </c>
      <c r="B357" s="1" t="str">
        <f>IFERROR(__xludf.DUMMYFUNCTION("""COMPUTED_VALUE"""),"DPMall")</f>
        <v>DPMall</v>
      </c>
      <c r="C357" s="1" t="str">
        <f>IFERROR(__xludf.DUMMYFUNCTION("""COMPUTED_VALUE"""),"Wafe up extra")</f>
        <v>Wafe up extra</v>
      </c>
      <c r="D357" s="1">
        <f>IFERROR(__xludf.DUMMYFUNCTION("""COMPUTED_VALUE"""),95.0)</f>
        <v>95</v>
      </c>
      <c r="E357" s="1">
        <f>IFERROR(__xludf.DUMMYFUNCTION("""COMPUTED_VALUE"""),95.0)</f>
        <v>95</v>
      </c>
      <c r="F357" s="1">
        <f>IFERROR(__xludf.DUMMYFUNCTION("""COMPUTED_VALUE"""),19.0)</f>
        <v>19</v>
      </c>
      <c r="G357" s="1">
        <f t="shared" si="1"/>
        <v>5</v>
      </c>
      <c r="H357" s="1">
        <f t="shared" si="2"/>
        <v>5</v>
      </c>
      <c r="I357" s="1">
        <f>IFERROR(__xludf.DUMMYFUNCTION("IF(B357="""","""",
  100*F357 / MAX(FILTER($F:$F, $A:$A=$A357, $B:$B=$B357))
)
"),2.235294117647059)</f>
        <v>2.235294118</v>
      </c>
      <c r="J357" s="1">
        <f>IFERROR(__xludf.DUMMYFUNCTION("IF(B357="""","""",
  100*E357 / MAX(FILTER($E:$E, $A:$A=$A357, $B:$B=$B357))
)
"),11.176470588235293)</f>
        <v>11.17647059</v>
      </c>
      <c r="K357" s="1">
        <f t="shared" si="3"/>
        <v>6.258823529</v>
      </c>
    </row>
    <row r="358">
      <c r="A358" s="3">
        <f>IFERROR(__xludf.DUMMYFUNCTION("""COMPUTED_VALUE"""),45870.0)</f>
        <v>45870</v>
      </c>
      <c r="B358" s="1" t="str">
        <f>IFERROR(__xludf.DUMMYFUNCTION("""COMPUTED_VALUE"""),"DPMall")</f>
        <v>DPMall</v>
      </c>
      <c r="C358" s="1" t="str">
        <f>IFERROR(__xludf.DUMMYFUNCTION("""COMPUTED_VALUE"""),"Water")</f>
        <v>Water</v>
      </c>
      <c r="D358" s="1">
        <f>IFERROR(__xludf.DUMMYFUNCTION("""COMPUTED_VALUE"""),850.0)</f>
        <v>850</v>
      </c>
      <c r="E358" s="1">
        <f>IFERROR(__xludf.DUMMYFUNCTION("""COMPUTED_VALUE"""),850.0)</f>
        <v>850</v>
      </c>
      <c r="F358" s="1">
        <f>IFERROR(__xludf.DUMMYFUNCTION("""COMPUTED_VALUE"""),850.0)</f>
        <v>850</v>
      </c>
      <c r="G358" s="1">
        <f t="shared" si="1"/>
        <v>1</v>
      </c>
      <c r="H358" s="1">
        <f t="shared" si="2"/>
        <v>1</v>
      </c>
      <c r="I358" s="1">
        <f>IFERROR(__xludf.DUMMYFUNCTION("IF(B358="""","""",
  100*F358 / MAX(FILTER($F:$F, $A:$A=$A358, $B:$B=$B358))
)
"),100.0)</f>
        <v>100</v>
      </c>
      <c r="J358" s="1">
        <f>IFERROR(__xludf.DUMMYFUNCTION("IF(B358="""","""",
  100*E358 / MAX(FILTER($E:$E, $A:$A=$A358, $B:$B=$B358))
)
"),100.0)</f>
        <v>100</v>
      </c>
      <c r="K358" s="1">
        <f t="shared" si="3"/>
        <v>100</v>
      </c>
    </row>
    <row r="359">
      <c r="A359" s="3">
        <f>IFERROR(__xludf.DUMMYFUNCTION("""COMPUTED_VALUE"""),45870.0)</f>
        <v>45870</v>
      </c>
      <c r="B359" s="1" t="str">
        <f>IFERROR(__xludf.DUMMYFUNCTION("""COMPUTED_VALUE"""),"DPMall")</f>
        <v>DPMall</v>
      </c>
      <c r="C359" s="1" t="str">
        <f>IFERROR(__xludf.DUMMYFUNCTION("""COMPUTED_VALUE"""),"X!R")</f>
        <v>X!R</v>
      </c>
      <c r="D359" s="1">
        <f>IFERROR(__xludf.DUMMYFUNCTION("""COMPUTED_VALUE"""),635.0)</f>
        <v>635</v>
      </c>
      <c r="E359" s="1">
        <f>IFERROR(__xludf.DUMMYFUNCTION("""COMPUTED_VALUE"""),635.0)</f>
        <v>635</v>
      </c>
      <c r="F359" s="1">
        <f>IFERROR(__xludf.DUMMYFUNCTION("""COMPUTED_VALUE"""),131.0)</f>
        <v>131</v>
      </c>
      <c r="G359" s="1">
        <f t="shared" si="1"/>
        <v>4.847328244</v>
      </c>
      <c r="H359" s="1">
        <f t="shared" si="2"/>
        <v>4.847328244</v>
      </c>
      <c r="I359" s="1">
        <f>IFERROR(__xludf.DUMMYFUNCTION("IF(B359="""","""",
  100*F359 / MAX(FILTER($F:$F, $A:$A=$A359, $B:$B=$B359))
)
"),15.411764705882353)</f>
        <v>15.41176471</v>
      </c>
      <c r="J359" s="1">
        <f>IFERROR(__xludf.DUMMYFUNCTION("IF(B359="""","""",
  100*E359 / MAX(FILTER($E:$E, $A:$A=$A359, $B:$B=$B359))
)
"),74.70588235294117)</f>
        <v>74.70588235</v>
      </c>
      <c r="K359" s="1">
        <f t="shared" si="3"/>
        <v>42.09411765</v>
      </c>
    </row>
    <row r="360">
      <c r="A360" s="3">
        <f>IFERROR(__xludf.DUMMYFUNCTION("""COMPUTED_VALUE"""),45870.0)</f>
        <v>45870</v>
      </c>
      <c r="B360" s="1" t="str">
        <f>IFERROR(__xludf.DUMMYFUNCTION("""COMPUTED_VALUE"""),"DPMall")</f>
        <v>DPMall</v>
      </c>
      <c r="C360" s="1" t="str">
        <f>IFERROR(__xludf.DUMMYFUNCTION("""COMPUTED_VALUE"""),"bonart sour")</f>
        <v>bonart sour</v>
      </c>
      <c r="D360" s="1">
        <f>IFERROR(__xludf.DUMMYFUNCTION("""COMPUTED_VALUE"""),208.0)</f>
        <v>208</v>
      </c>
      <c r="E360" s="1">
        <f>IFERROR(__xludf.DUMMYFUNCTION("""COMPUTED_VALUE"""),208.0)</f>
        <v>208</v>
      </c>
      <c r="F360" s="1">
        <f>IFERROR(__xludf.DUMMYFUNCTION("""COMPUTED_VALUE"""),42.0)</f>
        <v>42</v>
      </c>
      <c r="G360" s="1">
        <f t="shared" si="1"/>
        <v>4.952380952</v>
      </c>
      <c r="H360" s="1">
        <f t="shared" si="2"/>
        <v>4.952380952</v>
      </c>
      <c r="I360" s="1">
        <f>IFERROR(__xludf.DUMMYFUNCTION("IF(B360="""","""",
  100*F360 / MAX(FILTER($F:$F, $A:$A=$A360, $B:$B=$B360))
)
"),4.9411764705882355)</f>
        <v>4.941176471</v>
      </c>
      <c r="J360" s="1">
        <f>IFERROR(__xludf.DUMMYFUNCTION("IF(B360="""","""",
  100*E360 / MAX(FILTER($E:$E, $A:$A=$A360, $B:$B=$B360))
)
"),24.470588235294116)</f>
        <v>24.47058824</v>
      </c>
      <c r="K360" s="1">
        <f t="shared" si="3"/>
        <v>13.72941176</v>
      </c>
    </row>
    <row r="361">
      <c r="A361" s="3">
        <f>IFERROR(__xludf.DUMMYFUNCTION("""COMPUTED_VALUE"""),45870.0)</f>
        <v>45870</v>
      </c>
      <c r="B361" s="1" t="str">
        <f>IFERROR(__xludf.DUMMYFUNCTION("""COMPUTED_VALUE"""),"DPMall")</f>
        <v>DPMall</v>
      </c>
      <c r="C361" s="1" t="str">
        <f>IFERROR(__xludf.DUMMYFUNCTION("""COMPUTED_VALUE"""),"helo kitty")</f>
        <v>helo kitty</v>
      </c>
      <c r="D361" s="1">
        <f>IFERROR(__xludf.DUMMYFUNCTION("""COMPUTED_VALUE"""),104.0)</f>
        <v>104</v>
      </c>
      <c r="E361" s="1">
        <f>IFERROR(__xludf.DUMMYFUNCTION("""COMPUTED_VALUE"""),104.0)</f>
        <v>104</v>
      </c>
      <c r="F361" s="1">
        <f>IFERROR(__xludf.DUMMYFUNCTION("""COMPUTED_VALUE"""),29.0)</f>
        <v>29</v>
      </c>
      <c r="G361" s="1">
        <f t="shared" si="1"/>
        <v>3.586206897</v>
      </c>
      <c r="H361" s="1">
        <f t="shared" si="2"/>
        <v>3.586206897</v>
      </c>
      <c r="I361" s="1">
        <f>IFERROR(__xludf.DUMMYFUNCTION("IF(B361="""","""",
  100*F361 / MAX(FILTER($F:$F, $A:$A=$A361, $B:$B=$B361))
)
"),3.411764705882353)</f>
        <v>3.411764706</v>
      </c>
      <c r="J361" s="1">
        <f>IFERROR(__xludf.DUMMYFUNCTION("IF(B361="""","""",
  100*E361 / MAX(FILTER($E:$E, $A:$A=$A361, $B:$B=$B361))
)
"),12.235294117647058)</f>
        <v>12.23529412</v>
      </c>
      <c r="K361" s="1">
        <f t="shared" si="3"/>
        <v>7.382352941</v>
      </c>
    </row>
    <row r="362">
      <c r="A362" s="3">
        <f>IFERROR(__xludf.DUMMYFUNCTION("""COMPUTED_VALUE"""),45870.0)</f>
        <v>45870</v>
      </c>
      <c r="B362" s="1" t="str">
        <f>IFERROR(__xludf.DUMMYFUNCTION("""COMPUTED_VALUE"""),"DPMall")</f>
        <v>DPMall</v>
      </c>
      <c r="C362" s="1" t="str">
        <f>IFERROR(__xludf.DUMMYFUNCTION("""COMPUTED_VALUE"""),"ifrui juice")</f>
        <v>ifrui juice</v>
      </c>
      <c r="D362" s="1">
        <f>IFERROR(__xludf.DUMMYFUNCTION("""COMPUTED_VALUE"""),93.0)</f>
        <v>93</v>
      </c>
      <c r="E362" s="1">
        <f>IFERROR(__xludf.DUMMYFUNCTION("""COMPUTED_VALUE"""),93.0)</f>
        <v>93</v>
      </c>
      <c r="F362" s="1">
        <f>IFERROR(__xludf.DUMMYFUNCTION("""COMPUTED_VALUE"""),31.0)</f>
        <v>31</v>
      </c>
      <c r="G362" s="1">
        <f t="shared" si="1"/>
        <v>3</v>
      </c>
      <c r="H362" s="1">
        <f t="shared" si="2"/>
        <v>3</v>
      </c>
      <c r="I362" s="1">
        <f>IFERROR(__xludf.DUMMYFUNCTION("IF(B362="""","""",
  100*F362 / MAX(FILTER($F:$F, $A:$A=$A362, $B:$B=$B362))
)
"),3.6470588235294117)</f>
        <v>3.647058824</v>
      </c>
      <c r="J362" s="1">
        <f>IFERROR(__xludf.DUMMYFUNCTION("IF(B362="""","""",
  100*E362 / MAX(FILTER($E:$E, $A:$A=$A362, $B:$B=$B362))
)
"),10.941176470588236)</f>
        <v>10.94117647</v>
      </c>
      <c r="K362" s="1">
        <f t="shared" si="3"/>
        <v>6.929411765</v>
      </c>
    </row>
    <row r="363">
      <c r="A363" s="3">
        <f>IFERROR(__xludf.DUMMYFUNCTION("""COMPUTED_VALUE"""),45870.0)</f>
        <v>45870</v>
      </c>
      <c r="B363" s="1" t="str">
        <f>IFERROR(__xludf.DUMMYFUNCTION("""COMPUTED_VALUE"""),"DPMall")</f>
        <v>DPMall</v>
      </c>
      <c r="C363" s="1" t="str">
        <f>IFERROR(__xludf.DUMMYFUNCTION("""COMPUTED_VALUE"""),"kinder bueno")</f>
        <v>kinder bueno</v>
      </c>
      <c r="D363" s="1">
        <f>IFERROR(__xludf.DUMMYFUNCTION("""COMPUTED_VALUE"""),90.0)</f>
        <v>90</v>
      </c>
      <c r="E363" s="1">
        <f>IFERROR(__xludf.DUMMYFUNCTION("""COMPUTED_VALUE"""),90.0)</f>
        <v>90</v>
      </c>
      <c r="F363" s="1">
        <f>IFERROR(__xludf.DUMMYFUNCTION("""COMPUTED_VALUE"""),15.0)</f>
        <v>15</v>
      </c>
      <c r="G363" s="1">
        <f t="shared" si="1"/>
        <v>6</v>
      </c>
      <c r="H363" s="1">
        <f t="shared" si="2"/>
        <v>6</v>
      </c>
      <c r="I363" s="1">
        <f>IFERROR(__xludf.DUMMYFUNCTION("IF(B363="""","""",
  100*F363 / MAX(FILTER($F:$F, $A:$A=$A363, $B:$B=$B363))
)
"),1.7647058823529411)</f>
        <v>1.764705882</v>
      </c>
      <c r="J363" s="1">
        <f>IFERROR(__xludf.DUMMYFUNCTION("IF(B363="""","""",
  100*E363 / MAX(FILTER($E:$E, $A:$A=$A363, $B:$B=$B363))
)
"),10.588235294117647)</f>
        <v>10.58823529</v>
      </c>
      <c r="K363" s="1">
        <f t="shared" si="3"/>
        <v>5.735294118</v>
      </c>
    </row>
    <row r="364">
      <c r="A364" s="3">
        <f>IFERROR(__xludf.DUMMYFUNCTION("""COMPUTED_VALUE"""),45870.0)</f>
        <v>45870</v>
      </c>
      <c r="B364" s="1" t="str">
        <f>IFERROR(__xludf.DUMMYFUNCTION("""COMPUTED_VALUE"""),"DPMall")</f>
        <v>DPMall</v>
      </c>
      <c r="C364" s="1" t="str">
        <f>IFERROR(__xludf.DUMMYFUNCTION("""COMPUTED_VALUE"""),"kinza")</f>
        <v>kinza</v>
      </c>
      <c r="D364" s="1">
        <f>IFERROR(__xludf.DUMMYFUNCTION("""COMPUTED_VALUE"""),223.0)</f>
        <v>223</v>
      </c>
      <c r="E364" s="1">
        <f>IFERROR(__xludf.DUMMYFUNCTION("""COMPUTED_VALUE"""),223.0)</f>
        <v>223</v>
      </c>
      <c r="F364" s="1">
        <f>IFERROR(__xludf.DUMMYFUNCTION("""COMPUTED_VALUE"""),90.0)</f>
        <v>90</v>
      </c>
      <c r="G364" s="1">
        <f t="shared" si="1"/>
        <v>2.477777778</v>
      </c>
      <c r="H364" s="1">
        <f t="shared" si="2"/>
        <v>2.477777778</v>
      </c>
      <c r="I364" s="1">
        <f>IFERROR(__xludf.DUMMYFUNCTION("IF(B364="""","""",
  100*F364 / MAX(FILTER($F:$F, $A:$A=$A364, $B:$B=$B364))
)
"),10.588235294117647)</f>
        <v>10.58823529</v>
      </c>
      <c r="J364" s="1">
        <f>IFERROR(__xludf.DUMMYFUNCTION("IF(B364="""","""",
  100*E364 / MAX(FILTER($E:$E, $A:$A=$A364, $B:$B=$B364))
)
"),26.235294117647058)</f>
        <v>26.23529412</v>
      </c>
      <c r="K364" s="1">
        <f t="shared" si="3"/>
        <v>17.62941176</v>
      </c>
    </row>
    <row r="365">
      <c r="A365" s="3">
        <f>IFERROR(__xludf.DUMMYFUNCTION("""COMPUTED_VALUE"""),45870.0)</f>
        <v>45870</v>
      </c>
      <c r="B365" s="1" t="str">
        <f>IFERROR(__xludf.DUMMYFUNCTION("""COMPUTED_VALUE"""),"DPMall")</f>
        <v>DPMall</v>
      </c>
      <c r="C365" s="1" t="str">
        <f>IFERROR(__xludf.DUMMYFUNCTION("""COMPUTED_VALUE"""),"kitkat")</f>
        <v>kitkat</v>
      </c>
      <c r="D365" s="1">
        <f>IFERROR(__xludf.DUMMYFUNCTION("""COMPUTED_VALUE"""),60.0)</f>
        <v>60</v>
      </c>
      <c r="E365" s="1">
        <f>IFERROR(__xludf.DUMMYFUNCTION("""COMPUTED_VALUE"""),60.0)</f>
        <v>60</v>
      </c>
      <c r="F365" s="1">
        <f>IFERROR(__xludf.DUMMYFUNCTION("""COMPUTED_VALUE"""),12.0)</f>
        <v>12</v>
      </c>
      <c r="G365" s="1">
        <f t="shared" si="1"/>
        <v>5</v>
      </c>
      <c r="H365" s="1">
        <f t="shared" si="2"/>
        <v>5</v>
      </c>
      <c r="I365" s="1">
        <f>IFERROR(__xludf.DUMMYFUNCTION("IF(B365="""","""",
  100*F365 / MAX(FILTER($F:$F, $A:$A=$A365, $B:$B=$B365))
)
"),1.411764705882353)</f>
        <v>1.411764706</v>
      </c>
      <c r="J365" s="1">
        <f>IFERROR(__xludf.DUMMYFUNCTION("IF(B365="""","""",
  100*E365 / MAX(FILTER($E:$E, $A:$A=$A365, $B:$B=$B365))
)
"),7.0588235294117645)</f>
        <v>7.058823529</v>
      </c>
      <c r="K365" s="1">
        <f t="shared" si="3"/>
        <v>3.952941176</v>
      </c>
    </row>
    <row r="366">
      <c r="A366" s="3">
        <f>IFERROR(__xludf.DUMMYFUNCTION("""COMPUTED_VALUE"""),45870.0)</f>
        <v>45870</v>
      </c>
      <c r="B366" s="1" t="str">
        <f>IFERROR(__xludf.DUMMYFUNCTION("""COMPUTED_VALUE"""),"DPMall")</f>
        <v>DPMall</v>
      </c>
      <c r="C366" s="1" t="str">
        <f>IFERROR(__xludf.DUMMYFUNCTION("""COMPUTED_VALUE"""),"mr bite")</f>
        <v>mr bite</v>
      </c>
      <c r="D366" s="1">
        <f>IFERROR(__xludf.DUMMYFUNCTION("""COMPUTED_VALUE"""),80.0)</f>
        <v>80</v>
      </c>
      <c r="E366" s="1">
        <f>IFERROR(__xludf.DUMMYFUNCTION("""COMPUTED_VALUE"""),80.0)</f>
        <v>80</v>
      </c>
      <c r="F366" s="1">
        <f>IFERROR(__xludf.DUMMYFUNCTION("""COMPUTED_VALUE"""),26.0)</f>
        <v>26</v>
      </c>
      <c r="G366" s="1">
        <f t="shared" si="1"/>
        <v>3.076923077</v>
      </c>
      <c r="H366" s="1">
        <f t="shared" si="2"/>
        <v>3.076923077</v>
      </c>
      <c r="I366" s="1">
        <f>IFERROR(__xludf.DUMMYFUNCTION("IF(B366="""","""",
  100*F366 / MAX(FILTER($F:$F, $A:$A=$A366, $B:$B=$B366))
)
"),3.0588235294117645)</f>
        <v>3.058823529</v>
      </c>
      <c r="J366" s="1">
        <f>IFERROR(__xludf.DUMMYFUNCTION("IF(B366="""","""",
  100*E366 / MAX(FILTER($E:$E, $A:$A=$A366, $B:$B=$B366))
)
"),9.411764705882353)</f>
        <v>9.411764706</v>
      </c>
      <c r="K366" s="1">
        <f t="shared" si="3"/>
        <v>5.917647059</v>
      </c>
    </row>
    <row r="367">
      <c r="A367" s="3">
        <f>IFERROR(__xludf.DUMMYFUNCTION("""COMPUTED_VALUE"""),45870.0)</f>
        <v>45870</v>
      </c>
      <c r="B367" s="1" t="str">
        <f>IFERROR(__xludf.DUMMYFUNCTION("""COMPUTED_VALUE"""),"DPMall")</f>
        <v>DPMall</v>
      </c>
      <c r="C367" s="1" t="str">
        <f>IFERROR(__xludf.DUMMYFUNCTION("""COMPUTED_VALUE"""),"ono cake")</f>
        <v>ono cake</v>
      </c>
      <c r="D367" s="1">
        <f>IFERROR(__xludf.DUMMYFUNCTION("""COMPUTED_VALUE"""),222.0)</f>
        <v>222</v>
      </c>
      <c r="E367" s="1">
        <f>IFERROR(__xludf.DUMMYFUNCTION("""COMPUTED_VALUE"""),222.0)</f>
        <v>222</v>
      </c>
      <c r="F367" s="1">
        <f>IFERROR(__xludf.DUMMYFUNCTION("""COMPUTED_VALUE"""),210.0)</f>
        <v>210</v>
      </c>
      <c r="G367" s="1">
        <f t="shared" si="1"/>
        <v>1.057142857</v>
      </c>
      <c r="H367" s="1">
        <f t="shared" si="2"/>
        <v>1.057142857</v>
      </c>
      <c r="I367" s="1">
        <f>IFERROR(__xludf.DUMMYFUNCTION("IF(B367="""","""",
  100*F367 / MAX(FILTER($F:$F, $A:$A=$A367, $B:$B=$B367))
)
"),24.705882352941178)</f>
        <v>24.70588235</v>
      </c>
      <c r="J367" s="1">
        <f>IFERROR(__xludf.DUMMYFUNCTION("IF(B367="""","""",
  100*E367 / MAX(FILTER($E:$E, $A:$A=$A367, $B:$B=$B367))
)
"),26.11764705882353)</f>
        <v>26.11764706</v>
      </c>
      <c r="K367" s="1">
        <f t="shared" si="3"/>
        <v>25.34117647</v>
      </c>
    </row>
    <row r="368">
      <c r="A368" s="3">
        <f>IFERROR(__xludf.DUMMYFUNCTION("""COMPUTED_VALUE"""),45870.0)</f>
        <v>45870</v>
      </c>
      <c r="B368" s="1" t="str">
        <f>IFERROR(__xludf.DUMMYFUNCTION("""COMPUTED_VALUE"""),"DPMall")</f>
        <v>DPMall</v>
      </c>
      <c r="C368" s="1" t="str">
        <f>IFERROR(__xludf.DUMMYFUNCTION("""COMPUTED_VALUE"""),"pepsi 500ml")</f>
        <v>pepsi 500ml</v>
      </c>
      <c r="D368" s="1">
        <f>IFERROR(__xludf.DUMMYFUNCTION("""COMPUTED_VALUE"""),3.0)</f>
        <v>3</v>
      </c>
      <c r="E368" s="1">
        <f>IFERROR(__xludf.DUMMYFUNCTION("""COMPUTED_VALUE"""),3.0)</f>
        <v>3</v>
      </c>
      <c r="F368" s="1">
        <f>IFERROR(__xludf.DUMMYFUNCTION("""COMPUTED_VALUE"""),1.0)</f>
        <v>1</v>
      </c>
      <c r="G368" s="1">
        <f t="shared" si="1"/>
        <v>3</v>
      </c>
      <c r="H368" s="1">
        <f t="shared" si="2"/>
        <v>3</v>
      </c>
      <c r="I368" s="1">
        <f>IFERROR(__xludf.DUMMYFUNCTION("IF(B368="""","""",
  100*F368 / MAX(FILTER($F:$F, $A:$A=$A368, $B:$B=$B368))
)
"),0.11764705882352941)</f>
        <v>0.1176470588</v>
      </c>
      <c r="J368" s="1">
        <f>IFERROR(__xludf.DUMMYFUNCTION("IF(B368="""","""",
  100*E368 / MAX(FILTER($E:$E, $A:$A=$A368, $B:$B=$B368))
)
"),0.35294117647058826)</f>
        <v>0.3529411765</v>
      </c>
      <c r="K368" s="1">
        <f t="shared" si="3"/>
        <v>0.2235294118</v>
      </c>
    </row>
    <row r="369">
      <c r="A369" s="3">
        <f>IFERROR(__xludf.DUMMYFUNCTION("""COMPUTED_VALUE"""),45870.0)</f>
        <v>45870</v>
      </c>
      <c r="B369" s="1" t="str">
        <f>IFERROR(__xludf.DUMMYFUNCTION("""COMPUTED_VALUE"""),"DPMall")</f>
        <v>DPMall</v>
      </c>
      <c r="C369" s="1" t="str">
        <f>IFERROR(__xludf.DUMMYFUNCTION("""COMPUTED_VALUE"""),"schweppers")</f>
        <v>schweppers</v>
      </c>
      <c r="D369" s="1">
        <f>IFERROR(__xludf.DUMMYFUNCTION("""COMPUTED_VALUE"""),68.0)</f>
        <v>68</v>
      </c>
      <c r="E369" s="1">
        <f>IFERROR(__xludf.DUMMYFUNCTION("""COMPUTED_VALUE"""),68.0)</f>
        <v>68</v>
      </c>
      <c r="F369" s="1">
        <f>IFERROR(__xludf.DUMMYFUNCTION("""COMPUTED_VALUE"""),34.0)</f>
        <v>34</v>
      </c>
      <c r="G369" s="1">
        <f t="shared" si="1"/>
        <v>2</v>
      </c>
      <c r="H369" s="1">
        <f t="shared" si="2"/>
        <v>2</v>
      </c>
      <c r="I369" s="1">
        <f>IFERROR(__xludf.DUMMYFUNCTION("IF(B369="""","""",
  100*F369 / MAX(FILTER($F:$F, $A:$A=$A369, $B:$B=$B369))
)
"),4.0)</f>
        <v>4</v>
      </c>
      <c r="J369" s="1">
        <f>IFERROR(__xludf.DUMMYFUNCTION("IF(B369="""","""",
  100*E369 / MAX(FILTER($E:$E, $A:$A=$A369, $B:$B=$B369))
)
"),8.0)</f>
        <v>8</v>
      </c>
      <c r="K369" s="1">
        <f t="shared" si="3"/>
        <v>5.8</v>
      </c>
    </row>
    <row r="370">
      <c r="A370" s="3">
        <f>IFERROR(__xludf.DUMMYFUNCTION("""COMPUTED_VALUE"""),45870.0)</f>
        <v>45870</v>
      </c>
      <c r="B370" s="1" t="str">
        <f>IFERROR(__xludf.DUMMYFUNCTION("""COMPUTED_VALUE"""),"DPMall")</f>
        <v>DPMall</v>
      </c>
      <c r="C370" s="1" t="str">
        <f>IFERROR(__xludf.DUMMYFUNCTION("""COMPUTED_VALUE"""),"snickers")</f>
        <v>snickers</v>
      </c>
      <c r="D370" s="1">
        <f>IFERROR(__xludf.DUMMYFUNCTION("""COMPUTED_VALUE"""),136.0)</f>
        <v>136</v>
      </c>
      <c r="E370" s="1">
        <f>IFERROR(__xludf.DUMMYFUNCTION("""COMPUTED_VALUE"""),136.0)</f>
        <v>136</v>
      </c>
      <c r="F370" s="1">
        <f>IFERROR(__xludf.DUMMYFUNCTION("""COMPUTED_VALUE"""),54.0)</f>
        <v>54</v>
      </c>
      <c r="G370" s="1">
        <f t="shared" si="1"/>
        <v>2.518518519</v>
      </c>
      <c r="H370" s="1">
        <f t="shared" si="2"/>
        <v>2.518518519</v>
      </c>
      <c r="I370" s="1">
        <f>IFERROR(__xludf.DUMMYFUNCTION("IF(B370="""","""",
  100*F370 / MAX(FILTER($F:$F, $A:$A=$A370, $B:$B=$B370))
)
"),6.352941176470588)</f>
        <v>6.352941176</v>
      </c>
      <c r="J370" s="1">
        <f>IFERROR(__xludf.DUMMYFUNCTION("IF(B370="""","""",
  100*E370 / MAX(FILTER($E:$E, $A:$A=$A370, $B:$B=$B370))
)
"),16.0)</f>
        <v>16</v>
      </c>
      <c r="K370" s="1">
        <f t="shared" si="3"/>
        <v>10.69411765</v>
      </c>
    </row>
    <row r="371">
      <c r="A371" s="3">
        <f>IFERROR(__xludf.DUMMYFUNCTION("""COMPUTED_VALUE"""),45870.0)</f>
        <v>45870</v>
      </c>
      <c r="B371" s="1" t="str">
        <f>IFERROR(__xludf.DUMMYFUNCTION("""COMPUTED_VALUE"""),"DPMall")</f>
        <v>DPMall</v>
      </c>
      <c r="C371" s="1" t="str">
        <f>IFERROR(__xludf.DUMMYFUNCTION("""COMPUTED_VALUE"""),"sunTop")</f>
        <v>sunTop</v>
      </c>
      <c r="D371" s="1">
        <f>IFERROR(__xludf.DUMMYFUNCTION("""COMPUTED_VALUE"""),337.0)</f>
        <v>337</v>
      </c>
      <c r="E371" s="1">
        <f>IFERROR(__xludf.DUMMYFUNCTION("""COMPUTED_VALUE"""),337.0)</f>
        <v>337</v>
      </c>
      <c r="F371" s="1">
        <f>IFERROR(__xludf.DUMMYFUNCTION("""COMPUTED_VALUE"""),279.0)</f>
        <v>279</v>
      </c>
      <c r="G371" s="1">
        <f t="shared" si="1"/>
        <v>1.207885305</v>
      </c>
      <c r="H371" s="1">
        <f t="shared" si="2"/>
        <v>1.207885305</v>
      </c>
      <c r="I371" s="1">
        <f>IFERROR(__xludf.DUMMYFUNCTION("IF(B371="""","""",
  100*F371 / MAX(FILTER($F:$F, $A:$A=$A371, $B:$B=$B371))
)
"),32.8235294117647)</f>
        <v>32.82352941</v>
      </c>
      <c r="J371" s="1">
        <f>IFERROR(__xludf.DUMMYFUNCTION("IF(B371="""","""",
  100*E371 / MAX(FILTER($E:$E, $A:$A=$A371, $B:$B=$B371))
)
"),39.64705882352941)</f>
        <v>39.64705882</v>
      </c>
      <c r="K371" s="1">
        <f t="shared" si="3"/>
        <v>35.89411765</v>
      </c>
    </row>
    <row r="372">
      <c r="A372" s="3">
        <f>IFERROR(__xludf.DUMMYFUNCTION("""COMPUTED_VALUE"""),45870.0)</f>
        <v>45870</v>
      </c>
      <c r="B372" s="1" t="str">
        <f>IFERROR(__xludf.DUMMYFUNCTION("""COMPUTED_VALUE"""),"DPMall")</f>
        <v>DPMall</v>
      </c>
      <c r="C372" s="1" t="str">
        <f>IFERROR(__xludf.DUMMYFUNCTION("""COMPUTED_VALUE"""),"vitaGo")</f>
        <v>vitaGo</v>
      </c>
      <c r="D372" s="1">
        <f>IFERROR(__xludf.DUMMYFUNCTION("""COMPUTED_VALUE"""),84.0)</f>
        <v>84</v>
      </c>
      <c r="E372" s="1">
        <f>IFERROR(__xludf.DUMMYFUNCTION("""COMPUTED_VALUE"""),84.0)</f>
        <v>84</v>
      </c>
      <c r="F372" s="1">
        <f>IFERROR(__xludf.DUMMYFUNCTION("""COMPUTED_VALUE"""),26.0)</f>
        <v>26</v>
      </c>
      <c r="G372" s="1">
        <f t="shared" si="1"/>
        <v>3.230769231</v>
      </c>
      <c r="H372" s="1">
        <f t="shared" si="2"/>
        <v>3.230769231</v>
      </c>
      <c r="I372" s="1">
        <f>IFERROR(__xludf.DUMMYFUNCTION("IF(B372="""","""",
  100*F372 / MAX(FILTER($F:$F, $A:$A=$A372, $B:$B=$B372))
)
"),3.0588235294117645)</f>
        <v>3.058823529</v>
      </c>
      <c r="J372" s="1">
        <f>IFERROR(__xludf.DUMMYFUNCTION("IF(B372="""","""",
  100*E372 / MAX(FILTER($E:$E, $A:$A=$A372, $B:$B=$B372))
)
"),9.882352941176471)</f>
        <v>9.882352941</v>
      </c>
      <c r="K372" s="1">
        <f t="shared" si="3"/>
        <v>6.129411765</v>
      </c>
    </row>
    <row r="373">
      <c r="A373" s="3">
        <f>IFERROR(__xludf.DUMMYFUNCTION("""COMPUTED_VALUE"""),45870.0)</f>
        <v>45870</v>
      </c>
      <c r="B373" s="1" t="str">
        <f>IFERROR(__xludf.DUMMYFUNCTION("""COMPUTED_VALUE"""),"DPMall")</f>
        <v>DPMall</v>
      </c>
      <c r="C373" s="1" t="str">
        <f>IFERROR(__xludf.DUMMYFUNCTION("""COMPUTED_VALUE"""),"xo energy")</f>
        <v>xo energy</v>
      </c>
      <c r="D373" s="1">
        <f>IFERROR(__xludf.DUMMYFUNCTION("""COMPUTED_VALUE"""),120.0)</f>
        <v>120</v>
      </c>
      <c r="E373" s="1">
        <f>IFERROR(__xludf.DUMMYFUNCTION("""COMPUTED_VALUE"""),120.0)</f>
        <v>120</v>
      </c>
      <c r="F373" s="1">
        <f>IFERROR(__xludf.DUMMYFUNCTION("""COMPUTED_VALUE"""),9.0)</f>
        <v>9</v>
      </c>
      <c r="G373" s="1">
        <f t="shared" si="1"/>
        <v>13.33333333</v>
      </c>
      <c r="H373" s="1">
        <f t="shared" si="2"/>
        <v>13.33333333</v>
      </c>
      <c r="I373" s="1">
        <f>IFERROR(__xludf.DUMMYFUNCTION("IF(B373="""","""",
  100*F373 / MAX(FILTER($F:$F, $A:$A=$A373, $B:$B=$B373))
)
"),1.0588235294117647)</f>
        <v>1.058823529</v>
      </c>
      <c r="J373" s="1">
        <f>IFERROR(__xludf.DUMMYFUNCTION("IF(B373="""","""",
  100*E373 / MAX(FILTER($E:$E, $A:$A=$A373, $B:$B=$B373))
)
"),14.117647058823529)</f>
        <v>14.11764706</v>
      </c>
      <c r="K373" s="1">
        <f t="shared" si="3"/>
        <v>6.935294118</v>
      </c>
    </row>
    <row r="374">
      <c r="A374" s="3">
        <f>IFERROR(__xludf.DUMMYFUNCTION("""COMPUTED_VALUE"""),45870.0)</f>
        <v>45870</v>
      </c>
      <c r="B374" s="1" t="str">
        <f>IFERROR(__xludf.DUMMYFUNCTION("""COMPUTED_VALUE"""),"HTMall")</f>
        <v>HTMall</v>
      </c>
      <c r="C374" s="1" t="str">
        <f>IFERROR(__xludf.DUMMYFUNCTION("""COMPUTED_VALUE"""),"Bounty")</f>
        <v>Bounty</v>
      </c>
      <c r="D374" s="1">
        <f>IFERROR(__xludf.DUMMYFUNCTION("""COMPUTED_VALUE"""),38.0)</f>
        <v>38</v>
      </c>
      <c r="E374" s="1">
        <f>IFERROR(__xludf.DUMMYFUNCTION("""COMPUTED_VALUE"""),8.0)</f>
        <v>8</v>
      </c>
      <c r="F374" s="1">
        <f>IFERROR(__xludf.DUMMYFUNCTION("""COMPUTED_VALUE"""),8.0)</f>
        <v>8</v>
      </c>
      <c r="G374" s="1">
        <f t="shared" si="1"/>
        <v>4.75</v>
      </c>
      <c r="H374" s="1">
        <f t="shared" si="2"/>
        <v>1</v>
      </c>
      <c r="I374" s="1">
        <f>IFERROR(__xludf.DUMMYFUNCTION("IF(B374="""","""",
  100*F374 / MAX(FILTER($F:$F, $A:$A=$A374, $B:$B=$B374))
)
"),0.517799352750809)</f>
        <v>0.5177993528</v>
      </c>
      <c r="J374" s="1">
        <f>IFERROR(__xludf.DUMMYFUNCTION("IF(B374="""","""",
  100*E374 / MAX(FILTER($E:$E, $A:$A=$A374, $B:$B=$B374))
)
"),0.7397133610725843)</f>
        <v>0.7397133611</v>
      </c>
      <c r="K374" s="1">
        <f t="shared" si="3"/>
        <v>0.6176606565</v>
      </c>
    </row>
    <row r="375">
      <c r="A375" s="3">
        <f>IFERROR(__xludf.DUMMYFUNCTION("""COMPUTED_VALUE"""),45870.0)</f>
        <v>45870</v>
      </c>
      <c r="B375" s="1" t="str">
        <f>IFERROR(__xludf.DUMMYFUNCTION("""COMPUTED_VALUE"""),"HTMall")</f>
        <v>HTMall</v>
      </c>
      <c r="C375" s="1" t="str">
        <f>IFERROR(__xludf.DUMMYFUNCTION("""COMPUTED_VALUE"""),"Doritos Dinamita")</f>
        <v>Doritos Dinamita</v>
      </c>
      <c r="D375" s="1">
        <f>IFERROR(__xludf.DUMMYFUNCTION("""COMPUTED_VALUE"""),276.0)</f>
        <v>276</v>
      </c>
      <c r="E375" s="1">
        <f>IFERROR(__xludf.DUMMYFUNCTION("""COMPUTED_VALUE"""),115.0)</f>
        <v>115</v>
      </c>
      <c r="F375" s="1">
        <f>IFERROR(__xludf.DUMMYFUNCTION("""COMPUTED_VALUE"""),23.0)</f>
        <v>23</v>
      </c>
      <c r="G375" s="1">
        <f t="shared" si="1"/>
        <v>12</v>
      </c>
      <c r="H375" s="1">
        <f t="shared" si="2"/>
        <v>5</v>
      </c>
      <c r="I375" s="1">
        <f>IFERROR(__xludf.DUMMYFUNCTION("IF(B375="""","""",
  100*F375 / MAX(FILTER($F:$F, $A:$A=$A375, $B:$B=$B375))
)
"),1.4886731391585761)</f>
        <v>1.488673139</v>
      </c>
      <c r="J375" s="1">
        <f>IFERROR(__xludf.DUMMYFUNCTION("IF(B375="""","""",
  100*E375 / MAX(FILTER($E:$E, $A:$A=$A375, $B:$B=$B375))
)
"),10.6333795654184)</f>
        <v>10.63337957</v>
      </c>
      <c r="K375" s="1">
        <f t="shared" si="3"/>
        <v>5.603791031</v>
      </c>
    </row>
    <row r="376">
      <c r="A376" s="3">
        <f>IFERROR(__xludf.DUMMYFUNCTION("""COMPUTED_VALUE"""),45870.0)</f>
        <v>45870</v>
      </c>
      <c r="B376" s="1" t="str">
        <f>IFERROR(__xludf.DUMMYFUNCTION("""COMPUTED_VALUE"""),"HTMall")</f>
        <v>HTMall</v>
      </c>
      <c r="C376" s="1" t="str">
        <f>IFERROR(__xludf.DUMMYFUNCTION("""COMPUTED_VALUE"""),"Doritos nacho")</f>
        <v>Doritos nacho</v>
      </c>
      <c r="D376" s="1">
        <f>IFERROR(__xludf.DUMMYFUNCTION("""COMPUTED_VALUE"""),905.0)</f>
        <v>905</v>
      </c>
      <c r="E376" s="1">
        <f>IFERROR(__xludf.DUMMYFUNCTION("""COMPUTED_VALUE"""),398.2)</f>
        <v>398.2</v>
      </c>
      <c r="F376" s="1">
        <f>IFERROR(__xludf.DUMMYFUNCTION("""COMPUTED_VALUE"""),181.0)</f>
        <v>181</v>
      </c>
      <c r="G376" s="1">
        <f t="shared" si="1"/>
        <v>5</v>
      </c>
      <c r="H376" s="1">
        <f t="shared" si="2"/>
        <v>2.2</v>
      </c>
      <c r="I376" s="1">
        <f>IFERROR(__xludf.DUMMYFUNCTION("IF(B376="""","""",
  100*F376 / MAX(FILTER($F:$F, $A:$A=$A376, $B:$B=$B376))
)
"),11.715210355987056)</f>
        <v>11.71521036</v>
      </c>
      <c r="J376" s="1">
        <f>IFERROR(__xludf.DUMMYFUNCTION("IF(B376="""","""",
  100*E376 / MAX(FILTER($E:$E, $A:$A=$A376, $B:$B=$B376))
)
"),36.819232547387884)</f>
        <v>36.81923255</v>
      </c>
      <c r="K376" s="1">
        <f t="shared" si="3"/>
        <v>23.01202034</v>
      </c>
    </row>
    <row r="377">
      <c r="A377" s="3">
        <f>IFERROR(__xludf.DUMMYFUNCTION("""COMPUTED_VALUE"""),45870.0)</f>
        <v>45870</v>
      </c>
      <c r="B377" s="1" t="str">
        <f>IFERROR(__xludf.DUMMYFUNCTION("""COMPUTED_VALUE"""),"HTMall")</f>
        <v>HTMall</v>
      </c>
      <c r="C377" s="1" t="str">
        <f>IFERROR(__xludf.DUMMYFUNCTION("""COMPUTED_VALUE"""),"Freez")</f>
        <v>Freez</v>
      </c>
      <c r="D377" s="1">
        <f>IFERROR(__xludf.DUMMYFUNCTION("""COMPUTED_VALUE"""),131.0)</f>
        <v>131</v>
      </c>
      <c r="E377" s="1">
        <f>IFERROR(__xludf.DUMMYFUNCTION("""COMPUTED_VALUE"""),25.29)</f>
        <v>25.29</v>
      </c>
      <c r="F377" s="1">
        <f>IFERROR(__xludf.DUMMYFUNCTION("""COMPUTED_VALUE"""),31.0)</f>
        <v>31</v>
      </c>
      <c r="G377" s="1">
        <f t="shared" si="1"/>
        <v>4.225806452</v>
      </c>
      <c r="H377" s="1">
        <f t="shared" si="2"/>
        <v>0.8158064516</v>
      </c>
      <c r="I377" s="1">
        <f>IFERROR(__xludf.DUMMYFUNCTION("IF(B377="""","""",
  100*F377 / MAX(FILTER($F:$F, $A:$A=$A377, $B:$B=$B377))
)
"),2.0064724919093853)</f>
        <v>2.006472492</v>
      </c>
      <c r="J377" s="1">
        <f>IFERROR(__xludf.DUMMYFUNCTION("IF(B377="""","""",
  100*E377 / MAX(FILTER($E:$E, $A:$A=$A377, $B:$B=$B377))
)
"),2.338418862690707)</f>
        <v>2.338418863</v>
      </c>
      <c r="K377" s="1">
        <f t="shared" si="3"/>
        <v>2.155848359</v>
      </c>
    </row>
    <row r="378">
      <c r="A378" s="3">
        <f>IFERROR(__xludf.DUMMYFUNCTION("""COMPUTED_VALUE"""),45870.0)</f>
        <v>45870</v>
      </c>
      <c r="B378" s="1" t="str">
        <f>IFERROR(__xludf.DUMMYFUNCTION("""COMPUTED_VALUE"""),"HTMall")</f>
        <v>HTMall</v>
      </c>
      <c r="C378" s="1" t="str">
        <f>IFERROR(__xludf.DUMMYFUNCTION("""COMPUTED_VALUE"""),"Gardena")</f>
        <v>Gardena</v>
      </c>
      <c r="D378" s="1">
        <f>IFERROR(__xludf.DUMMYFUNCTION("""COMPUTED_VALUE"""),22.0)</f>
        <v>22</v>
      </c>
      <c r="E378" s="1">
        <f>IFERROR(__xludf.DUMMYFUNCTION("""COMPUTED_VALUE"""),-0.96)</f>
        <v>-0.96</v>
      </c>
      <c r="F378" s="1">
        <f>IFERROR(__xludf.DUMMYFUNCTION("""COMPUTED_VALUE"""),7.0)</f>
        <v>7</v>
      </c>
      <c r="G378" s="1">
        <f t="shared" si="1"/>
        <v>3.142857143</v>
      </c>
      <c r="H378" s="1">
        <f t="shared" si="2"/>
        <v>-0.1371428571</v>
      </c>
      <c r="I378" s="1">
        <f>IFERROR(__xludf.DUMMYFUNCTION("IF(B378="""","""",
  100*F378 / MAX(FILTER($F:$F, $A:$A=$A378, $B:$B=$B378))
)
"),0.45307443365695793)</f>
        <v>0.4530744337</v>
      </c>
      <c r="J378" s="1">
        <f>IFERROR(__xludf.DUMMYFUNCTION("IF(B378="""","""",
  100*E378 / MAX(FILTER($E:$E, $A:$A=$A378, $B:$B=$B378))
)
"),-0.08876560332871013)</f>
        <v>-0.08876560333</v>
      </c>
      <c r="K378" s="1">
        <f t="shared" si="3"/>
        <v>0.209246417</v>
      </c>
    </row>
    <row r="379">
      <c r="A379" s="3">
        <f>IFERROR(__xludf.DUMMYFUNCTION("""COMPUTED_VALUE"""),45870.0)</f>
        <v>45870</v>
      </c>
      <c r="B379" s="1" t="str">
        <f>IFERROR(__xludf.DUMMYFUNCTION("""COMPUTED_VALUE"""),"HTMall")</f>
        <v>HTMall</v>
      </c>
      <c r="C379" s="1" t="str">
        <f>IFERROR(__xludf.DUMMYFUNCTION("""COMPUTED_VALUE"""),"Green")</f>
        <v>Green</v>
      </c>
      <c r="D379" s="1">
        <f>IFERROR(__xludf.DUMMYFUNCTION("""COMPUTED_VALUE"""),16.0)</f>
        <v>16</v>
      </c>
      <c r="E379" s="1">
        <f>IFERROR(__xludf.DUMMYFUNCTION("""COMPUTED_VALUE"""),4.16)</f>
        <v>4.16</v>
      </c>
      <c r="F379" s="1">
        <f>IFERROR(__xludf.DUMMYFUNCTION("""COMPUTED_VALUE"""),4.0)</f>
        <v>4</v>
      </c>
      <c r="G379" s="1">
        <f t="shared" si="1"/>
        <v>4</v>
      </c>
      <c r="H379" s="1">
        <f t="shared" si="2"/>
        <v>1.04</v>
      </c>
      <c r="I379" s="1">
        <f>IFERROR(__xludf.DUMMYFUNCTION("IF(B379="""","""",
  100*F379 / MAX(FILTER($F:$F, $A:$A=$A379, $B:$B=$B379))
)
"),0.2588996763754045)</f>
        <v>0.2588996764</v>
      </c>
      <c r="J379" s="1">
        <f>IFERROR(__xludf.DUMMYFUNCTION("IF(B379="""","""",
  100*E379 / MAX(FILTER($E:$E, $A:$A=$A379, $B:$B=$B379))
)
"),0.3846509477577439)</f>
        <v>0.3846509478</v>
      </c>
      <c r="K379" s="1">
        <f t="shared" si="3"/>
        <v>0.3154877485</v>
      </c>
    </row>
    <row r="380">
      <c r="A380" s="3">
        <f>IFERROR(__xludf.DUMMYFUNCTION("""COMPUTED_VALUE"""),45870.0)</f>
        <v>45870</v>
      </c>
      <c r="B380" s="1" t="str">
        <f>IFERROR(__xludf.DUMMYFUNCTION("""COMPUTED_VALUE"""),"HTMall")</f>
        <v>HTMall</v>
      </c>
      <c r="C380" s="1" t="str">
        <f>IFERROR(__xludf.DUMMYFUNCTION("""COMPUTED_VALUE"""),"Haribo")</f>
        <v>Haribo</v>
      </c>
      <c r="D380" s="1">
        <f>IFERROR(__xludf.DUMMYFUNCTION("""COMPUTED_VALUE"""),102.0)</f>
        <v>102</v>
      </c>
      <c r="E380" s="1">
        <f>IFERROR(__xludf.DUMMYFUNCTION("""COMPUTED_VALUE"""),42.5)</f>
        <v>42.5</v>
      </c>
      <c r="F380" s="1">
        <f>IFERROR(__xludf.DUMMYFUNCTION("""COMPUTED_VALUE"""),34.0)</f>
        <v>34</v>
      </c>
      <c r="G380" s="1">
        <f t="shared" si="1"/>
        <v>3</v>
      </c>
      <c r="H380" s="1">
        <f t="shared" si="2"/>
        <v>1.25</v>
      </c>
      <c r="I380" s="1">
        <f>IFERROR(__xludf.DUMMYFUNCTION("IF(B380="""","""",
  100*F380 / MAX(FILTER($F:$F, $A:$A=$A380, $B:$B=$B380))
)
"),2.2006472491909386)</f>
        <v>2.200647249</v>
      </c>
      <c r="J380" s="1">
        <f>IFERROR(__xludf.DUMMYFUNCTION("IF(B380="""","""",
  100*E380 / MAX(FILTER($E:$E, $A:$A=$A380, $B:$B=$B380))
)
"),3.9297272306981044)</f>
        <v>3.929727231</v>
      </c>
      <c r="K380" s="1">
        <f t="shared" si="3"/>
        <v>2.978733241</v>
      </c>
    </row>
    <row r="381">
      <c r="A381" s="3">
        <f>IFERROR(__xludf.DUMMYFUNCTION("""COMPUTED_VALUE"""),45870.0)</f>
        <v>45870</v>
      </c>
      <c r="B381" s="1" t="str">
        <f>IFERROR(__xludf.DUMMYFUNCTION("""COMPUTED_VALUE"""),"HTMall")</f>
        <v>HTMall</v>
      </c>
      <c r="C381" s="1" t="str">
        <f>IFERROR(__xludf.DUMMYFUNCTION("""COMPUTED_VALUE"""),"Kinder Bueno")</f>
        <v>Kinder Bueno</v>
      </c>
      <c r="D381" s="1">
        <f>IFERROR(__xludf.DUMMYFUNCTION("""COMPUTED_VALUE"""),108.0)</f>
        <v>108</v>
      </c>
      <c r="E381" s="1">
        <f>IFERROR(__xludf.DUMMYFUNCTION("""COMPUTED_VALUE"""),3.6)</f>
        <v>3.6</v>
      </c>
      <c r="F381" s="1">
        <f>IFERROR(__xludf.DUMMYFUNCTION("""COMPUTED_VALUE"""),18.0)</f>
        <v>18</v>
      </c>
      <c r="G381" s="1">
        <f t="shared" si="1"/>
        <v>6</v>
      </c>
      <c r="H381" s="1">
        <f t="shared" si="2"/>
        <v>0.2</v>
      </c>
      <c r="I381" s="1">
        <f>IFERROR(__xludf.DUMMYFUNCTION("IF(B381="""","""",
  100*F381 / MAX(FILTER($F:$F, $A:$A=$A381, $B:$B=$B381))
)
"),1.1650485436893203)</f>
        <v>1.165048544</v>
      </c>
      <c r="J381" s="1">
        <f>IFERROR(__xludf.DUMMYFUNCTION("IF(B381="""","""",
  100*E381 / MAX(FILTER($E:$E, $A:$A=$A381, $B:$B=$B381))
)
"),0.332871012482663)</f>
        <v>0.3328710125</v>
      </c>
      <c r="K381" s="1">
        <f t="shared" si="3"/>
        <v>0.7905686546</v>
      </c>
    </row>
    <row r="382">
      <c r="A382" s="3">
        <f>IFERROR(__xludf.DUMMYFUNCTION("""COMPUTED_VALUE"""),45870.0)</f>
        <v>45870</v>
      </c>
      <c r="B382" s="1" t="str">
        <f>IFERROR(__xludf.DUMMYFUNCTION("""COMPUTED_VALUE"""),"HTMall")</f>
        <v>HTMall</v>
      </c>
      <c r="C382" s="1" t="str">
        <f>IFERROR(__xludf.DUMMYFUNCTION("""COMPUTED_VALUE"""),"Kinder bueno1stick")</f>
        <v>Kinder bueno1stick</v>
      </c>
      <c r="D382" s="1">
        <f>IFERROR(__xludf.DUMMYFUNCTION("""COMPUTED_VALUE"""),40.0)</f>
        <v>40</v>
      </c>
      <c r="E382" s="1">
        <f>IFERROR(__xludf.DUMMYFUNCTION("""COMPUTED_VALUE"""),10.0)</f>
        <v>10</v>
      </c>
      <c r="F382" s="1">
        <f>IFERROR(__xludf.DUMMYFUNCTION("""COMPUTED_VALUE"""),10.0)</f>
        <v>10</v>
      </c>
      <c r="G382" s="1">
        <f t="shared" si="1"/>
        <v>4</v>
      </c>
      <c r="H382" s="1">
        <f t="shared" si="2"/>
        <v>1</v>
      </c>
      <c r="I382" s="1">
        <f>IFERROR(__xludf.DUMMYFUNCTION("IF(B382="""","""",
  100*F382 / MAX(FILTER($F:$F, $A:$A=$A382, $B:$B=$B382))
)
"),0.6472491909385113)</f>
        <v>0.6472491909</v>
      </c>
      <c r="J382" s="1">
        <f>IFERROR(__xludf.DUMMYFUNCTION("IF(B382="""","""",
  100*E382 / MAX(FILTER($E:$E, $A:$A=$A382, $B:$B=$B382))
)
"),0.9246417013407304)</f>
        <v>0.9246417013</v>
      </c>
      <c r="K382" s="1">
        <f t="shared" si="3"/>
        <v>0.7720758206</v>
      </c>
    </row>
    <row r="383">
      <c r="A383" s="3">
        <f>IFERROR(__xludf.DUMMYFUNCTION("""COMPUTED_VALUE"""),45870.0)</f>
        <v>45870</v>
      </c>
      <c r="B383" s="1" t="str">
        <f>IFERROR(__xludf.DUMMYFUNCTION("""COMPUTED_VALUE"""),"HTMall")</f>
        <v>HTMall</v>
      </c>
      <c r="C383" s="1" t="str">
        <f>IFERROR(__xludf.DUMMYFUNCTION("""COMPUTED_VALUE"""),"Laviva")</f>
        <v>Laviva</v>
      </c>
      <c r="D383" s="1">
        <f>IFERROR(__xludf.DUMMYFUNCTION("""COMPUTED_VALUE"""),134.0)</f>
        <v>134</v>
      </c>
      <c r="E383" s="1">
        <f>IFERROR(__xludf.DUMMYFUNCTION("""COMPUTED_VALUE"""),37.2)</f>
        <v>37.2</v>
      </c>
      <c r="F383" s="1">
        <f>IFERROR(__xludf.DUMMYFUNCTION("""COMPUTED_VALUE"""),44.0)</f>
        <v>44</v>
      </c>
      <c r="G383" s="1">
        <f t="shared" si="1"/>
        <v>3.045454545</v>
      </c>
      <c r="H383" s="1">
        <f t="shared" si="2"/>
        <v>0.8454545455</v>
      </c>
      <c r="I383" s="1">
        <f>IFERROR(__xludf.DUMMYFUNCTION("IF(B383="""","""",
  100*F383 / MAX(FILTER($F:$F, $A:$A=$A383, $B:$B=$B383))
)
"),2.8478964401294498)</f>
        <v>2.84789644</v>
      </c>
      <c r="J383" s="1">
        <f>IFERROR(__xludf.DUMMYFUNCTION("IF(B383="""","""",
  100*E383 / MAX(FILTER($E:$E, $A:$A=$A383, $B:$B=$B383))
)
"),3.4396671289875176)</f>
        <v>3.439667129</v>
      </c>
      <c r="K383" s="1">
        <f t="shared" si="3"/>
        <v>3.11419325</v>
      </c>
    </row>
    <row r="384">
      <c r="A384" s="3">
        <f>IFERROR(__xludf.DUMMYFUNCTION("""COMPUTED_VALUE"""),45870.0)</f>
        <v>45870</v>
      </c>
      <c r="B384" s="1" t="str">
        <f>IFERROR(__xludf.DUMMYFUNCTION("""COMPUTED_VALUE"""),"HTMall")</f>
        <v>HTMall</v>
      </c>
      <c r="C384" s="1" t="str">
        <f>IFERROR(__xludf.DUMMYFUNCTION("""COMPUTED_VALUE"""),"Maltesers")</f>
        <v>Maltesers</v>
      </c>
      <c r="D384" s="1">
        <f>IFERROR(__xludf.DUMMYFUNCTION("""COMPUTED_VALUE"""),266.0)</f>
        <v>266</v>
      </c>
      <c r="E384" s="1">
        <f>IFERROR(__xludf.DUMMYFUNCTION("""COMPUTED_VALUE"""),-50.2)</f>
        <v>-50.2</v>
      </c>
      <c r="F384" s="1">
        <f>IFERROR(__xludf.DUMMYFUNCTION("""COMPUTED_VALUE"""),51.0)</f>
        <v>51</v>
      </c>
      <c r="G384" s="1">
        <f t="shared" si="1"/>
        <v>5.215686275</v>
      </c>
      <c r="H384" s="1">
        <f t="shared" si="2"/>
        <v>-0.9843137255</v>
      </c>
      <c r="I384" s="1">
        <f>IFERROR(__xludf.DUMMYFUNCTION("IF(B384="""","""",
  100*F384 / MAX(FILTER($F:$F, $A:$A=$A384, $B:$B=$B384))
)
"),3.3009708737864076)</f>
        <v>3.300970874</v>
      </c>
      <c r="J384" s="1">
        <f>IFERROR(__xludf.DUMMYFUNCTION("IF(B384="""","""",
  100*E384 / MAX(FILTER($E:$E, $A:$A=$A384, $B:$B=$B384))
)
"),-4.641701340730467)</f>
        <v>-4.641701341</v>
      </c>
      <c r="K384" s="1">
        <f t="shared" si="3"/>
        <v>-0.2732316227</v>
      </c>
    </row>
    <row r="385">
      <c r="A385" s="3">
        <f>IFERROR(__xludf.DUMMYFUNCTION("""COMPUTED_VALUE"""),45870.0)</f>
        <v>45870</v>
      </c>
      <c r="B385" s="1" t="str">
        <f>IFERROR(__xludf.DUMMYFUNCTION("""COMPUTED_VALUE"""),"HTMall")</f>
        <v>HTMall</v>
      </c>
      <c r="C385" s="1" t="str">
        <f>IFERROR(__xludf.DUMMYFUNCTION("""COMPUTED_VALUE"""),"Ono cake")</f>
        <v>Ono cake</v>
      </c>
      <c r="D385" s="1">
        <f>IFERROR(__xludf.DUMMYFUNCTION("""COMPUTED_VALUE"""),193.0)</f>
        <v>193</v>
      </c>
      <c r="E385" s="1">
        <f>IFERROR(__xludf.DUMMYFUNCTION("""COMPUTED_VALUE"""),57.9)</f>
        <v>57.9</v>
      </c>
      <c r="F385" s="1">
        <f>IFERROR(__xludf.DUMMYFUNCTION("""COMPUTED_VALUE"""),193.0)</f>
        <v>193</v>
      </c>
      <c r="G385" s="1">
        <f t="shared" si="1"/>
        <v>1</v>
      </c>
      <c r="H385" s="1">
        <f t="shared" si="2"/>
        <v>0.3</v>
      </c>
      <c r="I385" s="1">
        <f>IFERROR(__xludf.DUMMYFUNCTION("IF(B385="""","""",
  100*F385 / MAX(FILTER($F:$F, $A:$A=$A385, $B:$B=$B385))
)
"),12.491909385113269)</f>
        <v>12.49190939</v>
      </c>
      <c r="J385" s="1">
        <f>IFERROR(__xludf.DUMMYFUNCTION("IF(B385="""","""",
  100*E385 / MAX(FILTER($E:$E, $A:$A=$A385, $B:$B=$B385))
)
"),5.35367545076283)</f>
        <v>5.353675451</v>
      </c>
      <c r="K385" s="1">
        <f t="shared" si="3"/>
        <v>9.279704115</v>
      </c>
    </row>
    <row r="386">
      <c r="A386" s="3">
        <f>IFERROR(__xludf.DUMMYFUNCTION("""COMPUTED_VALUE"""),45870.0)</f>
        <v>45870</v>
      </c>
      <c r="B386" s="1" t="str">
        <f>IFERROR(__xludf.DUMMYFUNCTION("""COMPUTED_VALUE"""),"HTMall")</f>
        <v>HTMall</v>
      </c>
      <c r="C386" s="1" t="str">
        <f>IFERROR(__xludf.DUMMYFUNCTION("""COMPUTED_VALUE"""),"Pepsi")</f>
        <v>Pepsi</v>
      </c>
      <c r="D386" s="1">
        <f>IFERROR(__xludf.DUMMYFUNCTION("""COMPUTED_VALUE"""),291.0)</f>
        <v>291</v>
      </c>
      <c r="E386" s="1">
        <f>IFERROR(__xludf.DUMMYFUNCTION("""COMPUTED_VALUE"""),72.75)</f>
        <v>72.75</v>
      </c>
      <c r="F386" s="1">
        <f>IFERROR(__xludf.DUMMYFUNCTION("""COMPUTED_VALUE"""),97.0)</f>
        <v>97</v>
      </c>
      <c r="G386" s="1">
        <f t="shared" si="1"/>
        <v>3</v>
      </c>
      <c r="H386" s="1">
        <f t="shared" si="2"/>
        <v>0.75</v>
      </c>
      <c r="I386" s="1">
        <f>IFERROR(__xludf.DUMMYFUNCTION("IF(B386="""","""",
  100*F386 / MAX(FILTER($F:$F, $A:$A=$A386, $B:$B=$B386))
)
"),6.2783171521035595)</f>
        <v>6.278317152</v>
      </c>
      <c r="J386" s="1">
        <f>IFERROR(__xludf.DUMMYFUNCTION("IF(B386="""","""",
  100*E386 / MAX(FILTER($E:$E, $A:$A=$A386, $B:$B=$B386))
)
"),6.726768377253814)</f>
        <v>6.726768377</v>
      </c>
      <c r="K386" s="1">
        <f t="shared" si="3"/>
        <v>6.480120203</v>
      </c>
    </row>
    <row r="387">
      <c r="A387" s="3">
        <f>IFERROR(__xludf.DUMMYFUNCTION("""COMPUTED_VALUE"""),45870.0)</f>
        <v>45870</v>
      </c>
      <c r="B387" s="1" t="str">
        <f>IFERROR(__xludf.DUMMYFUNCTION("""COMPUTED_VALUE"""),"HTMall")</f>
        <v>HTMall</v>
      </c>
      <c r="C387" s="1" t="str">
        <f>IFERROR(__xludf.DUMMYFUNCTION("""COMPUTED_VALUE"""),"Schweppes")</f>
        <v>Schweppes</v>
      </c>
      <c r="D387" s="1">
        <f>IFERROR(__xludf.DUMMYFUNCTION("""COMPUTED_VALUE"""),117.0)</f>
        <v>117</v>
      </c>
      <c r="E387" s="1">
        <f>IFERROR(__xludf.DUMMYFUNCTION("""COMPUTED_VALUE"""),39.0)</f>
        <v>39</v>
      </c>
      <c r="F387" s="1">
        <f>IFERROR(__xludf.DUMMYFUNCTION("""COMPUTED_VALUE"""),39.0)</f>
        <v>39</v>
      </c>
      <c r="G387" s="1">
        <f t="shared" si="1"/>
        <v>3</v>
      </c>
      <c r="H387" s="1">
        <f t="shared" si="2"/>
        <v>1</v>
      </c>
      <c r="I387" s="1">
        <f>IFERROR(__xludf.DUMMYFUNCTION("IF(B387="""","""",
  100*F387 / MAX(FILTER($F:$F, $A:$A=$A387, $B:$B=$B387))
)
"),2.5242718446601944)</f>
        <v>2.524271845</v>
      </c>
      <c r="J387" s="1">
        <f>IFERROR(__xludf.DUMMYFUNCTION("IF(B387="""","""",
  100*E387 / MAX(FILTER($E:$E, $A:$A=$A387, $B:$B=$B387))
)
"),3.606102635228849)</f>
        <v>3.606102635</v>
      </c>
      <c r="K387" s="1">
        <f t="shared" si="3"/>
        <v>3.0110957</v>
      </c>
    </row>
    <row r="388">
      <c r="A388" s="3">
        <f>IFERROR(__xludf.DUMMYFUNCTION("""COMPUTED_VALUE"""),45870.0)</f>
        <v>45870</v>
      </c>
      <c r="B388" s="1" t="str">
        <f>IFERROR(__xludf.DUMMYFUNCTION("""COMPUTED_VALUE"""),"HTMall")</f>
        <v>HTMall</v>
      </c>
      <c r="C388" s="1" t="str">
        <f>IFERROR(__xludf.DUMMYFUNCTION("""COMPUTED_VALUE"""),"Sirma")</f>
        <v>Sirma</v>
      </c>
      <c r="D388" s="1">
        <f>IFERROR(__xludf.DUMMYFUNCTION("""COMPUTED_VALUE"""),52.0)</f>
        <v>52</v>
      </c>
      <c r="E388" s="1">
        <f>IFERROR(__xludf.DUMMYFUNCTION("""COMPUTED_VALUE"""),13.0)</f>
        <v>13</v>
      </c>
      <c r="F388" s="1">
        <f>IFERROR(__xludf.DUMMYFUNCTION("""COMPUTED_VALUE"""),13.0)</f>
        <v>13</v>
      </c>
      <c r="G388" s="1">
        <f t="shared" si="1"/>
        <v>4</v>
      </c>
      <c r="H388" s="1">
        <f t="shared" si="2"/>
        <v>1</v>
      </c>
      <c r="I388" s="1">
        <f>IFERROR(__xludf.DUMMYFUNCTION("IF(B388="""","""",
  100*F388 / MAX(FILTER($F:$F, $A:$A=$A388, $B:$B=$B388))
)
"),0.8414239482200647)</f>
        <v>0.8414239482</v>
      </c>
      <c r="J388" s="1">
        <f>IFERROR(__xludf.DUMMYFUNCTION("IF(B388="""","""",
  100*E388 / MAX(FILTER($E:$E, $A:$A=$A388, $B:$B=$B388))
)
"),1.2020342117429497)</f>
        <v>1.202034212</v>
      </c>
      <c r="K388" s="1">
        <f t="shared" si="3"/>
        <v>1.003698567</v>
      </c>
    </row>
    <row r="389">
      <c r="A389" s="3">
        <f>IFERROR(__xludf.DUMMYFUNCTION("""COMPUTED_VALUE"""),45870.0)</f>
        <v>45870</v>
      </c>
      <c r="B389" s="1" t="str">
        <f>IFERROR(__xludf.DUMMYFUNCTION("""COMPUTED_VALUE"""),"HTMall")</f>
        <v>HTMall</v>
      </c>
      <c r="C389" s="1" t="str">
        <f>IFERROR(__xludf.DUMMYFUNCTION("""COMPUTED_VALUE"""),"Skittles")</f>
        <v>Skittles</v>
      </c>
      <c r="D389" s="1">
        <f>IFERROR(__xludf.DUMMYFUNCTION("""COMPUTED_VALUE"""),161.0)</f>
        <v>161</v>
      </c>
      <c r="E389" s="1">
        <f>IFERROR(__xludf.DUMMYFUNCTION("""COMPUTED_VALUE"""),26.91)</f>
        <v>26.91</v>
      </c>
      <c r="F389" s="1">
        <f>IFERROR(__xludf.DUMMYFUNCTION("""COMPUTED_VALUE"""),23.0)</f>
        <v>23</v>
      </c>
      <c r="G389" s="1">
        <f t="shared" si="1"/>
        <v>7</v>
      </c>
      <c r="H389" s="1">
        <f t="shared" si="2"/>
        <v>1.17</v>
      </c>
      <c r="I389" s="1">
        <f>IFERROR(__xludf.DUMMYFUNCTION("IF(B389="""","""",
  100*F389 / MAX(FILTER($F:$F, $A:$A=$A389, $B:$B=$B389))
)
"),1.4886731391585761)</f>
        <v>1.488673139</v>
      </c>
      <c r="J389" s="1">
        <f>IFERROR(__xludf.DUMMYFUNCTION("IF(B389="""","""",
  100*E389 / MAX(FILTER($E:$E, $A:$A=$A389, $B:$B=$B389))
)
"),2.4882108183079055)</f>
        <v>2.488210818</v>
      </c>
      <c r="K389" s="1">
        <f t="shared" si="3"/>
        <v>1.938465095</v>
      </c>
    </row>
    <row r="390">
      <c r="A390" s="3">
        <f>IFERROR(__xludf.DUMMYFUNCTION("""COMPUTED_VALUE"""),45870.0)</f>
        <v>45870</v>
      </c>
      <c r="B390" s="1" t="str">
        <f>IFERROR(__xludf.DUMMYFUNCTION("""COMPUTED_VALUE"""),"HTMall")</f>
        <v>HTMall</v>
      </c>
      <c r="C390" s="1" t="str">
        <f>IFERROR(__xludf.DUMMYFUNCTION("""COMPUTED_VALUE"""),"Snickers")</f>
        <v>Snickers</v>
      </c>
      <c r="D390" s="1">
        <f>IFERROR(__xludf.DUMMYFUNCTION("""COMPUTED_VALUE"""),108.0)</f>
        <v>108</v>
      </c>
      <c r="E390" s="1">
        <f>IFERROR(__xludf.DUMMYFUNCTION("""COMPUTED_VALUE"""),4.5)</f>
        <v>4.5</v>
      </c>
      <c r="F390" s="1">
        <f>IFERROR(__xludf.DUMMYFUNCTION("""COMPUTED_VALUE"""),23.0)</f>
        <v>23</v>
      </c>
      <c r="G390" s="1">
        <f t="shared" si="1"/>
        <v>4.695652174</v>
      </c>
      <c r="H390" s="1">
        <f t="shared" si="2"/>
        <v>0.1956521739</v>
      </c>
      <c r="I390" s="1">
        <f>IFERROR(__xludf.DUMMYFUNCTION("IF(B390="""","""",
  100*F390 / MAX(FILTER($F:$F, $A:$A=$A390, $B:$B=$B390))
)
"),1.4886731391585761)</f>
        <v>1.488673139</v>
      </c>
      <c r="J390" s="1">
        <f>IFERROR(__xludf.DUMMYFUNCTION("IF(B390="""","""",
  100*E390 / MAX(FILTER($E:$E, $A:$A=$A390, $B:$B=$B390))
)
"),0.4160887656033287)</f>
        <v>0.4160887656</v>
      </c>
      <c r="K390" s="1">
        <f t="shared" si="3"/>
        <v>1.006010171</v>
      </c>
    </row>
    <row r="391">
      <c r="A391" s="3">
        <f>IFERROR(__xludf.DUMMYFUNCTION("""COMPUTED_VALUE"""),45870.0)</f>
        <v>45870</v>
      </c>
      <c r="B391" s="1" t="str">
        <f>IFERROR(__xludf.DUMMYFUNCTION("""COMPUTED_VALUE"""),"HTMall")</f>
        <v>HTMall</v>
      </c>
      <c r="C391" s="1" t="str">
        <f>IFERROR(__xludf.DUMMYFUNCTION("""COMPUTED_VALUE"""),"Takies")</f>
        <v>Takies</v>
      </c>
      <c r="D391" s="1">
        <f>IFERROR(__xludf.DUMMYFUNCTION("""COMPUTED_VALUE"""),20.0)</f>
        <v>20</v>
      </c>
      <c r="E391" s="1">
        <f>IFERROR(__xludf.DUMMYFUNCTION("""COMPUTED_VALUE"""),-28.0)</f>
        <v>-28</v>
      </c>
      <c r="F391" s="1">
        <f>IFERROR(__xludf.DUMMYFUNCTION("""COMPUTED_VALUE"""),4.0)</f>
        <v>4</v>
      </c>
      <c r="G391" s="1">
        <f t="shared" si="1"/>
        <v>5</v>
      </c>
      <c r="H391" s="1">
        <f t="shared" si="2"/>
        <v>-7</v>
      </c>
      <c r="I391" s="1">
        <f>IFERROR(__xludf.DUMMYFUNCTION("IF(B391="""","""",
  100*F391 / MAX(FILTER($F:$F, $A:$A=$A391, $B:$B=$B391))
)
"),0.2588996763754045)</f>
        <v>0.2588996764</v>
      </c>
      <c r="J391" s="1">
        <f>IFERROR(__xludf.DUMMYFUNCTION("IF(B391="""","""",
  100*E391 / MAX(FILTER($E:$E, $A:$A=$A391, $B:$B=$B391))
)
"),-2.588996763754045)</f>
        <v>-2.588996764</v>
      </c>
      <c r="K391" s="1">
        <f t="shared" si="3"/>
        <v>-1.022653722</v>
      </c>
    </row>
    <row r="392">
      <c r="A392" s="3">
        <f>IFERROR(__xludf.DUMMYFUNCTION("""COMPUTED_VALUE"""),45870.0)</f>
        <v>45870</v>
      </c>
      <c r="B392" s="1" t="str">
        <f>IFERROR(__xludf.DUMMYFUNCTION("""COMPUTED_VALUE"""),"HTMall")</f>
        <v>HTMall</v>
      </c>
      <c r="C392" s="1" t="str">
        <f>IFERROR(__xludf.DUMMYFUNCTION("""COMPUTED_VALUE"""),"Tiger *12")</f>
        <v>Tiger *12</v>
      </c>
      <c r="D392" s="1">
        <f>IFERROR(__xludf.DUMMYFUNCTION("""COMPUTED_VALUE"""),1130.0)</f>
        <v>1130</v>
      </c>
      <c r="E392" s="1">
        <f>IFERROR(__xludf.DUMMYFUNCTION("""COMPUTED_VALUE"""),433.92)</f>
        <v>433.92</v>
      </c>
      <c r="F392" s="1">
        <f>IFERROR(__xludf.DUMMYFUNCTION("""COMPUTED_VALUE"""),226.0)</f>
        <v>226</v>
      </c>
      <c r="G392" s="1">
        <f t="shared" si="1"/>
        <v>5</v>
      </c>
      <c r="H392" s="1">
        <f t="shared" si="2"/>
        <v>1.92</v>
      </c>
      <c r="I392" s="1">
        <f>IFERROR(__xludf.DUMMYFUNCTION("IF(B392="""","""",
  100*F392 / MAX(FILTER($F:$F, $A:$A=$A392, $B:$B=$B392))
)
"),14.627831715210355)</f>
        <v>14.62783172</v>
      </c>
      <c r="J392" s="1">
        <f>IFERROR(__xludf.DUMMYFUNCTION("IF(B392="""","""",
  100*E392 / MAX(FILTER($E:$E, $A:$A=$A392, $B:$B=$B392))
)
"),40.12205270457698)</f>
        <v>40.1220527</v>
      </c>
      <c r="K392" s="1">
        <f t="shared" si="3"/>
        <v>26.10023116</v>
      </c>
    </row>
    <row r="393">
      <c r="A393" s="3">
        <f>IFERROR(__xludf.DUMMYFUNCTION("""COMPUTED_VALUE"""),45870.0)</f>
        <v>45870</v>
      </c>
      <c r="B393" s="1" t="str">
        <f>IFERROR(__xludf.DUMMYFUNCTION("""COMPUTED_VALUE"""),"HTMall")</f>
        <v>HTMall</v>
      </c>
      <c r="C393" s="1" t="str">
        <f>IFERROR(__xludf.DUMMYFUNCTION("""COMPUTED_VALUE"""),"Twix")</f>
        <v>Twix</v>
      </c>
      <c r="D393" s="1">
        <f>IFERROR(__xludf.DUMMYFUNCTION("""COMPUTED_VALUE"""),95.0)</f>
        <v>95</v>
      </c>
      <c r="E393" s="1">
        <f>IFERROR(__xludf.DUMMYFUNCTION("""COMPUTED_VALUE"""),28.5)</f>
        <v>28.5</v>
      </c>
      <c r="F393" s="1">
        <f>IFERROR(__xludf.DUMMYFUNCTION("""COMPUTED_VALUE"""),19.0)</f>
        <v>19</v>
      </c>
      <c r="G393" s="1">
        <f t="shared" si="1"/>
        <v>5</v>
      </c>
      <c r="H393" s="1">
        <f t="shared" si="2"/>
        <v>1.5</v>
      </c>
      <c r="I393" s="1">
        <f>IFERROR(__xludf.DUMMYFUNCTION("IF(B393="""","""",
  100*F393 / MAX(FILTER($F:$F, $A:$A=$A393, $B:$B=$B393))
)
"),1.2297734627831716)</f>
        <v>1.229773463</v>
      </c>
      <c r="J393" s="1">
        <f>IFERROR(__xludf.DUMMYFUNCTION("IF(B393="""","""",
  100*E393 / MAX(FILTER($E:$E, $A:$A=$A393, $B:$B=$B393))
)
"),2.635228848821082)</f>
        <v>2.635228849</v>
      </c>
      <c r="K393" s="1">
        <f t="shared" si="3"/>
        <v>1.862228387</v>
      </c>
    </row>
    <row r="394">
      <c r="A394" s="3">
        <f>IFERROR(__xludf.DUMMYFUNCTION("""COMPUTED_VALUE"""),45870.0)</f>
        <v>45870</v>
      </c>
      <c r="B394" s="1" t="str">
        <f>IFERROR(__xludf.DUMMYFUNCTION("""COMPUTED_VALUE"""),"HTMall")</f>
        <v>HTMall</v>
      </c>
      <c r="C394" s="1" t="str">
        <f>IFERROR(__xludf.DUMMYFUNCTION("""COMPUTED_VALUE"""),"Water")</f>
        <v>Water</v>
      </c>
      <c r="D394" s="1">
        <f>IFERROR(__xludf.DUMMYFUNCTION("""COMPUTED_VALUE"""),1545.0)</f>
        <v>1545</v>
      </c>
      <c r="E394" s="1">
        <f>IFERROR(__xludf.DUMMYFUNCTION("""COMPUTED_VALUE"""),1081.5)</f>
        <v>1081.5</v>
      </c>
      <c r="F394" s="1">
        <f>IFERROR(__xludf.DUMMYFUNCTION("""COMPUTED_VALUE"""),1545.0)</f>
        <v>1545</v>
      </c>
      <c r="G394" s="1">
        <f t="shared" si="1"/>
        <v>1</v>
      </c>
      <c r="H394" s="1">
        <f t="shared" si="2"/>
        <v>0.7</v>
      </c>
      <c r="I394" s="1">
        <f>IFERROR(__xludf.DUMMYFUNCTION("IF(B394="""","""",
  100*F394 / MAX(FILTER($F:$F, $A:$A=$A394, $B:$B=$B394))
)
"),100.0)</f>
        <v>100</v>
      </c>
      <c r="J394" s="1">
        <f>IFERROR(__xludf.DUMMYFUNCTION("IF(B394="""","""",
  100*E394 / MAX(FILTER($E:$E, $A:$A=$A394, $B:$B=$B394))
)
"),100.0)</f>
        <v>100</v>
      </c>
      <c r="K394" s="1">
        <f t="shared" si="3"/>
        <v>100</v>
      </c>
    </row>
    <row r="395">
      <c r="A395" s="3">
        <f>IFERROR(__xludf.DUMMYFUNCTION("""COMPUTED_VALUE"""),45870.0)</f>
        <v>45870</v>
      </c>
      <c r="B395" s="1" t="str">
        <f>IFERROR(__xludf.DUMMYFUNCTION("""COMPUTED_VALUE"""),"HTMall")</f>
        <v>HTMall</v>
      </c>
      <c r="C395" s="1" t="str">
        <f>IFERROR(__xludf.DUMMYFUNCTION("""COMPUTED_VALUE"""),"X!R")</f>
        <v>X!R</v>
      </c>
      <c r="D395" s="1">
        <f>IFERROR(__xludf.DUMMYFUNCTION("""COMPUTED_VALUE"""),487.0)</f>
        <v>487</v>
      </c>
      <c r="E395" s="1">
        <f>IFERROR(__xludf.DUMMYFUNCTION("""COMPUTED_VALUE"""),102.0)</f>
        <v>102</v>
      </c>
      <c r="F395" s="1">
        <f>IFERROR(__xludf.DUMMYFUNCTION("""COMPUTED_VALUE"""),110.0)</f>
        <v>110</v>
      </c>
      <c r="G395" s="1">
        <f t="shared" si="1"/>
        <v>4.427272727</v>
      </c>
      <c r="H395" s="1">
        <f t="shared" si="2"/>
        <v>0.9272727273</v>
      </c>
      <c r="I395" s="1">
        <f>IFERROR(__xludf.DUMMYFUNCTION("IF(B395="""","""",
  100*F395 / MAX(FILTER($F:$F, $A:$A=$A395, $B:$B=$B395))
)
"),7.119741100323624)</f>
        <v>7.1197411</v>
      </c>
      <c r="J395" s="1">
        <f>IFERROR(__xludf.DUMMYFUNCTION("IF(B395="""","""",
  100*E395 / MAX(FILTER($E:$E, $A:$A=$A395, $B:$B=$B395))
)
"),9.43134535367545)</f>
        <v>9.431345354</v>
      </c>
      <c r="K395" s="1">
        <f t="shared" si="3"/>
        <v>8.159963014</v>
      </c>
    </row>
    <row r="396">
      <c r="A396" s="3">
        <f>IFERROR(__xludf.DUMMYFUNCTION("""COMPUTED_VALUE"""),45870.0)</f>
        <v>45870</v>
      </c>
      <c r="B396" s="1" t="str">
        <f>IFERROR(__xludf.DUMMYFUNCTION("""COMPUTED_VALUE"""),"HTMall")</f>
        <v>HTMall</v>
      </c>
      <c r="C396" s="1" t="str">
        <f>IFERROR(__xludf.DUMMYFUNCTION("""COMPUTED_VALUE"""),"Xo Energy")</f>
        <v>Xo Energy</v>
      </c>
      <c r="D396" s="1">
        <f>IFERROR(__xludf.DUMMYFUNCTION("""COMPUTED_VALUE"""),80.0)</f>
        <v>80</v>
      </c>
      <c r="E396" s="1">
        <f>IFERROR(__xludf.DUMMYFUNCTION("""COMPUTED_VALUE"""),24.8)</f>
        <v>24.8</v>
      </c>
      <c r="F396" s="1">
        <f>IFERROR(__xludf.DUMMYFUNCTION("""COMPUTED_VALUE"""),16.0)</f>
        <v>16</v>
      </c>
      <c r="G396" s="1">
        <f t="shared" si="1"/>
        <v>5</v>
      </c>
      <c r="H396" s="1">
        <f t="shared" si="2"/>
        <v>1.55</v>
      </c>
      <c r="I396" s="1">
        <f>IFERROR(__xludf.DUMMYFUNCTION("IF(B396="""","""",
  100*F396 / MAX(FILTER($F:$F, $A:$A=$A396, $B:$B=$B396))
)
"),1.035598705501618)</f>
        <v>1.035598706</v>
      </c>
      <c r="J396" s="1">
        <f>IFERROR(__xludf.DUMMYFUNCTION("IF(B396="""","""",
  100*E396 / MAX(FILTER($E:$E, $A:$A=$A396, $B:$B=$B396))
)
"),2.2931114193250117)</f>
        <v>2.293111419</v>
      </c>
      <c r="K396" s="1">
        <f t="shared" si="3"/>
        <v>1.601479427</v>
      </c>
    </row>
    <row r="397">
      <c r="A397" s="3">
        <f>IFERROR(__xludf.DUMMYFUNCTION("""COMPUTED_VALUE"""),45870.0)</f>
        <v>45870</v>
      </c>
      <c r="B397" s="1" t="str">
        <f>IFERROR(__xludf.DUMMYFUNCTION("""COMPUTED_VALUE"""),"HTMall")</f>
        <v>HTMall</v>
      </c>
      <c r="C397" s="1" t="str">
        <f>IFERROR(__xludf.DUMMYFUNCTION("""COMPUTED_VALUE"""),"bonart")</f>
        <v>bonart</v>
      </c>
      <c r="D397" s="1">
        <f>IFERROR(__xludf.DUMMYFUNCTION("""COMPUTED_VALUE"""),916.0)</f>
        <v>916</v>
      </c>
      <c r="E397" s="1">
        <f>IFERROR(__xludf.DUMMYFUNCTION("""COMPUTED_VALUE"""),256.08)</f>
        <v>256.08</v>
      </c>
      <c r="F397" s="1">
        <f>IFERROR(__xludf.DUMMYFUNCTION("""COMPUTED_VALUE"""),226.0)</f>
        <v>226</v>
      </c>
      <c r="G397" s="1">
        <f t="shared" si="1"/>
        <v>4.053097345</v>
      </c>
      <c r="H397" s="1">
        <f t="shared" si="2"/>
        <v>1.133097345</v>
      </c>
      <c r="I397" s="1">
        <f>IFERROR(__xludf.DUMMYFUNCTION("IF(B397="""","""",
  100*F397 / MAX(FILTER($F:$F, $A:$A=$A397, $B:$B=$B397))
)
"),14.627831715210355)</f>
        <v>14.62783172</v>
      </c>
      <c r="J397" s="1">
        <f>IFERROR(__xludf.DUMMYFUNCTION("IF(B397="""","""",
  100*E397 / MAX(FILTER($E:$E, $A:$A=$A397, $B:$B=$B397))
)
"),23.678224687933426)</f>
        <v>23.67822469</v>
      </c>
      <c r="K397" s="1">
        <f t="shared" si="3"/>
        <v>18.70050855</v>
      </c>
    </row>
    <row r="398">
      <c r="A398" s="3">
        <f>IFERROR(__xludf.DUMMYFUNCTION("""COMPUTED_VALUE"""),45870.0)</f>
        <v>45870</v>
      </c>
      <c r="B398" s="1" t="str">
        <f>IFERROR(__xludf.DUMMYFUNCTION("""COMPUTED_VALUE"""),"HTMall")</f>
        <v>HTMall</v>
      </c>
      <c r="C398" s="1" t="str">
        <f>IFERROR(__xludf.DUMMYFUNCTION("""COMPUTED_VALUE"""),"kinza")</f>
        <v>kinza</v>
      </c>
      <c r="D398" s="1">
        <f>IFERROR(__xludf.DUMMYFUNCTION("""COMPUTED_VALUE"""),386.0)</f>
        <v>386</v>
      </c>
      <c r="E398" s="1">
        <f>IFERROR(__xludf.DUMMYFUNCTION("""COMPUTED_VALUE"""),88.78)</f>
        <v>88.78</v>
      </c>
      <c r="F398" s="1">
        <f>IFERROR(__xludf.DUMMYFUNCTION("""COMPUTED_VALUE"""),193.0)</f>
        <v>193</v>
      </c>
      <c r="G398" s="1">
        <f t="shared" si="1"/>
        <v>2</v>
      </c>
      <c r="H398" s="1">
        <f t="shared" si="2"/>
        <v>0.46</v>
      </c>
      <c r="I398" s="1">
        <f>IFERROR(__xludf.DUMMYFUNCTION("IF(B398="""","""",
  100*F398 / MAX(FILTER($F:$F, $A:$A=$A398, $B:$B=$B398))
)
"),12.491909385113269)</f>
        <v>12.49190939</v>
      </c>
      <c r="J398" s="1">
        <f>IFERROR(__xludf.DUMMYFUNCTION("IF(B398="""","""",
  100*E398 / MAX(FILTER($E:$E, $A:$A=$A398, $B:$B=$B398))
)
"),8.208969024503006)</f>
        <v>8.208969025</v>
      </c>
      <c r="K398" s="1">
        <f t="shared" si="3"/>
        <v>10.56458622</v>
      </c>
    </row>
    <row r="399">
      <c r="A399" s="3">
        <f>IFERROR(__xludf.DUMMYFUNCTION("""COMPUTED_VALUE"""),45870.0)</f>
        <v>45870</v>
      </c>
      <c r="B399" s="1" t="str">
        <f>IFERROR(__xludf.DUMMYFUNCTION("""COMPUTED_VALUE"""),"HTMall")</f>
        <v>HTMall</v>
      </c>
      <c r="C399" s="1" t="str">
        <f>IFERROR(__xludf.DUMMYFUNCTION("""COMPUTED_VALUE"""),"mr bite")</f>
        <v>mr bite</v>
      </c>
      <c r="D399" s="1">
        <f>IFERROR(__xludf.DUMMYFUNCTION("""COMPUTED_VALUE"""),254.0)</f>
        <v>254</v>
      </c>
      <c r="E399" s="1">
        <f>IFERROR(__xludf.DUMMYFUNCTION("""COMPUTED_VALUE"""),85.09)</f>
        <v>85.09</v>
      </c>
      <c r="F399" s="1">
        <f>IFERROR(__xludf.DUMMYFUNCTION("""COMPUTED_VALUE"""),127.0)</f>
        <v>127</v>
      </c>
      <c r="G399" s="1">
        <f t="shared" si="1"/>
        <v>2</v>
      </c>
      <c r="H399" s="1">
        <f t="shared" si="2"/>
        <v>0.67</v>
      </c>
      <c r="I399" s="1">
        <f>IFERROR(__xludf.DUMMYFUNCTION("IF(B399="""","""",
  100*F399 / MAX(FILTER($F:$F, $A:$A=$A399, $B:$B=$B399))
)
"),8.220064724919094)</f>
        <v>8.220064725</v>
      </c>
      <c r="J399" s="1">
        <f>IFERROR(__xludf.DUMMYFUNCTION("IF(B399="""","""",
  100*E399 / MAX(FILTER($E:$E, $A:$A=$A399, $B:$B=$B399))
)
"),7.867776236708275)</f>
        <v>7.867776237</v>
      </c>
      <c r="K399" s="1">
        <f t="shared" si="3"/>
        <v>8.061534905</v>
      </c>
    </row>
    <row r="400">
      <c r="A400" s="3">
        <f>IFERROR(__xludf.DUMMYFUNCTION("""COMPUTED_VALUE"""),45870.0)</f>
        <v>45870</v>
      </c>
      <c r="B400" s="1" t="str">
        <f>IFERROR(__xludf.DUMMYFUNCTION("""COMPUTED_VALUE"""),"HTMall")</f>
        <v>HTMall</v>
      </c>
      <c r="C400" s="1" t="str">
        <f>IFERROR(__xludf.DUMMYFUNCTION("""COMPUTED_VALUE"""),"sunTop")</f>
        <v>sunTop</v>
      </c>
      <c r="D400" s="1">
        <f>IFERROR(__xludf.DUMMYFUNCTION("""COMPUTED_VALUE"""),437.0)</f>
        <v>437</v>
      </c>
      <c r="E400" s="1">
        <f>IFERROR(__xludf.DUMMYFUNCTION("""COMPUTED_VALUE"""),177.2)</f>
        <v>177.2</v>
      </c>
      <c r="F400" s="1">
        <f>IFERROR(__xludf.DUMMYFUNCTION("""COMPUTED_VALUE"""),433.0)</f>
        <v>433</v>
      </c>
      <c r="G400" s="1">
        <f t="shared" si="1"/>
        <v>1.009237875</v>
      </c>
      <c r="H400" s="1">
        <f t="shared" si="2"/>
        <v>0.4092378753</v>
      </c>
      <c r="I400" s="1">
        <f>IFERROR(__xludf.DUMMYFUNCTION("IF(B400="""","""",
  100*F400 / MAX(FILTER($F:$F, $A:$A=$A400, $B:$B=$B400))
)
"),28.02588996763754)</f>
        <v>28.02588997</v>
      </c>
      <c r="J400" s="1">
        <f>IFERROR(__xludf.DUMMYFUNCTION("IF(B400="""","""",
  100*E400 / MAX(FILTER($E:$E, $A:$A=$A400, $B:$B=$B400))
)
"),16.384650947757745)</f>
        <v>16.38465095</v>
      </c>
      <c r="K400" s="1">
        <f t="shared" si="3"/>
        <v>22.78733241</v>
      </c>
    </row>
    <row r="401">
      <c r="A401" s="3">
        <f>IFERROR(__xludf.DUMMYFUNCTION("""COMPUTED_VALUE"""),45870.0)</f>
        <v>45870</v>
      </c>
      <c r="B401" s="1" t="str">
        <f>IFERROR(__xludf.DUMMYFUNCTION("""COMPUTED_VALUE"""),"HTMall")</f>
        <v>HTMall</v>
      </c>
      <c r="C401" s="1" t="str">
        <f>IFERROR(__xludf.DUMMYFUNCTION("""COMPUTED_VALUE"""),"wafe'up")</f>
        <v>wafe'up</v>
      </c>
      <c r="D401" s="1">
        <f>IFERROR(__xludf.DUMMYFUNCTION("""COMPUTED_VALUE"""),46.0)</f>
        <v>46</v>
      </c>
      <c r="E401" s="1">
        <f>IFERROR(__xludf.DUMMYFUNCTION("""COMPUTED_VALUE"""),24.84)</f>
        <v>24.84</v>
      </c>
      <c r="F401" s="1">
        <f>IFERROR(__xludf.DUMMYFUNCTION("""COMPUTED_VALUE"""),23.0)</f>
        <v>23</v>
      </c>
      <c r="G401" s="1">
        <f t="shared" si="1"/>
        <v>2</v>
      </c>
      <c r="H401" s="1">
        <f t="shared" si="2"/>
        <v>1.08</v>
      </c>
      <c r="I401" s="1">
        <f>IFERROR(__xludf.DUMMYFUNCTION("IF(B401="""","""",
  100*F401 / MAX(FILTER($F:$F, $A:$A=$A401, $B:$B=$B401))
)
"),1.4886731391585761)</f>
        <v>1.488673139</v>
      </c>
      <c r="J401" s="1">
        <f>IFERROR(__xludf.DUMMYFUNCTION("IF(B401="""","""",
  100*E401 / MAX(FILTER($E:$E, $A:$A=$A401, $B:$B=$B401))
)
"),2.2968099861303743)</f>
        <v>2.296809986</v>
      </c>
      <c r="K401" s="1">
        <f t="shared" si="3"/>
        <v>1.85233472</v>
      </c>
    </row>
    <row r="402">
      <c r="A402" s="3">
        <f>IFERROR(__xludf.DUMMYFUNCTION("""COMPUTED_VALUE"""),45870.0)</f>
        <v>45870</v>
      </c>
      <c r="B402" s="1" t="str">
        <f>IFERROR(__xludf.DUMMYFUNCTION("""COMPUTED_VALUE"""),"HospAlmoa")</f>
        <v>HospAlmoa</v>
      </c>
      <c r="C402" s="1" t="str">
        <f>IFERROR(__xludf.DUMMYFUNCTION("""COMPUTED_VALUE"""),"Almarai Chocolate")</f>
        <v>Almarai Chocolate</v>
      </c>
      <c r="D402" s="1">
        <f>IFERROR(__xludf.DUMMYFUNCTION("""COMPUTED_VALUE"""),84.0)</f>
        <v>84</v>
      </c>
      <c r="E402" s="1">
        <f>IFERROR(__xludf.DUMMYFUNCTION("""COMPUTED_VALUE"""),28.0)</f>
        <v>28</v>
      </c>
      <c r="F402" s="1">
        <f>IFERROR(__xludf.DUMMYFUNCTION("""COMPUTED_VALUE"""),28.0)</f>
        <v>28</v>
      </c>
      <c r="G402" s="1">
        <f t="shared" si="1"/>
        <v>3</v>
      </c>
      <c r="H402" s="1">
        <f t="shared" si="2"/>
        <v>1</v>
      </c>
      <c r="I402" s="1">
        <f>IFERROR(__xludf.DUMMYFUNCTION("IF(B402="""","""",
  100*F402 / MAX(FILTER($F:$F, $A:$A=$A402, $B:$B=$B402))
)
"),6.306306306306307)</f>
        <v>6.306306306</v>
      </c>
      <c r="J402" s="1">
        <f>IFERROR(__xludf.DUMMYFUNCTION("IF(B402="""","""",
  100*E402 / MAX(FILTER($E:$E, $A:$A=$A402, $B:$B=$B402))
)
"),9.00900900900901)</f>
        <v>9.009009009</v>
      </c>
      <c r="K402" s="1">
        <f t="shared" si="3"/>
        <v>7.522522523</v>
      </c>
    </row>
    <row r="403">
      <c r="A403" s="3">
        <f>IFERROR(__xludf.DUMMYFUNCTION("""COMPUTED_VALUE"""),45870.0)</f>
        <v>45870</v>
      </c>
      <c r="B403" s="1" t="str">
        <f>IFERROR(__xludf.DUMMYFUNCTION("""COMPUTED_VALUE"""),"HospAlmoa")</f>
        <v>HospAlmoa</v>
      </c>
      <c r="C403" s="1" t="str">
        <f>IFERROR(__xludf.DUMMYFUNCTION("""COMPUTED_VALUE"""),"Bounty")</f>
        <v>Bounty</v>
      </c>
      <c r="D403" s="1">
        <f>IFERROR(__xludf.DUMMYFUNCTION("""COMPUTED_VALUE"""),96.0)</f>
        <v>96</v>
      </c>
      <c r="E403" s="1">
        <f>IFERROR(__xludf.DUMMYFUNCTION("""COMPUTED_VALUE"""),9.75)</f>
        <v>9.75</v>
      </c>
      <c r="F403" s="1">
        <f>IFERROR(__xludf.DUMMYFUNCTION("""COMPUTED_VALUE"""),23.0)</f>
        <v>23</v>
      </c>
      <c r="G403" s="1">
        <f t="shared" si="1"/>
        <v>4.173913043</v>
      </c>
      <c r="H403" s="1">
        <f t="shared" si="2"/>
        <v>0.4239130435</v>
      </c>
      <c r="I403" s="1">
        <f>IFERROR(__xludf.DUMMYFUNCTION("IF(B403="""","""",
  100*F403 / MAX(FILTER($F:$F, $A:$A=$A403, $B:$B=$B403))
)
"),5.18018018018018)</f>
        <v>5.18018018</v>
      </c>
      <c r="J403" s="1">
        <f>IFERROR(__xludf.DUMMYFUNCTION("IF(B403="""","""",
  100*E403 / MAX(FILTER($E:$E, $A:$A=$A403, $B:$B=$B403))
)
"),3.137065637065637)</f>
        <v>3.137065637</v>
      </c>
      <c r="K403" s="1">
        <f t="shared" si="3"/>
        <v>4.260778636</v>
      </c>
    </row>
    <row r="404">
      <c r="A404" s="3">
        <f>IFERROR(__xludf.DUMMYFUNCTION("""COMPUTED_VALUE"""),45870.0)</f>
        <v>45870</v>
      </c>
      <c r="B404" s="1" t="str">
        <f>IFERROR(__xludf.DUMMYFUNCTION("""COMPUTED_VALUE"""),"HospAlmoa")</f>
        <v>HospAlmoa</v>
      </c>
      <c r="C404" s="1" t="str">
        <f>IFERROR(__xludf.DUMMYFUNCTION("""COMPUTED_VALUE"""),"Caser Juice")</f>
        <v>Caser Juice</v>
      </c>
      <c r="D404" s="1">
        <f>IFERROR(__xludf.DUMMYFUNCTION("""COMPUTED_VALUE"""),105.0)</f>
        <v>105</v>
      </c>
      <c r="E404" s="1">
        <f>IFERROR(__xludf.DUMMYFUNCTION("""COMPUTED_VALUE"""),18.27)</f>
        <v>18.27</v>
      </c>
      <c r="F404" s="1">
        <f>IFERROR(__xludf.DUMMYFUNCTION("""COMPUTED_VALUE"""),21.0)</f>
        <v>21</v>
      </c>
      <c r="G404" s="1">
        <f t="shared" si="1"/>
        <v>5</v>
      </c>
      <c r="H404" s="1">
        <f t="shared" si="2"/>
        <v>0.87</v>
      </c>
      <c r="I404" s="1">
        <f>IFERROR(__xludf.DUMMYFUNCTION("IF(B404="""","""",
  100*F404 / MAX(FILTER($F:$F, $A:$A=$A404, $B:$B=$B404))
)
"),4.72972972972973)</f>
        <v>4.72972973</v>
      </c>
      <c r="J404" s="1">
        <f>IFERROR(__xludf.DUMMYFUNCTION("IF(B404="""","""",
  100*E404 / MAX(FILTER($E:$E, $A:$A=$A404, $B:$B=$B404))
)
"),5.878378378378378)</f>
        <v>5.878378378</v>
      </c>
      <c r="K404" s="1">
        <f t="shared" si="3"/>
        <v>5.246621622</v>
      </c>
    </row>
    <row r="405">
      <c r="A405" s="3">
        <f>IFERROR(__xludf.DUMMYFUNCTION("""COMPUTED_VALUE"""),45870.0)</f>
        <v>45870</v>
      </c>
      <c r="B405" s="1" t="str">
        <f>IFERROR(__xludf.DUMMYFUNCTION("""COMPUTED_VALUE"""),"HospAlmoa")</f>
        <v>HospAlmoa</v>
      </c>
      <c r="C405" s="1" t="str">
        <f>IFERROR(__xludf.DUMMYFUNCTION("""COMPUTED_VALUE"""),"Corissant Karuzo")</f>
        <v>Corissant Karuzo</v>
      </c>
      <c r="D405" s="1">
        <f>IFERROR(__xludf.DUMMYFUNCTION("""COMPUTED_VALUE"""),105.0)</f>
        <v>105</v>
      </c>
      <c r="E405" s="1">
        <f>IFERROR(__xludf.DUMMYFUNCTION("""COMPUTED_VALUE"""),58.45)</f>
        <v>58.45</v>
      </c>
      <c r="F405" s="1">
        <f>IFERROR(__xludf.DUMMYFUNCTION("""COMPUTED_VALUE"""),35.0)</f>
        <v>35</v>
      </c>
      <c r="G405" s="1">
        <f t="shared" si="1"/>
        <v>3</v>
      </c>
      <c r="H405" s="1">
        <f t="shared" si="2"/>
        <v>1.67</v>
      </c>
      <c r="I405" s="1">
        <f>IFERROR(__xludf.DUMMYFUNCTION("IF(B405="""","""",
  100*F405 / MAX(FILTER($F:$F, $A:$A=$A405, $B:$B=$B405))
)
"),7.882882882882883)</f>
        <v>7.882882883</v>
      </c>
      <c r="J405" s="1">
        <f>IFERROR(__xludf.DUMMYFUNCTION("IF(B405="""","""",
  100*E405 / MAX(FILTER($E:$E, $A:$A=$A405, $B:$B=$B405))
)
"),18.806306306306304)</f>
        <v>18.80630631</v>
      </c>
      <c r="K405" s="1">
        <f t="shared" si="3"/>
        <v>12.79842342</v>
      </c>
    </row>
    <row r="406">
      <c r="A406" s="3">
        <f>IFERROR(__xludf.DUMMYFUNCTION("""COMPUTED_VALUE"""),45870.0)</f>
        <v>45870</v>
      </c>
      <c r="B406" s="1" t="str">
        <f>IFERROR(__xludf.DUMMYFUNCTION("""COMPUTED_VALUE"""),"HospAlmoa")</f>
        <v>HospAlmoa</v>
      </c>
      <c r="C406" s="1" t="str">
        <f>IFERROR(__xludf.DUMMYFUNCTION("""COMPUTED_VALUE"""),"Digestive")</f>
        <v>Digestive</v>
      </c>
      <c r="D406" s="1">
        <f>IFERROR(__xludf.DUMMYFUNCTION("""COMPUTED_VALUE"""),64.0)</f>
        <v>64</v>
      </c>
      <c r="E406" s="1">
        <f>IFERROR(__xludf.DUMMYFUNCTION("""COMPUTED_VALUE"""),23.68)</f>
        <v>23.68</v>
      </c>
      <c r="F406" s="1">
        <f>IFERROR(__xludf.DUMMYFUNCTION("""COMPUTED_VALUE"""),64.0)</f>
        <v>64</v>
      </c>
      <c r="G406" s="1">
        <f t="shared" si="1"/>
        <v>1</v>
      </c>
      <c r="H406" s="1">
        <f t="shared" si="2"/>
        <v>0.37</v>
      </c>
      <c r="I406" s="1">
        <f>IFERROR(__xludf.DUMMYFUNCTION("IF(B406="""","""",
  100*F406 / MAX(FILTER($F:$F, $A:$A=$A406, $B:$B=$B406))
)
"),14.414414414414415)</f>
        <v>14.41441441</v>
      </c>
      <c r="J406" s="1">
        <f>IFERROR(__xludf.DUMMYFUNCTION("IF(B406="""","""",
  100*E406 / MAX(FILTER($E:$E, $A:$A=$A406, $B:$B=$B406))
)
"),7.619047619047619)</f>
        <v>7.619047619</v>
      </c>
      <c r="K406" s="1">
        <f t="shared" si="3"/>
        <v>11.35649936</v>
      </c>
    </row>
    <row r="407">
      <c r="A407" s="3">
        <f>IFERROR(__xludf.DUMMYFUNCTION("""COMPUTED_VALUE"""),45870.0)</f>
        <v>45870</v>
      </c>
      <c r="B407" s="1" t="str">
        <f>IFERROR(__xludf.DUMMYFUNCTION("""COMPUTED_VALUE"""),"HospAlmoa")</f>
        <v>HospAlmoa</v>
      </c>
      <c r="C407" s="1" t="str">
        <f>IFERROR(__xludf.DUMMYFUNCTION("""COMPUTED_VALUE"""),"Doritos cool ranc")</f>
        <v>Doritos cool ranc</v>
      </c>
      <c r="D407" s="1">
        <f>IFERROR(__xludf.DUMMYFUNCTION("""COMPUTED_VALUE"""),440.0)</f>
        <v>440</v>
      </c>
      <c r="E407" s="1">
        <f>IFERROR(__xludf.DUMMYFUNCTION("""COMPUTED_VALUE"""),193.6)</f>
        <v>193.6</v>
      </c>
      <c r="F407" s="1">
        <f>IFERROR(__xludf.DUMMYFUNCTION("""COMPUTED_VALUE"""),88.0)</f>
        <v>88</v>
      </c>
      <c r="G407" s="1">
        <f t="shared" si="1"/>
        <v>5</v>
      </c>
      <c r="H407" s="1">
        <f t="shared" si="2"/>
        <v>2.2</v>
      </c>
      <c r="I407" s="1">
        <f>IFERROR(__xludf.DUMMYFUNCTION("IF(B407="""","""",
  100*F407 / MAX(FILTER($F:$F, $A:$A=$A407, $B:$B=$B407))
)
"),19.81981981981982)</f>
        <v>19.81981982</v>
      </c>
      <c r="J407" s="1">
        <f>IFERROR(__xludf.DUMMYFUNCTION("IF(B407="""","""",
  100*E407 / MAX(FILTER($E:$E, $A:$A=$A407, $B:$B=$B407))
)
"),62.290862290862286)</f>
        <v>62.29086229</v>
      </c>
      <c r="K407" s="1">
        <f t="shared" si="3"/>
        <v>38.93178893</v>
      </c>
    </row>
    <row r="408">
      <c r="A408" s="3">
        <f>IFERROR(__xludf.DUMMYFUNCTION("""COMPUTED_VALUE"""),45870.0)</f>
        <v>45870</v>
      </c>
      <c r="B408" s="1" t="str">
        <f>IFERROR(__xludf.DUMMYFUNCTION("""COMPUTED_VALUE"""),"HospAlmoa")</f>
        <v>HospAlmoa</v>
      </c>
      <c r="C408" s="1" t="str">
        <f>IFERROR(__xludf.DUMMYFUNCTION("""COMPUTED_VALUE"""),"Freez")</f>
        <v>Freez</v>
      </c>
      <c r="D408" s="1">
        <f>IFERROR(__xludf.DUMMYFUNCTION("""COMPUTED_VALUE"""),165.0)</f>
        <v>165</v>
      </c>
      <c r="E408" s="1">
        <f>IFERROR(__xludf.DUMMYFUNCTION("""COMPUTED_VALUE"""),52.47)</f>
        <v>52.47</v>
      </c>
      <c r="F408" s="1">
        <f>IFERROR(__xludf.DUMMYFUNCTION("""COMPUTED_VALUE"""),33.0)</f>
        <v>33</v>
      </c>
      <c r="G408" s="1">
        <f t="shared" si="1"/>
        <v>5</v>
      </c>
      <c r="H408" s="1">
        <f t="shared" si="2"/>
        <v>1.59</v>
      </c>
      <c r="I408" s="1">
        <f>IFERROR(__xludf.DUMMYFUNCTION("IF(B408="""","""",
  100*F408 / MAX(FILTER($F:$F, $A:$A=$A408, $B:$B=$B408))
)
"),7.4324324324324325)</f>
        <v>7.432432432</v>
      </c>
      <c r="J408" s="1">
        <f>IFERROR(__xludf.DUMMYFUNCTION("IF(B408="""","""",
  100*E408 / MAX(FILTER($E:$E, $A:$A=$A408, $B:$B=$B408))
)
"),16.88223938223938)</f>
        <v>16.88223938</v>
      </c>
      <c r="K408" s="1">
        <f t="shared" si="3"/>
        <v>11.68484556</v>
      </c>
    </row>
    <row r="409">
      <c r="A409" s="3">
        <f>IFERROR(__xludf.DUMMYFUNCTION("""COMPUTED_VALUE"""),45870.0)</f>
        <v>45870</v>
      </c>
      <c r="B409" s="1" t="str">
        <f>IFERROR(__xludf.DUMMYFUNCTION("""COMPUTED_VALUE"""),"HospAlmoa")</f>
        <v>HospAlmoa</v>
      </c>
      <c r="C409" s="1" t="str">
        <f>IFERROR(__xludf.DUMMYFUNCTION("""COMPUTED_VALUE"""),"Gardena")</f>
        <v>Gardena</v>
      </c>
      <c r="D409" s="1">
        <f>IFERROR(__xludf.DUMMYFUNCTION("""COMPUTED_VALUE"""),55.0)</f>
        <v>55</v>
      </c>
      <c r="E409" s="1">
        <f>IFERROR(__xludf.DUMMYFUNCTION("""COMPUTED_VALUE"""),9.08)</f>
        <v>9.08</v>
      </c>
      <c r="F409" s="1">
        <f>IFERROR(__xludf.DUMMYFUNCTION("""COMPUTED_VALUE"""),14.0)</f>
        <v>14</v>
      </c>
      <c r="G409" s="1">
        <f t="shared" si="1"/>
        <v>3.928571429</v>
      </c>
      <c r="H409" s="1">
        <f t="shared" si="2"/>
        <v>0.6485714286</v>
      </c>
      <c r="I409" s="1">
        <f>IFERROR(__xludf.DUMMYFUNCTION("IF(B409="""","""",
  100*F409 / MAX(FILTER($F:$F, $A:$A=$A409, $B:$B=$B409))
)
"),3.1531531531531534)</f>
        <v>3.153153153</v>
      </c>
      <c r="J409" s="1">
        <f>IFERROR(__xludf.DUMMYFUNCTION("IF(B409="""","""",
  100*E409 / MAX(FILTER($E:$E, $A:$A=$A409, $B:$B=$B409))
)
"),2.9214929214929213)</f>
        <v>2.921492921</v>
      </c>
      <c r="K409" s="1">
        <f t="shared" si="3"/>
        <v>3.048906049</v>
      </c>
    </row>
    <row r="410">
      <c r="A410" s="3">
        <f>IFERROR(__xludf.DUMMYFUNCTION("""COMPUTED_VALUE"""),45870.0)</f>
        <v>45870</v>
      </c>
      <c r="B410" s="1" t="str">
        <f>IFERROR(__xludf.DUMMYFUNCTION("""COMPUTED_VALUE"""),"HospAlmoa")</f>
        <v>HospAlmoa</v>
      </c>
      <c r="C410" s="1" t="str">
        <f>IFERROR(__xludf.DUMMYFUNCTION("""COMPUTED_VALUE"""),"Green")</f>
        <v>Green</v>
      </c>
      <c r="D410" s="1">
        <f>IFERROR(__xludf.DUMMYFUNCTION("""COMPUTED_VALUE"""),34.0)</f>
        <v>34</v>
      </c>
      <c r="E410" s="1">
        <f>IFERROR(__xludf.DUMMYFUNCTION("""COMPUTED_VALUE"""),7.36)</f>
        <v>7.36</v>
      </c>
      <c r="F410" s="1">
        <f>IFERROR(__xludf.DUMMYFUNCTION("""COMPUTED_VALUE"""),9.0)</f>
        <v>9</v>
      </c>
      <c r="G410" s="1">
        <f t="shared" si="1"/>
        <v>3.777777778</v>
      </c>
      <c r="H410" s="1">
        <f t="shared" si="2"/>
        <v>0.8177777778</v>
      </c>
      <c r="I410" s="1">
        <f>IFERROR(__xludf.DUMMYFUNCTION("IF(B410="""","""",
  100*F410 / MAX(FILTER($F:$F, $A:$A=$A410, $B:$B=$B410))
)
"),2.027027027027027)</f>
        <v>2.027027027</v>
      </c>
      <c r="J410" s="1">
        <f>IFERROR(__xludf.DUMMYFUNCTION("IF(B410="""","""",
  100*E410 / MAX(FILTER($E:$E, $A:$A=$A410, $B:$B=$B410))
)
"),2.368082368082368)</f>
        <v>2.368082368</v>
      </c>
      <c r="K410" s="1">
        <f t="shared" si="3"/>
        <v>2.180501931</v>
      </c>
    </row>
    <row r="411">
      <c r="A411" s="3">
        <f>IFERROR(__xludf.DUMMYFUNCTION("""COMPUTED_VALUE"""),45870.0)</f>
        <v>45870</v>
      </c>
      <c r="B411" s="1" t="str">
        <f>IFERROR(__xludf.DUMMYFUNCTION("""COMPUTED_VALUE"""),"HospAlmoa")</f>
        <v>HospAlmoa</v>
      </c>
      <c r="C411" s="1" t="str">
        <f>IFERROR(__xludf.DUMMYFUNCTION("""COMPUTED_VALUE"""),"Justo Drink")</f>
        <v>Justo Drink</v>
      </c>
      <c r="D411" s="1">
        <f>IFERROR(__xludf.DUMMYFUNCTION("""COMPUTED_VALUE"""),8.0)</f>
        <v>8</v>
      </c>
      <c r="E411" s="1">
        <f>IFERROR(__xludf.DUMMYFUNCTION("""COMPUTED_VALUE"""),4.0)</f>
        <v>4</v>
      </c>
      <c r="F411" s="1">
        <f>IFERROR(__xludf.DUMMYFUNCTION("""COMPUTED_VALUE"""),4.0)</f>
        <v>4</v>
      </c>
      <c r="G411" s="1">
        <f t="shared" si="1"/>
        <v>2</v>
      </c>
      <c r="H411" s="1">
        <f t="shared" si="2"/>
        <v>1</v>
      </c>
      <c r="I411" s="1">
        <f>IFERROR(__xludf.DUMMYFUNCTION("IF(B411="""","""",
  100*F411 / MAX(FILTER($F:$F, $A:$A=$A411, $B:$B=$B411))
)
"),0.9009009009009009)</f>
        <v>0.9009009009</v>
      </c>
      <c r="J411" s="1">
        <f>IFERROR(__xludf.DUMMYFUNCTION("IF(B411="""","""",
  100*E411 / MAX(FILTER($E:$E, $A:$A=$A411, $B:$B=$B411))
)
"),1.287001287001287)</f>
        <v>1.287001287</v>
      </c>
      <c r="K411" s="1">
        <f t="shared" si="3"/>
        <v>1.074646075</v>
      </c>
    </row>
    <row r="412">
      <c r="A412" s="3">
        <f>IFERROR(__xludf.DUMMYFUNCTION("""COMPUTED_VALUE"""),45870.0)</f>
        <v>45870</v>
      </c>
      <c r="B412" s="1" t="str">
        <f>IFERROR(__xludf.DUMMYFUNCTION("""COMPUTED_VALUE"""),"HospAlmoa")</f>
        <v>HospAlmoa</v>
      </c>
      <c r="C412" s="1" t="str">
        <f>IFERROR(__xludf.DUMMYFUNCTION("""COMPUTED_VALUE"""),"Kinder Bueno")</f>
        <v>Kinder Bueno</v>
      </c>
      <c r="D412" s="1">
        <f>IFERROR(__xludf.DUMMYFUNCTION("""COMPUTED_VALUE"""),438.0)</f>
        <v>438</v>
      </c>
      <c r="E412" s="1">
        <f>IFERROR(__xludf.DUMMYFUNCTION("""COMPUTED_VALUE"""),14.6)</f>
        <v>14.6</v>
      </c>
      <c r="F412" s="1">
        <f>IFERROR(__xludf.DUMMYFUNCTION("""COMPUTED_VALUE"""),73.0)</f>
        <v>73</v>
      </c>
      <c r="G412" s="1">
        <f t="shared" si="1"/>
        <v>6</v>
      </c>
      <c r="H412" s="1">
        <f t="shared" si="2"/>
        <v>0.2</v>
      </c>
      <c r="I412" s="1">
        <f>IFERROR(__xludf.DUMMYFUNCTION("IF(B412="""","""",
  100*F412 / MAX(FILTER($F:$F, $A:$A=$A412, $B:$B=$B412))
)
"),16.44144144144144)</f>
        <v>16.44144144</v>
      </c>
      <c r="J412" s="1">
        <f>IFERROR(__xludf.DUMMYFUNCTION("IF(B412="""","""",
  100*E412 / MAX(FILTER($E:$E, $A:$A=$A412, $B:$B=$B412))
)
"),4.697554697554698)</f>
        <v>4.697554698</v>
      </c>
      <c r="K412" s="1">
        <f t="shared" si="3"/>
        <v>11.15669241</v>
      </c>
    </row>
    <row r="413">
      <c r="A413" s="3">
        <f>IFERROR(__xludf.DUMMYFUNCTION("""COMPUTED_VALUE"""),45870.0)</f>
        <v>45870</v>
      </c>
      <c r="B413" s="1" t="str">
        <f>IFERROR(__xludf.DUMMYFUNCTION("""COMPUTED_VALUE"""),"HospAlmoa")</f>
        <v>HospAlmoa</v>
      </c>
      <c r="C413" s="1" t="str">
        <f>IFERROR(__xludf.DUMMYFUNCTION("""COMPUTED_VALUE"""),"Kinder bueno1stick")</f>
        <v>Kinder bueno1stick</v>
      </c>
      <c r="D413" s="1">
        <f>IFERROR(__xludf.DUMMYFUNCTION("""COMPUTED_VALUE"""),108.0)</f>
        <v>108</v>
      </c>
      <c r="E413" s="1">
        <f>IFERROR(__xludf.DUMMYFUNCTION("""COMPUTED_VALUE"""),27.0)</f>
        <v>27</v>
      </c>
      <c r="F413" s="1">
        <f>IFERROR(__xludf.DUMMYFUNCTION("""COMPUTED_VALUE"""),27.0)</f>
        <v>27</v>
      </c>
      <c r="G413" s="1">
        <f t="shared" si="1"/>
        <v>4</v>
      </c>
      <c r="H413" s="1">
        <f t="shared" si="2"/>
        <v>1</v>
      </c>
      <c r="I413" s="1">
        <f>IFERROR(__xludf.DUMMYFUNCTION("IF(B413="""","""",
  100*F413 / MAX(FILTER($F:$F, $A:$A=$A413, $B:$B=$B413))
)
"),6.081081081081081)</f>
        <v>6.081081081</v>
      </c>
      <c r="J413" s="1">
        <f>IFERROR(__xludf.DUMMYFUNCTION("IF(B413="""","""",
  100*E413 / MAX(FILTER($E:$E, $A:$A=$A413, $B:$B=$B413))
)
"),8.687258687258687)</f>
        <v>8.687258687</v>
      </c>
      <c r="K413" s="1">
        <f t="shared" si="3"/>
        <v>7.253861004</v>
      </c>
    </row>
    <row r="414">
      <c r="A414" s="3">
        <f>IFERROR(__xludf.DUMMYFUNCTION("""COMPUTED_VALUE"""),45870.0)</f>
        <v>45870</v>
      </c>
      <c r="B414" s="1" t="str">
        <f>IFERROR(__xludf.DUMMYFUNCTION("""COMPUTED_VALUE"""),"HospAlmoa")</f>
        <v>HospAlmoa</v>
      </c>
      <c r="C414" s="1" t="str">
        <f>IFERROR(__xludf.DUMMYFUNCTION("""COMPUTED_VALUE"""),"KitKat")</f>
        <v>KitKat</v>
      </c>
      <c r="D414" s="1">
        <f>IFERROR(__xludf.DUMMYFUNCTION("""COMPUTED_VALUE"""),64.0)</f>
        <v>64</v>
      </c>
      <c r="E414" s="1">
        <f>IFERROR(__xludf.DUMMYFUNCTION("""COMPUTED_VALUE"""),5.92)</f>
        <v>5.92</v>
      </c>
      <c r="F414" s="1">
        <f>IFERROR(__xludf.DUMMYFUNCTION("""COMPUTED_VALUE"""),16.0)</f>
        <v>16</v>
      </c>
      <c r="G414" s="1">
        <f t="shared" si="1"/>
        <v>4</v>
      </c>
      <c r="H414" s="1">
        <f t="shared" si="2"/>
        <v>0.37</v>
      </c>
      <c r="I414" s="1">
        <f>IFERROR(__xludf.DUMMYFUNCTION("IF(B414="""","""",
  100*F414 / MAX(FILTER($F:$F, $A:$A=$A414, $B:$B=$B414))
)
"),3.6036036036036037)</f>
        <v>3.603603604</v>
      </c>
      <c r="J414" s="1">
        <f>IFERROR(__xludf.DUMMYFUNCTION("IF(B414="""","""",
  100*E414 / MAX(FILTER($E:$E, $A:$A=$A414, $B:$B=$B414))
)
"),1.9047619047619047)</f>
        <v>1.904761905</v>
      </c>
      <c r="K414" s="1">
        <f t="shared" si="3"/>
        <v>2.839124839</v>
      </c>
    </row>
    <row r="415">
      <c r="A415" s="3">
        <f>IFERROR(__xludf.DUMMYFUNCTION("""COMPUTED_VALUE"""),45870.0)</f>
        <v>45870</v>
      </c>
      <c r="B415" s="1" t="str">
        <f>IFERROR(__xludf.DUMMYFUNCTION("""COMPUTED_VALUE"""),"HospAlmoa")</f>
        <v>HospAlmoa</v>
      </c>
      <c r="C415" s="1" t="str">
        <f>IFERROR(__xludf.DUMMYFUNCTION("""COMPUTED_VALUE"""),"Kunuz Juice")</f>
        <v>Kunuz Juice</v>
      </c>
      <c r="D415" s="1">
        <f>IFERROR(__xludf.DUMMYFUNCTION("""COMPUTED_VALUE"""),62.0)</f>
        <v>62</v>
      </c>
      <c r="E415" s="1">
        <f>IFERROR(__xludf.DUMMYFUNCTION("""COMPUTED_VALUE"""),22.0)</f>
        <v>22</v>
      </c>
      <c r="F415" s="1">
        <f>IFERROR(__xludf.DUMMYFUNCTION("""COMPUTED_VALUE"""),20.0)</f>
        <v>20</v>
      </c>
      <c r="G415" s="1">
        <f t="shared" si="1"/>
        <v>3.1</v>
      </c>
      <c r="H415" s="1">
        <f t="shared" si="2"/>
        <v>1.1</v>
      </c>
      <c r="I415" s="1">
        <f>IFERROR(__xludf.DUMMYFUNCTION("IF(B415="""","""",
  100*F415 / MAX(FILTER($F:$F, $A:$A=$A415, $B:$B=$B415))
)
"),4.504504504504505)</f>
        <v>4.504504505</v>
      </c>
      <c r="J415" s="1">
        <f>IFERROR(__xludf.DUMMYFUNCTION("IF(B415="""","""",
  100*E415 / MAX(FILTER($E:$E, $A:$A=$A415, $B:$B=$B415))
)
"),7.078507078507078)</f>
        <v>7.078507079</v>
      </c>
      <c r="K415" s="1">
        <f t="shared" si="3"/>
        <v>5.662805663</v>
      </c>
    </row>
    <row r="416">
      <c r="A416" s="3">
        <f>IFERROR(__xludf.DUMMYFUNCTION("""COMPUTED_VALUE"""),45870.0)</f>
        <v>45870</v>
      </c>
      <c r="B416" s="1" t="str">
        <f>IFERROR(__xludf.DUMMYFUNCTION("""COMPUTED_VALUE"""),"HospAlmoa")</f>
        <v>HospAlmoa</v>
      </c>
      <c r="C416" s="1" t="str">
        <f>IFERROR(__xludf.DUMMYFUNCTION("""COMPUTED_VALUE"""),"Laviva")</f>
        <v>Laviva</v>
      </c>
      <c r="D416" s="1">
        <f>IFERROR(__xludf.DUMMYFUNCTION("""COMPUTED_VALUE"""),144.0)</f>
        <v>144</v>
      </c>
      <c r="E416" s="1">
        <f>IFERROR(__xludf.DUMMYFUNCTION("""COMPUTED_VALUE"""),38.4)</f>
        <v>38.4</v>
      </c>
      <c r="F416" s="1">
        <f>IFERROR(__xludf.DUMMYFUNCTION("""COMPUTED_VALUE"""),48.0)</f>
        <v>48</v>
      </c>
      <c r="G416" s="1">
        <f t="shared" si="1"/>
        <v>3</v>
      </c>
      <c r="H416" s="1">
        <f t="shared" si="2"/>
        <v>0.8</v>
      </c>
      <c r="I416" s="1">
        <f>IFERROR(__xludf.DUMMYFUNCTION("IF(B416="""","""",
  100*F416 / MAX(FILTER($F:$F, $A:$A=$A416, $B:$B=$B416))
)
"),10.81081081081081)</f>
        <v>10.81081081</v>
      </c>
      <c r="J416" s="1">
        <f>IFERROR(__xludf.DUMMYFUNCTION("IF(B416="""","""",
  100*E416 / MAX(FILTER($E:$E, $A:$A=$A416, $B:$B=$B416))
)
"),12.355212355212355)</f>
        <v>12.35521236</v>
      </c>
      <c r="K416" s="1">
        <f t="shared" si="3"/>
        <v>11.50579151</v>
      </c>
    </row>
    <row r="417">
      <c r="A417" s="3">
        <f>IFERROR(__xludf.DUMMYFUNCTION("""COMPUTED_VALUE"""),45870.0)</f>
        <v>45870</v>
      </c>
      <c r="B417" s="1" t="str">
        <f>IFERROR(__xludf.DUMMYFUNCTION("""COMPUTED_VALUE"""),"HospAlmoa")</f>
        <v>HospAlmoa</v>
      </c>
      <c r="C417" s="1" t="str">
        <f>IFERROR(__xludf.DUMMYFUNCTION("""COMPUTED_VALUE"""),"Lovita cookies")</f>
        <v>Lovita cookies</v>
      </c>
      <c r="D417" s="1">
        <f>IFERROR(__xludf.DUMMYFUNCTION("""COMPUTED_VALUE"""),382.0)</f>
        <v>382</v>
      </c>
      <c r="E417" s="1">
        <f>IFERROR(__xludf.DUMMYFUNCTION("""COMPUTED_VALUE"""),66.02)</f>
        <v>66.02</v>
      </c>
      <c r="F417" s="1">
        <f>IFERROR(__xludf.DUMMYFUNCTION("""COMPUTED_VALUE"""),61.0)</f>
        <v>61</v>
      </c>
      <c r="G417" s="1">
        <f t="shared" si="1"/>
        <v>6.262295082</v>
      </c>
      <c r="H417" s="1">
        <f t="shared" si="2"/>
        <v>1.082295082</v>
      </c>
      <c r="I417" s="1">
        <f>IFERROR(__xludf.DUMMYFUNCTION("IF(B417="""","""",
  100*F417 / MAX(FILTER($F:$F, $A:$A=$A417, $B:$B=$B417))
)
"),13.73873873873874)</f>
        <v>13.73873874</v>
      </c>
      <c r="J417" s="1">
        <f>IFERROR(__xludf.DUMMYFUNCTION("IF(B417="""","""",
  100*E417 / MAX(FILTER($E:$E, $A:$A=$A417, $B:$B=$B417))
)
"),21.24195624195624)</f>
        <v>21.24195624</v>
      </c>
      <c r="K417" s="1">
        <f t="shared" si="3"/>
        <v>17.11518662</v>
      </c>
    </row>
    <row r="418">
      <c r="A418" s="3">
        <f>IFERROR(__xludf.DUMMYFUNCTION("""COMPUTED_VALUE"""),45870.0)</f>
        <v>45870</v>
      </c>
      <c r="B418" s="1" t="str">
        <f>IFERROR(__xludf.DUMMYFUNCTION("""COMPUTED_VALUE"""),"HospAlmoa")</f>
        <v>HospAlmoa</v>
      </c>
      <c r="C418" s="1" t="str">
        <f>IFERROR(__xludf.DUMMYFUNCTION("""COMPUTED_VALUE"""),"Maltesers")</f>
        <v>Maltesers</v>
      </c>
      <c r="D418" s="1">
        <f>IFERROR(__xludf.DUMMYFUNCTION("""COMPUTED_VALUE"""),255.0)</f>
        <v>255</v>
      </c>
      <c r="E418" s="1">
        <f>IFERROR(__xludf.DUMMYFUNCTION("""COMPUTED_VALUE"""),-42.6)</f>
        <v>-42.6</v>
      </c>
      <c r="F418" s="1">
        <f>IFERROR(__xludf.DUMMYFUNCTION("""COMPUTED_VALUE"""),48.0)</f>
        <v>48</v>
      </c>
      <c r="G418" s="1">
        <f t="shared" si="1"/>
        <v>5.3125</v>
      </c>
      <c r="H418" s="1">
        <f t="shared" si="2"/>
        <v>-0.8875</v>
      </c>
      <c r="I418" s="1">
        <f>IFERROR(__xludf.DUMMYFUNCTION("IF(B418="""","""",
  100*F418 / MAX(FILTER($F:$F, $A:$A=$A418, $B:$B=$B418))
)
"),10.81081081081081)</f>
        <v>10.81081081</v>
      </c>
      <c r="J418" s="1">
        <f>IFERROR(__xludf.DUMMYFUNCTION("IF(B418="""","""",
  100*E418 / MAX(FILTER($E:$E, $A:$A=$A418, $B:$B=$B418))
)
"),-13.706563706563706)</f>
        <v>-13.70656371</v>
      </c>
      <c r="K418" s="1">
        <f t="shared" si="3"/>
        <v>-0.222007722</v>
      </c>
    </row>
    <row r="419">
      <c r="A419" s="3">
        <f>IFERROR(__xludf.DUMMYFUNCTION("""COMPUTED_VALUE"""),45870.0)</f>
        <v>45870</v>
      </c>
      <c r="B419" s="1" t="str">
        <f>IFERROR(__xludf.DUMMYFUNCTION("""COMPUTED_VALUE"""),"HospAlmoa")</f>
        <v>HospAlmoa</v>
      </c>
      <c r="C419" s="1" t="str">
        <f>IFERROR(__xludf.DUMMYFUNCTION("""COMPUTED_VALUE"""),"Mars")</f>
        <v>Mars</v>
      </c>
      <c r="D419" s="1">
        <f>IFERROR(__xludf.DUMMYFUNCTION("""COMPUTED_VALUE"""),140.0)</f>
        <v>140</v>
      </c>
      <c r="E419" s="1">
        <f>IFERROR(__xludf.DUMMYFUNCTION("""COMPUTED_VALUE"""),17.6)</f>
        <v>17.6</v>
      </c>
      <c r="F419" s="1">
        <f>IFERROR(__xludf.DUMMYFUNCTION("""COMPUTED_VALUE"""),34.0)</f>
        <v>34</v>
      </c>
      <c r="G419" s="1">
        <f t="shared" si="1"/>
        <v>4.117647059</v>
      </c>
      <c r="H419" s="1">
        <f t="shared" si="2"/>
        <v>0.5176470588</v>
      </c>
      <c r="I419" s="1">
        <f>IFERROR(__xludf.DUMMYFUNCTION("IF(B419="""","""",
  100*F419 / MAX(FILTER($F:$F, $A:$A=$A419, $B:$B=$B419))
)
"),7.657657657657658)</f>
        <v>7.657657658</v>
      </c>
      <c r="J419" s="1">
        <f>IFERROR(__xludf.DUMMYFUNCTION("IF(B419="""","""",
  100*E419 / MAX(FILTER($E:$E, $A:$A=$A419, $B:$B=$B419))
)
"),5.662805662805663)</f>
        <v>5.662805663</v>
      </c>
      <c r="K419" s="1">
        <f t="shared" si="3"/>
        <v>6.75997426</v>
      </c>
    </row>
    <row r="420">
      <c r="A420" s="3">
        <f>IFERROR(__xludf.DUMMYFUNCTION("""COMPUTED_VALUE"""),45870.0)</f>
        <v>45870</v>
      </c>
      <c r="B420" s="1" t="str">
        <f>IFERROR(__xludf.DUMMYFUNCTION("""COMPUTED_VALUE"""),"HospAlmoa")</f>
        <v>HospAlmoa</v>
      </c>
      <c r="C420" s="1" t="str">
        <f>IFERROR(__xludf.DUMMYFUNCTION("""COMPUTED_VALUE"""),"MrCrunch")</f>
        <v>MrCrunch</v>
      </c>
      <c r="D420" s="1">
        <f>IFERROR(__xludf.DUMMYFUNCTION("""COMPUTED_VALUE"""),48.0)</f>
        <v>48</v>
      </c>
      <c r="E420" s="1">
        <f>IFERROR(__xludf.DUMMYFUNCTION("""COMPUTED_VALUE"""),24.7)</f>
        <v>24.7</v>
      </c>
      <c r="F420" s="1">
        <f>IFERROR(__xludf.DUMMYFUNCTION("""COMPUTED_VALUE"""),10.0)</f>
        <v>10</v>
      </c>
      <c r="G420" s="1">
        <f t="shared" si="1"/>
        <v>4.8</v>
      </c>
      <c r="H420" s="1">
        <f t="shared" si="2"/>
        <v>2.47</v>
      </c>
      <c r="I420" s="1">
        <f>IFERROR(__xludf.DUMMYFUNCTION("IF(B420="""","""",
  100*F420 / MAX(FILTER($F:$F, $A:$A=$A420, $B:$B=$B420))
)
"),2.2522522522522523)</f>
        <v>2.252252252</v>
      </c>
      <c r="J420" s="1">
        <f>IFERROR(__xludf.DUMMYFUNCTION("IF(B420="""","""",
  100*E420 / MAX(FILTER($E:$E, $A:$A=$A420, $B:$B=$B420))
)
"),7.947232947232947)</f>
        <v>7.947232947</v>
      </c>
      <c r="K420" s="1">
        <f t="shared" si="3"/>
        <v>4.814993565</v>
      </c>
    </row>
    <row r="421">
      <c r="A421" s="3">
        <f>IFERROR(__xludf.DUMMYFUNCTION("""COMPUTED_VALUE"""),45870.0)</f>
        <v>45870</v>
      </c>
      <c r="B421" s="1" t="str">
        <f>IFERROR(__xludf.DUMMYFUNCTION("""COMPUTED_VALUE"""),"HospAlmoa")</f>
        <v>HospAlmoa</v>
      </c>
      <c r="C421" s="1" t="str">
        <f>IFERROR(__xludf.DUMMYFUNCTION("""COMPUTED_VALUE"""),"MrCrunch Normal")</f>
        <v>MrCrunch Normal</v>
      </c>
      <c r="D421" s="1">
        <f>IFERROR(__xludf.DUMMYFUNCTION("""COMPUTED_VALUE"""),24.0)</f>
        <v>24</v>
      </c>
      <c r="E421" s="1">
        <f>IFERROR(__xludf.DUMMYFUNCTION("""COMPUTED_VALUE"""),11.7)</f>
        <v>11.7</v>
      </c>
      <c r="F421" s="1">
        <f>IFERROR(__xludf.DUMMYFUNCTION("""COMPUTED_VALUE"""),6.0)</f>
        <v>6</v>
      </c>
      <c r="G421" s="1">
        <f t="shared" si="1"/>
        <v>4</v>
      </c>
      <c r="H421" s="1">
        <f t="shared" si="2"/>
        <v>1.95</v>
      </c>
      <c r="I421" s="1">
        <f>IFERROR(__xludf.DUMMYFUNCTION("IF(B421="""","""",
  100*F421 / MAX(FILTER($F:$F, $A:$A=$A421, $B:$B=$B421))
)
"),1.3513513513513513)</f>
        <v>1.351351351</v>
      </c>
      <c r="J421" s="1">
        <f>IFERROR(__xludf.DUMMYFUNCTION("IF(B421="""","""",
  100*E421 / MAX(FILTER($E:$E, $A:$A=$A421, $B:$B=$B421))
)
"),3.7644787644787643)</f>
        <v>3.764478764</v>
      </c>
      <c r="K421" s="1">
        <f t="shared" si="3"/>
        <v>2.437258687</v>
      </c>
    </row>
    <row r="422">
      <c r="A422" s="3">
        <f>IFERROR(__xludf.DUMMYFUNCTION("""COMPUTED_VALUE"""),45870.0)</f>
        <v>45870</v>
      </c>
      <c r="B422" s="1" t="str">
        <f>IFERROR(__xludf.DUMMYFUNCTION("""COMPUTED_VALUE"""),"HospAlmoa")</f>
        <v>HospAlmoa</v>
      </c>
      <c r="C422" s="1" t="str">
        <f>IFERROR(__xludf.DUMMYFUNCTION("""COMPUTED_VALUE"""),"Natural Grape")</f>
        <v>Natural Grape</v>
      </c>
      <c r="D422" s="1">
        <f>IFERROR(__xludf.DUMMYFUNCTION("""COMPUTED_VALUE"""),33.0)</f>
        <v>33</v>
      </c>
      <c r="E422" s="1">
        <f>IFERROR(__xludf.DUMMYFUNCTION("""COMPUTED_VALUE"""),8.5)</f>
        <v>8.5</v>
      </c>
      <c r="F422" s="1">
        <f>IFERROR(__xludf.DUMMYFUNCTION("""COMPUTED_VALUE"""),7.0)</f>
        <v>7</v>
      </c>
      <c r="G422" s="1">
        <f t="shared" si="1"/>
        <v>4.714285714</v>
      </c>
      <c r="H422" s="1">
        <f t="shared" si="2"/>
        <v>1.214285714</v>
      </c>
      <c r="I422" s="1">
        <f>IFERROR(__xludf.DUMMYFUNCTION("IF(B422="""","""",
  100*F422 / MAX(FILTER($F:$F, $A:$A=$A422, $B:$B=$B422))
)
"),1.5765765765765767)</f>
        <v>1.576576577</v>
      </c>
      <c r="J422" s="1">
        <f>IFERROR(__xludf.DUMMYFUNCTION("IF(B422="""","""",
  100*E422 / MAX(FILTER($E:$E, $A:$A=$A422, $B:$B=$B422))
)
"),2.7348777348777347)</f>
        <v>2.734877735</v>
      </c>
      <c r="K422" s="1">
        <f t="shared" si="3"/>
        <v>2.097812098</v>
      </c>
    </row>
    <row r="423">
      <c r="A423" s="3">
        <f>IFERROR(__xludf.DUMMYFUNCTION("""COMPUTED_VALUE"""),45870.0)</f>
        <v>45870</v>
      </c>
      <c r="B423" s="1" t="str">
        <f>IFERROR(__xludf.DUMMYFUNCTION("""COMPUTED_VALUE"""),"HospAlmoa")</f>
        <v>HospAlmoa</v>
      </c>
      <c r="C423" s="1" t="str">
        <f>IFERROR(__xludf.DUMMYFUNCTION("""COMPUTED_VALUE"""),"Pepsi")</f>
        <v>Pepsi</v>
      </c>
      <c r="D423" s="1">
        <f>IFERROR(__xludf.DUMMYFUNCTION("""COMPUTED_VALUE"""),267.0)</f>
        <v>267</v>
      </c>
      <c r="E423" s="1">
        <f>IFERROR(__xludf.DUMMYFUNCTION("""COMPUTED_VALUE"""),66.75)</f>
        <v>66.75</v>
      </c>
      <c r="F423" s="1">
        <f>IFERROR(__xludf.DUMMYFUNCTION("""COMPUTED_VALUE"""),89.0)</f>
        <v>89</v>
      </c>
      <c r="G423" s="1">
        <f t="shared" si="1"/>
        <v>3</v>
      </c>
      <c r="H423" s="1">
        <f t="shared" si="2"/>
        <v>0.75</v>
      </c>
      <c r="I423" s="1">
        <f>IFERROR(__xludf.DUMMYFUNCTION("IF(B423="""","""",
  100*F423 / MAX(FILTER($F:$F, $A:$A=$A423, $B:$B=$B423))
)
"),20.045045045045047)</f>
        <v>20.04504505</v>
      </c>
      <c r="J423" s="1">
        <f>IFERROR(__xludf.DUMMYFUNCTION("IF(B423="""","""",
  100*E423 / MAX(FILTER($E:$E, $A:$A=$A423, $B:$B=$B423))
)
"),21.476833976833976)</f>
        <v>21.47683398</v>
      </c>
      <c r="K423" s="1">
        <f t="shared" si="3"/>
        <v>20.68935006</v>
      </c>
    </row>
    <row r="424">
      <c r="A424" s="3">
        <f>IFERROR(__xludf.DUMMYFUNCTION("""COMPUTED_VALUE"""),45870.0)</f>
        <v>45870</v>
      </c>
      <c r="B424" s="1" t="str">
        <f>IFERROR(__xludf.DUMMYFUNCTION("""COMPUTED_VALUE"""),"HospAlmoa")</f>
        <v>HospAlmoa</v>
      </c>
      <c r="C424" s="1" t="str">
        <f>IFERROR(__xludf.DUMMYFUNCTION("""COMPUTED_VALUE"""),"Pretzels")</f>
        <v>Pretzels</v>
      </c>
      <c r="D424" s="1">
        <f>IFERROR(__xludf.DUMMYFUNCTION("""COMPUTED_VALUE"""),170.0)</f>
        <v>170</v>
      </c>
      <c r="E424" s="1">
        <f>IFERROR(__xludf.DUMMYFUNCTION("""COMPUTED_VALUE"""),59.5)</f>
        <v>59.5</v>
      </c>
      <c r="F424" s="1">
        <f>IFERROR(__xludf.DUMMYFUNCTION("""COMPUTED_VALUE"""),34.0)</f>
        <v>34</v>
      </c>
      <c r="G424" s="1">
        <f t="shared" si="1"/>
        <v>5</v>
      </c>
      <c r="H424" s="1">
        <f t="shared" si="2"/>
        <v>1.75</v>
      </c>
      <c r="I424" s="1">
        <f>IFERROR(__xludf.DUMMYFUNCTION("IF(B424="""","""",
  100*F424 / MAX(FILTER($F:$F, $A:$A=$A424, $B:$B=$B424))
)
"),7.657657657657658)</f>
        <v>7.657657658</v>
      </c>
      <c r="J424" s="1">
        <f>IFERROR(__xludf.DUMMYFUNCTION("IF(B424="""","""",
  100*E424 / MAX(FILTER($E:$E, $A:$A=$A424, $B:$B=$B424))
)
"),19.144144144144143)</f>
        <v>19.14414414</v>
      </c>
      <c r="K424" s="1">
        <f t="shared" si="3"/>
        <v>12.82657658</v>
      </c>
    </row>
    <row r="425">
      <c r="A425" s="3">
        <f>IFERROR(__xludf.DUMMYFUNCTION("""COMPUTED_VALUE"""),45870.0)</f>
        <v>45870</v>
      </c>
      <c r="B425" s="1" t="str">
        <f>IFERROR(__xludf.DUMMYFUNCTION("""COMPUTED_VALUE"""),"HospAlmoa")</f>
        <v>HospAlmoa</v>
      </c>
      <c r="C425" s="1" t="str">
        <f>IFERROR(__xludf.DUMMYFUNCTION("""COMPUTED_VALUE"""),"Rauch Drink")</f>
        <v>Rauch Drink</v>
      </c>
      <c r="D425" s="1">
        <f>IFERROR(__xludf.DUMMYFUNCTION("""COMPUTED_VALUE"""),66.0)</f>
        <v>66</v>
      </c>
      <c r="E425" s="1">
        <f>IFERROR(__xludf.DUMMYFUNCTION("""COMPUTED_VALUE"""),8.25)</f>
        <v>8.25</v>
      </c>
      <c r="F425" s="1">
        <f>IFERROR(__xludf.DUMMYFUNCTION("""COMPUTED_VALUE"""),7.0)</f>
        <v>7</v>
      </c>
      <c r="G425" s="1">
        <f t="shared" si="1"/>
        <v>9.428571429</v>
      </c>
      <c r="H425" s="1">
        <f t="shared" si="2"/>
        <v>1.178571429</v>
      </c>
      <c r="I425" s="1">
        <f>IFERROR(__xludf.DUMMYFUNCTION("IF(B425="""","""",
  100*F425 / MAX(FILTER($F:$F, $A:$A=$A425, $B:$B=$B425))
)
"),1.5765765765765767)</f>
        <v>1.576576577</v>
      </c>
      <c r="J425" s="1">
        <f>IFERROR(__xludf.DUMMYFUNCTION("IF(B425="""","""",
  100*E425 / MAX(FILTER($E:$E, $A:$A=$A425, $B:$B=$B425))
)
"),2.654440154440154)</f>
        <v>2.654440154</v>
      </c>
      <c r="K425" s="1">
        <f t="shared" si="3"/>
        <v>2.061615187</v>
      </c>
    </row>
    <row r="426">
      <c r="A426" s="3">
        <f>IFERROR(__xludf.DUMMYFUNCTION("""COMPUTED_VALUE"""),45870.0)</f>
        <v>45870</v>
      </c>
      <c r="B426" s="1" t="str">
        <f>IFERROR(__xludf.DUMMYFUNCTION("""COMPUTED_VALUE"""),"HospAlmoa")</f>
        <v>HospAlmoa</v>
      </c>
      <c r="C426" s="1" t="str">
        <f>IFERROR(__xludf.DUMMYFUNCTION("""COMPUTED_VALUE"""),"Schweppes")</f>
        <v>Schweppes</v>
      </c>
      <c r="D426" s="1">
        <f>IFERROR(__xludf.DUMMYFUNCTION("""COMPUTED_VALUE"""),84.0)</f>
        <v>84</v>
      </c>
      <c r="E426" s="1">
        <f>IFERROR(__xludf.DUMMYFUNCTION("""COMPUTED_VALUE"""),28.0)</f>
        <v>28</v>
      </c>
      <c r="F426" s="1">
        <f>IFERROR(__xludf.DUMMYFUNCTION("""COMPUTED_VALUE"""),28.0)</f>
        <v>28</v>
      </c>
      <c r="G426" s="1">
        <f t="shared" si="1"/>
        <v>3</v>
      </c>
      <c r="H426" s="1">
        <f t="shared" si="2"/>
        <v>1</v>
      </c>
      <c r="I426" s="1">
        <f>IFERROR(__xludf.DUMMYFUNCTION("IF(B426="""","""",
  100*F426 / MAX(FILTER($F:$F, $A:$A=$A426, $B:$B=$B426))
)
"),6.306306306306307)</f>
        <v>6.306306306</v>
      </c>
      <c r="J426" s="1">
        <f>IFERROR(__xludf.DUMMYFUNCTION("IF(B426="""","""",
  100*E426 / MAX(FILTER($E:$E, $A:$A=$A426, $B:$B=$B426))
)
"),9.00900900900901)</f>
        <v>9.009009009</v>
      </c>
      <c r="K426" s="1">
        <f t="shared" si="3"/>
        <v>7.522522523</v>
      </c>
    </row>
    <row r="427">
      <c r="A427" s="3">
        <f>IFERROR(__xludf.DUMMYFUNCTION("""COMPUTED_VALUE"""),45870.0)</f>
        <v>45870</v>
      </c>
      <c r="B427" s="1" t="str">
        <f>IFERROR(__xludf.DUMMYFUNCTION("""COMPUTED_VALUE"""),"HospAlmoa")</f>
        <v>HospAlmoa</v>
      </c>
      <c r="C427" s="1" t="str">
        <f>IFERROR(__xludf.DUMMYFUNCTION("""COMPUTED_VALUE"""),"Sirma")</f>
        <v>Sirma</v>
      </c>
      <c r="D427" s="1">
        <f>IFERROR(__xludf.DUMMYFUNCTION("""COMPUTED_VALUE"""),20.0)</f>
        <v>20</v>
      </c>
      <c r="E427" s="1">
        <f>IFERROR(__xludf.DUMMYFUNCTION("""COMPUTED_VALUE"""),5.0)</f>
        <v>5</v>
      </c>
      <c r="F427" s="1">
        <f>IFERROR(__xludf.DUMMYFUNCTION("""COMPUTED_VALUE"""),5.0)</f>
        <v>5</v>
      </c>
      <c r="G427" s="1">
        <f t="shared" si="1"/>
        <v>4</v>
      </c>
      <c r="H427" s="1">
        <f t="shared" si="2"/>
        <v>1</v>
      </c>
      <c r="I427" s="1">
        <f>IFERROR(__xludf.DUMMYFUNCTION("IF(B427="""","""",
  100*F427 / MAX(FILTER($F:$F, $A:$A=$A427, $B:$B=$B427))
)
"),1.1261261261261262)</f>
        <v>1.126126126</v>
      </c>
      <c r="J427" s="1">
        <f>IFERROR(__xludf.DUMMYFUNCTION("IF(B427="""","""",
  100*E427 / MAX(FILTER($E:$E, $A:$A=$A427, $B:$B=$B427))
)
"),1.6087516087516087)</f>
        <v>1.608751609</v>
      </c>
      <c r="K427" s="1">
        <f t="shared" si="3"/>
        <v>1.343307593</v>
      </c>
    </row>
    <row r="428">
      <c r="A428" s="3">
        <f>IFERROR(__xludf.DUMMYFUNCTION("""COMPUTED_VALUE"""),45870.0)</f>
        <v>45870</v>
      </c>
      <c r="B428" s="1" t="str">
        <f>IFERROR(__xludf.DUMMYFUNCTION("""COMPUTED_VALUE"""),"HospAlmoa")</f>
        <v>HospAlmoa</v>
      </c>
      <c r="C428" s="1" t="str">
        <f>IFERROR(__xludf.DUMMYFUNCTION("""COMPUTED_VALUE"""),"Snickers")</f>
        <v>Snickers</v>
      </c>
      <c r="D428" s="1">
        <f>IFERROR(__xludf.DUMMYFUNCTION("""COMPUTED_VALUE"""),134.0)</f>
        <v>134</v>
      </c>
      <c r="E428" s="1">
        <f>IFERROR(__xludf.DUMMYFUNCTION("""COMPUTED_VALUE"""),-10.0)</f>
        <v>-10</v>
      </c>
      <c r="F428" s="1">
        <f>IFERROR(__xludf.DUMMYFUNCTION("""COMPUTED_VALUE"""),32.0)</f>
        <v>32</v>
      </c>
      <c r="G428" s="1">
        <f t="shared" si="1"/>
        <v>4.1875</v>
      </c>
      <c r="H428" s="1">
        <f t="shared" si="2"/>
        <v>-0.3125</v>
      </c>
      <c r="I428" s="1">
        <f>IFERROR(__xludf.DUMMYFUNCTION("IF(B428="""","""",
  100*F428 / MAX(FILTER($F:$F, $A:$A=$A428, $B:$B=$B428))
)
"),7.207207207207207)</f>
        <v>7.207207207</v>
      </c>
      <c r="J428" s="1">
        <f>IFERROR(__xludf.DUMMYFUNCTION("IF(B428="""","""",
  100*E428 / MAX(FILTER($E:$E, $A:$A=$A428, $B:$B=$B428))
)
"),-3.2175032175032174)</f>
        <v>-3.217503218</v>
      </c>
      <c r="K428" s="1">
        <f t="shared" si="3"/>
        <v>2.516087516</v>
      </c>
    </row>
    <row r="429">
      <c r="A429" s="3">
        <f>IFERROR(__xludf.DUMMYFUNCTION("""COMPUTED_VALUE"""),45870.0)</f>
        <v>45870</v>
      </c>
      <c r="B429" s="1" t="str">
        <f>IFERROR(__xludf.DUMMYFUNCTION("""COMPUTED_VALUE"""),"HospAlmoa")</f>
        <v>HospAlmoa</v>
      </c>
      <c r="C429" s="1" t="str">
        <f>IFERROR(__xludf.DUMMYFUNCTION("""COMPUTED_VALUE"""),"Tiger *12")</f>
        <v>Tiger *12</v>
      </c>
      <c r="D429" s="1">
        <f>IFERROR(__xludf.DUMMYFUNCTION("""COMPUTED_VALUE"""),580.0)</f>
        <v>580</v>
      </c>
      <c r="E429" s="1">
        <f>IFERROR(__xludf.DUMMYFUNCTION("""COMPUTED_VALUE"""),222.72)</f>
        <v>222.72</v>
      </c>
      <c r="F429" s="1">
        <f>IFERROR(__xludf.DUMMYFUNCTION("""COMPUTED_VALUE"""),116.0)</f>
        <v>116</v>
      </c>
      <c r="G429" s="1">
        <f t="shared" si="1"/>
        <v>5</v>
      </c>
      <c r="H429" s="1">
        <f t="shared" si="2"/>
        <v>1.92</v>
      </c>
      <c r="I429" s="1">
        <f>IFERROR(__xludf.DUMMYFUNCTION("IF(B429="""","""",
  100*F429 / MAX(FILTER($F:$F, $A:$A=$A429, $B:$B=$B429))
)
"),26.126126126126128)</f>
        <v>26.12612613</v>
      </c>
      <c r="J429" s="1">
        <f>IFERROR(__xludf.DUMMYFUNCTION("IF(B429="""","""",
  100*E429 / MAX(FILTER($E:$E, $A:$A=$A429, $B:$B=$B429))
)
"),71.66023166023166)</f>
        <v>71.66023166</v>
      </c>
      <c r="K429" s="1">
        <f t="shared" si="3"/>
        <v>46.61647362</v>
      </c>
    </row>
    <row r="430">
      <c r="A430" s="3">
        <f>IFERROR(__xludf.DUMMYFUNCTION("""COMPUTED_VALUE"""),45870.0)</f>
        <v>45870</v>
      </c>
      <c r="B430" s="1" t="str">
        <f>IFERROR(__xludf.DUMMYFUNCTION("""COMPUTED_VALUE"""),"HospAlmoa")</f>
        <v>HospAlmoa</v>
      </c>
      <c r="C430" s="1" t="str">
        <f>IFERROR(__xludf.DUMMYFUNCTION("""COMPUTED_VALUE"""),"Twix")</f>
        <v>Twix</v>
      </c>
      <c r="D430" s="1">
        <f>IFERROR(__xludf.DUMMYFUNCTION("""COMPUTED_VALUE"""),180.0)</f>
        <v>180</v>
      </c>
      <c r="E430" s="1">
        <f>IFERROR(__xludf.DUMMYFUNCTION("""COMPUTED_VALUE"""),54.0)</f>
        <v>54</v>
      </c>
      <c r="F430" s="1">
        <f>IFERROR(__xludf.DUMMYFUNCTION("""COMPUTED_VALUE"""),36.0)</f>
        <v>36</v>
      </c>
      <c r="G430" s="1">
        <f t="shared" si="1"/>
        <v>5</v>
      </c>
      <c r="H430" s="1">
        <f t="shared" si="2"/>
        <v>1.5</v>
      </c>
      <c r="I430" s="1">
        <f>IFERROR(__xludf.DUMMYFUNCTION("IF(B430="""","""",
  100*F430 / MAX(FILTER($F:$F, $A:$A=$A430, $B:$B=$B430))
)
"),8.108108108108109)</f>
        <v>8.108108108</v>
      </c>
      <c r="J430" s="1">
        <f>IFERROR(__xludf.DUMMYFUNCTION("IF(B430="""","""",
  100*E430 / MAX(FILTER($E:$E, $A:$A=$A430, $B:$B=$B430))
)
"),17.374517374517374)</f>
        <v>17.37451737</v>
      </c>
      <c r="K430" s="1">
        <f t="shared" si="3"/>
        <v>12.27799228</v>
      </c>
    </row>
    <row r="431">
      <c r="A431" s="3">
        <f>IFERROR(__xludf.DUMMYFUNCTION("""COMPUTED_VALUE"""),45870.0)</f>
        <v>45870</v>
      </c>
      <c r="B431" s="1" t="str">
        <f>IFERROR(__xludf.DUMMYFUNCTION("""COMPUTED_VALUE"""),"HospAlmoa")</f>
        <v>HospAlmoa</v>
      </c>
      <c r="C431" s="1" t="str">
        <f>IFERROR(__xludf.DUMMYFUNCTION("""COMPUTED_VALUE"""),"Water")</f>
        <v>Water</v>
      </c>
      <c r="D431" s="1">
        <f>IFERROR(__xludf.DUMMYFUNCTION("""COMPUTED_VALUE"""),444.0)</f>
        <v>444</v>
      </c>
      <c r="E431" s="1">
        <f>IFERROR(__xludf.DUMMYFUNCTION("""COMPUTED_VALUE"""),310.8)</f>
        <v>310.8</v>
      </c>
      <c r="F431" s="1">
        <f>IFERROR(__xludf.DUMMYFUNCTION("""COMPUTED_VALUE"""),444.0)</f>
        <v>444</v>
      </c>
      <c r="G431" s="1">
        <f t="shared" si="1"/>
        <v>1</v>
      </c>
      <c r="H431" s="1">
        <f t="shared" si="2"/>
        <v>0.7</v>
      </c>
      <c r="I431" s="1">
        <f>IFERROR(__xludf.DUMMYFUNCTION("IF(B431="""","""",
  100*F431 / MAX(FILTER($F:$F, $A:$A=$A431, $B:$B=$B431))
)
"),100.0)</f>
        <v>100</v>
      </c>
      <c r="J431" s="1">
        <f>IFERROR(__xludf.DUMMYFUNCTION("IF(B431="""","""",
  100*E431 / MAX(FILTER($E:$E, $A:$A=$A431, $B:$B=$B431))
)
"),100.0)</f>
        <v>100</v>
      </c>
      <c r="K431" s="1">
        <f t="shared" si="3"/>
        <v>100</v>
      </c>
    </row>
    <row r="432">
      <c r="A432" s="3">
        <f>IFERROR(__xludf.DUMMYFUNCTION("""COMPUTED_VALUE"""),45870.0)</f>
        <v>45870</v>
      </c>
      <c r="B432" s="1" t="str">
        <f>IFERROR(__xludf.DUMMYFUNCTION("""COMPUTED_VALUE"""),"HospAlmoa")</f>
        <v>HospAlmoa</v>
      </c>
      <c r="C432" s="1" t="str">
        <f>IFERROR(__xludf.DUMMYFUNCTION("""COMPUTED_VALUE"""),"X!R")</f>
        <v>X!R</v>
      </c>
      <c r="D432" s="1">
        <f>IFERROR(__xludf.DUMMYFUNCTION("""COMPUTED_VALUE"""),605.0)</f>
        <v>605</v>
      </c>
      <c r="E432" s="1">
        <f>IFERROR(__xludf.DUMMYFUNCTION("""COMPUTED_VALUE"""),122.0)</f>
        <v>122</v>
      </c>
      <c r="F432" s="1">
        <f>IFERROR(__xludf.DUMMYFUNCTION("""COMPUTED_VALUE"""),138.0)</f>
        <v>138</v>
      </c>
      <c r="G432" s="1">
        <f t="shared" si="1"/>
        <v>4.384057971</v>
      </c>
      <c r="H432" s="1">
        <f t="shared" si="2"/>
        <v>0.884057971</v>
      </c>
      <c r="I432" s="1">
        <f>IFERROR(__xludf.DUMMYFUNCTION("IF(B432="""","""",
  100*F432 / MAX(FILTER($F:$F, $A:$A=$A432, $B:$B=$B432))
)
"),31.08108108108108)</f>
        <v>31.08108108</v>
      </c>
      <c r="J432" s="1">
        <f>IFERROR(__xludf.DUMMYFUNCTION("IF(B432="""","""",
  100*E432 / MAX(FILTER($E:$E, $A:$A=$A432, $B:$B=$B432))
)
"),39.25353925353925)</f>
        <v>39.25353925</v>
      </c>
      <c r="K432" s="1">
        <f t="shared" si="3"/>
        <v>34.75868726</v>
      </c>
    </row>
    <row r="433">
      <c r="A433" s="3">
        <f>IFERROR(__xludf.DUMMYFUNCTION("""COMPUTED_VALUE"""),45870.0)</f>
        <v>45870</v>
      </c>
      <c r="B433" s="1" t="str">
        <f>IFERROR(__xludf.DUMMYFUNCTION("""COMPUTED_VALUE"""),"HospAlmoa")</f>
        <v>HospAlmoa</v>
      </c>
      <c r="C433" s="1" t="str">
        <f>IFERROR(__xludf.DUMMYFUNCTION("""COMPUTED_VALUE"""),"kinza")</f>
        <v>kinza</v>
      </c>
      <c r="D433" s="1">
        <f>IFERROR(__xludf.DUMMYFUNCTION("""COMPUTED_VALUE"""),26.0)</f>
        <v>26</v>
      </c>
      <c r="E433" s="1">
        <f>IFERROR(__xludf.DUMMYFUNCTION("""COMPUTED_VALUE"""),5.98)</f>
        <v>5.98</v>
      </c>
      <c r="F433" s="1">
        <f>IFERROR(__xludf.DUMMYFUNCTION("""COMPUTED_VALUE"""),13.0)</f>
        <v>13</v>
      </c>
      <c r="G433" s="1">
        <f t="shared" si="1"/>
        <v>2</v>
      </c>
      <c r="H433" s="1">
        <f t="shared" si="2"/>
        <v>0.46</v>
      </c>
      <c r="I433" s="1">
        <f>IFERROR(__xludf.DUMMYFUNCTION("IF(B433="""","""",
  100*F433 / MAX(FILTER($F:$F, $A:$A=$A433, $B:$B=$B433))
)
"),2.9279279279279278)</f>
        <v>2.927927928</v>
      </c>
      <c r="J433" s="1">
        <f>IFERROR(__xludf.DUMMYFUNCTION("IF(B433="""","""",
  100*E433 / MAX(FILTER($E:$E, $A:$A=$A433, $B:$B=$B433))
)
"),1.924066924066924)</f>
        <v>1.924066924</v>
      </c>
      <c r="K433" s="1">
        <f t="shared" si="3"/>
        <v>2.476190476</v>
      </c>
    </row>
    <row r="434">
      <c r="A434" s="3">
        <f>IFERROR(__xludf.DUMMYFUNCTION("""COMPUTED_VALUE"""),45870.0)</f>
        <v>45870</v>
      </c>
      <c r="B434" s="1" t="str">
        <f>IFERROR(__xludf.DUMMYFUNCTION("""COMPUTED_VALUE"""),"HospAlmoa")</f>
        <v>HospAlmoa</v>
      </c>
      <c r="C434" s="1" t="str">
        <f>IFERROR(__xludf.DUMMYFUNCTION("""COMPUTED_VALUE"""),"mr bite")</f>
        <v>mr bite</v>
      </c>
      <c r="D434" s="1">
        <f>IFERROR(__xludf.DUMMYFUNCTION("""COMPUTED_VALUE"""),198.0)</f>
        <v>198</v>
      </c>
      <c r="E434" s="1">
        <f>IFERROR(__xludf.DUMMYFUNCTION("""COMPUTED_VALUE"""),66.33)</f>
        <v>66.33</v>
      </c>
      <c r="F434" s="1">
        <f>IFERROR(__xludf.DUMMYFUNCTION("""COMPUTED_VALUE"""),99.0)</f>
        <v>99</v>
      </c>
      <c r="G434" s="1">
        <f t="shared" si="1"/>
        <v>2</v>
      </c>
      <c r="H434" s="1">
        <f t="shared" si="2"/>
        <v>0.67</v>
      </c>
      <c r="I434" s="1">
        <f>IFERROR(__xludf.DUMMYFUNCTION("IF(B434="""","""",
  100*F434 / MAX(FILTER($F:$F, $A:$A=$A434, $B:$B=$B434))
)
"),22.2972972972973)</f>
        <v>22.2972973</v>
      </c>
      <c r="J434" s="1">
        <f>IFERROR(__xludf.DUMMYFUNCTION("IF(B434="""","""",
  100*E434 / MAX(FILTER($E:$E, $A:$A=$A434, $B:$B=$B434))
)
"),21.34169884169884)</f>
        <v>21.34169884</v>
      </c>
      <c r="K434" s="1">
        <f t="shared" si="3"/>
        <v>21.86727799</v>
      </c>
    </row>
    <row r="435">
      <c r="A435" s="3">
        <f>IFERROR(__xludf.DUMMYFUNCTION("""COMPUTED_VALUE"""),45870.0)</f>
        <v>45870</v>
      </c>
      <c r="B435" s="1" t="str">
        <f>IFERROR(__xludf.DUMMYFUNCTION("""COMPUTED_VALUE"""),"HospAlmoa")</f>
        <v>HospAlmoa</v>
      </c>
      <c r="C435" s="1" t="str">
        <f>IFERROR(__xludf.DUMMYFUNCTION("""COMPUTED_VALUE"""),"sunTop")</f>
        <v>sunTop</v>
      </c>
      <c r="D435" s="1">
        <f>IFERROR(__xludf.DUMMYFUNCTION("""COMPUTED_VALUE"""),160.0)</f>
        <v>160</v>
      </c>
      <c r="E435" s="1">
        <f>IFERROR(__xludf.DUMMYFUNCTION("""COMPUTED_VALUE"""),68.2)</f>
        <v>68.2</v>
      </c>
      <c r="F435" s="1">
        <f>IFERROR(__xludf.DUMMYFUNCTION("""COMPUTED_VALUE"""),153.0)</f>
        <v>153</v>
      </c>
      <c r="G435" s="1">
        <f t="shared" si="1"/>
        <v>1.045751634</v>
      </c>
      <c r="H435" s="1">
        <f t="shared" si="2"/>
        <v>0.445751634</v>
      </c>
      <c r="I435" s="1">
        <f>IFERROR(__xludf.DUMMYFUNCTION("IF(B435="""","""",
  100*F435 / MAX(FILTER($F:$F, $A:$A=$A435, $B:$B=$B435))
)
"),34.45945945945946)</f>
        <v>34.45945946</v>
      </c>
      <c r="J435" s="1">
        <f>IFERROR(__xludf.DUMMYFUNCTION("IF(B435="""","""",
  100*E435 / MAX(FILTER($E:$E, $A:$A=$A435, $B:$B=$B435))
)
"),21.943371943371943)</f>
        <v>21.94337194</v>
      </c>
      <c r="K435" s="1">
        <f t="shared" si="3"/>
        <v>28.82722008</v>
      </c>
    </row>
    <row r="436">
      <c r="A436" s="3">
        <f>IFERROR(__xludf.DUMMYFUNCTION("""COMPUTED_VALUE"""),45901.0)</f>
        <v>45901</v>
      </c>
      <c r="B436" s="1" t="str">
        <f>IFERROR(__xludf.DUMMYFUNCTION("""COMPUTED_VALUE"""),"DPMall")</f>
        <v>DPMall</v>
      </c>
      <c r="C436" s="1" t="str">
        <f>IFERROR(__xludf.DUMMYFUNCTION("""COMPUTED_VALUE"""),"Doritos Dinamita")</f>
        <v>Doritos Dinamita</v>
      </c>
      <c r="D436" s="1">
        <f>IFERROR(__xludf.DUMMYFUNCTION("""COMPUTED_VALUE"""),87.0)</f>
        <v>87</v>
      </c>
      <c r="E436" s="1">
        <f>IFERROR(__xludf.DUMMYFUNCTION("""COMPUTED_VALUE"""),87.0)</f>
        <v>87</v>
      </c>
      <c r="F436" s="1">
        <f>IFERROR(__xludf.DUMMYFUNCTION("""COMPUTED_VALUE"""),9.0)</f>
        <v>9</v>
      </c>
      <c r="G436" s="1">
        <f t="shared" si="1"/>
        <v>9.666666667</v>
      </c>
      <c r="H436" s="1">
        <f t="shared" si="2"/>
        <v>9.666666667</v>
      </c>
      <c r="I436" s="1">
        <f>IFERROR(__xludf.DUMMYFUNCTION("IF(B436="""","""",
  100*F436 / MAX(FILTER($F:$F, $A:$A=$A436, $B:$B=$B436))
)
"),1.6791044776119404)</f>
        <v>1.679104478</v>
      </c>
      <c r="J436" s="1">
        <f>IFERROR(__xludf.DUMMYFUNCTION("IF(B436="""","""",
  100*E436 / MAX(FILTER($E:$E, $A:$A=$A436, $B:$B=$B436))
)
"),15.703971119133573)</f>
        <v>15.70397112</v>
      </c>
      <c r="K436" s="1">
        <f t="shared" si="3"/>
        <v>7.990294466</v>
      </c>
    </row>
    <row r="437">
      <c r="A437" s="3">
        <f>IFERROR(__xludf.DUMMYFUNCTION("""COMPUTED_VALUE"""),45901.0)</f>
        <v>45901</v>
      </c>
      <c r="B437" s="1" t="str">
        <f>IFERROR(__xludf.DUMMYFUNCTION("""COMPUTED_VALUE"""),"DPMall")</f>
        <v>DPMall</v>
      </c>
      <c r="C437" s="1" t="str">
        <f>IFERROR(__xludf.DUMMYFUNCTION("""COMPUTED_VALUE"""),"Doritos nacho")</f>
        <v>Doritos nacho</v>
      </c>
      <c r="D437" s="1">
        <f>IFERROR(__xludf.DUMMYFUNCTION("""COMPUTED_VALUE"""),535.0)</f>
        <v>535</v>
      </c>
      <c r="E437" s="1">
        <f>IFERROR(__xludf.DUMMYFUNCTION("""COMPUTED_VALUE"""),535.0)</f>
        <v>535</v>
      </c>
      <c r="F437" s="1">
        <f>IFERROR(__xludf.DUMMYFUNCTION("""COMPUTED_VALUE"""),107.0)</f>
        <v>107</v>
      </c>
      <c r="G437" s="1">
        <f t="shared" si="1"/>
        <v>5</v>
      </c>
      <c r="H437" s="1">
        <f t="shared" si="2"/>
        <v>5</v>
      </c>
      <c r="I437" s="1">
        <f>IFERROR(__xludf.DUMMYFUNCTION("IF(B437="""","""",
  100*F437 / MAX(FILTER($F:$F, $A:$A=$A437, $B:$B=$B437))
)
"),19.96268656716418)</f>
        <v>19.96268657</v>
      </c>
      <c r="J437" s="1">
        <f>IFERROR(__xludf.DUMMYFUNCTION("IF(B437="""","""",
  100*E437 / MAX(FILTER($E:$E, $A:$A=$A437, $B:$B=$B437))
)
"),96.57039711191335)</f>
        <v>96.57039711</v>
      </c>
      <c r="K437" s="1">
        <f t="shared" si="3"/>
        <v>54.43615631</v>
      </c>
    </row>
    <row r="438">
      <c r="A438" s="3">
        <f>IFERROR(__xludf.DUMMYFUNCTION("""COMPUTED_VALUE"""),45901.0)</f>
        <v>45901</v>
      </c>
      <c r="B438" s="1" t="str">
        <f>IFERROR(__xludf.DUMMYFUNCTION("""COMPUTED_VALUE"""),"DPMall")</f>
        <v>DPMall</v>
      </c>
      <c r="C438" s="1" t="str">
        <f>IFERROR(__xludf.DUMMYFUNCTION("""COMPUTED_VALUE"""),"Freez drink")</f>
        <v>Freez drink</v>
      </c>
      <c r="D438" s="1">
        <f>IFERROR(__xludf.DUMMYFUNCTION("""COMPUTED_VALUE"""),60.0)</f>
        <v>60</v>
      </c>
      <c r="E438" s="1">
        <f>IFERROR(__xludf.DUMMYFUNCTION("""COMPUTED_VALUE"""),60.0)</f>
        <v>60</v>
      </c>
      <c r="F438" s="1">
        <f>IFERROR(__xludf.DUMMYFUNCTION("""COMPUTED_VALUE"""),12.0)</f>
        <v>12</v>
      </c>
      <c r="G438" s="1">
        <f t="shared" si="1"/>
        <v>5</v>
      </c>
      <c r="H438" s="1">
        <f t="shared" si="2"/>
        <v>5</v>
      </c>
      <c r="I438" s="1">
        <f>IFERROR(__xludf.DUMMYFUNCTION("IF(B438="""","""",
  100*F438 / MAX(FILTER($F:$F, $A:$A=$A438, $B:$B=$B438))
)
"),2.2388059701492535)</f>
        <v>2.23880597</v>
      </c>
      <c r="J438" s="1">
        <f>IFERROR(__xludf.DUMMYFUNCTION("IF(B438="""","""",
  100*E438 / MAX(FILTER($E:$E, $A:$A=$A438, $B:$B=$B438))
)
"),10.830324909747292)</f>
        <v>10.83032491</v>
      </c>
      <c r="K438" s="1">
        <f t="shared" si="3"/>
        <v>6.104989493</v>
      </c>
    </row>
    <row r="439">
      <c r="A439" s="3">
        <f>IFERROR(__xludf.DUMMYFUNCTION("""COMPUTED_VALUE"""),45901.0)</f>
        <v>45901</v>
      </c>
      <c r="B439" s="1" t="str">
        <f>IFERROR(__xludf.DUMMYFUNCTION("""COMPUTED_VALUE"""),"DPMall")</f>
        <v>DPMall</v>
      </c>
      <c r="C439" s="1" t="str">
        <f>IFERROR(__xludf.DUMMYFUNCTION("""COMPUTED_VALUE"""),"Gardena")</f>
        <v>Gardena</v>
      </c>
      <c r="D439" s="1">
        <f>IFERROR(__xludf.DUMMYFUNCTION("""COMPUTED_VALUE"""),35.0)</f>
        <v>35</v>
      </c>
      <c r="E439" s="1">
        <f>IFERROR(__xludf.DUMMYFUNCTION("""COMPUTED_VALUE"""),35.0)</f>
        <v>35</v>
      </c>
      <c r="F439" s="1">
        <f>IFERROR(__xludf.DUMMYFUNCTION("""COMPUTED_VALUE"""),7.0)</f>
        <v>7</v>
      </c>
      <c r="G439" s="1">
        <f t="shared" si="1"/>
        <v>5</v>
      </c>
      <c r="H439" s="1">
        <f t="shared" si="2"/>
        <v>5</v>
      </c>
      <c r="I439" s="1">
        <f>IFERROR(__xludf.DUMMYFUNCTION("IF(B439="""","""",
  100*F439 / MAX(FILTER($F:$F, $A:$A=$A439, $B:$B=$B439))
)
"),1.3059701492537314)</f>
        <v>1.305970149</v>
      </c>
      <c r="J439" s="1">
        <f>IFERROR(__xludf.DUMMYFUNCTION("IF(B439="""","""",
  100*E439 / MAX(FILTER($E:$E, $A:$A=$A439, $B:$B=$B439))
)
"),6.317689530685921)</f>
        <v>6.317689531</v>
      </c>
      <c r="K439" s="1">
        <f t="shared" si="3"/>
        <v>3.561243871</v>
      </c>
    </row>
    <row r="440">
      <c r="A440" s="3">
        <f>IFERROR(__xludf.DUMMYFUNCTION("""COMPUTED_VALUE"""),45901.0)</f>
        <v>45901</v>
      </c>
      <c r="B440" s="1" t="str">
        <f>IFERROR(__xludf.DUMMYFUNCTION("""COMPUTED_VALUE"""),"DPMall")</f>
        <v>DPMall</v>
      </c>
      <c r="C440" s="1" t="str">
        <f>IFERROR(__xludf.DUMMYFUNCTION("""COMPUTED_VALUE"""),"Green")</f>
        <v>Green</v>
      </c>
      <c r="D440" s="1">
        <f>IFERROR(__xludf.DUMMYFUNCTION("""COMPUTED_VALUE"""),57.0)</f>
        <v>57</v>
      </c>
      <c r="E440" s="1">
        <f>IFERROR(__xludf.DUMMYFUNCTION("""COMPUTED_VALUE"""),57.0)</f>
        <v>57</v>
      </c>
      <c r="F440" s="1">
        <f>IFERROR(__xludf.DUMMYFUNCTION("""COMPUTED_VALUE"""),19.0)</f>
        <v>19</v>
      </c>
      <c r="G440" s="1">
        <f t="shared" si="1"/>
        <v>3</v>
      </c>
      <c r="H440" s="1">
        <f t="shared" si="2"/>
        <v>3</v>
      </c>
      <c r="I440" s="1">
        <f>IFERROR(__xludf.DUMMYFUNCTION("IF(B440="""","""",
  100*F440 / MAX(FILTER($F:$F, $A:$A=$A440, $B:$B=$B440))
)
"),3.544776119402985)</f>
        <v>3.544776119</v>
      </c>
      <c r="J440" s="1">
        <f>IFERROR(__xludf.DUMMYFUNCTION("IF(B440="""","""",
  100*E440 / MAX(FILTER($E:$E, $A:$A=$A440, $B:$B=$B440))
)
"),10.288808664259928)</f>
        <v>10.28880866</v>
      </c>
      <c r="K440" s="1">
        <f t="shared" si="3"/>
        <v>6.579590765</v>
      </c>
    </row>
    <row r="441">
      <c r="A441" s="3">
        <f>IFERROR(__xludf.DUMMYFUNCTION("""COMPUTED_VALUE"""),45901.0)</f>
        <v>45901</v>
      </c>
      <c r="B441" s="1" t="str">
        <f>IFERROR(__xludf.DUMMYFUNCTION("""COMPUTED_VALUE"""),"DPMall")</f>
        <v>DPMall</v>
      </c>
      <c r="C441" s="1" t="str">
        <f>IFERROR(__xludf.DUMMYFUNCTION("""COMPUTED_VALUE"""),"Laviva")</f>
        <v>Laviva</v>
      </c>
      <c r="D441" s="1">
        <f>IFERROR(__xludf.DUMMYFUNCTION("""COMPUTED_VALUE"""),93.0)</f>
        <v>93</v>
      </c>
      <c r="E441" s="1">
        <f>IFERROR(__xludf.DUMMYFUNCTION("""COMPUTED_VALUE"""),93.0)</f>
        <v>93</v>
      </c>
      <c r="F441" s="1">
        <f>IFERROR(__xludf.DUMMYFUNCTION("""COMPUTED_VALUE"""),31.0)</f>
        <v>31</v>
      </c>
      <c r="G441" s="1">
        <f t="shared" si="1"/>
        <v>3</v>
      </c>
      <c r="H441" s="1">
        <f t="shared" si="2"/>
        <v>3</v>
      </c>
      <c r="I441" s="1">
        <f>IFERROR(__xludf.DUMMYFUNCTION("IF(B441="""","""",
  100*F441 / MAX(FILTER($F:$F, $A:$A=$A441, $B:$B=$B441))
)
"),5.7835820895522385)</f>
        <v>5.78358209</v>
      </c>
      <c r="J441" s="1">
        <f>IFERROR(__xludf.DUMMYFUNCTION("IF(B441="""","""",
  100*E441 / MAX(FILTER($E:$E, $A:$A=$A441, $B:$B=$B441))
)
"),16.787003610108304)</f>
        <v>16.78700361</v>
      </c>
      <c r="K441" s="1">
        <f t="shared" si="3"/>
        <v>10.73512177</v>
      </c>
    </row>
    <row r="442">
      <c r="A442" s="3">
        <f>IFERROR(__xludf.DUMMYFUNCTION("""COMPUTED_VALUE"""),45901.0)</f>
        <v>45901</v>
      </c>
      <c r="B442" s="1" t="str">
        <f>IFERROR(__xludf.DUMMYFUNCTION("""COMPUTED_VALUE"""),"DPMall")</f>
        <v>DPMall</v>
      </c>
      <c r="C442" s="1" t="str">
        <f>IFERROR(__xludf.DUMMYFUNCTION("""COMPUTED_VALUE"""),"Maltesers")</f>
        <v>Maltesers</v>
      </c>
      <c r="D442" s="1">
        <f>IFERROR(__xludf.DUMMYFUNCTION("""COMPUTED_VALUE"""),120.0)</f>
        <v>120</v>
      </c>
      <c r="E442" s="1">
        <f>IFERROR(__xludf.DUMMYFUNCTION("""COMPUTED_VALUE"""),120.0)</f>
        <v>120</v>
      </c>
      <c r="F442" s="1">
        <f>IFERROR(__xludf.DUMMYFUNCTION("""COMPUTED_VALUE"""),20.0)</f>
        <v>20</v>
      </c>
      <c r="G442" s="1">
        <f t="shared" si="1"/>
        <v>6</v>
      </c>
      <c r="H442" s="1">
        <f t="shared" si="2"/>
        <v>6</v>
      </c>
      <c r="I442" s="1">
        <f>IFERROR(__xludf.DUMMYFUNCTION("IF(B442="""","""",
  100*F442 / MAX(FILTER($F:$F, $A:$A=$A442, $B:$B=$B442))
)
"),3.7313432835820897)</f>
        <v>3.731343284</v>
      </c>
      <c r="J442" s="1">
        <f>IFERROR(__xludf.DUMMYFUNCTION("IF(B442="""","""",
  100*E442 / MAX(FILTER($E:$E, $A:$A=$A442, $B:$B=$B442))
)
"),21.660649819494584)</f>
        <v>21.66064982</v>
      </c>
      <c r="K442" s="1">
        <f t="shared" si="3"/>
        <v>11.79953122</v>
      </c>
    </row>
    <row r="443">
      <c r="A443" s="3">
        <f>IFERROR(__xludf.DUMMYFUNCTION("""COMPUTED_VALUE"""),45901.0)</f>
        <v>45901</v>
      </c>
      <c r="B443" s="1" t="str">
        <f>IFERROR(__xludf.DUMMYFUNCTION("""COMPUTED_VALUE"""),"DPMall")</f>
        <v>DPMall</v>
      </c>
      <c r="C443" s="1" t="str">
        <f>IFERROR(__xludf.DUMMYFUNCTION("""COMPUTED_VALUE"""),"Marshmellow sweetBag")</f>
        <v>Marshmellow sweetBag</v>
      </c>
      <c r="D443" s="1">
        <f>IFERROR(__xludf.DUMMYFUNCTION("""COMPUTED_VALUE"""),15.0)</f>
        <v>15</v>
      </c>
      <c r="E443" s="1">
        <f>IFERROR(__xludf.DUMMYFUNCTION("""COMPUTED_VALUE"""),15.0)</f>
        <v>15</v>
      </c>
      <c r="F443" s="1">
        <f>IFERROR(__xludf.DUMMYFUNCTION("""COMPUTED_VALUE"""),3.0)</f>
        <v>3</v>
      </c>
      <c r="G443" s="1">
        <f t="shared" si="1"/>
        <v>5</v>
      </c>
      <c r="H443" s="1">
        <f t="shared" si="2"/>
        <v>5</v>
      </c>
      <c r="I443" s="1">
        <f>IFERROR(__xludf.DUMMYFUNCTION("IF(B443="""","""",
  100*F443 / MAX(FILTER($F:$F, $A:$A=$A443, $B:$B=$B443))
)
"),0.5597014925373134)</f>
        <v>0.5597014925</v>
      </c>
      <c r="J443" s="1">
        <f>IFERROR(__xludf.DUMMYFUNCTION("IF(B443="""","""",
  100*E443 / MAX(FILTER($E:$E, $A:$A=$A443, $B:$B=$B443))
)
"),2.707581227436823)</f>
        <v>2.707581227</v>
      </c>
      <c r="K443" s="1">
        <f t="shared" si="3"/>
        <v>1.526247373</v>
      </c>
    </row>
    <row r="444">
      <c r="A444" s="3">
        <f>IFERROR(__xludf.DUMMYFUNCTION("""COMPUTED_VALUE"""),45901.0)</f>
        <v>45901</v>
      </c>
      <c r="B444" s="1" t="str">
        <f>IFERROR(__xludf.DUMMYFUNCTION("""COMPUTED_VALUE"""),"DPMall")</f>
        <v>DPMall</v>
      </c>
      <c r="C444" s="1" t="str">
        <f>IFERROR(__xludf.DUMMYFUNCTION("""COMPUTED_VALUE"""),"Tiger *12")</f>
        <v>Tiger *12</v>
      </c>
      <c r="D444" s="1">
        <f>IFERROR(__xludf.DUMMYFUNCTION("""COMPUTED_VALUE"""),440.0)</f>
        <v>440</v>
      </c>
      <c r="E444" s="1">
        <f>IFERROR(__xludf.DUMMYFUNCTION("""COMPUTED_VALUE"""),440.0)</f>
        <v>440</v>
      </c>
      <c r="F444" s="1">
        <f>IFERROR(__xludf.DUMMYFUNCTION("""COMPUTED_VALUE"""),88.0)</f>
        <v>88</v>
      </c>
      <c r="G444" s="1">
        <f t="shared" si="1"/>
        <v>5</v>
      </c>
      <c r="H444" s="1">
        <f t="shared" si="2"/>
        <v>5</v>
      </c>
      <c r="I444" s="1">
        <f>IFERROR(__xludf.DUMMYFUNCTION("IF(B444="""","""",
  100*F444 / MAX(FILTER($F:$F, $A:$A=$A444, $B:$B=$B444))
)
"),16.417910447761194)</f>
        <v>16.41791045</v>
      </c>
      <c r="J444" s="1">
        <f>IFERROR(__xludf.DUMMYFUNCTION("IF(B444="""","""",
  100*E444 / MAX(FILTER($E:$E, $A:$A=$A444, $B:$B=$B444))
)
"),79.42238267148015)</f>
        <v>79.42238267</v>
      </c>
      <c r="K444" s="1">
        <f t="shared" si="3"/>
        <v>44.76992295</v>
      </c>
    </row>
    <row r="445">
      <c r="A445" s="3">
        <f>IFERROR(__xludf.DUMMYFUNCTION("""COMPUTED_VALUE"""),45901.0)</f>
        <v>45901</v>
      </c>
      <c r="B445" s="1" t="str">
        <f>IFERROR(__xludf.DUMMYFUNCTION("""COMPUTED_VALUE"""),"DPMall")</f>
        <v>DPMall</v>
      </c>
      <c r="C445" s="1" t="str">
        <f>IFERROR(__xludf.DUMMYFUNCTION("""COMPUTED_VALUE"""),"Wafe up extra")</f>
        <v>Wafe up extra</v>
      </c>
      <c r="D445" s="1">
        <f>IFERROR(__xludf.DUMMYFUNCTION("""COMPUTED_VALUE"""),65.0)</f>
        <v>65</v>
      </c>
      <c r="E445" s="1">
        <f>IFERROR(__xludf.DUMMYFUNCTION("""COMPUTED_VALUE"""),65.0)</f>
        <v>65</v>
      </c>
      <c r="F445" s="1">
        <f>IFERROR(__xludf.DUMMYFUNCTION("""COMPUTED_VALUE"""),13.0)</f>
        <v>13</v>
      </c>
      <c r="G445" s="1">
        <f t="shared" si="1"/>
        <v>5</v>
      </c>
      <c r="H445" s="1">
        <f t="shared" si="2"/>
        <v>5</v>
      </c>
      <c r="I445" s="1">
        <f>IFERROR(__xludf.DUMMYFUNCTION("IF(B445="""","""",
  100*F445 / MAX(FILTER($F:$F, $A:$A=$A445, $B:$B=$B445))
)
"),2.425373134328358)</f>
        <v>2.425373134</v>
      </c>
      <c r="J445" s="1">
        <f>IFERROR(__xludf.DUMMYFUNCTION("IF(B445="""","""",
  100*E445 / MAX(FILTER($E:$E, $A:$A=$A445, $B:$B=$B445))
)
"),11.732851985559567)</f>
        <v>11.73285199</v>
      </c>
      <c r="K445" s="1">
        <f t="shared" si="3"/>
        <v>6.613738617</v>
      </c>
    </row>
    <row r="446">
      <c r="A446" s="3">
        <f>IFERROR(__xludf.DUMMYFUNCTION("""COMPUTED_VALUE"""),45901.0)</f>
        <v>45901</v>
      </c>
      <c r="B446" s="1" t="str">
        <f>IFERROR(__xludf.DUMMYFUNCTION("""COMPUTED_VALUE"""),"DPMall")</f>
        <v>DPMall</v>
      </c>
      <c r="C446" s="1" t="str">
        <f>IFERROR(__xludf.DUMMYFUNCTION("""COMPUTED_VALUE"""),"Water")</f>
        <v>Water</v>
      </c>
      <c r="D446" s="1">
        <f>IFERROR(__xludf.DUMMYFUNCTION("""COMPUTED_VALUE"""),554.0)</f>
        <v>554</v>
      </c>
      <c r="E446" s="1">
        <f>IFERROR(__xludf.DUMMYFUNCTION("""COMPUTED_VALUE"""),554.0)</f>
        <v>554</v>
      </c>
      <c r="F446" s="1">
        <f>IFERROR(__xludf.DUMMYFUNCTION("""COMPUTED_VALUE"""),536.0)</f>
        <v>536</v>
      </c>
      <c r="G446" s="1">
        <f t="shared" si="1"/>
        <v>1.03358209</v>
      </c>
      <c r="H446" s="1">
        <f t="shared" si="2"/>
        <v>1.03358209</v>
      </c>
      <c r="I446" s="1">
        <f>IFERROR(__xludf.DUMMYFUNCTION("IF(B446="""","""",
  100*F446 / MAX(FILTER($F:$F, $A:$A=$A446, $B:$B=$B446))
)
"),100.0)</f>
        <v>100</v>
      </c>
      <c r="J446" s="1">
        <f>IFERROR(__xludf.DUMMYFUNCTION("IF(B446="""","""",
  100*E446 / MAX(FILTER($E:$E, $A:$A=$A446, $B:$B=$B446))
)
"),100.0)</f>
        <v>100</v>
      </c>
      <c r="K446" s="1">
        <f t="shared" si="3"/>
        <v>100</v>
      </c>
    </row>
    <row r="447">
      <c r="A447" s="3">
        <f>IFERROR(__xludf.DUMMYFUNCTION("""COMPUTED_VALUE"""),45901.0)</f>
        <v>45901</v>
      </c>
      <c r="B447" s="1" t="str">
        <f>IFERROR(__xludf.DUMMYFUNCTION("""COMPUTED_VALUE"""),"DPMall")</f>
        <v>DPMall</v>
      </c>
      <c r="C447" s="1" t="str">
        <f>IFERROR(__xludf.DUMMYFUNCTION("""COMPUTED_VALUE"""),"X!R")</f>
        <v>X!R</v>
      </c>
      <c r="D447" s="1">
        <f>IFERROR(__xludf.DUMMYFUNCTION("""COMPUTED_VALUE"""),470.0)</f>
        <v>470</v>
      </c>
      <c r="E447" s="1">
        <f>IFERROR(__xludf.DUMMYFUNCTION("""COMPUTED_VALUE"""),470.0)</f>
        <v>470</v>
      </c>
      <c r="F447" s="1">
        <f>IFERROR(__xludf.DUMMYFUNCTION("""COMPUTED_VALUE"""),94.0)</f>
        <v>94</v>
      </c>
      <c r="G447" s="1">
        <f t="shared" si="1"/>
        <v>5</v>
      </c>
      <c r="H447" s="1">
        <f t="shared" si="2"/>
        <v>5</v>
      </c>
      <c r="I447" s="1">
        <f>IFERROR(__xludf.DUMMYFUNCTION("IF(B447="""","""",
  100*F447 / MAX(FILTER($F:$F, $A:$A=$A447, $B:$B=$B447))
)
"),17.53731343283582)</f>
        <v>17.53731343</v>
      </c>
      <c r="J447" s="1">
        <f>IFERROR(__xludf.DUMMYFUNCTION("IF(B447="""","""",
  100*E447 / MAX(FILTER($E:$E, $A:$A=$A447, $B:$B=$B447))
)
"),84.83754512635379)</f>
        <v>84.83754513</v>
      </c>
      <c r="K447" s="1">
        <f t="shared" si="3"/>
        <v>47.82241769</v>
      </c>
    </row>
    <row r="448">
      <c r="A448" s="3">
        <f>IFERROR(__xludf.DUMMYFUNCTION("""COMPUTED_VALUE"""),45901.0)</f>
        <v>45901</v>
      </c>
      <c r="B448" s="1" t="str">
        <f>IFERROR(__xludf.DUMMYFUNCTION("""COMPUTED_VALUE"""),"DPMall")</f>
        <v>DPMall</v>
      </c>
      <c r="C448" s="1" t="str">
        <f>IFERROR(__xludf.DUMMYFUNCTION("""COMPUTED_VALUE"""),"bonart sour")</f>
        <v>bonart sour</v>
      </c>
      <c r="D448" s="1">
        <f>IFERROR(__xludf.DUMMYFUNCTION("""COMPUTED_VALUE"""),135.0)</f>
        <v>135</v>
      </c>
      <c r="E448" s="1">
        <f>IFERROR(__xludf.DUMMYFUNCTION("""COMPUTED_VALUE"""),135.0)</f>
        <v>135</v>
      </c>
      <c r="F448" s="1">
        <f>IFERROR(__xludf.DUMMYFUNCTION("""COMPUTED_VALUE"""),27.0)</f>
        <v>27</v>
      </c>
      <c r="G448" s="1">
        <f t="shared" si="1"/>
        <v>5</v>
      </c>
      <c r="H448" s="1">
        <f t="shared" si="2"/>
        <v>5</v>
      </c>
      <c r="I448" s="1">
        <f>IFERROR(__xludf.DUMMYFUNCTION("IF(B448="""","""",
  100*F448 / MAX(FILTER($F:$F, $A:$A=$A448, $B:$B=$B448))
)
"),5.037313432835821)</f>
        <v>5.037313433</v>
      </c>
      <c r="J448" s="1">
        <f>IFERROR(__xludf.DUMMYFUNCTION("IF(B448="""","""",
  100*E448 / MAX(FILTER($E:$E, $A:$A=$A448, $B:$B=$B448))
)
"),24.36823104693141)</f>
        <v>24.36823105</v>
      </c>
      <c r="K448" s="1">
        <f t="shared" si="3"/>
        <v>13.73622636</v>
      </c>
    </row>
    <row r="449">
      <c r="A449" s="3">
        <f>IFERROR(__xludf.DUMMYFUNCTION("""COMPUTED_VALUE"""),45901.0)</f>
        <v>45901</v>
      </c>
      <c r="B449" s="1" t="str">
        <f>IFERROR(__xludf.DUMMYFUNCTION("""COMPUTED_VALUE"""),"DPMall")</f>
        <v>DPMall</v>
      </c>
      <c r="C449" s="1" t="str">
        <f>IFERROR(__xludf.DUMMYFUNCTION("""COMPUTED_VALUE"""),"helo kitty")</f>
        <v>helo kitty</v>
      </c>
      <c r="D449" s="1">
        <f>IFERROR(__xludf.DUMMYFUNCTION("""COMPUTED_VALUE"""),114.0)</f>
        <v>114</v>
      </c>
      <c r="E449" s="1">
        <f>IFERROR(__xludf.DUMMYFUNCTION("""COMPUTED_VALUE"""),114.0)</f>
        <v>114</v>
      </c>
      <c r="F449" s="1">
        <f>IFERROR(__xludf.DUMMYFUNCTION("""COMPUTED_VALUE"""),38.0)</f>
        <v>38</v>
      </c>
      <c r="G449" s="1">
        <f t="shared" si="1"/>
        <v>3</v>
      </c>
      <c r="H449" s="1">
        <f t="shared" si="2"/>
        <v>3</v>
      </c>
      <c r="I449" s="1">
        <f>IFERROR(__xludf.DUMMYFUNCTION("IF(B449="""","""",
  100*F449 / MAX(FILTER($F:$F, $A:$A=$A449, $B:$B=$B449))
)
"),7.08955223880597)</f>
        <v>7.089552239</v>
      </c>
      <c r="J449" s="1">
        <f>IFERROR(__xludf.DUMMYFUNCTION("IF(B449="""","""",
  100*E449 / MAX(FILTER($E:$E, $A:$A=$A449, $B:$B=$B449))
)
"),20.577617328519857)</f>
        <v>20.57761733</v>
      </c>
      <c r="K449" s="1">
        <f t="shared" si="3"/>
        <v>13.15918153</v>
      </c>
    </row>
    <row r="450">
      <c r="A450" s="3">
        <f>IFERROR(__xludf.DUMMYFUNCTION("""COMPUTED_VALUE"""),45901.0)</f>
        <v>45901</v>
      </c>
      <c r="B450" s="1" t="str">
        <f>IFERROR(__xludf.DUMMYFUNCTION("""COMPUTED_VALUE"""),"DPMall")</f>
        <v>DPMall</v>
      </c>
      <c r="C450" s="1" t="str">
        <f>IFERROR(__xludf.DUMMYFUNCTION("""COMPUTED_VALUE"""),"ifrui juice")</f>
        <v>ifrui juice</v>
      </c>
      <c r="D450" s="1">
        <f>IFERROR(__xludf.DUMMYFUNCTION("""COMPUTED_VALUE"""),57.0)</f>
        <v>57</v>
      </c>
      <c r="E450" s="1">
        <f>IFERROR(__xludf.DUMMYFUNCTION("""COMPUTED_VALUE"""),57.0)</f>
        <v>57</v>
      </c>
      <c r="F450" s="1">
        <f>IFERROR(__xludf.DUMMYFUNCTION("""COMPUTED_VALUE"""),19.0)</f>
        <v>19</v>
      </c>
      <c r="G450" s="1">
        <f t="shared" si="1"/>
        <v>3</v>
      </c>
      <c r="H450" s="1">
        <f t="shared" si="2"/>
        <v>3</v>
      </c>
      <c r="I450" s="1">
        <f>IFERROR(__xludf.DUMMYFUNCTION("IF(B450="""","""",
  100*F450 / MAX(FILTER($F:$F, $A:$A=$A450, $B:$B=$B450))
)
"),3.544776119402985)</f>
        <v>3.544776119</v>
      </c>
      <c r="J450" s="1">
        <f>IFERROR(__xludf.DUMMYFUNCTION("IF(B450="""","""",
  100*E450 / MAX(FILTER($E:$E, $A:$A=$A450, $B:$B=$B450))
)
"),10.288808664259928)</f>
        <v>10.28880866</v>
      </c>
      <c r="K450" s="1">
        <f t="shared" si="3"/>
        <v>6.579590765</v>
      </c>
    </row>
    <row r="451">
      <c r="A451" s="3">
        <f>IFERROR(__xludf.DUMMYFUNCTION("""COMPUTED_VALUE"""),45901.0)</f>
        <v>45901</v>
      </c>
      <c r="B451" s="1" t="str">
        <f>IFERROR(__xludf.DUMMYFUNCTION("""COMPUTED_VALUE"""),"DPMall")</f>
        <v>DPMall</v>
      </c>
      <c r="C451" s="1" t="str">
        <f>IFERROR(__xludf.DUMMYFUNCTION("""COMPUTED_VALUE"""),"kinder bueno")</f>
        <v>kinder bueno</v>
      </c>
      <c r="D451" s="1">
        <f>IFERROR(__xludf.DUMMYFUNCTION("""COMPUTED_VALUE"""),78.0)</f>
        <v>78</v>
      </c>
      <c r="E451" s="1">
        <f>IFERROR(__xludf.DUMMYFUNCTION("""COMPUTED_VALUE"""),78.0)</f>
        <v>78</v>
      </c>
      <c r="F451" s="1">
        <f>IFERROR(__xludf.DUMMYFUNCTION("""COMPUTED_VALUE"""),13.0)</f>
        <v>13</v>
      </c>
      <c r="G451" s="1">
        <f t="shared" si="1"/>
        <v>6</v>
      </c>
      <c r="H451" s="1">
        <f t="shared" si="2"/>
        <v>6</v>
      </c>
      <c r="I451" s="1">
        <f>IFERROR(__xludf.DUMMYFUNCTION("IF(B451="""","""",
  100*F451 / MAX(FILTER($F:$F, $A:$A=$A451, $B:$B=$B451))
)
"),2.425373134328358)</f>
        <v>2.425373134</v>
      </c>
      <c r="J451" s="1">
        <f>IFERROR(__xludf.DUMMYFUNCTION("IF(B451="""","""",
  100*E451 / MAX(FILTER($E:$E, $A:$A=$A451, $B:$B=$B451))
)
"),14.07942238267148)</f>
        <v>14.07942238</v>
      </c>
      <c r="K451" s="1">
        <f t="shared" si="3"/>
        <v>7.669695296</v>
      </c>
    </row>
    <row r="452">
      <c r="A452" s="3">
        <f>IFERROR(__xludf.DUMMYFUNCTION("""COMPUTED_VALUE"""),45901.0)</f>
        <v>45901</v>
      </c>
      <c r="B452" s="1" t="str">
        <f>IFERROR(__xludf.DUMMYFUNCTION("""COMPUTED_VALUE"""),"DPMall")</f>
        <v>DPMall</v>
      </c>
      <c r="C452" s="1" t="str">
        <f>IFERROR(__xludf.DUMMYFUNCTION("""COMPUTED_VALUE"""),"kinza")</f>
        <v>kinza</v>
      </c>
      <c r="D452" s="1">
        <f>IFERROR(__xludf.DUMMYFUNCTION("""COMPUTED_VALUE"""),188.0)</f>
        <v>188</v>
      </c>
      <c r="E452" s="1">
        <f>IFERROR(__xludf.DUMMYFUNCTION("""COMPUTED_VALUE"""),188.0)</f>
        <v>188</v>
      </c>
      <c r="F452" s="1">
        <f>IFERROR(__xludf.DUMMYFUNCTION("""COMPUTED_VALUE"""),83.0)</f>
        <v>83</v>
      </c>
      <c r="G452" s="1">
        <f t="shared" si="1"/>
        <v>2.265060241</v>
      </c>
      <c r="H452" s="1">
        <f t="shared" si="2"/>
        <v>2.265060241</v>
      </c>
      <c r="I452" s="1">
        <f>IFERROR(__xludf.DUMMYFUNCTION("IF(B452="""","""",
  100*F452 / MAX(FILTER($F:$F, $A:$A=$A452, $B:$B=$B452))
)
"),15.485074626865671)</f>
        <v>15.48507463</v>
      </c>
      <c r="J452" s="1">
        <f>IFERROR(__xludf.DUMMYFUNCTION("IF(B452="""","""",
  100*E452 / MAX(FILTER($E:$E, $A:$A=$A452, $B:$B=$B452))
)
"),33.935018050541515)</f>
        <v>33.93501805</v>
      </c>
      <c r="K452" s="1">
        <f t="shared" si="3"/>
        <v>23.78754917</v>
      </c>
    </row>
    <row r="453">
      <c r="A453" s="3">
        <f>IFERROR(__xludf.DUMMYFUNCTION("""COMPUTED_VALUE"""),45901.0)</f>
        <v>45901</v>
      </c>
      <c r="B453" s="1" t="str">
        <f>IFERROR(__xludf.DUMMYFUNCTION("""COMPUTED_VALUE"""),"DPMall")</f>
        <v>DPMall</v>
      </c>
      <c r="C453" s="1" t="str">
        <f>IFERROR(__xludf.DUMMYFUNCTION("""COMPUTED_VALUE"""),"kitkat")</f>
        <v>kitkat</v>
      </c>
      <c r="D453" s="1">
        <f>IFERROR(__xludf.DUMMYFUNCTION("""COMPUTED_VALUE"""),42.0)</f>
        <v>42</v>
      </c>
      <c r="E453" s="1">
        <f>IFERROR(__xludf.DUMMYFUNCTION("""COMPUTED_VALUE"""),42.0)</f>
        <v>42</v>
      </c>
      <c r="F453" s="1">
        <f>IFERROR(__xludf.DUMMYFUNCTION("""COMPUTED_VALUE"""),6.0)</f>
        <v>6</v>
      </c>
      <c r="G453" s="1">
        <f t="shared" si="1"/>
        <v>7</v>
      </c>
      <c r="H453" s="1">
        <f t="shared" si="2"/>
        <v>7</v>
      </c>
      <c r="I453" s="1">
        <f>IFERROR(__xludf.DUMMYFUNCTION("IF(B453="""","""",
  100*F453 / MAX(FILTER($F:$F, $A:$A=$A453, $B:$B=$B453))
)
"),1.1194029850746268)</f>
        <v>1.119402985</v>
      </c>
      <c r="J453" s="1">
        <f>IFERROR(__xludf.DUMMYFUNCTION("IF(B453="""","""",
  100*E453 / MAX(FILTER($E:$E, $A:$A=$A453, $B:$B=$B453))
)
"),7.581227436823105)</f>
        <v>7.581227437</v>
      </c>
      <c r="K453" s="1">
        <f t="shared" si="3"/>
        <v>4.027223988</v>
      </c>
    </row>
    <row r="454">
      <c r="A454" s="3">
        <f>IFERROR(__xludf.DUMMYFUNCTION("""COMPUTED_VALUE"""),45901.0)</f>
        <v>45901</v>
      </c>
      <c r="B454" s="1" t="str">
        <f>IFERROR(__xludf.DUMMYFUNCTION("""COMPUTED_VALUE"""),"DPMall")</f>
        <v>DPMall</v>
      </c>
      <c r="C454" s="1" t="str">
        <f>IFERROR(__xludf.DUMMYFUNCTION("""COMPUTED_VALUE"""),"mr bite")</f>
        <v>mr bite</v>
      </c>
      <c r="D454" s="1">
        <f>IFERROR(__xludf.DUMMYFUNCTION("""COMPUTED_VALUE"""),62.0)</f>
        <v>62</v>
      </c>
      <c r="E454" s="1">
        <f>IFERROR(__xludf.DUMMYFUNCTION("""COMPUTED_VALUE"""),62.0)</f>
        <v>62</v>
      </c>
      <c r="F454" s="1">
        <f>IFERROR(__xludf.DUMMYFUNCTION("""COMPUTED_VALUE"""),27.0)</f>
        <v>27</v>
      </c>
      <c r="G454" s="1">
        <f t="shared" si="1"/>
        <v>2.296296296</v>
      </c>
      <c r="H454" s="1">
        <f t="shared" si="2"/>
        <v>2.296296296</v>
      </c>
      <c r="I454" s="1">
        <f>IFERROR(__xludf.DUMMYFUNCTION("IF(B454="""","""",
  100*F454 / MAX(FILTER($F:$F, $A:$A=$A454, $B:$B=$B454))
)
"),5.037313432835821)</f>
        <v>5.037313433</v>
      </c>
      <c r="J454" s="1">
        <f>IFERROR(__xludf.DUMMYFUNCTION("IF(B454="""","""",
  100*E454 / MAX(FILTER($E:$E, $A:$A=$A454, $B:$B=$B454))
)
"),11.191335740072201)</f>
        <v>11.19133574</v>
      </c>
      <c r="K454" s="1">
        <f t="shared" si="3"/>
        <v>7.806623471</v>
      </c>
    </row>
    <row r="455">
      <c r="A455" s="3">
        <f>IFERROR(__xludf.DUMMYFUNCTION("""COMPUTED_VALUE"""),45901.0)</f>
        <v>45901</v>
      </c>
      <c r="B455" s="1" t="str">
        <f>IFERROR(__xludf.DUMMYFUNCTION("""COMPUTED_VALUE"""),"DPMall")</f>
        <v>DPMall</v>
      </c>
      <c r="C455" s="1" t="str">
        <f>IFERROR(__xludf.DUMMYFUNCTION("""COMPUTED_VALUE"""),"ono cake")</f>
        <v>ono cake</v>
      </c>
      <c r="D455" s="1">
        <f>IFERROR(__xludf.DUMMYFUNCTION("""COMPUTED_VALUE"""),34.0)</f>
        <v>34</v>
      </c>
      <c r="E455" s="1">
        <f>IFERROR(__xludf.DUMMYFUNCTION("""COMPUTED_VALUE"""),34.0)</f>
        <v>34</v>
      </c>
      <c r="F455" s="1">
        <f>IFERROR(__xludf.DUMMYFUNCTION("""COMPUTED_VALUE"""),14.0)</f>
        <v>14</v>
      </c>
      <c r="G455" s="1">
        <f t="shared" si="1"/>
        <v>2.428571429</v>
      </c>
      <c r="H455" s="1">
        <f t="shared" si="2"/>
        <v>2.428571429</v>
      </c>
      <c r="I455" s="1">
        <f>IFERROR(__xludf.DUMMYFUNCTION("IF(B455="""","""",
  100*F455 / MAX(FILTER($F:$F, $A:$A=$A455, $B:$B=$B455))
)
"),2.611940298507463)</f>
        <v>2.611940299</v>
      </c>
      <c r="J455" s="1">
        <f>IFERROR(__xludf.DUMMYFUNCTION("IF(B455="""","""",
  100*E455 / MAX(FILTER($E:$E, $A:$A=$A455, $B:$B=$B455))
)
"),6.137184115523466)</f>
        <v>6.137184116</v>
      </c>
      <c r="K455" s="1">
        <f t="shared" si="3"/>
        <v>4.198300016</v>
      </c>
    </row>
    <row r="456">
      <c r="A456" s="3">
        <f>IFERROR(__xludf.DUMMYFUNCTION("""COMPUTED_VALUE"""),45901.0)</f>
        <v>45901</v>
      </c>
      <c r="B456" s="1" t="str">
        <f>IFERROR(__xludf.DUMMYFUNCTION("""COMPUTED_VALUE"""),"DPMall")</f>
        <v>DPMall</v>
      </c>
      <c r="C456" s="1" t="str">
        <f>IFERROR(__xludf.DUMMYFUNCTION("""COMPUTED_VALUE"""),"pepsi 500ml")</f>
        <v>pepsi 500ml</v>
      </c>
      <c r="D456" s="1">
        <f>IFERROR(__xludf.DUMMYFUNCTION("""COMPUTED_VALUE"""),48.0)</f>
        <v>48</v>
      </c>
      <c r="E456" s="1">
        <f>IFERROR(__xludf.DUMMYFUNCTION("""COMPUTED_VALUE"""),48.0)</f>
        <v>48</v>
      </c>
      <c r="F456" s="1">
        <f>IFERROR(__xludf.DUMMYFUNCTION("""COMPUTED_VALUE"""),16.0)</f>
        <v>16</v>
      </c>
      <c r="G456" s="1">
        <f t="shared" si="1"/>
        <v>3</v>
      </c>
      <c r="H456" s="1">
        <f t="shared" si="2"/>
        <v>3</v>
      </c>
      <c r="I456" s="1">
        <f>IFERROR(__xludf.DUMMYFUNCTION("IF(B456="""","""",
  100*F456 / MAX(FILTER($F:$F, $A:$A=$A456, $B:$B=$B456))
)
"),2.985074626865672)</f>
        <v>2.985074627</v>
      </c>
      <c r="J456" s="1">
        <f>IFERROR(__xludf.DUMMYFUNCTION("IF(B456="""","""",
  100*E456 / MAX(FILTER($E:$E, $A:$A=$A456, $B:$B=$B456))
)
"),8.664259927797834)</f>
        <v>8.664259928</v>
      </c>
      <c r="K456" s="1">
        <f t="shared" si="3"/>
        <v>5.540708012</v>
      </c>
    </row>
    <row r="457">
      <c r="A457" s="3">
        <f>IFERROR(__xludf.DUMMYFUNCTION("""COMPUTED_VALUE"""),45901.0)</f>
        <v>45901</v>
      </c>
      <c r="B457" s="1" t="str">
        <f>IFERROR(__xludf.DUMMYFUNCTION("""COMPUTED_VALUE"""),"DPMall")</f>
        <v>DPMall</v>
      </c>
      <c r="C457" s="1" t="str">
        <f>IFERROR(__xludf.DUMMYFUNCTION("""COMPUTED_VALUE"""),"schweppers")</f>
        <v>schweppers</v>
      </c>
      <c r="D457" s="1">
        <f>IFERROR(__xludf.DUMMYFUNCTION("""COMPUTED_VALUE"""),8.0)</f>
        <v>8</v>
      </c>
      <c r="E457" s="1">
        <f>IFERROR(__xludf.DUMMYFUNCTION("""COMPUTED_VALUE"""),8.0)</f>
        <v>8</v>
      </c>
      <c r="F457" s="1">
        <f>IFERROR(__xludf.DUMMYFUNCTION("""COMPUTED_VALUE"""),4.0)</f>
        <v>4</v>
      </c>
      <c r="G457" s="1">
        <f t="shared" si="1"/>
        <v>2</v>
      </c>
      <c r="H457" s="1">
        <f t="shared" si="2"/>
        <v>2</v>
      </c>
      <c r="I457" s="1">
        <f>IFERROR(__xludf.DUMMYFUNCTION("IF(B457="""","""",
  100*F457 / MAX(FILTER($F:$F, $A:$A=$A457, $B:$B=$B457))
)
"),0.746268656716418)</f>
        <v>0.7462686567</v>
      </c>
      <c r="J457" s="1">
        <f>IFERROR(__xludf.DUMMYFUNCTION("IF(B457="""","""",
  100*E457 / MAX(FILTER($E:$E, $A:$A=$A457, $B:$B=$B457))
)
"),1.444043321299639)</f>
        <v>1.444043321</v>
      </c>
      <c r="K457" s="1">
        <f t="shared" si="3"/>
        <v>1.060267256</v>
      </c>
    </row>
    <row r="458">
      <c r="A458" s="3">
        <f>IFERROR(__xludf.DUMMYFUNCTION("""COMPUTED_VALUE"""),45901.0)</f>
        <v>45901</v>
      </c>
      <c r="B458" s="1" t="str">
        <f>IFERROR(__xludf.DUMMYFUNCTION("""COMPUTED_VALUE"""),"DPMall")</f>
        <v>DPMall</v>
      </c>
      <c r="C458" s="1" t="str">
        <f>IFERROR(__xludf.DUMMYFUNCTION("""COMPUTED_VALUE"""),"snickers")</f>
        <v>snickers</v>
      </c>
      <c r="D458" s="1">
        <f>IFERROR(__xludf.DUMMYFUNCTION("""COMPUTED_VALUE"""),62.0)</f>
        <v>62</v>
      </c>
      <c r="E458" s="1">
        <f>IFERROR(__xludf.DUMMYFUNCTION("""COMPUTED_VALUE"""),62.0)</f>
        <v>62</v>
      </c>
      <c r="F458" s="1">
        <f>IFERROR(__xludf.DUMMYFUNCTION("""COMPUTED_VALUE"""),31.0)</f>
        <v>31</v>
      </c>
      <c r="G458" s="1">
        <f t="shared" si="1"/>
        <v>2</v>
      </c>
      <c r="H458" s="1">
        <f t="shared" si="2"/>
        <v>2</v>
      </c>
      <c r="I458" s="1">
        <f>IFERROR(__xludf.DUMMYFUNCTION("IF(B458="""","""",
  100*F458 / MAX(FILTER($F:$F, $A:$A=$A458, $B:$B=$B458))
)
"),5.7835820895522385)</f>
        <v>5.78358209</v>
      </c>
      <c r="J458" s="1">
        <f>IFERROR(__xludf.DUMMYFUNCTION("IF(B458="""","""",
  100*E458 / MAX(FILTER($E:$E, $A:$A=$A458, $B:$B=$B458))
)
"),11.191335740072201)</f>
        <v>11.19133574</v>
      </c>
      <c r="K458" s="1">
        <f t="shared" si="3"/>
        <v>8.217071232</v>
      </c>
    </row>
    <row r="459">
      <c r="A459" s="3">
        <f>IFERROR(__xludf.DUMMYFUNCTION("""COMPUTED_VALUE"""),45901.0)</f>
        <v>45901</v>
      </c>
      <c r="B459" s="1" t="str">
        <f>IFERROR(__xludf.DUMMYFUNCTION("""COMPUTED_VALUE"""),"DPMall")</f>
        <v>DPMall</v>
      </c>
      <c r="C459" s="1" t="str">
        <f>IFERROR(__xludf.DUMMYFUNCTION("""COMPUTED_VALUE"""),"sunTop")</f>
        <v>sunTop</v>
      </c>
      <c r="D459" s="1">
        <f>IFERROR(__xludf.DUMMYFUNCTION("""COMPUTED_VALUE"""),243.0)</f>
        <v>243</v>
      </c>
      <c r="E459" s="1">
        <f>IFERROR(__xludf.DUMMYFUNCTION("""COMPUTED_VALUE"""),243.0)</f>
        <v>243</v>
      </c>
      <c r="F459" s="1">
        <f>IFERROR(__xludf.DUMMYFUNCTION("""COMPUTED_VALUE"""),226.0)</f>
        <v>226</v>
      </c>
      <c r="G459" s="1">
        <f t="shared" si="1"/>
        <v>1.075221239</v>
      </c>
      <c r="H459" s="1">
        <f t="shared" si="2"/>
        <v>1.075221239</v>
      </c>
      <c r="I459" s="1">
        <f>IFERROR(__xludf.DUMMYFUNCTION("IF(B459="""","""",
  100*F459 / MAX(FILTER($F:$F, $A:$A=$A459, $B:$B=$B459))
)
"),42.16417910447761)</f>
        <v>42.1641791</v>
      </c>
      <c r="J459" s="1">
        <f>IFERROR(__xludf.DUMMYFUNCTION("IF(B459="""","""",
  100*E459 / MAX(FILTER($E:$E, $A:$A=$A459, $B:$B=$B459))
)
"),43.86281588447653)</f>
        <v>43.86281588</v>
      </c>
      <c r="K459" s="1">
        <f t="shared" si="3"/>
        <v>42.92856566</v>
      </c>
    </row>
    <row r="460">
      <c r="A460" s="3">
        <f>IFERROR(__xludf.DUMMYFUNCTION("""COMPUTED_VALUE"""),45901.0)</f>
        <v>45901</v>
      </c>
      <c r="B460" s="1" t="str">
        <f>IFERROR(__xludf.DUMMYFUNCTION("""COMPUTED_VALUE"""),"DPMall")</f>
        <v>DPMall</v>
      </c>
      <c r="C460" s="1" t="str">
        <f>IFERROR(__xludf.DUMMYFUNCTION("""COMPUTED_VALUE"""),"vitaGo")</f>
        <v>vitaGo</v>
      </c>
      <c r="D460" s="1">
        <f>IFERROR(__xludf.DUMMYFUNCTION("""COMPUTED_VALUE"""),48.0)</f>
        <v>48</v>
      </c>
      <c r="E460" s="1">
        <f>IFERROR(__xludf.DUMMYFUNCTION("""COMPUTED_VALUE"""),48.0)</f>
        <v>48</v>
      </c>
      <c r="F460" s="1">
        <f>IFERROR(__xludf.DUMMYFUNCTION("""COMPUTED_VALUE"""),12.0)</f>
        <v>12</v>
      </c>
      <c r="G460" s="1">
        <f t="shared" si="1"/>
        <v>4</v>
      </c>
      <c r="H460" s="1">
        <f t="shared" si="2"/>
        <v>4</v>
      </c>
      <c r="I460" s="1">
        <f>IFERROR(__xludf.DUMMYFUNCTION("IF(B460="""","""",
  100*F460 / MAX(FILTER($F:$F, $A:$A=$A460, $B:$B=$B460))
)
"),2.2388059701492535)</f>
        <v>2.23880597</v>
      </c>
      <c r="J460" s="1">
        <f>IFERROR(__xludf.DUMMYFUNCTION("IF(B460="""","""",
  100*E460 / MAX(FILTER($E:$E, $A:$A=$A460, $B:$B=$B460))
)
"),8.664259927797834)</f>
        <v>8.664259928</v>
      </c>
      <c r="K460" s="1">
        <f t="shared" si="3"/>
        <v>5.130260251</v>
      </c>
    </row>
    <row r="461">
      <c r="A461" s="3">
        <f>IFERROR(__xludf.DUMMYFUNCTION("""COMPUTED_VALUE"""),45901.0)</f>
        <v>45901</v>
      </c>
      <c r="B461" s="1" t="str">
        <f>IFERROR(__xludf.DUMMYFUNCTION("""COMPUTED_VALUE"""),"DPMall")</f>
        <v>DPMall</v>
      </c>
      <c r="C461" s="1" t="str">
        <f>IFERROR(__xludf.DUMMYFUNCTION("""COMPUTED_VALUE"""),"xo energy")</f>
        <v>xo energy</v>
      </c>
      <c r="D461" s="1">
        <f>IFERROR(__xludf.DUMMYFUNCTION("""COMPUTED_VALUE"""),57.0)</f>
        <v>57</v>
      </c>
      <c r="E461" s="1">
        <f>IFERROR(__xludf.DUMMYFUNCTION("""COMPUTED_VALUE"""),57.0)</f>
        <v>57</v>
      </c>
      <c r="F461" s="1">
        <f>IFERROR(__xludf.DUMMYFUNCTION("""COMPUTED_VALUE"""),19.0)</f>
        <v>19</v>
      </c>
      <c r="G461" s="1">
        <f t="shared" si="1"/>
        <v>3</v>
      </c>
      <c r="H461" s="1">
        <f t="shared" si="2"/>
        <v>3</v>
      </c>
      <c r="I461" s="1">
        <f>IFERROR(__xludf.DUMMYFUNCTION("IF(B461="""","""",
  100*F461 / MAX(FILTER($F:$F, $A:$A=$A461, $B:$B=$B461))
)
"),3.544776119402985)</f>
        <v>3.544776119</v>
      </c>
      <c r="J461" s="1">
        <f>IFERROR(__xludf.DUMMYFUNCTION("IF(B461="""","""",
  100*E461 / MAX(FILTER($E:$E, $A:$A=$A461, $B:$B=$B461))
)
"),10.288808664259928)</f>
        <v>10.28880866</v>
      </c>
      <c r="K461" s="1">
        <f t="shared" si="3"/>
        <v>6.579590765</v>
      </c>
    </row>
    <row r="462">
      <c r="A462" s="3">
        <f>IFERROR(__xludf.DUMMYFUNCTION("""COMPUTED_VALUE"""),45901.0)</f>
        <v>45901</v>
      </c>
      <c r="B462" s="1" t="str">
        <f>IFERROR(__xludf.DUMMYFUNCTION("""COMPUTED_VALUE"""),"HTMall")</f>
        <v>HTMall</v>
      </c>
      <c r="C462" s="1" t="str">
        <f>IFERROR(__xludf.DUMMYFUNCTION("""COMPUTED_VALUE"""),"7up")</f>
        <v>7up</v>
      </c>
      <c r="D462" s="1">
        <f>IFERROR(__xludf.DUMMYFUNCTION("""COMPUTED_VALUE"""),81.0)</f>
        <v>81</v>
      </c>
      <c r="E462" s="1">
        <f>IFERROR(__xludf.DUMMYFUNCTION("""COMPUTED_VALUE"""),20.25)</f>
        <v>20.25</v>
      </c>
      <c r="F462" s="1">
        <f>IFERROR(__xludf.DUMMYFUNCTION("""COMPUTED_VALUE"""),27.0)</f>
        <v>27</v>
      </c>
      <c r="G462" s="1">
        <f t="shared" si="1"/>
        <v>3</v>
      </c>
      <c r="H462" s="1">
        <f t="shared" si="2"/>
        <v>0.75</v>
      </c>
      <c r="I462" s="1">
        <f>IFERROR(__xludf.DUMMYFUNCTION("IF(B462="""","""",
  100*F462 / MAX(FILTER($F:$F, $A:$A=$A462, $B:$B=$B462))
)
"),2.573879885605338)</f>
        <v>2.573879886</v>
      </c>
      <c r="J462" s="1">
        <f>IFERROR(__xludf.DUMMYFUNCTION("IF(B462="""","""",
  100*E462 / MAX(FILTER($E:$E, $A:$A=$A462, $B:$B=$B462))
)
"),2.713386037786413)</f>
        <v>2.713386038</v>
      </c>
      <c r="K462" s="1">
        <f t="shared" si="3"/>
        <v>2.636657654</v>
      </c>
    </row>
    <row r="463">
      <c r="A463" s="3">
        <f>IFERROR(__xludf.DUMMYFUNCTION("""COMPUTED_VALUE"""),45901.0)</f>
        <v>45901</v>
      </c>
      <c r="B463" s="1" t="str">
        <f>IFERROR(__xludf.DUMMYFUNCTION("""COMPUTED_VALUE"""),"HTMall")</f>
        <v>HTMall</v>
      </c>
      <c r="C463" s="1" t="str">
        <f>IFERROR(__xludf.DUMMYFUNCTION("""COMPUTED_VALUE"""),"Bounty")</f>
        <v>Bounty</v>
      </c>
      <c r="D463" s="1">
        <f>IFERROR(__xludf.DUMMYFUNCTION("""COMPUTED_VALUE"""),50.0)</f>
        <v>50</v>
      </c>
      <c r="E463" s="1">
        <f>IFERROR(__xludf.DUMMYFUNCTION("""COMPUTED_VALUE"""),12.5)</f>
        <v>12.5</v>
      </c>
      <c r="F463" s="1">
        <f>IFERROR(__xludf.DUMMYFUNCTION("""COMPUTED_VALUE"""),10.0)</f>
        <v>10</v>
      </c>
      <c r="G463" s="1">
        <f t="shared" si="1"/>
        <v>5</v>
      </c>
      <c r="H463" s="1">
        <f t="shared" si="2"/>
        <v>1.25</v>
      </c>
      <c r="I463" s="1">
        <f>IFERROR(__xludf.DUMMYFUNCTION("IF(B463="""","""",
  100*F463 / MAX(FILTER($F:$F, $A:$A=$A463, $B:$B=$B463))
)
"),0.9532888465204957)</f>
        <v>0.9532888465</v>
      </c>
      <c r="J463" s="1">
        <f>IFERROR(__xludf.DUMMYFUNCTION("IF(B463="""","""",
  100*E463 / MAX(FILTER($E:$E, $A:$A=$A463, $B:$B=$B463))
)
"),1.674929652954576)</f>
        <v>1.674929653</v>
      </c>
      <c r="K463" s="1">
        <f t="shared" si="3"/>
        <v>1.278027209</v>
      </c>
    </row>
    <row r="464">
      <c r="A464" s="3">
        <f>IFERROR(__xludf.DUMMYFUNCTION("""COMPUTED_VALUE"""),45901.0)</f>
        <v>45901</v>
      </c>
      <c r="B464" s="1" t="str">
        <f>IFERROR(__xludf.DUMMYFUNCTION("""COMPUTED_VALUE"""),"HTMall")</f>
        <v>HTMall</v>
      </c>
      <c r="C464" s="1" t="str">
        <f>IFERROR(__xludf.DUMMYFUNCTION("""COMPUTED_VALUE"""),"Doritos Dinamita")</f>
        <v>Doritos Dinamita</v>
      </c>
      <c r="D464" s="1">
        <f>IFERROR(__xludf.DUMMYFUNCTION("""COMPUTED_VALUE"""),10.0)</f>
        <v>10</v>
      </c>
      <c r="E464" s="1">
        <f>IFERROR(__xludf.DUMMYFUNCTION("""COMPUTED_VALUE"""),-4.0)</f>
        <v>-4</v>
      </c>
      <c r="F464" s="1">
        <f>IFERROR(__xludf.DUMMYFUNCTION("""COMPUTED_VALUE"""),2.0)</f>
        <v>2</v>
      </c>
      <c r="G464" s="1">
        <f t="shared" si="1"/>
        <v>5</v>
      </c>
      <c r="H464" s="1">
        <f t="shared" si="2"/>
        <v>-2</v>
      </c>
      <c r="I464" s="1">
        <f>IFERROR(__xludf.DUMMYFUNCTION("IF(B464="""","""",
  100*F464 / MAX(FILTER($F:$F, $A:$A=$A464, $B:$B=$B464))
)
"),0.19065776930409914)</f>
        <v>0.1906577693</v>
      </c>
      <c r="J464" s="1">
        <f>IFERROR(__xludf.DUMMYFUNCTION("IF(B464="""","""",
  100*E464 / MAX(FILTER($E:$E, $A:$A=$A464, $B:$B=$B464))
)
"),-0.5359774889454644)</f>
        <v>-0.5359774889</v>
      </c>
      <c r="K464" s="1">
        <f t="shared" si="3"/>
        <v>-0.1363280969</v>
      </c>
    </row>
    <row r="465">
      <c r="A465" s="3">
        <f>IFERROR(__xludf.DUMMYFUNCTION("""COMPUTED_VALUE"""),45901.0)</f>
        <v>45901</v>
      </c>
      <c r="B465" s="1" t="str">
        <f>IFERROR(__xludf.DUMMYFUNCTION("""COMPUTED_VALUE"""),"HTMall")</f>
        <v>HTMall</v>
      </c>
      <c r="C465" s="1" t="str">
        <f>IFERROR(__xludf.DUMMYFUNCTION("""COMPUTED_VALUE"""),"Doritos cool ranc")</f>
        <v>Doritos cool ranc</v>
      </c>
      <c r="D465" s="1">
        <f>IFERROR(__xludf.DUMMYFUNCTION("""COMPUTED_VALUE"""),600.0)</f>
        <v>600</v>
      </c>
      <c r="E465" s="1">
        <f>IFERROR(__xludf.DUMMYFUNCTION("""COMPUTED_VALUE"""),264.0)</f>
        <v>264</v>
      </c>
      <c r="F465" s="1">
        <f>IFERROR(__xludf.DUMMYFUNCTION("""COMPUTED_VALUE"""),120.0)</f>
        <v>120</v>
      </c>
      <c r="G465" s="1">
        <f t="shared" si="1"/>
        <v>5</v>
      </c>
      <c r="H465" s="1">
        <f t="shared" si="2"/>
        <v>2.2</v>
      </c>
      <c r="I465" s="1">
        <f>IFERROR(__xludf.DUMMYFUNCTION("IF(B465="""","""",
  100*F465 / MAX(FILTER($F:$F, $A:$A=$A465, $B:$B=$B465))
)
"),11.43946615824595)</f>
        <v>11.43946616</v>
      </c>
      <c r="J465" s="1">
        <f>IFERROR(__xludf.DUMMYFUNCTION("IF(B465="""","""",
  100*E465 / MAX(FILTER($E:$E, $A:$A=$A465, $B:$B=$B465))
)
"),35.374514270400645)</f>
        <v>35.37451427</v>
      </c>
      <c r="K465" s="1">
        <f t="shared" si="3"/>
        <v>22.21023781</v>
      </c>
    </row>
    <row r="466">
      <c r="A466" s="3">
        <f>IFERROR(__xludf.DUMMYFUNCTION("""COMPUTED_VALUE"""),45901.0)</f>
        <v>45901</v>
      </c>
      <c r="B466" s="1" t="str">
        <f>IFERROR(__xludf.DUMMYFUNCTION("""COMPUTED_VALUE"""),"HTMall")</f>
        <v>HTMall</v>
      </c>
      <c r="C466" s="1" t="str">
        <f>IFERROR(__xludf.DUMMYFUNCTION("""COMPUTED_VALUE"""),"Freez")</f>
        <v>Freez</v>
      </c>
      <c r="D466" s="1">
        <f>IFERROR(__xludf.DUMMYFUNCTION("""COMPUTED_VALUE"""),73.0)</f>
        <v>73</v>
      </c>
      <c r="E466" s="1">
        <f>IFERROR(__xludf.DUMMYFUNCTION("""COMPUTED_VALUE"""),21.85)</f>
        <v>21.85</v>
      </c>
      <c r="F466" s="1">
        <f>IFERROR(__xludf.DUMMYFUNCTION("""COMPUTED_VALUE"""),15.0)</f>
        <v>15</v>
      </c>
      <c r="G466" s="1">
        <f t="shared" si="1"/>
        <v>4.866666667</v>
      </c>
      <c r="H466" s="1">
        <f t="shared" si="2"/>
        <v>1.456666667</v>
      </c>
      <c r="I466" s="1">
        <f>IFERROR(__xludf.DUMMYFUNCTION("IF(B466="""","""",
  100*F466 / MAX(FILTER($F:$F, $A:$A=$A466, $B:$B=$B466))
)
"),1.4299332697807436)</f>
        <v>1.42993327</v>
      </c>
      <c r="J466" s="1">
        <f>IFERROR(__xludf.DUMMYFUNCTION("IF(B466="""","""",
  100*E466 / MAX(FILTER($E:$E, $A:$A=$A466, $B:$B=$B466))
)
"),2.927777033364599)</f>
        <v>2.927777033</v>
      </c>
      <c r="K466" s="1">
        <f t="shared" si="3"/>
        <v>2.103962963</v>
      </c>
    </row>
    <row r="467">
      <c r="A467" s="3">
        <f>IFERROR(__xludf.DUMMYFUNCTION("""COMPUTED_VALUE"""),45901.0)</f>
        <v>45901</v>
      </c>
      <c r="B467" s="1" t="str">
        <f>IFERROR(__xludf.DUMMYFUNCTION("""COMPUTED_VALUE"""),"HTMall")</f>
        <v>HTMall</v>
      </c>
      <c r="C467" s="1" t="str">
        <f>IFERROR(__xludf.DUMMYFUNCTION("""COMPUTED_VALUE"""),"Haribo")</f>
        <v>Haribo</v>
      </c>
      <c r="D467" s="1">
        <f>IFERROR(__xludf.DUMMYFUNCTION("""COMPUTED_VALUE"""),159.0)</f>
        <v>159</v>
      </c>
      <c r="E467" s="1">
        <f>IFERROR(__xludf.DUMMYFUNCTION("""COMPUTED_VALUE"""),66.25)</f>
        <v>66.25</v>
      </c>
      <c r="F467" s="1">
        <f>IFERROR(__xludf.DUMMYFUNCTION("""COMPUTED_VALUE"""),53.0)</f>
        <v>53</v>
      </c>
      <c r="G467" s="1">
        <f t="shared" si="1"/>
        <v>3</v>
      </c>
      <c r="H467" s="1">
        <f t="shared" si="2"/>
        <v>1.25</v>
      </c>
      <c r="I467" s="1">
        <f>IFERROR(__xludf.DUMMYFUNCTION("IF(B467="""","""",
  100*F467 / MAX(FILTER($F:$F, $A:$A=$A467, $B:$B=$B467))
)
"),5.052430886558628)</f>
        <v>5.052430887</v>
      </c>
      <c r="J467" s="1">
        <f>IFERROR(__xludf.DUMMYFUNCTION("IF(B467="""","""",
  100*E467 / MAX(FILTER($E:$E, $A:$A=$A467, $B:$B=$B467))
)
"),8.877127160659253)</f>
        <v>8.877127161</v>
      </c>
      <c r="K467" s="1">
        <f t="shared" si="3"/>
        <v>6.77354421</v>
      </c>
    </row>
    <row r="468">
      <c r="A468" s="3">
        <f>IFERROR(__xludf.DUMMYFUNCTION("""COMPUTED_VALUE"""),45901.0)</f>
        <v>45901</v>
      </c>
      <c r="B468" s="1" t="str">
        <f>IFERROR(__xludf.DUMMYFUNCTION("""COMPUTED_VALUE"""),"HTMall")</f>
        <v>HTMall</v>
      </c>
      <c r="C468" s="1" t="str">
        <f>IFERROR(__xludf.DUMMYFUNCTION("""COMPUTED_VALUE"""),"Kinder Bueno")</f>
        <v>Kinder Bueno</v>
      </c>
      <c r="D468" s="1">
        <f>IFERROR(__xludf.DUMMYFUNCTION("""COMPUTED_VALUE"""),108.0)</f>
        <v>108</v>
      </c>
      <c r="E468" s="1">
        <f>IFERROR(__xludf.DUMMYFUNCTION("""COMPUTED_VALUE"""),3.6)</f>
        <v>3.6</v>
      </c>
      <c r="F468" s="1">
        <f>IFERROR(__xludf.DUMMYFUNCTION("""COMPUTED_VALUE"""),18.0)</f>
        <v>18</v>
      </c>
      <c r="G468" s="1">
        <f t="shared" si="1"/>
        <v>6</v>
      </c>
      <c r="H468" s="1">
        <f t="shared" si="2"/>
        <v>0.2</v>
      </c>
      <c r="I468" s="1">
        <f>IFERROR(__xludf.DUMMYFUNCTION("IF(B468="""","""",
  100*F468 / MAX(FILTER($F:$F, $A:$A=$A468, $B:$B=$B468))
)
"),1.7159199237368923)</f>
        <v>1.715919924</v>
      </c>
      <c r="J468" s="1">
        <f>IFERROR(__xludf.DUMMYFUNCTION("IF(B468="""","""",
  100*E468 / MAX(FILTER($E:$E, $A:$A=$A468, $B:$B=$B468))
)
"),0.4823797400509179)</f>
        <v>0.4823797401</v>
      </c>
      <c r="K468" s="1">
        <f t="shared" si="3"/>
        <v>1.160826841</v>
      </c>
    </row>
    <row r="469">
      <c r="A469" s="3">
        <f>IFERROR(__xludf.DUMMYFUNCTION("""COMPUTED_VALUE"""),45901.0)</f>
        <v>45901</v>
      </c>
      <c r="B469" s="1" t="str">
        <f>IFERROR(__xludf.DUMMYFUNCTION("""COMPUTED_VALUE"""),"HTMall")</f>
        <v>HTMall</v>
      </c>
      <c r="C469" s="1" t="str">
        <f>IFERROR(__xludf.DUMMYFUNCTION("""COMPUTED_VALUE"""),"Kinder bueno1stick")</f>
        <v>Kinder bueno1stick</v>
      </c>
      <c r="D469" s="1">
        <f>IFERROR(__xludf.DUMMYFUNCTION("""COMPUTED_VALUE"""),80.0)</f>
        <v>80</v>
      </c>
      <c r="E469" s="1">
        <f>IFERROR(__xludf.DUMMYFUNCTION("""COMPUTED_VALUE"""),20.0)</f>
        <v>20</v>
      </c>
      <c r="F469" s="1">
        <f>IFERROR(__xludf.DUMMYFUNCTION("""COMPUTED_VALUE"""),20.0)</f>
        <v>20</v>
      </c>
      <c r="G469" s="1">
        <f t="shared" si="1"/>
        <v>4</v>
      </c>
      <c r="H469" s="1">
        <f t="shared" si="2"/>
        <v>1</v>
      </c>
      <c r="I469" s="1">
        <f>IFERROR(__xludf.DUMMYFUNCTION("IF(B469="""","""",
  100*F469 / MAX(FILTER($F:$F, $A:$A=$A469, $B:$B=$B469))
)
"),1.9065776930409915)</f>
        <v>1.906577693</v>
      </c>
      <c r="J469" s="1">
        <f>IFERROR(__xludf.DUMMYFUNCTION("IF(B469="""","""",
  100*E469 / MAX(FILTER($E:$E, $A:$A=$A469, $B:$B=$B469))
)
"),2.6798874447273215)</f>
        <v>2.679887445</v>
      </c>
      <c r="K469" s="1">
        <f t="shared" si="3"/>
        <v>2.254567081</v>
      </c>
    </row>
    <row r="470">
      <c r="A470" s="3">
        <f>IFERROR(__xludf.DUMMYFUNCTION("""COMPUTED_VALUE"""),45901.0)</f>
        <v>45901</v>
      </c>
      <c r="B470" s="1" t="str">
        <f>IFERROR(__xludf.DUMMYFUNCTION("""COMPUTED_VALUE"""),"HTMall")</f>
        <v>HTMall</v>
      </c>
      <c r="C470" s="1" t="str">
        <f>IFERROR(__xludf.DUMMYFUNCTION("""COMPUTED_VALUE"""),"KitKat")</f>
        <v>KitKat</v>
      </c>
      <c r="D470" s="1">
        <f>IFERROR(__xludf.DUMMYFUNCTION("""COMPUTED_VALUE"""),33.0)</f>
        <v>33</v>
      </c>
      <c r="E470" s="1">
        <f>IFERROR(__xludf.DUMMYFUNCTION("""COMPUTED_VALUE"""),7.59)</f>
        <v>7.59</v>
      </c>
      <c r="F470" s="1">
        <f>IFERROR(__xludf.DUMMYFUNCTION("""COMPUTED_VALUE"""),7.0)</f>
        <v>7</v>
      </c>
      <c r="G470" s="1">
        <f t="shared" si="1"/>
        <v>4.714285714</v>
      </c>
      <c r="H470" s="1">
        <f t="shared" si="2"/>
        <v>1.084285714</v>
      </c>
      <c r="I470" s="1">
        <f>IFERROR(__xludf.DUMMYFUNCTION("IF(B470="""","""",
  100*F470 / MAX(FILTER($F:$F, $A:$A=$A470, $B:$B=$B470))
)
"),0.667302192564347)</f>
        <v>0.6673021926</v>
      </c>
      <c r="J470" s="1">
        <f>IFERROR(__xludf.DUMMYFUNCTION("IF(B470="""","""",
  100*E470 / MAX(FILTER($E:$E, $A:$A=$A470, $B:$B=$B470))
)
"),1.0170172852740185)</f>
        <v>1.017017285</v>
      </c>
      <c r="K470" s="1">
        <f t="shared" si="3"/>
        <v>0.8246739843</v>
      </c>
    </row>
    <row r="471">
      <c r="A471" s="3">
        <f>IFERROR(__xludf.DUMMYFUNCTION("""COMPUTED_VALUE"""),45901.0)</f>
        <v>45901</v>
      </c>
      <c r="B471" s="1" t="str">
        <f>IFERROR(__xludf.DUMMYFUNCTION("""COMPUTED_VALUE"""),"HTMall")</f>
        <v>HTMall</v>
      </c>
      <c r="C471" s="1" t="str">
        <f>IFERROR(__xludf.DUMMYFUNCTION("""COMPUTED_VALUE"""),"Laviva")</f>
        <v>Laviva</v>
      </c>
      <c r="D471" s="1">
        <f>IFERROR(__xludf.DUMMYFUNCTION("""COMPUTED_VALUE"""),117.0)</f>
        <v>117</v>
      </c>
      <c r="E471" s="1">
        <f>IFERROR(__xludf.DUMMYFUNCTION("""COMPUTED_VALUE"""),31.2)</f>
        <v>31.2</v>
      </c>
      <c r="F471" s="1">
        <f>IFERROR(__xludf.DUMMYFUNCTION("""COMPUTED_VALUE"""),39.0)</f>
        <v>39</v>
      </c>
      <c r="G471" s="1">
        <f t="shared" si="1"/>
        <v>3</v>
      </c>
      <c r="H471" s="1">
        <f t="shared" si="2"/>
        <v>0.8</v>
      </c>
      <c r="I471" s="1">
        <f>IFERROR(__xludf.DUMMYFUNCTION("IF(B471="""","""",
  100*F471 / MAX(FILTER($F:$F, $A:$A=$A471, $B:$B=$B471))
)
"),3.717826501429933)</f>
        <v>3.717826501</v>
      </c>
      <c r="J471" s="1">
        <f>IFERROR(__xludf.DUMMYFUNCTION("IF(B471="""","""",
  100*E471 / MAX(FILTER($E:$E, $A:$A=$A471, $B:$B=$B471))
)
"),4.180624413774622)</f>
        <v>4.180624414</v>
      </c>
      <c r="K471" s="1">
        <f t="shared" si="3"/>
        <v>3.926085562</v>
      </c>
    </row>
    <row r="472">
      <c r="A472" s="3">
        <f>IFERROR(__xludf.DUMMYFUNCTION("""COMPUTED_VALUE"""),45901.0)</f>
        <v>45901</v>
      </c>
      <c r="B472" s="1" t="str">
        <f>IFERROR(__xludf.DUMMYFUNCTION("""COMPUTED_VALUE"""),"HTMall")</f>
        <v>HTMall</v>
      </c>
      <c r="C472" s="1" t="str">
        <f>IFERROR(__xludf.DUMMYFUNCTION("""COMPUTED_VALUE"""),"Maltesers")</f>
        <v>Maltesers</v>
      </c>
      <c r="D472" s="1">
        <f>IFERROR(__xludf.DUMMYFUNCTION("""COMPUTED_VALUE"""),186.0)</f>
        <v>186</v>
      </c>
      <c r="E472" s="1">
        <f>IFERROR(__xludf.DUMMYFUNCTION("""COMPUTED_VALUE"""),-6.2)</f>
        <v>-6.2</v>
      </c>
      <c r="F472" s="1">
        <f>IFERROR(__xludf.DUMMYFUNCTION("""COMPUTED_VALUE"""),31.0)</f>
        <v>31</v>
      </c>
      <c r="G472" s="1">
        <f t="shared" si="1"/>
        <v>6</v>
      </c>
      <c r="H472" s="1">
        <f t="shared" si="2"/>
        <v>-0.2</v>
      </c>
      <c r="I472" s="1">
        <f>IFERROR(__xludf.DUMMYFUNCTION("IF(B472="""","""",
  100*F472 / MAX(FILTER($F:$F, $A:$A=$A472, $B:$B=$B472))
)
"),2.9551954242135365)</f>
        <v>2.955195424</v>
      </c>
      <c r="J472" s="1">
        <f>IFERROR(__xludf.DUMMYFUNCTION("IF(B472="""","""",
  100*E472 / MAX(FILTER($E:$E, $A:$A=$A472, $B:$B=$B472))
)
"),-0.8307651078654698)</f>
        <v>-0.8307651079</v>
      </c>
      <c r="K472" s="1">
        <f t="shared" si="3"/>
        <v>1.251513185</v>
      </c>
    </row>
    <row r="473">
      <c r="A473" s="3">
        <f>IFERROR(__xludf.DUMMYFUNCTION("""COMPUTED_VALUE"""),45901.0)</f>
        <v>45901</v>
      </c>
      <c r="B473" s="1" t="str">
        <f>IFERROR(__xludf.DUMMYFUNCTION("""COMPUTED_VALUE"""),"HTMall")</f>
        <v>HTMall</v>
      </c>
      <c r="C473" s="1" t="str">
        <f>IFERROR(__xludf.DUMMYFUNCTION("""COMPUTED_VALUE"""),"Mars")</f>
        <v>Mars</v>
      </c>
      <c r="D473" s="1">
        <f>IFERROR(__xludf.DUMMYFUNCTION("""COMPUTED_VALUE"""),40.0)</f>
        <v>40</v>
      </c>
      <c r="E473" s="1">
        <f>IFERROR(__xludf.DUMMYFUNCTION("""COMPUTED_VALUE"""),11.2)</f>
        <v>11.2</v>
      </c>
      <c r="F473" s="1">
        <f>IFERROR(__xludf.DUMMYFUNCTION("""COMPUTED_VALUE"""),8.0)</f>
        <v>8</v>
      </c>
      <c r="G473" s="1">
        <f t="shared" si="1"/>
        <v>5</v>
      </c>
      <c r="H473" s="1">
        <f t="shared" si="2"/>
        <v>1.4</v>
      </c>
      <c r="I473" s="1">
        <f>IFERROR(__xludf.DUMMYFUNCTION("IF(B473="""","""",
  100*F473 / MAX(FILTER($F:$F, $A:$A=$A473, $B:$B=$B473))
)
"),0.7626310772163966)</f>
        <v>0.7626310772</v>
      </c>
      <c r="J473" s="1">
        <f>IFERROR(__xludf.DUMMYFUNCTION("IF(B473="""","""",
  100*E473 / MAX(FILTER($E:$E, $A:$A=$A473, $B:$B=$B473))
)
"),1.5007369690473)</f>
        <v>1.500736969</v>
      </c>
      <c r="K473" s="1">
        <f t="shared" si="3"/>
        <v>1.094778729</v>
      </c>
    </row>
    <row r="474">
      <c r="A474" s="3">
        <f>IFERROR(__xludf.DUMMYFUNCTION("""COMPUTED_VALUE"""),45901.0)</f>
        <v>45901</v>
      </c>
      <c r="B474" s="1" t="str">
        <f>IFERROR(__xludf.DUMMYFUNCTION("""COMPUTED_VALUE"""),"HTMall")</f>
        <v>HTMall</v>
      </c>
      <c r="C474" s="1" t="str">
        <f>IFERROR(__xludf.DUMMYFUNCTION("""COMPUTED_VALUE"""),"Mirinda")</f>
        <v>Mirinda</v>
      </c>
      <c r="D474" s="1">
        <f>IFERROR(__xludf.DUMMYFUNCTION("""COMPUTED_VALUE"""),81.0)</f>
        <v>81</v>
      </c>
      <c r="E474" s="1">
        <f>IFERROR(__xludf.DUMMYFUNCTION("""COMPUTED_VALUE"""),20.25)</f>
        <v>20.25</v>
      </c>
      <c r="F474" s="1">
        <f>IFERROR(__xludf.DUMMYFUNCTION("""COMPUTED_VALUE"""),27.0)</f>
        <v>27</v>
      </c>
      <c r="G474" s="1">
        <f t="shared" si="1"/>
        <v>3</v>
      </c>
      <c r="H474" s="1">
        <f t="shared" si="2"/>
        <v>0.75</v>
      </c>
      <c r="I474" s="1">
        <f>IFERROR(__xludf.DUMMYFUNCTION("IF(B474="""","""",
  100*F474 / MAX(FILTER($F:$F, $A:$A=$A474, $B:$B=$B474))
)
"),2.573879885605338)</f>
        <v>2.573879886</v>
      </c>
      <c r="J474" s="1">
        <f>IFERROR(__xludf.DUMMYFUNCTION("IF(B474="""","""",
  100*E474 / MAX(FILTER($E:$E, $A:$A=$A474, $B:$B=$B474))
)
"),2.713386037786413)</f>
        <v>2.713386038</v>
      </c>
      <c r="K474" s="1">
        <f t="shared" si="3"/>
        <v>2.636657654</v>
      </c>
    </row>
    <row r="475">
      <c r="A475" s="3">
        <f>IFERROR(__xludf.DUMMYFUNCTION("""COMPUTED_VALUE"""),45901.0)</f>
        <v>45901</v>
      </c>
      <c r="B475" s="1" t="str">
        <f>IFERROR(__xludf.DUMMYFUNCTION("""COMPUTED_VALUE"""),"HTMall")</f>
        <v>HTMall</v>
      </c>
      <c r="C475" s="1" t="str">
        <f>IFERROR(__xludf.DUMMYFUNCTION("""COMPUTED_VALUE"""),"MrCrunch")</f>
        <v>MrCrunch</v>
      </c>
      <c r="D475" s="1">
        <f>IFERROR(__xludf.DUMMYFUNCTION("""COMPUTED_VALUE"""),145.0)</f>
        <v>145</v>
      </c>
      <c r="E475" s="1">
        <f>IFERROR(__xludf.DUMMYFUNCTION("""COMPUTED_VALUE"""),77.43)</f>
        <v>77.43</v>
      </c>
      <c r="F475" s="1">
        <f>IFERROR(__xludf.DUMMYFUNCTION("""COMPUTED_VALUE"""),29.0)</f>
        <v>29</v>
      </c>
      <c r="G475" s="1">
        <f t="shared" si="1"/>
        <v>5</v>
      </c>
      <c r="H475" s="1">
        <f t="shared" si="2"/>
        <v>2.67</v>
      </c>
      <c r="I475" s="1">
        <f>IFERROR(__xludf.DUMMYFUNCTION("IF(B475="""","""",
  100*F475 / MAX(FILTER($F:$F, $A:$A=$A475, $B:$B=$B475))
)
"),2.7645376549094376)</f>
        <v>2.764537655</v>
      </c>
      <c r="J475" s="1">
        <f>IFERROR(__xludf.DUMMYFUNCTION("IF(B475="""","""",
  100*E475 / MAX(FILTER($E:$E, $A:$A=$A475, $B:$B=$B475))
)
"),10.375184242261827)</f>
        <v>10.37518424</v>
      </c>
      <c r="K475" s="1">
        <f t="shared" si="3"/>
        <v>6.189328619</v>
      </c>
    </row>
    <row r="476">
      <c r="A476" s="3">
        <f>IFERROR(__xludf.DUMMYFUNCTION("""COMPUTED_VALUE"""),45901.0)</f>
        <v>45901</v>
      </c>
      <c r="B476" s="1" t="str">
        <f>IFERROR(__xludf.DUMMYFUNCTION("""COMPUTED_VALUE"""),"HTMall")</f>
        <v>HTMall</v>
      </c>
      <c r="C476" s="1" t="str">
        <f>IFERROR(__xludf.DUMMYFUNCTION("""COMPUTED_VALUE"""),"Pepsi")</f>
        <v>Pepsi</v>
      </c>
      <c r="D476" s="1">
        <f>IFERROR(__xludf.DUMMYFUNCTION("""COMPUTED_VALUE"""),252.0)</f>
        <v>252</v>
      </c>
      <c r="E476" s="1">
        <f>IFERROR(__xludf.DUMMYFUNCTION("""COMPUTED_VALUE"""),63.0)</f>
        <v>63</v>
      </c>
      <c r="F476" s="1">
        <f>IFERROR(__xludf.DUMMYFUNCTION("""COMPUTED_VALUE"""),84.0)</f>
        <v>84</v>
      </c>
      <c r="G476" s="1">
        <f t="shared" si="1"/>
        <v>3</v>
      </c>
      <c r="H476" s="1">
        <f t="shared" si="2"/>
        <v>0.75</v>
      </c>
      <c r="I476" s="1">
        <f>IFERROR(__xludf.DUMMYFUNCTION("IF(B476="""","""",
  100*F476 / MAX(FILTER($F:$F, $A:$A=$A476, $B:$B=$B476))
)
"),8.007626310772164)</f>
        <v>8.007626311</v>
      </c>
      <c r="J476" s="1">
        <f>IFERROR(__xludf.DUMMYFUNCTION("IF(B476="""","""",
  100*E476 / MAX(FILTER($E:$E, $A:$A=$A476, $B:$B=$B476))
)
"),8.441645450891063)</f>
        <v>8.441645451</v>
      </c>
      <c r="K476" s="1">
        <f t="shared" si="3"/>
        <v>8.202934924</v>
      </c>
    </row>
    <row r="477">
      <c r="A477" s="3">
        <f>IFERROR(__xludf.DUMMYFUNCTION("""COMPUTED_VALUE"""),45901.0)</f>
        <v>45901</v>
      </c>
      <c r="B477" s="1" t="str">
        <f>IFERROR(__xludf.DUMMYFUNCTION("""COMPUTED_VALUE"""),"HTMall")</f>
        <v>HTMall</v>
      </c>
      <c r="C477" s="1" t="str">
        <f>IFERROR(__xludf.DUMMYFUNCTION("""COMPUTED_VALUE"""),"Pepsi 500ml")</f>
        <v>Pepsi 500ml</v>
      </c>
      <c r="D477" s="1">
        <f>IFERROR(__xludf.DUMMYFUNCTION("""COMPUTED_VALUE"""),39.0)</f>
        <v>39</v>
      </c>
      <c r="E477" s="1">
        <f>IFERROR(__xludf.DUMMYFUNCTION("""COMPUTED_VALUE"""),15.21)</f>
        <v>15.21</v>
      </c>
      <c r="F477" s="1">
        <f>IFERROR(__xludf.DUMMYFUNCTION("""COMPUTED_VALUE"""),13.0)</f>
        <v>13</v>
      </c>
      <c r="G477" s="1">
        <f t="shared" si="1"/>
        <v>3</v>
      </c>
      <c r="H477" s="1">
        <f t="shared" si="2"/>
        <v>1.17</v>
      </c>
      <c r="I477" s="1">
        <f>IFERROR(__xludf.DUMMYFUNCTION("IF(B477="""","""",
  100*F477 / MAX(FILTER($F:$F, $A:$A=$A477, $B:$B=$B477))
)
"),1.2392755004766445)</f>
        <v>1.2392755</v>
      </c>
      <c r="J477" s="1">
        <f>IFERROR(__xludf.DUMMYFUNCTION("IF(B477="""","""",
  100*E477 / MAX(FILTER($E:$E, $A:$A=$A477, $B:$B=$B477))
)
"),2.038054401715128)</f>
        <v>2.038054402</v>
      </c>
      <c r="K477" s="1">
        <f t="shared" si="3"/>
        <v>1.598726006</v>
      </c>
    </row>
    <row r="478">
      <c r="A478" s="3">
        <f>IFERROR(__xludf.DUMMYFUNCTION("""COMPUTED_VALUE"""),45901.0)</f>
        <v>45901</v>
      </c>
      <c r="B478" s="1" t="str">
        <f>IFERROR(__xludf.DUMMYFUNCTION("""COMPUTED_VALUE"""),"HTMall")</f>
        <v>HTMall</v>
      </c>
      <c r="C478" s="1" t="str">
        <f>IFERROR(__xludf.DUMMYFUNCTION("""COMPUTED_VALUE"""),"Schweppes")</f>
        <v>Schweppes</v>
      </c>
      <c r="D478" s="1">
        <f>IFERROR(__xludf.DUMMYFUNCTION("""COMPUTED_VALUE"""),2.0)</f>
        <v>2</v>
      </c>
      <c r="E478" s="1">
        <f>IFERROR(__xludf.DUMMYFUNCTION("""COMPUTED_VALUE"""),0.0)</f>
        <v>0</v>
      </c>
      <c r="F478" s="1">
        <f>IFERROR(__xludf.DUMMYFUNCTION("""COMPUTED_VALUE"""),1.0)</f>
        <v>1</v>
      </c>
      <c r="G478" s="1">
        <f t="shared" si="1"/>
        <v>2</v>
      </c>
      <c r="H478" s="1">
        <f t="shared" si="2"/>
        <v>0</v>
      </c>
      <c r="I478" s="1">
        <f>IFERROR(__xludf.DUMMYFUNCTION("IF(B478="""","""",
  100*F478 / MAX(FILTER($F:$F, $A:$A=$A478, $B:$B=$B478))
)
"),0.09532888465204957)</f>
        <v>0.09532888465</v>
      </c>
      <c r="J478" s="1">
        <f>IFERROR(__xludf.DUMMYFUNCTION("IF(B478="""","""",
  100*E478 / MAX(FILTER($E:$E, $A:$A=$A478, $B:$B=$B478))
)
"),0.0)</f>
        <v>0</v>
      </c>
      <c r="K478" s="1">
        <f t="shared" si="3"/>
        <v>0.05243088656</v>
      </c>
    </row>
    <row r="479">
      <c r="A479" s="3">
        <f>IFERROR(__xludf.DUMMYFUNCTION("""COMPUTED_VALUE"""),45901.0)</f>
        <v>45901</v>
      </c>
      <c r="B479" s="1" t="str">
        <f>IFERROR(__xludf.DUMMYFUNCTION("""COMPUTED_VALUE"""),"HTMall")</f>
        <v>HTMall</v>
      </c>
      <c r="C479" s="1" t="str">
        <f>IFERROR(__xludf.DUMMYFUNCTION("""COMPUTED_VALUE"""),"Skittles")</f>
        <v>Skittles</v>
      </c>
      <c r="D479" s="1">
        <f>IFERROR(__xludf.DUMMYFUNCTION("""COMPUTED_VALUE"""),126.0)</f>
        <v>126</v>
      </c>
      <c r="E479" s="1">
        <f>IFERROR(__xludf.DUMMYFUNCTION("""COMPUTED_VALUE"""),21.06)</f>
        <v>21.06</v>
      </c>
      <c r="F479" s="1">
        <f>IFERROR(__xludf.DUMMYFUNCTION("""COMPUTED_VALUE"""),18.0)</f>
        <v>18</v>
      </c>
      <c r="G479" s="1">
        <f t="shared" si="1"/>
        <v>7</v>
      </c>
      <c r="H479" s="1">
        <f t="shared" si="2"/>
        <v>1.17</v>
      </c>
      <c r="I479" s="1">
        <f>IFERROR(__xludf.DUMMYFUNCTION("IF(B479="""","""",
  100*F479 / MAX(FILTER($F:$F, $A:$A=$A479, $B:$B=$B479))
)
"),1.7159199237368923)</f>
        <v>1.715919924</v>
      </c>
      <c r="J479" s="1">
        <f>IFERROR(__xludf.DUMMYFUNCTION("IF(B479="""","""",
  100*E479 / MAX(FILTER($E:$E, $A:$A=$A479, $B:$B=$B479))
)
"),2.8219214792978695)</f>
        <v>2.821921479</v>
      </c>
      <c r="K479" s="1">
        <f t="shared" si="3"/>
        <v>2.213620624</v>
      </c>
    </row>
    <row r="480">
      <c r="A480" s="3">
        <f>IFERROR(__xludf.DUMMYFUNCTION("""COMPUTED_VALUE"""),45901.0)</f>
        <v>45901</v>
      </c>
      <c r="B480" s="1" t="str">
        <f>IFERROR(__xludf.DUMMYFUNCTION("""COMPUTED_VALUE"""),"HTMall")</f>
        <v>HTMall</v>
      </c>
      <c r="C480" s="1" t="str">
        <f>IFERROR(__xludf.DUMMYFUNCTION("""COMPUTED_VALUE"""),"Snickers")</f>
        <v>Snickers</v>
      </c>
      <c r="D480" s="1">
        <f>IFERROR(__xludf.DUMMYFUNCTION("""COMPUTED_VALUE"""),65.0)</f>
        <v>65</v>
      </c>
      <c r="E480" s="1">
        <f>IFERROR(__xludf.DUMMYFUNCTION("""COMPUTED_VALUE"""),6.5)</f>
        <v>6.5</v>
      </c>
      <c r="F480" s="1">
        <f>IFERROR(__xludf.DUMMYFUNCTION("""COMPUTED_VALUE"""),13.0)</f>
        <v>13</v>
      </c>
      <c r="G480" s="1">
        <f t="shared" si="1"/>
        <v>5</v>
      </c>
      <c r="H480" s="1">
        <f t="shared" si="2"/>
        <v>0.5</v>
      </c>
      <c r="I480" s="1">
        <f>IFERROR(__xludf.DUMMYFUNCTION("IF(B480="""","""",
  100*F480 / MAX(FILTER($F:$F, $A:$A=$A480, $B:$B=$B480))
)
"),1.2392755004766445)</f>
        <v>1.2392755</v>
      </c>
      <c r="J480" s="1">
        <f>IFERROR(__xludf.DUMMYFUNCTION("IF(B480="""","""",
  100*E480 / MAX(FILTER($E:$E, $A:$A=$A480, $B:$B=$B480))
)
"),0.8709634195363796)</f>
        <v>0.8709634195</v>
      </c>
      <c r="K480" s="1">
        <f t="shared" si="3"/>
        <v>1.073535064</v>
      </c>
    </row>
    <row r="481">
      <c r="A481" s="3">
        <f>IFERROR(__xludf.DUMMYFUNCTION("""COMPUTED_VALUE"""),45901.0)</f>
        <v>45901</v>
      </c>
      <c r="B481" s="1" t="str">
        <f>IFERROR(__xludf.DUMMYFUNCTION("""COMPUTED_VALUE"""),"HTMall")</f>
        <v>HTMall</v>
      </c>
      <c r="C481" s="1" t="str">
        <f>IFERROR(__xludf.DUMMYFUNCTION("""COMPUTED_VALUE"""),"Tiger *12")</f>
        <v>Tiger *12</v>
      </c>
      <c r="D481" s="1">
        <f>IFERROR(__xludf.DUMMYFUNCTION("""COMPUTED_VALUE"""),870.0)</f>
        <v>870</v>
      </c>
      <c r="E481" s="1">
        <f>IFERROR(__xludf.DUMMYFUNCTION("""COMPUTED_VALUE"""),334.08)</f>
        <v>334.08</v>
      </c>
      <c r="F481" s="1">
        <f>IFERROR(__xludf.DUMMYFUNCTION("""COMPUTED_VALUE"""),174.0)</f>
        <v>174</v>
      </c>
      <c r="G481" s="1">
        <f t="shared" si="1"/>
        <v>5</v>
      </c>
      <c r="H481" s="1">
        <f t="shared" si="2"/>
        <v>1.92</v>
      </c>
      <c r="I481" s="1">
        <f>IFERROR(__xludf.DUMMYFUNCTION("IF(B481="""","""",
  100*F481 / MAX(FILTER($F:$F, $A:$A=$A481, $B:$B=$B481))
)
"),16.587225929456626)</f>
        <v>16.58722593</v>
      </c>
      <c r="J481" s="1">
        <f>IFERROR(__xludf.DUMMYFUNCTION("IF(B481="""","""",
  100*E481 / MAX(FILTER($E:$E, $A:$A=$A481, $B:$B=$B481))
)
"),44.76483987672518)</f>
        <v>44.76483988</v>
      </c>
      <c r="K481" s="1">
        <f t="shared" si="3"/>
        <v>29.26715221</v>
      </c>
    </row>
    <row r="482">
      <c r="A482" s="3">
        <f>IFERROR(__xludf.DUMMYFUNCTION("""COMPUTED_VALUE"""),45901.0)</f>
        <v>45901</v>
      </c>
      <c r="B482" s="1" t="str">
        <f>IFERROR(__xludf.DUMMYFUNCTION("""COMPUTED_VALUE"""),"HTMall")</f>
        <v>HTMall</v>
      </c>
      <c r="C482" s="1" t="str">
        <f>IFERROR(__xludf.DUMMYFUNCTION("""COMPUTED_VALUE"""),"Twix")</f>
        <v>Twix</v>
      </c>
      <c r="D482" s="1">
        <f>IFERROR(__xludf.DUMMYFUNCTION("""COMPUTED_VALUE"""),65.0)</f>
        <v>65</v>
      </c>
      <c r="E482" s="1">
        <f>IFERROR(__xludf.DUMMYFUNCTION("""COMPUTED_VALUE"""),19.5)</f>
        <v>19.5</v>
      </c>
      <c r="F482" s="1">
        <f>IFERROR(__xludf.DUMMYFUNCTION("""COMPUTED_VALUE"""),13.0)</f>
        <v>13</v>
      </c>
      <c r="G482" s="1">
        <f t="shared" si="1"/>
        <v>5</v>
      </c>
      <c r="H482" s="1">
        <f t="shared" si="2"/>
        <v>1.5</v>
      </c>
      <c r="I482" s="1">
        <f>IFERROR(__xludf.DUMMYFUNCTION("IF(B482="""","""",
  100*F482 / MAX(FILTER($F:$F, $A:$A=$A482, $B:$B=$B482))
)
"),1.2392755004766445)</f>
        <v>1.2392755</v>
      </c>
      <c r="J482" s="1">
        <f>IFERROR(__xludf.DUMMYFUNCTION("IF(B482="""","""",
  100*E482 / MAX(FILTER($E:$E, $A:$A=$A482, $B:$B=$B482))
)
"),2.6128902586091387)</f>
        <v>2.612890259</v>
      </c>
      <c r="K482" s="1">
        <f t="shared" si="3"/>
        <v>1.857402142</v>
      </c>
    </row>
    <row r="483">
      <c r="A483" s="3">
        <f>IFERROR(__xludf.DUMMYFUNCTION("""COMPUTED_VALUE"""),45901.0)</f>
        <v>45901</v>
      </c>
      <c r="B483" s="1" t="str">
        <f>IFERROR(__xludf.DUMMYFUNCTION("""COMPUTED_VALUE"""),"HTMall")</f>
        <v>HTMall</v>
      </c>
      <c r="C483" s="1" t="str">
        <f>IFERROR(__xludf.DUMMYFUNCTION("""COMPUTED_VALUE"""),"Water")</f>
        <v>Water</v>
      </c>
      <c r="D483" s="1">
        <f>IFERROR(__xludf.DUMMYFUNCTION("""COMPUTED_VALUE"""),1061.0)</f>
        <v>1061</v>
      </c>
      <c r="E483" s="1">
        <f>IFERROR(__xludf.DUMMYFUNCTION("""COMPUTED_VALUE"""),746.3)</f>
        <v>746.3</v>
      </c>
      <c r="F483" s="1">
        <f>IFERROR(__xludf.DUMMYFUNCTION("""COMPUTED_VALUE"""),1049.0)</f>
        <v>1049</v>
      </c>
      <c r="G483" s="1">
        <f t="shared" si="1"/>
        <v>1.011439466</v>
      </c>
      <c r="H483" s="1">
        <f t="shared" si="2"/>
        <v>0.7114394662</v>
      </c>
      <c r="I483" s="1">
        <f>IFERROR(__xludf.DUMMYFUNCTION("IF(B483="""","""",
  100*F483 / MAX(FILTER($F:$F, $A:$A=$A483, $B:$B=$B483))
)
"),100.0)</f>
        <v>100</v>
      </c>
      <c r="J483" s="1">
        <f>IFERROR(__xludf.DUMMYFUNCTION("IF(B483="""","""",
  100*E483 / MAX(FILTER($E:$E, $A:$A=$A483, $B:$B=$B483))
)
"),100.0)</f>
        <v>100</v>
      </c>
      <c r="K483" s="1">
        <f t="shared" si="3"/>
        <v>100</v>
      </c>
    </row>
    <row r="484">
      <c r="A484" s="3">
        <f>IFERROR(__xludf.DUMMYFUNCTION("""COMPUTED_VALUE"""),45901.0)</f>
        <v>45901</v>
      </c>
      <c r="B484" s="1" t="str">
        <f>IFERROR(__xludf.DUMMYFUNCTION("""COMPUTED_VALUE"""),"HTMall")</f>
        <v>HTMall</v>
      </c>
      <c r="C484" s="1" t="str">
        <f>IFERROR(__xludf.DUMMYFUNCTION("""COMPUTED_VALUE"""),"X!R")</f>
        <v>X!R</v>
      </c>
      <c r="D484" s="1">
        <f>IFERROR(__xludf.DUMMYFUNCTION("""COMPUTED_VALUE"""),275.0)</f>
        <v>275</v>
      </c>
      <c r="E484" s="1">
        <f>IFERROR(__xludf.DUMMYFUNCTION("""COMPUTED_VALUE"""),82.5)</f>
        <v>82.5</v>
      </c>
      <c r="F484" s="1">
        <f>IFERROR(__xludf.DUMMYFUNCTION("""COMPUTED_VALUE"""),55.0)</f>
        <v>55</v>
      </c>
      <c r="G484" s="1">
        <f t="shared" si="1"/>
        <v>5</v>
      </c>
      <c r="H484" s="1">
        <f t="shared" si="2"/>
        <v>1.5</v>
      </c>
      <c r="I484" s="1">
        <f>IFERROR(__xludf.DUMMYFUNCTION("IF(B484="""","""",
  100*F484 / MAX(FILTER($F:$F, $A:$A=$A484, $B:$B=$B484))
)
"),5.243088655862726)</f>
        <v>5.243088656</v>
      </c>
      <c r="J484" s="1">
        <f>IFERROR(__xludf.DUMMYFUNCTION("IF(B484="""","""",
  100*E484 / MAX(FILTER($E:$E, $A:$A=$A484, $B:$B=$B484))
)
"),11.054535709500202)</f>
        <v>11.05453571</v>
      </c>
      <c r="K484" s="1">
        <f t="shared" si="3"/>
        <v>7.85823983</v>
      </c>
    </row>
    <row r="485">
      <c r="A485" s="3">
        <f>IFERROR(__xludf.DUMMYFUNCTION("""COMPUTED_VALUE"""),45901.0)</f>
        <v>45901</v>
      </c>
      <c r="B485" s="1" t="str">
        <f>IFERROR(__xludf.DUMMYFUNCTION("""COMPUTED_VALUE"""),"HTMall")</f>
        <v>HTMall</v>
      </c>
      <c r="C485" s="1" t="str">
        <f>IFERROR(__xludf.DUMMYFUNCTION("""COMPUTED_VALUE"""),"bonart")</f>
        <v>bonart</v>
      </c>
      <c r="D485" s="1">
        <f>IFERROR(__xludf.DUMMYFUNCTION("""COMPUTED_VALUE"""),671.0)</f>
        <v>671</v>
      </c>
      <c r="E485" s="1">
        <f>IFERROR(__xludf.DUMMYFUNCTION("""COMPUTED_VALUE"""),5.24)</f>
        <v>5.24</v>
      </c>
      <c r="F485" s="1">
        <f>IFERROR(__xludf.DUMMYFUNCTION("""COMPUTED_VALUE"""),228.0)</f>
        <v>228</v>
      </c>
      <c r="G485" s="1">
        <f t="shared" si="1"/>
        <v>2.942982456</v>
      </c>
      <c r="H485" s="1">
        <f t="shared" si="2"/>
        <v>0.02298245614</v>
      </c>
      <c r="I485" s="1">
        <f>IFERROR(__xludf.DUMMYFUNCTION("IF(B485="""","""",
  100*F485 / MAX(FILTER($F:$F, $A:$A=$A485, $B:$B=$B485))
)
"),21.734985700667302)</f>
        <v>21.7349857</v>
      </c>
      <c r="J485" s="1">
        <f>IFERROR(__xludf.DUMMYFUNCTION("IF(B485="""","""",
  100*E485 / MAX(FILTER($E:$E, $A:$A=$A485, $B:$B=$B485))
)
"),0.7021305105185582)</f>
        <v>0.7021305105</v>
      </c>
      <c r="K485" s="1">
        <f t="shared" si="3"/>
        <v>12.27020087</v>
      </c>
    </row>
    <row r="486">
      <c r="A486" s="3">
        <f>IFERROR(__xludf.DUMMYFUNCTION("""COMPUTED_VALUE"""),45901.0)</f>
        <v>45901</v>
      </c>
      <c r="B486" s="1" t="str">
        <f>IFERROR(__xludf.DUMMYFUNCTION("""COMPUTED_VALUE"""),"HTMall")</f>
        <v>HTMall</v>
      </c>
      <c r="C486" s="1" t="str">
        <f>IFERROR(__xludf.DUMMYFUNCTION("""COMPUTED_VALUE"""),"kinza")</f>
        <v>kinza</v>
      </c>
      <c r="D486" s="1">
        <f>IFERROR(__xludf.DUMMYFUNCTION("""COMPUTED_VALUE"""),478.0)</f>
        <v>478</v>
      </c>
      <c r="E486" s="1">
        <f>IFERROR(__xludf.DUMMYFUNCTION("""COMPUTED_VALUE"""),109.94)</f>
        <v>109.94</v>
      </c>
      <c r="F486" s="1">
        <f>IFERROR(__xludf.DUMMYFUNCTION("""COMPUTED_VALUE"""),239.0)</f>
        <v>239</v>
      </c>
      <c r="G486" s="1">
        <f t="shared" si="1"/>
        <v>2</v>
      </c>
      <c r="H486" s="1">
        <f t="shared" si="2"/>
        <v>0.46</v>
      </c>
      <c r="I486" s="1">
        <f>IFERROR(__xludf.DUMMYFUNCTION("IF(B486="""","""",
  100*F486 / MAX(FILTER($F:$F, $A:$A=$A486, $B:$B=$B486))
)
"),22.783603431839847)</f>
        <v>22.78360343</v>
      </c>
      <c r="J486" s="1">
        <f>IFERROR(__xludf.DUMMYFUNCTION("IF(B486="""","""",
  100*E486 / MAX(FILTER($E:$E, $A:$A=$A486, $B:$B=$B486))
)
"),14.731341283666087)</f>
        <v>14.73134128</v>
      </c>
      <c r="K486" s="1">
        <f t="shared" si="3"/>
        <v>19.16008547</v>
      </c>
    </row>
    <row r="487">
      <c r="A487" s="3">
        <f>IFERROR(__xludf.DUMMYFUNCTION("""COMPUTED_VALUE"""),45901.0)</f>
        <v>45901</v>
      </c>
      <c r="B487" s="1" t="str">
        <f>IFERROR(__xludf.DUMMYFUNCTION("""COMPUTED_VALUE"""),"HTMall")</f>
        <v>HTMall</v>
      </c>
      <c r="C487" s="1" t="str">
        <f>IFERROR(__xludf.DUMMYFUNCTION("""COMPUTED_VALUE"""),"mr bite")</f>
        <v>mr bite</v>
      </c>
      <c r="D487" s="1">
        <f>IFERROR(__xludf.DUMMYFUNCTION("""COMPUTED_VALUE"""),216.0)</f>
        <v>216</v>
      </c>
      <c r="E487" s="1">
        <f>IFERROR(__xludf.DUMMYFUNCTION("""COMPUTED_VALUE"""),72.36)</f>
        <v>72.36</v>
      </c>
      <c r="F487" s="1">
        <f>IFERROR(__xludf.DUMMYFUNCTION("""COMPUTED_VALUE"""),108.0)</f>
        <v>108</v>
      </c>
      <c r="G487" s="1">
        <f t="shared" si="1"/>
        <v>2</v>
      </c>
      <c r="H487" s="1">
        <f t="shared" si="2"/>
        <v>0.67</v>
      </c>
      <c r="I487" s="1">
        <f>IFERROR(__xludf.DUMMYFUNCTION("IF(B487="""","""",
  100*F487 / MAX(FILTER($F:$F, $A:$A=$A487, $B:$B=$B487))
)
"),10.295519542421353)</f>
        <v>10.29551954</v>
      </c>
      <c r="J487" s="1">
        <f>IFERROR(__xludf.DUMMYFUNCTION("IF(B487="""","""",
  100*E487 / MAX(FILTER($E:$E, $A:$A=$A487, $B:$B=$B487))
)
"),9.69583277502345)</f>
        <v>9.695832775</v>
      </c>
      <c r="K487" s="1">
        <f t="shared" si="3"/>
        <v>10.0256605</v>
      </c>
    </row>
    <row r="488">
      <c r="A488" s="3">
        <f>IFERROR(__xludf.DUMMYFUNCTION("""COMPUTED_VALUE"""),45901.0)</f>
        <v>45901</v>
      </c>
      <c r="B488" s="1" t="str">
        <f>IFERROR(__xludf.DUMMYFUNCTION("""COMPUTED_VALUE"""),"HTMall")</f>
        <v>HTMall</v>
      </c>
      <c r="C488" s="1" t="str">
        <f>IFERROR(__xludf.DUMMYFUNCTION("""COMPUTED_VALUE"""),"sunTop")</f>
        <v>sunTop</v>
      </c>
      <c r="D488" s="1">
        <f>IFERROR(__xludf.DUMMYFUNCTION("""COMPUTED_VALUE"""),333.0)</f>
        <v>333</v>
      </c>
      <c r="E488" s="1">
        <f>IFERROR(__xludf.DUMMYFUNCTION("""COMPUTED_VALUE"""),133.2)</f>
        <v>133.2</v>
      </c>
      <c r="F488" s="1">
        <f>IFERROR(__xludf.DUMMYFUNCTION("""COMPUTED_VALUE"""),333.0)</f>
        <v>333</v>
      </c>
      <c r="G488" s="1">
        <f t="shared" si="1"/>
        <v>1</v>
      </c>
      <c r="H488" s="1">
        <f t="shared" si="2"/>
        <v>0.4</v>
      </c>
      <c r="I488" s="1">
        <f>IFERROR(__xludf.DUMMYFUNCTION("IF(B488="""","""",
  100*F488 / MAX(FILTER($F:$F, $A:$A=$A488, $B:$B=$B488))
)
"),31.744518589132507)</f>
        <v>31.74451859</v>
      </c>
      <c r="J488" s="1">
        <f>IFERROR(__xludf.DUMMYFUNCTION("IF(B488="""","""",
  100*E488 / MAX(FILTER($E:$E, $A:$A=$A488, $B:$B=$B488))
)
"),17.848050381883958)</f>
        <v>17.84805038</v>
      </c>
      <c r="K488" s="1">
        <f t="shared" si="3"/>
        <v>25.4911079</v>
      </c>
    </row>
    <row r="489">
      <c r="A489" s="3">
        <f>IFERROR(__xludf.DUMMYFUNCTION("""COMPUTED_VALUE"""),45901.0)</f>
        <v>45901</v>
      </c>
      <c r="B489" s="1" t="str">
        <f>IFERROR(__xludf.DUMMYFUNCTION("""COMPUTED_VALUE"""),"HospAlmoa")</f>
        <v>HospAlmoa</v>
      </c>
      <c r="C489" s="1" t="str">
        <f>IFERROR(__xludf.DUMMYFUNCTION("""COMPUTED_VALUE"""),"7up")</f>
        <v>7up</v>
      </c>
      <c r="D489" s="1">
        <f>IFERROR(__xludf.DUMMYFUNCTION("""COMPUTED_VALUE"""),30.0)</f>
        <v>30</v>
      </c>
      <c r="E489" s="1">
        <f>IFERROR(__xludf.DUMMYFUNCTION("""COMPUTED_VALUE"""),7.5)</f>
        <v>7.5</v>
      </c>
      <c r="F489" s="1">
        <f>IFERROR(__xludf.DUMMYFUNCTION("""COMPUTED_VALUE"""),10.0)</f>
        <v>10</v>
      </c>
      <c r="G489" s="1">
        <f t="shared" si="1"/>
        <v>3</v>
      </c>
      <c r="H489" s="1">
        <f t="shared" si="2"/>
        <v>0.75</v>
      </c>
      <c r="I489" s="1">
        <f>IFERROR(__xludf.DUMMYFUNCTION("IF(B489="""","""",
  100*F489 / MAX(FILTER($F:$F, $A:$A=$A489, $B:$B=$B489))
)
"),2.9239766081871346)</f>
        <v>2.923976608</v>
      </c>
      <c r="J489" s="1">
        <f>IFERROR(__xludf.DUMMYFUNCTION("IF(B489="""","""",
  100*E489 / MAX(FILTER($E:$E, $A:$A=$A489, $B:$B=$B489))
)
"),3.132832080200501)</f>
        <v>3.13283208</v>
      </c>
      <c r="K489" s="1">
        <f t="shared" si="3"/>
        <v>3.017961571</v>
      </c>
    </row>
    <row r="490">
      <c r="A490" s="3">
        <f>IFERROR(__xludf.DUMMYFUNCTION("""COMPUTED_VALUE"""),45901.0)</f>
        <v>45901</v>
      </c>
      <c r="B490" s="1" t="str">
        <f>IFERROR(__xludf.DUMMYFUNCTION("""COMPUTED_VALUE"""),"HospAlmoa")</f>
        <v>HospAlmoa</v>
      </c>
      <c r="C490" s="1" t="str">
        <f>IFERROR(__xludf.DUMMYFUNCTION("""COMPUTED_VALUE"""),"Almarai Chocolate")</f>
        <v>Almarai Chocolate</v>
      </c>
      <c r="D490" s="1">
        <f>IFERROR(__xludf.DUMMYFUNCTION("""COMPUTED_VALUE"""),153.0)</f>
        <v>153</v>
      </c>
      <c r="E490" s="1">
        <f>IFERROR(__xludf.DUMMYFUNCTION("""COMPUTED_VALUE"""),51.0)</f>
        <v>51</v>
      </c>
      <c r="F490" s="1">
        <f>IFERROR(__xludf.DUMMYFUNCTION("""COMPUTED_VALUE"""),51.0)</f>
        <v>51</v>
      </c>
      <c r="G490" s="1">
        <f t="shared" si="1"/>
        <v>3</v>
      </c>
      <c r="H490" s="1">
        <f t="shared" si="2"/>
        <v>1</v>
      </c>
      <c r="I490" s="1">
        <f>IFERROR(__xludf.DUMMYFUNCTION("IF(B490="""","""",
  100*F490 / MAX(FILTER($F:$F, $A:$A=$A490, $B:$B=$B490))
)
"),14.912280701754385)</f>
        <v>14.9122807</v>
      </c>
      <c r="J490" s="1">
        <f>IFERROR(__xludf.DUMMYFUNCTION("IF(B490="""","""",
  100*E490 / MAX(FILTER($E:$E, $A:$A=$A490, $B:$B=$B490))
)
"),21.303258145363408)</f>
        <v>21.30325815</v>
      </c>
      <c r="K490" s="1">
        <f t="shared" si="3"/>
        <v>17.78822055</v>
      </c>
    </row>
    <row r="491">
      <c r="A491" s="3">
        <f>IFERROR(__xludf.DUMMYFUNCTION("""COMPUTED_VALUE"""),45901.0)</f>
        <v>45901</v>
      </c>
      <c r="B491" s="1" t="str">
        <f>IFERROR(__xludf.DUMMYFUNCTION("""COMPUTED_VALUE"""),"HospAlmoa")</f>
        <v>HospAlmoa</v>
      </c>
      <c r="C491" s="1" t="str">
        <f>IFERROR(__xludf.DUMMYFUNCTION("""COMPUTED_VALUE"""),"Bourbon biscuit")</f>
        <v>Bourbon biscuit</v>
      </c>
      <c r="D491" s="1">
        <f>IFERROR(__xludf.DUMMYFUNCTION("""COMPUTED_VALUE"""),37.0)</f>
        <v>37</v>
      </c>
      <c r="E491" s="1">
        <f>IFERROR(__xludf.DUMMYFUNCTION("""COMPUTED_VALUE"""),8.8)</f>
        <v>8.8</v>
      </c>
      <c r="F491" s="1">
        <f>IFERROR(__xludf.DUMMYFUNCTION("""COMPUTED_VALUE"""),6.0)</f>
        <v>6</v>
      </c>
      <c r="G491" s="1">
        <f t="shared" si="1"/>
        <v>6.166666667</v>
      </c>
      <c r="H491" s="1">
        <f t="shared" si="2"/>
        <v>1.466666667</v>
      </c>
      <c r="I491" s="1">
        <f>IFERROR(__xludf.DUMMYFUNCTION("IF(B491="""","""",
  100*F491 / MAX(FILTER($F:$F, $A:$A=$A491, $B:$B=$B491))
)
"),1.7543859649122806)</f>
        <v>1.754385965</v>
      </c>
      <c r="J491" s="1">
        <f>IFERROR(__xludf.DUMMYFUNCTION("IF(B491="""","""",
  100*E491 / MAX(FILTER($E:$E, $A:$A=$A491, $B:$B=$B491))
)
"),3.675856307435255)</f>
        <v>3.675856307</v>
      </c>
      <c r="K491" s="1">
        <f t="shared" si="3"/>
        <v>2.619047619</v>
      </c>
    </row>
    <row r="492">
      <c r="A492" s="3">
        <f>IFERROR(__xludf.DUMMYFUNCTION("""COMPUTED_VALUE"""),45901.0)</f>
        <v>45901</v>
      </c>
      <c r="B492" s="1" t="str">
        <f>IFERROR(__xludf.DUMMYFUNCTION("""COMPUTED_VALUE"""),"HospAlmoa")</f>
        <v>HospAlmoa</v>
      </c>
      <c r="C492" s="1" t="str">
        <f>IFERROR(__xludf.DUMMYFUNCTION("""COMPUTED_VALUE"""),"Caser Juice")</f>
        <v>Caser Juice</v>
      </c>
      <c r="D492" s="1">
        <f>IFERROR(__xludf.DUMMYFUNCTION("""COMPUTED_VALUE"""),170.0)</f>
        <v>170</v>
      </c>
      <c r="E492" s="1">
        <f>IFERROR(__xludf.DUMMYFUNCTION("""COMPUTED_VALUE"""),29.58)</f>
        <v>29.58</v>
      </c>
      <c r="F492" s="1">
        <f>IFERROR(__xludf.DUMMYFUNCTION("""COMPUTED_VALUE"""),34.0)</f>
        <v>34</v>
      </c>
      <c r="G492" s="1">
        <f t="shared" si="1"/>
        <v>5</v>
      </c>
      <c r="H492" s="1">
        <f t="shared" si="2"/>
        <v>0.87</v>
      </c>
      <c r="I492" s="1">
        <f>IFERROR(__xludf.DUMMYFUNCTION("IF(B492="""","""",
  100*F492 / MAX(FILTER($F:$F, $A:$A=$A492, $B:$B=$B492))
)
"),9.941520467836257)</f>
        <v>9.941520468</v>
      </c>
      <c r="J492" s="1">
        <f>IFERROR(__xludf.DUMMYFUNCTION("IF(B492="""","""",
  100*E492 / MAX(FILTER($E:$E, $A:$A=$A492, $B:$B=$B492))
)
"),12.355889724310776)</f>
        <v>12.35588972</v>
      </c>
      <c r="K492" s="1">
        <f t="shared" si="3"/>
        <v>11.02798663</v>
      </c>
    </row>
    <row r="493">
      <c r="A493" s="3">
        <f>IFERROR(__xludf.DUMMYFUNCTION("""COMPUTED_VALUE"""),45901.0)</f>
        <v>45901</v>
      </c>
      <c r="B493" s="1" t="str">
        <f>IFERROR(__xludf.DUMMYFUNCTION("""COMPUTED_VALUE"""),"HospAlmoa")</f>
        <v>HospAlmoa</v>
      </c>
      <c r="C493" s="1" t="str">
        <f>IFERROR(__xludf.DUMMYFUNCTION("""COMPUTED_VALUE"""),"Corissant Karuzo")</f>
        <v>Corissant Karuzo</v>
      </c>
      <c r="D493" s="1">
        <f>IFERROR(__xludf.DUMMYFUNCTION("""COMPUTED_VALUE"""),33.0)</f>
        <v>33</v>
      </c>
      <c r="E493" s="1">
        <f>IFERROR(__xludf.DUMMYFUNCTION("""COMPUTED_VALUE"""),18.37)</f>
        <v>18.37</v>
      </c>
      <c r="F493" s="1">
        <f>IFERROR(__xludf.DUMMYFUNCTION("""COMPUTED_VALUE"""),11.0)</f>
        <v>11</v>
      </c>
      <c r="G493" s="1">
        <f t="shared" si="1"/>
        <v>3</v>
      </c>
      <c r="H493" s="1">
        <f t="shared" si="2"/>
        <v>1.67</v>
      </c>
      <c r="I493" s="1">
        <f>IFERROR(__xludf.DUMMYFUNCTION("IF(B493="""","""",
  100*F493 / MAX(FILTER($F:$F, $A:$A=$A493, $B:$B=$B493))
)
"),3.216374269005848)</f>
        <v>3.216374269</v>
      </c>
      <c r="J493" s="1">
        <f>IFERROR(__xludf.DUMMYFUNCTION("IF(B493="""","""",
  100*E493 / MAX(FILTER($E:$E, $A:$A=$A493, $B:$B=$B493))
)
"),7.673350041771094)</f>
        <v>7.673350042</v>
      </c>
      <c r="K493" s="1">
        <f t="shared" si="3"/>
        <v>5.222013367</v>
      </c>
    </row>
    <row r="494">
      <c r="A494" s="3">
        <f>IFERROR(__xludf.DUMMYFUNCTION("""COMPUTED_VALUE"""),45901.0)</f>
        <v>45901</v>
      </c>
      <c r="B494" s="1" t="str">
        <f>IFERROR(__xludf.DUMMYFUNCTION("""COMPUTED_VALUE"""),"HospAlmoa")</f>
        <v>HospAlmoa</v>
      </c>
      <c r="C494" s="1" t="str">
        <f>IFERROR(__xludf.DUMMYFUNCTION("""COMPUTED_VALUE"""),"Digestive")</f>
        <v>Digestive</v>
      </c>
      <c r="D494" s="1">
        <f>IFERROR(__xludf.DUMMYFUNCTION("""COMPUTED_VALUE"""),70.0)</f>
        <v>70</v>
      </c>
      <c r="E494" s="1">
        <f>IFERROR(__xludf.DUMMYFUNCTION("""COMPUTED_VALUE"""),25.9)</f>
        <v>25.9</v>
      </c>
      <c r="F494" s="1">
        <f>IFERROR(__xludf.DUMMYFUNCTION("""COMPUTED_VALUE"""),70.0)</f>
        <v>70</v>
      </c>
      <c r="G494" s="1">
        <f t="shared" si="1"/>
        <v>1</v>
      </c>
      <c r="H494" s="1">
        <f t="shared" si="2"/>
        <v>0.37</v>
      </c>
      <c r="I494" s="1">
        <f>IFERROR(__xludf.DUMMYFUNCTION("IF(B494="""","""",
  100*F494 / MAX(FILTER($F:$F, $A:$A=$A494, $B:$B=$B494))
)
"),20.46783625730994)</f>
        <v>20.46783626</v>
      </c>
      <c r="J494" s="1">
        <f>IFERROR(__xludf.DUMMYFUNCTION("IF(B494="""","""",
  100*E494 / MAX(FILTER($E:$E, $A:$A=$A494, $B:$B=$B494))
)
"),10.818713450292398)</f>
        <v>10.81871345</v>
      </c>
      <c r="K494" s="1">
        <f t="shared" si="3"/>
        <v>16.12573099</v>
      </c>
    </row>
    <row r="495">
      <c r="A495" s="3">
        <f>IFERROR(__xludf.DUMMYFUNCTION("""COMPUTED_VALUE"""),45901.0)</f>
        <v>45901</v>
      </c>
      <c r="B495" s="1" t="str">
        <f>IFERROR(__xludf.DUMMYFUNCTION("""COMPUTED_VALUE"""),"HospAlmoa")</f>
        <v>HospAlmoa</v>
      </c>
      <c r="C495" s="1" t="str">
        <f>IFERROR(__xludf.DUMMYFUNCTION("""COMPUTED_VALUE"""),"Doritos cool ranc")</f>
        <v>Doritos cool ranc</v>
      </c>
      <c r="D495" s="1">
        <f>IFERROR(__xludf.DUMMYFUNCTION("""COMPUTED_VALUE"""),171.0)</f>
        <v>171</v>
      </c>
      <c r="E495" s="1">
        <f>IFERROR(__xludf.DUMMYFUNCTION("""COMPUTED_VALUE"""),75.8)</f>
        <v>75.8</v>
      </c>
      <c r="F495" s="1">
        <f>IFERROR(__xludf.DUMMYFUNCTION("""COMPUTED_VALUE"""),34.0)</f>
        <v>34</v>
      </c>
      <c r="G495" s="1">
        <f t="shared" si="1"/>
        <v>5.029411765</v>
      </c>
      <c r="H495" s="1">
        <f t="shared" si="2"/>
        <v>2.229411765</v>
      </c>
      <c r="I495" s="1">
        <f>IFERROR(__xludf.DUMMYFUNCTION("IF(B495="""","""",
  100*F495 / MAX(FILTER($F:$F, $A:$A=$A495, $B:$B=$B495))
)
"),9.941520467836257)</f>
        <v>9.941520468</v>
      </c>
      <c r="J495" s="1">
        <f>IFERROR(__xludf.DUMMYFUNCTION("IF(B495="""","""",
  100*E495 / MAX(FILTER($E:$E, $A:$A=$A495, $B:$B=$B495))
)
"),31.662489557226397)</f>
        <v>31.66248956</v>
      </c>
      <c r="K495" s="1">
        <f t="shared" si="3"/>
        <v>19.71595656</v>
      </c>
    </row>
    <row r="496">
      <c r="A496" s="3">
        <f>IFERROR(__xludf.DUMMYFUNCTION("""COMPUTED_VALUE"""),45901.0)</f>
        <v>45901</v>
      </c>
      <c r="B496" s="1" t="str">
        <f>IFERROR(__xludf.DUMMYFUNCTION("""COMPUTED_VALUE"""),"HospAlmoa")</f>
        <v>HospAlmoa</v>
      </c>
      <c r="C496" s="1" t="str">
        <f>IFERROR(__xludf.DUMMYFUNCTION("""COMPUTED_VALUE"""),"Freez")</f>
        <v>Freez</v>
      </c>
      <c r="D496" s="1">
        <f>IFERROR(__xludf.DUMMYFUNCTION("""COMPUTED_VALUE"""),95.0)</f>
        <v>95</v>
      </c>
      <c r="E496" s="1">
        <f>IFERROR(__xludf.DUMMYFUNCTION("""COMPUTED_VALUE"""),30.21)</f>
        <v>30.21</v>
      </c>
      <c r="F496" s="1">
        <f>IFERROR(__xludf.DUMMYFUNCTION("""COMPUTED_VALUE"""),19.0)</f>
        <v>19</v>
      </c>
      <c r="G496" s="1">
        <f t="shared" si="1"/>
        <v>5</v>
      </c>
      <c r="H496" s="1">
        <f t="shared" si="2"/>
        <v>1.59</v>
      </c>
      <c r="I496" s="1">
        <f>IFERROR(__xludf.DUMMYFUNCTION("IF(B496="""","""",
  100*F496 / MAX(FILTER($F:$F, $A:$A=$A496, $B:$B=$B496))
)
"),5.555555555555555)</f>
        <v>5.555555556</v>
      </c>
      <c r="J496" s="1">
        <f>IFERROR(__xludf.DUMMYFUNCTION("IF(B496="""","""",
  100*E496 / MAX(FILTER($E:$E, $A:$A=$A496, $B:$B=$B496))
)
"),12.619047619047619)</f>
        <v>12.61904762</v>
      </c>
      <c r="K496" s="1">
        <f t="shared" si="3"/>
        <v>8.734126984</v>
      </c>
    </row>
    <row r="497">
      <c r="A497" s="3">
        <f>IFERROR(__xludf.DUMMYFUNCTION("""COMPUTED_VALUE"""),45901.0)</f>
        <v>45901</v>
      </c>
      <c r="B497" s="1" t="str">
        <f>IFERROR(__xludf.DUMMYFUNCTION("""COMPUTED_VALUE"""),"HospAlmoa")</f>
        <v>HospAlmoa</v>
      </c>
      <c r="C497" s="1" t="str">
        <f>IFERROR(__xludf.DUMMYFUNCTION("""COMPUTED_VALUE"""),"Green")</f>
        <v>Green</v>
      </c>
      <c r="D497" s="1">
        <f>IFERROR(__xludf.DUMMYFUNCTION("""COMPUTED_VALUE"""),8.0)</f>
        <v>8</v>
      </c>
      <c r="E497" s="1">
        <f>IFERROR(__xludf.DUMMYFUNCTION("""COMPUTED_VALUE"""),2.08)</f>
        <v>2.08</v>
      </c>
      <c r="F497" s="1">
        <f>IFERROR(__xludf.DUMMYFUNCTION("""COMPUTED_VALUE"""),2.0)</f>
        <v>2</v>
      </c>
      <c r="G497" s="1">
        <f t="shared" si="1"/>
        <v>4</v>
      </c>
      <c r="H497" s="1">
        <f t="shared" si="2"/>
        <v>1.04</v>
      </c>
      <c r="I497" s="1">
        <f>IFERROR(__xludf.DUMMYFUNCTION("IF(B497="""","""",
  100*F497 / MAX(FILTER($F:$F, $A:$A=$A497, $B:$B=$B497))
)
"),0.5847953216374269)</f>
        <v>0.5847953216</v>
      </c>
      <c r="J497" s="1">
        <f>IFERROR(__xludf.DUMMYFUNCTION("IF(B497="""","""",
  100*E497 / MAX(FILTER($E:$E, $A:$A=$A497, $B:$B=$B497))
)
"),0.8688387635756056)</f>
        <v>0.8688387636</v>
      </c>
      <c r="K497" s="1">
        <f t="shared" si="3"/>
        <v>0.7126148705</v>
      </c>
    </row>
    <row r="498">
      <c r="A498" s="3">
        <f>IFERROR(__xludf.DUMMYFUNCTION("""COMPUTED_VALUE"""),45901.0)</f>
        <v>45901</v>
      </c>
      <c r="B498" s="1" t="str">
        <f>IFERROR(__xludf.DUMMYFUNCTION("""COMPUTED_VALUE"""),"HospAlmoa")</f>
        <v>HospAlmoa</v>
      </c>
      <c r="C498" s="1" t="str">
        <f>IFERROR(__xludf.DUMMYFUNCTION("""COMPUTED_VALUE"""),"Ivsar water")</f>
        <v>Ivsar water</v>
      </c>
      <c r="D498" s="1">
        <f>IFERROR(__xludf.DUMMYFUNCTION("""COMPUTED_VALUE"""),8.0)</f>
        <v>8</v>
      </c>
      <c r="E498" s="1">
        <f>IFERROR(__xludf.DUMMYFUNCTION("""COMPUTED_VALUE"""),2.76)</f>
        <v>2.76</v>
      </c>
      <c r="F498" s="1">
        <f>IFERROR(__xludf.DUMMYFUNCTION("""COMPUTED_VALUE"""),2.0)</f>
        <v>2</v>
      </c>
      <c r="G498" s="1">
        <f t="shared" si="1"/>
        <v>4</v>
      </c>
      <c r="H498" s="1">
        <f t="shared" si="2"/>
        <v>1.38</v>
      </c>
      <c r="I498" s="1">
        <f>IFERROR(__xludf.DUMMYFUNCTION("IF(B498="""","""",
  100*F498 / MAX(FILTER($F:$F, $A:$A=$A498, $B:$B=$B498))
)
"),0.5847953216374269)</f>
        <v>0.5847953216</v>
      </c>
      <c r="J498" s="1">
        <f>IFERROR(__xludf.DUMMYFUNCTION("IF(B498="""","""",
  100*E498 / MAX(FILTER($E:$E, $A:$A=$A498, $B:$B=$B498))
)
"),1.1528822055137844)</f>
        <v>1.152882206</v>
      </c>
      <c r="K498" s="1">
        <f t="shared" si="3"/>
        <v>0.8404344194</v>
      </c>
    </row>
    <row r="499">
      <c r="A499" s="3">
        <f>IFERROR(__xludf.DUMMYFUNCTION("""COMPUTED_VALUE"""),45901.0)</f>
        <v>45901</v>
      </c>
      <c r="B499" s="1" t="str">
        <f>IFERROR(__xludf.DUMMYFUNCTION("""COMPUTED_VALUE"""),"HospAlmoa")</f>
        <v>HospAlmoa</v>
      </c>
      <c r="C499" s="1" t="str">
        <f>IFERROR(__xludf.DUMMYFUNCTION("""COMPUTED_VALUE"""),"Justo Drink")</f>
        <v>Justo Drink</v>
      </c>
      <c r="D499" s="1">
        <f>IFERROR(__xludf.DUMMYFUNCTION("""COMPUTED_VALUE"""),8.0)</f>
        <v>8</v>
      </c>
      <c r="E499" s="1">
        <f>IFERROR(__xludf.DUMMYFUNCTION("""COMPUTED_VALUE"""),4.0)</f>
        <v>4</v>
      </c>
      <c r="F499" s="1">
        <f>IFERROR(__xludf.DUMMYFUNCTION("""COMPUTED_VALUE"""),4.0)</f>
        <v>4</v>
      </c>
      <c r="G499" s="1">
        <f t="shared" si="1"/>
        <v>2</v>
      </c>
      <c r="H499" s="1">
        <f t="shared" si="2"/>
        <v>1</v>
      </c>
      <c r="I499" s="1">
        <f>IFERROR(__xludf.DUMMYFUNCTION("IF(B499="""","""",
  100*F499 / MAX(FILTER($F:$F, $A:$A=$A499, $B:$B=$B499))
)
"),1.1695906432748537)</f>
        <v>1.169590643</v>
      </c>
      <c r="J499" s="1">
        <f>IFERROR(__xludf.DUMMYFUNCTION("IF(B499="""","""",
  100*E499 / MAX(FILTER($E:$E, $A:$A=$A499, $B:$B=$B499))
)
"),1.670843776106934)</f>
        <v>1.670843776</v>
      </c>
      <c r="K499" s="1">
        <f t="shared" si="3"/>
        <v>1.395154553</v>
      </c>
    </row>
    <row r="500">
      <c r="A500" s="3">
        <f>IFERROR(__xludf.DUMMYFUNCTION("""COMPUTED_VALUE"""),45901.0)</f>
        <v>45901</v>
      </c>
      <c r="B500" s="1" t="str">
        <f>IFERROR(__xludf.DUMMYFUNCTION("""COMPUTED_VALUE"""),"HospAlmoa")</f>
        <v>HospAlmoa</v>
      </c>
      <c r="C500" s="1" t="str">
        <f>IFERROR(__xludf.DUMMYFUNCTION("""COMPUTED_VALUE"""),"Kinder Bueno")</f>
        <v>Kinder Bueno</v>
      </c>
      <c r="D500" s="1">
        <f>IFERROR(__xludf.DUMMYFUNCTION("""COMPUTED_VALUE"""),306.0)</f>
        <v>306</v>
      </c>
      <c r="E500" s="1">
        <f>IFERROR(__xludf.DUMMYFUNCTION("""COMPUTED_VALUE"""),10.2)</f>
        <v>10.2</v>
      </c>
      <c r="F500" s="1">
        <f>IFERROR(__xludf.DUMMYFUNCTION("""COMPUTED_VALUE"""),51.0)</f>
        <v>51</v>
      </c>
      <c r="G500" s="1">
        <f t="shared" si="1"/>
        <v>6</v>
      </c>
      <c r="H500" s="1">
        <f t="shared" si="2"/>
        <v>0.2</v>
      </c>
      <c r="I500" s="1">
        <f>IFERROR(__xludf.DUMMYFUNCTION("IF(B500="""","""",
  100*F500 / MAX(FILTER($F:$F, $A:$A=$A500, $B:$B=$B500))
)
"),14.912280701754385)</f>
        <v>14.9122807</v>
      </c>
      <c r="J500" s="1">
        <f>IFERROR(__xludf.DUMMYFUNCTION("IF(B500="""","""",
  100*E500 / MAX(FILTER($E:$E, $A:$A=$A500, $B:$B=$B500))
)
"),4.260651629072681)</f>
        <v>4.260651629</v>
      </c>
      <c r="K500" s="1">
        <f t="shared" si="3"/>
        <v>10.11904762</v>
      </c>
    </row>
    <row r="501">
      <c r="A501" s="3">
        <f>IFERROR(__xludf.DUMMYFUNCTION("""COMPUTED_VALUE"""),45901.0)</f>
        <v>45901</v>
      </c>
      <c r="B501" s="1" t="str">
        <f>IFERROR(__xludf.DUMMYFUNCTION("""COMPUTED_VALUE"""),"HospAlmoa")</f>
        <v>HospAlmoa</v>
      </c>
      <c r="C501" s="1" t="str">
        <f>IFERROR(__xludf.DUMMYFUNCTION("""COMPUTED_VALUE"""),"Kinder bueno1stick")</f>
        <v>Kinder bueno1stick</v>
      </c>
      <c r="D501" s="1">
        <f>IFERROR(__xludf.DUMMYFUNCTION("""COMPUTED_VALUE"""),92.0)</f>
        <v>92</v>
      </c>
      <c r="E501" s="1">
        <f>IFERROR(__xludf.DUMMYFUNCTION("""COMPUTED_VALUE"""),23.0)</f>
        <v>23</v>
      </c>
      <c r="F501" s="1">
        <f>IFERROR(__xludf.DUMMYFUNCTION("""COMPUTED_VALUE"""),23.0)</f>
        <v>23</v>
      </c>
      <c r="G501" s="1">
        <f t="shared" si="1"/>
        <v>4</v>
      </c>
      <c r="H501" s="1">
        <f t="shared" si="2"/>
        <v>1</v>
      </c>
      <c r="I501" s="1">
        <f>IFERROR(__xludf.DUMMYFUNCTION("IF(B501="""","""",
  100*F501 / MAX(FILTER($F:$F, $A:$A=$A501, $B:$B=$B501))
)
"),6.7251461988304095)</f>
        <v>6.725146199</v>
      </c>
      <c r="J501" s="1">
        <f>IFERROR(__xludf.DUMMYFUNCTION("IF(B501="""","""",
  100*E501 / MAX(FILTER($E:$E, $A:$A=$A501, $B:$B=$B501))
)
"),9.60735171261487)</f>
        <v>9.607351713</v>
      </c>
      <c r="K501" s="1">
        <f t="shared" si="3"/>
        <v>8.02213868</v>
      </c>
    </row>
    <row r="502">
      <c r="A502" s="3">
        <f>IFERROR(__xludf.DUMMYFUNCTION("""COMPUTED_VALUE"""),45901.0)</f>
        <v>45901</v>
      </c>
      <c r="B502" s="1" t="str">
        <f>IFERROR(__xludf.DUMMYFUNCTION("""COMPUTED_VALUE"""),"HospAlmoa")</f>
        <v>HospAlmoa</v>
      </c>
      <c r="C502" s="1" t="str">
        <f>IFERROR(__xludf.DUMMYFUNCTION("""COMPUTED_VALUE"""),"KitKat")</f>
        <v>KitKat</v>
      </c>
      <c r="D502" s="1">
        <f>IFERROR(__xludf.DUMMYFUNCTION("""COMPUTED_VALUE"""),110.0)</f>
        <v>110</v>
      </c>
      <c r="E502" s="1">
        <f>IFERROR(__xludf.DUMMYFUNCTION("""COMPUTED_VALUE"""),26.51)</f>
        <v>26.51</v>
      </c>
      <c r="F502" s="1">
        <f>IFERROR(__xludf.DUMMYFUNCTION("""COMPUTED_VALUE"""),23.0)</f>
        <v>23</v>
      </c>
      <c r="G502" s="1">
        <f t="shared" si="1"/>
        <v>4.782608696</v>
      </c>
      <c r="H502" s="1">
        <f t="shared" si="2"/>
        <v>1.152608696</v>
      </c>
      <c r="I502" s="1">
        <f>IFERROR(__xludf.DUMMYFUNCTION("IF(B502="""","""",
  100*F502 / MAX(FILTER($F:$F, $A:$A=$A502, $B:$B=$B502))
)
"),6.7251461988304095)</f>
        <v>6.725146199</v>
      </c>
      <c r="J502" s="1">
        <f>IFERROR(__xludf.DUMMYFUNCTION("IF(B502="""","""",
  100*E502 / MAX(FILTER($E:$E, $A:$A=$A502, $B:$B=$B502))
)
"),11.073517126148705)</f>
        <v>11.07351713</v>
      </c>
      <c r="K502" s="1">
        <f t="shared" si="3"/>
        <v>8.681913116</v>
      </c>
    </row>
    <row r="503">
      <c r="A503" s="3">
        <f>IFERROR(__xludf.DUMMYFUNCTION("""COMPUTED_VALUE"""),45901.0)</f>
        <v>45901</v>
      </c>
      <c r="B503" s="1" t="str">
        <f>IFERROR(__xludf.DUMMYFUNCTION("""COMPUTED_VALUE"""),"HospAlmoa")</f>
        <v>HospAlmoa</v>
      </c>
      <c r="C503" s="1" t="str">
        <f>IFERROR(__xludf.DUMMYFUNCTION("""COMPUTED_VALUE"""),"Kunuz Juice")</f>
        <v>Kunuz Juice</v>
      </c>
      <c r="D503" s="1">
        <f>IFERROR(__xludf.DUMMYFUNCTION("""COMPUTED_VALUE"""),39.0)</f>
        <v>39</v>
      </c>
      <c r="E503" s="1">
        <f>IFERROR(__xludf.DUMMYFUNCTION("""COMPUTED_VALUE"""),13.0)</f>
        <v>13</v>
      </c>
      <c r="F503" s="1">
        <f>IFERROR(__xludf.DUMMYFUNCTION("""COMPUTED_VALUE"""),13.0)</f>
        <v>13</v>
      </c>
      <c r="G503" s="1">
        <f t="shared" si="1"/>
        <v>3</v>
      </c>
      <c r="H503" s="1">
        <f t="shared" si="2"/>
        <v>1</v>
      </c>
      <c r="I503" s="1">
        <f>IFERROR(__xludf.DUMMYFUNCTION("IF(B503="""","""",
  100*F503 / MAX(FILTER($F:$F, $A:$A=$A503, $B:$B=$B503))
)
"),3.801169590643275)</f>
        <v>3.801169591</v>
      </c>
      <c r="J503" s="1">
        <f>IFERROR(__xludf.DUMMYFUNCTION("IF(B503="""","""",
  100*E503 / MAX(FILTER($E:$E, $A:$A=$A503, $B:$B=$B503))
)
"),5.430242272347535)</f>
        <v>5.430242272</v>
      </c>
      <c r="K503" s="1">
        <f t="shared" si="3"/>
        <v>4.534252297</v>
      </c>
    </row>
    <row r="504">
      <c r="A504" s="3">
        <f>IFERROR(__xludf.DUMMYFUNCTION("""COMPUTED_VALUE"""),45901.0)</f>
        <v>45901</v>
      </c>
      <c r="B504" s="1" t="str">
        <f>IFERROR(__xludf.DUMMYFUNCTION("""COMPUTED_VALUE"""),"HospAlmoa")</f>
        <v>HospAlmoa</v>
      </c>
      <c r="C504" s="1" t="str">
        <f>IFERROR(__xludf.DUMMYFUNCTION("""COMPUTED_VALUE"""),"Laviva")</f>
        <v>Laviva</v>
      </c>
      <c r="D504" s="1">
        <f>IFERROR(__xludf.DUMMYFUNCTION("""COMPUTED_VALUE"""),75.0)</f>
        <v>75</v>
      </c>
      <c r="E504" s="1">
        <f>IFERROR(__xludf.DUMMYFUNCTION("""COMPUTED_VALUE"""),20.0)</f>
        <v>20</v>
      </c>
      <c r="F504" s="1">
        <f>IFERROR(__xludf.DUMMYFUNCTION("""COMPUTED_VALUE"""),25.0)</f>
        <v>25</v>
      </c>
      <c r="G504" s="1">
        <f t="shared" si="1"/>
        <v>3</v>
      </c>
      <c r="H504" s="1">
        <f t="shared" si="2"/>
        <v>0.8</v>
      </c>
      <c r="I504" s="1">
        <f>IFERROR(__xludf.DUMMYFUNCTION("IF(B504="""","""",
  100*F504 / MAX(FILTER($F:$F, $A:$A=$A504, $B:$B=$B504))
)
"),7.309941520467836)</f>
        <v>7.30994152</v>
      </c>
      <c r="J504" s="1">
        <f>IFERROR(__xludf.DUMMYFUNCTION("IF(B504="""","""",
  100*E504 / MAX(FILTER($E:$E, $A:$A=$A504, $B:$B=$B504))
)
"),8.35421888053467)</f>
        <v>8.354218881</v>
      </c>
      <c r="K504" s="1">
        <f t="shared" si="3"/>
        <v>7.779866332</v>
      </c>
    </row>
    <row r="505">
      <c r="A505" s="3">
        <f>IFERROR(__xludf.DUMMYFUNCTION("""COMPUTED_VALUE"""),45901.0)</f>
        <v>45901</v>
      </c>
      <c r="B505" s="1" t="str">
        <f>IFERROR(__xludf.DUMMYFUNCTION("""COMPUTED_VALUE"""),"HospAlmoa")</f>
        <v>HospAlmoa</v>
      </c>
      <c r="C505" s="1" t="str">
        <f>IFERROR(__xludf.DUMMYFUNCTION("""COMPUTED_VALUE"""),"Lovita cookies")</f>
        <v>Lovita cookies</v>
      </c>
      <c r="D505" s="1">
        <f>IFERROR(__xludf.DUMMYFUNCTION("""COMPUTED_VALUE"""),182.0)</f>
        <v>182</v>
      </c>
      <c r="E505" s="1">
        <f>IFERROR(__xludf.DUMMYFUNCTION("""COMPUTED_VALUE"""),47.32)</f>
        <v>47.32</v>
      </c>
      <c r="F505" s="1">
        <f>IFERROR(__xludf.DUMMYFUNCTION("""COMPUTED_VALUE"""),26.0)</f>
        <v>26</v>
      </c>
      <c r="G505" s="1">
        <f t="shared" si="1"/>
        <v>7</v>
      </c>
      <c r="H505" s="1">
        <f t="shared" si="2"/>
        <v>1.82</v>
      </c>
      <c r="I505" s="1">
        <f>IFERROR(__xludf.DUMMYFUNCTION("IF(B505="""","""",
  100*F505 / MAX(FILTER($F:$F, $A:$A=$A505, $B:$B=$B505))
)
"),7.60233918128655)</f>
        <v>7.602339181</v>
      </c>
      <c r="J505" s="1">
        <f>IFERROR(__xludf.DUMMYFUNCTION("IF(B505="""","""",
  100*E505 / MAX(FILTER($E:$E, $A:$A=$A505, $B:$B=$B505))
)
"),19.76608187134503)</f>
        <v>19.76608187</v>
      </c>
      <c r="K505" s="1">
        <f t="shared" si="3"/>
        <v>13.07602339</v>
      </c>
    </row>
    <row r="506">
      <c r="A506" s="3">
        <f>IFERROR(__xludf.DUMMYFUNCTION("""COMPUTED_VALUE"""),45901.0)</f>
        <v>45901</v>
      </c>
      <c r="B506" s="1" t="str">
        <f>IFERROR(__xludf.DUMMYFUNCTION("""COMPUTED_VALUE"""),"HospAlmoa")</f>
        <v>HospAlmoa</v>
      </c>
      <c r="C506" s="1" t="str">
        <f>IFERROR(__xludf.DUMMYFUNCTION("""COMPUTED_VALUE"""),"Maltesers")</f>
        <v>Maltesers</v>
      </c>
      <c r="D506" s="1">
        <f>IFERROR(__xludf.DUMMYFUNCTION("""COMPUTED_VALUE"""),108.0)</f>
        <v>108</v>
      </c>
      <c r="E506" s="1">
        <f>IFERROR(__xludf.DUMMYFUNCTION("""COMPUTED_VALUE"""),-3.6)</f>
        <v>-3.6</v>
      </c>
      <c r="F506" s="1">
        <f>IFERROR(__xludf.DUMMYFUNCTION("""COMPUTED_VALUE"""),18.0)</f>
        <v>18</v>
      </c>
      <c r="G506" s="1">
        <f t="shared" si="1"/>
        <v>6</v>
      </c>
      <c r="H506" s="1">
        <f t="shared" si="2"/>
        <v>-0.2</v>
      </c>
      <c r="I506" s="1">
        <f>IFERROR(__xludf.DUMMYFUNCTION("IF(B506="""","""",
  100*F506 / MAX(FILTER($F:$F, $A:$A=$A506, $B:$B=$B506))
)
"),5.2631578947368425)</f>
        <v>5.263157895</v>
      </c>
      <c r="J506" s="1">
        <f>IFERROR(__xludf.DUMMYFUNCTION("IF(B506="""","""",
  100*E506 / MAX(FILTER($E:$E, $A:$A=$A506, $B:$B=$B506))
)
"),-1.5037593984962405)</f>
        <v>-1.503759398</v>
      </c>
      <c r="K506" s="1">
        <f t="shared" si="3"/>
        <v>2.218045113</v>
      </c>
    </row>
    <row r="507">
      <c r="A507" s="3">
        <f>IFERROR(__xludf.DUMMYFUNCTION("""COMPUTED_VALUE"""),45901.0)</f>
        <v>45901</v>
      </c>
      <c r="B507" s="1" t="str">
        <f>IFERROR(__xludf.DUMMYFUNCTION("""COMPUTED_VALUE"""),"HospAlmoa")</f>
        <v>HospAlmoa</v>
      </c>
      <c r="C507" s="1" t="str">
        <f>IFERROR(__xludf.DUMMYFUNCTION("""COMPUTED_VALUE"""),"Mars")</f>
        <v>Mars</v>
      </c>
      <c r="D507" s="1">
        <f>IFERROR(__xludf.DUMMYFUNCTION("""COMPUTED_VALUE"""),105.0)</f>
        <v>105</v>
      </c>
      <c r="E507" s="1">
        <f>IFERROR(__xludf.DUMMYFUNCTION("""COMPUTED_VALUE"""),29.4)</f>
        <v>29.4</v>
      </c>
      <c r="F507" s="1">
        <f>IFERROR(__xludf.DUMMYFUNCTION("""COMPUTED_VALUE"""),21.0)</f>
        <v>21</v>
      </c>
      <c r="G507" s="1">
        <f t="shared" si="1"/>
        <v>5</v>
      </c>
      <c r="H507" s="1">
        <f t="shared" si="2"/>
        <v>1.4</v>
      </c>
      <c r="I507" s="1">
        <f>IFERROR(__xludf.DUMMYFUNCTION("IF(B507="""","""",
  100*F507 / MAX(FILTER($F:$F, $A:$A=$A507, $B:$B=$B507))
)
"),6.140350877192983)</f>
        <v>6.140350877</v>
      </c>
      <c r="J507" s="1">
        <f>IFERROR(__xludf.DUMMYFUNCTION("IF(B507="""","""",
  100*E507 / MAX(FILTER($E:$E, $A:$A=$A507, $B:$B=$B507))
)
"),12.280701754385964)</f>
        <v>12.28070175</v>
      </c>
      <c r="K507" s="1">
        <f t="shared" si="3"/>
        <v>8.903508772</v>
      </c>
    </row>
    <row r="508">
      <c r="A508" s="3">
        <f>IFERROR(__xludf.DUMMYFUNCTION("""COMPUTED_VALUE"""),45901.0)</f>
        <v>45901</v>
      </c>
      <c r="B508" s="1" t="str">
        <f>IFERROR(__xludf.DUMMYFUNCTION("""COMPUTED_VALUE"""),"HospAlmoa")</f>
        <v>HospAlmoa</v>
      </c>
      <c r="C508" s="1" t="str">
        <f>IFERROR(__xludf.DUMMYFUNCTION("""COMPUTED_VALUE"""),"Mirinda")</f>
        <v>Mirinda</v>
      </c>
      <c r="D508" s="1">
        <f>IFERROR(__xludf.DUMMYFUNCTION("""COMPUTED_VALUE"""),42.0)</f>
        <v>42</v>
      </c>
      <c r="E508" s="1">
        <f>IFERROR(__xludf.DUMMYFUNCTION("""COMPUTED_VALUE"""),10.5)</f>
        <v>10.5</v>
      </c>
      <c r="F508" s="1">
        <f>IFERROR(__xludf.DUMMYFUNCTION("""COMPUTED_VALUE"""),14.0)</f>
        <v>14</v>
      </c>
      <c r="G508" s="1">
        <f t="shared" si="1"/>
        <v>3</v>
      </c>
      <c r="H508" s="1">
        <f t="shared" si="2"/>
        <v>0.75</v>
      </c>
      <c r="I508" s="1">
        <f>IFERROR(__xludf.DUMMYFUNCTION("IF(B508="""","""",
  100*F508 / MAX(FILTER($F:$F, $A:$A=$A508, $B:$B=$B508))
)
"),4.093567251461988)</f>
        <v>4.093567251</v>
      </c>
      <c r="J508" s="1">
        <f>IFERROR(__xludf.DUMMYFUNCTION("IF(B508="""","""",
  100*E508 / MAX(FILTER($E:$E, $A:$A=$A508, $B:$B=$B508))
)
"),4.385964912280702)</f>
        <v>4.385964912</v>
      </c>
      <c r="K508" s="1">
        <f t="shared" si="3"/>
        <v>4.225146199</v>
      </c>
    </row>
    <row r="509">
      <c r="A509" s="3">
        <f>IFERROR(__xludf.DUMMYFUNCTION("""COMPUTED_VALUE"""),45901.0)</f>
        <v>45901</v>
      </c>
      <c r="B509" s="1" t="str">
        <f>IFERROR(__xludf.DUMMYFUNCTION("""COMPUTED_VALUE"""),"HospAlmoa")</f>
        <v>HospAlmoa</v>
      </c>
      <c r="C509" s="1" t="str">
        <f>IFERROR(__xludf.DUMMYFUNCTION("""COMPUTED_VALUE"""),"MrCrunch")</f>
        <v>MrCrunch</v>
      </c>
      <c r="D509" s="1">
        <f>IFERROR(__xludf.DUMMYFUNCTION("""COMPUTED_VALUE"""),230.0)</f>
        <v>230</v>
      </c>
      <c r="E509" s="1">
        <f>IFERROR(__xludf.DUMMYFUNCTION("""COMPUTED_VALUE"""),122.82)</f>
        <v>122.82</v>
      </c>
      <c r="F509" s="1">
        <f>IFERROR(__xludf.DUMMYFUNCTION("""COMPUTED_VALUE"""),46.0)</f>
        <v>46</v>
      </c>
      <c r="G509" s="1">
        <f t="shared" si="1"/>
        <v>5</v>
      </c>
      <c r="H509" s="1">
        <f t="shared" si="2"/>
        <v>2.67</v>
      </c>
      <c r="I509" s="1">
        <f>IFERROR(__xludf.DUMMYFUNCTION("IF(B509="""","""",
  100*F509 / MAX(FILTER($F:$F, $A:$A=$A509, $B:$B=$B509))
)
"),13.450292397660819)</f>
        <v>13.4502924</v>
      </c>
      <c r="J509" s="1">
        <f>IFERROR(__xludf.DUMMYFUNCTION("IF(B509="""","""",
  100*E509 / MAX(FILTER($E:$E, $A:$A=$A509, $B:$B=$B509))
)
"),51.30325814536341)</f>
        <v>51.30325815</v>
      </c>
      <c r="K509" s="1">
        <f t="shared" si="3"/>
        <v>30.48412698</v>
      </c>
    </row>
    <row r="510">
      <c r="A510" s="3">
        <f>IFERROR(__xludf.DUMMYFUNCTION("""COMPUTED_VALUE"""),45901.0)</f>
        <v>45901</v>
      </c>
      <c r="B510" s="1" t="str">
        <f>IFERROR(__xludf.DUMMYFUNCTION("""COMPUTED_VALUE"""),"HospAlmoa")</f>
        <v>HospAlmoa</v>
      </c>
      <c r="C510" s="1" t="str">
        <f>IFERROR(__xludf.DUMMYFUNCTION("""COMPUTED_VALUE"""),"Pepsi")</f>
        <v>Pepsi</v>
      </c>
      <c r="D510" s="1">
        <f>IFERROR(__xludf.DUMMYFUNCTION("""COMPUTED_VALUE"""),192.0)</f>
        <v>192</v>
      </c>
      <c r="E510" s="1">
        <f>IFERROR(__xludf.DUMMYFUNCTION("""COMPUTED_VALUE"""),48.0)</f>
        <v>48</v>
      </c>
      <c r="F510" s="1">
        <f>IFERROR(__xludf.DUMMYFUNCTION("""COMPUTED_VALUE"""),64.0)</f>
        <v>64</v>
      </c>
      <c r="G510" s="1">
        <f t="shared" si="1"/>
        <v>3</v>
      </c>
      <c r="H510" s="1">
        <f t="shared" si="2"/>
        <v>0.75</v>
      </c>
      <c r="I510" s="1">
        <f>IFERROR(__xludf.DUMMYFUNCTION("IF(B510="""","""",
  100*F510 / MAX(FILTER($F:$F, $A:$A=$A510, $B:$B=$B510))
)
"),18.71345029239766)</f>
        <v>18.71345029</v>
      </c>
      <c r="J510" s="1">
        <f>IFERROR(__xludf.DUMMYFUNCTION("IF(B510="""","""",
  100*E510 / MAX(FILTER($E:$E, $A:$A=$A510, $B:$B=$B510))
)
"),20.050125313283207)</f>
        <v>20.05012531</v>
      </c>
      <c r="K510" s="1">
        <f t="shared" si="3"/>
        <v>19.31495405</v>
      </c>
    </row>
    <row r="511">
      <c r="A511" s="3">
        <f>IFERROR(__xludf.DUMMYFUNCTION("""COMPUTED_VALUE"""),45901.0)</f>
        <v>45901</v>
      </c>
      <c r="B511" s="1" t="str">
        <f>IFERROR(__xludf.DUMMYFUNCTION("""COMPUTED_VALUE"""),"HospAlmoa")</f>
        <v>HospAlmoa</v>
      </c>
      <c r="C511" s="1" t="str">
        <f>IFERROR(__xludf.DUMMYFUNCTION("""COMPUTED_VALUE"""),"Pretzels")</f>
        <v>Pretzels</v>
      </c>
      <c r="D511" s="1">
        <f>IFERROR(__xludf.DUMMYFUNCTION("""COMPUTED_VALUE"""),155.0)</f>
        <v>155</v>
      </c>
      <c r="E511" s="1">
        <f>IFERROR(__xludf.DUMMYFUNCTION("""COMPUTED_VALUE"""),54.25)</f>
        <v>54.25</v>
      </c>
      <c r="F511" s="1">
        <f>IFERROR(__xludf.DUMMYFUNCTION("""COMPUTED_VALUE"""),31.0)</f>
        <v>31</v>
      </c>
      <c r="G511" s="1">
        <f t="shared" si="1"/>
        <v>5</v>
      </c>
      <c r="H511" s="1">
        <f t="shared" si="2"/>
        <v>1.75</v>
      </c>
      <c r="I511" s="1">
        <f>IFERROR(__xludf.DUMMYFUNCTION("IF(B511="""","""",
  100*F511 / MAX(FILTER($F:$F, $A:$A=$A511, $B:$B=$B511))
)
"),9.064327485380117)</f>
        <v>9.064327485</v>
      </c>
      <c r="J511" s="1">
        <f>IFERROR(__xludf.DUMMYFUNCTION("IF(B511="""","""",
  100*E511 / MAX(FILTER($E:$E, $A:$A=$A511, $B:$B=$B511))
)
"),22.660818713450293)</f>
        <v>22.66081871</v>
      </c>
      <c r="K511" s="1">
        <f t="shared" si="3"/>
        <v>15.18274854</v>
      </c>
    </row>
    <row r="512">
      <c r="A512" s="3">
        <f>IFERROR(__xludf.DUMMYFUNCTION("""COMPUTED_VALUE"""),45901.0)</f>
        <v>45901</v>
      </c>
      <c r="B512" s="1" t="str">
        <f>IFERROR(__xludf.DUMMYFUNCTION("""COMPUTED_VALUE"""),"HospAlmoa")</f>
        <v>HospAlmoa</v>
      </c>
      <c r="C512" s="1" t="str">
        <f>IFERROR(__xludf.DUMMYFUNCTION("""COMPUTED_VALUE"""),"Schweppes")</f>
        <v>Schweppes</v>
      </c>
      <c r="D512" s="1">
        <f>IFERROR(__xludf.DUMMYFUNCTION("""COMPUTED_VALUE"""),29.0)</f>
        <v>29</v>
      </c>
      <c r="E512" s="1">
        <f>IFERROR(__xludf.DUMMYFUNCTION("""COMPUTED_VALUE"""),11.0)</f>
        <v>11</v>
      </c>
      <c r="F512" s="1">
        <f>IFERROR(__xludf.DUMMYFUNCTION("""COMPUTED_VALUE"""),9.0)</f>
        <v>9</v>
      </c>
      <c r="G512" s="1">
        <f t="shared" si="1"/>
        <v>3.222222222</v>
      </c>
      <c r="H512" s="1">
        <f t="shared" si="2"/>
        <v>1.222222222</v>
      </c>
      <c r="I512" s="1">
        <f>IFERROR(__xludf.DUMMYFUNCTION("IF(B512="""","""",
  100*F512 / MAX(FILTER($F:$F, $A:$A=$A512, $B:$B=$B512))
)
"),2.6315789473684212)</f>
        <v>2.631578947</v>
      </c>
      <c r="J512" s="1">
        <f>IFERROR(__xludf.DUMMYFUNCTION("IF(B512="""","""",
  100*E512 / MAX(FILTER($E:$E, $A:$A=$A512, $B:$B=$B512))
)
"),4.594820384294068)</f>
        <v>4.594820384</v>
      </c>
      <c r="K512" s="1">
        <f t="shared" si="3"/>
        <v>3.515037594</v>
      </c>
    </row>
    <row r="513">
      <c r="A513" s="3">
        <f>IFERROR(__xludf.DUMMYFUNCTION("""COMPUTED_VALUE"""),45901.0)</f>
        <v>45901</v>
      </c>
      <c r="B513" s="1" t="str">
        <f>IFERROR(__xludf.DUMMYFUNCTION("""COMPUTED_VALUE"""),"HospAlmoa")</f>
        <v>HospAlmoa</v>
      </c>
      <c r="C513" s="1" t="str">
        <f>IFERROR(__xludf.DUMMYFUNCTION("""COMPUTED_VALUE"""),"Snickers")</f>
        <v>Snickers</v>
      </c>
      <c r="D513" s="1">
        <f>IFERROR(__xludf.DUMMYFUNCTION("""COMPUTED_VALUE"""),225.0)</f>
        <v>225</v>
      </c>
      <c r="E513" s="1">
        <f>IFERROR(__xludf.DUMMYFUNCTION("""COMPUTED_VALUE"""),22.5)</f>
        <v>22.5</v>
      </c>
      <c r="F513" s="1">
        <f>IFERROR(__xludf.DUMMYFUNCTION("""COMPUTED_VALUE"""),45.0)</f>
        <v>45</v>
      </c>
      <c r="G513" s="1">
        <f t="shared" si="1"/>
        <v>5</v>
      </c>
      <c r="H513" s="1">
        <f t="shared" si="2"/>
        <v>0.5</v>
      </c>
      <c r="I513" s="1">
        <f>IFERROR(__xludf.DUMMYFUNCTION("IF(B513="""","""",
  100*F513 / MAX(FILTER($F:$F, $A:$A=$A513, $B:$B=$B513))
)
"),13.157894736842104)</f>
        <v>13.15789474</v>
      </c>
      <c r="J513" s="1">
        <f>IFERROR(__xludf.DUMMYFUNCTION("IF(B513="""","""",
  100*E513 / MAX(FILTER($E:$E, $A:$A=$A513, $B:$B=$B513))
)
"),9.398496240601503)</f>
        <v>9.398496241</v>
      </c>
      <c r="K513" s="1">
        <f t="shared" si="3"/>
        <v>11.46616541</v>
      </c>
    </row>
    <row r="514">
      <c r="A514" s="3">
        <f>IFERROR(__xludf.DUMMYFUNCTION("""COMPUTED_VALUE"""),45901.0)</f>
        <v>45901</v>
      </c>
      <c r="B514" s="1" t="str">
        <f>IFERROR(__xludf.DUMMYFUNCTION("""COMPUTED_VALUE"""),"HospAlmoa")</f>
        <v>HospAlmoa</v>
      </c>
      <c r="C514" s="1" t="str">
        <f>IFERROR(__xludf.DUMMYFUNCTION("""COMPUTED_VALUE"""),"Tiger *12")</f>
        <v>Tiger *12</v>
      </c>
      <c r="D514" s="1">
        <f>IFERROR(__xludf.DUMMYFUNCTION("""COMPUTED_VALUE"""),475.0)</f>
        <v>475</v>
      </c>
      <c r="E514" s="1">
        <f>IFERROR(__xludf.DUMMYFUNCTION("""COMPUTED_VALUE"""),182.4)</f>
        <v>182.4</v>
      </c>
      <c r="F514" s="1">
        <f>IFERROR(__xludf.DUMMYFUNCTION("""COMPUTED_VALUE"""),95.0)</f>
        <v>95</v>
      </c>
      <c r="G514" s="1">
        <f t="shared" si="1"/>
        <v>5</v>
      </c>
      <c r="H514" s="1">
        <f t="shared" si="2"/>
        <v>1.92</v>
      </c>
      <c r="I514" s="1">
        <f>IFERROR(__xludf.DUMMYFUNCTION("IF(B514="""","""",
  100*F514 / MAX(FILTER($F:$F, $A:$A=$A514, $B:$B=$B514))
)
"),27.77777777777778)</f>
        <v>27.77777778</v>
      </c>
      <c r="J514" s="1">
        <f>IFERROR(__xludf.DUMMYFUNCTION("IF(B514="""","""",
  100*E514 / MAX(FILTER($E:$E, $A:$A=$A514, $B:$B=$B514))
)
"),76.19047619047619)</f>
        <v>76.19047619</v>
      </c>
      <c r="K514" s="1">
        <f t="shared" si="3"/>
        <v>49.56349206</v>
      </c>
    </row>
    <row r="515">
      <c r="A515" s="3">
        <f>IFERROR(__xludf.DUMMYFUNCTION("""COMPUTED_VALUE"""),45901.0)</f>
        <v>45901</v>
      </c>
      <c r="B515" s="1" t="str">
        <f>IFERROR(__xludf.DUMMYFUNCTION("""COMPUTED_VALUE"""),"HospAlmoa")</f>
        <v>HospAlmoa</v>
      </c>
      <c r="C515" s="1" t="str">
        <f>IFERROR(__xludf.DUMMYFUNCTION("""COMPUTED_VALUE"""),"Tropia")</f>
        <v>Tropia</v>
      </c>
      <c r="D515" s="1">
        <f>IFERROR(__xludf.DUMMYFUNCTION("""COMPUTED_VALUE"""),30.0)</f>
        <v>30</v>
      </c>
      <c r="E515" s="1">
        <f>IFERROR(__xludf.DUMMYFUNCTION("""COMPUTED_VALUE"""),10.5)</f>
        <v>10.5</v>
      </c>
      <c r="F515" s="1">
        <f>IFERROR(__xludf.DUMMYFUNCTION("""COMPUTED_VALUE"""),6.0)</f>
        <v>6</v>
      </c>
      <c r="G515" s="1">
        <f t="shared" si="1"/>
        <v>5</v>
      </c>
      <c r="H515" s="1">
        <f t="shared" si="2"/>
        <v>1.75</v>
      </c>
      <c r="I515" s="1">
        <f>IFERROR(__xludf.DUMMYFUNCTION("IF(B515="""","""",
  100*F515 / MAX(FILTER($F:$F, $A:$A=$A515, $B:$B=$B515))
)
"),1.7543859649122806)</f>
        <v>1.754385965</v>
      </c>
      <c r="J515" s="1">
        <f>IFERROR(__xludf.DUMMYFUNCTION("IF(B515="""","""",
  100*E515 / MAX(FILTER($E:$E, $A:$A=$A515, $B:$B=$B515))
)
"),4.385964912280702)</f>
        <v>4.385964912</v>
      </c>
      <c r="K515" s="1">
        <f t="shared" si="3"/>
        <v>2.938596491</v>
      </c>
    </row>
    <row r="516">
      <c r="A516" s="3">
        <f>IFERROR(__xludf.DUMMYFUNCTION("""COMPUTED_VALUE"""),45901.0)</f>
        <v>45901</v>
      </c>
      <c r="B516" s="1" t="str">
        <f>IFERROR(__xludf.DUMMYFUNCTION("""COMPUTED_VALUE"""),"HospAlmoa")</f>
        <v>HospAlmoa</v>
      </c>
      <c r="C516" s="1" t="str">
        <f>IFERROR(__xludf.DUMMYFUNCTION("""COMPUTED_VALUE"""),"Twix")</f>
        <v>Twix</v>
      </c>
      <c r="D516" s="1">
        <f>IFERROR(__xludf.DUMMYFUNCTION("""COMPUTED_VALUE"""),240.0)</f>
        <v>240</v>
      </c>
      <c r="E516" s="1">
        <f>IFERROR(__xludf.DUMMYFUNCTION("""COMPUTED_VALUE"""),72.0)</f>
        <v>72</v>
      </c>
      <c r="F516" s="1">
        <f>IFERROR(__xludf.DUMMYFUNCTION("""COMPUTED_VALUE"""),48.0)</f>
        <v>48</v>
      </c>
      <c r="G516" s="1">
        <f t="shared" si="1"/>
        <v>5</v>
      </c>
      <c r="H516" s="1">
        <f t="shared" si="2"/>
        <v>1.5</v>
      </c>
      <c r="I516" s="1">
        <f>IFERROR(__xludf.DUMMYFUNCTION("IF(B516="""","""",
  100*F516 / MAX(FILTER($F:$F, $A:$A=$A516, $B:$B=$B516))
)
"),14.035087719298245)</f>
        <v>14.03508772</v>
      </c>
      <c r="J516" s="1">
        <f>IFERROR(__xludf.DUMMYFUNCTION("IF(B516="""","""",
  100*E516 / MAX(FILTER($E:$E, $A:$A=$A516, $B:$B=$B516))
)
"),30.075187969924812)</f>
        <v>30.07518797</v>
      </c>
      <c r="K516" s="1">
        <f t="shared" si="3"/>
        <v>21.25313283</v>
      </c>
    </row>
    <row r="517">
      <c r="A517" s="3">
        <f>IFERROR(__xludf.DUMMYFUNCTION("""COMPUTED_VALUE"""),45901.0)</f>
        <v>45901</v>
      </c>
      <c r="B517" s="1" t="str">
        <f>IFERROR(__xludf.DUMMYFUNCTION("""COMPUTED_VALUE"""),"HospAlmoa")</f>
        <v>HospAlmoa</v>
      </c>
      <c r="C517" s="1" t="str">
        <f>IFERROR(__xludf.DUMMYFUNCTION("""COMPUTED_VALUE"""),"Water")</f>
        <v>Water</v>
      </c>
      <c r="D517" s="1">
        <f>IFERROR(__xludf.DUMMYFUNCTION("""COMPUTED_VALUE"""),342.0)</f>
        <v>342</v>
      </c>
      <c r="E517" s="1">
        <f>IFERROR(__xludf.DUMMYFUNCTION("""COMPUTED_VALUE"""),239.4)</f>
        <v>239.4</v>
      </c>
      <c r="F517" s="1">
        <f>IFERROR(__xludf.DUMMYFUNCTION("""COMPUTED_VALUE"""),342.0)</f>
        <v>342</v>
      </c>
      <c r="G517" s="1">
        <f t="shared" si="1"/>
        <v>1</v>
      </c>
      <c r="H517" s="1">
        <f t="shared" si="2"/>
        <v>0.7</v>
      </c>
      <c r="I517" s="1">
        <f>IFERROR(__xludf.DUMMYFUNCTION("IF(B517="""","""",
  100*F517 / MAX(FILTER($F:$F, $A:$A=$A517, $B:$B=$B517))
)
"),100.0)</f>
        <v>100</v>
      </c>
      <c r="J517" s="1">
        <f>IFERROR(__xludf.DUMMYFUNCTION("IF(B517="""","""",
  100*E517 / MAX(FILTER($E:$E, $A:$A=$A517, $B:$B=$B517))
)
"),100.0)</f>
        <v>100</v>
      </c>
      <c r="K517" s="1">
        <f t="shared" si="3"/>
        <v>100</v>
      </c>
    </row>
    <row r="518">
      <c r="A518" s="3">
        <f>IFERROR(__xludf.DUMMYFUNCTION("""COMPUTED_VALUE"""),45901.0)</f>
        <v>45901</v>
      </c>
      <c r="B518" s="1" t="str">
        <f>IFERROR(__xludf.DUMMYFUNCTION("""COMPUTED_VALUE"""),"HospAlmoa")</f>
        <v>HospAlmoa</v>
      </c>
      <c r="C518" s="1" t="str">
        <f>IFERROR(__xludf.DUMMYFUNCTION("""COMPUTED_VALUE"""),"X!R")</f>
        <v>X!R</v>
      </c>
      <c r="D518" s="1">
        <f>IFERROR(__xludf.DUMMYFUNCTION("""COMPUTED_VALUE"""),330.0)</f>
        <v>330</v>
      </c>
      <c r="E518" s="1">
        <f>IFERROR(__xludf.DUMMYFUNCTION("""COMPUTED_VALUE"""),99.0)</f>
        <v>99</v>
      </c>
      <c r="F518" s="1">
        <f>IFERROR(__xludf.DUMMYFUNCTION("""COMPUTED_VALUE"""),66.0)</f>
        <v>66</v>
      </c>
      <c r="G518" s="1">
        <f t="shared" si="1"/>
        <v>5</v>
      </c>
      <c r="H518" s="1">
        <f t="shared" si="2"/>
        <v>1.5</v>
      </c>
      <c r="I518" s="1">
        <f>IFERROR(__xludf.DUMMYFUNCTION("IF(B518="""","""",
  100*F518 / MAX(FILTER($F:$F, $A:$A=$A518, $B:$B=$B518))
)
"),19.29824561403509)</f>
        <v>19.29824561</v>
      </c>
      <c r="J518" s="1">
        <f>IFERROR(__xludf.DUMMYFUNCTION("IF(B518="""","""",
  100*E518 / MAX(FILTER($E:$E, $A:$A=$A518, $B:$B=$B518))
)
"),41.35338345864662)</f>
        <v>41.35338346</v>
      </c>
      <c r="K518" s="1">
        <f t="shared" si="3"/>
        <v>29.22305764</v>
      </c>
    </row>
    <row r="519">
      <c r="A519" s="3">
        <f>IFERROR(__xludf.DUMMYFUNCTION("""COMPUTED_VALUE"""),45901.0)</f>
        <v>45901</v>
      </c>
      <c r="B519" s="1" t="str">
        <f>IFERROR(__xludf.DUMMYFUNCTION("""COMPUTED_VALUE"""),"HospAlmoa")</f>
        <v>HospAlmoa</v>
      </c>
      <c r="C519" s="1" t="str">
        <f>IFERROR(__xludf.DUMMYFUNCTION("""COMPUTED_VALUE"""),"mr bite")</f>
        <v>mr bite</v>
      </c>
      <c r="D519" s="1">
        <f>IFERROR(__xludf.DUMMYFUNCTION("""COMPUTED_VALUE"""),154.0)</f>
        <v>154</v>
      </c>
      <c r="E519" s="1">
        <f>IFERROR(__xludf.DUMMYFUNCTION("""COMPUTED_VALUE"""),51.59)</f>
        <v>51.59</v>
      </c>
      <c r="F519" s="1">
        <f>IFERROR(__xludf.DUMMYFUNCTION("""COMPUTED_VALUE"""),77.0)</f>
        <v>77</v>
      </c>
      <c r="G519" s="1">
        <f t="shared" si="1"/>
        <v>2</v>
      </c>
      <c r="H519" s="1">
        <f t="shared" si="2"/>
        <v>0.67</v>
      </c>
      <c r="I519" s="1">
        <f>IFERROR(__xludf.DUMMYFUNCTION("IF(B519="""","""",
  100*F519 / MAX(FILTER($F:$F, $A:$A=$A519, $B:$B=$B519))
)
"),22.514619883040936)</f>
        <v>22.51461988</v>
      </c>
      <c r="J519" s="1">
        <f>IFERROR(__xludf.DUMMYFUNCTION("IF(B519="""","""",
  100*E519 / MAX(FILTER($E:$E, $A:$A=$A519, $B:$B=$B519))
)
"),21.54970760233918)</f>
        <v>21.5497076</v>
      </c>
      <c r="K519" s="1">
        <f t="shared" si="3"/>
        <v>22.08040936</v>
      </c>
    </row>
    <row r="520">
      <c r="A520" s="3">
        <f>IFERROR(__xludf.DUMMYFUNCTION("""COMPUTED_VALUE"""),45901.0)</f>
        <v>45901</v>
      </c>
      <c r="B520" s="1" t="str">
        <f>IFERROR(__xludf.DUMMYFUNCTION("""COMPUTED_VALUE"""),"HospAlmoa")</f>
        <v>HospAlmoa</v>
      </c>
      <c r="C520" s="1" t="str">
        <f>IFERROR(__xludf.DUMMYFUNCTION("""COMPUTED_VALUE"""),"sunTop")</f>
        <v>sunTop</v>
      </c>
      <c r="D520" s="1">
        <f>IFERROR(__xludf.DUMMYFUNCTION("""COMPUTED_VALUE"""),75.0)</f>
        <v>75</v>
      </c>
      <c r="E520" s="1">
        <f>IFERROR(__xludf.DUMMYFUNCTION("""COMPUTED_VALUE"""),30.0)</f>
        <v>30</v>
      </c>
      <c r="F520" s="1">
        <f>IFERROR(__xludf.DUMMYFUNCTION("""COMPUTED_VALUE"""),75.0)</f>
        <v>75</v>
      </c>
      <c r="G520" s="1">
        <f t="shared" si="1"/>
        <v>1</v>
      </c>
      <c r="H520" s="1">
        <f t="shared" si="2"/>
        <v>0.4</v>
      </c>
      <c r="I520" s="1">
        <f>IFERROR(__xludf.DUMMYFUNCTION("IF(B520="""","""",
  100*F520 / MAX(FILTER($F:$F, $A:$A=$A520, $B:$B=$B520))
)
"),21.92982456140351)</f>
        <v>21.92982456</v>
      </c>
      <c r="J520" s="1">
        <f>IFERROR(__xludf.DUMMYFUNCTION("IF(B520="""","""",
  100*E520 / MAX(FILTER($E:$E, $A:$A=$A520, $B:$B=$B520))
)
"),12.531328320802004)</f>
        <v>12.53132832</v>
      </c>
      <c r="K520" s="1">
        <f t="shared" si="3"/>
        <v>17.70050125</v>
      </c>
    </row>
    <row r="521">
      <c r="A521" s="3">
        <f>IFERROR(__xludf.DUMMYFUNCTION("""COMPUTED_VALUE"""),45901.0)</f>
        <v>45901</v>
      </c>
      <c r="B521" s="1" t="str">
        <f>IFERROR(__xludf.DUMMYFUNCTION("""COMPUTED_VALUE"""),"SeaCost")</f>
        <v>SeaCost</v>
      </c>
      <c r="C521" s="1" t="str">
        <f>IFERROR(__xludf.DUMMYFUNCTION("""COMPUTED_VALUE"""),"Almarai Strawberry")</f>
        <v>Almarai Strawberry</v>
      </c>
      <c r="D521" s="1">
        <f>IFERROR(__xludf.DUMMYFUNCTION("""COMPUTED_VALUE"""),6.0)</f>
        <v>6</v>
      </c>
      <c r="E521" s="1">
        <f>IFERROR(__xludf.DUMMYFUNCTION("""COMPUTED_VALUE"""),1.84)</f>
        <v>1.84</v>
      </c>
      <c r="F521" s="1">
        <f>IFERROR(__xludf.DUMMYFUNCTION("""COMPUTED_VALUE"""),2.0)</f>
        <v>2</v>
      </c>
      <c r="G521" s="1">
        <f t="shared" si="1"/>
        <v>3</v>
      </c>
      <c r="H521" s="1">
        <f t="shared" si="2"/>
        <v>0.92</v>
      </c>
      <c r="I521" s="1">
        <f>IFERROR(__xludf.DUMMYFUNCTION("IF(B521="""","""",
  100*F521 / MAX(FILTER($F:$F, $A:$A=$A521, $B:$B=$B521))
)
"),8.695652173913043)</f>
        <v>8.695652174</v>
      </c>
      <c r="J521" s="1">
        <f>IFERROR(__xludf.DUMMYFUNCTION("IF(B521="""","""",
  100*E521 / MAX(FILTER($E:$E, $A:$A=$A521, $B:$B=$B521))
)
"),5.86734693877551)</f>
        <v>5.867346939</v>
      </c>
      <c r="K521" s="1">
        <f t="shared" si="3"/>
        <v>7.422914818</v>
      </c>
    </row>
    <row r="522">
      <c r="A522" s="3">
        <f>IFERROR(__xludf.DUMMYFUNCTION("""COMPUTED_VALUE"""),45901.0)</f>
        <v>45901</v>
      </c>
      <c r="B522" s="1" t="str">
        <f>IFERROR(__xludf.DUMMYFUNCTION("""COMPUTED_VALUE"""),"SeaCost")</f>
        <v>SeaCost</v>
      </c>
      <c r="C522" s="1" t="str">
        <f>IFERROR(__xludf.DUMMYFUNCTION("""COMPUTED_VALUE"""),"Doritos Dinamita")</f>
        <v>Doritos Dinamita</v>
      </c>
      <c r="D522" s="1">
        <f>IFERROR(__xludf.DUMMYFUNCTION("""COMPUTED_VALUE"""),6.0)</f>
        <v>6</v>
      </c>
      <c r="E522" s="1">
        <f>IFERROR(__xludf.DUMMYFUNCTION("""COMPUTED_VALUE"""),-1.0)</f>
        <v>-1</v>
      </c>
      <c r="F522" s="1">
        <f>IFERROR(__xludf.DUMMYFUNCTION("""COMPUTED_VALUE"""),1.0)</f>
        <v>1</v>
      </c>
      <c r="G522" s="1">
        <f t="shared" si="1"/>
        <v>6</v>
      </c>
      <c r="H522" s="1">
        <f t="shared" si="2"/>
        <v>-1</v>
      </c>
      <c r="I522" s="1">
        <f>IFERROR(__xludf.DUMMYFUNCTION("IF(B522="""","""",
  100*F522 / MAX(FILTER($F:$F, $A:$A=$A522, $B:$B=$B522))
)
"),4.3478260869565215)</f>
        <v>4.347826087</v>
      </c>
      <c r="J522" s="1">
        <f>IFERROR(__xludf.DUMMYFUNCTION("IF(B522="""","""",
  100*E522 / MAX(FILTER($E:$E, $A:$A=$A522, $B:$B=$B522))
)
"),-3.188775510204082)</f>
        <v>-3.18877551</v>
      </c>
      <c r="K522" s="1">
        <f t="shared" si="3"/>
        <v>0.9563553682</v>
      </c>
    </row>
    <row r="523">
      <c r="A523" s="3">
        <f>IFERROR(__xludf.DUMMYFUNCTION("""COMPUTED_VALUE"""),45901.0)</f>
        <v>45901</v>
      </c>
      <c r="B523" s="1" t="str">
        <f>IFERROR(__xludf.DUMMYFUNCTION("""COMPUTED_VALUE"""),"SeaCost")</f>
        <v>SeaCost</v>
      </c>
      <c r="C523" s="1" t="str">
        <f>IFERROR(__xludf.DUMMYFUNCTION("""COMPUTED_VALUE"""),"Ono cake")</f>
        <v>Ono cake</v>
      </c>
      <c r="D523" s="1">
        <f>IFERROR(__xludf.DUMMYFUNCTION("""COMPUTED_VALUE"""),12.0)</f>
        <v>12</v>
      </c>
      <c r="E523" s="1">
        <f>IFERROR(__xludf.DUMMYFUNCTION("""COMPUTED_VALUE"""),9.2)</f>
        <v>9.2</v>
      </c>
      <c r="F523" s="1">
        <f>IFERROR(__xludf.DUMMYFUNCTION("""COMPUTED_VALUE"""),4.0)</f>
        <v>4</v>
      </c>
      <c r="G523" s="1">
        <f t="shared" si="1"/>
        <v>3</v>
      </c>
      <c r="H523" s="1">
        <f t="shared" si="2"/>
        <v>2.3</v>
      </c>
      <c r="I523" s="1">
        <f>IFERROR(__xludf.DUMMYFUNCTION("IF(B523="""","""",
  100*F523 / MAX(FILTER($F:$F, $A:$A=$A523, $B:$B=$B523))
)
"),17.391304347826086)</f>
        <v>17.39130435</v>
      </c>
      <c r="J523" s="1">
        <f>IFERROR(__xludf.DUMMYFUNCTION("IF(B523="""","""",
  100*E523 / MAX(FILTER($E:$E, $A:$A=$A523, $B:$B=$B523))
)
"),29.33673469387755)</f>
        <v>29.33673469</v>
      </c>
      <c r="K523" s="1">
        <f t="shared" si="3"/>
        <v>22.766748</v>
      </c>
    </row>
    <row r="524">
      <c r="A524" s="3">
        <f>IFERROR(__xludf.DUMMYFUNCTION("""COMPUTED_VALUE"""),45901.0)</f>
        <v>45901</v>
      </c>
      <c r="B524" s="1" t="str">
        <f>IFERROR(__xludf.DUMMYFUNCTION("""COMPUTED_VALUE"""),"SeaCost")</f>
        <v>SeaCost</v>
      </c>
      <c r="C524" s="1" t="str">
        <f>IFERROR(__xludf.DUMMYFUNCTION("""COMPUTED_VALUE"""),"Pepsi 500ml")</f>
        <v>Pepsi 500ml</v>
      </c>
      <c r="D524" s="1">
        <f>IFERROR(__xludf.DUMMYFUNCTION("""COMPUTED_VALUE"""),6.0)</f>
        <v>6</v>
      </c>
      <c r="E524" s="1">
        <f>IFERROR(__xludf.DUMMYFUNCTION("""COMPUTED_VALUE"""),4.17)</f>
        <v>4.17</v>
      </c>
      <c r="F524" s="1">
        <f>IFERROR(__xludf.DUMMYFUNCTION("""COMPUTED_VALUE"""),1.0)</f>
        <v>1</v>
      </c>
      <c r="G524" s="1">
        <f t="shared" si="1"/>
        <v>6</v>
      </c>
      <c r="H524" s="1">
        <f t="shared" si="2"/>
        <v>4.17</v>
      </c>
      <c r="I524" s="1">
        <f>IFERROR(__xludf.DUMMYFUNCTION("IF(B524="""","""",
  100*F524 / MAX(FILTER($F:$F, $A:$A=$A524, $B:$B=$B524))
)
"),4.3478260869565215)</f>
        <v>4.347826087</v>
      </c>
      <c r="J524" s="1">
        <f>IFERROR(__xludf.DUMMYFUNCTION("IF(B524="""","""",
  100*E524 / MAX(FILTER($E:$E, $A:$A=$A524, $B:$B=$B524))
)
"),13.29719387755102)</f>
        <v>13.29719388</v>
      </c>
      <c r="K524" s="1">
        <f t="shared" si="3"/>
        <v>8.375041593</v>
      </c>
    </row>
    <row r="525">
      <c r="A525" s="3">
        <f>IFERROR(__xludf.DUMMYFUNCTION("""COMPUTED_VALUE"""),45901.0)</f>
        <v>45901</v>
      </c>
      <c r="B525" s="1" t="str">
        <f>IFERROR(__xludf.DUMMYFUNCTION("""COMPUTED_VALUE"""),"SeaCost")</f>
        <v>SeaCost</v>
      </c>
      <c r="C525" s="1" t="str">
        <f>IFERROR(__xludf.DUMMYFUNCTION("""COMPUTED_VALUE"""),"Schweppes")</f>
        <v>Schweppes</v>
      </c>
      <c r="D525" s="1">
        <f>IFERROR(__xludf.DUMMYFUNCTION("""COMPUTED_VALUE"""),15.0)</f>
        <v>15</v>
      </c>
      <c r="E525" s="1">
        <f>IFERROR(__xludf.DUMMYFUNCTION("""COMPUTED_VALUE"""),5.0)</f>
        <v>5</v>
      </c>
      <c r="F525" s="1">
        <f>IFERROR(__xludf.DUMMYFUNCTION("""COMPUTED_VALUE"""),5.0)</f>
        <v>5</v>
      </c>
      <c r="G525" s="1">
        <f t="shared" si="1"/>
        <v>3</v>
      </c>
      <c r="H525" s="1">
        <f t="shared" si="2"/>
        <v>1</v>
      </c>
      <c r="I525" s="1">
        <f>IFERROR(__xludf.DUMMYFUNCTION("IF(B525="""","""",
  100*F525 / MAX(FILTER($F:$F, $A:$A=$A525, $B:$B=$B525))
)
"),21.73913043478261)</f>
        <v>21.73913043</v>
      </c>
      <c r="J525" s="1">
        <f>IFERROR(__xludf.DUMMYFUNCTION("IF(B525="""","""",
  100*E525 / MAX(FILTER($E:$E, $A:$A=$A525, $B:$B=$B525))
)
"),15.943877551020408)</f>
        <v>15.94387755</v>
      </c>
      <c r="K525" s="1">
        <f t="shared" si="3"/>
        <v>19.13126664</v>
      </c>
    </row>
    <row r="526">
      <c r="A526" s="3">
        <f>IFERROR(__xludf.DUMMYFUNCTION("""COMPUTED_VALUE"""),45901.0)</f>
        <v>45901</v>
      </c>
      <c r="B526" s="1" t="str">
        <f>IFERROR(__xludf.DUMMYFUNCTION("""COMPUTED_VALUE"""),"SeaCost")</f>
        <v>SeaCost</v>
      </c>
      <c r="C526" s="1" t="str">
        <f>IFERROR(__xludf.DUMMYFUNCTION("""COMPUTED_VALUE"""),"Skittles drink")</f>
        <v>Skittles drink</v>
      </c>
      <c r="D526" s="1">
        <f>IFERROR(__xludf.DUMMYFUNCTION("""COMPUTED_VALUE"""),15.0)</f>
        <v>15</v>
      </c>
      <c r="E526" s="1">
        <f>IFERROR(__xludf.DUMMYFUNCTION("""COMPUTED_VALUE"""),-8.75)</f>
        <v>-8.75</v>
      </c>
      <c r="F526" s="1">
        <f>IFERROR(__xludf.DUMMYFUNCTION("""COMPUTED_VALUE"""),5.0)</f>
        <v>5</v>
      </c>
      <c r="G526" s="1">
        <f t="shared" si="1"/>
        <v>3</v>
      </c>
      <c r="H526" s="1">
        <f t="shared" si="2"/>
        <v>-1.75</v>
      </c>
      <c r="I526" s="1">
        <f>IFERROR(__xludf.DUMMYFUNCTION("IF(B526="""","""",
  100*F526 / MAX(FILTER($F:$F, $A:$A=$A526, $B:$B=$B526))
)
"),21.73913043478261)</f>
        <v>21.73913043</v>
      </c>
      <c r="J526" s="1">
        <f>IFERROR(__xludf.DUMMYFUNCTION("IF(B526="""","""",
  100*E526 / MAX(FILTER($E:$E, $A:$A=$A526, $B:$B=$B526))
)
"),-27.901785714285715)</f>
        <v>-27.90178571</v>
      </c>
      <c r="K526" s="1">
        <f t="shared" si="3"/>
        <v>-0.5992818323</v>
      </c>
    </row>
    <row r="527">
      <c r="A527" s="3">
        <f>IFERROR(__xludf.DUMMYFUNCTION("""COMPUTED_VALUE"""),45901.0)</f>
        <v>45901</v>
      </c>
      <c r="B527" s="1" t="str">
        <f>IFERROR(__xludf.DUMMYFUNCTION("""COMPUTED_VALUE"""),"SeaCost")</f>
        <v>SeaCost</v>
      </c>
      <c r="C527" s="1" t="str">
        <f>IFERROR(__xludf.DUMMYFUNCTION("""COMPUTED_VALUE"""),"Tiger *12")</f>
        <v>Tiger *12</v>
      </c>
      <c r="D527" s="1">
        <f>IFERROR(__xludf.DUMMYFUNCTION("""COMPUTED_VALUE"""),56.0)</f>
        <v>56</v>
      </c>
      <c r="E527" s="1">
        <f>IFERROR(__xludf.DUMMYFUNCTION("""COMPUTED_VALUE"""),31.36)</f>
        <v>31.36</v>
      </c>
      <c r="F527" s="1">
        <f>IFERROR(__xludf.DUMMYFUNCTION("""COMPUTED_VALUE"""),8.0)</f>
        <v>8</v>
      </c>
      <c r="G527" s="1">
        <f t="shared" si="1"/>
        <v>7</v>
      </c>
      <c r="H527" s="1">
        <f t="shared" si="2"/>
        <v>3.92</v>
      </c>
      <c r="I527" s="1">
        <f>IFERROR(__xludf.DUMMYFUNCTION("IF(B527="""","""",
  100*F527 / MAX(FILTER($F:$F, $A:$A=$A527, $B:$B=$B527))
)
"),34.78260869565217)</f>
        <v>34.7826087</v>
      </c>
      <c r="J527" s="1">
        <f>IFERROR(__xludf.DUMMYFUNCTION("IF(B527="""","""",
  100*E527 / MAX(FILTER($E:$E, $A:$A=$A527, $B:$B=$B527))
)
"),100.0)</f>
        <v>100</v>
      </c>
      <c r="K527" s="1">
        <f t="shared" si="3"/>
        <v>64.13043478</v>
      </c>
    </row>
    <row r="528">
      <c r="A528" s="3">
        <f>IFERROR(__xludf.DUMMYFUNCTION("""COMPUTED_VALUE"""),45901.0)</f>
        <v>45901</v>
      </c>
      <c r="B528" s="1" t="str">
        <f>IFERROR(__xludf.DUMMYFUNCTION("""COMPUTED_VALUE"""),"SeaCost")</f>
        <v>SeaCost</v>
      </c>
      <c r="C528" s="1" t="str">
        <f>IFERROR(__xludf.DUMMYFUNCTION("""COMPUTED_VALUE"""),"Toren Dark Chocolate")</f>
        <v>Toren Dark Chocolate</v>
      </c>
      <c r="D528" s="1">
        <f>IFERROR(__xludf.DUMMYFUNCTION("""COMPUTED_VALUE"""),2.0)</f>
        <v>2</v>
      </c>
      <c r="E528" s="1">
        <f>IFERROR(__xludf.DUMMYFUNCTION("""COMPUTED_VALUE"""),1.09)</f>
        <v>1.09</v>
      </c>
      <c r="F528" s="1">
        <f>IFERROR(__xludf.DUMMYFUNCTION("""COMPUTED_VALUE"""),1.0)</f>
        <v>1</v>
      </c>
      <c r="G528" s="1">
        <f t="shared" si="1"/>
        <v>2</v>
      </c>
      <c r="H528" s="1">
        <f t="shared" si="2"/>
        <v>1.09</v>
      </c>
      <c r="I528" s="1">
        <f>IFERROR(__xludf.DUMMYFUNCTION("IF(B528="""","""",
  100*F528 / MAX(FILTER($F:$F, $A:$A=$A528, $B:$B=$B528))
)
"),4.3478260869565215)</f>
        <v>4.347826087</v>
      </c>
      <c r="J528" s="1">
        <f>IFERROR(__xludf.DUMMYFUNCTION("IF(B528="""","""",
  100*E528 / MAX(FILTER($E:$E, $A:$A=$A528, $B:$B=$B528))
)
"),3.4757653061224496)</f>
        <v>3.475765306</v>
      </c>
      <c r="K528" s="1">
        <f t="shared" si="3"/>
        <v>3.955398736</v>
      </c>
    </row>
    <row r="529">
      <c r="A529" s="3">
        <f>IFERROR(__xludf.DUMMYFUNCTION("""COMPUTED_VALUE"""),45901.0)</f>
        <v>45901</v>
      </c>
      <c r="B529" s="1" t="str">
        <f>IFERROR(__xludf.DUMMYFUNCTION("""COMPUTED_VALUE"""),"SeaCost")</f>
        <v>SeaCost</v>
      </c>
      <c r="C529" s="1" t="str">
        <f>IFERROR(__xludf.DUMMYFUNCTION("""COMPUTED_VALUE"""),"Water")</f>
        <v>Water</v>
      </c>
      <c r="D529" s="1">
        <f>IFERROR(__xludf.DUMMYFUNCTION("""COMPUTED_VALUE"""),23.0)</f>
        <v>23</v>
      </c>
      <c r="E529" s="1">
        <f>IFERROR(__xludf.DUMMYFUNCTION("""COMPUTED_VALUE"""),16.1)</f>
        <v>16.1</v>
      </c>
      <c r="F529" s="1">
        <f>IFERROR(__xludf.DUMMYFUNCTION("""COMPUTED_VALUE"""),23.0)</f>
        <v>23</v>
      </c>
      <c r="G529" s="1">
        <f t="shared" si="1"/>
        <v>1</v>
      </c>
      <c r="H529" s="1">
        <f t="shared" si="2"/>
        <v>0.7</v>
      </c>
      <c r="I529" s="1">
        <f>IFERROR(__xludf.DUMMYFUNCTION("IF(B529="""","""",
  100*F529 / MAX(FILTER($F:$F, $A:$A=$A529, $B:$B=$B529))
)
"),100.0)</f>
        <v>100</v>
      </c>
      <c r="J529" s="1">
        <f>IFERROR(__xludf.DUMMYFUNCTION("IF(B529="""","""",
  100*E529 / MAX(FILTER($E:$E, $A:$A=$A529, $B:$B=$B529))
)
"),51.33928571428572)</f>
        <v>51.33928571</v>
      </c>
      <c r="K529" s="1">
        <f t="shared" si="3"/>
        <v>78.10267857</v>
      </c>
    </row>
    <row r="530">
      <c r="A530" s="3">
        <f>IFERROR(__xludf.DUMMYFUNCTION("""COMPUTED_VALUE"""),45901.0)</f>
        <v>45901</v>
      </c>
      <c r="B530" s="1" t="str">
        <f>IFERROR(__xludf.DUMMYFUNCTION("""COMPUTED_VALUE"""),"SeaCost")</f>
        <v>SeaCost</v>
      </c>
      <c r="C530" s="1" t="str">
        <f>IFERROR(__xludf.DUMMYFUNCTION("""COMPUTED_VALUE"""),"bonart")</f>
        <v>bonart</v>
      </c>
      <c r="D530" s="1">
        <f>IFERROR(__xludf.DUMMYFUNCTION("""COMPUTED_VALUE"""),6.0)</f>
        <v>6</v>
      </c>
      <c r="E530" s="1">
        <f>IFERROR(__xludf.DUMMYFUNCTION("""COMPUTED_VALUE"""),0.16)</f>
        <v>0.16</v>
      </c>
      <c r="F530" s="1">
        <f>IFERROR(__xludf.DUMMYFUNCTION("""COMPUTED_VALUE"""),2.0)</f>
        <v>2</v>
      </c>
      <c r="G530" s="1">
        <f t="shared" si="1"/>
        <v>3</v>
      </c>
      <c r="H530" s="1">
        <f t="shared" si="2"/>
        <v>0.08</v>
      </c>
      <c r="I530" s="1">
        <f>IFERROR(__xludf.DUMMYFUNCTION("IF(B530="""","""",
  100*F530 / MAX(FILTER($F:$F, $A:$A=$A530, $B:$B=$B530))
)
"),8.695652173913043)</f>
        <v>8.695652174</v>
      </c>
      <c r="J530" s="1">
        <f>IFERROR(__xludf.DUMMYFUNCTION("IF(B530="""","""",
  100*E530 / MAX(FILTER($E:$E, $A:$A=$A530, $B:$B=$B530))
)
"),0.5102040816326531)</f>
        <v>0.5102040816</v>
      </c>
      <c r="K530" s="1">
        <f t="shared" si="3"/>
        <v>5.012200532</v>
      </c>
    </row>
    <row r="531">
      <c r="A531" s="3">
        <f>IFERROR(__xludf.DUMMYFUNCTION("""COMPUTED_VALUE"""),45901.0)</f>
        <v>45901</v>
      </c>
      <c r="B531" s="1" t="str">
        <f>IFERROR(__xludf.DUMMYFUNCTION("""COMPUTED_VALUE"""),"SeaCost")</f>
        <v>SeaCost</v>
      </c>
      <c r="C531" s="1" t="str">
        <f>IFERROR(__xludf.DUMMYFUNCTION("""COMPUTED_VALUE"""),"kinza")</f>
        <v>kinza</v>
      </c>
      <c r="D531" s="1">
        <f>IFERROR(__xludf.DUMMYFUNCTION("""COMPUTED_VALUE"""),12.0)</f>
        <v>12</v>
      </c>
      <c r="E531" s="1">
        <f>IFERROR(__xludf.DUMMYFUNCTION("""COMPUTED_VALUE"""),7.38)</f>
        <v>7.38</v>
      </c>
      <c r="F531" s="1">
        <f>IFERROR(__xludf.DUMMYFUNCTION("""COMPUTED_VALUE"""),3.0)</f>
        <v>3</v>
      </c>
      <c r="G531" s="1">
        <f t="shared" si="1"/>
        <v>4</v>
      </c>
      <c r="H531" s="1">
        <f t="shared" si="2"/>
        <v>2.46</v>
      </c>
      <c r="I531" s="1">
        <f>IFERROR(__xludf.DUMMYFUNCTION("IF(B531="""","""",
  100*F531 / MAX(FILTER($F:$F, $A:$A=$A531, $B:$B=$B531))
)
"),13.043478260869565)</f>
        <v>13.04347826</v>
      </c>
      <c r="J531" s="1">
        <f>IFERROR(__xludf.DUMMYFUNCTION("IF(B531="""","""",
  100*E531 / MAX(FILTER($E:$E, $A:$A=$A531, $B:$B=$B531))
)
"),23.533163265306122)</f>
        <v>23.53316327</v>
      </c>
      <c r="K531" s="1">
        <f t="shared" si="3"/>
        <v>17.76383651</v>
      </c>
    </row>
    <row r="532">
      <c r="A532" s="3">
        <f>IFERROR(__xludf.DUMMYFUNCTION("""COMPUTED_VALUE"""),45901.0)</f>
        <v>45901</v>
      </c>
      <c r="B532" s="1" t="str">
        <f>IFERROR(__xludf.DUMMYFUNCTION("""COMPUTED_VALUE"""),"SeaCost")</f>
        <v>SeaCost</v>
      </c>
      <c r="C532" s="1" t="str">
        <f>IFERROR(__xludf.DUMMYFUNCTION("""COMPUTED_VALUE"""),"m&amp;m")</f>
        <v>m&amp;m</v>
      </c>
      <c r="D532" s="1">
        <f>IFERROR(__xludf.DUMMYFUNCTION("""COMPUTED_VALUE"""),12.0)</f>
        <v>12</v>
      </c>
      <c r="E532" s="1">
        <f>IFERROR(__xludf.DUMMYFUNCTION("""COMPUTED_VALUE"""),8.21)</f>
        <v>8.21</v>
      </c>
      <c r="F532" s="1">
        <f>IFERROR(__xludf.DUMMYFUNCTION("""COMPUTED_VALUE"""),1.0)</f>
        <v>1</v>
      </c>
      <c r="G532" s="1">
        <f t="shared" si="1"/>
        <v>12</v>
      </c>
      <c r="H532" s="1">
        <f t="shared" si="2"/>
        <v>8.21</v>
      </c>
      <c r="I532" s="1">
        <f>IFERROR(__xludf.DUMMYFUNCTION("IF(B532="""","""",
  100*F532 / MAX(FILTER($F:$F, $A:$A=$A532, $B:$B=$B532))
)
"),4.3478260869565215)</f>
        <v>4.347826087</v>
      </c>
      <c r="J532" s="1">
        <f>IFERROR(__xludf.DUMMYFUNCTION("IF(B532="""","""",
  100*E532 / MAX(FILTER($E:$E, $A:$A=$A532, $B:$B=$B532))
)
"),26.179846938775515)</f>
        <v>26.17984694</v>
      </c>
      <c r="K532" s="1">
        <f t="shared" si="3"/>
        <v>14.17223547</v>
      </c>
    </row>
    <row r="533">
      <c r="A533" s="3">
        <f>IFERROR(__xludf.DUMMYFUNCTION("""COMPUTED_VALUE"""),45901.0)</f>
        <v>45901</v>
      </c>
      <c r="B533" s="1" t="str">
        <f>IFERROR(__xludf.DUMMYFUNCTION("""COMPUTED_VALUE"""),"SeaCost")</f>
        <v>SeaCost</v>
      </c>
      <c r="C533" s="1" t="str">
        <f>IFERROR(__xludf.DUMMYFUNCTION("""COMPUTED_VALUE"""),"mr bite")</f>
        <v>mr bite</v>
      </c>
      <c r="D533" s="1">
        <f>IFERROR(__xludf.DUMMYFUNCTION("""COMPUTED_VALUE"""),2.0)</f>
        <v>2</v>
      </c>
      <c r="E533" s="1">
        <f>IFERROR(__xludf.DUMMYFUNCTION("""COMPUTED_VALUE"""),0.67)</f>
        <v>0.67</v>
      </c>
      <c r="F533" s="1">
        <f>IFERROR(__xludf.DUMMYFUNCTION("""COMPUTED_VALUE"""),1.0)</f>
        <v>1</v>
      </c>
      <c r="G533" s="1">
        <f t="shared" si="1"/>
        <v>2</v>
      </c>
      <c r="H533" s="1">
        <f t="shared" si="2"/>
        <v>0.67</v>
      </c>
      <c r="I533" s="1">
        <f>IFERROR(__xludf.DUMMYFUNCTION("IF(B533="""","""",
  100*F533 / MAX(FILTER($F:$F, $A:$A=$A533, $B:$B=$B533))
)
"),4.3478260869565215)</f>
        <v>4.347826087</v>
      </c>
      <c r="J533" s="1">
        <f>IFERROR(__xludf.DUMMYFUNCTION("IF(B533="""","""",
  100*E533 / MAX(FILTER($E:$E, $A:$A=$A533, $B:$B=$B533))
)
"),2.1364795918367347)</f>
        <v>2.136479592</v>
      </c>
      <c r="K533" s="1">
        <f t="shared" si="3"/>
        <v>3.352720164</v>
      </c>
    </row>
    <row r="534">
      <c r="A534" s="3">
        <f>IFERROR(__xludf.DUMMYFUNCTION("""COMPUTED_VALUE"""),45901.0)</f>
        <v>45901</v>
      </c>
      <c r="B534" s="1" t="str">
        <f>IFERROR(__xludf.DUMMYFUNCTION("""COMPUTED_VALUE"""),"SeaCost")</f>
        <v>SeaCost</v>
      </c>
      <c r="C534" s="1" t="str">
        <f>IFERROR(__xludf.DUMMYFUNCTION("""COMPUTED_VALUE"""),"sunTop")</f>
        <v>sunTop</v>
      </c>
      <c r="D534" s="1">
        <f>IFERROR(__xludf.DUMMYFUNCTION("""COMPUTED_VALUE"""),15.0)</f>
        <v>15</v>
      </c>
      <c r="E534" s="1">
        <f>IFERROR(__xludf.DUMMYFUNCTION("""COMPUTED_VALUE"""),10.2)</f>
        <v>10.2</v>
      </c>
      <c r="F534" s="1">
        <f>IFERROR(__xludf.DUMMYFUNCTION("""COMPUTED_VALUE"""),8.0)</f>
        <v>8</v>
      </c>
      <c r="G534" s="1">
        <f t="shared" si="1"/>
        <v>1.875</v>
      </c>
      <c r="H534" s="1">
        <f t="shared" si="2"/>
        <v>1.275</v>
      </c>
      <c r="I534" s="1">
        <f>IFERROR(__xludf.DUMMYFUNCTION("IF(B534="""","""",
  100*F534 / MAX(FILTER($F:$F, $A:$A=$A534, $B:$B=$B534))
)
"),34.78260869565217)</f>
        <v>34.7826087</v>
      </c>
      <c r="J534" s="1">
        <f>IFERROR(__xludf.DUMMYFUNCTION("IF(B534="""","""",
  100*E534 / MAX(FILTER($E:$E, $A:$A=$A534, $B:$B=$B534))
)
"),32.52551020408163)</f>
        <v>32.5255102</v>
      </c>
      <c r="K534" s="1">
        <f t="shared" si="3"/>
        <v>33.76691437</v>
      </c>
    </row>
    <row r="535">
      <c r="A535" s="3">
        <f>IFERROR(__xludf.DUMMYFUNCTION("""COMPUTED_VALUE"""),45901.0)</f>
        <v>45901</v>
      </c>
      <c r="B535" s="1" t="str">
        <f>IFERROR(__xludf.DUMMYFUNCTION("""COMPUTED_VALUE"""),"SeaCost")</f>
        <v>SeaCost</v>
      </c>
      <c r="C535" s="1" t="str">
        <f>IFERROR(__xludf.DUMMYFUNCTION("""COMPUTED_VALUE"""),"zigi marinated peanuts")</f>
        <v>zigi marinated peanuts</v>
      </c>
      <c r="D535" s="1">
        <f>IFERROR(__xludf.DUMMYFUNCTION("""COMPUTED_VALUE"""),12.0)</f>
        <v>12</v>
      </c>
      <c r="E535" s="1">
        <f>IFERROR(__xludf.DUMMYFUNCTION("""COMPUTED_VALUE"""),5.0)</f>
        <v>5</v>
      </c>
      <c r="F535" s="1">
        <f>IFERROR(__xludf.DUMMYFUNCTION("""COMPUTED_VALUE"""),2.0)</f>
        <v>2</v>
      </c>
      <c r="G535" s="1">
        <f t="shared" si="1"/>
        <v>6</v>
      </c>
      <c r="H535" s="1">
        <f t="shared" si="2"/>
        <v>2.5</v>
      </c>
      <c r="I535" s="1">
        <f>IFERROR(__xludf.DUMMYFUNCTION("IF(B535="""","""",
  100*F535 / MAX(FILTER($F:$F, $A:$A=$A535, $B:$B=$B535))
)
"),8.695652173913043)</f>
        <v>8.695652174</v>
      </c>
      <c r="J535" s="1">
        <f>IFERROR(__xludf.DUMMYFUNCTION("IF(B535="""","""",
  100*E535 / MAX(FILTER($E:$E, $A:$A=$A535, $B:$B=$B535))
)
"),15.943877551020408)</f>
        <v>15.94387755</v>
      </c>
      <c r="K535" s="1">
        <f t="shared" si="3"/>
        <v>11.95735359</v>
      </c>
    </row>
    <row r="536">
      <c r="A536" s="3">
        <f>IFERROR(__xludf.DUMMYFUNCTION("""COMPUTED_VALUE"""),45931.0)</f>
        <v>45931</v>
      </c>
      <c r="B536" s="1" t="str">
        <f>IFERROR(__xludf.DUMMYFUNCTION("""COMPUTED_VALUE"""),"DPMall")</f>
        <v>DPMall</v>
      </c>
      <c r="C536" s="1" t="str">
        <f>IFERROR(__xludf.DUMMYFUNCTION("""COMPUTED_VALUE"""),"Doritos nacho")</f>
        <v>Doritos nacho</v>
      </c>
      <c r="D536" s="1">
        <f>IFERROR(__xludf.DUMMYFUNCTION("""COMPUTED_VALUE"""),765.0)</f>
        <v>765</v>
      </c>
      <c r="E536" s="1">
        <f>IFERROR(__xludf.DUMMYFUNCTION("""COMPUTED_VALUE"""),765.0)</f>
        <v>765</v>
      </c>
      <c r="F536" s="1">
        <f>IFERROR(__xludf.DUMMYFUNCTION("""COMPUTED_VALUE"""),153.0)</f>
        <v>153</v>
      </c>
      <c r="G536" s="1">
        <f t="shared" si="1"/>
        <v>5</v>
      </c>
      <c r="H536" s="1">
        <f t="shared" si="2"/>
        <v>5</v>
      </c>
      <c r="I536" s="1">
        <f>IFERROR(__xludf.DUMMYFUNCTION("IF(B536="""","""",
  100*F536 / MAX(FILTER($F:$F, $A:$A=$A536, $B:$B=$B536))
)
"),30.297029702970296)</f>
        <v>30.2970297</v>
      </c>
      <c r="J536" s="1">
        <f>IFERROR(__xludf.DUMMYFUNCTION("IF(B536="""","""",
  100*E536 / MAX(FILTER($E:$E, $A:$A=$A536, $B:$B=$B536))
)
"),100.0)</f>
        <v>100</v>
      </c>
      <c r="K536" s="1">
        <f t="shared" si="3"/>
        <v>61.66336634</v>
      </c>
    </row>
    <row r="537">
      <c r="A537" s="3">
        <f>IFERROR(__xludf.DUMMYFUNCTION("""COMPUTED_VALUE"""),45931.0)</f>
        <v>45931</v>
      </c>
      <c r="B537" s="1" t="str">
        <f>IFERROR(__xludf.DUMMYFUNCTION("""COMPUTED_VALUE"""),"DPMall")</f>
        <v>DPMall</v>
      </c>
      <c r="C537" s="1" t="str">
        <f>IFERROR(__xludf.DUMMYFUNCTION("""COMPUTED_VALUE"""),"Freez drink")</f>
        <v>Freez drink</v>
      </c>
      <c r="D537" s="1">
        <f>IFERROR(__xludf.DUMMYFUNCTION("""COMPUTED_VALUE"""),45.0)</f>
        <v>45</v>
      </c>
      <c r="E537" s="1">
        <f>IFERROR(__xludf.DUMMYFUNCTION("""COMPUTED_VALUE"""),45.0)</f>
        <v>45</v>
      </c>
      <c r="F537" s="1">
        <f>IFERROR(__xludf.DUMMYFUNCTION("""COMPUTED_VALUE"""),14.0)</f>
        <v>14</v>
      </c>
      <c r="G537" s="1">
        <f t="shared" si="1"/>
        <v>3.214285714</v>
      </c>
      <c r="H537" s="1">
        <f t="shared" si="2"/>
        <v>3.214285714</v>
      </c>
      <c r="I537" s="1">
        <f>IFERROR(__xludf.DUMMYFUNCTION("IF(B537="""","""",
  100*F537 / MAX(FILTER($F:$F, $A:$A=$A537, $B:$B=$B537))
)
"),2.772277227722772)</f>
        <v>2.772277228</v>
      </c>
      <c r="J537" s="1">
        <f>IFERROR(__xludf.DUMMYFUNCTION("IF(B537="""","""",
  100*E537 / MAX(FILTER($E:$E, $A:$A=$A537, $B:$B=$B537))
)
"),5.882352941176471)</f>
        <v>5.882352941</v>
      </c>
      <c r="K537" s="1">
        <f t="shared" si="3"/>
        <v>4.171811299</v>
      </c>
    </row>
    <row r="538">
      <c r="A538" s="3">
        <f>IFERROR(__xludf.DUMMYFUNCTION("""COMPUTED_VALUE"""),45931.0)</f>
        <v>45931</v>
      </c>
      <c r="B538" s="1" t="str">
        <f>IFERROR(__xludf.DUMMYFUNCTION("""COMPUTED_VALUE"""),"DPMall")</f>
        <v>DPMall</v>
      </c>
      <c r="C538" s="1" t="str">
        <f>IFERROR(__xludf.DUMMYFUNCTION("""COMPUTED_VALUE"""),"Gardena")</f>
        <v>Gardena</v>
      </c>
      <c r="D538" s="1">
        <f>IFERROR(__xludf.DUMMYFUNCTION("""COMPUTED_VALUE"""),63.0)</f>
        <v>63</v>
      </c>
      <c r="E538" s="1">
        <f>IFERROR(__xludf.DUMMYFUNCTION("""COMPUTED_VALUE"""),63.0)</f>
        <v>63</v>
      </c>
      <c r="F538" s="1">
        <f>IFERROR(__xludf.DUMMYFUNCTION("""COMPUTED_VALUE"""),15.0)</f>
        <v>15</v>
      </c>
      <c r="G538" s="1">
        <f t="shared" si="1"/>
        <v>4.2</v>
      </c>
      <c r="H538" s="1">
        <f t="shared" si="2"/>
        <v>4.2</v>
      </c>
      <c r="I538" s="1">
        <f>IFERROR(__xludf.DUMMYFUNCTION("IF(B538="""","""",
  100*F538 / MAX(FILTER($F:$F, $A:$A=$A538, $B:$B=$B538))
)
"),2.9702970297029703)</f>
        <v>2.97029703</v>
      </c>
      <c r="J538" s="1">
        <f>IFERROR(__xludf.DUMMYFUNCTION("IF(B538="""","""",
  100*E538 / MAX(FILTER($E:$E, $A:$A=$A538, $B:$B=$B538))
)
"),8.235294117647058)</f>
        <v>8.235294118</v>
      </c>
      <c r="K538" s="1">
        <f t="shared" si="3"/>
        <v>5.339545719</v>
      </c>
    </row>
    <row r="539">
      <c r="A539" s="3">
        <f>IFERROR(__xludf.DUMMYFUNCTION("""COMPUTED_VALUE"""),45931.0)</f>
        <v>45931</v>
      </c>
      <c r="B539" s="1" t="str">
        <f>IFERROR(__xludf.DUMMYFUNCTION("""COMPUTED_VALUE"""),"DPMall")</f>
        <v>DPMall</v>
      </c>
      <c r="C539" s="1" t="str">
        <f>IFERROR(__xludf.DUMMYFUNCTION("""COMPUTED_VALUE"""),"Green")</f>
        <v>Green</v>
      </c>
      <c r="D539" s="1">
        <f>IFERROR(__xludf.DUMMYFUNCTION("""COMPUTED_VALUE"""),72.0)</f>
        <v>72</v>
      </c>
      <c r="E539" s="1">
        <f>IFERROR(__xludf.DUMMYFUNCTION("""COMPUTED_VALUE"""),72.0)</f>
        <v>72</v>
      </c>
      <c r="F539" s="1">
        <f>IFERROR(__xludf.DUMMYFUNCTION("""COMPUTED_VALUE"""),24.0)</f>
        <v>24</v>
      </c>
      <c r="G539" s="1">
        <f t="shared" si="1"/>
        <v>3</v>
      </c>
      <c r="H539" s="1">
        <f t="shared" si="2"/>
        <v>3</v>
      </c>
      <c r="I539" s="1">
        <f>IFERROR(__xludf.DUMMYFUNCTION("IF(B539="""","""",
  100*F539 / MAX(FILTER($F:$F, $A:$A=$A539, $B:$B=$B539))
)
"),4.752475247524752)</f>
        <v>4.752475248</v>
      </c>
      <c r="J539" s="1">
        <f>IFERROR(__xludf.DUMMYFUNCTION("IF(B539="""","""",
  100*E539 / MAX(FILTER($E:$E, $A:$A=$A539, $B:$B=$B539))
)
"),9.411764705882353)</f>
        <v>9.411764706</v>
      </c>
      <c r="K539" s="1">
        <f t="shared" si="3"/>
        <v>6.849155504</v>
      </c>
    </row>
    <row r="540">
      <c r="A540" s="3">
        <f>IFERROR(__xludf.DUMMYFUNCTION("""COMPUTED_VALUE"""),45931.0)</f>
        <v>45931</v>
      </c>
      <c r="B540" s="1" t="str">
        <f>IFERROR(__xludf.DUMMYFUNCTION("""COMPUTED_VALUE"""),"DPMall")</f>
        <v>DPMall</v>
      </c>
      <c r="C540" s="1" t="str">
        <f>IFERROR(__xludf.DUMMYFUNCTION("""COMPUTED_VALUE"""),"Laviva")</f>
        <v>Laviva</v>
      </c>
      <c r="D540" s="1">
        <f>IFERROR(__xludf.DUMMYFUNCTION("""COMPUTED_VALUE"""),102.0)</f>
        <v>102</v>
      </c>
      <c r="E540" s="1">
        <f>IFERROR(__xludf.DUMMYFUNCTION("""COMPUTED_VALUE"""),102.0)</f>
        <v>102</v>
      </c>
      <c r="F540" s="1">
        <f>IFERROR(__xludf.DUMMYFUNCTION("""COMPUTED_VALUE"""),34.0)</f>
        <v>34</v>
      </c>
      <c r="G540" s="1">
        <f t="shared" si="1"/>
        <v>3</v>
      </c>
      <c r="H540" s="1">
        <f t="shared" si="2"/>
        <v>3</v>
      </c>
      <c r="I540" s="1">
        <f>IFERROR(__xludf.DUMMYFUNCTION("IF(B540="""","""",
  100*F540 / MAX(FILTER($F:$F, $A:$A=$A540, $B:$B=$B540))
)
"),6.732673267326732)</f>
        <v>6.732673267</v>
      </c>
      <c r="J540" s="1">
        <f>IFERROR(__xludf.DUMMYFUNCTION("IF(B540="""","""",
  100*E540 / MAX(FILTER($E:$E, $A:$A=$A540, $B:$B=$B540))
)
"),13.333333333333334)</f>
        <v>13.33333333</v>
      </c>
      <c r="K540" s="1">
        <f t="shared" si="3"/>
        <v>9.702970297</v>
      </c>
    </row>
    <row r="541">
      <c r="A541" s="3">
        <f>IFERROR(__xludf.DUMMYFUNCTION("""COMPUTED_VALUE"""),45931.0)</f>
        <v>45931</v>
      </c>
      <c r="B541" s="1" t="str">
        <f>IFERROR(__xludf.DUMMYFUNCTION("""COMPUTED_VALUE"""),"DPMall")</f>
        <v>DPMall</v>
      </c>
      <c r="C541" s="1" t="str">
        <f>IFERROR(__xludf.DUMMYFUNCTION("""COMPUTED_VALUE"""),"Maltesers")</f>
        <v>Maltesers</v>
      </c>
      <c r="D541" s="1">
        <f>IFERROR(__xludf.DUMMYFUNCTION("""COMPUTED_VALUE"""),144.0)</f>
        <v>144</v>
      </c>
      <c r="E541" s="1">
        <f>IFERROR(__xludf.DUMMYFUNCTION("""COMPUTED_VALUE"""),144.0)</f>
        <v>144</v>
      </c>
      <c r="F541" s="1">
        <f>IFERROR(__xludf.DUMMYFUNCTION("""COMPUTED_VALUE"""),24.0)</f>
        <v>24</v>
      </c>
      <c r="G541" s="1">
        <f t="shared" si="1"/>
        <v>6</v>
      </c>
      <c r="H541" s="1">
        <f t="shared" si="2"/>
        <v>6</v>
      </c>
      <c r="I541" s="1">
        <f>IFERROR(__xludf.DUMMYFUNCTION("IF(B541="""","""",
  100*F541 / MAX(FILTER($F:$F, $A:$A=$A541, $B:$B=$B541))
)
"),4.752475247524752)</f>
        <v>4.752475248</v>
      </c>
      <c r="J541" s="1">
        <f>IFERROR(__xludf.DUMMYFUNCTION("IF(B541="""","""",
  100*E541 / MAX(FILTER($E:$E, $A:$A=$A541, $B:$B=$B541))
)
"),18.823529411764707)</f>
        <v>18.82352941</v>
      </c>
      <c r="K541" s="1">
        <f t="shared" si="3"/>
        <v>11.08444962</v>
      </c>
    </row>
    <row r="542">
      <c r="A542" s="3">
        <f>IFERROR(__xludf.DUMMYFUNCTION("""COMPUTED_VALUE"""),45931.0)</f>
        <v>45931</v>
      </c>
      <c r="B542" s="1" t="str">
        <f>IFERROR(__xludf.DUMMYFUNCTION("""COMPUTED_VALUE"""),"DPMall")</f>
        <v>DPMall</v>
      </c>
      <c r="C542" s="1" t="str">
        <f>IFERROR(__xludf.DUMMYFUNCTION("""COMPUTED_VALUE"""),"Marshmellow sweetBag")</f>
        <v>Marshmellow sweetBag</v>
      </c>
      <c r="D542" s="1">
        <f>IFERROR(__xludf.DUMMYFUNCTION("""COMPUTED_VALUE"""),78.0)</f>
        <v>78</v>
      </c>
      <c r="E542" s="1">
        <f>IFERROR(__xludf.DUMMYFUNCTION("""COMPUTED_VALUE"""),78.0)</f>
        <v>78</v>
      </c>
      <c r="F542" s="1">
        <f>IFERROR(__xludf.DUMMYFUNCTION("""COMPUTED_VALUE"""),22.0)</f>
        <v>22</v>
      </c>
      <c r="G542" s="1">
        <f t="shared" si="1"/>
        <v>3.545454545</v>
      </c>
      <c r="H542" s="1">
        <f t="shared" si="2"/>
        <v>3.545454545</v>
      </c>
      <c r="I542" s="1">
        <f>IFERROR(__xludf.DUMMYFUNCTION("IF(B542="""","""",
  100*F542 / MAX(FILTER($F:$F, $A:$A=$A542, $B:$B=$B542))
)
"),4.356435643564357)</f>
        <v>4.356435644</v>
      </c>
      <c r="J542" s="1">
        <f>IFERROR(__xludf.DUMMYFUNCTION("IF(B542="""","""",
  100*E542 / MAX(FILTER($E:$E, $A:$A=$A542, $B:$B=$B542))
)
"),10.196078431372548)</f>
        <v>10.19607843</v>
      </c>
      <c r="K542" s="1">
        <f t="shared" si="3"/>
        <v>6.984274898</v>
      </c>
    </row>
    <row r="543">
      <c r="A543" s="3">
        <f>IFERROR(__xludf.DUMMYFUNCTION("""COMPUTED_VALUE"""),45931.0)</f>
        <v>45931</v>
      </c>
      <c r="B543" s="1" t="str">
        <f>IFERROR(__xludf.DUMMYFUNCTION("""COMPUTED_VALUE"""),"DPMall")</f>
        <v>DPMall</v>
      </c>
      <c r="C543" s="1" t="str">
        <f>IFERROR(__xludf.DUMMYFUNCTION("""COMPUTED_VALUE"""),"Tiger *12")</f>
        <v>Tiger *12</v>
      </c>
      <c r="D543" s="1">
        <f>IFERROR(__xludf.DUMMYFUNCTION("""COMPUTED_VALUE"""),715.0)</f>
        <v>715</v>
      </c>
      <c r="E543" s="1">
        <f>IFERROR(__xludf.DUMMYFUNCTION("""COMPUTED_VALUE"""),715.0)</f>
        <v>715</v>
      </c>
      <c r="F543" s="1">
        <f>IFERROR(__xludf.DUMMYFUNCTION("""COMPUTED_VALUE"""),143.0)</f>
        <v>143</v>
      </c>
      <c r="G543" s="1">
        <f t="shared" si="1"/>
        <v>5</v>
      </c>
      <c r="H543" s="1">
        <f t="shared" si="2"/>
        <v>5</v>
      </c>
      <c r="I543" s="1">
        <f>IFERROR(__xludf.DUMMYFUNCTION("IF(B543="""","""",
  100*F543 / MAX(FILTER($F:$F, $A:$A=$A543, $B:$B=$B543))
)
"),28.316831683168317)</f>
        <v>28.31683168</v>
      </c>
      <c r="J543" s="1">
        <f>IFERROR(__xludf.DUMMYFUNCTION("IF(B543="""","""",
  100*E543 / MAX(FILTER($E:$E, $A:$A=$A543, $B:$B=$B543))
)
"),93.4640522875817)</f>
        <v>93.46405229</v>
      </c>
      <c r="K543" s="1">
        <f t="shared" si="3"/>
        <v>57.63308096</v>
      </c>
    </row>
    <row r="544">
      <c r="A544" s="3">
        <f>IFERROR(__xludf.DUMMYFUNCTION("""COMPUTED_VALUE"""),45931.0)</f>
        <v>45931</v>
      </c>
      <c r="B544" s="1" t="str">
        <f>IFERROR(__xludf.DUMMYFUNCTION("""COMPUTED_VALUE"""),"DPMall")</f>
        <v>DPMall</v>
      </c>
      <c r="C544" s="1" t="str">
        <f>IFERROR(__xludf.DUMMYFUNCTION("""COMPUTED_VALUE"""),"Wafe up extra")</f>
        <v>Wafe up extra</v>
      </c>
      <c r="D544" s="1">
        <f>IFERROR(__xludf.DUMMYFUNCTION("""COMPUTED_VALUE"""),84.0)</f>
        <v>84</v>
      </c>
      <c r="E544" s="1">
        <f>IFERROR(__xludf.DUMMYFUNCTION("""COMPUTED_VALUE"""),84.0)</f>
        <v>84</v>
      </c>
      <c r="F544" s="1">
        <f>IFERROR(__xludf.DUMMYFUNCTION("""COMPUTED_VALUE"""),17.0)</f>
        <v>17</v>
      </c>
      <c r="G544" s="1">
        <f t="shared" si="1"/>
        <v>4.941176471</v>
      </c>
      <c r="H544" s="1">
        <f t="shared" si="2"/>
        <v>4.941176471</v>
      </c>
      <c r="I544" s="1">
        <f>IFERROR(__xludf.DUMMYFUNCTION("IF(B544="""","""",
  100*F544 / MAX(FILTER($F:$F, $A:$A=$A544, $B:$B=$B544))
)
"),3.366336633663366)</f>
        <v>3.366336634</v>
      </c>
      <c r="J544" s="1">
        <f>IFERROR(__xludf.DUMMYFUNCTION("IF(B544="""","""",
  100*E544 / MAX(FILTER($E:$E, $A:$A=$A544, $B:$B=$B544))
)
"),10.980392156862745)</f>
        <v>10.98039216</v>
      </c>
      <c r="K544" s="1">
        <f t="shared" si="3"/>
        <v>6.792661619</v>
      </c>
    </row>
    <row r="545">
      <c r="A545" s="3">
        <f>IFERROR(__xludf.DUMMYFUNCTION("""COMPUTED_VALUE"""),45931.0)</f>
        <v>45931</v>
      </c>
      <c r="B545" s="1" t="str">
        <f>IFERROR(__xludf.DUMMYFUNCTION("""COMPUTED_VALUE"""),"DPMall")</f>
        <v>DPMall</v>
      </c>
      <c r="C545" s="1" t="str">
        <f>IFERROR(__xludf.DUMMYFUNCTION("""COMPUTED_VALUE"""),"Water")</f>
        <v>Water</v>
      </c>
      <c r="D545" s="1">
        <f>IFERROR(__xludf.DUMMYFUNCTION("""COMPUTED_VALUE"""),505.0)</f>
        <v>505</v>
      </c>
      <c r="E545" s="1">
        <f>IFERROR(__xludf.DUMMYFUNCTION("""COMPUTED_VALUE"""),505.0)</f>
        <v>505</v>
      </c>
      <c r="F545" s="1">
        <f>IFERROR(__xludf.DUMMYFUNCTION("""COMPUTED_VALUE"""),505.0)</f>
        <v>505</v>
      </c>
      <c r="G545" s="1">
        <f t="shared" si="1"/>
        <v>1</v>
      </c>
      <c r="H545" s="1">
        <f t="shared" si="2"/>
        <v>1</v>
      </c>
      <c r="I545" s="1">
        <f>IFERROR(__xludf.DUMMYFUNCTION("IF(B545="""","""",
  100*F545 / MAX(FILTER($F:$F, $A:$A=$A545, $B:$B=$B545))
)
"),100.0)</f>
        <v>100</v>
      </c>
      <c r="J545" s="1">
        <f>IFERROR(__xludf.DUMMYFUNCTION("IF(B545="""","""",
  100*E545 / MAX(FILTER($E:$E, $A:$A=$A545, $B:$B=$B545))
)
"),66.01307189542484)</f>
        <v>66.0130719</v>
      </c>
      <c r="K545" s="1">
        <f t="shared" si="3"/>
        <v>84.70588235</v>
      </c>
    </row>
    <row r="546">
      <c r="A546" s="3">
        <f>IFERROR(__xludf.DUMMYFUNCTION("""COMPUTED_VALUE"""),45931.0)</f>
        <v>45931</v>
      </c>
      <c r="B546" s="1" t="str">
        <f>IFERROR(__xludf.DUMMYFUNCTION("""COMPUTED_VALUE"""),"DPMall")</f>
        <v>DPMall</v>
      </c>
      <c r="C546" s="1" t="str">
        <f>IFERROR(__xludf.DUMMYFUNCTION("""COMPUTED_VALUE"""),"X!R")</f>
        <v>X!R</v>
      </c>
      <c r="D546" s="1">
        <f>IFERROR(__xludf.DUMMYFUNCTION("""COMPUTED_VALUE"""),660.0)</f>
        <v>660</v>
      </c>
      <c r="E546" s="1">
        <f>IFERROR(__xludf.DUMMYFUNCTION("""COMPUTED_VALUE"""),660.0)</f>
        <v>660</v>
      </c>
      <c r="F546" s="1">
        <f>IFERROR(__xludf.DUMMYFUNCTION("""COMPUTED_VALUE"""),132.0)</f>
        <v>132</v>
      </c>
      <c r="G546" s="1">
        <f t="shared" si="1"/>
        <v>5</v>
      </c>
      <c r="H546" s="1">
        <f t="shared" si="2"/>
        <v>5</v>
      </c>
      <c r="I546" s="1">
        <f>IFERROR(__xludf.DUMMYFUNCTION("IF(B546="""","""",
  100*F546 / MAX(FILTER($F:$F, $A:$A=$A546, $B:$B=$B546))
)
"),26.138613861386137)</f>
        <v>26.13861386</v>
      </c>
      <c r="J546" s="1">
        <f>IFERROR(__xludf.DUMMYFUNCTION("IF(B546="""","""",
  100*E546 / MAX(FILTER($E:$E, $A:$A=$A546, $B:$B=$B546))
)
"),86.27450980392157)</f>
        <v>86.2745098</v>
      </c>
      <c r="K546" s="1">
        <f t="shared" si="3"/>
        <v>53.19976704</v>
      </c>
    </row>
    <row r="547">
      <c r="A547" s="3">
        <f>IFERROR(__xludf.DUMMYFUNCTION("""COMPUTED_VALUE"""),45931.0)</f>
        <v>45931</v>
      </c>
      <c r="B547" s="1" t="str">
        <f>IFERROR(__xludf.DUMMYFUNCTION("""COMPUTED_VALUE"""),"DPMall")</f>
        <v>DPMall</v>
      </c>
      <c r="C547" s="1" t="str">
        <f>IFERROR(__xludf.DUMMYFUNCTION("""COMPUTED_VALUE"""),"bonart sour")</f>
        <v>bonart sour</v>
      </c>
      <c r="D547" s="1">
        <f>IFERROR(__xludf.DUMMYFUNCTION("""COMPUTED_VALUE"""),100.0)</f>
        <v>100</v>
      </c>
      <c r="E547" s="1">
        <f>IFERROR(__xludf.DUMMYFUNCTION("""COMPUTED_VALUE"""),100.0)</f>
        <v>100</v>
      </c>
      <c r="F547" s="1">
        <f>IFERROR(__xludf.DUMMYFUNCTION("""COMPUTED_VALUE"""),20.0)</f>
        <v>20</v>
      </c>
      <c r="G547" s="1">
        <f t="shared" si="1"/>
        <v>5</v>
      </c>
      <c r="H547" s="1">
        <f t="shared" si="2"/>
        <v>5</v>
      </c>
      <c r="I547" s="1">
        <f>IFERROR(__xludf.DUMMYFUNCTION("IF(B547="""","""",
  100*F547 / MAX(FILTER($F:$F, $A:$A=$A547, $B:$B=$B547))
)
"),3.9603960396039604)</f>
        <v>3.96039604</v>
      </c>
      <c r="J547" s="1">
        <f>IFERROR(__xludf.DUMMYFUNCTION("IF(B547="""","""",
  100*E547 / MAX(FILTER($E:$E, $A:$A=$A547, $B:$B=$B547))
)
"),13.071895424836601)</f>
        <v>13.07189542</v>
      </c>
      <c r="K547" s="1">
        <f t="shared" si="3"/>
        <v>8.060570763</v>
      </c>
    </row>
    <row r="548">
      <c r="A548" s="3">
        <f>IFERROR(__xludf.DUMMYFUNCTION("""COMPUTED_VALUE"""),45931.0)</f>
        <v>45931</v>
      </c>
      <c r="B548" s="1" t="str">
        <f>IFERROR(__xludf.DUMMYFUNCTION("""COMPUTED_VALUE"""),"DPMall")</f>
        <v>DPMall</v>
      </c>
      <c r="C548" s="1" t="str">
        <f>IFERROR(__xludf.DUMMYFUNCTION("""COMPUTED_VALUE"""),"helo kitty")</f>
        <v>helo kitty</v>
      </c>
      <c r="D548" s="1">
        <f>IFERROR(__xludf.DUMMYFUNCTION("""COMPUTED_VALUE"""),46.0)</f>
        <v>46</v>
      </c>
      <c r="E548" s="1">
        <f>IFERROR(__xludf.DUMMYFUNCTION("""COMPUTED_VALUE"""),46.0)</f>
        <v>46</v>
      </c>
      <c r="F548" s="1">
        <f>IFERROR(__xludf.DUMMYFUNCTION("""COMPUTED_VALUE"""),12.0)</f>
        <v>12</v>
      </c>
      <c r="G548" s="1">
        <f t="shared" si="1"/>
        <v>3.833333333</v>
      </c>
      <c r="H548" s="1">
        <f t="shared" si="2"/>
        <v>3.833333333</v>
      </c>
      <c r="I548" s="1">
        <f>IFERROR(__xludf.DUMMYFUNCTION("IF(B548="""","""",
  100*F548 / MAX(FILTER($F:$F, $A:$A=$A548, $B:$B=$B548))
)
"),2.376237623762376)</f>
        <v>2.376237624</v>
      </c>
      <c r="J548" s="1">
        <f>IFERROR(__xludf.DUMMYFUNCTION("IF(B548="""","""",
  100*E548 / MAX(FILTER($E:$E, $A:$A=$A548, $B:$B=$B548))
)
"),6.0130718954248366)</f>
        <v>6.013071895</v>
      </c>
      <c r="K548" s="1">
        <f t="shared" si="3"/>
        <v>4.012813046</v>
      </c>
    </row>
    <row r="549">
      <c r="A549" s="3">
        <f>IFERROR(__xludf.DUMMYFUNCTION("""COMPUTED_VALUE"""),45931.0)</f>
        <v>45931</v>
      </c>
      <c r="B549" s="1" t="str">
        <f>IFERROR(__xludf.DUMMYFUNCTION("""COMPUTED_VALUE"""),"DPMall")</f>
        <v>DPMall</v>
      </c>
      <c r="C549" s="1" t="str">
        <f>IFERROR(__xludf.DUMMYFUNCTION("""COMPUTED_VALUE"""),"ifrui juice")</f>
        <v>ifrui juice</v>
      </c>
      <c r="D549" s="1">
        <f>IFERROR(__xludf.DUMMYFUNCTION("""COMPUTED_VALUE"""),81.0)</f>
        <v>81</v>
      </c>
      <c r="E549" s="1">
        <f>IFERROR(__xludf.DUMMYFUNCTION("""COMPUTED_VALUE"""),81.0)</f>
        <v>81</v>
      </c>
      <c r="F549" s="1">
        <f>IFERROR(__xludf.DUMMYFUNCTION("""COMPUTED_VALUE"""),27.0)</f>
        <v>27</v>
      </c>
      <c r="G549" s="1">
        <f t="shared" si="1"/>
        <v>3</v>
      </c>
      <c r="H549" s="1">
        <f t="shared" si="2"/>
        <v>3</v>
      </c>
      <c r="I549" s="1">
        <f>IFERROR(__xludf.DUMMYFUNCTION("IF(B549="""","""",
  100*F549 / MAX(FILTER($F:$F, $A:$A=$A549, $B:$B=$B549))
)
"),5.346534653465347)</f>
        <v>5.346534653</v>
      </c>
      <c r="J549" s="1">
        <f>IFERROR(__xludf.DUMMYFUNCTION("IF(B549="""","""",
  100*E549 / MAX(FILTER($E:$E, $A:$A=$A549, $B:$B=$B549))
)
"),10.588235294117647)</f>
        <v>10.58823529</v>
      </c>
      <c r="K549" s="1">
        <f t="shared" si="3"/>
        <v>7.705299942</v>
      </c>
    </row>
    <row r="550">
      <c r="A550" s="3">
        <f>IFERROR(__xludf.DUMMYFUNCTION("""COMPUTED_VALUE"""),45931.0)</f>
        <v>45931</v>
      </c>
      <c r="B550" s="1" t="str">
        <f>IFERROR(__xludf.DUMMYFUNCTION("""COMPUTED_VALUE"""),"DPMall")</f>
        <v>DPMall</v>
      </c>
      <c r="C550" s="1" t="str">
        <f>IFERROR(__xludf.DUMMYFUNCTION("""COMPUTED_VALUE"""),"kinder bueno")</f>
        <v>kinder bueno</v>
      </c>
      <c r="D550" s="1">
        <f>IFERROR(__xludf.DUMMYFUNCTION("""COMPUTED_VALUE"""),96.0)</f>
        <v>96</v>
      </c>
      <c r="E550" s="1">
        <f>IFERROR(__xludf.DUMMYFUNCTION("""COMPUTED_VALUE"""),96.0)</f>
        <v>96</v>
      </c>
      <c r="F550" s="1">
        <f>IFERROR(__xludf.DUMMYFUNCTION("""COMPUTED_VALUE"""),16.0)</f>
        <v>16</v>
      </c>
      <c r="G550" s="1">
        <f t="shared" si="1"/>
        <v>6</v>
      </c>
      <c r="H550" s="1">
        <f t="shared" si="2"/>
        <v>6</v>
      </c>
      <c r="I550" s="1">
        <f>IFERROR(__xludf.DUMMYFUNCTION("IF(B550="""","""",
  100*F550 / MAX(FILTER($F:$F, $A:$A=$A550, $B:$B=$B550))
)
"),3.1683168316831685)</f>
        <v>3.168316832</v>
      </c>
      <c r="J550" s="1">
        <f>IFERROR(__xludf.DUMMYFUNCTION("IF(B550="""","""",
  100*E550 / MAX(FILTER($E:$E, $A:$A=$A550, $B:$B=$B550))
)
"),12.549019607843137)</f>
        <v>12.54901961</v>
      </c>
      <c r="K550" s="1">
        <f t="shared" si="3"/>
        <v>7.389633081</v>
      </c>
    </row>
    <row r="551">
      <c r="A551" s="3">
        <f>IFERROR(__xludf.DUMMYFUNCTION("""COMPUTED_VALUE"""),45931.0)</f>
        <v>45931</v>
      </c>
      <c r="B551" s="1" t="str">
        <f>IFERROR(__xludf.DUMMYFUNCTION("""COMPUTED_VALUE"""),"DPMall")</f>
        <v>DPMall</v>
      </c>
      <c r="C551" s="1" t="str">
        <f>IFERROR(__xludf.DUMMYFUNCTION("""COMPUTED_VALUE"""),"kinza")</f>
        <v>kinza</v>
      </c>
      <c r="D551" s="1">
        <f>IFERROR(__xludf.DUMMYFUNCTION("""COMPUTED_VALUE"""),124.0)</f>
        <v>124</v>
      </c>
      <c r="E551" s="1">
        <f>IFERROR(__xludf.DUMMYFUNCTION("""COMPUTED_VALUE"""),124.0)</f>
        <v>124</v>
      </c>
      <c r="F551" s="1">
        <f>IFERROR(__xludf.DUMMYFUNCTION("""COMPUTED_VALUE"""),54.0)</f>
        <v>54</v>
      </c>
      <c r="G551" s="1">
        <f t="shared" si="1"/>
        <v>2.296296296</v>
      </c>
      <c r="H551" s="1">
        <f t="shared" si="2"/>
        <v>2.296296296</v>
      </c>
      <c r="I551" s="1">
        <f>IFERROR(__xludf.DUMMYFUNCTION("IF(B551="""","""",
  100*F551 / MAX(FILTER($F:$F, $A:$A=$A551, $B:$B=$B551))
)
"),10.693069306930694)</f>
        <v>10.69306931</v>
      </c>
      <c r="J551" s="1">
        <f>IFERROR(__xludf.DUMMYFUNCTION("IF(B551="""","""",
  100*E551 / MAX(FILTER($E:$E, $A:$A=$A551, $B:$B=$B551))
)
"),16.209150326797385)</f>
        <v>16.20915033</v>
      </c>
      <c r="K551" s="1">
        <f t="shared" si="3"/>
        <v>13.17530577</v>
      </c>
    </row>
    <row r="552">
      <c r="A552" s="3">
        <f>IFERROR(__xludf.DUMMYFUNCTION("""COMPUTED_VALUE"""),45931.0)</f>
        <v>45931</v>
      </c>
      <c r="B552" s="1" t="str">
        <f>IFERROR(__xludf.DUMMYFUNCTION("""COMPUTED_VALUE"""),"DPMall")</f>
        <v>DPMall</v>
      </c>
      <c r="C552" s="1" t="str">
        <f>IFERROR(__xludf.DUMMYFUNCTION("""COMPUTED_VALUE"""),"kitkat")</f>
        <v>kitkat</v>
      </c>
      <c r="D552" s="1">
        <f>IFERROR(__xludf.DUMMYFUNCTION("""COMPUTED_VALUE"""),64.0)</f>
        <v>64</v>
      </c>
      <c r="E552" s="1">
        <f>IFERROR(__xludf.DUMMYFUNCTION("""COMPUTED_VALUE"""),64.0)</f>
        <v>64</v>
      </c>
      <c r="F552" s="1">
        <f>IFERROR(__xludf.DUMMYFUNCTION("""COMPUTED_VALUE"""),10.0)</f>
        <v>10</v>
      </c>
      <c r="G552" s="1">
        <f t="shared" si="1"/>
        <v>6.4</v>
      </c>
      <c r="H552" s="1">
        <f t="shared" si="2"/>
        <v>6.4</v>
      </c>
      <c r="I552" s="1">
        <f>IFERROR(__xludf.DUMMYFUNCTION("IF(B552="""","""",
  100*F552 / MAX(FILTER($F:$F, $A:$A=$A552, $B:$B=$B552))
)
"),1.9801980198019802)</f>
        <v>1.98019802</v>
      </c>
      <c r="J552" s="1">
        <f>IFERROR(__xludf.DUMMYFUNCTION("IF(B552="""","""",
  100*E552 / MAX(FILTER($E:$E, $A:$A=$A552, $B:$B=$B552))
)
"),8.366013071895425)</f>
        <v>8.366013072</v>
      </c>
      <c r="K552" s="1">
        <f t="shared" si="3"/>
        <v>4.853814793</v>
      </c>
    </row>
    <row r="553">
      <c r="A553" s="3">
        <f>IFERROR(__xludf.DUMMYFUNCTION("""COMPUTED_VALUE"""),45931.0)</f>
        <v>45931</v>
      </c>
      <c r="B553" s="1" t="str">
        <f>IFERROR(__xludf.DUMMYFUNCTION("""COMPUTED_VALUE"""),"DPMall")</f>
        <v>DPMall</v>
      </c>
      <c r="C553" s="1" t="str">
        <f>IFERROR(__xludf.DUMMYFUNCTION("""COMPUTED_VALUE"""),"mr bite")</f>
        <v>mr bite</v>
      </c>
      <c r="D553" s="1">
        <f>IFERROR(__xludf.DUMMYFUNCTION("""COMPUTED_VALUE"""),126.0)</f>
        <v>126</v>
      </c>
      <c r="E553" s="1">
        <f>IFERROR(__xludf.DUMMYFUNCTION("""COMPUTED_VALUE"""),126.0)</f>
        <v>126</v>
      </c>
      <c r="F553" s="1">
        <f>IFERROR(__xludf.DUMMYFUNCTION("""COMPUTED_VALUE"""),63.0)</f>
        <v>63</v>
      </c>
      <c r="G553" s="1">
        <f t="shared" si="1"/>
        <v>2</v>
      </c>
      <c r="H553" s="1">
        <f t="shared" si="2"/>
        <v>2</v>
      </c>
      <c r="I553" s="1">
        <f>IFERROR(__xludf.DUMMYFUNCTION("IF(B553="""","""",
  100*F553 / MAX(FILTER($F:$F, $A:$A=$A553, $B:$B=$B553))
)
"),12.475247524752476)</f>
        <v>12.47524752</v>
      </c>
      <c r="J553" s="1">
        <f>IFERROR(__xludf.DUMMYFUNCTION("IF(B553="""","""",
  100*E553 / MAX(FILTER($E:$E, $A:$A=$A553, $B:$B=$B553))
)
"),16.470588235294116)</f>
        <v>16.47058824</v>
      </c>
      <c r="K553" s="1">
        <f t="shared" si="3"/>
        <v>14.27315084</v>
      </c>
    </row>
    <row r="554">
      <c r="A554" s="3">
        <f>IFERROR(__xludf.DUMMYFUNCTION("""COMPUTED_VALUE"""),45931.0)</f>
        <v>45931</v>
      </c>
      <c r="B554" s="1" t="str">
        <f>IFERROR(__xludf.DUMMYFUNCTION("""COMPUTED_VALUE"""),"DPMall")</f>
        <v>DPMall</v>
      </c>
      <c r="C554" s="1" t="str">
        <f>IFERROR(__xludf.DUMMYFUNCTION("""COMPUTED_VALUE"""),"ono cake")</f>
        <v>ono cake</v>
      </c>
      <c r="D554" s="1">
        <f>IFERROR(__xludf.DUMMYFUNCTION("""COMPUTED_VALUE"""),126.0)</f>
        <v>126</v>
      </c>
      <c r="E554" s="1">
        <f>IFERROR(__xludf.DUMMYFUNCTION("""COMPUTED_VALUE"""),126.0)</f>
        <v>126</v>
      </c>
      <c r="F554" s="1">
        <f>IFERROR(__xludf.DUMMYFUNCTION("""COMPUTED_VALUE"""),42.0)</f>
        <v>42</v>
      </c>
      <c r="G554" s="1">
        <f t="shared" si="1"/>
        <v>3</v>
      </c>
      <c r="H554" s="1">
        <f t="shared" si="2"/>
        <v>3</v>
      </c>
      <c r="I554" s="1">
        <f>IFERROR(__xludf.DUMMYFUNCTION("IF(B554="""","""",
  100*F554 / MAX(FILTER($F:$F, $A:$A=$A554, $B:$B=$B554))
)
"),8.316831683168317)</f>
        <v>8.316831683</v>
      </c>
      <c r="J554" s="1">
        <f>IFERROR(__xludf.DUMMYFUNCTION("IF(B554="""","""",
  100*E554 / MAX(FILTER($E:$E, $A:$A=$A554, $B:$B=$B554))
)
"),16.470588235294116)</f>
        <v>16.47058824</v>
      </c>
      <c r="K554" s="1">
        <f t="shared" si="3"/>
        <v>11.98602213</v>
      </c>
    </row>
    <row r="555">
      <c r="A555" s="3">
        <f>IFERROR(__xludf.DUMMYFUNCTION("""COMPUTED_VALUE"""),45931.0)</f>
        <v>45931</v>
      </c>
      <c r="B555" s="1" t="str">
        <f>IFERROR(__xludf.DUMMYFUNCTION("""COMPUTED_VALUE"""),"DPMall")</f>
        <v>DPMall</v>
      </c>
      <c r="C555" s="1" t="str">
        <f>IFERROR(__xludf.DUMMYFUNCTION("""COMPUTED_VALUE"""),"pepsi 500ml")</f>
        <v>pepsi 500ml</v>
      </c>
      <c r="D555" s="1">
        <f>IFERROR(__xludf.DUMMYFUNCTION("""COMPUTED_VALUE"""),54.0)</f>
        <v>54</v>
      </c>
      <c r="E555" s="1">
        <f>IFERROR(__xludf.DUMMYFUNCTION("""COMPUTED_VALUE"""),54.0)</f>
        <v>54</v>
      </c>
      <c r="F555" s="1">
        <f>IFERROR(__xludf.DUMMYFUNCTION("""COMPUTED_VALUE"""),18.0)</f>
        <v>18</v>
      </c>
      <c r="G555" s="1">
        <f t="shared" si="1"/>
        <v>3</v>
      </c>
      <c r="H555" s="1">
        <f t="shared" si="2"/>
        <v>3</v>
      </c>
      <c r="I555" s="1">
        <f>IFERROR(__xludf.DUMMYFUNCTION("IF(B555="""","""",
  100*F555 / MAX(FILTER($F:$F, $A:$A=$A555, $B:$B=$B555))
)
"),3.5643564356435644)</f>
        <v>3.564356436</v>
      </c>
      <c r="J555" s="1">
        <f>IFERROR(__xludf.DUMMYFUNCTION("IF(B555="""","""",
  100*E555 / MAX(FILTER($E:$E, $A:$A=$A555, $B:$B=$B555))
)
"),7.0588235294117645)</f>
        <v>7.058823529</v>
      </c>
      <c r="K555" s="1">
        <f t="shared" si="3"/>
        <v>5.136866628</v>
      </c>
    </row>
    <row r="556">
      <c r="A556" s="3">
        <f>IFERROR(__xludf.DUMMYFUNCTION("""COMPUTED_VALUE"""),45931.0)</f>
        <v>45931</v>
      </c>
      <c r="B556" s="1" t="str">
        <f>IFERROR(__xludf.DUMMYFUNCTION("""COMPUTED_VALUE"""),"DPMall")</f>
        <v>DPMall</v>
      </c>
      <c r="C556" s="1" t="str">
        <f>IFERROR(__xludf.DUMMYFUNCTION("""COMPUTED_VALUE"""),"snickers")</f>
        <v>snickers</v>
      </c>
      <c r="D556" s="1">
        <f>IFERROR(__xludf.DUMMYFUNCTION("""COMPUTED_VALUE"""),30.0)</f>
        <v>30</v>
      </c>
      <c r="E556" s="1">
        <f>IFERROR(__xludf.DUMMYFUNCTION("""COMPUTED_VALUE"""),30.0)</f>
        <v>30</v>
      </c>
      <c r="F556" s="1">
        <f>IFERROR(__xludf.DUMMYFUNCTION("""COMPUTED_VALUE"""),6.0)</f>
        <v>6</v>
      </c>
      <c r="G556" s="1">
        <f t="shared" si="1"/>
        <v>5</v>
      </c>
      <c r="H556" s="1">
        <f t="shared" si="2"/>
        <v>5</v>
      </c>
      <c r="I556" s="1">
        <f>IFERROR(__xludf.DUMMYFUNCTION("IF(B556="""","""",
  100*F556 / MAX(FILTER($F:$F, $A:$A=$A556, $B:$B=$B556))
)
"),1.188118811881188)</f>
        <v>1.188118812</v>
      </c>
      <c r="J556" s="1">
        <f>IFERROR(__xludf.DUMMYFUNCTION("IF(B556="""","""",
  100*E556 / MAX(FILTER($E:$E, $A:$A=$A556, $B:$B=$B556))
)
"),3.9215686274509802)</f>
        <v>3.921568627</v>
      </c>
      <c r="K556" s="1">
        <f t="shared" si="3"/>
        <v>2.418171229</v>
      </c>
    </row>
    <row r="557">
      <c r="A557" s="3">
        <f>IFERROR(__xludf.DUMMYFUNCTION("""COMPUTED_VALUE"""),45931.0)</f>
        <v>45931</v>
      </c>
      <c r="B557" s="1" t="str">
        <f>IFERROR(__xludf.DUMMYFUNCTION("""COMPUTED_VALUE"""),"DPMall")</f>
        <v>DPMall</v>
      </c>
      <c r="C557" s="1" t="str">
        <f>IFERROR(__xludf.DUMMYFUNCTION("""COMPUTED_VALUE"""),"sunTop")</f>
        <v>sunTop</v>
      </c>
      <c r="D557" s="1">
        <f>IFERROR(__xludf.DUMMYFUNCTION("""COMPUTED_VALUE"""),93.0)</f>
        <v>93</v>
      </c>
      <c r="E557" s="1">
        <f>IFERROR(__xludf.DUMMYFUNCTION("""COMPUTED_VALUE"""),93.0)</f>
        <v>93</v>
      </c>
      <c r="F557" s="1">
        <f>IFERROR(__xludf.DUMMYFUNCTION("""COMPUTED_VALUE"""),93.0)</f>
        <v>93</v>
      </c>
      <c r="G557" s="1">
        <f t="shared" si="1"/>
        <v>1</v>
      </c>
      <c r="H557" s="1">
        <f t="shared" si="2"/>
        <v>1</v>
      </c>
      <c r="I557" s="1">
        <f>IFERROR(__xludf.DUMMYFUNCTION("IF(B557="""","""",
  100*F557 / MAX(FILTER($F:$F, $A:$A=$A557, $B:$B=$B557))
)
"),18.415841584158414)</f>
        <v>18.41584158</v>
      </c>
      <c r="J557" s="1">
        <f>IFERROR(__xludf.DUMMYFUNCTION("IF(B557="""","""",
  100*E557 / MAX(FILTER($E:$E, $A:$A=$A557, $B:$B=$B557))
)
"),12.156862745098039)</f>
        <v>12.15686275</v>
      </c>
      <c r="K557" s="1">
        <f t="shared" si="3"/>
        <v>15.59930111</v>
      </c>
    </row>
    <row r="558">
      <c r="A558" s="3">
        <f>IFERROR(__xludf.DUMMYFUNCTION("""COMPUTED_VALUE"""),45931.0)</f>
        <v>45931</v>
      </c>
      <c r="B558" s="1" t="str">
        <f>IFERROR(__xludf.DUMMYFUNCTION("""COMPUTED_VALUE"""),"DPMall")</f>
        <v>DPMall</v>
      </c>
      <c r="C558" s="1" t="str">
        <f>IFERROR(__xludf.DUMMYFUNCTION("""COMPUTED_VALUE"""),"vitaGo")</f>
        <v>vitaGo</v>
      </c>
      <c r="D558" s="1">
        <f>IFERROR(__xludf.DUMMYFUNCTION("""COMPUTED_VALUE"""),66.0)</f>
        <v>66</v>
      </c>
      <c r="E558" s="1">
        <f>IFERROR(__xludf.DUMMYFUNCTION("""COMPUTED_VALUE"""),66.0)</f>
        <v>66</v>
      </c>
      <c r="F558" s="1">
        <f>IFERROR(__xludf.DUMMYFUNCTION("""COMPUTED_VALUE"""),22.0)</f>
        <v>22</v>
      </c>
      <c r="G558" s="1">
        <f t="shared" si="1"/>
        <v>3</v>
      </c>
      <c r="H558" s="1">
        <f t="shared" si="2"/>
        <v>3</v>
      </c>
      <c r="I558" s="1">
        <f>IFERROR(__xludf.DUMMYFUNCTION("IF(B558="""","""",
  100*F558 / MAX(FILTER($F:$F, $A:$A=$A558, $B:$B=$B558))
)
"),4.356435643564357)</f>
        <v>4.356435644</v>
      </c>
      <c r="J558" s="1">
        <f>IFERROR(__xludf.DUMMYFUNCTION("IF(B558="""","""",
  100*E558 / MAX(FILTER($E:$E, $A:$A=$A558, $B:$B=$B558))
)
"),8.627450980392156)</f>
        <v>8.62745098</v>
      </c>
      <c r="K558" s="1">
        <f t="shared" si="3"/>
        <v>6.278392545</v>
      </c>
    </row>
    <row r="559">
      <c r="A559" s="3">
        <f>IFERROR(__xludf.DUMMYFUNCTION("""COMPUTED_VALUE"""),45931.0)</f>
        <v>45931</v>
      </c>
      <c r="B559" s="1" t="str">
        <f>IFERROR(__xludf.DUMMYFUNCTION("""COMPUTED_VALUE"""),"DPMall")</f>
        <v>DPMall</v>
      </c>
      <c r="C559" s="1" t="str">
        <f>IFERROR(__xludf.DUMMYFUNCTION("""COMPUTED_VALUE"""),"xo energy")</f>
        <v>xo energy</v>
      </c>
      <c r="D559" s="1">
        <f>IFERROR(__xludf.DUMMYFUNCTION("""COMPUTED_VALUE"""),78.0)</f>
        <v>78</v>
      </c>
      <c r="E559" s="1">
        <f>IFERROR(__xludf.DUMMYFUNCTION("""COMPUTED_VALUE"""),78.0)</f>
        <v>78</v>
      </c>
      <c r="F559" s="1">
        <f>IFERROR(__xludf.DUMMYFUNCTION("""COMPUTED_VALUE"""),26.0)</f>
        <v>26</v>
      </c>
      <c r="G559" s="1">
        <f t="shared" si="1"/>
        <v>3</v>
      </c>
      <c r="H559" s="1">
        <f t="shared" si="2"/>
        <v>3</v>
      </c>
      <c r="I559" s="1">
        <f>IFERROR(__xludf.DUMMYFUNCTION("IF(B559="""","""",
  100*F559 / MAX(FILTER($F:$F, $A:$A=$A559, $B:$B=$B559))
)
"),5.148514851485149)</f>
        <v>5.148514851</v>
      </c>
      <c r="J559" s="1">
        <f>IFERROR(__xludf.DUMMYFUNCTION("IF(B559="""","""",
  100*E559 / MAX(FILTER($E:$E, $A:$A=$A559, $B:$B=$B559))
)
"),10.196078431372548)</f>
        <v>10.19607843</v>
      </c>
      <c r="K559" s="1">
        <f t="shared" si="3"/>
        <v>7.419918462</v>
      </c>
    </row>
    <row r="560">
      <c r="A560" s="3">
        <f>IFERROR(__xludf.DUMMYFUNCTION("""COMPUTED_VALUE"""),45931.0)</f>
        <v>45931</v>
      </c>
      <c r="B560" s="1" t="str">
        <f>IFERROR(__xludf.DUMMYFUNCTION("""COMPUTED_VALUE"""),"HTMall")</f>
        <v>HTMall</v>
      </c>
      <c r="C560" s="1" t="str">
        <f>IFERROR(__xludf.DUMMYFUNCTION("""COMPUTED_VALUE"""),"7up")</f>
        <v>7up</v>
      </c>
      <c r="D560" s="1">
        <f>IFERROR(__xludf.DUMMYFUNCTION("""COMPUTED_VALUE"""),87.0)</f>
        <v>87</v>
      </c>
      <c r="E560" s="1">
        <f>IFERROR(__xludf.DUMMYFUNCTION("""COMPUTED_VALUE"""),21.75)</f>
        <v>21.75</v>
      </c>
      <c r="F560" s="1">
        <f>IFERROR(__xludf.DUMMYFUNCTION("""COMPUTED_VALUE"""),29.0)</f>
        <v>29</v>
      </c>
      <c r="G560" s="1">
        <f t="shared" si="1"/>
        <v>3</v>
      </c>
      <c r="H560" s="1">
        <f t="shared" si="2"/>
        <v>0.75</v>
      </c>
      <c r="I560" s="1">
        <f>IFERROR(__xludf.DUMMYFUNCTION("IF(B560="""","""",
  100*F560 / MAX(FILTER($F:$F, $A:$A=$A560, $B:$B=$B560))
)
"),3.344867358708189)</f>
        <v>3.344867359</v>
      </c>
      <c r="J560" s="1">
        <f>IFERROR(__xludf.DUMMYFUNCTION("IF(B560="""","""",
  100*E560 / MAX(FILTER($E:$E, $A:$A=$A560, $B:$B=$B560))
)
"),3.5487028879099367)</f>
        <v>3.548702888</v>
      </c>
      <c r="K560" s="1">
        <f t="shared" si="3"/>
        <v>3.436593347</v>
      </c>
    </row>
    <row r="561">
      <c r="A561" s="3">
        <f>IFERROR(__xludf.DUMMYFUNCTION("""COMPUTED_VALUE"""),45931.0)</f>
        <v>45931</v>
      </c>
      <c r="B561" s="1" t="str">
        <f>IFERROR(__xludf.DUMMYFUNCTION("""COMPUTED_VALUE"""),"HTMall")</f>
        <v>HTMall</v>
      </c>
      <c r="C561" s="1" t="str">
        <f>IFERROR(__xludf.DUMMYFUNCTION("""COMPUTED_VALUE"""),"Almarai Chocolate")</f>
        <v>Almarai Chocolate</v>
      </c>
      <c r="D561" s="1">
        <f>IFERROR(__xludf.DUMMYFUNCTION("""COMPUTED_VALUE"""),72.0)</f>
        <v>72</v>
      </c>
      <c r="E561" s="1">
        <f>IFERROR(__xludf.DUMMYFUNCTION("""COMPUTED_VALUE"""),24.0)</f>
        <v>24</v>
      </c>
      <c r="F561" s="1">
        <f>IFERROR(__xludf.DUMMYFUNCTION("""COMPUTED_VALUE"""),24.0)</f>
        <v>24</v>
      </c>
      <c r="G561" s="1">
        <f t="shared" si="1"/>
        <v>3</v>
      </c>
      <c r="H561" s="1">
        <f t="shared" si="2"/>
        <v>1</v>
      </c>
      <c r="I561" s="1">
        <f>IFERROR(__xludf.DUMMYFUNCTION("IF(B561="""","""",
  100*F561 / MAX(FILTER($F:$F, $A:$A=$A561, $B:$B=$B561))
)
"),2.7681660899653977)</f>
        <v>2.76816609</v>
      </c>
      <c r="J561" s="1">
        <f>IFERROR(__xludf.DUMMYFUNCTION("IF(B561="""","""",
  100*E561 / MAX(FILTER($E:$E, $A:$A=$A561, $B:$B=$B561))
)
"),3.9158100832109644)</f>
        <v>3.915810083</v>
      </c>
      <c r="K561" s="1">
        <f t="shared" si="3"/>
        <v>3.284605887</v>
      </c>
    </row>
    <row r="562">
      <c r="A562" s="3">
        <f>IFERROR(__xludf.DUMMYFUNCTION("""COMPUTED_VALUE"""),45931.0)</f>
        <v>45931</v>
      </c>
      <c r="B562" s="1" t="str">
        <f>IFERROR(__xludf.DUMMYFUNCTION("""COMPUTED_VALUE"""),"HTMall")</f>
        <v>HTMall</v>
      </c>
      <c r="C562" s="1" t="str">
        <f>IFERROR(__xludf.DUMMYFUNCTION("""COMPUTED_VALUE"""),"Almarai Strawberry")</f>
        <v>Almarai Strawberry</v>
      </c>
      <c r="D562" s="1">
        <f>IFERROR(__xludf.DUMMYFUNCTION("""COMPUTED_VALUE"""),117.0)</f>
        <v>117</v>
      </c>
      <c r="E562" s="1">
        <f>IFERROR(__xludf.DUMMYFUNCTION("""COMPUTED_VALUE"""),35.88)</f>
        <v>35.88</v>
      </c>
      <c r="F562" s="1">
        <f>IFERROR(__xludf.DUMMYFUNCTION("""COMPUTED_VALUE"""),39.0)</f>
        <v>39</v>
      </c>
      <c r="G562" s="1">
        <f t="shared" si="1"/>
        <v>3</v>
      </c>
      <c r="H562" s="1">
        <f t="shared" si="2"/>
        <v>0.92</v>
      </c>
      <c r="I562" s="1">
        <f>IFERROR(__xludf.DUMMYFUNCTION("IF(B562="""","""",
  100*F562 / MAX(FILTER($F:$F, $A:$A=$A562, $B:$B=$B562))
)
"),4.498269896193771)</f>
        <v>4.498269896</v>
      </c>
      <c r="J562" s="1">
        <f>IFERROR(__xludf.DUMMYFUNCTION("IF(B562="""","""",
  100*E562 / MAX(FILTER($E:$E, $A:$A=$A562, $B:$B=$B562))
)
"),5.854136074400393)</f>
        <v>5.854136074</v>
      </c>
      <c r="K562" s="1">
        <f t="shared" si="3"/>
        <v>5.108409676</v>
      </c>
    </row>
    <row r="563">
      <c r="A563" s="3">
        <f>IFERROR(__xludf.DUMMYFUNCTION("""COMPUTED_VALUE"""),45931.0)</f>
        <v>45931</v>
      </c>
      <c r="B563" s="1" t="str">
        <f>IFERROR(__xludf.DUMMYFUNCTION("""COMPUTED_VALUE"""),"HTMall")</f>
        <v>HTMall</v>
      </c>
      <c r="C563" s="1" t="str">
        <f>IFERROR(__xludf.DUMMYFUNCTION("""COMPUTED_VALUE"""),"Bounty")</f>
        <v>Bounty</v>
      </c>
      <c r="D563" s="1">
        <f>IFERROR(__xludf.DUMMYFUNCTION("""COMPUTED_VALUE"""),40.0)</f>
        <v>40</v>
      </c>
      <c r="E563" s="1">
        <f>IFERROR(__xludf.DUMMYFUNCTION("""COMPUTED_VALUE"""),10.0)</f>
        <v>10</v>
      </c>
      <c r="F563" s="1">
        <f>IFERROR(__xludf.DUMMYFUNCTION("""COMPUTED_VALUE"""),8.0)</f>
        <v>8</v>
      </c>
      <c r="G563" s="1">
        <f t="shared" si="1"/>
        <v>5</v>
      </c>
      <c r="H563" s="1">
        <f t="shared" si="2"/>
        <v>1.25</v>
      </c>
      <c r="I563" s="1">
        <f>IFERROR(__xludf.DUMMYFUNCTION("IF(B563="""","""",
  100*F563 / MAX(FILTER($F:$F, $A:$A=$A563, $B:$B=$B563))
)
"),0.922722029988466)</f>
        <v>0.92272203</v>
      </c>
      <c r="J563" s="1">
        <f>IFERROR(__xludf.DUMMYFUNCTION("IF(B563="""","""",
  100*E563 / MAX(FILTER($E:$E, $A:$A=$A563, $B:$B=$B563))
)
"),1.6315875346712352)</f>
        <v>1.631587535</v>
      </c>
      <c r="K563" s="1">
        <f t="shared" si="3"/>
        <v>1.241711507</v>
      </c>
    </row>
    <row r="564">
      <c r="A564" s="3">
        <f>IFERROR(__xludf.DUMMYFUNCTION("""COMPUTED_VALUE"""),45931.0)</f>
        <v>45931</v>
      </c>
      <c r="B564" s="1" t="str">
        <f>IFERROR(__xludf.DUMMYFUNCTION("""COMPUTED_VALUE"""),"HTMall")</f>
        <v>HTMall</v>
      </c>
      <c r="C564" s="1" t="str">
        <f>IFERROR(__xludf.DUMMYFUNCTION("""COMPUTED_VALUE"""),"Doritos cool ranc")</f>
        <v>Doritos cool ranc</v>
      </c>
      <c r="D564" s="1">
        <f>IFERROR(__xludf.DUMMYFUNCTION("""COMPUTED_VALUE"""),589.0)</f>
        <v>589</v>
      </c>
      <c r="E564" s="1">
        <f>IFERROR(__xludf.DUMMYFUNCTION("""COMPUTED_VALUE"""),258.6)</f>
        <v>258.6</v>
      </c>
      <c r="F564" s="1">
        <f>IFERROR(__xludf.DUMMYFUNCTION("""COMPUTED_VALUE"""),118.0)</f>
        <v>118</v>
      </c>
      <c r="G564" s="1">
        <f t="shared" si="1"/>
        <v>4.991525424</v>
      </c>
      <c r="H564" s="1">
        <f t="shared" si="2"/>
        <v>2.191525424</v>
      </c>
      <c r="I564" s="1">
        <f>IFERROR(__xludf.DUMMYFUNCTION("IF(B564="""","""",
  100*F564 / MAX(FILTER($F:$F, $A:$A=$A564, $B:$B=$B564))
)
"),13.610149942329873)</f>
        <v>13.61014994</v>
      </c>
      <c r="J564" s="1">
        <f>IFERROR(__xludf.DUMMYFUNCTION("IF(B564="""","""",
  100*E564 / MAX(FILTER($E:$E, $A:$A=$A564, $B:$B=$B564))
)
"),42.192853646598145)</f>
        <v>42.19285365</v>
      </c>
      <c r="K564" s="1">
        <f t="shared" si="3"/>
        <v>26.47236661</v>
      </c>
    </row>
    <row r="565">
      <c r="A565" s="3">
        <f>IFERROR(__xludf.DUMMYFUNCTION("""COMPUTED_VALUE"""),45931.0)</f>
        <v>45931</v>
      </c>
      <c r="B565" s="1" t="str">
        <f>IFERROR(__xludf.DUMMYFUNCTION("""COMPUTED_VALUE"""),"HTMall")</f>
        <v>HTMall</v>
      </c>
      <c r="C565" s="1" t="str">
        <f>IFERROR(__xludf.DUMMYFUNCTION("""COMPUTED_VALUE"""),"Doritos real")</f>
        <v>Doritos real</v>
      </c>
      <c r="D565" s="1">
        <f>IFERROR(__xludf.DUMMYFUNCTION("""COMPUTED_VALUE"""),21.0)</f>
        <v>21</v>
      </c>
      <c r="E565" s="1">
        <f>IFERROR(__xludf.DUMMYFUNCTION("""COMPUTED_VALUE"""),3.0)</f>
        <v>3</v>
      </c>
      <c r="F565" s="1">
        <f>IFERROR(__xludf.DUMMYFUNCTION("""COMPUTED_VALUE"""),3.0)</f>
        <v>3</v>
      </c>
      <c r="G565" s="1">
        <f t="shared" si="1"/>
        <v>7</v>
      </c>
      <c r="H565" s="1">
        <f t="shared" si="2"/>
        <v>1</v>
      </c>
      <c r="I565" s="1">
        <f>IFERROR(__xludf.DUMMYFUNCTION("IF(B565="""","""",
  100*F565 / MAX(FILTER($F:$F, $A:$A=$A565, $B:$B=$B565))
)
"),0.3460207612456747)</f>
        <v>0.3460207612</v>
      </c>
      <c r="J565" s="1">
        <f>IFERROR(__xludf.DUMMYFUNCTION("IF(B565="""","""",
  100*E565 / MAX(FILTER($E:$E, $A:$A=$A565, $B:$B=$B565))
)
"),0.48947626040137054)</f>
        <v>0.4894762604</v>
      </c>
      <c r="K565" s="1">
        <f t="shared" si="3"/>
        <v>0.4105757359</v>
      </c>
    </row>
    <row r="566">
      <c r="A566" s="3">
        <f>IFERROR(__xludf.DUMMYFUNCTION("""COMPUTED_VALUE"""),45931.0)</f>
        <v>45931</v>
      </c>
      <c r="B566" s="1" t="str">
        <f>IFERROR(__xludf.DUMMYFUNCTION("""COMPUTED_VALUE"""),"HTMall")</f>
        <v>HTMall</v>
      </c>
      <c r="C566" s="1" t="str">
        <f>IFERROR(__xludf.DUMMYFUNCTION("""COMPUTED_VALUE"""),"Freez")</f>
        <v>Freez</v>
      </c>
      <c r="D566" s="1">
        <f>IFERROR(__xludf.DUMMYFUNCTION("""COMPUTED_VALUE"""),31.0)</f>
        <v>31</v>
      </c>
      <c r="E566" s="1">
        <f>IFERROR(__xludf.DUMMYFUNCTION("""COMPUTED_VALUE"""),7.13)</f>
        <v>7.13</v>
      </c>
      <c r="F566" s="1">
        <f>IFERROR(__xludf.DUMMYFUNCTION("""COMPUTED_VALUE"""),7.0)</f>
        <v>7</v>
      </c>
      <c r="G566" s="1">
        <f t="shared" si="1"/>
        <v>4.428571429</v>
      </c>
      <c r="H566" s="1">
        <f t="shared" si="2"/>
        <v>1.018571429</v>
      </c>
      <c r="I566" s="1">
        <f>IFERROR(__xludf.DUMMYFUNCTION("IF(B566="""","""",
  100*F566 / MAX(FILTER($F:$F, $A:$A=$A566, $B:$B=$B566))
)
"),0.8073817762399077)</f>
        <v>0.8073817762</v>
      </c>
      <c r="J566" s="1">
        <f>IFERROR(__xludf.DUMMYFUNCTION("IF(B566="""","""",
  100*E566 / MAX(FILTER($E:$E, $A:$A=$A566, $B:$B=$B566))
)
"),1.1633219122205907)</f>
        <v>1.163321912</v>
      </c>
      <c r="K566" s="1">
        <f t="shared" si="3"/>
        <v>0.9675548374</v>
      </c>
    </row>
    <row r="567">
      <c r="A567" s="3">
        <f>IFERROR(__xludf.DUMMYFUNCTION("""COMPUTED_VALUE"""),45931.0)</f>
        <v>45931</v>
      </c>
      <c r="B567" s="1" t="str">
        <f>IFERROR(__xludf.DUMMYFUNCTION("""COMPUTED_VALUE"""),"HTMall")</f>
        <v>HTMall</v>
      </c>
      <c r="C567" s="1" t="str">
        <f>IFERROR(__xludf.DUMMYFUNCTION("""COMPUTED_VALUE"""),"Green")</f>
        <v>Green</v>
      </c>
      <c r="D567" s="1">
        <f>IFERROR(__xludf.DUMMYFUNCTION("""COMPUTED_VALUE"""),16.0)</f>
        <v>16</v>
      </c>
      <c r="E567" s="1">
        <f>IFERROR(__xludf.DUMMYFUNCTION("""COMPUTED_VALUE"""),4.16)</f>
        <v>4.16</v>
      </c>
      <c r="F567" s="1">
        <f>IFERROR(__xludf.DUMMYFUNCTION("""COMPUTED_VALUE"""),4.0)</f>
        <v>4</v>
      </c>
      <c r="G567" s="1">
        <f t="shared" si="1"/>
        <v>4</v>
      </c>
      <c r="H567" s="1">
        <f t="shared" si="2"/>
        <v>1.04</v>
      </c>
      <c r="I567" s="1">
        <f>IFERROR(__xludf.DUMMYFUNCTION("IF(B567="""","""",
  100*F567 / MAX(FILTER($F:$F, $A:$A=$A567, $B:$B=$B567))
)
"),0.461361014994233)</f>
        <v>0.461361015</v>
      </c>
      <c r="J567" s="1">
        <f>IFERROR(__xludf.DUMMYFUNCTION("IF(B567="""","""",
  100*E567 / MAX(FILTER($E:$E, $A:$A=$A567, $B:$B=$B567))
)
"),0.6787404144232339)</f>
        <v>0.6787404144</v>
      </c>
      <c r="K567" s="1">
        <f t="shared" si="3"/>
        <v>0.5591817447</v>
      </c>
    </row>
    <row r="568">
      <c r="A568" s="3">
        <f>IFERROR(__xludf.DUMMYFUNCTION("""COMPUTED_VALUE"""),45931.0)</f>
        <v>45931</v>
      </c>
      <c r="B568" s="1" t="str">
        <f>IFERROR(__xludf.DUMMYFUNCTION("""COMPUTED_VALUE"""),"HTMall")</f>
        <v>HTMall</v>
      </c>
      <c r="C568" s="1" t="str">
        <f>IFERROR(__xludf.DUMMYFUNCTION("""COMPUTED_VALUE"""),"Haribo")</f>
        <v>Haribo</v>
      </c>
      <c r="D568" s="1">
        <f>IFERROR(__xludf.DUMMYFUNCTION("""COMPUTED_VALUE"""),9.0)</f>
        <v>9</v>
      </c>
      <c r="E568" s="1">
        <f>IFERROR(__xludf.DUMMYFUNCTION("""COMPUTED_VALUE"""),3.75)</f>
        <v>3.75</v>
      </c>
      <c r="F568" s="1">
        <f>IFERROR(__xludf.DUMMYFUNCTION("""COMPUTED_VALUE"""),3.0)</f>
        <v>3</v>
      </c>
      <c r="G568" s="1">
        <f t="shared" si="1"/>
        <v>3</v>
      </c>
      <c r="H568" s="1">
        <f t="shared" si="2"/>
        <v>1.25</v>
      </c>
      <c r="I568" s="1">
        <f>IFERROR(__xludf.DUMMYFUNCTION("IF(B568="""","""",
  100*F568 / MAX(FILTER($F:$F, $A:$A=$A568, $B:$B=$B568))
)
"),0.3460207612456747)</f>
        <v>0.3460207612</v>
      </c>
      <c r="J568" s="1">
        <f>IFERROR(__xludf.DUMMYFUNCTION("IF(B568="""","""",
  100*E568 / MAX(FILTER($E:$E, $A:$A=$A568, $B:$B=$B568))
)
"),0.6118453255017132)</f>
        <v>0.6118453255</v>
      </c>
      <c r="K568" s="1">
        <f t="shared" si="3"/>
        <v>0.4656418152</v>
      </c>
    </row>
    <row r="569">
      <c r="A569" s="3">
        <f>IFERROR(__xludf.DUMMYFUNCTION("""COMPUTED_VALUE"""),45931.0)</f>
        <v>45931</v>
      </c>
      <c r="B569" s="1" t="str">
        <f>IFERROR(__xludf.DUMMYFUNCTION("""COMPUTED_VALUE"""),"HTMall")</f>
        <v>HTMall</v>
      </c>
      <c r="C569" s="1" t="str">
        <f>IFERROR(__xludf.DUMMYFUNCTION("""COMPUTED_VALUE"""),"Kinder Bueno")</f>
        <v>Kinder Bueno</v>
      </c>
      <c r="D569" s="1">
        <f>IFERROR(__xludf.DUMMYFUNCTION("""COMPUTED_VALUE"""),210.0)</f>
        <v>210</v>
      </c>
      <c r="E569" s="1">
        <f>IFERROR(__xludf.DUMMYFUNCTION("""COMPUTED_VALUE"""),7.0)</f>
        <v>7</v>
      </c>
      <c r="F569" s="1">
        <f>IFERROR(__xludf.DUMMYFUNCTION("""COMPUTED_VALUE"""),35.0)</f>
        <v>35</v>
      </c>
      <c r="G569" s="1">
        <f t="shared" si="1"/>
        <v>6</v>
      </c>
      <c r="H569" s="1">
        <f t="shared" si="2"/>
        <v>0.2</v>
      </c>
      <c r="I569" s="1">
        <f>IFERROR(__xludf.DUMMYFUNCTION("IF(B569="""","""",
  100*F569 / MAX(FILTER($F:$F, $A:$A=$A569, $B:$B=$B569))
)
"),4.036908881199539)</f>
        <v>4.036908881</v>
      </c>
      <c r="J569" s="1">
        <f>IFERROR(__xludf.DUMMYFUNCTION("IF(B569="""","""",
  100*E569 / MAX(FILTER($E:$E, $A:$A=$A569, $B:$B=$B569))
)
"),1.1421112742698647)</f>
        <v>1.142111274</v>
      </c>
      <c r="K569" s="1">
        <f t="shared" si="3"/>
        <v>2.734249958</v>
      </c>
    </row>
    <row r="570">
      <c r="A570" s="3">
        <f>IFERROR(__xludf.DUMMYFUNCTION("""COMPUTED_VALUE"""),45931.0)</f>
        <v>45931</v>
      </c>
      <c r="B570" s="1" t="str">
        <f>IFERROR(__xludf.DUMMYFUNCTION("""COMPUTED_VALUE"""),"HTMall")</f>
        <v>HTMall</v>
      </c>
      <c r="C570" s="1" t="str">
        <f>IFERROR(__xludf.DUMMYFUNCTION("""COMPUTED_VALUE"""),"Kinder bueno1stick")</f>
        <v>Kinder bueno1stick</v>
      </c>
      <c r="D570" s="1">
        <f>IFERROR(__xludf.DUMMYFUNCTION("""COMPUTED_VALUE"""),56.0)</f>
        <v>56</v>
      </c>
      <c r="E570" s="1">
        <f>IFERROR(__xludf.DUMMYFUNCTION("""COMPUTED_VALUE"""),14.0)</f>
        <v>14</v>
      </c>
      <c r="F570" s="1">
        <f>IFERROR(__xludf.DUMMYFUNCTION("""COMPUTED_VALUE"""),14.0)</f>
        <v>14</v>
      </c>
      <c r="G570" s="1">
        <f t="shared" si="1"/>
        <v>4</v>
      </c>
      <c r="H570" s="1">
        <f t="shared" si="2"/>
        <v>1</v>
      </c>
      <c r="I570" s="1">
        <f>IFERROR(__xludf.DUMMYFUNCTION("IF(B570="""","""",
  100*F570 / MAX(FILTER($F:$F, $A:$A=$A570, $B:$B=$B570))
)
"),1.6147635524798154)</f>
        <v>1.614763552</v>
      </c>
      <c r="J570" s="1">
        <f>IFERROR(__xludf.DUMMYFUNCTION("IF(B570="""","""",
  100*E570 / MAX(FILTER($E:$E, $A:$A=$A570, $B:$B=$B570))
)
"),2.2842225485397294)</f>
        <v>2.284222549</v>
      </c>
      <c r="K570" s="1">
        <f t="shared" si="3"/>
        <v>1.916020101</v>
      </c>
    </row>
    <row r="571">
      <c r="A571" s="3">
        <f>IFERROR(__xludf.DUMMYFUNCTION("""COMPUTED_VALUE"""),45931.0)</f>
        <v>45931</v>
      </c>
      <c r="B571" s="1" t="str">
        <f>IFERROR(__xludf.DUMMYFUNCTION("""COMPUTED_VALUE"""),"HTMall")</f>
        <v>HTMall</v>
      </c>
      <c r="C571" s="1" t="str">
        <f>IFERROR(__xludf.DUMMYFUNCTION("""COMPUTED_VALUE"""),"Laviva")</f>
        <v>Laviva</v>
      </c>
      <c r="D571" s="1">
        <f>IFERROR(__xludf.DUMMYFUNCTION("""COMPUTED_VALUE"""),288.0)</f>
        <v>288</v>
      </c>
      <c r="E571" s="1">
        <f>IFERROR(__xludf.DUMMYFUNCTION("""COMPUTED_VALUE"""),76.8)</f>
        <v>76.8</v>
      </c>
      <c r="F571" s="1">
        <f>IFERROR(__xludf.DUMMYFUNCTION("""COMPUTED_VALUE"""),96.0)</f>
        <v>96</v>
      </c>
      <c r="G571" s="1">
        <f t="shared" si="1"/>
        <v>3</v>
      </c>
      <c r="H571" s="1">
        <f t="shared" si="2"/>
        <v>0.8</v>
      </c>
      <c r="I571" s="1">
        <f>IFERROR(__xludf.DUMMYFUNCTION("IF(B571="""","""",
  100*F571 / MAX(FILTER($F:$F, $A:$A=$A571, $B:$B=$B571))
)
"),11.07266435986159)</f>
        <v>11.07266436</v>
      </c>
      <c r="J571" s="1">
        <f>IFERROR(__xludf.DUMMYFUNCTION("IF(B571="""","""",
  100*E571 / MAX(FILTER($E:$E, $A:$A=$A571, $B:$B=$B571))
)
"),12.530592266275086)</f>
        <v>12.53059227</v>
      </c>
      <c r="K571" s="1">
        <f t="shared" si="3"/>
        <v>11.72873192</v>
      </c>
    </row>
    <row r="572">
      <c r="A572" s="3">
        <f>IFERROR(__xludf.DUMMYFUNCTION("""COMPUTED_VALUE"""),45931.0)</f>
        <v>45931</v>
      </c>
      <c r="B572" s="1" t="str">
        <f>IFERROR(__xludf.DUMMYFUNCTION("""COMPUTED_VALUE"""),"HTMall")</f>
        <v>HTMall</v>
      </c>
      <c r="C572" s="1" t="str">
        <f>IFERROR(__xludf.DUMMYFUNCTION("""COMPUTED_VALUE"""),"Maltesers")</f>
        <v>Maltesers</v>
      </c>
      <c r="D572" s="1">
        <f>IFERROR(__xludf.DUMMYFUNCTION("""COMPUTED_VALUE"""),186.0)</f>
        <v>186</v>
      </c>
      <c r="E572" s="1">
        <f>IFERROR(__xludf.DUMMYFUNCTION("""COMPUTED_VALUE"""),-6.2)</f>
        <v>-6.2</v>
      </c>
      <c r="F572" s="1">
        <f>IFERROR(__xludf.DUMMYFUNCTION("""COMPUTED_VALUE"""),31.0)</f>
        <v>31</v>
      </c>
      <c r="G572" s="1">
        <f t="shared" si="1"/>
        <v>6</v>
      </c>
      <c r="H572" s="1">
        <f t="shared" si="2"/>
        <v>-0.2</v>
      </c>
      <c r="I572" s="1">
        <f>IFERROR(__xludf.DUMMYFUNCTION("IF(B572="""","""",
  100*F572 / MAX(FILTER($F:$F, $A:$A=$A572, $B:$B=$B572))
)
"),3.5755478662053055)</f>
        <v>3.575547866</v>
      </c>
      <c r="J572" s="1">
        <f>IFERROR(__xludf.DUMMYFUNCTION("IF(B572="""","""",
  100*E572 / MAX(FILTER($E:$E, $A:$A=$A572, $B:$B=$B572))
)
"),-1.0115842714961658)</f>
        <v>-1.011584271</v>
      </c>
      <c r="K572" s="1">
        <f t="shared" si="3"/>
        <v>1.511338404</v>
      </c>
    </row>
    <row r="573">
      <c r="A573" s="3">
        <f>IFERROR(__xludf.DUMMYFUNCTION("""COMPUTED_VALUE"""),45931.0)</f>
        <v>45931</v>
      </c>
      <c r="B573" s="1" t="str">
        <f>IFERROR(__xludf.DUMMYFUNCTION("""COMPUTED_VALUE"""),"HTMall")</f>
        <v>HTMall</v>
      </c>
      <c r="C573" s="1" t="str">
        <f>IFERROR(__xludf.DUMMYFUNCTION("""COMPUTED_VALUE"""),"Mars")</f>
        <v>Mars</v>
      </c>
      <c r="D573" s="1">
        <f>IFERROR(__xludf.DUMMYFUNCTION("""COMPUTED_VALUE"""),50.0)</f>
        <v>50</v>
      </c>
      <c r="E573" s="1">
        <f>IFERROR(__xludf.DUMMYFUNCTION("""COMPUTED_VALUE"""),14.0)</f>
        <v>14</v>
      </c>
      <c r="F573" s="1">
        <f>IFERROR(__xludf.DUMMYFUNCTION("""COMPUTED_VALUE"""),10.0)</f>
        <v>10</v>
      </c>
      <c r="G573" s="1">
        <f t="shared" si="1"/>
        <v>5</v>
      </c>
      <c r="H573" s="1">
        <f t="shared" si="2"/>
        <v>1.4</v>
      </c>
      <c r="I573" s="1">
        <f>IFERROR(__xludf.DUMMYFUNCTION("IF(B573="""","""",
  100*F573 / MAX(FILTER($F:$F, $A:$A=$A573, $B:$B=$B573))
)
"),1.1534025374855825)</f>
        <v>1.153402537</v>
      </c>
      <c r="J573" s="1">
        <f>IFERROR(__xludf.DUMMYFUNCTION("IF(B573="""","""",
  100*E573 / MAX(FILTER($E:$E, $A:$A=$A573, $B:$B=$B573))
)
"),2.2842225485397294)</f>
        <v>2.284222549</v>
      </c>
      <c r="K573" s="1">
        <f t="shared" si="3"/>
        <v>1.662271542</v>
      </c>
    </row>
    <row r="574">
      <c r="A574" s="3">
        <f>IFERROR(__xludf.DUMMYFUNCTION("""COMPUTED_VALUE"""),45931.0)</f>
        <v>45931</v>
      </c>
      <c r="B574" s="1" t="str">
        <f>IFERROR(__xludf.DUMMYFUNCTION("""COMPUTED_VALUE"""),"HTMall")</f>
        <v>HTMall</v>
      </c>
      <c r="C574" s="1" t="str">
        <f>IFERROR(__xludf.DUMMYFUNCTION("""COMPUTED_VALUE"""),"Mirinda")</f>
        <v>Mirinda</v>
      </c>
      <c r="D574" s="1">
        <f>IFERROR(__xludf.DUMMYFUNCTION("""COMPUTED_VALUE"""),120.0)</f>
        <v>120</v>
      </c>
      <c r="E574" s="1">
        <f>IFERROR(__xludf.DUMMYFUNCTION("""COMPUTED_VALUE"""),30.0)</f>
        <v>30</v>
      </c>
      <c r="F574" s="1">
        <f>IFERROR(__xludf.DUMMYFUNCTION("""COMPUTED_VALUE"""),40.0)</f>
        <v>40</v>
      </c>
      <c r="G574" s="1">
        <f t="shared" si="1"/>
        <v>3</v>
      </c>
      <c r="H574" s="1">
        <f t="shared" si="2"/>
        <v>0.75</v>
      </c>
      <c r="I574" s="1">
        <f>IFERROR(__xludf.DUMMYFUNCTION("IF(B574="""","""",
  100*F574 / MAX(FILTER($F:$F, $A:$A=$A574, $B:$B=$B574))
)
"),4.61361014994233)</f>
        <v>4.61361015</v>
      </c>
      <c r="J574" s="1">
        <f>IFERROR(__xludf.DUMMYFUNCTION("IF(B574="""","""",
  100*E574 / MAX(FILTER($E:$E, $A:$A=$A574, $B:$B=$B574))
)
"),4.894762604013706)</f>
        <v>4.894762604</v>
      </c>
      <c r="K574" s="1">
        <f t="shared" si="3"/>
        <v>4.740128754</v>
      </c>
    </row>
    <row r="575">
      <c r="A575" s="3">
        <f>IFERROR(__xludf.DUMMYFUNCTION("""COMPUTED_VALUE"""),45931.0)</f>
        <v>45931</v>
      </c>
      <c r="B575" s="1" t="str">
        <f>IFERROR(__xludf.DUMMYFUNCTION("""COMPUTED_VALUE"""),"HTMall")</f>
        <v>HTMall</v>
      </c>
      <c r="C575" s="1" t="str">
        <f>IFERROR(__xludf.DUMMYFUNCTION("""COMPUTED_VALUE"""),"MrCrunch")</f>
        <v>MrCrunch</v>
      </c>
      <c r="D575" s="1">
        <f>IFERROR(__xludf.DUMMYFUNCTION("""COMPUTED_VALUE"""),170.0)</f>
        <v>170</v>
      </c>
      <c r="E575" s="1">
        <f>IFERROR(__xludf.DUMMYFUNCTION("""COMPUTED_VALUE"""),90.78)</f>
        <v>90.78</v>
      </c>
      <c r="F575" s="1">
        <f>IFERROR(__xludf.DUMMYFUNCTION("""COMPUTED_VALUE"""),34.0)</f>
        <v>34</v>
      </c>
      <c r="G575" s="1">
        <f t="shared" si="1"/>
        <v>5</v>
      </c>
      <c r="H575" s="1">
        <f t="shared" si="2"/>
        <v>2.67</v>
      </c>
      <c r="I575" s="1">
        <f>IFERROR(__xludf.DUMMYFUNCTION("IF(B575="""","""",
  100*F575 / MAX(FILTER($F:$F, $A:$A=$A575, $B:$B=$B575))
)
"),3.9215686274509802)</f>
        <v>3.921568627</v>
      </c>
      <c r="J575" s="1">
        <f>IFERROR(__xludf.DUMMYFUNCTION("IF(B575="""","""",
  100*E575 / MAX(FILTER($E:$E, $A:$A=$A575, $B:$B=$B575))
)
"),14.811551639745472)</f>
        <v>14.81155164</v>
      </c>
      <c r="K575" s="1">
        <f t="shared" si="3"/>
        <v>8.822060983</v>
      </c>
    </row>
    <row r="576">
      <c r="A576" s="3">
        <f>IFERROR(__xludf.DUMMYFUNCTION("""COMPUTED_VALUE"""),45931.0)</f>
        <v>45931</v>
      </c>
      <c r="B576" s="1" t="str">
        <f>IFERROR(__xludf.DUMMYFUNCTION("""COMPUTED_VALUE"""),"HTMall")</f>
        <v>HTMall</v>
      </c>
      <c r="C576" s="1" t="str">
        <f>IFERROR(__xludf.DUMMYFUNCTION("""COMPUTED_VALUE"""),"MrCrunch Normal")</f>
        <v>MrCrunch Normal</v>
      </c>
      <c r="D576" s="1">
        <f>IFERROR(__xludf.DUMMYFUNCTION("""COMPUTED_VALUE"""),155.0)</f>
        <v>155</v>
      </c>
      <c r="E576" s="1">
        <f>IFERROR(__xludf.DUMMYFUNCTION("""COMPUTED_VALUE"""),91.45)</f>
        <v>91.45</v>
      </c>
      <c r="F576" s="1">
        <f>IFERROR(__xludf.DUMMYFUNCTION("""COMPUTED_VALUE"""),31.0)</f>
        <v>31</v>
      </c>
      <c r="G576" s="1">
        <f t="shared" si="1"/>
        <v>5</v>
      </c>
      <c r="H576" s="1">
        <f t="shared" si="2"/>
        <v>2.95</v>
      </c>
      <c r="I576" s="1">
        <f>IFERROR(__xludf.DUMMYFUNCTION("IF(B576="""","""",
  100*F576 / MAX(FILTER($F:$F, $A:$A=$A576, $B:$B=$B576))
)
"),3.5755478662053055)</f>
        <v>3.575547866</v>
      </c>
      <c r="J576" s="1">
        <f>IFERROR(__xludf.DUMMYFUNCTION("IF(B576="""","""",
  100*E576 / MAX(FILTER($E:$E, $A:$A=$A576, $B:$B=$B576))
)
"),14.920868004568446)</f>
        <v>14.920868</v>
      </c>
      <c r="K576" s="1">
        <f t="shared" si="3"/>
        <v>8.680941928</v>
      </c>
    </row>
    <row r="577">
      <c r="A577" s="3">
        <f>IFERROR(__xludf.DUMMYFUNCTION("""COMPUTED_VALUE"""),45931.0)</f>
        <v>45931</v>
      </c>
      <c r="B577" s="1" t="str">
        <f>IFERROR(__xludf.DUMMYFUNCTION("""COMPUTED_VALUE"""),"HTMall")</f>
        <v>HTMall</v>
      </c>
      <c r="C577" s="1" t="str">
        <f>IFERROR(__xludf.DUMMYFUNCTION("""COMPUTED_VALUE"""),"Pepsi")</f>
        <v>Pepsi</v>
      </c>
      <c r="D577" s="1">
        <f>IFERROR(__xludf.DUMMYFUNCTION("""COMPUTED_VALUE"""),219.0)</f>
        <v>219</v>
      </c>
      <c r="E577" s="1">
        <f>IFERROR(__xludf.DUMMYFUNCTION("""COMPUTED_VALUE"""),54.75)</f>
        <v>54.75</v>
      </c>
      <c r="F577" s="1">
        <f>IFERROR(__xludf.DUMMYFUNCTION("""COMPUTED_VALUE"""),73.0)</f>
        <v>73</v>
      </c>
      <c r="G577" s="1">
        <f t="shared" si="1"/>
        <v>3</v>
      </c>
      <c r="H577" s="1">
        <f t="shared" si="2"/>
        <v>0.75</v>
      </c>
      <c r="I577" s="1">
        <f>IFERROR(__xludf.DUMMYFUNCTION("IF(B577="""","""",
  100*F577 / MAX(FILTER($F:$F, $A:$A=$A577, $B:$B=$B577))
)
"),8.419838523644753)</f>
        <v>8.419838524</v>
      </c>
      <c r="J577" s="1">
        <f>IFERROR(__xludf.DUMMYFUNCTION("IF(B577="""","""",
  100*E577 / MAX(FILTER($E:$E, $A:$A=$A577, $B:$B=$B577))
)
"),8.932941752325013)</f>
        <v>8.932941752</v>
      </c>
      <c r="K577" s="1">
        <f t="shared" si="3"/>
        <v>8.650734977</v>
      </c>
    </row>
    <row r="578">
      <c r="A578" s="3">
        <f>IFERROR(__xludf.DUMMYFUNCTION("""COMPUTED_VALUE"""),45931.0)</f>
        <v>45931</v>
      </c>
      <c r="B578" s="1" t="str">
        <f>IFERROR(__xludf.DUMMYFUNCTION("""COMPUTED_VALUE"""),"HTMall")</f>
        <v>HTMall</v>
      </c>
      <c r="C578" s="1" t="str">
        <f>IFERROR(__xludf.DUMMYFUNCTION("""COMPUTED_VALUE"""),"Pepsi 500ml")</f>
        <v>Pepsi 500ml</v>
      </c>
      <c r="D578" s="1">
        <f>IFERROR(__xludf.DUMMYFUNCTION("""COMPUTED_VALUE"""),72.0)</f>
        <v>72</v>
      </c>
      <c r="E578" s="1">
        <f>IFERROR(__xludf.DUMMYFUNCTION("""COMPUTED_VALUE"""),28.08)</f>
        <v>28.08</v>
      </c>
      <c r="F578" s="1">
        <f>IFERROR(__xludf.DUMMYFUNCTION("""COMPUTED_VALUE"""),24.0)</f>
        <v>24</v>
      </c>
      <c r="G578" s="1">
        <f t="shared" si="1"/>
        <v>3</v>
      </c>
      <c r="H578" s="1">
        <f t="shared" si="2"/>
        <v>1.17</v>
      </c>
      <c r="I578" s="1">
        <f>IFERROR(__xludf.DUMMYFUNCTION("IF(B578="""","""",
  100*F578 / MAX(FILTER($F:$F, $A:$A=$A578, $B:$B=$B578))
)
"),2.7681660899653977)</f>
        <v>2.76816609</v>
      </c>
      <c r="J578" s="1">
        <f>IFERROR(__xludf.DUMMYFUNCTION("IF(B578="""","""",
  100*E578 / MAX(FILTER($E:$E, $A:$A=$A578, $B:$B=$B578))
)
"),4.581497797356828)</f>
        <v>4.581497797</v>
      </c>
      <c r="K578" s="1">
        <f t="shared" si="3"/>
        <v>3.584165358</v>
      </c>
    </row>
    <row r="579">
      <c r="A579" s="3">
        <f>IFERROR(__xludf.DUMMYFUNCTION("""COMPUTED_VALUE"""),45931.0)</f>
        <v>45931</v>
      </c>
      <c r="B579" s="1" t="str">
        <f>IFERROR(__xludf.DUMMYFUNCTION("""COMPUTED_VALUE"""),"HTMall")</f>
        <v>HTMall</v>
      </c>
      <c r="C579" s="1" t="str">
        <f>IFERROR(__xludf.DUMMYFUNCTION("""COMPUTED_VALUE"""),"Rani")</f>
        <v>Rani</v>
      </c>
      <c r="D579" s="1">
        <f>IFERROR(__xludf.DUMMYFUNCTION("""COMPUTED_VALUE"""),36.0)</f>
        <v>36</v>
      </c>
      <c r="E579" s="1">
        <f>IFERROR(__xludf.DUMMYFUNCTION("""COMPUTED_VALUE"""),9.96)</f>
        <v>9.96</v>
      </c>
      <c r="F579" s="1">
        <f>IFERROR(__xludf.DUMMYFUNCTION("""COMPUTED_VALUE"""),12.0)</f>
        <v>12</v>
      </c>
      <c r="G579" s="1">
        <f t="shared" si="1"/>
        <v>3</v>
      </c>
      <c r="H579" s="1">
        <f t="shared" si="2"/>
        <v>0.83</v>
      </c>
      <c r="I579" s="1">
        <f>IFERROR(__xludf.DUMMYFUNCTION("IF(B579="""","""",
  100*F579 / MAX(FILTER($F:$F, $A:$A=$A579, $B:$B=$B579))
)
"),1.3840830449826989)</f>
        <v>1.384083045</v>
      </c>
      <c r="J579" s="1">
        <f>IFERROR(__xludf.DUMMYFUNCTION("IF(B579="""","""",
  100*E579 / MAX(FILTER($E:$E, $A:$A=$A579, $B:$B=$B579))
)
"),1.6250611845325504)</f>
        <v>1.625061185</v>
      </c>
      <c r="K579" s="1">
        <f t="shared" si="3"/>
        <v>1.492523208</v>
      </c>
    </row>
    <row r="580">
      <c r="A580" s="3">
        <f>IFERROR(__xludf.DUMMYFUNCTION("""COMPUTED_VALUE"""),45931.0)</f>
        <v>45931</v>
      </c>
      <c r="B580" s="1" t="str">
        <f>IFERROR(__xludf.DUMMYFUNCTION("""COMPUTED_VALUE"""),"HTMall")</f>
        <v>HTMall</v>
      </c>
      <c r="C580" s="1" t="str">
        <f>IFERROR(__xludf.DUMMYFUNCTION("""COMPUTED_VALUE"""),"Schweppes")</f>
        <v>Schweppes</v>
      </c>
      <c r="D580" s="1">
        <f>IFERROR(__xludf.DUMMYFUNCTION("""COMPUTED_VALUE"""),6.0)</f>
        <v>6</v>
      </c>
      <c r="E580" s="1">
        <f>IFERROR(__xludf.DUMMYFUNCTION("""COMPUTED_VALUE"""),2.0)</f>
        <v>2</v>
      </c>
      <c r="F580" s="1">
        <f>IFERROR(__xludf.DUMMYFUNCTION("""COMPUTED_VALUE"""),2.0)</f>
        <v>2</v>
      </c>
      <c r="G580" s="1">
        <f t="shared" si="1"/>
        <v>3</v>
      </c>
      <c r="H580" s="1">
        <f t="shared" si="2"/>
        <v>1</v>
      </c>
      <c r="I580" s="1">
        <f>IFERROR(__xludf.DUMMYFUNCTION("IF(B580="""","""",
  100*F580 / MAX(FILTER($F:$F, $A:$A=$A580, $B:$B=$B580))
)
"),0.2306805074971165)</f>
        <v>0.2306805075</v>
      </c>
      <c r="J580" s="1">
        <f>IFERROR(__xludf.DUMMYFUNCTION("IF(B580="""","""",
  100*E580 / MAX(FILTER($E:$E, $A:$A=$A580, $B:$B=$B580))
)
"),0.32631750693424705)</f>
        <v>0.3263175069</v>
      </c>
      <c r="K580" s="1">
        <f t="shared" si="3"/>
        <v>0.2737171572</v>
      </c>
    </row>
    <row r="581">
      <c r="A581" s="3">
        <f>IFERROR(__xludf.DUMMYFUNCTION("""COMPUTED_VALUE"""),45931.0)</f>
        <v>45931</v>
      </c>
      <c r="B581" s="1" t="str">
        <f>IFERROR(__xludf.DUMMYFUNCTION("""COMPUTED_VALUE"""),"HTMall")</f>
        <v>HTMall</v>
      </c>
      <c r="C581" s="1" t="str">
        <f>IFERROR(__xludf.DUMMYFUNCTION("""COMPUTED_VALUE"""),"Skittles")</f>
        <v>Skittles</v>
      </c>
      <c r="D581" s="1">
        <f>IFERROR(__xludf.DUMMYFUNCTION("""COMPUTED_VALUE"""),161.0)</f>
        <v>161</v>
      </c>
      <c r="E581" s="1">
        <f>IFERROR(__xludf.DUMMYFUNCTION("""COMPUTED_VALUE"""),26.91)</f>
        <v>26.91</v>
      </c>
      <c r="F581" s="1">
        <f>IFERROR(__xludf.DUMMYFUNCTION("""COMPUTED_VALUE"""),23.0)</f>
        <v>23</v>
      </c>
      <c r="G581" s="1">
        <f t="shared" si="1"/>
        <v>7</v>
      </c>
      <c r="H581" s="1">
        <f t="shared" si="2"/>
        <v>1.17</v>
      </c>
      <c r="I581" s="1">
        <f>IFERROR(__xludf.DUMMYFUNCTION("IF(B581="""","""",
  100*F581 / MAX(FILTER($F:$F, $A:$A=$A581, $B:$B=$B581))
)
"),2.6528258362168398)</f>
        <v>2.652825836</v>
      </c>
      <c r="J581" s="1">
        <f>IFERROR(__xludf.DUMMYFUNCTION("IF(B581="""","""",
  100*E581 / MAX(FILTER($E:$E, $A:$A=$A581, $B:$B=$B581))
)
"),4.390602055800294)</f>
        <v>4.390602056</v>
      </c>
      <c r="K581" s="1">
        <f t="shared" si="3"/>
        <v>3.434825135</v>
      </c>
    </row>
    <row r="582">
      <c r="A582" s="3">
        <f>IFERROR(__xludf.DUMMYFUNCTION("""COMPUTED_VALUE"""),45931.0)</f>
        <v>45931</v>
      </c>
      <c r="B582" s="1" t="str">
        <f>IFERROR(__xludf.DUMMYFUNCTION("""COMPUTED_VALUE"""),"HTMall")</f>
        <v>HTMall</v>
      </c>
      <c r="C582" s="1" t="str">
        <f>IFERROR(__xludf.DUMMYFUNCTION("""COMPUTED_VALUE"""),"Snickers")</f>
        <v>Snickers</v>
      </c>
      <c r="D582" s="1">
        <f>IFERROR(__xludf.DUMMYFUNCTION("""COMPUTED_VALUE"""),154.0)</f>
        <v>154</v>
      </c>
      <c r="E582" s="1">
        <f>IFERROR(__xludf.DUMMYFUNCTION("""COMPUTED_VALUE"""),1.0)</f>
        <v>1</v>
      </c>
      <c r="F582" s="1">
        <f>IFERROR(__xludf.DUMMYFUNCTION("""COMPUTED_VALUE"""),34.0)</f>
        <v>34</v>
      </c>
      <c r="G582" s="1">
        <f t="shared" si="1"/>
        <v>4.529411765</v>
      </c>
      <c r="H582" s="1">
        <f t="shared" si="2"/>
        <v>0.02941176471</v>
      </c>
      <c r="I582" s="1">
        <f>IFERROR(__xludf.DUMMYFUNCTION("IF(B582="""","""",
  100*F582 / MAX(FILTER($F:$F, $A:$A=$A582, $B:$B=$B582))
)
"),3.9215686274509802)</f>
        <v>3.921568627</v>
      </c>
      <c r="J582" s="1">
        <f>IFERROR(__xludf.DUMMYFUNCTION("IF(B582="""","""",
  100*E582 / MAX(FILTER($E:$E, $A:$A=$A582, $B:$B=$B582))
)
"),0.16315875346712352)</f>
        <v>0.1631587535</v>
      </c>
      <c r="K582" s="1">
        <f t="shared" si="3"/>
        <v>2.230284184</v>
      </c>
    </row>
    <row r="583">
      <c r="A583" s="3">
        <f>IFERROR(__xludf.DUMMYFUNCTION("""COMPUTED_VALUE"""),45931.0)</f>
        <v>45931</v>
      </c>
      <c r="B583" s="1" t="str">
        <f>IFERROR(__xludf.DUMMYFUNCTION("""COMPUTED_VALUE"""),"HTMall")</f>
        <v>HTMall</v>
      </c>
      <c r="C583" s="1" t="str">
        <f>IFERROR(__xludf.DUMMYFUNCTION("""COMPUTED_VALUE"""),"Tiger *12")</f>
        <v>Tiger *12</v>
      </c>
      <c r="D583" s="1">
        <f>IFERROR(__xludf.DUMMYFUNCTION("""COMPUTED_VALUE"""),1325.0)</f>
        <v>1325</v>
      </c>
      <c r="E583" s="1">
        <f>IFERROR(__xludf.DUMMYFUNCTION("""COMPUTED_VALUE"""),508.8)</f>
        <v>508.8</v>
      </c>
      <c r="F583" s="1">
        <f>IFERROR(__xludf.DUMMYFUNCTION("""COMPUTED_VALUE"""),265.0)</f>
        <v>265</v>
      </c>
      <c r="G583" s="1">
        <f t="shared" si="1"/>
        <v>5</v>
      </c>
      <c r="H583" s="1">
        <f t="shared" si="2"/>
        <v>1.92</v>
      </c>
      <c r="I583" s="1">
        <f>IFERROR(__xludf.DUMMYFUNCTION("IF(B583="""","""",
  100*F583 / MAX(FILTER($F:$F, $A:$A=$A583, $B:$B=$B583))
)
"),30.565167243367934)</f>
        <v>30.56516724</v>
      </c>
      <c r="J583" s="1">
        <f>IFERROR(__xludf.DUMMYFUNCTION("IF(B583="""","""",
  100*E583 / MAX(FILTER($E:$E, $A:$A=$A583, $B:$B=$B583))
)
"),83.01517376407244)</f>
        <v>83.01517376</v>
      </c>
      <c r="K583" s="1">
        <f t="shared" si="3"/>
        <v>54.16767018</v>
      </c>
    </row>
    <row r="584">
      <c r="A584" s="3">
        <f>IFERROR(__xludf.DUMMYFUNCTION("""COMPUTED_VALUE"""),45931.0)</f>
        <v>45931</v>
      </c>
      <c r="B584" s="1" t="str">
        <f>IFERROR(__xludf.DUMMYFUNCTION("""COMPUTED_VALUE"""),"HTMall")</f>
        <v>HTMall</v>
      </c>
      <c r="C584" s="1" t="str">
        <f>IFERROR(__xludf.DUMMYFUNCTION("""COMPUTED_VALUE"""),"Twix")</f>
        <v>Twix</v>
      </c>
      <c r="D584" s="1">
        <f>IFERROR(__xludf.DUMMYFUNCTION("""COMPUTED_VALUE"""),50.0)</f>
        <v>50</v>
      </c>
      <c r="E584" s="1">
        <f>IFERROR(__xludf.DUMMYFUNCTION("""COMPUTED_VALUE"""),15.0)</f>
        <v>15</v>
      </c>
      <c r="F584" s="1">
        <f>IFERROR(__xludf.DUMMYFUNCTION("""COMPUTED_VALUE"""),10.0)</f>
        <v>10</v>
      </c>
      <c r="G584" s="1">
        <f t="shared" si="1"/>
        <v>5</v>
      </c>
      <c r="H584" s="1">
        <f t="shared" si="2"/>
        <v>1.5</v>
      </c>
      <c r="I584" s="1">
        <f>IFERROR(__xludf.DUMMYFUNCTION("IF(B584="""","""",
  100*F584 / MAX(FILTER($F:$F, $A:$A=$A584, $B:$B=$B584))
)
"),1.1534025374855825)</f>
        <v>1.153402537</v>
      </c>
      <c r="J584" s="1">
        <f>IFERROR(__xludf.DUMMYFUNCTION("IF(B584="""","""",
  100*E584 / MAX(FILTER($E:$E, $A:$A=$A584, $B:$B=$B584))
)
"),2.447381302006853)</f>
        <v>2.447381302</v>
      </c>
      <c r="K584" s="1">
        <f t="shared" si="3"/>
        <v>1.735692982</v>
      </c>
    </row>
    <row r="585">
      <c r="A585" s="3">
        <f>IFERROR(__xludf.DUMMYFUNCTION("""COMPUTED_VALUE"""),45931.0)</f>
        <v>45931</v>
      </c>
      <c r="B585" s="1" t="str">
        <f>IFERROR(__xludf.DUMMYFUNCTION("""COMPUTED_VALUE"""),"HTMall")</f>
        <v>HTMall</v>
      </c>
      <c r="C585" s="1" t="str">
        <f>IFERROR(__xludf.DUMMYFUNCTION("""COMPUTED_VALUE"""),"Twix ex")</f>
        <v>Twix ex</v>
      </c>
      <c r="D585" s="1">
        <f>IFERROR(__xludf.DUMMYFUNCTION("""COMPUTED_VALUE"""),40.0)</f>
        <v>40</v>
      </c>
      <c r="E585" s="1">
        <f>IFERROR(__xludf.DUMMYFUNCTION("""COMPUTED_VALUE"""),22.5)</f>
        <v>22.5</v>
      </c>
      <c r="F585" s="1">
        <f>IFERROR(__xludf.DUMMYFUNCTION("""COMPUTED_VALUE"""),10.0)</f>
        <v>10</v>
      </c>
      <c r="G585" s="1">
        <f t="shared" si="1"/>
        <v>4</v>
      </c>
      <c r="H585" s="1">
        <f t="shared" si="2"/>
        <v>2.25</v>
      </c>
      <c r="I585" s="1">
        <f>IFERROR(__xludf.DUMMYFUNCTION("IF(B585="""","""",
  100*F585 / MAX(FILTER($F:$F, $A:$A=$A585, $B:$B=$B585))
)
"),1.1534025374855825)</f>
        <v>1.153402537</v>
      </c>
      <c r="J585" s="1">
        <f>IFERROR(__xludf.DUMMYFUNCTION("IF(B585="""","""",
  100*E585 / MAX(FILTER($E:$E, $A:$A=$A585, $B:$B=$B585))
)
"),3.671071953010279)</f>
        <v>3.671071953</v>
      </c>
      <c r="K585" s="1">
        <f t="shared" si="3"/>
        <v>2.286353774</v>
      </c>
    </row>
    <row r="586">
      <c r="A586" s="3">
        <f>IFERROR(__xludf.DUMMYFUNCTION("""COMPUTED_VALUE"""),45931.0)</f>
        <v>45931</v>
      </c>
      <c r="B586" s="1" t="str">
        <f>IFERROR(__xludf.DUMMYFUNCTION("""COMPUTED_VALUE"""),"HTMall")</f>
        <v>HTMall</v>
      </c>
      <c r="C586" s="1" t="str">
        <f>IFERROR(__xludf.DUMMYFUNCTION("""COMPUTED_VALUE"""),"Water")</f>
        <v>Water</v>
      </c>
      <c r="D586" s="1">
        <f>IFERROR(__xludf.DUMMYFUNCTION("""COMPUTED_VALUE"""),873.0)</f>
        <v>873</v>
      </c>
      <c r="E586" s="1">
        <f>IFERROR(__xludf.DUMMYFUNCTION("""COMPUTED_VALUE"""),612.9)</f>
        <v>612.9</v>
      </c>
      <c r="F586" s="1">
        <f>IFERROR(__xludf.DUMMYFUNCTION("""COMPUTED_VALUE"""),867.0)</f>
        <v>867</v>
      </c>
      <c r="G586" s="1">
        <f t="shared" si="1"/>
        <v>1.006920415</v>
      </c>
      <c r="H586" s="1">
        <f t="shared" si="2"/>
        <v>0.7069204152</v>
      </c>
      <c r="I586" s="1">
        <f>IFERROR(__xludf.DUMMYFUNCTION("IF(B586="""","""",
  100*F586 / MAX(FILTER($F:$F, $A:$A=$A586, $B:$B=$B586))
)
"),100.0)</f>
        <v>100</v>
      </c>
      <c r="J586" s="1">
        <f>IFERROR(__xludf.DUMMYFUNCTION("IF(B586="""","""",
  100*E586 / MAX(FILTER($E:$E, $A:$A=$A586, $B:$B=$B586))
)
"),100.0)</f>
        <v>100</v>
      </c>
      <c r="K586" s="1">
        <f t="shared" si="3"/>
        <v>100</v>
      </c>
    </row>
    <row r="587">
      <c r="A587" s="3">
        <f>IFERROR(__xludf.DUMMYFUNCTION("""COMPUTED_VALUE"""),45931.0)</f>
        <v>45931</v>
      </c>
      <c r="B587" s="1" t="str">
        <f>IFERROR(__xludf.DUMMYFUNCTION("""COMPUTED_VALUE"""),"HTMall")</f>
        <v>HTMall</v>
      </c>
      <c r="C587" s="1" t="str">
        <f>IFERROR(__xludf.DUMMYFUNCTION("""COMPUTED_VALUE"""),"X!R")</f>
        <v>X!R</v>
      </c>
      <c r="D587" s="1">
        <f>IFERROR(__xludf.DUMMYFUNCTION("""COMPUTED_VALUE"""),345.0)</f>
        <v>345</v>
      </c>
      <c r="E587" s="1">
        <f>IFERROR(__xludf.DUMMYFUNCTION("""COMPUTED_VALUE"""),103.5)</f>
        <v>103.5</v>
      </c>
      <c r="F587" s="1">
        <f>IFERROR(__xludf.DUMMYFUNCTION("""COMPUTED_VALUE"""),69.0)</f>
        <v>69</v>
      </c>
      <c r="G587" s="1">
        <f t="shared" si="1"/>
        <v>5</v>
      </c>
      <c r="H587" s="1">
        <f t="shared" si="2"/>
        <v>1.5</v>
      </c>
      <c r="I587" s="1">
        <f>IFERROR(__xludf.DUMMYFUNCTION("IF(B587="""","""",
  100*F587 / MAX(FILTER($F:$F, $A:$A=$A587, $B:$B=$B587))
)
"),7.958477508650519)</f>
        <v>7.958477509</v>
      </c>
      <c r="J587" s="1">
        <f>IFERROR(__xludf.DUMMYFUNCTION("IF(B587="""","""",
  100*E587 / MAX(FILTER($E:$E, $A:$A=$A587, $B:$B=$B587))
)
"),16.886930983847282)</f>
        <v>16.88693098</v>
      </c>
      <c r="K587" s="1">
        <f t="shared" si="3"/>
        <v>11.97628157</v>
      </c>
    </row>
    <row r="588">
      <c r="A588" s="3">
        <f>IFERROR(__xludf.DUMMYFUNCTION("""COMPUTED_VALUE"""),45931.0)</f>
        <v>45931</v>
      </c>
      <c r="B588" s="1" t="str">
        <f>IFERROR(__xludf.DUMMYFUNCTION("""COMPUTED_VALUE"""),"HTMall")</f>
        <v>HTMall</v>
      </c>
      <c r="C588" s="1" t="str">
        <f>IFERROR(__xludf.DUMMYFUNCTION("""COMPUTED_VALUE"""),"bonart")</f>
        <v>bonart</v>
      </c>
      <c r="D588" s="1">
        <f>IFERROR(__xludf.DUMMYFUNCTION("""COMPUTED_VALUE"""),427.0)</f>
        <v>427</v>
      </c>
      <c r="E588" s="1">
        <f>IFERROR(__xludf.DUMMYFUNCTION("""COMPUTED_VALUE"""),126.24)</f>
        <v>126.24</v>
      </c>
      <c r="F588" s="1">
        <f>IFERROR(__xludf.DUMMYFUNCTION("""COMPUTED_VALUE"""),103.0)</f>
        <v>103</v>
      </c>
      <c r="G588" s="1">
        <f t="shared" si="1"/>
        <v>4.145631068</v>
      </c>
      <c r="H588" s="1">
        <f t="shared" si="2"/>
        <v>1.225631068</v>
      </c>
      <c r="I588" s="1">
        <f>IFERROR(__xludf.DUMMYFUNCTION("IF(B588="""","""",
  100*F588 / MAX(FILTER($F:$F, $A:$A=$A588, $B:$B=$B588))
)
"),11.8800461361015)</f>
        <v>11.88004614</v>
      </c>
      <c r="J588" s="1">
        <f>IFERROR(__xludf.DUMMYFUNCTION("IF(B588="""","""",
  100*E588 / MAX(FILTER($E:$E, $A:$A=$A588, $B:$B=$B588))
)
"),20.597161037689673)</f>
        <v>20.59716104</v>
      </c>
      <c r="K588" s="1">
        <f t="shared" si="3"/>
        <v>15.80274784</v>
      </c>
    </row>
    <row r="589">
      <c r="A589" s="3">
        <f>IFERROR(__xludf.DUMMYFUNCTION("""COMPUTED_VALUE"""),45931.0)</f>
        <v>45931</v>
      </c>
      <c r="B589" s="1" t="str">
        <f>IFERROR(__xludf.DUMMYFUNCTION("""COMPUTED_VALUE"""),"HTMall")</f>
        <v>HTMall</v>
      </c>
      <c r="C589" s="1" t="str">
        <f>IFERROR(__xludf.DUMMYFUNCTION("""COMPUTED_VALUE"""),"ex mars")</f>
        <v>ex mars</v>
      </c>
      <c r="D589" s="1">
        <f>IFERROR(__xludf.DUMMYFUNCTION("""COMPUTED_VALUE"""),4.0)</f>
        <v>4</v>
      </c>
      <c r="E589" s="1">
        <f>IFERROR(__xludf.DUMMYFUNCTION("""COMPUTED_VALUE"""),1.4)</f>
        <v>1.4</v>
      </c>
      <c r="F589" s="1">
        <f>IFERROR(__xludf.DUMMYFUNCTION("""COMPUTED_VALUE"""),1.0)</f>
        <v>1</v>
      </c>
      <c r="G589" s="1">
        <f t="shared" si="1"/>
        <v>4</v>
      </c>
      <c r="H589" s="1">
        <f t="shared" si="2"/>
        <v>1.4</v>
      </c>
      <c r="I589" s="1">
        <f>IFERROR(__xludf.DUMMYFUNCTION("IF(B589="""","""",
  100*F589 / MAX(FILTER($F:$F, $A:$A=$A589, $B:$B=$B589))
)
"),0.11534025374855825)</f>
        <v>0.1153402537</v>
      </c>
      <c r="J589" s="1">
        <f>IFERROR(__xludf.DUMMYFUNCTION("IF(B589="""","""",
  100*E589 / MAX(FILTER($E:$E, $A:$A=$A589, $B:$B=$B589))
)
"),0.2284222548539729)</f>
        <v>0.2284222549</v>
      </c>
      <c r="K589" s="1">
        <f t="shared" si="3"/>
        <v>0.1662271542</v>
      </c>
    </row>
    <row r="590">
      <c r="A590" s="3">
        <f>IFERROR(__xludf.DUMMYFUNCTION("""COMPUTED_VALUE"""),45931.0)</f>
        <v>45931</v>
      </c>
      <c r="B590" s="1" t="str">
        <f>IFERROR(__xludf.DUMMYFUNCTION("""COMPUTED_VALUE"""),"HTMall")</f>
        <v>HTMall</v>
      </c>
      <c r="C590" s="1" t="str">
        <f>IFERROR(__xludf.DUMMYFUNCTION("""COMPUTED_VALUE"""),"kinza")</f>
        <v>kinza</v>
      </c>
      <c r="D590" s="1">
        <f>IFERROR(__xludf.DUMMYFUNCTION("""COMPUTED_VALUE"""),272.0)</f>
        <v>272</v>
      </c>
      <c r="E590" s="1">
        <f>IFERROR(__xludf.DUMMYFUNCTION("""COMPUTED_VALUE"""),81.04)</f>
        <v>81.04</v>
      </c>
      <c r="F590" s="1">
        <f>IFERROR(__xludf.DUMMYFUNCTION("""COMPUTED_VALUE"""),124.0)</f>
        <v>124</v>
      </c>
      <c r="G590" s="1">
        <f t="shared" si="1"/>
        <v>2.193548387</v>
      </c>
      <c r="H590" s="1">
        <f t="shared" si="2"/>
        <v>0.6535483871</v>
      </c>
      <c r="I590" s="1">
        <f>IFERROR(__xludf.DUMMYFUNCTION("IF(B590="""","""",
  100*F590 / MAX(FILTER($F:$F, $A:$A=$A590, $B:$B=$B590))
)
"),14.302191464821222)</f>
        <v>14.30219146</v>
      </c>
      <c r="J590" s="1">
        <f>IFERROR(__xludf.DUMMYFUNCTION("IF(B590="""","""",
  100*E590 / MAX(FILTER($E:$E, $A:$A=$A590, $B:$B=$B590))
)
"),13.222385380975691)</f>
        <v>13.22238538</v>
      </c>
      <c r="K590" s="1">
        <f t="shared" si="3"/>
        <v>13.81627873</v>
      </c>
    </row>
    <row r="591">
      <c r="A591" s="3">
        <f>IFERROR(__xludf.DUMMYFUNCTION("""COMPUTED_VALUE"""),45931.0)</f>
        <v>45931</v>
      </c>
      <c r="B591" s="1" t="str">
        <f>IFERROR(__xludf.DUMMYFUNCTION("""COMPUTED_VALUE"""),"HTMall")</f>
        <v>HTMall</v>
      </c>
      <c r="C591" s="1" t="str">
        <f>IFERROR(__xludf.DUMMYFUNCTION("""COMPUTED_VALUE"""),"mr bite")</f>
        <v>mr bite</v>
      </c>
      <c r="D591" s="1">
        <f>IFERROR(__xludf.DUMMYFUNCTION("""COMPUTED_VALUE"""),286.0)</f>
        <v>286</v>
      </c>
      <c r="E591" s="1">
        <f>IFERROR(__xludf.DUMMYFUNCTION("""COMPUTED_VALUE"""),95.81)</f>
        <v>95.81</v>
      </c>
      <c r="F591" s="1">
        <f>IFERROR(__xludf.DUMMYFUNCTION("""COMPUTED_VALUE"""),143.0)</f>
        <v>143</v>
      </c>
      <c r="G591" s="1">
        <f t="shared" si="1"/>
        <v>2</v>
      </c>
      <c r="H591" s="1">
        <f t="shared" si="2"/>
        <v>0.67</v>
      </c>
      <c r="I591" s="1">
        <f>IFERROR(__xludf.DUMMYFUNCTION("IF(B591="""","""",
  100*F591 / MAX(FILTER($F:$F, $A:$A=$A591, $B:$B=$B591))
)
"),16.49365628604383)</f>
        <v>16.49365629</v>
      </c>
      <c r="J591" s="1">
        <f>IFERROR(__xludf.DUMMYFUNCTION("IF(B591="""","""",
  100*E591 / MAX(FILTER($E:$E, $A:$A=$A591, $B:$B=$B591))
)
"),15.632240169685105)</f>
        <v>15.63224017</v>
      </c>
      <c r="K591" s="1">
        <f t="shared" si="3"/>
        <v>16.10601903</v>
      </c>
    </row>
    <row r="592">
      <c r="A592" s="3">
        <f>IFERROR(__xludf.DUMMYFUNCTION("""COMPUTED_VALUE"""),45931.0)</f>
        <v>45931</v>
      </c>
      <c r="B592" s="1" t="str">
        <f>IFERROR(__xludf.DUMMYFUNCTION("""COMPUTED_VALUE"""),"HTMall")</f>
        <v>HTMall</v>
      </c>
      <c r="C592" s="1" t="str">
        <f>IFERROR(__xludf.DUMMYFUNCTION("""COMPUTED_VALUE"""),"sunTop")</f>
        <v>sunTop</v>
      </c>
      <c r="D592" s="1">
        <f>IFERROR(__xludf.DUMMYFUNCTION("""COMPUTED_VALUE"""),423.0)</f>
        <v>423</v>
      </c>
      <c r="E592" s="1">
        <f>IFERROR(__xludf.DUMMYFUNCTION("""COMPUTED_VALUE"""),196.8)</f>
        <v>196.8</v>
      </c>
      <c r="F592" s="1">
        <f>IFERROR(__xludf.DUMMYFUNCTION("""COMPUTED_VALUE"""),377.0)</f>
        <v>377</v>
      </c>
      <c r="G592" s="1">
        <f t="shared" si="1"/>
        <v>1.122015915</v>
      </c>
      <c r="H592" s="1">
        <f t="shared" si="2"/>
        <v>0.5220159151</v>
      </c>
      <c r="I592" s="1">
        <f>IFERROR(__xludf.DUMMYFUNCTION("IF(B592="""","""",
  100*F592 / MAX(FILTER($F:$F, $A:$A=$A592, $B:$B=$B592))
)
"),43.483275663206456)</f>
        <v>43.48327566</v>
      </c>
      <c r="J592" s="1">
        <f>IFERROR(__xludf.DUMMYFUNCTION("IF(B592="""","""",
  100*E592 / MAX(FILTER($E:$E, $A:$A=$A592, $B:$B=$B592))
)
"),32.109642682329905)</f>
        <v>32.10964268</v>
      </c>
      <c r="K592" s="1">
        <f t="shared" si="3"/>
        <v>38.36514082</v>
      </c>
    </row>
    <row r="593">
      <c r="A593" s="3">
        <f>IFERROR(__xludf.DUMMYFUNCTION("""COMPUTED_VALUE"""),45931.0)</f>
        <v>45931</v>
      </c>
      <c r="B593" s="1" t="str">
        <f>IFERROR(__xludf.DUMMYFUNCTION("""COMPUTED_VALUE"""),"HospAlmoa")</f>
        <v>HospAlmoa</v>
      </c>
      <c r="C593" s="1" t="str">
        <f>IFERROR(__xludf.DUMMYFUNCTION("""COMPUTED_VALUE"""),"7up")</f>
        <v>7up</v>
      </c>
      <c r="D593" s="1">
        <f>IFERROR(__xludf.DUMMYFUNCTION("""COMPUTED_VALUE"""),9.0)</f>
        <v>9</v>
      </c>
      <c r="E593" s="1">
        <f>IFERROR(__xludf.DUMMYFUNCTION("""COMPUTED_VALUE"""),2.25)</f>
        <v>2.25</v>
      </c>
      <c r="F593" s="1">
        <f>IFERROR(__xludf.DUMMYFUNCTION("""COMPUTED_VALUE"""),3.0)</f>
        <v>3</v>
      </c>
      <c r="G593" s="1">
        <f t="shared" si="1"/>
        <v>3</v>
      </c>
      <c r="H593" s="1">
        <f t="shared" si="2"/>
        <v>0.75</v>
      </c>
      <c r="I593" s="1">
        <f>IFERROR(__xludf.DUMMYFUNCTION("IF(B593="""","""",
  100*F593 / MAX(FILTER($F:$F, $A:$A=$A593, $B:$B=$B593))
)
"),1.0101010101010102)</f>
        <v>1.01010101</v>
      </c>
      <c r="J593" s="1">
        <f>IFERROR(__xludf.DUMMYFUNCTION("IF(B593="""","""",
  100*E593 / MAX(FILTER($E:$E, $A:$A=$A593, $B:$B=$B593))
)
"),0.922736220472441)</f>
        <v>0.9227362205</v>
      </c>
      <c r="K593" s="1">
        <f t="shared" si="3"/>
        <v>0.9707868548</v>
      </c>
    </row>
    <row r="594">
      <c r="A594" s="3">
        <f>IFERROR(__xludf.DUMMYFUNCTION("""COMPUTED_VALUE"""),45931.0)</f>
        <v>45931</v>
      </c>
      <c r="B594" s="1" t="str">
        <f>IFERROR(__xludf.DUMMYFUNCTION("""COMPUTED_VALUE"""),"HospAlmoa")</f>
        <v>HospAlmoa</v>
      </c>
      <c r="C594" s="1" t="str">
        <f>IFERROR(__xludf.DUMMYFUNCTION("""COMPUTED_VALUE"""),"Almarai Chocolate")</f>
        <v>Almarai Chocolate</v>
      </c>
      <c r="D594" s="1">
        <f>IFERROR(__xludf.DUMMYFUNCTION("""COMPUTED_VALUE"""),171.0)</f>
        <v>171</v>
      </c>
      <c r="E594" s="1">
        <f>IFERROR(__xludf.DUMMYFUNCTION("""COMPUTED_VALUE"""),57.0)</f>
        <v>57</v>
      </c>
      <c r="F594" s="1">
        <f>IFERROR(__xludf.DUMMYFUNCTION("""COMPUTED_VALUE"""),57.0)</f>
        <v>57</v>
      </c>
      <c r="G594" s="1">
        <f t="shared" si="1"/>
        <v>3</v>
      </c>
      <c r="H594" s="1">
        <f t="shared" si="2"/>
        <v>1</v>
      </c>
      <c r="I594" s="1">
        <f>IFERROR(__xludf.DUMMYFUNCTION("IF(B594="""","""",
  100*F594 / MAX(FILTER($F:$F, $A:$A=$A594, $B:$B=$B594))
)
"),19.19191919191919)</f>
        <v>19.19191919</v>
      </c>
      <c r="J594" s="1">
        <f>IFERROR(__xludf.DUMMYFUNCTION("IF(B594="""","""",
  100*E594 / MAX(FILTER($E:$E, $A:$A=$A594, $B:$B=$B594))
)
"),23.375984251968504)</f>
        <v>23.37598425</v>
      </c>
      <c r="K594" s="1">
        <f t="shared" si="3"/>
        <v>21.07474847</v>
      </c>
    </row>
    <row r="595">
      <c r="A595" s="3">
        <f>IFERROR(__xludf.DUMMYFUNCTION("""COMPUTED_VALUE"""),45931.0)</f>
        <v>45931</v>
      </c>
      <c r="B595" s="1" t="str">
        <f>IFERROR(__xludf.DUMMYFUNCTION("""COMPUTED_VALUE"""),"HospAlmoa")</f>
        <v>HospAlmoa</v>
      </c>
      <c r="C595" s="1" t="str">
        <f>IFERROR(__xludf.DUMMYFUNCTION("""COMPUTED_VALUE"""),"Almarai Strawberry")</f>
        <v>Almarai Strawberry</v>
      </c>
      <c r="D595" s="1">
        <f>IFERROR(__xludf.DUMMYFUNCTION("""COMPUTED_VALUE"""),105.0)</f>
        <v>105</v>
      </c>
      <c r="E595" s="1">
        <f>IFERROR(__xludf.DUMMYFUNCTION("""COMPUTED_VALUE"""),32.2)</f>
        <v>32.2</v>
      </c>
      <c r="F595" s="1">
        <f>IFERROR(__xludf.DUMMYFUNCTION("""COMPUTED_VALUE"""),35.0)</f>
        <v>35</v>
      </c>
      <c r="G595" s="1">
        <f t="shared" si="1"/>
        <v>3</v>
      </c>
      <c r="H595" s="1">
        <f t="shared" si="2"/>
        <v>0.92</v>
      </c>
      <c r="I595" s="1">
        <f>IFERROR(__xludf.DUMMYFUNCTION("IF(B595="""","""",
  100*F595 / MAX(FILTER($F:$F, $A:$A=$A595, $B:$B=$B595))
)
"),11.784511784511784)</f>
        <v>11.78451178</v>
      </c>
      <c r="J595" s="1">
        <f>IFERROR(__xludf.DUMMYFUNCTION("IF(B595="""","""",
  100*E595 / MAX(FILTER($E:$E, $A:$A=$A595, $B:$B=$B595))
)
"),13.205380577427823)</f>
        <v>13.20538058</v>
      </c>
      <c r="K595" s="1">
        <f t="shared" si="3"/>
        <v>12.42390274</v>
      </c>
    </row>
    <row r="596">
      <c r="A596" s="3">
        <f>IFERROR(__xludf.DUMMYFUNCTION("""COMPUTED_VALUE"""),45931.0)</f>
        <v>45931</v>
      </c>
      <c r="B596" s="1" t="str">
        <f>IFERROR(__xludf.DUMMYFUNCTION("""COMPUTED_VALUE"""),"HospAlmoa")</f>
        <v>HospAlmoa</v>
      </c>
      <c r="C596" s="1" t="str">
        <f>IFERROR(__xludf.DUMMYFUNCTION("""COMPUTED_VALUE"""),"Bourbon biscuit")</f>
        <v>Bourbon biscuit</v>
      </c>
      <c r="D596" s="1">
        <f>IFERROR(__xludf.DUMMYFUNCTION("""COMPUTED_VALUE"""),24.0)</f>
        <v>24</v>
      </c>
      <c r="E596" s="1">
        <f>IFERROR(__xludf.DUMMYFUNCTION("""COMPUTED_VALUE"""),5.2)</f>
        <v>5.2</v>
      </c>
      <c r="F596" s="1">
        <f>IFERROR(__xludf.DUMMYFUNCTION("""COMPUTED_VALUE"""),4.0)</f>
        <v>4</v>
      </c>
      <c r="G596" s="1">
        <f t="shared" si="1"/>
        <v>6</v>
      </c>
      <c r="H596" s="1">
        <f t="shared" si="2"/>
        <v>1.3</v>
      </c>
      <c r="I596" s="1">
        <f>IFERROR(__xludf.DUMMYFUNCTION("IF(B596="""","""",
  100*F596 / MAX(FILTER($F:$F, $A:$A=$A596, $B:$B=$B596))
)
"),1.3468013468013469)</f>
        <v>1.346801347</v>
      </c>
      <c r="J596" s="1">
        <f>IFERROR(__xludf.DUMMYFUNCTION("IF(B596="""","""",
  100*E596 / MAX(FILTER($E:$E, $A:$A=$A596, $B:$B=$B596))
)
"),2.1325459317585302)</f>
        <v>2.132545932</v>
      </c>
      <c r="K596" s="1">
        <f t="shared" si="3"/>
        <v>1.70038641</v>
      </c>
    </row>
    <row r="597">
      <c r="A597" s="3">
        <f>IFERROR(__xludf.DUMMYFUNCTION("""COMPUTED_VALUE"""),45931.0)</f>
        <v>45931</v>
      </c>
      <c r="B597" s="1" t="str">
        <f>IFERROR(__xludf.DUMMYFUNCTION("""COMPUTED_VALUE"""),"HospAlmoa")</f>
        <v>HospAlmoa</v>
      </c>
      <c r="C597" s="1" t="str">
        <f>IFERROR(__xludf.DUMMYFUNCTION("""COMPUTED_VALUE"""),"Caser Juice")</f>
        <v>Caser Juice</v>
      </c>
      <c r="D597" s="1">
        <f>IFERROR(__xludf.DUMMYFUNCTION("""COMPUTED_VALUE"""),261.0)</f>
        <v>261</v>
      </c>
      <c r="E597" s="1">
        <f>IFERROR(__xludf.DUMMYFUNCTION("""COMPUTED_VALUE"""),46.24)</f>
        <v>46.24</v>
      </c>
      <c r="F597" s="1">
        <f>IFERROR(__xludf.DUMMYFUNCTION("""COMPUTED_VALUE"""),52.0)</f>
        <v>52</v>
      </c>
      <c r="G597" s="1">
        <f t="shared" si="1"/>
        <v>5.019230769</v>
      </c>
      <c r="H597" s="1">
        <f t="shared" si="2"/>
        <v>0.8892307692</v>
      </c>
      <c r="I597" s="1">
        <f>IFERROR(__xludf.DUMMYFUNCTION("IF(B597="""","""",
  100*F597 / MAX(FILTER($F:$F, $A:$A=$A597, $B:$B=$B597))
)
"),17.50841750841751)</f>
        <v>17.50841751</v>
      </c>
      <c r="J597" s="1">
        <f>IFERROR(__xludf.DUMMYFUNCTION("IF(B597="""","""",
  100*E597 / MAX(FILTER($E:$E, $A:$A=$A597, $B:$B=$B597))
)
"),18.963254593175854)</f>
        <v>18.96325459</v>
      </c>
      <c r="K597" s="1">
        <f t="shared" si="3"/>
        <v>18.1630942</v>
      </c>
    </row>
    <row r="598">
      <c r="A598" s="3">
        <f>IFERROR(__xludf.DUMMYFUNCTION("""COMPUTED_VALUE"""),45931.0)</f>
        <v>45931</v>
      </c>
      <c r="B598" s="1" t="str">
        <f>IFERROR(__xludf.DUMMYFUNCTION("""COMPUTED_VALUE"""),"HospAlmoa")</f>
        <v>HospAlmoa</v>
      </c>
      <c r="C598" s="1" t="str">
        <f>IFERROR(__xludf.DUMMYFUNCTION("""COMPUTED_VALUE"""),"Corissant Karuzo")</f>
        <v>Corissant Karuzo</v>
      </c>
      <c r="D598" s="1">
        <f>IFERROR(__xludf.DUMMYFUNCTION("""COMPUTED_VALUE"""),24.0)</f>
        <v>24</v>
      </c>
      <c r="E598" s="1">
        <f>IFERROR(__xludf.DUMMYFUNCTION("""COMPUTED_VALUE"""),16.02)</f>
        <v>16.02</v>
      </c>
      <c r="F598" s="1">
        <f>IFERROR(__xludf.DUMMYFUNCTION("""COMPUTED_VALUE"""),6.0)</f>
        <v>6</v>
      </c>
      <c r="G598" s="1">
        <f t="shared" si="1"/>
        <v>4</v>
      </c>
      <c r="H598" s="1">
        <f t="shared" si="2"/>
        <v>2.67</v>
      </c>
      <c r="I598" s="1">
        <f>IFERROR(__xludf.DUMMYFUNCTION("IF(B598="""","""",
  100*F598 / MAX(FILTER($F:$F, $A:$A=$A598, $B:$B=$B598))
)
"),2.0202020202020203)</f>
        <v>2.02020202</v>
      </c>
      <c r="J598" s="1">
        <f>IFERROR(__xludf.DUMMYFUNCTION("IF(B598="""","""",
  100*E598 / MAX(FILTER($E:$E, $A:$A=$A598, $B:$B=$B598))
)
"),6.56988188976378)</f>
        <v>6.56988189</v>
      </c>
      <c r="K598" s="1">
        <f t="shared" si="3"/>
        <v>4.067557962</v>
      </c>
    </row>
    <row r="599">
      <c r="A599" s="3">
        <f>IFERROR(__xludf.DUMMYFUNCTION("""COMPUTED_VALUE"""),45931.0)</f>
        <v>45931</v>
      </c>
      <c r="B599" s="1" t="str">
        <f>IFERROR(__xludf.DUMMYFUNCTION("""COMPUTED_VALUE"""),"HospAlmoa")</f>
        <v>HospAlmoa</v>
      </c>
      <c r="C599" s="1" t="str">
        <f>IFERROR(__xludf.DUMMYFUNCTION("""COMPUTED_VALUE"""),"Digestive")</f>
        <v>Digestive</v>
      </c>
      <c r="D599" s="1">
        <f>IFERROR(__xludf.DUMMYFUNCTION("""COMPUTED_VALUE"""),107.0)</f>
        <v>107</v>
      </c>
      <c r="E599" s="1">
        <f>IFERROR(__xludf.DUMMYFUNCTION("""COMPUTED_VALUE"""),38.33)</f>
        <v>38.33</v>
      </c>
      <c r="F599" s="1">
        <f>IFERROR(__xludf.DUMMYFUNCTION("""COMPUTED_VALUE"""),109.0)</f>
        <v>109</v>
      </c>
      <c r="G599" s="1">
        <f t="shared" si="1"/>
        <v>0.9816513761</v>
      </c>
      <c r="H599" s="1">
        <f t="shared" si="2"/>
        <v>0.3516513761</v>
      </c>
      <c r="I599" s="1">
        <f>IFERROR(__xludf.DUMMYFUNCTION("IF(B599="""","""",
  100*F599 / MAX(FILTER($F:$F, $A:$A=$A599, $B:$B=$B599))
)
"),36.7003367003367)</f>
        <v>36.7003367</v>
      </c>
      <c r="J599" s="1">
        <f>IFERROR(__xludf.DUMMYFUNCTION("IF(B599="""","""",
  100*E599 / MAX(FILTER($E:$E, $A:$A=$A599, $B:$B=$B599))
)
"),15.719324146981627)</f>
        <v>15.71932415</v>
      </c>
      <c r="K599" s="1">
        <f t="shared" si="3"/>
        <v>27.25888105</v>
      </c>
    </row>
    <row r="600">
      <c r="A600" s="3">
        <f>IFERROR(__xludf.DUMMYFUNCTION("""COMPUTED_VALUE"""),45931.0)</f>
        <v>45931</v>
      </c>
      <c r="B600" s="1" t="str">
        <f>IFERROR(__xludf.DUMMYFUNCTION("""COMPUTED_VALUE"""),"HospAlmoa")</f>
        <v>HospAlmoa</v>
      </c>
      <c r="C600" s="1" t="str">
        <f>IFERROR(__xludf.DUMMYFUNCTION("""COMPUTED_VALUE"""),"Doritos cool ranc")</f>
        <v>Doritos cool ranc</v>
      </c>
      <c r="D600" s="1">
        <f>IFERROR(__xludf.DUMMYFUNCTION("""COMPUTED_VALUE"""),144.0)</f>
        <v>144</v>
      </c>
      <c r="E600" s="1">
        <f>IFERROR(__xludf.DUMMYFUNCTION("""COMPUTED_VALUE"""),68.4)</f>
        <v>68.4</v>
      </c>
      <c r="F600" s="1">
        <f>IFERROR(__xludf.DUMMYFUNCTION("""COMPUTED_VALUE"""),27.0)</f>
        <v>27</v>
      </c>
      <c r="G600" s="1">
        <f t="shared" si="1"/>
        <v>5.333333333</v>
      </c>
      <c r="H600" s="1">
        <f t="shared" si="2"/>
        <v>2.533333333</v>
      </c>
      <c r="I600" s="1">
        <f>IFERROR(__xludf.DUMMYFUNCTION("IF(B600="""","""",
  100*F600 / MAX(FILTER($F:$F, $A:$A=$A600, $B:$B=$B600))
)
"),9.090909090909092)</f>
        <v>9.090909091</v>
      </c>
      <c r="J600" s="1">
        <f>IFERROR(__xludf.DUMMYFUNCTION("IF(B600="""","""",
  100*E600 / MAX(FILTER($E:$E, $A:$A=$A600, $B:$B=$B600))
)
"),28.051181102362207)</f>
        <v>28.0511811</v>
      </c>
      <c r="K600" s="1">
        <f t="shared" si="3"/>
        <v>17.6230315</v>
      </c>
    </row>
    <row r="601">
      <c r="A601" s="3">
        <f>IFERROR(__xludf.DUMMYFUNCTION("""COMPUTED_VALUE"""),45931.0)</f>
        <v>45931</v>
      </c>
      <c r="B601" s="1" t="str">
        <f>IFERROR(__xludf.DUMMYFUNCTION("""COMPUTED_VALUE"""),"HospAlmoa")</f>
        <v>HospAlmoa</v>
      </c>
      <c r="C601" s="1" t="str">
        <f>IFERROR(__xludf.DUMMYFUNCTION("""COMPUTED_VALUE"""),"Freez")</f>
        <v>Freez</v>
      </c>
      <c r="D601" s="1">
        <f>IFERROR(__xludf.DUMMYFUNCTION("""COMPUTED_VALUE"""),44.0)</f>
        <v>44</v>
      </c>
      <c r="E601" s="1">
        <f>IFERROR(__xludf.DUMMYFUNCTION("""COMPUTED_VALUE"""),9.9)</f>
        <v>9.9</v>
      </c>
      <c r="F601" s="1">
        <f>IFERROR(__xludf.DUMMYFUNCTION("""COMPUTED_VALUE"""),10.0)</f>
        <v>10</v>
      </c>
      <c r="G601" s="1">
        <f t="shared" si="1"/>
        <v>4.4</v>
      </c>
      <c r="H601" s="1">
        <f t="shared" si="2"/>
        <v>0.99</v>
      </c>
      <c r="I601" s="1">
        <f>IFERROR(__xludf.DUMMYFUNCTION("IF(B601="""","""",
  100*F601 / MAX(FILTER($F:$F, $A:$A=$A601, $B:$B=$B601))
)
"),3.367003367003367)</f>
        <v>3.367003367</v>
      </c>
      <c r="J601" s="1">
        <f>IFERROR(__xludf.DUMMYFUNCTION("IF(B601="""","""",
  100*E601 / MAX(FILTER($E:$E, $A:$A=$A601, $B:$B=$B601))
)
"),4.06003937007874)</f>
        <v>4.06003937</v>
      </c>
      <c r="K601" s="1">
        <f t="shared" si="3"/>
        <v>3.678869568</v>
      </c>
    </row>
    <row r="602">
      <c r="A602" s="3">
        <f>IFERROR(__xludf.DUMMYFUNCTION("""COMPUTED_VALUE"""),45931.0)</f>
        <v>45931</v>
      </c>
      <c r="B602" s="1" t="str">
        <f>IFERROR(__xludf.DUMMYFUNCTION("""COMPUTED_VALUE"""),"HospAlmoa")</f>
        <v>HospAlmoa</v>
      </c>
      <c r="C602" s="1" t="str">
        <f>IFERROR(__xludf.DUMMYFUNCTION("""COMPUTED_VALUE"""),"Green")</f>
        <v>Green</v>
      </c>
      <c r="D602" s="1">
        <f>IFERROR(__xludf.DUMMYFUNCTION("""COMPUTED_VALUE"""),8.0)</f>
        <v>8</v>
      </c>
      <c r="E602" s="1">
        <f>IFERROR(__xludf.DUMMYFUNCTION("""COMPUTED_VALUE"""),2.08)</f>
        <v>2.08</v>
      </c>
      <c r="F602" s="1">
        <f>IFERROR(__xludf.DUMMYFUNCTION("""COMPUTED_VALUE"""),2.0)</f>
        <v>2</v>
      </c>
      <c r="G602" s="1">
        <f t="shared" si="1"/>
        <v>4</v>
      </c>
      <c r="H602" s="1">
        <f t="shared" si="2"/>
        <v>1.04</v>
      </c>
      <c r="I602" s="1">
        <f>IFERROR(__xludf.DUMMYFUNCTION("IF(B602="""","""",
  100*F602 / MAX(FILTER($F:$F, $A:$A=$A602, $B:$B=$B602))
)
"),0.6734006734006734)</f>
        <v>0.6734006734</v>
      </c>
      <c r="J602" s="1">
        <f>IFERROR(__xludf.DUMMYFUNCTION("IF(B602="""","""",
  100*E602 / MAX(FILTER($E:$E, $A:$A=$A602, $B:$B=$B602))
)
"),0.8530183727034121)</f>
        <v>0.8530183727</v>
      </c>
      <c r="K602" s="1">
        <f t="shared" si="3"/>
        <v>0.7542286381</v>
      </c>
    </row>
    <row r="603">
      <c r="A603" s="3">
        <f>IFERROR(__xludf.DUMMYFUNCTION("""COMPUTED_VALUE"""),45931.0)</f>
        <v>45931</v>
      </c>
      <c r="B603" s="1" t="str">
        <f>IFERROR(__xludf.DUMMYFUNCTION("""COMPUTED_VALUE"""),"HospAlmoa")</f>
        <v>HospAlmoa</v>
      </c>
      <c r="C603" s="1" t="str">
        <f>IFERROR(__xludf.DUMMYFUNCTION("""COMPUTED_VALUE"""),"Indomie")</f>
        <v>Indomie</v>
      </c>
      <c r="D603" s="1">
        <f>IFERROR(__xludf.DUMMYFUNCTION("""COMPUTED_VALUE"""),50.0)</f>
        <v>50</v>
      </c>
      <c r="E603" s="1">
        <f>IFERROR(__xludf.DUMMYFUNCTION("""COMPUTED_VALUE"""),21.7)</f>
        <v>21.7</v>
      </c>
      <c r="F603" s="1">
        <f>IFERROR(__xludf.DUMMYFUNCTION("""COMPUTED_VALUE"""),10.0)</f>
        <v>10</v>
      </c>
      <c r="G603" s="1">
        <f t="shared" si="1"/>
        <v>5</v>
      </c>
      <c r="H603" s="1">
        <f t="shared" si="2"/>
        <v>2.17</v>
      </c>
      <c r="I603" s="1">
        <f>IFERROR(__xludf.DUMMYFUNCTION("IF(B603="""","""",
  100*F603 / MAX(FILTER($F:$F, $A:$A=$A603, $B:$B=$B603))
)
"),3.367003367003367)</f>
        <v>3.367003367</v>
      </c>
      <c r="J603" s="1">
        <f>IFERROR(__xludf.DUMMYFUNCTION("IF(B603="""","""",
  100*E603 / MAX(FILTER($E:$E, $A:$A=$A603, $B:$B=$B603))
)
"),8.899278215223097)</f>
        <v>8.899278215</v>
      </c>
      <c r="K603" s="1">
        <f t="shared" si="3"/>
        <v>5.856527049</v>
      </c>
    </row>
    <row r="604">
      <c r="A604" s="3">
        <f>IFERROR(__xludf.DUMMYFUNCTION("""COMPUTED_VALUE"""),45931.0)</f>
        <v>45931</v>
      </c>
      <c r="B604" s="1" t="str">
        <f>IFERROR(__xludf.DUMMYFUNCTION("""COMPUTED_VALUE"""),"HospAlmoa")</f>
        <v>HospAlmoa</v>
      </c>
      <c r="C604" s="1" t="str">
        <f>IFERROR(__xludf.DUMMYFUNCTION("""COMPUTED_VALUE"""),"Kinder Bueno")</f>
        <v>Kinder Bueno</v>
      </c>
      <c r="D604" s="1">
        <f>IFERROR(__xludf.DUMMYFUNCTION("""COMPUTED_VALUE"""),450.0)</f>
        <v>450</v>
      </c>
      <c r="E604" s="1">
        <f>IFERROR(__xludf.DUMMYFUNCTION("""COMPUTED_VALUE"""),-14.0)</f>
        <v>-14</v>
      </c>
      <c r="F604" s="1">
        <f>IFERROR(__xludf.DUMMYFUNCTION("""COMPUTED_VALUE"""),80.0)</f>
        <v>80</v>
      </c>
      <c r="G604" s="1">
        <f t="shared" si="1"/>
        <v>5.625</v>
      </c>
      <c r="H604" s="1">
        <f t="shared" si="2"/>
        <v>-0.175</v>
      </c>
      <c r="I604" s="1">
        <f>IFERROR(__xludf.DUMMYFUNCTION("IF(B604="""","""",
  100*F604 / MAX(FILTER($F:$F, $A:$A=$A604, $B:$B=$B604))
)
"),26.936026936026938)</f>
        <v>26.93602694</v>
      </c>
      <c r="J604" s="1">
        <f>IFERROR(__xludf.DUMMYFUNCTION("IF(B604="""","""",
  100*E604 / MAX(FILTER($E:$E, $A:$A=$A604, $B:$B=$B604))
)
"),-5.741469816272966)</f>
        <v>-5.741469816</v>
      </c>
      <c r="K604" s="1">
        <f t="shared" si="3"/>
        <v>12.2311534</v>
      </c>
    </row>
    <row r="605">
      <c r="A605" s="3">
        <f>IFERROR(__xludf.DUMMYFUNCTION("""COMPUTED_VALUE"""),45931.0)</f>
        <v>45931</v>
      </c>
      <c r="B605" s="1" t="str">
        <f>IFERROR(__xludf.DUMMYFUNCTION("""COMPUTED_VALUE"""),"HospAlmoa")</f>
        <v>HospAlmoa</v>
      </c>
      <c r="C605" s="1" t="str">
        <f>IFERROR(__xludf.DUMMYFUNCTION("""COMPUTED_VALUE"""),"Kinder bueno1stick")</f>
        <v>Kinder bueno1stick</v>
      </c>
      <c r="D605" s="1">
        <f>IFERROR(__xludf.DUMMYFUNCTION("""COMPUTED_VALUE"""),152.0)</f>
        <v>152</v>
      </c>
      <c r="E605" s="1">
        <f>IFERROR(__xludf.DUMMYFUNCTION("""COMPUTED_VALUE"""),26.0)</f>
        <v>26</v>
      </c>
      <c r="F605" s="1">
        <f>IFERROR(__xludf.DUMMYFUNCTION("""COMPUTED_VALUE"""),42.0)</f>
        <v>42</v>
      </c>
      <c r="G605" s="1">
        <f t="shared" si="1"/>
        <v>3.619047619</v>
      </c>
      <c r="H605" s="1">
        <f t="shared" si="2"/>
        <v>0.619047619</v>
      </c>
      <c r="I605" s="1">
        <f>IFERROR(__xludf.DUMMYFUNCTION("IF(B605="""","""",
  100*F605 / MAX(FILTER($F:$F, $A:$A=$A605, $B:$B=$B605))
)
"),14.141414141414142)</f>
        <v>14.14141414</v>
      </c>
      <c r="J605" s="1">
        <f>IFERROR(__xludf.DUMMYFUNCTION("IF(B605="""","""",
  100*E605 / MAX(FILTER($E:$E, $A:$A=$A605, $B:$B=$B605))
)
"),10.662729658792651)</f>
        <v>10.66272966</v>
      </c>
      <c r="K605" s="1">
        <f t="shared" si="3"/>
        <v>12.57600612</v>
      </c>
    </row>
    <row r="606">
      <c r="A606" s="3">
        <f>IFERROR(__xludf.DUMMYFUNCTION("""COMPUTED_VALUE"""),45931.0)</f>
        <v>45931</v>
      </c>
      <c r="B606" s="1" t="str">
        <f>IFERROR(__xludf.DUMMYFUNCTION("""COMPUTED_VALUE"""),"HospAlmoa")</f>
        <v>HospAlmoa</v>
      </c>
      <c r="C606" s="1" t="str">
        <f>IFERROR(__xludf.DUMMYFUNCTION("""COMPUTED_VALUE"""),"KitKat")</f>
        <v>KitKat</v>
      </c>
      <c r="D606" s="1">
        <f>IFERROR(__xludf.DUMMYFUNCTION("""COMPUTED_VALUE"""),25.0)</f>
        <v>25</v>
      </c>
      <c r="E606" s="1">
        <f>IFERROR(__xludf.DUMMYFUNCTION("""COMPUTED_VALUE"""),-22.19)</f>
        <v>-22.19</v>
      </c>
      <c r="F606" s="1">
        <f>IFERROR(__xludf.DUMMYFUNCTION("""COMPUTED_VALUE"""),13.0)</f>
        <v>13</v>
      </c>
      <c r="G606" s="1">
        <f t="shared" si="1"/>
        <v>1.923076923</v>
      </c>
      <c r="H606" s="1">
        <f t="shared" si="2"/>
        <v>-1.706923077</v>
      </c>
      <c r="I606" s="1">
        <f>IFERROR(__xludf.DUMMYFUNCTION("IF(B606="""","""",
  100*F606 / MAX(FILTER($F:$F, $A:$A=$A606, $B:$B=$B606))
)
"),4.377104377104377)</f>
        <v>4.377104377</v>
      </c>
      <c r="J606" s="1">
        <f>IFERROR(__xludf.DUMMYFUNCTION("IF(B606="""","""",
  100*E606 / MAX(FILTER($E:$E, $A:$A=$A606, $B:$B=$B606))
)
"),-9.100229658792651)</f>
        <v>-9.100229659</v>
      </c>
      <c r="K606" s="1">
        <f t="shared" si="3"/>
        <v>-1.687695939</v>
      </c>
    </row>
    <row r="607">
      <c r="A607" s="3">
        <f>IFERROR(__xludf.DUMMYFUNCTION("""COMPUTED_VALUE"""),45931.0)</f>
        <v>45931</v>
      </c>
      <c r="B607" s="1" t="str">
        <f>IFERROR(__xludf.DUMMYFUNCTION("""COMPUTED_VALUE"""),"HospAlmoa")</f>
        <v>HospAlmoa</v>
      </c>
      <c r="C607" s="1" t="str">
        <f>IFERROR(__xludf.DUMMYFUNCTION("""COMPUTED_VALUE"""),"Kunuz Juice")</f>
        <v>Kunuz Juice</v>
      </c>
      <c r="D607" s="1">
        <f>IFERROR(__xludf.DUMMYFUNCTION("""COMPUTED_VALUE"""),18.0)</f>
        <v>18</v>
      </c>
      <c r="E607" s="1">
        <f>IFERROR(__xludf.DUMMYFUNCTION("""COMPUTED_VALUE"""),-2.0)</f>
        <v>-2</v>
      </c>
      <c r="F607" s="1">
        <f>IFERROR(__xludf.DUMMYFUNCTION("""COMPUTED_VALUE"""),10.0)</f>
        <v>10</v>
      </c>
      <c r="G607" s="1">
        <f t="shared" si="1"/>
        <v>1.8</v>
      </c>
      <c r="H607" s="1">
        <f t="shared" si="2"/>
        <v>-0.2</v>
      </c>
      <c r="I607" s="1">
        <f>IFERROR(__xludf.DUMMYFUNCTION("IF(B607="""","""",
  100*F607 / MAX(FILTER($F:$F, $A:$A=$A607, $B:$B=$B607))
)
"),3.367003367003367)</f>
        <v>3.367003367</v>
      </c>
      <c r="J607" s="1">
        <f>IFERROR(__xludf.DUMMYFUNCTION("IF(B607="""","""",
  100*E607 / MAX(FILTER($E:$E, $A:$A=$A607, $B:$B=$B607))
)
"),-0.8202099737532809)</f>
        <v>-0.8202099738</v>
      </c>
      <c r="K607" s="1">
        <f t="shared" si="3"/>
        <v>1.482757364</v>
      </c>
    </row>
    <row r="608">
      <c r="A608" s="3">
        <f>IFERROR(__xludf.DUMMYFUNCTION("""COMPUTED_VALUE"""),45931.0)</f>
        <v>45931</v>
      </c>
      <c r="B608" s="1" t="str">
        <f>IFERROR(__xludf.DUMMYFUNCTION("""COMPUTED_VALUE"""),"HospAlmoa")</f>
        <v>HospAlmoa</v>
      </c>
      <c r="C608" s="1" t="str">
        <f>IFERROR(__xludf.DUMMYFUNCTION("""COMPUTED_VALUE"""),"Laviva")</f>
        <v>Laviva</v>
      </c>
      <c r="D608" s="1">
        <f>IFERROR(__xludf.DUMMYFUNCTION("""COMPUTED_VALUE"""),249.0)</f>
        <v>249</v>
      </c>
      <c r="E608" s="1">
        <f>IFERROR(__xludf.DUMMYFUNCTION("""COMPUTED_VALUE"""),29.0)</f>
        <v>29</v>
      </c>
      <c r="F608" s="1">
        <f>IFERROR(__xludf.DUMMYFUNCTION("""COMPUTED_VALUE"""),100.0)</f>
        <v>100</v>
      </c>
      <c r="G608" s="1">
        <f t="shared" si="1"/>
        <v>2.49</v>
      </c>
      <c r="H608" s="1">
        <f t="shared" si="2"/>
        <v>0.29</v>
      </c>
      <c r="I608" s="1">
        <f>IFERROR(__xludf.DUMMYFUNCTION("IF(B608="""","""",
  100*F608 / MAX(FILTER($F:$F, $A:$A=$A608, $B:$B=$B608))
)
"),33.67003367003367)</f>
        <v>33.67003367</v>
      </c>
      <c r="J608" s="1">
        <f>IFERROR(__xludf.DUMMYFUNCTION("IF(B608="""","""",
  100*E608 / MAX(FILTER($E:$E, $A:$A=$A608, $B:$B=$B608))
)
"),11.893044619422572)</f>
        <v>11.89304462</v>
      </c>
      <c r="K608" s="1">
        <f t="shared" si="3"/>
        <v>23.8703886</v>
      </c>
    </row>
    <row r="609">
      <c r="A609" s="3">
        <f>IFERROR(__xludf.DUMMYFUNCTION("""COMPUTED_VALUE"""),45931.0)</f>
        <v>45931</v>
      </c>
      <c r="B609" s="1" t="str">
        <f>IFERROR(__xludf.DUMMYFUNCTION("""COMPUTED_VALUE"""),"HospAlmoa")</f>
        <v>HospAlmoa</v>
      </c>
      <c r="C609" s="1" t="str">
        <f>IFERROR(__xludf.DUMMYFUNCTION("""COMPUTED_VALUE"""),"Lovita cookies")</f>
        <v>Lovita cookies</v>
      </c>
      <c r="D609" s="1">
        <f>IFERROR(__xludf.DUMMYFUNCTION("""COMPUTED_VALUE"""),185.0)</f>
        <v>185</v>
      </c>
      <c r="E609" s="1">
        <f>IFERROR(__xludf.DUMMYFUNCTION("""COMPUTED_VALUE"""),50.32)</f>
        <v>50.32</v>
      </c>
      <c r="F609" s="1">
        <f>IFERROR(__xludf.DUMMYFUNCTION("""COMPUTED_VALUE"""),26.0)</f>
        <v>26</v>
      </c>
      <c r="G609" s="1">
        <f t="shared" si="1"/>
        <v>7.115384615</v>
      </c>
      <c r="H609" s="1">
        <f t="shared" si="2"/>
        <v>1.935384615</v>
      </c>
      <c r="I609" s="1">
        <f>IFERROR(__xludf.DUMMYFUNCTION("IF(B609="""","""",
  100*F609 / MAX(FILTER($F:$F, $A:$A=$A609, $B:$B=$B609))
)
"),8.754208754208754)</f>
        <v>8.754208754</v>
      </c>
      <c r="J609" s="1">
        <f>IFERROR(__xludf.DUMMYFUNCTION("IF(B609="""","""",
  100*E609 / MAX(FILTER($E:$E, $A:$A=$A609, $B:$B=$B609))
)
"),20.636482939632547)</f>
        <v>20.63648294</v>
      </c>
      <c r="K609" s="1">
        <f t="shared" si="3"/>
        <v>14.10123214</v>
      </c>
    </row>
    <row r="610">
      <c r="A610" s="3">
        <f>IFERROR(__xludf.DUMMYFUNCTION("""COMPUTED_VALUE"""),45931.0)</f>
        <v>45931</v>
      </c>
      <c r="B610" s="1" t="str">
        <f>IFERROR(__xludf.DUMMYFUNCTION("""COMPUTED_VALUE"""),"HospAlmoa")</f>
        <v>HospAlmoa</v>
      </c>
      <c r="C610" s="1" t="str">
        <f>IFERROR(__xludf.DUMMYFUNCTION("""COMPUTED_VALUE"""),"MR Crunch")</f>
        <v>MR Crunch</v>
      </c>
      <c r="D610" s="1">
        <f>IFERROR(__xludf.DUMMYFUNCTION("""COMPUTED_VALUE"""),74.0)</f>
        <v>74</v>
      </c>
      <c r="E610" s="1">
        <f>IFERROR(__xludf.DUMMYFUNCTION("""COMPUTED_VALUE"""),37.4)</f>
        <v>37.4</v>
      </c>
      <c r="F610" s="1">
        <f>IFERROR(__xludf.DUMMYFUNCTION("""COMPUTED_VALUE"""),15.0)</f>
        <v>15</v>
      </c>
      <c r="G610" s="1">
        <f t="shared" si="1"/>
        <v>4.933333333</v>
      </c>
      <c r="H610" s="1">
        <f t="shared" si="2"/>
        <v>2.493333333</v>
      </c>
      <c r="I610" s="1">
        <f>IFERROR(__xludf.DUMMYFUNCTION("IF(B610="""","""",
  100*F610 / MAX(FILTER($F:$F, $A:$A=$A610, $B:$B=$B610))
)
"),5.05050505050505)</f>
        <v>5.050505051</v>
      </c>
      <c r="J610" s="1">
        <f>IFERROR(__xludf.DUMMYFUNCTION("IF(B610="""","""",
  100*E610 / MAX(FILTER($E:$E, $A:$A=$A610, $B:$B=$B610))
)
"),15.337926509186351)</f>
        <v>15.33792651</v>
      </c>
      <c r="K610" s="1">
        <f t="shared" si="3"/>
        <v>9.679844707</v>
      </c>
    </row>
    <row r="611">
      <c r="A611" s="3">
        <f>IFERROR(__xludf.DUMMYFUNCTION("""COMPUTED_VALUE"""),45931.0)</f>
        <v>45931</v>
      </c>
      <c r="B611" s="1" t="str">
        <f>IFERROR(__xludf.DUMMYFUNCTION("""COMPUTED_VALUE"""),"HospAlmoa")</f>
        <v>HospAlmoa</v>
      </c>
      <c r="C611" s="1" t="str">
        <f>IFERROR(__xludf.DUMMYFUNCTION("""COMPUTED_VALUE"""),"Maltesers")</f>
        <v>Maltesers</v>
      </c>
      <c r="D611" s="1">
        <f>IFERROR(__xludf.DUMMYFUNCTION("""COMPUTED_VALUE"""),174.0)</f>
        <v>174</v>
      </c>
      <c r="E611" s="1">
        <f>IFERROR(__xludf.DUMMYFUNCTION("""COMPUTED_VALUE"""),-12.0)</f>
        <v>-12</v>
      </c>
      <c r="F611" s="1">
        <f>IFERROR(__xludf.DUMMYFUNCTION("""COMPUTED_VALUE"""),30.0)</f>
        <v>30</v>
      </c>
      <c r="G611" s="1">
        <f t="shared" si="1"/>
        <v>5.8</v>
      </c>
      <c r="H611" s="1">
        <f t="shared" si="2"/>
        <v>-0.4</v>
      </c>
      <c r="I611" s="1">
        <f>IFERROR(__xludf.DUMMYFUNCTION("IF(B611="""","""",
  100*F611 / MAX(FILTER($F:$F, $A:$A=$A611, $B:$B=$B611))
)
"),10.1010101010101)</f>
        <v>10.1010101</v>
      </c>
      <c r="J611" s="1">
        <f>IFERROR(__xludf.DUMMYFUNCTION("IF(B611="""","""",
  100*E611 / MAX(FILTER($E:$E, $A:$A=$A611, $B:$B=$B611))
)
"),-4.921259842519685)</f>
        <v>-4.921259843</v>
      </c>
      <c r="K611" s="1">
        <f t="shared" si="3"/>
        <v>3.340988626</v>
      </c>
    </row>
    <row r="612">
      <c r="A612" s="3">
        <f>IFERROR(__xludf.DUMMYFUNCTION("""COMPUTED_VALUE"""),45931.0)</f>
        <v>45931</v>
      </c>
      <c r="B612" s="1" t="str">
        <f>IFERROR(__xludf.DUMMYFUNCTION("""COMPUTED_VALUE"""),"HospAlmoa")</f>
        <v>HospAlmoa</v>
      </c>
      <c r="C612" s="1" t="str">
        <f>IFERROR(__xludf.DUMMYFUNCTION("""COMPUTED_VALUE"""),"Mars")</f>
        <v>Mars</v>
      </c>
      <c r="D612" s="1">
        <f>IFERROR(__xludf.DUMMYFUNCTION("""COMPUTED_VALUE"""),130.0)</f>
        <v>130</v>
      </c>
      <c r="E612" s="1">
        <f>IFERROR(__xludf.DUMMYFUNCTION("""COMPUTED_VALUE"""),-21.2)</f>
        <v>-21.2</v>
      </c>
      <c r="F612" s="1">
        <f>IFERROR(__xludf.DUMMYFUNCTION("""COMPUTED_VALUE"""),42.0)</f>
        <v>42</v>
      </c>
      <c r="G612" s="1">
        <f t="shared" si="1"/>
        <v>3.095238095</v>
      </c>
      <c r="H612" s="1">
        <f t="shared" si="2"/>
        <v>-0.5047619048</v>
      </c>
      <c r="I612" s="1">
        <f>IFERROR(__xludf.DUMMYFUNCTION("IF(B612="""","""",
  100*F612 / MAX(FILTER($F:$F, $A:$A=$A612, $B:$B=$B612))
)
"),14.141414141414142)</f>
        <v>14.14141414</v>
      </c>
      <c r="J612" s="1">
        <f>IFERROR(__xludf.DUMMYFUNCTION("IF(B612="""","""",
  100*E612 / MAX(FILTER($E:$E, $A:$A=$A612, $B:$B=$B612))
)
"),-8.694225721784777)</f>
        <v>-8.694225722</v>
      </c>
      <c r="K612" s="1">
        <f t="shared" si="3"/>
        <v>3.865376203</v>
      </c>
    </row>
    <row r="613">
      <c r="A613" s="3">
        <f>IFERROR(__xludf.DUMMYFUNCTION("""COMPUTED_VALUE"""),45931.0)</f>
        <v>45931</v>
      </c>
      <c r="B613" s="1" t="str">
        <f>IFERROR(__xludf.DUMMYFUNCTION("""COMPUTED_VALUE"""),"HospAlmoa")</f>
        <v>HospAlmoa</v>
      </c>
      <c r="C613" s="1" t="str">
        <f>IFERROR(__xludf.DUMMYFUNCTION("""COMPUTED_VALUE"""),"Mirinda")</f>
        <v>Mirinda</v>
      </c>
      <c r="D613" s="1">
        <f>IFERROR(__xludf.DUMMYFUNCTION("""COMPUTED_VALUE"""),48.0)</f>
        <v>48</v>
      </c>
      <c r="E613" s="1">
        <f>IFERROR(__xludf.DUMMYFUNCTION("""COMPUTED_VALUE"""),12.0)</f>
        <v>12</v>
      </c>
      <c r="F613" s="1">
        <f>IFERROR(__xludf.DUMMYFUNCTION("""COMPUTED_VALUE"""),16.0)</f>
        <v>16</v>
      </c>
      <c r="G613" s="1">
        <f t="shared" si="1"/>
        <v>3</v>
      </c>
      <c r="H613" s="1">
        <f t="shared" si="2"/>
        <v>0.75</v>
      </c>
      <c r="I613" s="1">
        <f>IFERROR(__xludf.DUMMYFUNCTION("IF(B613="""","""",
  100*F613 / MAX(FILTER($F:$F, $A:$A=$A613, $B:$B=$B613))
)
"),5.3872053872053876)</f>
        <v>5.387205387</v>
      </c>
      <c r="J613" s="1">
        <f>IFERROR(__xludf.DUMMYFUNCTION("IF(B613="""","""",
  100*E613 / MAX(FILTER($E:$E, $A:$A=$A613, $B:$B=$B613))
)
"),4.921259842519685)</f>
        <v>4.921259843</v>
      </c>
      <c r="K613" s="1">
        <f t="shared" si="3"/>
        <v>5.177529892</v>
      </c>
    </row>
    <row r="614">
      <c r="A614" s="3">
        <f>IFERROR(__xludf.DUMMYFUNCTION("""COMPUTED_VALUE"""),45931.0)</f>
        <v>45931</v>
      </c>
      <c r="B614" s="1" t="str">
        <f>IFERROR(__xludf.DUMMYFUNCTION("""COMPUTED_VALUE"""),"HospAlmoa")</f>
        <v>HospAlmoa</v>
      </c>
      <c r="C614" s="1" t="str">
        <f>IFERROR(__xludf.DUMMYFUNCTION("""COMPUTED_VALUE"""),"MrCrunch")</f>
        <v>MrCrunch</v>
      </c>
      <c r="D614" s="1">
        <f>IFERROR(__xludf.DUMMYFUNCTION("""COMPUTED_VALUE"""),164.0)</f>
        <v>164</v>
      </c>
      <c r="E614" s="1">
        <f>IFERROR(__xludf.DUMMYFUNCTION("""COMPUTED_VALUE"""),87.11)</f>
        <v>87.11</v>
      </c>
      <c r="F614" s="1">
        <f>IFERROR(__xludf.DUMMYFUNCTION("""COMPUTED_VALUE"""),33.0)</f>
        <v>33</v>
      </c>
      <c r="G614" s="1">
        <f t="shared" si="1"/>
        <v>4.96969697</v>
      </c>
      <c r="H614" s="1">
        <f t="shared" si="2"/>
        <v>2.63969697</v>
      </c>
      <c r="I614" s="1">
        <f>IFERROR(__xludf.DUMMYFUNCTION("IF(B614="""","""",
  100*F614 / MAX(FILTER($F:$F, $A:$A=$A614, $B:$B=$B614))
)
"),11.11111111111111)</f>
        <v>11.11111111</v>
      </c>
      <c r="J614" s="1">
        <f>IFERROR(__xludf.DUMMYFUNCTION("IF(B614="""","""",
  100*E614 / MAX(FILTER($E:$E, $A:$A=$A614, $B:$B=$B614))
)
"),35.724245406824146)</f>
        <v>35.72424541</v>
      </c>
      <c r="K614" s="1">
        <f t="shared" si="3"/>
        <v>22.18702154</v>
      </c>
    </row>
    <row r="615">
      <c r="A615" s="3">
        <f>IFERROR(__xludf.DUMMYFUNCTION("""COMPUTED_VALUE"""),45931.0)</f>
        <v>45931</v>
      </c>
      <c r="B615" s="1" t="str">
        <f>IFERROR(__xludf.DUMMYFUNCTION("""COMPUTED_VALUE"""),"HospAlmoa")</f>
        <v>HospAlmoa</v>
      </c>
      <c r="C615" s="1" t="str">
        <f>IFERROR(__xludf.DUMMYFUNCTION("""COMPUTED_VALUE"""),"MrCrunch-RingGo")</f>
        <v>MrCrunch-RingGo</v>
      </c>
      <c r="D615" s="1">
        <f>IFERROR(__xludf.DUMMYFUNCTION("""COMPUTED_VALUE"""),105.0)</f>
        <v>105</v>
      </c>
      <c r="E615" s="1">
        <f>IFERROR(__xludf.DUMMYFUNCTION("""COMPUTED_VALUE"""),71.4)</f>
        <v>71.4</v>
      </c>
      <c r="F615" s="1">
        <f>IFERROR(__xludf.DUMMYFUNCTION("""COMPUTED_VALUE"""),21.0)</f>
        <v>21</v>
      </c>
      <c r="G615" s="1">
        <f t="shared" si="1"/>
        <v>5</v>
      </c>
      <c r="H615" s="1">
        <f t="shared" si="2"/>
        <v>3.4</v>
      </c>
      <c r="I615" s="1">
        <f>IFERROR(__xludf.DUMMYFUNCTION("IF(B615="""","""",
  100*F615 / MAX(FILTER($F:$F, $A:$A=$A615, $B:$B=$B615))
)
"),7.070707070707071)</f>
        <v>7.070707071</v>
      </c>
      <c r="J615" s="1">
        <f>IFERROR(__xludf.DUMMYFUNCTION("IF(B615="""","""",
  100*E615 / MAX(FILTER($E:$E, $A:$A=$A615, $B:$B=$B615))
)
"),29.28149606299213)</f>
        <v>29.28149606</v>
      </c>
      <c r="K615" s="1">
        <f t="shared" si="3"/>
        <v>17.06556212</v>
      </c>
    </row>
    <row r="616">
      <c r="A616" s="3">
        <f>IFERROR(__xludf.DUMMYFUNCTION("""COMPUTED_VALUE"""),45931.0)</f>
        <v>45931</v>
      </c>
      <c r="B616" s="1" t="str">
        <f>IFERROR(__xludf.DUMMYFUNCTION("""COMPUTED_VALUE"""),"HospAlmoa")</f>
        <v>HospAlmoa</v>
      </c>
      <c r="C616" s="1" t="str">
        <f>IFERROR(__xludf.DUMMYFUNCTION("""COMPUTED_VALUE"""),"Pepsi")</f>
        <v>Pepsi</v>
      </c>
      <c r="D616" s="1">
        <f>IFERROR(__xludf.DUMMYFUNCTION("""COMPUTED_VALUE"""),240.0)</f>
        <v>240</v>
      </c>
      <c r="E616" s="1">
        <f>IFERROR(__xludf.DUMMYFUNCTION("""COMPUTED_VALUE"""),60.0)</f>
        <v>60</v>
      </c>
      <c r="F616" s="1">
        <f>IFERROR(__xludf.DUMMYFUNCTION("""COMPUTED_VALUE"""),80.0)</f>
        <v>80</v>
      </c>
      <c r="G616" s="1">
        <f t="shared" si="1"/>
        <v>3</v>
      </c>
      <c r="H616" s="1">
        <f t="shared" si="2"/>
        <v>0.75</v>
      </c>
      <c r="I616" s="1">
        <f>IFERROR(__xludf.DUMMYFUNCTION("IF(B616="""","""",
  100*F616 / MAX(FILTER($F:$F, $A:$A=$A616, $B:$B=$B616))
)
"),26.936026936026938)</f>
        <v>26.93602694</v>
      </c>
      <c r="J616" s="1">
        <f>IFERROR(__xludf.DUMMYFUNCTION("IF(B616="""","""",
  100*E616 / MAX(FILTER($E:$E, $A:$A=$A616, $B:$B=$B616))
)
"),24.606299212598426)</f>
        <v>24.60629921</v>
      </c>
      <c r="K616" s="1">
        <f t="shared" si="3"/>
        <v>25.88764946</v>
      </c>
    </row>
    <row r="617">
      <c r="A617" s="3">
        <f>IFERROR(__xludf.DUMMYFUNCTION("""COMPUTED_VALUE"""),45931.0)</f>
        <v>45931</v>
      </c>
      <c r="B617" s="1" t="str">
        <f>IFERROR(__xludf.DUMMYFUNCTION("""COMPUTED_VALUE"""),"HospAlmoa")</f>
        <v>HospAlmoa</v>
      </c>
      <c r="C617" s="1" t="str">
        <f>IFERROR(__xludf.DUMMYFUNCTION("""COMPUTED_VALUE"""),"Pretzels")</f>
        <v>Pretzels</v>
      </c>
      <c r="D617" s="1">
        <f>IFERROR(__xludf.DUMMYFUNCTION("""COMPUTED_VALUE"""),140.0)</f>
        <v>140</v>
      </c>
      <c r="E617" s="1">
        <f>IFERROR(__xludf.DUMMYFUNCTION("""COMPUTED_VALUE"""),49.0)</f>
        <v>49</v>
      </c>
      <c r="F617" s="1">
        <f>IFERROR(__xludf.DUMMYFUNCTION("""COMPUTED_VALUE"""),28.0)</f>
        <v>28</v>
      </c>
      <c r="G617" s="1">
        <f t="shared" si="1"/>
        <v>5</v>
      </c>
      <c r="H617" s="1">
        <f t="shared" si="2"/>
        <v>1.75</v>
      </c>
      <c r="I617" s="1">
        <f>IFERROR(__xludf.DUMMYFUNCTION("IF(B617="""","""",
  100*F617 / MAX(FILTER($F:$F, $A:$A=$A617, $B:$B=$B617))
)
"),9.427609427609427)</f>
        <v>9.427609428</v>
      </c>
      <c r="J617" s="1">
        <f>IFERROR(__xludf.DUMMYFUNCTION("IF(B617="""","""",
  100*E617 / MAX(FILTER($E:$E, $A:$A=$A617, $B:$B=$B617))
)
"),20.09514435695538)</f>
        <v>20.09514436</v>
      </c>
      <c r="K617" s="1">
        <f t="shared" si="3"/>
        <v>14.22800015</v>
      </c>
    </row>
    <row r="618">
      <c r="A618" s="3">
        <f>IFERROR(__xludf.DUMMYFUNCTION("""COMPUTED_VALUE"""),45931.0)</f>
        <v>45931</v>
      </c>
      <c r="B618" s="1" t="str">
        <f>IFERROR(__xludf.DUMMYFUNCTION("""COMPUTED_VALUE"""),"HospAlmoa")</f>
        <v>HospAlmoa</v>
      </c>
      <c r="C618" s="1" t="str">
        <f>IFERROR(__xludf.DUMMYFUNCTION("""COMPUTED_VALUE"""),"Rani")</f>
        <v>Rani</v>
      </c>
      <c r="D618" s="1">
        <f>IFERROR(__xludf.DUMMYFUNCTION("""COMPUTED_VALUE"""),27.0)</f>
        <v>27</v>
      </c>
      <c r="E618" s="1">
        <f>IFERROR(__xludf.DUMMYFUNCTION("""COMPUTED_VALUE"""),7.47)</f>
        <v>7.47</v>
      </c>
      <c r="F618" s="1">
        <f>IFERROR(__xludf.DUMMYFUNCTION("""COMPUTED_VALUE"""),9.0)</f>
        <v>9</v>
      </c>
      <c r="G618" s="1">
        <f t="shared" si="1"/>
        <v>3</v>
      </c>
      <c r="H618" s="1">
        <f t="shared" si="2"/>
        <v>0.83</v>
      </c>
      <c r="I618" s="1">
        <f>IFERROR(__xludf.DUMMYFUNCTION("IF(B618="""","""",
  100*F618 / MAX(FILTER($F:$F, $A:$A=$A618, $B:$B=$B618))
)
"),3.0303030303030303)</f>
        <v>3.03030303</v>
      </c>
      <c r="J618" s="1">
        <f>IFERROR(__xludf.DUMMYFUNCTION("IF(B618="""","""",
  100*E618 / MAX(FILTER($E:$E, $A:$A=$A618, $B:$B=$B618))
)
"),3.0634842519685037)</f>
        <v>3.063484252</v>
      </c>
      <c r="K618" s="1">
        <f t="shared" si="3"/>
        <v>3.04523458</v>
      </c>
    </row>
    <row r="619">
      <c r="A619" s="3">
        <f>IFERROR(__xludf.DUMMYFUNCTION("""COMPUTED_VALUE"""),45931.0)</f>
        <v>45931</v>
      </c>
      <c r="B619" s="1" t="str">
        <f>IFERROR(__xludf.DUMMYFUNCTION("""COMPUTED_VALUE"""),"HospAlmoa")</f>
        <v>HospAlmoa</v>
      </c>
      <c r="C619" s="1" t="str">
        <f>IFERROR(__xludf.DUMMYFUNCTION("""COMPUTED_VALUE"""),"Schweppes")</f>
        <v>Schweppes</v>
      </c>
      <c r="D619" s="1">
        <f>IFERROR(__xludf.DUMMYFUNCTION("""COMPUTED_VALUE"""),28.0)</f>
        <v>28</v>
      </c>
      <c r="E619" s="1">
        <f>IFERROR(__xludf.DUMMYFUNCTION("""COMPUTED_VALUE"""),16.0)</f>
        <v>16</v>
      </c>
      <c r="F619" s="1">
        <f>IFERROR(__xludf.DUMMYFUNCTION("""COMPUTED_VALUE"""),6.0)</f>
        <v>6</v>
      </c>
      <c r="G619" s="1">
        <f t="shared" si="1"/>
        <v>4.666666667</v>
      </c>
      <c r="H619" s="1">
        <f t="shared" si="2"/>
        <v>2.666666667</v>
      </c>
      <c r="I619" s="1">
        <f>IFERROR(__xludf.DUMMYFUNCTION("IF(B619="""","""",
  100*F619 / MAX(FILTER($F:$F, $A:$A=$A619, $B:$B=$B619))
)
"),2.0202020202020203)</f>
        <v>2.02020202</v>
      </c>
      <c r="J619" s="1">
        <f>IFERROR(__xludf.DUMMYFUNCTION("IF(B619="""","""",
  100*E619 / MAX(FILTER($E:$E, $A:$A=$A619, $B:$B=$B619))
)
"),6.561679790026247)</f>
        <v>6.56167979</v>
      </c>
      <c r="K619" s="1">
        <f t="shared" si="3"/>
        <v>4.063867017</v>
      </c>
    </row>
    <row r="620">
      <c r="A620" s="3">
        <f>IFERROR(__xludf.DUMMYFUNCTION("""COMPUTED_VALUE"""),45931.0)</f>
        <v>45931</v>
      </c>
      <c r="B620" s="1" t="str">
        <f>IFERROR(__xludf.DUMMYFUNCTION("""COMPUTED_VALUE"""),"HospAlmoa")</f>
        <v>HospAlmoa</v>
      </c>
      <c r="C620" s="1" t="str">
        <f>IFERROR(__xludf.DUMMYFUNCTION("""COMPUTED_VALUE"""),"Snickers")</f>
        <v>Snickers</v>
      </c>
      <c r="D620" s="1">
        <f>IFERROR(__xludf.DUMMYFUNCTION("""COMPUTED_VALUE"""),205.0)</f>
        <v>205</v>
      </c>
      <c r="E620" s="1">
        <f>IFERROR(__xludf.DUMMYFUNCTION("""COMPUTED_VALUE"""),11.5)</f>
        <v>11.5</v>
      </c>
      <c r="F620" s="1">
        <f>IFERROR(__xludf.DUMMYFUNCTION("""COMPUTED_VALUE"""),43.0)</f>
        <v>43</v>
      </c>
      <c r="G620" s="1">
        <f t="shared" si="1"/>
        <v>4.76744186</v>
      </c>
      <c r="H620" s="1">
        <f t="shared" si="2"/>
        <v>0.2674418605</v>
      </c>
      <c r="I620" s="1">
        <f>IFERROR(__xludf.DUMMYFUNCTION("IF(B620="""","""",
  100*F620 / MAX(FILTER($F:$F, $A:$A=$A620, $B:$B=$B620))
)
"),14.478114478114477)</f>
        <v>14.47811448</v>
      </c>
      <c r="J620" s="1">
        <f>IFERROR(__xludf.DUMMYFUNCTION("IF(B620="""","""",
  100*E620 / MAX(FILTER($E:$E, $A:$A=$A620, $B:$B=$B620))
)
"),4.7162073490813645)</f>
        <v>4.716207349</v>
      </c>
      <c r="K620" s="1">
        <f t="shared" si="3"/>
        <v>10.08525627</v>
      </c>
    </row>
    <row r="621">
      <c r="A621" s="3">
        <f>IFERROR(__xludf.DUMMYFUNCTION("""COMPUTED_VALUE"""),45931.0)</f>
        <v>45931</v>
      </c>
      <c r="B621" s="1" t="str">
        <f>IFERROR(__xludf.DUMMYFUNCTION("""COMPUTED_VALUE"""),"HospAlmoa")</f>
        <v>HospAlmoa</v>
      </c>
      <c r="C621" s="1" t="str">
        <f>IFERROR(__xludf.DUMMYFUNCTION("""COMPUTED_VALUE"""),"Tiger *12")</f>
        <v>Tiger *12</v>
      </c>
      <c r="D621" s="1">
        <f>IFERROR(__xludf.DUMMYFUNCTION("""COMPUTED_VALUE"""),635.0)</f>
        <v>635</v>
      </c>
      <c r="E621" s="1">
        <f>IFERROR(__xludf.DUMMYFUNCTION("""COMPUTED_VALUE"""),243.84)</f>
        <v>243.84</v>
      </c>
      <c r="F621" s="1">
        <f>IFERROR(__xludf.DUMMYFUNCTION("""COMPUTED_VALUE"""),127.0)</f>
        <v>127</v>
      </c>
      <c r="G621" s="1">
        <f t="shared" si="1"/>
        <v>5</v>
      </c>
      <c r="H621" s="1">
        <f t="shared" si="2"/>
        <v>1.92</v>
      </c>
      <c r="I621" s="1">
        <f>IFERROR(__xludf.DUMMYFUNCTION("IF(B621="""","""",
  100*F621 / MAX(FILTER($F:$F, $A:$A=$A621, $B:$B=$B621))
)
"),42.76094276094276)</f>
        <v>42.76094276</v>
      </c>
      <c r="J621" s="1">
        <f>IFERROR(__xludf.DUMMYFUNCTION("IF(B621="""","""",
  100*E621 / MAX(FILTER($E:$E, $A:$A=$A621, $B:$B=$B621))
)
"),100.0)</f>
        <v>100</v>
      </c>
      <c r="K621" s="1">
        <f t="shared" si="3"/>
        <v>68.51851852</v>
      </c>
    </row>
    <row r="622">
      <c r="A622" s="3">
        <f>IFERROR(__xludf.DUMMYFUNCTION("""COMPUTED_VALUE"""),45931.0)</f>
        <v>45931</v>
      </c>
      <c r="B622" s="1" t="str">
        <f>IFERROR(__xludf.DUMMYFUNCTION("""COMPUTED_VALUE"""),"HospAlmoa")</f>
        <v>HospAlmoa</v>
      </c>
      <c r="C622" s="1" t="str">
        <f>IFERROR(__xludf.DUMMYFUNCTION("""COMPUTED_VALUE"""),"Tropia")</f>
        <v>Tropia</v>
      </c>
      <c r="D622" s="1">
        <f>IFERROR(__xludf.DUMMYFUNCTION("""COMPUTED_VALUE"""),4.0)</f>
        <v>4</v>
      </c>
      <c r="E622" s="1">
        <f>IFERROR(__xludf.DUMMYFUNCTION("""COMPUTED_VALUE"""),0.75)</f>
        <v>0.75</v>
      </c>
      <c r="F622" s="1">
        <f>IFERROR(__xludf.DUMMYFUNCTION("""COMPUTED_VALUE"""),1.0)</f>
        <v>1</v>
      </c>
      <c r="G622" s="1">
        <f t="shared" si="1"/>
        <v>4</v>
      </c>
      <c r="H622" s="1">
        <f t="shared" si="2"/>
        <v>0.75</v>
      </c>
      <c r="I622" s="1">
        <f>IFERROR(__xludf.DUMMYFUNCTION("IF(B622="""","""",
  100*F622 / MAX(FILTER($F:$F, $A:$A=$A622, $B:$B=$B622))
)
"),0.3367003367003367)</f>
        <v>0.3367003367</v>
      </c>
      <c r="J622" s="1">
        <f>IFERROR(__xludf.DUMMYFUNCTION("IF(B622="""","""",
  100*E622 / MAX(FILTER($E:$E, $A:$A=$A622, $B:$B=$B622))
)
"),0.3075787401574803)</f>
        <v>0.3075787402</v>
      </c>
      <c r="K622" s="1">
        <f t="shared" si="3"/>
        <v>0.3235956183</v>
      </c>
    </row>
    <row r="623">
      <c r="A623" s="3">
        <f>IFERROR(__xludf.DUMMYFUNCTION("""COMPUTED_VALUE"""),45931.0)</f>
        <v>45931</v>
      </c>
      <c r="B623" s="1" t="str">
        <f>IFERROR(__xludf.DUMMYFUNCTION("""COMPUTED_VALUE"""),"HospAlmoa")</f>
        <v>HospAlmoa</v>
      </c>
      <c r="C623" s="1" t="str">
        <f>IFERROR(__xludf.DUMMYFUNCTION("""COMPUTED_VALUE"""),"Twix")</f>
        <v>Twix</v>
      </c>
      <c r="D623" s="1">
        <f>IFERROR(__xludf.DUMMYFUNCTION("""COMPUTED_VALUE"""),125.0)</f>
        <v>125</v>
      </c>
      <c r="E623" s="1">
        <f>IFERROR(__xludf.DUMMYFUNCTION("""COMPUTED_VALUE"""),27.0)</f>
        <v>27</v>
      </c>
      <c r="F623" s="1">
        <f>IFERROR(__xludf.DUMMYFUNCTION("""COMPUTED_VALUE"""),28.0)</f>
        <v>28</v>
      </c>
      <c r="G623" s="1">
        <f t="shared" si="1"/>
        <v>4.464285714</v>
      </c>
      <c r="H623" s="1">
        <f t="shared" si="2"/>
        <v>0.9642857143</v>
      </c>
      <c r="I623" s="1">
        <f>IFERROR(__xludf.DUMMYFUNCTION("IF(B623="""","""",
  100*F623 / MAX(FILTER($F:$F, $A:$A=$A623, $B:$B=$B623))
)
"),9.427609427609427)</f>
        <v>9.427609428</v>
      </c>
      <c r="J623" s="1">
        <f>IFERROR(__xludf.DUMMYFUNCTION("IF(B623="""","""",
  100*E623 / MAX(FILTER($E:$E, $A:$A=$A623, $B:$B=$B623))
)
"),11.07283464566929)</f>
        <v>11.07283465</v>
      </c>
      <c r="K623" s="1">
        <f t="shared" si="3"/>
        <v>10.16796078</v>
      </c>
    </row>
    <row r="624">
      <c r="A624" s="3">
        <f>IFERROR(__xludf.DUMMYFUNCTION("""COMPUTED_VALUE"""),45931.0)</f>
        <v>45931</v>
      </c>
      <c r="B624" s="1" t="str">
        <f>IFERROR(__xludf.DUMMYFUNCTION("""COMPUTED_VALUE"""),"HospAlmoa")</f>
        <v>HospAlmoa</v>
      </c>
      <c r="C624" s="1" t="str">
        <f>IFERROR(__xludf.DUMMYFUNCTION("""COMPUTED_VALUE"""),"Twix ex")</f>
        <v>Twix ex</v>
      </c>
      <c r="D624" s="1">
        <f>IFERROR(__xludf.DUMMYFUNCTION("""COMPUTED_VALUE"""),60.0)</f>
        <v>60</v>
      </c>
      <c r="E624" s="1">
        <f>IFERROR(__xludf.DUMMYFUNCTION("""COMPUTED_VALUE"""),14.5)</f>
        <v>14.5</v>
      </c>
      <c r="F624" s="1">
        <f>IFERROR(__xludf.DUMMYFUNCTION("""COMPUTED_VALUE"""),26.0)</f>
        <v>26</v>
      </c>
      <c r="G624" s="1">
        <f t="shared" si="1"/>
        <v>2.307692308</v>
      </c>
      <c r="H624" s="1">
        <f t="shared" si="2"/>
        <v>0.5576923077</v>
      </c>
      <c r="I624" s="1">
        <f>IFERROR(__xludf.DUMMYFUNCTION("IF(B624="""","""",
  100*F624 / MAX(FILTER($F:$F, $A:$A=$A624, $B:$B=$B624))
)
"),8.754208754208754)</f>
        <v>8.754208754</v>
      </c>
      <c r="J624" s="1">
        <f>IFERROR(__xludf.DUMMYFUNCTION("IF(B624="""","""",
  100*E624 / MAX(FILTER($E:$E, $A:$A=$A624, $B:$B=$B624))
)
"),5.946522309711286)</f>
        <v>5.94652231</v>
      </c>
      <c r="K624" s="1">
        <f t="shared" si="3"/>
        <v>7.490749854</v>
      </c>
    </row>
    <row r="625">
      <c r="A625" s="3">
        <f>IFERROR(__xludf.DUMMYFUNCTION("""COMPUTED_VALUE"""),45931.0)</f>
        <v>45931</v>
      </c>
      <c r="B625" s="1" t="str">
        <f>IFERROR(__xludf.DUMMYFUNCTION("""COMPUTED_VALUE"""),"HospAlmoa")</f>
        <v>HospAlmoa</v>
      </c>
      <c r="C625" s="1" t="str">
        <f>IFERROR(__xludf.DUMMYFUNCTION("""COMPUTED_VALUE"""),"Water")</f>
        <v>Water</v>
      </c>
      <c r="D625" s="1">
        <f>IFERROR(__xludf.DUMMYFUNCTION("""COMPUTED_VALUE"""),297.0)</f>
        <v>297</v>
      </c>
      <c r="E625" s="1">
        <f>IFERROR(__xludf.DUMMYFUNCTION("""COMPUTED_VALUE"""),207.9)</f>
        <v>207.9</v>
      </c>
      <c r="F625" s="1">
        <f>IFERROR(__xludf.DUMMYFUNCTION("""COMPUTED_VALUE"""),297.0)</f>
        <v>297</v>
      </c>
      <c r="G625" s="1">
        <f t="shared" si="1"/>
        <v>1</v>
      </c>
      <c r="H625" s="1">
        <f t="shared" si="2"/>
        <v>0.7</v>
      </c>
      <c r="I625" s="1">
        <f>IFERROR(__xludf.DUMMYFUNCTION("IF(B625="""","""",
  100*F625 / MAX(FILTER($F:$F, $A:$A=$A625, $B:$B=$B625))
)
"),100.0)</f>
        <v>100</v>
      </c>
      <c r="J625" s="1">
        <f>IFERROR(__xludf.DUMMYFUNCTION("IF(B625="""","""",
  100*E625 / MAX(FILTER($E:$E, $A:$A=$A625, $B:$B=$B625))
)
"),85.26082677165354)</f>
        <v>85.26082677</v>
      </c>
      <c r="K625" s="1">
        <f t="shared" si="3"/>
        <v>93.36737205</v>
      </c>
    </row>
    <row r="626">
      <c r="A626" s="3">
        <f>IFERROR(__xludf.DUMMYFUNCTION("""COMPUTED_VALUE"""),45931.0)</f>
        <v>45931</v>
      </c>
      <c r="B626" s="1" t="str">
        <f>IFERROR(__xludf.DUMMYFUNCTION("""COMPUTED_VALUE"""),"HospAlmoa")</f>
        <v>HospAlmoa</v>
      </c>
      <c r="C626" s="1" t="str">
        <f>IFERROR(__xludf.DUMMYFUNCTION("""COMPUTED_VALUE"""),"X!R")</f>
        <v>X!R</v>
      </c>
      <c r="D626" s="1">
        <f>IFERROR(__xludf.DUMMYFUNCTION("""COMPUTED_VALUE"""),275.0)</f>
        <v>275</v>
      </c>
      <c r="E626" s="1">
        <f>IFERROR(__xludf.DUMMYFUNCTION("""COMPUTED_VALUE"""),82.5)</f>
        <v>82.5</v>
      </c>
      <c r="F626" s="1">
        <f>IFERROR(__xludf.DUMMYFUNCTION("""COMPUTED_VALUE"""),55.0)</f>
        <v>55</v>
      </c>
      <c r="G626" s="1">
        <f t="shared" si="1"/>
        <v>5</v>
      </c>
      <c r="H626" s="1">
        <f t="shared" si="2"/>
        <v>1.5</v>
      </c>
      <c r="I626" s="1">
        <f>IFERROR(__xludf.DUMMYFUNCTION("IF(B626="""","""",
  100*F626 / MAX(FILTER($F:$F, $A:$A=$A626, $B:$B=$B626))
)
"),18.51851851851852)</f>
        <v>18.51851852</v>
      </c>
      <c r="J626" s="1">
        <f>IFERROR(__xludf.DUMMYFUNCTION("IF(B626="""","""",
  100*E626 / MAX(FILTER($E:$E, $A:$A=$A626, $B:$B=$B626))
)
"),33.83366141732284)</f>
        <v>33.83366142</v>
      </c>
      <c r="K626" s="1">
        <f t="shared" si="3"/>
        <v>25.41033282</v>
      </c>
    </row>
    <row r="627">
      <c r="A627" s="3">
        <f>IFERROR(__xludf.DUMMYFUNCTION("""COMPUTED_VALUE"""),45931.0)</f>
        <v>45931</v>
      </c>
      <c r="B627" s="1" t="str">
        <f>IFERROR(__xludf.DUMMYFUNCTION("""COMPUTED_VALUE"""),"HospAlmoa")</f>
        <v>HospAlmoa</v>
      </c>
      <c r="C627" s="1" t="str">
        <f>IFERROR(__xludf.DUMMYFUNCTION("""COMPUTED_VALUE"""),"kinza")</f>
        <v>kinza</v>
      </c>
      <c r="D627" s="1">
        <f>IFERROR(__xludf.DUMMYFUNCTION("""COMPUTED_VALUE"""),4.0)</f>
        <v>4</v>
      </c>
      <c r="E627" s="1">
        <f>IFERROR(__xludf.DUMMYFUNCTION("""COMPUTED_VALUE"""),0.92)</f>
        <v>0.92</v>
      </c>
      <c r="F627" s="1">
        <f>IFERROR(__xludf.DUMMYFUNCTION("""COMPUTED_VALUE"""),2.0)</f>
        <v>2</v>
      </c>
      <c r="G627" s="1">
        <f t="shared" si="1"/>
        <v>2</v>
      </c>
      <c r="H627" s="1">
        <f t="shared" si="2"/>
        <v>0.46</v>
      </c>
      <c r="I627" s="1">
        <f>IFERROR(__xludf.DUMMYFUNCTION("IF(B627="""","""",
  100*F627 / MAX(FILTER($F:$F, $A:$A=$A627, $B:$B=$B627))
)
"),0.6734006734006734)</f>
        <v>0.6734006734</v>
      </c>
      <c r="J627" s="1">
        <f>IFERROR(__xludf.DUMMYFUNCTION("IF(B627="""","""",
  100*E627 / MAX(FILTER($E:$E, $A:$A=$A627, $B:$B=$B627))
)
"),0.37729658792650916)</f>
        <v>0.3772965879</v>
      </c>
      <c r="K627" s="1">
        <f t="shared" si="3"/>
        <v>0.5401538349</v>
      </c>
    </row>
    <row r="628">
      <c r="A628" s="3">
        <f>IFERROR(__xludf.DUMMYFUNCTION("""COMPUTED_VALUE"""),45931.0)</f>
        <v>45931</v>
      </c>
      <c r="B628" s="1" t="str">
        <f>IFERROR(__xludf.DUMMYFUNCTION("""COMPUTED_VALUE"""),"HospAlmoa")</f>
        <v>HospAlmoa</v>
      </c>
      <c r="C628" s="1" t="str">
        <f>IFERROR(__xludf.DUMMYFUNCTION("""COMPUTED_VALUE"""),"koren Indomie")</f>
        <v>koren Indomie</v>
      </c>
      <c r="D628" s="1">
        <f>IFERROR(__xludf.DUMMYFUNCTION("""COMPUTED_VALUE"""),40.0)</f>
        <v>40</v>
      </c>
      <c r="E628" s="1">
        <f>IFERROR(__xludf.DUMMYFUNCTION("""COMPUTED_VALUE"""),6.0)</f>
        <v>6</v>
      </c>
      <c r="F628" s="1">
        <f>IFERROR(__xludf.DUMMYFUNCTION("""COMPUTED_VALUE"""),4.0)</f>
        <v>4</v>
      </c>
      <c r="G628" s="1">
        <f t="shared" si="1"/>
        <v>10</v>
      </c>
      <c r="H628" s="1">
        <f t="shared" si="2"/>
        <v>1.5</v>
      </c>
      <c r="I628" s="1">
        <f>IFERROR(__xludf.DUMMYFUNCTION("IF(B628="""","""",
  100*F628 / MAX(FILTER($F:$F, $A:$A=$A628, $B:$B=$B628))
)
"),1.3468013468013469)</f>
        <v>1.346801347</v>
      </c>
      <c r="J628" s="1">
        <f>IFERROR(__xludf.DUMMYFUNCTION("IF(B628="""","""",
  100*E628 / MAX(FILTER($E:$E, $A:$A=$A628, $B:$B=$B628))
)
"),2.4606299212598426)</f>
        <v>2.460629921</v>
      </c>
      <c r="K628" s="1">
        <f t="shared" si="3"/>
        <v>1.848024205</v>
      </c>
    </row>
    <row r="629">
      <c r="A629" s="3">
        <f>IFERROR(__xludf.DUMMYFUNCTION("""COMPUTED_VALUE"""),45931.0)</f>
        <v>45931</v>
      </c>
      <c r="B629" s="1" t="str">
        <f>IFERROR(__xludf.DUMMYFUNCTION("""COMPUTED_VALUE"""),"HospAlmoa")</f>
        <v>HospAlmoa</v>
      </c>
      <c r="C629" s="1" t="str">
        <f>IFERROR(__xludf.DUMMYFUNCTION("""COMPUTED_VALUE"""),"mr bite")</f>
        <v>mr bite</v>
      </c>
      <c r="D629" s="1">
        <f>IFERROR(__xludf.DUMMYFUNCTION("""COMPUTED_VALUE"""),204.0)</f>
        <v>204</v>
      </c>
      <c r="E629" s="1">
        <f>IFERROR(__xludf.DUMMYFUNCTION("""COMPUTED_VALUE"""),86.96)</f>
        <v>86.96</v>
      </c>
      <c r="F629" s="1">
        <f>IFERROR(__xludf.DUMMYFUNCTION("""COMPUTED_VALUE"""),88.0)</f>
        <v>88</v>
      </c>
      <c r="G629" s="1">
        <f t="shared" si="1"/>
        <v>2.318181818</v>
      </c>
      <c r="H629" s="1">
        <f t="shared" si="2"/>
        <v>0.9881818182</v>
      </c>
      <c r="I629" s="1">
        <f>IFERROR(__xludf.DUMMYFUNCTION("IF(B629="""","""",
  100*F629 / MAX(FILTER($F:$F, $A:$A=$A629, $B:$B=$B629))
)
"),29.62962962962963)</f>
        <v>29.62962963</v>
      </c>
      <c r="J629" s="1">
        <f>IFERROR(__xludf.DUMMYFUNCTION("IF(B629="""","""",
  100*E629 / MAX(FILTER($E:$E, $A:$A=$A629, $B:$B=$B629))
)
"),35.66272965879265)</f>
        <v>35.66272966</v>
      </c>
      <c r="K629" s="1">
        <f t="shared" si="3"/>
        <v>32.34452464</v>
      </c>
    </row>
    <row r="630">
      <c r="A630" s="3">
        <f>IFERROR(__xludf.DUMMYFUNCTION("""COMPUTED_VALUE"""),45931.0)</f>
        <v>45931</v>
      </c>
      <c r="B630" s="1" t="str">
        <f>IFERROR(__xludf.DUMMYFUNCTION("""COMPUTED_VALUE"""),"HospAlmoa")</f>
        <v>HospAlmoa</v>
      </c>
      <c r="C630" s="1" t="str">
        <f>IFERROR(__xludf.DUMMYFUNCTION("""COMPUTED_VALUE"""),"sunTop")</f>
        <v>sunTop</v>
      </c>
      <c r="D630" s="1">
        <f>IFERROR(__xludf.DUMMYFUNCTION("""COMPUTED_VALUE"""),72.0)</f>
        <v>72</v>
      </c>
      <c r="E630" s="1">
        <f>IFERROR(__xludf.DUMMYFUNCTION("""COMPUTED_VALUE"""),31.2)</f>
        <v>31.2</v>
      </c>
      <c r="F630" s="1">
        <f>IFERROR(__xludf.DUMMYFUNCTION("""COMPUTED_VALUE"""),68.0)</f>
        <v>68</v>
      </c>
      <c r="G630" s="1">
        <f t="shared" si="1"/>
        <v>1.058823529</v>
      </c>
      <c r="H630" s="1">
        <f t="shared" si="2"/>
        <v>0.4588235294</v>
      </c>
      <c r="I630" s="1">
        <f>IFERROR(__xludf.DUMMYFUNCTION("IF(B630="""","""",
  100*F630 / MAX(FILTER($F:$F, $A:$A=$A630, $B:$B=$B630))
)
"),22.895622895622896)</f>
        <v>22.8956229</v>
      </c>
      <c r="J630" s="1">
        <f>IFERROR(__xludf.DUMMYFUNCTION("IF(B630="""","""",
  100*E630 / MAX(FILTER($E:$E, $A:$A=$A630, $B:$B=$B630))
)
"),12.795275590551181)</f>
        <v>12.79527559</v>
      </c>
      <c r="K630" s="1">
        <f t="shared" si="3"/>
        <v>18.35046661</v>
      </c>
    </row>
    <row r="631">
      <c r="A631" s="3">
        <f>IFERROR(__xludf.DUMMYFUNCTION("""COMPUTED_VALUE"""),45931.0)</f>
        <v>45931</v>
      </c>
      <c r="B631" s="1" t="str">
        <f>IFERROR(__xludf.DUMMYFUNCTION("""COMPUTED_VALUE"""),"HospAlmoa")</f>
        <v>HospAlmoa</v>
      </c>
      <c r="C631" s="1" t="str">
        <f>IFERROR(__xludf.DUMMYFUNCTION("""COMPUTED_VALUE"""),"wafe'up")</f>
        <v>wafe'up</v>
      </c>
      <c r="D631" s="1">
        <f>IFERROR(__xludf.DUMMYFUNCTION("""COMPUTED_VALUE"""),42.0)</f>
        <v>42</v>
      </c>
      <c r="E631" s="1">
        <f>IFERROR(__xludf.DUMMYFUNCTION("""COMPUTED_VALUE"""),20.84)</f>
        <v>20.84</v>
      </c>
      <c r="F631" s="1">
        <f>IFERROR(__xludf.DUMMYFUNCTION("""COMPUTED_VALUE"""),23.0)</f>
        <v>23</v>
      </c>
      <c r="G631" s="1">
        <f t="shared" si="1"/>
        <v>1.826086957</v>
      </c>
      <c r="H631" s="1">
        <f t="shared" si="2"/>
        <v>0.9060869565</v>
      </c>
      <c r="I631" s="1">
        <f>IFERROR(__xludf.DUMMYFUNCTION("IF(B631="""","""",
  100*F631 / MAX(FILTER($F:$F, $A:$A=$A631, $B:$B=$B631))
)
"),7.744107744107744)</f>
        <v>7.744107744</v>
      </c>
      <c r="J631" s="1">
        <f>IFERROR(__xludf.DUMMYFUNCTION("IF(B631="""","""",
  100*E631 / MAX(FILTER($E:$E, $A:$A=$A631, $B:$B=$B631))
)
"),8.546587926509186)</f>
        <v>8.546587927</v>
      </c>
      <c r="K631" s="1">
        <f t="shared" si="3"/>
        <v>8.105223826</v>
      </c>
    </row>
    <row r="632">
      <c r="A632" s="3">
        <f>IFERROR(__xludf.DUMMYFUNCTION("""COMPUTED_VALUE"""),45931.0)</f>
        <v>45931</v>
      </c>
      <c r="B632" s="1" t="str">
        <f>IFERROR(__xludf.DUMMYFUNCTION("""COMPUTED_VALUE"""),"SeaCost")</f>
        <v>SeaCost</v>
      </c>
      <c r="C632" s="1" t="str">
        <f>IFERROR(__xludf.DUMMYFUNCTION("""COMPUTED_VALUE"""),"Almarai Chocolate")</f>
        <v>Almarai Chocolate</v>
      </c>
      <c r="D632" s="1">
        <f>IFERROR(__xludf.DUMMYFUNCTION("""COMPUTED_VALUE"""),201.0)</f>
        <v>201</v>
      </c>
      <c r="E632" s="1">
        <f>IFERROR(__xludf.DUMMYFUNCTION("""COMPUTED_VALUE"""),67.0)</f>
        <v>67</v>
      </c>
      <c r="F632" s="1">
        <f>IFERROR(__xludf.DUMMYFUNCTION("""COMPUTED_VALUE"""),67.0)</f>
        <v>67</v>
      </c>
      <c r="G632" s="1">
        <f t="shared" si="1"/>
        <v>3</v>
      </c>
      <c r="H632" s="1">
        <f t="shared" si="2"/>
        <v>1</v>
      </c>
      <c r="I632" s="1">
        <f>IFERROR(__xludf.DUMMYFUNCTION("IF(B632="""","""",
  100*F632 / MAX(FILTER($F:$F, $A:$A=$A632, $B:$B=$B632))
)
"),15.022421524663677)</f>
        <v>15.02242152</v>
      </c>
      <c r="J632" s="1">
        <f>IFERROR(__xludf.DUMMYFUNCTION("IF(B632="""","""",
  100*E632 / MAX(FILTER($E:$E, $A:$A=$A632, $B:$B=$B632))
)
"),18.33205647367845)</f>
        <v>18.33205647</v>
      </c>
      <c r="K632" s="1">
        <f t="shared" si="3"/>
        <v>16.51175725</v>
      </c>
    </row>
    <row r="633">
      <c r="A633" s="3">
        <f>IFERROR(__xludf.DUMMYFUNCTION("""COMPUTED_VALUE"""),45931.0)</f>
        <v>45931</v>
      </c>
      <c r="B633" s="1" t="str">
        <f>IFERROR(__xludf.DUMMYFUNCTION("""COMPUTED_VALUE"""),"SeaCost")</f>
        <v>SeaCost</v>
      </c>
      <c r="C633" s="1" t="str">
        <f>IFERROR(__xludf.DUMMYFUNCTION("""COMPUTED_VALUE"""),"Almarai Strawberry")</f>
        <v>Almarai Strawberry</v>
      </c>
      <c r="D633" s="1">
        <f>IFERROR(__xludf.DUMMYFUNCTION("""COMPUTED_VALUE"""),90.0)</f>
        <v>90</v>
      </c>
      <c r="E633" s="1">
        <f>IFERROR(__xludf.DUMMYFUNCTION("""COMPUTED_VALUE"""),27.6)</f>
        <v>27.6</v>
      </c>
      <c r="F633" s="1">
        <f>IFERROR(__xludf.DUMMYFUNCTION("""COMPUTED_VALUE"""),30.0)</f>
        <v>30</v>
      </c>
      <c r="G633" s="1">
        <f t="shared" si="1"/>
        <v>3</v>
      </c>
      <c r="H633" s="1">
        <f t="shared" si="2"/>
        <v>0.92</v>
      </c>
      <c r="I633" s="1">
        <f>IFERROR(__xludf.DUMMYFUNCTION("IF(B633="""","""",
  100*F633 / MAX(FILTER($F:$F, $A:$A=$A633, $B:$B=$B633))
)
"),6.726457399103139)</f>
        <v>6.726457399</v>
      </c>
      <c r="J633" s="1">
        <f>IFERROR(__xludf.DUMMYFUNCTION("IF(B633="""","""",
  100*E633 / MAX(FILTER($E:$E, $A:$A=$A633, $B:$B=$B633))
)
"),7.551712816022764)</f>
        <v>7.551712816</v>
      </c>
      <c r="K633" s="1">
        <f t="shared" si="3"/>
        <v>7.097822337</v>
      </c>
    </row>
    <row r="634">
      <c r="A634" s="3">
        <f>IFERROR(__xludf.DUMMYFUNCTION("""COMPUTED_VALUE"""),45931.0)</f>
        <v>45931</v>
      </c>
      <c r="B634" s="1" t="str">
        <f>IFERROR(__xludf.DUMMYFUNCTION("""COMPUTED_VALUE"""),"SeaCost")</f>
        <v>SeaCost</v>
      </c>
      <c r="C634" s="1" t="str">
        <f>IFERROR(__xludf.DUMMYFUNCTION("""COMPUTED_VALUE"""),"Caser Juice")</f>
        <v>Caser Juice</v>
      </c>
      <c r="D634" s="1">
        <f>IFERROR(__xludf.DUMMYFUNCTION("""COMPUTED_VALUE"""),66.0)</f>
        <v>66</v>
      </c>
      <c r="E634" s="1">
        <f>IFERROR(__xludf.DUMMYFUNCTION("""COMPUTED_VALUE"""),8.18)</f>
        <v>8.18</v>
      </c>
      <c r="F634" s="1">
        <f>IFERROR(__xludf.DUMMYFUNCTION("""COMPUTED_VALUE"""),14.0)</f>
        <v>14</v>
      </c>
      <c r="G634" s="1">
        <f t="shared" si="1"/>
        <v>4.714285714</v>
      </c>
      <c r="H634" s="1">
        <f t="shared" si="2"/>
        <v>0.5842857143</v>
      </c>
      <c r="I634" s="1">
        <f>IFERROR(__xludf.DUMMYFUNCTION("IF(B634="""","""",
  100*F634 / MAX(FILTER($F:$F, $A:$A=$A634, $B:$B=$B634))
)
"),3.1390134529147984)</f>
        <v>3.139013453</v>
      </c>
      <c r="J634" s="1">
        <f>IFERROR(__xludf.DUMMYFUNCTION("IF(B634="""","""",
  100*E634 / MAX(FILTER($E:$E, $A:$A=$A634, $B:$B=$B634))
)
"),2.2381525664879063)</f>
        <v>2.238152566</v>
      </c>
      <c r="K634" s="1">
        <f t="shared" si="3"/>
        <v>2.733626054</v>
      </c>
    </row>
    <row r="635">
      <c r="A635" s="3">
        <f>IFERROR(__xludf.DUMMYFUNCTION("""COMPUTED_VALUE"""),45931.0)</f>
        <v>45931</v>
      </c>
      <c r="B635" s="1" t="str">
        <f>IFERROR(__xludf.DUMMYFUNCTION("""COMPUTED_VALUE"""),"SeaCost")</f>
        <v>SeaCost</v>
      </c>
      <c r="C635" s="1" t="str">
        <f>IFERROR(__xludf.DUMMYFUNCTION("""COMPUTED_VALUE"""),"Dallas juice")</f>
        <v>Dallas juice</v>
      </c>
      <c r="D635" s="1">
        <f>IFERROR(__xludf.DUMMYFUNCTION("""COMPUTED_VALUE"""),522.0)</f>
        <v>522</v>
      </c>
      <c r="E635" s="1">
        <f>IFERROR(__xludf.DUMMYFUNCTION("""COMPUTED_VALUE"""),365.48)</f>
        <v>365.48</v>
      </c>
      <c r="F635" s="1">
        <f>IFERROR(__xludf.DUMMYFUNCTION("""COMPUTED_VALUE"""),172.0)</f>
        <v>172</v>
      </c>
      <c r="G635" s="1">
        <f t="shared" si="1"/>
        <v>3.034883721</v>
      </c>
      <c r="H635" s="1">
        <f t="shared" si="2"/>
        <v>2.124883721</v>
      </c>
      <c r="I635" s="1">
        <f>IFERROR(__xludf.DUMMYFUNCTION("IF(B635="""","""",
  100*F635 / MAX(FILTER($F:$F, $A:$A=$A635, $B:$B=$B635))
)
"),38.56502242152467)</f>
        <v>38.56502242</v>
      </c>
      <c r="J635" s="1">
        <f>IFERROR(__xludf.DUMMYFUNCTION("IF(B635="""","""",
  100*E635 / MAX(FILTER($E:$E, $A:$A=$A635, $B:$B=$B635))
)
"),100.0)</f>
        <v>100</v>
      </c>
      <c r="K635" s="1">
        <f t="shared" si="3"/>
        <v>66.21076233</v>
      </c>
    </row>
    <row r="636">
      <c r="A636" s="3">
        <f>IFERROR(__xludf.DUMMYFUNCTION("""COMPUTED_VALUE"""),45931.0)</f>
        <v>45931</v>
      </c>
      <c r="B636" s="1" t="str">
        <f>IFERROR(__xludf.DUMMYFUNCTION("""COMPUTED_VALUE"""),"SeaCost")</f>
        <v>SeaCost</v>
      </c>
      <c r="C636" s="1" t="str">
        <f>IFERROR(__xludf.DUMMYFUNCTION("""COMPUTED_VALUE"""),"HiPro")</f>
        <v>HiPro</v>
      </c>
      <c r="D636" s="1">
        <f>IFERROR(__xludf.DUMMYFUNCTION("""COMPUTED_VALUE"""),50.0)</f>
        <v>50</v>
      </c>
      <c r="E636" s="1">
        <f>IFERROR(__xludf.DUMMYFUNCTION("""COMPUTED_VALUE"""),3.36)</f>
        <v>3.36</v>
      </c>
      <c r="F636" s="1">
        <f>IFERROR(__xludf.DUMMYFUNCTION("""COMPUTED_VALUE"""),8.0)</f>
        <v>8</v>
      </c>
      <c r="G636" s="1">
        <f t="shared" si="1"/>
        <v>6.25</v>
      </c>
      <c r="H636" s="1">
        <f t="shared" si="2"/>
        <v>0.42</v>
      </c>
      <c r="I636" s="1">
        <f>IFERROR(__xludf.DUMMYFUNCTION("IF(B636="""","""",
  100*F636 / MAX(FILTER($F:$F, $A:$A=$A636, $B:$B=$B636))
)
"),1.7937219730941705)</f>
        <v>1.793721973</v>
      </c>
      <c r="J636" s="1">
        <f>IFERROR(__xludf.DUMMYFUNCTION("IF(B636="""","""",
  100*E636 / MAX(FILTER($E:$E, $A:$A=$A636, $B:$B=$B636))
)
"),0.9193389515158148)</f>
        <v>0.9193389515</v>
      </c>
      <c r="K636" s="1">
        <f t="shared" si="3"/>
        <v>1.400249613</v>
      </c>
    </row>
    <row r="637">
      <c r="A637" s="3">
        <f>IFERROR(__xludf.DUMMYFUNCTION("""COMPUTED_VALUE"""),45931.0)</f>
        <v>45931</v>
      </c>
      <c r="B637" s="1" t="str">
        <f>IFERROR(__xludf.DUMMYFUNCTION("""COMPUTED_VALUE"""),"SeaCost")</f>
        <v>SeaCost</v>
      </c>
      <c r="C637" s="1" t="str">
        <f>IFERROR(__xludf.DUMMYFUNCTION("""COMPUTED_VALUE"""),"Jannaty")</f>
        <v>Jannaty</v>
      </c>
      <c r="D637" s="1">
        <f>IFERROR(__xludf.DUMMYFUNCTION("""COMPUTED_VALUE"""),93.0)</f>
        <v>93</v>
      </c>
      <c r="E637" s="1">
        <f>IFERROR(__xludf.DUMMYFUNCTION("""COMPUTED_VALUE"""),32.25)</f>
        <v>32.25</v>
      </c>
      <c r="F637" s="1">
        <f>IFERROR(__xludf.DUMMYFUNCTION("""COMPUTED_VALUE"""),27.0)</f>
        <v>27</v>
      </c>
      <c r="G637" s="1">
        <f t="shared" si="1"/>
        <v>3.444444444</v>
      </c>
      <c r="H637" s="1">
        <f t="shared" si="2"/>
        <v>1.194444444</v>
      </c>
      <c r="I637" s="1">
        <f>IFERROR(__xludf.DUMMYFUNCTION("IF(B637="""","""",
  100*F637 / MAX(FILTER($F:$F, $A:$A=$A637, $B:$B=$B637))
)
"),6.053811659192825)</f>
        <v>6.053811659</v>
      </c>
      <c r="J637" s="1">
        <f>IFERROR(__xludf.DUMMYFUNCTION("IF(B637="""","""",
  100*E637 / MAX(FILTER($E:$E, $A:$A=$A637, $B:$B=$B637))
)
"),8.824012257852687)</f>
        <v>8.824012258</v>
      </c>
      <c r="K637" s="1">
        <f t="shared" si="3"/>
        <v>7.300401929</v>
      </c>
    </row>
    <row r="638">
      <c r="A638" s="3">
        <f>IFERROR(__xludf.DUMMYFUNCTION("""COMPUTED_VALUE"""),45931.0)</f>
        <v>45931</v>
      </c>
      <c r="B638" s="1" t="str">
        <f>IFERROR(__xludf.DUMMYFUNCTION("""COMPUTED_VALUE"""),"SeaCost")</f>
        <v>SeaCost</v>
      </c>
      <c r="C638" s="1" t="str">
        <f>IFERROR(__xludf.DUMMYFUNCTION("""COMPUTED_VALUE"""),"L suntop")</f>
        <v>L suntop</v>
      </c>
      <c r="D638" s="1">
        <f>IFERROR(__xludf.DUMMYFUNCTION("""COMPUTED_VALUE"""),18.0)</f>
        <v>18</v>
      </c>
      <c r="E638" s="1">
        <f>IFERROR(__xludf.DUMMYFUNCTION("""COMPUTED_VALUE"""),9.45)</f>
        <v>9.45</v>
      </c>
      <c r="F638" s="1">
        <f>IFERROR(__xludf.DUMMYFUNCTION("""COMPUTED_VALUE"""),9.0)</f>
        <v>9</v>
      </c>
      <c r="G638" s="1">
        <f t="shared" si="1"/>
        <v>2</v>
      </c>
      <c r="H638" s="1">
        <f t="shared" si="2"/>
        <v>1.05</v>
      </c>
      <c r="I638" s="1">
        <f>IFERROR(__xludf.DUMMYFUNCTION("IF(B638="""","""",
  100*F638 / MAX(FILTER($F:$F, $A:$A=$A638, $B:$B=$B638))
)
"),2.0179372197309418)</f>
        <v>2.01793722</v>
      </c>
      <c r="J638" s="1">
        <f>IFERROR(__xludf.DUMMYFUNCTION("IF(B638="""","""",
  100*E638 / MAX(FILTER($E:$E, $A:$A=$A638, $B:$B=$B638))
)
"),2.585640801138229)</f>
        <v>2.585640801</v>
      </c>
      <c r="K638" s="1">
        <f t="shared" si="3"/>
        <v>2.273403831</v>
      </c>
    </row>
    <row r="639">
      <c r="A639" s="3">
        <f>IFERROR(__xludf.DUMMYFUNCTION("""COMPUTED_VALUE"""),45931.0)</f>
        <v>45931</v>
      </c>
      <c r="B639" s="1" t="str">
        <f>IFERROR(__xludf.DUMMYFUNCTION("""COMPUTED_VALUE"""),"SeaCost")</f>
        <v>SeaCost</v>
      </c>
      <c r="C639" s="1" t="str">
        <f>IFERROR(__xludf.DUMMYFUNCTION("""COMPUTED_VALUE"""),"Lovita cookies")</f>
        <v>Lovita cookies</v>
      </c>
      <c r="D639" s="1">
        <f>IFERROR(__xludf.DUMMYFUNCTION("""COMPUTED_VALUE"""),40.0)</f>
        <v>40</v>
      </c>
      <c r="E639" s="1">
        <f>IFERROR(__xludf.DUMMYFUNCTION("""COMPUTED_VALUE"""),14.1)</f>
        <v>14.1</v>
      </c>
      <c r="F639" s="1">
        <f>IFERROR(__xludf.DUMMYFUNCTION("""COMPUTED_VALUE"""),5.0)</f>
        <v>5</v>
      </c>
      <c r="G639" s="1">
        <f t="shared" si="1"/>
        <v>8</v>
      </c>
      <c r="H639" s="1">
        <f t="shared" si="2"/>
        <v>2.82</v>
      </c>
      <c r="I639" s="1">
        <f>IFERROR(__xludf.DUMMYFUNCTION("IF(B639="""","""",
  100*F639 / MAX(FILTER($F:$F, $A:$A=$A639, $B:$B=$B639))
)
"),1.1210762331838564)</f>
        <v>1.121076233</v>
      </c>
      <c r="J639" s="1">
        <f>IFERROR(__xludf.DUMMYFUNCTION("IF(B639="""","""",
  100*E639 / MAX(FILTER($E:$E, $A:$A=$A639, $B:$B=$B639))
)
"),3.857940242968151)</f>
        <v>3.857940243</v>
      </c>
      <c r="K639" s="1">
        <f t="shared" si="3"/>
        <v>2.352665038</v>
      </c>
    </row>
    <row r="640">
      <c r="A640" s="3">
        <f>IFERROR(__xludf.DUMMYFUNCTION("""COMPUTED_VALUE"""),45931.0)</f>
        <v>45931</v>
      </c>
      <c r="B640" s="1" t="str">
        <f>IFERROR(__xludf.DUMMYFUNCTION("""COMPUTED_VALUE"""),"SeaCost")</f>
        <v>SeaCost</v>
      </c>
      <c r="C640" s="1" t="str">
        <f>IFERROR(__xludf.DUMMYFUNCTION("""COMPUTED_VALUE"""),"Mulino Cookis")</f>
        <v>Mulino Cookis</v>
      </c>
      <c r="D640" s="1">
        <f>IFERROR(__xludf.DUMMYFUNCTION("""COMPUTED_VALUE"""),98.0)</f>
        <v>98</v>
      </c>
      <c r="E640" s="1">
        <f>IFERROR(__xludf.DUMMYFUNCTION("""COMPUTED_VALUE"""),30.94)</f>
        <v>30.94</v>
      </c>
      <c r="F640" s="1">
        <f>IFERROR(__xludf.DUMMYFUNCTION("""COMPUTED_VALUE"""),14.0)</f>
        <v>14</v>
      </c>
      <c r="G640" s="1">
        <f t="shared" si="1"/>
        <v>7</v>
      </c>
      <c r="H640" s="1">
        <f t="shared" si="2"/>
        <v>2.21</v>
      </c>
      <c r="I640" s="1">
        <f>IFERROR(__xludf.DUMMYFUNCTION("IF(B640="""","""",
  100*F640 / MAX(FILTER($F:$F, $A:$A=$A640, $B:$B=$B640))
)
"),3.1390134529147984)</f>
        <v>3.139013453</v>
      </c>
      <c r="J640" s="1">
        <f>IFERROR(__xludf.DUMMYFUNCTION("IF(B640="""","""",
  100*E640 / MAX(FILTER($E:$E, $A:$A=$A640, $B:$B=$B640))
)
"),8.465579511874795)</f>
        <v>8.465579512</v>
      </c>
      <c r="K640" s="1">
        <f t="shared" si="3"/>
        <v>5.535968179</v>
      </c>
    </row>
    <row r="641">
      <c r="A641" s="3">
        <f>IFERROR(__xludf.DUMMYFUNCTION("""COMPUTED_VALUE"""),45931.0)</f>
        <v>45931</v>
      </c>
      <c r="B641" s="1" t="str">
        <f>IFERROR(__xludf.DUMMYFUNCTION("""COMPUTED_VALUE"""),"SeaCost")</f>
        <v>SeaCost</v>
      </c>
      <c r="C641" s="1" t="str">
        <f>IFERROR(__xludf.DUMMYFUNCTION("""COMPUTED_VALUE"""),"Nuts")</f>
        <v>Nuts</v>
      </c>
      <c r="D641" s="1">
        <f>IFERROR(__xludf.DUMMYFUNCTION("""COMPUTED_VALUE"""),25.0)</f>
        <v>25</v>
      </c>
      <c r="E641" s="1">
        <f>IFERROR(__xludf.DUMMYFUNCTION("""COMPUTED_VALUE"""),6.68)</f>
        <v>6.68</v>
      </c>
      <c r="F641" s="1">
        <f>IFERROR(__xludf.DUMMYFUNCTION("""COMPUTED_VALUE"""),4.0)</f>
        <v>4</v>
      </c>
      <c r="G641" s="1">
        <f t="shared" si="1"/>
        <v>6.25</v>
      </c>
      <c r="H641" s="1">
        <f t="shared" si="2"/>
        <v>1.67</v>
      </c>
      <c r="I641" s="1">
        <f>IFERROR(__xludf.DUMMYFUNCTION("IF(B641="""","""",
  100*F641 / MAX(FILTER($F:$F, $A:$A=$A641, $B:$B=$B641))
)
"),0.8968609865470852)</f>
        <v>0.8968609865</v>
      </c>
      <c r="J641" s="1">
        <f>IFERROR(__xludf.DUMMYFUNCTION("IF(B641="""","""",
  100*E641 / MAX(FILTER($E:$E, $A:$A=$A641, $B:$B=$B641))
)
"),1.8277333917040604)</f>
        <v>1.827733392</v>
      </c>
      <c r="K641" s="1">
        <f t="shared" si="3"/>
        <v>1.315753569</v>
      </c>
    </row>
    <row r="642">
      <c r="A642" s="3">
        <f>IFERROR(__xludf.DUMMYFUNCTION("""COMPUTED_VALUE"""),45931.0)</f>
        <v>45931</v>
      </c>
      <c r="B642" s="1" t="str">
        <f>IFERROR(__xludf.DUMMYFUNCTION("""COMPUTED_VALUE"""),"SeaCost")</f>
        <v>SeaCost</v>
      </c>
      <c r="C642" s="1" t="str">
        <f>IFERROR(__xludf.DUMMYFUNCTION("""COMPUTED_VALUE"""),"PopCorn Chocolate")</f>
        <v>PopCorn Chocolate</v>
      </c>
      <c r="D642" s="1">
        <f>IFERROR(__xludf.DUMMYFUNCTION("""COMPUTED_VALUE"""),280.0)</f>
        <v>280</v>
      </c>
      <c r="E642" s="1">
        <f>IFERROR(__xludf.DUMMYFUNCTION("""COMPUTED_VALUE"""),80.0)</f>
        <v>80</v>
      </c>
      <c r="F642" s="1">
        <f>IFERROR(__xludf.DUMMYFUNCTION("""COMPUTED_VALUE"""),40.0)</f>
        <v>40</v>
      </c>
      <c r="G642" s="1">
        <f t="shared" si="1"/>
        <v>7</v>
      </c>
      <c r="H642" s="1">
        <f t="shared" si="2"/>
        <v>2</v>
      </c>
      <c r="I642" s="1">
        <f>IFERROR(__xludf.DUMMYFUNCTION("IF(B642="""","""",
  100*F642 / MAX(FILTER($F:$F, $A:$A=$A642, $B:$B=$B642))
)
"),8.968609865470851)</f>
        <v>8.968609865</v>
      </c>
      <c r="J642" s="1">
        <f>IFERROR(__xludf.DUMMYFUNCTION("IF(B642="""","""",
  100*E642 / MAX(FILTER($E:$E, $A:$A=$A642, $B:$B=$B642))
)
"),21.889022655138447)</f>
        <v>21.88902266</v>
      </c>
      <c r="K642" s="1">
        <f t="shared" si="3"/>
        <v>14.78279562</v>
      </c>
    </row>
    <row r="643">
      <c r="A643" s="3">
        <f>IFERROR(__xludf.DUMMYFUNCTION("""COMPUTED_VALUE"""),45931.0)</f>
        <v>45931</v>
      </c>
      <c r="B643" s="1" t="str">
        <f>IFERROR(__xludf.DUMMYFUNCTION("""COMPUTED_VALUE"""),"SeaCost")</f>
        <v>SeaCost</v>
      </c>
      <c r="C643" s="1" t="str">
        <f>IFERROR(__xludf.DUMMYFUNCTION("""COMPUTED_VALUE"""),"Pretzels")</f>
        <v>Pretzels</v>
      </c>
      <c r="D643" s="1">
        <f>IFERROR(__xludf.DUMMYFUNCTION("""COMPUTED_VALUE"""),112.0)</f>
        <v>112</v>
      </c>
      <c r="E643" s="1">
        <f>IFERROR(__xludf.DUMMYFUNCTION("""COMPUTED_VALUE"""),53.5)</f>
        <v>53.5</v>
      </c>
      <c r="F643" s="1">
        <f>IFERROR(__xludf.DUMMYFUNCTION("""COMPUTED_VALUE"""),18.0)</f>
        <v>18</v>
      </c>
      <c r="G643" s="1">
        <f t="shared" si="1"/>
        <v>6.222222222</v>
      </c>
      <c r="H643" s="1">
        <f t="shared" si="2"/>
        <v>2.972222222</v>
      </c>
      <c r="I643" s="1">
        <f>IFERROR(__xludf.DUMMYFUNCTION("IF(B643="""","""",
  100*F643 / MAX(FILTER($F:$F, $A:$A=$A643, $B:$B=$B643))
)
"),4.0358744394618835)</f>
        <v>4.035874439</v>
      </c>
      <c r="J643" s="1">
        <f>IFERROR(__xludf.DUMMYFUNCTION("IF(B643="""","""",
  100*E643 / MAX(FILTER($E:$E, $A:$A=$A643, $B:$B=$B643))
)
"),14.638283900623836)</f>
        <v>14.6382839</v>
      </c>
      <c r="K643" s="1">
        <f t="shared" si="3"/>
        <v>8.806958697</v>
      </c>
    </row>
    <row r="644">
      <c r="A644" s="3">
        <f>IFERROR(__xludf.DUMMYFUNCTION("""COMPUTED_VALUE"""),45931.0)</f>
        <v>45931</v>
      </c>
      <c r="B644" s="1" t="str">
        <f>IFERROR(__xludf.DUMMYFUNCTION("""COMPUTED_VALUE"""),"SeaCost")</f>
        <v>SeaCost</v>
      </c>
      <c r="C644" s="1" t="str">
        <f>IFERROR(__xludf.DUMMYFUNCTION("""COMPUTED_VALUE"""),"Prime")</f>
        <v>Prime</v>
      </c>
      <c r="D644" s="1">
        <f>IFERROR(__xludf.DUMMYFUNCTION("""COMPUTED_VALUE"""),420.0)</f>
        <v>420</v>
      </c>
      <c r="E644" s="1">
        <f>IFERROR(__xludf.DUMMYFUNCTION("""COMPUTED_VALUE"""),122.64)</f>
        <v>122.64</v>
      </c>
      <c r="F644" s="1">
        <f>IFERROR(__xludf.DUMMYFUNCTION("""COMPUTED_VALUE"""),21.0)</f>
        <v>21</v>
      </c>
      <c r="G644" s="1">
        <f t="shared" si="1"/>
        <v>20</v>
      </c>
      <c r="H644" s="1">
        <f t="shared" si="2"/>
        <v>5.84</v>
      </c>
      <c r="I644" s="1">
        <f>IFERROR(__xludf.DUMMYFUNCTION("IF(B644="""","""",
  100*F644 / MAX(FILTER($F:$F, $A:$A=$A644, $B:$B=$B644))
)
"),4.708520179372197)</f>
        <v>4.708520179</v>
      </c>
      <c r="J644" s="1">
        <f>IFERROR(__xludf.DUMMYFUNCTION("IF(B644="""","""",
  100*E644 / MAX(FILTER($E:$E, $A:$A=$A644, $B:$B=$B644))
)
"),33.55587173032724)</f>
        <v>33.55587173</v>
      </c>
      <c r="K644" s="1">
        <f t="shared" si="3"/>
        <v>17.68982838</v>
      </c>
    </row>
    <row r="645">
      <c r="A645" s="3">
        <f>IFERROR(__xludf.DUMMYFUNCTION("""COMPUTED_VALUE"""),45931.0)</f>
        <v>45931</v>
      </c>
      <c r="B645" s="1" t="str">
        <f>IFERROR(__xludf.DUMMYFUNCTION("""COMPUTED_VALUE"""),"SeaCost")</f>
        <v>SeaCost</v>
      </c>
      <c r="C645" s="1" t="str">
        <f>IFERROR(__xludf.DUMMYFUNCTION("""COMPUTED_VALUE"""),"Prime Ex")</f>
        <v>Prime Ex</v>
      </c>
      <c r="D645" s="1">
        <f>IFERROR(__xludf.DUMMYFUNCTION("""COMPUTED_VALUE"""),160.0)</f>
        <v>160</v>
      </c>
      <c r="E645" s="1">
        <f>IFERROR(__xludf.DUMMYFUNCTION("""COMPUTED_VALUE"""),88.0)</f>
        <v>88</v>
      </c>
      <c r="F645" s="1">
        <f>IFERROR(__xludf.DUMMYFUNCTION("""COMPUTED_VALUE"""),8.0)</f>
        <v>8</v>
      </c>
      <c r="G645" s="1">
        <f t="shared" si="1"/>
        <v>20</v>
      </c>
      <c r="H645" s="1">
        <f t="shared" si="2"/>
        <v>11</v>
      </c>
      <c r="I645" s="1">
        <f>IFERROR(__xludf.DUMMYFUNCTION("IF(B645="""","""",
  100*F645 / MAX(FILTER($F:$F, $A:$A=$A645, $B:$B=$B645))
)
"),1.7937219730941705)</f>
        <v>1.793721973</v>
      </c>
      <c r="J645" s="1">
        <f>IFERROR(__xludf.DUMMYFUNCTION("IF(B645="""","""",
  100*E645 / MAX(FILTER($E:$E, $A:$A=$A645, $B:$B=$B645))
)
"),24.077924920652293)</f>
        <v>24.07792492</v>
      </c>
      <c r="K645" s="1">
        <f t="shared" si="3"/>
        <v>11.8216133</v>
      </c>
    </row>
    <row r="646">
      <c r="A646" s="3">
        <f>IFERROR(__xludf.DUMMYFUNCTION("""COMPUTED_VALUE"""),45931.0)</f>
        <v>45931</v>
      </c>
      <c r="B646" s="1" t="str">
        <f>IFERROR(__xludf.DUMMYFUNCTION("""COMPUTED_VALUE"""),"SeaCost")</f>
        <v>SeaCost</v>
      </c>
      <c r="C646" s="1" t="str">
        <f>IFERROR(__xludf.DUMMYFUNCTION("""COMPUTED_VALUE"""),"Rani")</f>
        <v>Rani</v>
      </c>
      <c r="D646" s="1">
        <f>IFERROR(__xludf.DUMMYFUNCTION("""COMPUTED_VALUE"""),48.0)</f>
        <v>48</v>
      </c>
      <c r="E646" s="1">
        <f>IFERROR(__xludf.DUMMYFUNCTION("""COMPUTED_VALUE"""),21.96)</f>
        <v>21.96</v>
      </c>
      <c r="F646" s="1">
        <f>IFERROR(__xludf.DUMMYFUNCTION("""COMPUTED_VALUE"""),12.0)</f>
        <v>12</v>
      </c>
      <c r="G646" s="1">
        <f t="shared" si="1"/>
        <v>4</v>
      </c>
      <c r="H646" s="1">
        <f t="shared" si="2"/>
        <v>1.83</v>
      </c>
      <c r="I646" s="1">
        <f>IFERROR(__xludf.DUMMYFUNCTION("IF(B646="""","""",
  100*F646 / MAX(FILTER($F:$F, $A:$A=$A646, $B:$B=$B646))
)
"),2.690582959641256)</f>
        <v>2.69058296</v>
      </c>
      <c r="J646" s="1">
        <f>IFERROR(__xludf.DUMMYFUNCTION("IF(B646="""","""",
  100*E646 / MAX(FILTER($E:$E, $A:$A=$A646, $B:$B=$B646))
)
"),6.008536718835503)</f>
        <v>6.008536719</v>
      </c>
      <c r="K646" s="1">
        <f t="shared" si="3"/>
        <v>4.183662151</v>
      </c>
    </row>
    <row r="647">
      <c r="A647" s="3">
        <f>IFERROR(__xludf.DUMMYFUNCTION("""COMPUTED_VALUE"""),45931.0)</f>
        <v>45931</v>
      </c>
      <c r="B647" s="1" t="str">
        <f>IFERROR(__xludf.DUMMYFUNCTION("""COMPUTED_VALUE"""),"SeaCost")</f>
        <v>SeaCost</v>
      </c>
      <c r="C647" s="1" t="str">
        <f>IFERROR(__xludf.DUMMYFUNCTION("""COMPUTED_VALUE"""),"Roshetto")</f>
        <v>Roshetto</v>
      </c>
      <c r="D647" s="1">
        <f>IFERROR(__xludf.DUMMYFUNCTION("""COMPUTED_VALUE"""),60.0)</f>
        <v>60</v>
      </c>
      <c r="E647" s="1">
        <f>IFERROR(__xludf.DUMMYFUNCTION("""COMPUTED_VALUE"""),32.8)</f>
        <v>32.8</v>
      </c>
      <c r="F647" s="1">
        <f>IFERROR(__xludf.DUMMYFUNCTION("""COMPUTED_VALUE"""),20.0)</f>
        <v>20</v>
      </c>
      <c r="G647" s="1">
        <f t="shared" si="1"/>
        <v>3</v>
      </c>
      <c r="H647" s="1">
        <f t="shared" si="2"/>
        <v>1.64</v>
      </c>
      <c r="I647" s="1">
        <f>IFERROR(__xludf.DUMMYFUNCTION("IF(B647="""","""",
  100*F647 / MAX(FILTER($F:$F, $A:$A=$A647, $B:$B=$B647))
)
"),4.484304932735426)</f>
        <v>4.484304933</v>
      </c>
      <c r="J647" s="1">
        <f>IFERROR(__xludf.DUMMYFUNCTION("IF(B647="""","""",
  100*E647 / MAX(FILTER($E:$E, $A:$A=$A647, $B:$B=$B647))
)
"),8.974499288606761)</f>
        <v>8.974499289</v>
      </c>
      <c r="K647" s="1">
        <f t="shared" si="3"/>
        <v>6.504892393</v>
      </c>
    </row>
    <row r="648">
      <c r="A648" s="3">
        <f>IFERROR(__xludf.DUMMYFUNCTION("""COMPUTED_VALUE"""),45931.0)</f>
        <v>45931</v>
      </c>
      <c r="B648" s="1" t="str">
        <f>IFERROR(__xludf.DUMMYFUNCTION("""COMPUTED_VALUE"""),"SeaCost")</f>
        <v>SeaCost</v>
      </c>
      <c r="C648" s="1" t="str">
        <f>IFERROR(__xludf.DUMMYFUNCTION("""COMPUTED_VALUE"""),"Saminsa")</f>
        <v>Saminsa</v>
      </c>
      <c r="D648" s="1">
        <f>IFERROR(__xludf.DUMMYFUNCTION("""COMPUTED_VALUE"""),84.0)</f>
        <v>84</v>
      </c>
      <c r="E648" s="1">
        <f>IFERROR(__xludf.DUMMYFUNCTION("""COMPUTED_VALUE"""),56.0)</f>
        <v>56</v>
      </c>
      <c r="F648" s="1">
        <f>IFERROR(__xludf.DUMMYFUNCTION("""COMPUTED_VALUE"""),28.0)</f>
        <v>28</v>
      </c>
      <c r="G648" s="1">
        <f t="shared" si="1"/>
        <v>3</v>
      </c>
      <c r="H648" s="1">
        <f t="shared" si="2"/>
        <v>2</v>
      </c>
      <c r="I648" s="1">
        <f>IFERROR(__xludf.DUMMYFUNCTION("IF(B648="""","""",
  100*F648 / MAX(FILTER($F:$F, $A:$A=$A648, $B:$B=$B648))
)
"),6.278026905829597)</f>
        <v>6.278026906</v>
      </c>
      <c r="J648" s="1">
        <f>IFERROR(__xludf.DUMMYFUNCTION("IF(B648="""","""",
  100*E648 / MAX(FILTER($E:$E, $A:$A=$A648, $B:$B=$B648))
)
"),15.322315858596912)</f>
        <v>15.32231586</v>
      </c>
      <c r="K648" s="1">
        <f t="shared" si="3"/>
        <v>10.34795693</v>
      </c>
    </row>
    <row r="649">
      <c r="A649" s="3">
        <f>IFERROR(__xludf.DUMMYFUNCTION("""COMPUTED_VALUE"""),45931.0)</f>
        <v>45931</v>
      </c>
      <c r="B649" s="1" t="str">
        <f>IFERROR(__xludf.DUMMYFUNCTION("""COMPUTED_VALUE"""),"SeaCost")</f>
        <v>SeaCost</v>
      </c>
      <c r="C649" s="1" t="str">
        <f>IFERROR(__xludf.DUMMYFUNCTION("""COMPUTED_VALUE"""),"Smsm")</f>
        <v>Smsm</v>
      </c>
      <c r="D649" s="1">
        <f>IFERROR(__xludf.DUMMYFUNCTION("""COMPUTED_VALUE"""),18.0)</f>
        <v>18</v>
      </c>
      <c r="E649" s="1">
        <f>IFERROR(__xludf.DUMMYFUNCTION("""COMPUTED_VALUE"""),4.8)</f>
        <v>4.8</v>
      </c>
      <c r="F649" s="1">
        <f>IFERROR(__xludf.DUMMYFUNCTION("""COMPUTED_VALUE"""),3.0)</f>
        <v>3</v>
      </c>
      <c r="G649" s="1">
        <f t="shared" si="1"/>
        <v>6</v>
      </c>
      <c r="H649" s="1">
        <f t="shared" si="2"/>
        <v>1.6</v>
      </c>
      <c r="I649" s="1">
        <f>IFERROR(__xludf.DUMMYFUNCTION("IF(B649="""","""",
  100*F649 / MAX(FILTER($F:$F, $A:$A=$A649, $B:$B=$B649))
)
"),0.672645739910314)</f>
        <v>0.6726457399</v>
      </c>
      <c r="J649" s="1">
        <f>IFERROR(__xludf.DUMMYFUNCTION("IF(B649="""","""",
  100*E649 / MAX(FILTER($E:$E, $A:$A=$A649, $B:$B=$B649))
)
"),1.3133413593083068)</f>
        <v>1.313341359</v>
      </c>
      <c r="K649" s="1">
        <f t="shared" si="3"/>
        <v>0.9609587686</v>
      </c>
    </row>
    <row r="650">
      <c r="A650" s="3">
        <f>IFERROR(__xludf.DUMMYFUNCTION("""COMPUTED_VALUE"""),45931.0)</f>
        <v>45931</v>
      </c>
      <c r="B650" s="1" t="str">
        <f>IFERROR(__xludf.DUMMYFUNCTION("""COMPUTED_VALUE"""),"SeaCost")</f>
        <v>SeaCost</v>
      </c>
      <c r="C650" s="1" t="str">
        <f>IFERROR(__xludf.DUMMYFUNCTION("""COMPUTED_VALUE"""),"Tiger *12")</f>
        <v>Tiger *12</v>
      </c>
      <c r="D650" s="1">
        <f>IFERROR(__xludf.DUMMYFUNCTION("""COMPUTED_VALUE"""),16.0)</f>
        <v>16</v>
      </c>
      <c r="E650" s="1">
        <f>IFERROR(__xludf.DUMMYFUNCTION("""COMPUTED_VALUE"""),9.84)</f>
        <v>9.84</v>
      </c>
      <c r="F650" s="1">
        <f>IFERROR(__xludf.DUMMYFUNCTION("""COMPUTED_VALUE"""),2.0)</f>
        <v>2</v>
      </c>
      <c r="G650" s="1">
        <f t="shared" si="1"/>
        <v>8</v>
      </c>
      <c r="H650" s="1">
        <f t="shared" si="2"/>
        <v>4.92</v>
      </c>
      <c r="I650" s="1">
        <f>IFERROR(__xludf.DUMMYFUNCTION("IF(B650="""","""",
  100*F650 / MAX(FILTER($F:$F, $A:$A=$A650, $B:$B=$B650))
)
"),0.4484304932735426)</f>
        <v>0.4484304933</v>
      </c>
      <c r="J650" s="1">
        <f>IFERROR(__xludf.DUMMYFUNCTION("IF(B650="""","""",
  100*E650 / MAX(FILTER($E:$E, $A:$A=$A650, $B:$B=$B650))
)
"),2.692349786582029)</f>
        <v>2.692349787</v>
      </c>
      <c r="K650" s="1">
        <f t="shared" si="3"/>
        <v>1.458194175</v>
      </c>
    </row>
    <row r="651">
      <c r="A651" s="3">
        <f>IFERROR(__xludf.DUMMYFUNCTION("""COMPUTED_VALUE"""),45931.0)</f>
        <v>45931</v>
      </c>
      <c r="B651" s="1" t="str">
        <f>IFERROR(__xludf.DUMMYFUNCTION("""COMPUTED_VALUE"""),"SeaCost")</f>
        <v>SeaCost</v>
      </c>
      <c r="C651" s="1" t="str">
        <f>IFERROR(__xludf.DUMMYFUNCTION("""COMPUTED_VALUE"""),"Today Chocolate")</f>
        <v>Today Chocolate</v>
      </c>
      <c r="D651" s="1">
        <f>IFERROR(__xludf.DUMMYFUNCTION("""COMPUTED_VALUE"""),179.0)</f>
        <v>179</v>
      </c>
      <c r="E651" s="1">
        <f>IFERROR(__xludf.DUMMYFUNCTION("""COMPUTED_VALUE"""),-41.75)</f>
        <v>-41.75</v>
      </c>
      <c r="F651" s="1">
        <f>IFERROR(__xludf.DUMMYFUNCTION("""COMPUTED_VALUE"""),25.0)</f>
        <v>25</v>
      </c>
      <c r="G651" s="1">
        <f t="shared" si="1"/>
        <v>7.16</v>
      </c>
      <c r="H651" s="1">
        <f t="shared" si="2"/>
        <v>-1.67</v>
      </c>
      <c r="I651" s="1">
        <f>IFERROR(__xludf.DUMMYFUNCTION("IF(B651="""","""",
  100*F651 / MAX(FILTER($F:$F, $A:$A=$A651, $B:$B=$B651))
)
"),5.605381165919282)</f>
        <v>5.605381166</v>
      </c>
      <c r="J651" s="1">
        <f>IFERROR(__xludf.DUMMYFUNCTION("IF(B651="""","""",
  100*E651 / MAX(FILTER($E:$E, $A:$A=$A651, $B:$B=$B651))
)
"),-11.423333698150376)</f>
        <v>-11.4233337</v>
      </c>
      <c r="K651" s="1">
        <f t="shared" si="3"/>
        <v>-2.057540523</v>
      </c>
    </row>
    <row r="652">
      <c r="A652" s="3">
        <f>IFERROR(__xludf.DUMMYFUNCTION("""COMPUTED_VALUE"""),45931.0)</f>
        <v>45931</v>
      </c>
      <c r="B652" s="1" t="str">
        <f>IFERROR(__xludf.DUMMYFUNCTION("""COMPUTED_VALUE"""),"SeaCost")</f>
        <v>SeaCost</v>
      </c>
      <c r="C652" s="1" t="str">
        <f>IFERROR(__xludf.DUMMYFUNCTION("""COMPUTED_VALUE"""),"Toren Dark Chocolate")</f>
        <v>Toren Dark Chocolate</v>
      </c>
      <c r="D652" s="1">
        <f>IFERROR(__xludf.DUMMYFUNCTION("""COMPUTED_VALUE"""),380.0)</f>
        <v>380</v>
      </c>
      <c r="E652" s="1">
        <f>IFERROR(__xludf.DUMMYFUNCTION("""COMPUTED_VALUE"""),208.01)</f>
        <v>208.01</v>
      </c>
      <c r="F652" s="1">
        <f>IFERROR(__xludf.DUMMYFUNCTION("""COMPUTED_VALUE"""),189.0)</f>
        <v>189</v>
      </c>
      <c r="G652" s="1">
        <f t="shared" si="1"/>
        <v>2.010582011</v>
      </c>
      <c r="H652" s="1">
        <f t="shared" si="2"/>
        <v>1.100582011</v>
      </c>
      <c r="I652" s="1">
        <f>IFERROR(__xludf.DUMMYFUNCTION("IF(B652="""","""",
  100*F652 / MAX(FILTER($F:$F, $A:$A=$A652, $B:$B=$B652))
)
"),42.37668161434978)</f>
        <v>42.37668161</v>
      </c>
      <c r="J652" s="1">
        <f>IFERROR(__xludf.DUMMYFUNCTION("IF(B652="""","""",
  100*E652 / MAX(FILTER($E:$E, $A:$A=$A652, $B:$B=$B652))
)
"),56.91419503119185)</f>
        <v>56.91419503</v>
      </c>
      <c r="K652" s="1">
        <f t="shared" si="3"/>
        <v>48.91856265</v>
      </c>
    </row>
    <row r="653">
      <c r="A653" s="3">
        <f>IFERROR(__xludf.DUMMYFUNCTION("""COMPUTED_VALUE"""),45931.0)</f>
        <v>45931</v>
      </c>
      <c r="B653" s="1" t="str">
        <f>IFERROR(__xludf.DUMMYFUNCTION("""COMPUTED_VALUE"""),"SeaCost")</f>
        <v>SeaCost</v>
      </c>
      <c r="C653" s="1" t="str">
        <f>IFERROR(__xludf.DUMMYFUNCTION("""COMPUTED_VALUE"""),"Water")</f>
        <v>Water</v>
      </c>
      <c r="D653" s="1">
        <f>IFERROR(__xludf.DUMMYFUNCTION("""COMPUTED_VALUE"""),446.0)</f>
        <v>446</v>
      </c>
      <c r="E653" s="1">
        <f>IFERROR(__xludf.DUMMYFUNCTION("""COMPUTED_VALUE"""),312.2)</f>
        <v>312.2</v>
      </c>
      <c r="F653" s="1">
        <f>IFERROR(__xludf.DUMMYFUNCTION("""COMPUTED_VALUE"""),446.0)</f>
        <v>446</v>
      </c>
      <c r="G653" s="1">
        <f t="shared" si="1"/>
        <v>1</v>
      </c>
      <c r="H653" s="1">
        <f t="shared" si="2"/>
        <v>0.7</v>
      </c>
      <c r="I653" s="1">
        <f>IFERROR(__xludf.DUMMYFUNCTION("IF(B653="""","""",
  100*F653 / MAX(FILTER($F:$F, $A:$A=$A653, $B:$B=$B653))
)
"),100.0)</f>
        <v>100</v>
      </c>
      <c r="J653" s="1">
        <f>IFERROR(__xludf.DUMMYFUNCTION("IF(B653="""","""",
  100*E653 / MAX(FILTER($E:$E, $A:$A=$A653, $B:$B=$B653))
)
"),85.42191091167778)</f>
        <v>85.42191091</v>
      </c>
      <c r="K653" s="1">
        <f t="shared" si="3"/>
        <v>93.43985991</v>
      </c>
    </row>
    <row r="654">
      <c r="A654" s="3">
        <f>IFERROR(__xludf.DUMMYFUNCTION("""COMPUTED_VALUE"""),45931.0)</f>
        <v>45931</v>
      </c>
      <c r="B654" s="1" t="str">
        <f>IFERROR(__xludf.DUMMYFUNCTION("""COMPUTED_VALUE"""),"SeaCost")</f>
        <v>SeaCost</v>
      </c>
      <c r="C654" s="1" t="str">
        <f>IFERROR(__xludf.DUMMYFUNCTION("""COMPUTED_VALUE"""),"Yasmin Penuts")</f>
        <v>Yasmin Penuts</v>
      </c>
      <c r="D654" s="1">
        <f>IFERROR(__xludf.DUMMYFUNCTION("""COMPUTED_VALUE"""),3.0)</f>
        <v>3</v>
      </c>
      <c r="E654" s="1">
        <f>IFERROR(__xludf.DUMMYFUNCTION("""COMPUTED_VALUE"""),1.2)</f>
        <v>1.2</v>
      </c>
      <c r="F654" s="1">
        <f>IFERROR(__xludf.DUMMYFUNCTION("""COMPUTED_VALUE"""),1.0)</f>
        <v>1</v>
      </c>
      <c r="G654" s="1">
        <f t="shared" si="1"/>
        <v>3</v>
      </c>
      <c r="H654" s="1">
        <f t="shared" si="2"/>
        <v>1.2</v>
      </c>
      <c r="I654" s="1">
        <f>IFERROR(__xludf.DUMMYFUNCTION("IF(B654="""","""",
  100*F654 / MAX(FILTER($F:$F, $A:$A=$A654, $B:$B=$B654))
)
"),0.2242152466367713)</f>
        <v>0.2242152466</v>
      </c>
      <c r="J654" s="1">
        <f>IFERROR(__xludf.DUMMYFUNCTION("IF(B654="""","""",
  100*E654 / MAX(FILTER($E:$E, $A:$A=$A654, $B:$B=$B654))
)
"),0.3283353398270767)</f>
        <v>0.3283353398</v>
      </c>
      <c r="K654" s="1">
        <f t="shared" si="3"/>
        <v>0.2710692886</v>
      </c>
    </row>
    <row r="655">
      <c r="A655" s="3">
        <f>IFERROR(__xludf.DUMMYFUNCTION("""COMPUTED_VALUE"""),45931.0)</f>
        <v>45931</v>
      </c>
      <c r="B655" s="1" t="str">
        <f>IFERROR(__xludf.DUMMYFUNCTION("""COMPUTED_VALUE"""),"SeaCost")</f>
        <v>SeaCost</v>
      </c>
      <c r="C655" s="1" t="str">
        <f>IFERROR(__xludf.DUMMYFUNCTION("""COMPUTED_VALUE"""),"Yipy Juice")</f>
        <v>Yipy Juice</v>
      </c>
      <c r="D655" s="1">
        <f>IFERROR(__xludf.DUMMYFUNCTION("""COMPUTED_VALUE"""),45.0)</f>
        <v>45</v>
      </c>
      <c r="E655" s="1">
        <f>IFERROR(__xludf.DUMMYFUNCTION("""COMPUTED_VALUE"""),16.26)</f>
        <v>16.26</v>
      </c>
      <c r="F655" s="1">
        <f>IFERROR(__xludf.DUMMYFUNCTION("""COMPUTED_VALUE"""),3.0)</f>
        <v>3</v>
      </c>
      <c r="G655" s="1">
        <f t="shared" si="1"/>
        <v>15</v>
      </c>
      <c r="H655" s="1">
        <f t="shared" si="2"/>
        <v>5.42</v>
      </c>
      <c r="I655" s="1">
        <f>IFERROR(__xludf.DUMMYFUNCTION("IF(B655="""","""",
  100*F655 / MAX(FILTER($F:$F, $A:$A=$A655, $B:$B=$B655))
)
"),0.672645739910314)</f>
        <v>0.6726457399</v>
      </c>
      <c r="J655" s="1">
        <f>IFERROR(__xludf.DUMMYFUNCTION("IF(B655="""","""",
  100*E655 / MAX(FILTER($E:$E, $A:$A=$A655, $B:$B=$B655))
)
"),4.44894385465689)</f>
        <v>4.448943855</v>
      </c>
      <c r="K655" s="1">
        <f t="shared" si="3"/>
        <v>2.371979892</v>
      </c>
    </row>
    <row r="656">
      <c r="A656" s="3">
        <f>IFERROR(__xludf.DUMMYFUNCTION("""COMPUTED_VALUE"""),45931.0)</f>
        <v>45931</v>
      </c>
      <c r="B656" s="1" t="str">
        <f>IFERROR(__xludf.DUMMYFUNCTION("""COMPUTED_VALUE"""),"SeaCost")</f>
        <v>SeaCost</v>
      </c>
      <c r="C656" s="1" t="str">
        <f>IFERROR(__xludf.DUMMYFUNCTION("""COMPUTED_VALUE"""),"ifruit juice")</f>
        <v>ifruit juice</v>
      </c>
      <c r="D656" s="1">
        <f>IFERROR(__xludf.DUMMYFUNCTION("""COMPUTED_VALUE"""),32.0)</f>
        <v>32</v>
      </c>
      <c r="E656" s="1">
        <f>IFERROR(__xludf.DUMMYFUNCTION("""COMPUTED_VALUE"""),8.72)</f>
        <v>8.72</v>
      </c>
      <c r="F656" s="1">
        <f>IFERROR(__xludf.DUMMYFUNCTION("""COMPUTED_VALUE"""),8.0)</f>
        <v>8</v>
      </c>
      <c r="G656" s="1">
        <f t="shared" si="1"/>
        <v>4</v>
      </c>
      <c r="H656" s="1">
        <f t="shared" si="2"/>
        <v>1.09</v>
      </c>
      <c r="I656" s="1">
        <f>IFERROR(__xludf.DUMMYFUNCTION("IF(B656="""","""",
  100*F656 / MAX(FILTER($F:$F, $A:$A=$A656, $B:$B=$B656))
)
"),1.7937219730941705)</f>
        <v>1.793721973</v>
      </c>
      <c r="J656" s="1">
        <f>IFERROR(__xludf.DUMMYFUNCTION("IF(B656="""","""",
  100*E656 / MAX(FILTER($E:$E, $A:$A=$A656, $B:$B=$B656))
)
"),2.385903469410091)</f>
        <v>2.385903469</v>
      </c>
      <c r="K656" s="1">
        <f t="shared" si="3"/>
        <v>2.060203646</v>
      </c>
    </row>
    <row r="657">
      <c r="A657" s="3">
        <f>IFERROR(__xludf.DUMMYFUNCTION("""COMPUTED_VALUE"""),45931.0)</f>
        <v>45931</v>
      </c>
      <c r="B657" s="1" t="str">
        <f>IFERROR(__xludf.DUMMYFUNCTION("""COMPUTED_VALUE"""),"SeaCost")</f>
        <v>SeaCost</v>
      </c>
      <c r="C657" s="1" t="str">
        <f>IFERROR(__xludf.DUMMYFUNCTION("""COMPUTED_VALUE"""),"kinza")</f>
        <v>kinza</v>
      </c>
      <c r="D657" s="1">
        <f>IFERROR(__xludf.DUMMYFUNCTION("""COMPUTED_VALUE"""),18.0)</f>
        <v>18</v>
      </c>
      <c r="E657" s="1">
        <f>IFERROR(__xludf.DUMMYFUNCTION("""COMPUTED_VALUE"""),8.76)</f>
        <v>8.76</v>
      </c>
      <c r="F657" s="1">
        <f>IFERROR(__xludf.DUMMYFUNCTION("""COMPUTED_VALUE"""),6.0)</f>
        <v>6</v>
      </c>
      <c r="G657" s="1">
        <f t="shared" si="1"/>
        <v>3</v>
      </c>
      <c r="H657" s="1">
        <f t="shared" si="2"/>
        <v>1.46</v>
      </c>
      <c r="I657" s="1">
        <f>IFERROR(__xludf.DUMMYFUNCTION("IF(B657="""","""",
  100*F657 / MAX(FILTER($F:$F, $A:$A=$A657, $B:$B=$B657))
)
"),1.345291479820628)</f>
        <v>1.34529148</v>
      </c>
      <c r="J657" s="1">
        <f>IFERROR(__xludf.DUMMYFUNCTION("IF(B657="""","""",
  100*E657 / MAX(FILTER($E:$E, $A:$A=$A657, $B:$B=$B657))
)
"),2.39684798073766)</f>
        <v>2.396847981</v>
      </c>
      <c r="K657" s="1">
        <f t="shared" si="3"/>
        <v>1.818491905</v>
      </c>
    </row>
    <row r="658">
      <c r="A658" s="3">
        <f>IFERROR(__xludf.DUMMYFUNCTION("""COMPUTED_VALUE"""),45931.0)</f>
        <v>45931</v>
      </c>
      <c r="B658" s="1" t="str">
        <f>IFERROR(__xludf.DUMMYFUNCTION("""COMPUTED_VALUE"""),"SeaCost")</f>
        <v>SeaCost</v>
      </c>
      <c r="C658" s="1" t="str">
        <f>IFERROR(__xludf.DUMMYFUNCTION("""COMPUTED_VALUE"""),"sunTop")</f>
        <v>sunTop</v>
      </c>
      <c r="D658" s="1">
        <f>IFERROR(__xludf.DUMMYFUNCTION("""COMPUTED_VALUE"""),273.0)</f>
        <v>273</v>
      </c>
      <c r="E658" s="1">
        <f>IFERROR(__xludf.DUMMYFUNCTION("""COMPUTED_VALUE"""),121.2)</f>
        <v>121.2</v>
      </c>
      <c r="F658" s="1">
        <f>IFERROR(__xludf.DUMMYFUNCTION("""COMPUTED_VALUE"""),253.0)</f>
        <v>253</v>
      </c>
      <c r="G658" s="1">
        <f t="shared" si="1"/>
        <v>1.079051383</v>
      </c>
      <c r="H658" s="1">
        <f t="shared" si="2"/>
        <v>0.4790513834</v>
      </c>
      <c r="I658" s="1">
        <f>IFERROR(__xludf.DUMMYFUNCTION("IF(B658="""","""",
  100*F658 / MAX(FILTER($F:$F, $A:$A=$A658, $B:$B=$B658))
)
"),56.72645739910314)</f>
        <v>56.7264574</v>
      </c>
      <c r="J658" s="1">
        <f>IFERROR(__xludf.DUMMYFUNCTION("IF(B658="""","""",
  100*E658 / MAX(FILTER($E:$E, $A:$A=$A658, $B:$B=$B658))
)
"),33.16186932253475)</f>
        <v>33.16186932</v>
      </c>
      <c r="K658" s="1">
        <f t="shared" si="3"/>
        <v>46.12239276</v>
      </c>
    </row>
    <row r="659">
      <c r="A659" s="3">
        <f>IFERROR(__xludf.DUMMYFUNCTION("""COMPUTED_VALUE"""),45931.0)</f>
        <v>45931</v>
      </c>
      <c r="B659" s="1" t="str">
        <f>IFERROR(__xludf.DUMMYFUNCTION("""COMPUTED_VALUE"""),"SeaCost")</f>
        <v>SeaCost</v>
      </c>
      <c r="C659" s="1" t="str">
        <f>IFERROR(__xludf.DUMMYFUNCTION("""COMPUTED_VALUE"""),"zigi marinated peanuts")</f>
        <v>zigi marinated peanuts</v>
      </c>
      <c r="D659" s="1">
        <f>IFERROR(__xludf.DUMMYFUNCTION("""COMPUTED_VALUE"""),84.0)</f>
        <v>84</v>
      </c>
      <c r="E659" s="1">
        <f>IFERROR(__xludf.DUMMYFUNCTION("""COMPUTED_VALUE"""),35.0)</f>
        <v>35</v>
      </c>
      <c r="F659" s="1">
        <f>IFERROR(__xludf.DUMMYFUNCTION("""COMPUTED_VALUE"""),14.0)</f>
        <v>14</v>
      </c>
      <c r="G659" s="1">
        <f t="shared" si="1"/>
        <v>6</v>
      </c>
      <c r="H659" s="1">
        <f t="shared" si="2"/>
        <v>2.5</v>
      </c>
      <c r="I659" s="1">
        <f>IFERROR(__xludf.DUMMYFUNCTION("IF(B659="""","""",
  100*F659 / MAX(FILTER($F:$F, $A:$A=$A659, $B:$B=$B659))
)
"),3.1390134529147984)</f>
        <v>3.139013453</v>
      </c>
      <c r="J659" s="1">
        <f>IFERROR(__xludf.DUMMYFUNCTION("IF(B659="""","""",
  100*E659 / MAX(FILTER($E:$E, $A:$A=$A659, $B:$B=$B659))
)
"),9.57644741162307)</f>
        <v>9.576447412</v>
      </c>
      <c r="K659" s="1">
        <f t="shared" si="3"/>
        <v>6.035858734</v>
      </c>
    </row>
    <row r="660">
      <c r="A660" s="3">
        <f>IFERROR(__xludf.DUMMYFUNCTION("""COMPUTED_VALUE"""),45962.0)</f>
        <v>45962</v>
      </c>
      <c r="B660" s="1" t="str">
        <f>IFERROR(__xludf.DUMMYFUNCTION("""COMPUTED_VALUE"""),"DPMall")</f>
        <v>DPMall</v>
      </c>
      <c r="C660" s="1" t="str">
        <f>IFERROR(__xludf.DUMMYFUNCTION("""COMPUTED_VALUE"""),"7up")</f>
        <v>7up</v>
      </c>
      <c r="D660" s="1">
        <f>IFERROR(__xludf.DUMMYFUNCTION("""COMPUTED_VALUE"""),36.0)</f>
        <v>36</v>
      </c>
      <c r="E660" s="1">
        <f>IFERROR(__xludf.DUMMYFUNCTION("""COMPUTED_VALUE"""),36.0)</f>
        <v>36</v>
      </c>
      <c r="F660" s="1">
        <f>IFERROR(__xludf.DUMMYFUNCTION("""COMPUTED_VALUE"""),12.0)</f>
        <v>12</v>
      </c>
      <c r="G660" s="1">
        <f t="shared" si="1"/>
        <v>3</v>
      </c>
      <c r="H660" s="1">
        <f t="shared" si="2"/>
        <v>3</v>
      </c>
      <c r="I660" s="1">
        <f>IFERROR(__xludf.DUMMYFUNCTION("IF(B660="""","""",
  100*F660 / MAX(FILTER($F:$F, $A:$A=$A660, $B:$B=$B660))
)
"),2.985074626865672)</f>
        <v>2.985074627</v>
      </c>
      <c r="J660" s="1">
        <f>IFERROR(__xludf.DUMMYFUNCTION("IF(B660="""","""",
  100*E660 / MAX(FILTER($E:$E, $A:$A=$A660, $B:$B=$B660))
)
"),6.315789473684211)</f>
        <v>6.315789474</v>
      </c>
      <c r="K660" s="1">
        <f t="shared" si="3"/>
        <v>4.483896308</v>
      </c>
    </row>
    <row r="661">
      <c r="A661" s="3">
        <f>IFERROR(__xludf.DUMMYFUNCTION("""COMPUTED_VALUE"""),45962.0)</f>
        <v>45962</v>
      </c>
      <c r="B661" s="1" t="str">
        <f>IFERROR(__xludf.DUMMYFUNCTION("""COMPUTED_VALUE"""),"DPMall")</f>
        <v>DPMall</v>
      </c>
      <c r="C661" s="1" t="str">
        <f>IFERROR(__xludf.DUMMYFUNCTION("""COMPUTED_VALUE"""),"Doritos nacho")</f>
        <v>Doritos nacho</v>
      </c>
      <c r="D661" s="1">
        <f>IFERROR(__xludf.DUMMYFUNCTION("""COMPUTED_VALUE"""),190.0)</f>
        <v>190</v>
      </c>
      <c r="E661" s="1">
        <f>IFERROR(__xludf.DUMMYFUNCTION("""COMPUTED_VALUE"""),190.0)</f>
        <v>190</v>
      </c>
      <c r="F661" s="1">
        <f>IFERROR(__xludf.DUMMYFUNCTION("""COMPUTED_VALUE"""),38.0)</f>
        <v>38</v>
      </c>
      <c r="G661" s="1">
        <f t="shared" si="1"/>
        <v>5</v>
      </c>
      <c r="H661" s="1">
        <f t="shared" si="2"/>
        <v>5</v>
      </c>
      <c r="I661" s="1">
        <f>IFERROR(__xludf.DUMMYFUNCTION("IF(B661="""","""",
  100*F661 / MAX(FILTER($F:$F, $A:$A=$A661, $B:$B=$B661))
)
"),9.45273631840796)</f>
        <v>9.452736318</v>
      </c>
      <c r="J661" s="1">
        <f>IFERROR(__xludf.DUMMYFUNCTION("IF(B661="""","""",
  100*E661 / MAX(FILTER($E:$E, $A:$A=$A661, $B:$B=$B661))
)
"),33.333333333333336)</f>
        <v>33.33333333</v>
      </c>
      <c r="K661" s="1">
        <f t="shared" si="3"/>
        <v>20.19900498</v>
      </c>
    </row>
    <row r="662">
      <c r="A662" s="3">
        <f>IFERROR(__xludf.DUMMYFUNCTION("""COMPUTED_VALUE"""),45962.0)</f>
        <v>45962</v>
      </c>
      <c r="B662" s="1" t="str">
        <f>IFERROR(__xludf.DUMMYFUNCTION("""COMPUTED_VALUE"""),"DPMall")</f>
        <v>DPMall</v>
      </c>
      <c r="C662" s="1" t="str">
        <f>IFERROR(__xludf.DUMMYFUNCTION("""COMPUTED_VALUE"""),"Doritos real")</f>
        <v>Doritos real</v>
      </c>
      <c r="D662" s="1">
        <f>IFERROR(__xludf.DUMMYFUNCTION("""COMPUTED_VALUE"""),133.0)</f>
        <v>133</v>
      </c>
      <c r="E662" s="1">
        <f>IFERROR(__xludf.DUMMYFUNCTION("""COMPUTED_VALUE"""),133.0)</f>
        <v>133</v>
      </c>
      <c r="F662" s="1">
        <f>IFERROR(__xludf.DUMMYFUNCTION("""COMPUTED_VALUE"""),19.0)</f>
        <v>19</v>
      </c>
      <c r="G662" s="1">
        <f t="shared" si="1"/>
        <v>7</v>
      </c>
      <c r="H662" s="1">
        <f t="shared" si="2"/>
        <v>7</v>
      </c>
      <c r="I662" s="1">
        <f>IFERROR(__xludf.DUMMYFUNCTION("IF(B662="""","""",
  100*F662 / MAX(FILTER($F:$F, $A:$A=$A662, $B:$B=$B662))
)
"),4.72636815920398)</f>
        <v>4.726368159</v>
      </c>
      <c r="J662" s="1">
        <f>IFERROR(__xludf.DUMMYFUNCTION("IF(B662="""","""",
  100*E662 / MAX(FILTER($E:$E, $A:$A=$A662, $B:$B=$B662))
)
"),23.333333333333332)</f>
        <v>23.33333333</v>
      </c>
      <c r="K662" s="1">
        <f t="shared" si="3"/>
        <v>13.09950249</v>
      </c>
    </row>
    <row r="663">
      <c r="A663" s="3">
        <f>IFERROR(__xludf.DUMMYFUNCTION("""COMPUTED_VALUE"""),45962.0)</f>
        <v>45962</v>
      </c>
      <c r="B663" s="1" t="str">
        <f>IFERROR(__xludf.DUMMYFUNCTION("""COMPUTED_VALUE"""),"DPMall")</f>
        <v>DPMall</v>
      </c>
      <c r="C663" s="1" t="str">
        <f>IFERROR(__xludf.DUMMYFUNCTION("""COMPUTED_VALUE"""),"Freez drink")</f>
        <v>Freez drink</v>
      </c>
      <c r="D663" s="1">
        <f>IFERROR(__xludf.DUMMYFUNCTION("""COMPUTED_VALUE"""),9.0)</f>
        <v>9</v>
      </c>
      <c r="E663" s="1">
        <f>IFERROR(__xludf.DUMMYFUNCTION("""COMPUTED_VALUE"""),9.0)</f>
        <v>9</v>
      </c>
      <c r="F663" s="1">
        <f>IFERROR(__xludf.DUMMYFUNCTION("""COMPUTED_VALUE"""),3.0)</f>
        <v>3</v>
      </c>
      <c r="G663" s="1">
        <f t="shared" si="1"/>
        <v>3</v>
      </c>
      <c r="H663" s="1">
        <f t="shared" si="2"/>
        <v>3</v>
      </c>
      <c r="I663" s="1">
        <f>IFERROR(__xludf.DUMMYFUNCTION("IF(B663="""","""",
  100*F663 / MAX(FILTER($F:$F, $A:$A=$A663, $B:$B=$B663))
)
"),0.746268656716418)</f>
        <v>0.7462686567</v>
      </c>
      <c r="J663" s="1">
        <f>IFERROR(__xludf.DUMMYFUNCTION("IF(B663="""","""",
  100*E663 / MAX(FILTER($E:$E, $A:$A=$A663, $B:$B=$B663))
)
"),1.5789473684210527)</f>
        <v>1.578947368</v>
      </c>
      <c r="K663" s="1">
        <f t="shared" si="3"/>
        <v>1.120974077</v>
      </c>
    </row>
    <row r="664">
      <c r="A664" s="3">
        <f>IFERROR(__xludf.DUMMYFUNCTION("""COMPUTED_VALUE"""),45962.0)</f>
        <v>45962</v>
      </c>
      <c r="B664" s="1" t="str">
        <f>IFERROR(__xludf.DUMMYFUNCTION("""COMPUTED_VALUE"""),"DPMall")</f>
        <v>DPMall</v>
      </c>
      <c r="C664" s="1" t="str">
        <f>IFERROR(__xludf.DUMMYFUNCTION("""COMPUTED_VALUE"""),"Gardena")</f>
        <v>Gardena</v>
      </c>
      <c r="D664" s="1">
        <f>IFERROR(__xludf.DUMMYFUNCTION("""COMPUTED_VALUE"""),58.0)</f>
        <v>58</v>
      </c>
      <c r="E664" s="1">
        <f>IFERROR(__xludf.DUMMYFUNCTION("""COMPUTED_VALUE"""),58.0)</f>
        <v>58</v>
      </c>
      <c r="F664" s="1">
        <f>IFERROR(__xludf.DUMMYFUNCTION("""COMPUTED_VALUE"""),20.0)</f>
        <v>20</v>
      </c>
      <c r="G664" s="1">
        <f t="shared" si="1"/>
        <v>2.9</v>
      </c>
      <c r="H664" s="1">
        <f t="shared" si="2"/>
        <v>2.9</v>
      </c>
      <c r="I664" s="1">
        <f>IFERROR(__xludf.DUMMYFUNCTION("IF(B664="""","""",
  100*F664 / MAX(FILTER($F:$F, $A:$A=$A664, $B:$B=$B664))
)
"),4.975124378109452)</f>
        <v>4.975124378</v>
      </c>
      <c r="J664" s="1">
        <f>IFERROR(__xludf.DUMMYFUNCTION("IF(B664="""","""",
  100*E664 / MAX(FILTER($E:$E, $A:$A=$A664, $B:$B=$B664))
)
"),10.175438596491228)</f>
        <v>10.1754386</v>
      </c>
      <c r="K664" s="1">
        <f t="shared" si="3"/>
        <v>7.315265776</v>
      </c>
    </row>
    <row r="665">
      <c r="A665" s="3">
        <f>IFERROR(__xludf.DUMMYFUNCTION("""COMPUTED_VALUE"""),45962.0)</f>
        <v>45962</v>
      </c>
      <c r="B665" s="1" t="str">
        <f>IFERROR(__xludf.DUMMYFUNCTION("""COMPUTED_VALUE"""),"DPMall")</f>
        <v>DPMall</v>
      </c>
      <c r="C665" s="1" t="str">
        <f>IFERROR(__xludf.DUMMYFUNCTION("""COMPUTED_VALUE"""),"Green")</f>
        <v>Green</v>
      </c>
      <c r="D665" s="1">
        <f>IFERROR(__xludf.DUMMYFUNCTION("""COMPUTED_VALUE"""),69.0)</f>
        <v>69</v>
      </c>
      <c r="E665" s="1">
        <f>IFERROR(__xludf.DUMMYFUNCTION("""COMPUTED_VALUE"""),69.0)</f>
        <v>69</v>
      </c>
      <c r="F665" s="1">
        <f>IFERROR(__xludf.DUMMYFUNCTION("""COMPUTED_VALUE"""),20.0)</f>
        <v>20</v>
      </c>
      <c r="G665" s="1">
        <f t="shared" si="1"/>
        <v>3.45</v>
      </c>
      <c r="H665" s="1">
        <f t="shared" si="2"/>
        <v>3.45</v>
      </c>
      <c r="I665" s="1">
        <f>IFERROR(__xludf.DUMMYFUNCTION("IF(B665="""","""",
  100*F665 / MAX(FILTER($F:$F, $A:$A=$A665, $B:$B=$B665))
)
"),4.975124378109452)</f>
        <v>4.975124378</v>
      </c>
      <c r="J665" s="1">
        <f>IFERROR(__xludf.DUMMYFUNCTION("IF(B665="""","""",
  100*E665 / MAX(FILTER($E:$E, $A:$A=$A665, $B:$B=$B665))
)
"),12.105263157894736)</f>
        <v>12.10526316</v>
      </c>
      <c r="K665" s="1">
        <f t="shared" si="3"/>
        <v>8.183686829</v>
      </c>
    </row>
    <row r="666">
      <c r="A666" s="3">
        <f>IFERROR(__xludf.DUMMYFUNCTION("""COMPUTED_VALUE"""),45962.0)</f>
        <v>45962</v>
      </c>
      <c r="B666" s="1" t="str">
        <f>IFERROR(__xludf.DUMMYFUNCTION("""COMPUTED_VALUE"""),"DPMall")</f>
        <v>DPMall</v>
      </c>
      <c r="C666" s="1" t="str">
        <f>IFERROR(__xludf.DUMMYFUNCTION("""COMPUTED_VALUE"""),"Laviva")</f>
        <v>Laviva</v>
      </c>
      <c r="D666" s="1">
        <f>IFERROR(__xludf.DUMMYFUNCTION("""COMPUTED_VALUE"""),81.0)</f>
        <v>81</v>
      </c>
      <c r="E666" s="1">
        <f>IFERROR(__xludf.DUMMYFUNCTION("""COMPUTED_VALUE"""),81.0)</f>
        <v>81</v>
      </c>
      <c r="F666" s="1">
        <f>IFERROR(__xludf.DUMMYFUNCTION("""COMPUTED_VALUE"""),27.0)</f>
        <v>27</v>
      </c>
      <c r="G666" s="1">
        <f t="shared" si="1"/>
        <v>3</v>
      </c>
      <c r="H666" s="1">
        <f t="shared" si="2"/>
        <v>3</v>
      </c>
      <c r="I666" s="1">
        <f>IFERROR(__xludf.DUMMYFUNCTION("IF(B666="""","""",
  100*F666 / MAX(FILTER($F:$F, $A:$A=$A666, $B:$B=$B666))
)
"),6.7164179104477615)</f>
        <v>6.71641791</v>
      </c>
      <c r="J666" s="1">
        <f>IFERROR(__xludf.DUMMYFUNCTION("IF(B666="""","""",
  100*E666 / MAX(FILTER($E:$E, $A:$A=$A666, $B:$B=$B666))
)
"),14.210526315789474)</f>
        <v>14.21052632</v>
      </c>
      <c r="K666" s="1">
        <f t="shared" si="3"/>
        <v>10.08876669</v>
      </c>
    </row>
    <row r="667">
      <c r="A667" s="3">
        <f>IFERROR(__xludf.DUMMYFUNCTION("""COMPUTED_VALUE"""),45962.0)</f>
        <v>45962</v>
      </c>
      <c r="B667" s="1" t="str">
        <f>IFERROR(__xludf.DUMMYFUNCTION("""COMPUTED_VALUE"""),"DPMall")</f>
        <v>DPMall</v>
      </c>
      <c r="C667" s="1" t="str">
        <f>IFERROR(__xludf.DUMMYFUNCTION("""COMPUTED_VALUE"""),"Maltesers")</f>
        <v>Maltesers</v>
      </c>
      <c r="D667" s="1">
        <f>IFERROR(__xludf.DUMMYFUNCTION("""COMPUTED_VALUE"""),105.0)</f>
        <v>105</v>
      </c>
      <c r="E667" s="1">
        <f>IFERROR(__xludf.DUMMYFUNCTION("""COMPUTED_VALUE"""),105.0)</f>
        <v>105</v>
      </c>
      <c r="F667" s="1">
        <f>IFERROR(__xludf.DUMMYFUNCTION("""COMPUTED_VALUE"""),19.0)</f>
        <v>19</v>
      </c>
      <c r="G667" s="1">
        <f t="shared" si="1"/>
        <v>5.526315789</v>
      </c>
      <c r="H667" s="1">
        <f t="shared" si="2"/>
        <v>5.526315789</v>
      </c>
      <c r="I667" s="1">
        <f>IFERROR(__xludf.DUMMYFUNCTION("IF(B667="""","""",
  100*F667 / MAX(FILTER($F:$F, $A:$A=$A667, $B:$B=$B667))
)
"),4.72636815920398)</f>
        <v>4.726368159</v>
      </c>
      <c r="J667" s="1">
        <f>IFERROR(__xludf.DUMMYFUNCTION("IF(B667="""","""",
  100*E667 / MAX(FILTER($E:$E, $A:$A=$A667, $B:$B=$B667))
)
"),18.42105263157895)</f>
        <v>18.42105263</v>
      </c>
      <c r="K667" s="1">
        <f t="shared" si="3"/>
        <v>10.88897617</v>
      </c>
    </row>
    <row r="668">
      <c r="A668" s="3">
        <f>IFERROR(__xludf.DUMMYFUNCTION("""COMPUTED_VALUE"""),45962.0)</f>
        <v>45962</v>
      </c>
      <c r="B668" s="1" t="str">
        <f>IFERROR(__xludf.DUMMYFUNCTION("""COMPUTED_VALUE"""),"DPMall")</f>
        <v>DPMall</v>
      </c>
      <c r="C668" s="1" t="str">
        <f>IFERROR(__xludf.DUMMYFUNCTION("""COMPUTED_VALUE"""),"Marshmellow sweetBag")</f>
        <v>Marshmellow sweetBag</v>
      </c>
      <c r="D668" s="1">
        <f>IFERROR(__xludf.DUMMYFUNCTION("""COMPUTED_VALUE"""),135.0)</f>
        <v>135</v>
      </c>
      <c r="E668" s="1">
        <f>IFERROR(__xludf.DUMMYFUNCTION("""COMPUTED_VALUE"""),135.0)</f>
        <v>135</v>
      </c>
      <c r="F668" s="1">
        <f>IFERROR(__xludf.DUMMYFUNCTION("""COMPUTED_VALUE"""),45.0)</f>
        <v>45</v>
      </c>
      <c r="G668" s="1">
        <f t="shared" si="1"/>
        <v>3</v>
      </c>
      <c r="H668" s="1">
        <f t="shared" si="2"/>
        <v>3</v>
      </c>
      <c r="I668" s="1">
        <f>IFERROR(__xludf.DUMMYFUNCTION("IF(B668="""","""",
  100*F668 / MAX(FILTER($F:$F, $A:$A=$A668, $B:$B=$B668))
)
"),11.194029850746269)</f>
        <v>11.19402985</v>
      </c>
      <c r="J668" s="1">
        <f>IFERROR(__xludf.DUMMYFUNCTION("IF(B668="""","""",
  100*E668 / MAX(FILTER($E:$E, $A:$A=$A668, $B:$B=$B668))
)
"),23.68421052631579)</f>
        <v>23.68421053</v>
      </c>
      <c r="K668" s="1">
        <f t="shared" si="3"/>
        <v>16.81461115</v>
      </c>
    </row>
    <row r="669">
      <c r="A669" s="3">
        <f>IFERROR(__xludf.DUMMYFUNCTION("""COMPUTED_VALUE"""),45962.0)</f>
        <v>45962</v>
      </c>
      <c r="B669" s="1" t="str">
        <f>IFERROR(__xludf.DUMMYFUNCTION("""COMPUTED_VALUE"""),"DPMall")</f>
        <v>DPMall</v>
      </c>
      <c r="C669" s="1" t="str">
        <f>IFERROR(__xludf.DUMMYFUNCTION("""COMPUTED_VALUE"""),"Mirinda")</f>
        <v>Mirinda</v>
      </c>
      <c r="D669" s="1">
        <f>IFERROR(__xludf.DUMMYFUNCTION("""COMPUTED_VALUE"""),15.0)</f>
        <v>15</v>
      </c>
      <c r="E669" s="1">
        <f>IFERROR(__xludf.DUMMYFUNCTION("""COMPUTED_VALUE"""),15.0)</f>
        <v>15</v>
      </c>
      <c r="F669" s="1">
        <f>IFERROR(__xludf.DUMMYFUNCTION("""COMPUTED_VALUE"""),5.0)</f>
        <v>5</v>
      </c>
      <c r="G669" s="1">
        <f t="shared" si="1"/>
        <v>3</v>
      </c>
      <c r="H669" s="1">
        <f t="shared" si="2"/>
        <v>3</v>
      </c>
      <c r="I669" s="1">
        <f>IFERROR(__xludf.DUMMYFUNCTION("IF(B669="""","""",
  100*F669 / MAX(FILTER($F:$F, $A:$A=$A669, $B:$B=$B669))
)
"),1.243781094527363)</f>
        <v>1.243781095</v>
      </c>
      <c r="J669" s="1">
        <f>IFERROR(__xludf.DUMMYFUNCTION("IF(B669="""","""",
  100*E669 / MAX(FILTER($E:$E, $A:$A=$A669, $B:$B=$B669))
)
"),2.6315789473684212)</f>
        <v>2.631578947</v>
      </c>
      <c r="K669" s="1">
        <f t="shared" si="3"/>
        <v>1.868290128</v>
      </c>
    </row>
    <row r="670">
      <c r="A670" s="3">
        <f>IFERROR(__xludf.DUMMYFUNCTION("""COMPUTED_VALUE"""),45962.0)</f>
        <v>45962</v>
      </c>
      <c r="B670" s="1" t="str">
        <f>IFERROR(__xludf.DUMMYFUNCTION("""COMPUTED_VALUE"""),"DPMall")</f>
        <v>DPMall</v>
      </c>
      <c r="C670" s="1" t="str">
        <f>IFERROR(__xludf.DUMMYFUNCTION("""COMPUTED_VALUE"""),"Mr Crunch")</f>
        <v>Mr Crunch</v>
      </c>
      <c r="D670" s="1">
        <f>IFERROR(__xludf.DUMMYFUNCTION("""COMPUTED_VALUE"""),45.0)</f>
        <v>45</v>
      </c>
      <c r="E670" s="1">
        <f>IFERROR(__xludf.DUMMYFUNCTION("""COMPUTED_VALUE"""),45.0)</f>
        <v>45</v>
      </c>
      <c r="F670" s="1">
        <f>IFERROR(__xludf.DUMMYFUNCTION("""COMPUTED_VALUE"""),10.0)</f>
        <v>10</v>
      </c>
      <c r="G670" s="1">
        <f t="shared" si="1"/>
        <v>4.5</v>
      </c>
      <c r="H670" s="1">
        <f t="shared" si="2"/>
        <v>4.5</v>
      </c>
      <c r="I670" s="1">
        <f>IFERROR(__xludf.DUMMYFUNCTION("IF(B670="""","""",
  100*F670 / MAX(FILTER($F:$F, $A:$A=$A670, $B:$B=$B670))
)
"),2.487562189054726)</f>
        <v>2.487562189</v>
      </c>
      <c r="J670" s="1">
        <f>IFERROR(__xludf.DUMMYFUNCTION("IF(B670="""","""",
  100*E670 / MAX(FILTER($E:$E, $A:$A=$A670, $B:$B=$B670))
)
"),7.894736842105263)</f>
        <v>7.894736842</v>
      </c>
      <c r="K670" s="1">
        <f t="shared" si="3"/>
        <v>4.920790783</v>
      </c>
    </row>
    <row r="671">
      <c r="A671" s="3">
        <f>IFERROR(__xludf.DUMMYFUNCTION("""COMPUTED_VALUE"""),45962.0)</f>
        <v>45962</v>
      </c>
      <c r="B671" s="1" t="str">
        <f>IFERROR(__xludf.DUMMYFUNCTION("""COMPUTED_VALUE"""),"DPMall")</f>
        <v>DPMall</v>
      </c>
      <c r="C671" s="1" t="str">
        <f>IFERROR(__xludf.DUMMYFUNCTION("""COMPUTED_VALUE"""),"Mr Crunch cheez top")</f>
        <v>Mr Crunch cheez top</v>
      </c>
      <c r="D671" s="1">
        <f>IFERROR(__xludf.DUMMYFUNCTION("""COMPUTED_VALUE"""),186.0)</f>
        <v>186</v>
      </c>
      <c r="E671" s="1">
        <f>IFERROR(__xludf.DUMMYFUNCTION("""COMPUTED_VALUE"""),186.0)</f>
        <v>186</v>
      </c>
      <c r="F671" s="1">
        <f>IFERROR(__xludf.DUMMYFUNCTION("""COMPUTED_VALUE"""),40.0)</f>
        <v>40</v>
      </c>
      <c r="G671" s="1">
        <f t="shared" si="1"/>
        <v>4.65</v>
      </c>
      <c r="H671" s="1">
        <f t="shared" si="2"/>
        <v>4.65</v>
      </c>
      <c r="I671" s="1">
        <f>IFERROR(__xludf.DUMMYFUNCTION("IF(B671="""","""",
  100*F671 / MAX(FILTER($F:$F, $A:$A=$A671, $B:$B=$B671))
)
"),9.950248756218905)</f>
        <v>9.950248756</v>
      </c>
      <c r="J671" s="1">
        <f>IFERROR(__xludf.DUMMYFUNCTION("IF(B671="""","""",
  100*E671 / MAX(FILTER($E:$E, $A:$A=$A671, $B:$B=$B671))
)
"),32.63157894736842)</f>
        <v>32.63157895</v>
      </c>
      <c r="K671" s="1">
        <f t="shared" si="3"/>
        <v>20.15684734</v>
      </c>
    </row>
    <row r="672">
      <c r="A672" s="3">
        <f>IFERROR(__xludf.DUMMYFUNCTION("""COMPUTED_VALUE"""),45962.0)</f>
        <v>45962</v>
      </c>
      <c r="B672" s="1" t="str">
        <f>IFERROR(__xludf.DUMMYFUNCTION("""COMPUTED_VALUE"""),"DPMall")</f>
        <v>DPMall</v>
      </c>
      <c r="C672" s="1" t="str">
        <f>IFERROR(__xludf.DUMMYFUNCTION("""COMPUTED_VALUE"""),"Mr Crunch normal")</f>
        <v>Mr Crunch normal</v>
      </c>
      <c r="D672" s="1">
        <f>IFERROR(__xludf.DUMMYFUNCTION("""COMPUTED_VALUE"""),128.0)</f>
        <v>128</v>
      </c>
      <c r="E672" s="1">
        <f>IFERROR(__xludf.DUMMYFUNCTION("""COMPUTED_VALUE"""),128.0)</f>
        <v>128</v>
      </c>
      <c r="F672" s="1">
        <f>IFERROR(__xludf.DUMMYFUNCTION("""COMPUTED_VALUE"""),30.0)</f>
        <v>30</v>
      </c>
      <c r="G672" s="1">
        <f t="shared" si="1"/>
        <v>4.266666667</v>
      </c>
      <c r="H672" s="1">
        <f t="shared" si="2"/>
        <v>4.266666667</v>
      </c>
      <c r="I672" s="1">
        <f>IFERROR(__xludf.DUMMYFUNCTION("IF(B672="""","""",
  100*F672 / MAX(FILTER($F:$F, $A:$A=$A672, $B:$B=$B672))
)
"),7.462686567164179)</f>
        <v>7.462686567</v>
      </c>
      <c r="J672" s="1">
        <f>IFERROR(__xludf.DUMMYFUNCTION("IF(B672="""","""",
  100*E672 / MAX(FILTER($E:$E, $A:$A=$A672, $B:$B=$B672))
)
"),22.45614035087719)</f>
        <v>22.45614035</v>
      </c>
      <c r="K672" s="1">
        <f t="shared" si="3"/>
        <v>14.20974077</v>
      </c>
    </row>
    <row r="673">
      <c r="A673" s="3">
        <f>IFERROR(__xludf.DUMMYFUNCTION("""COMPUTED_VALUE"""),45962.0)</f>
        <v>45962</v>
      </c>
      <c r="B673" s="1" t="str">
        <f>IFERROR(__xludf.DUMMYFUNCTION("""COMPUTED_VALUE"""),"DPMall")</f>
        <v>DPMall</v>
      </c>
      <c r="C673" s="1" t="str">
        <f>IFERROR(__xludf.DUMMYFUNCTION("""COMPUTED_VALUE"""),"Pepsi")</f>
        <v>Pepsi</v>
      </c>
      <c r="D673" s="1">
        <f>IFERROR(__xludf.DUMMYFUNCTION("""COMPUTED_VALUE"""),129.0)</f>
        <v>129</v>
      </c>
      <c r="E673" s="1">
        <f>IFERROR(__xludf.DUMMYFUNCTION("""COMPUTED_VALUE"""),129.0)</f>
        <v>129</v>
      </c>
      <c r="F673" s="1">
        <f>IFERROR(__xludf.DUMMYFUNCTION("""COMPUTED_VALUE"""),43.0)</f>
        <v>43</v>
      </c>
      <c r="G673" s="1">
        <f t="shared" si="1"/>
        <v>3</v>
      </c>
      <c r="H673" s="1">
        <f t="shared" si="2"/>
        <v>3</v>
      </c>
      <c r="I673" s="1">
        <f>IFERROR(__xludf.DUMMYFUNCTION("IF(B673="""","""",
  100*F673 / MAX(FILTER($F:$F, $A:$A=$A673, $B:$B=$B673))
)
"),10.696517412935323)</f>
        <v>10.69651741</v>
      </c>
      <c r="J673" s="1">
        <f>IFERROR(__xludf.DUMMYFUNCTION("IF(B673="""","""",
  100*E673 / MAX(FILTER($E:$E, $A:$A=$A673, $B:$B=$B673))
)
"),22.63157894736842)</f>
        <v>22.63157895</v>
      </c>
      <c r="K673" s="1">
        <f t="shared" si="3"/>
        <v>16.0672951</v>
      </c>
    </row>
    <row r="674">
      <c r="A674" s="3">
        <f>IFERROR(__xludf.DUMMYFUNCTION("""COMPUTED_VALUE"""),45962.0)</f>
        <v>45962</v>
      </c>
      <c r="B674" s="1" t="str">
        <f>IFERROR(__xludf.DUMMYFUNCTION("""COMPUTED_VALUE"""),"DPMall")</f>
        <v>DPMall</v>
      </c>
      <c r="C674" s="1" t="str">
        <f>IFERROR(__xludf.DUMMYFUNCTION("""COMPUTED_VALUE"""),"Tiger *12")</f>
        <v>Tiger *12</v>
      </c>
      <c r="D674" s="1">
        <f>IFERROR(__xludf.DUMMYFUNCTION("""COMPUTED_VALUE"""),493.0)</f>
        <v>493</v>
      </c>
      <c r="E674" s="1">
        <f>IFERROR(__xludf.DUMMYFUNCTION("""COMPUTED_VALUE"""),493.0)</f>
        <v>493</v>
      </c>
      <c r="F674" s="1">
        <f>IFERROR(__xludf.DUMMYFUNCTION("""COMPUTED_VALUE"""),97.0)</f>
        <v>97</v>
      </c>
      <c r="G674" s="1">
        <f t="shared" si="1"/>
        <v>5.082474227</v>
      </c>
      <c r="H674" s="1">
        <f t="shared" si="2"/>
        <v>5.082474227</v>
      </c>
      <c r="I674" s="1">
        <f>IFERROR(__xludf.DUMMYFUNCTION("IF(B674="""","""",
  100*F674 / MAX(FILTER($F:$F, $A:$A=$A674, $B:$B=$B674))
)
"),24.129353233830845)</f>
        <v>24.12935323</v>
      </c>
      <c r="J674" s="1">
        <f>IFERROR(__xludf.DUMMYFUNCTION("IF(B674="""","""",
  100*E674 / MAX(FILTER($E:$E, $A:$A=$A674, $B:$B=$B674))
)
"),86.49122807017544)</f>
        <v>86.49122807</v>
      </c>
      <c r="K674" s="1">
        <f t="shared" si="3"/>
        <v>52.19219691</v>
      </c>
    </row>
    <row r="675">
      <c r="A675" s="3">
        <f>IFERROR(__xludf.DUMMYFUNCTION("""COMPUTED_VALUE"""),45962.0)</f>
        <v>45962</v>
      </c>
      <c r="B675" s="1" t="str">
        <f>IFERROR(__xludf.DUMMYFUNCTION("""COMPUTED_VALUE"""),"DPMall")</f>
        <v>DPMall</v>
      </c>
      <c r="C675" s="1" t="str">
        <f>IFERROR(__xludf.DUMMYFUNCTION("""COMPUTED_VALUE"""),"Wafe up extra")</f>
        <v>Wafe up extra</v>
      </c>
      <c r="D675" s="1">
        <f>IFERROR(__xludf.DUMMYFUNCTION("""COMPUTED_VALUE"""),131.0)</f>
        <v>131</v>
      </c>
      <c r="E675" s="1">
        <f>IFERROR(__xludf.DUMMYFUNCTION("""COMPUTED_VALUE"""),131.0)</f>
        <v>131</v>
      </c>
      <c r="F675" s="1">
        <f>IFERROR(__xludf.DUMMYFUNCTION("""COMPUTED_VALUE"""),32.0)</f>
        <v>32</v>
      </c>
      <c r="G675" s="1">
        <f t="shared" si="1"/>
        <v>4.09375</v>
      </c>
      <c r="H675" s="1">
        <f t="shared" si="2"/>
        <v>4.09375</v>
      </c>
      <c r="I675" s="1">
        <f>IFERROR(__xludf.DUMMYFUNCTION("IF(B675="""","""",
  100*F675 / MAX(FILTER($F:$F, $A:$A=$A675, $B:$B=$B675))
)
"),7.960199004975125)</f>
        <v>7.960199005</v>
      </c>
      <c r="J675" s="1">
        <f>IFERROR(__xludf.DUMMYFUNCTION("IF(B675="""","""",
  100*E675 / MAX(FILTER($E:$E, $A:$A=$A675, $B:$B=$B675))
)
"),22.982456140350877)</f>
        <v>22.98245614</v>
      </c>
      <c r="K675" s="1">
        <f t="shared" si="3"/>
        <v>14.72021472</v>
      </c>
    </row>
    <row r="676">
      <c r="A676" s="3">
        <f>IFERROR(__xludf.DUMMYFUNCTION("""COMPUTED_VALUE"""),45962.0)</f>
        <v>45962</v>
      </c>
      <c r="B676" s="1" t="str">
        <f>IFERROR(__xludf.DUMMYFUNCTION("""COMPUTED_VALUE"""),"DPMall")</f>
        <v>DPMall</v>
      </c>
      <c r="C676" s="1" t="str">
        <f>IFERROR(__xludf.DUMMYFUNCTION("""COMPUTED_VALUE"""),"Water")</f>
        <v>Water</v>
      </c>
      <c r="D676" s="1">
        <f>IFERROR(__xludf.DUMMYFUNCTION("""COMPUTED_VALUE"""),402.0)</f>
        <v>402</v>
      </c>
      <c r="E676" s="1">
        <f>IFERROR(__xludf.DUMMYFUNCTION("""COMPUTED_VALUE"""),402.0)</f>
        <v>402</v>
      </c>
      <c r="F676" s="1">
        <f>IFERROR(__xludf.DUMMYFUNCTION("""COMPUTED_VALUE"""),402.0)</f>
        <v>402</v>
      </c>
      <c r="G676" s="1">
        <f t="shared" si="1"/>
        <v>1</v>
      </c>
      <c r="H676" s="1">
        <f t="shared" si="2"/>
        <v>1</v>
      </c>
      <c r="I676" s="1">
        <f>IFERROR(__xludf.DUMMYFUNCTION("IF(B676="""","""",
  100*F676 / MAX(FILTER($F:$F, $A:$A=$A676, $B:$B=$B676))
)
"),100.0)</f>
        <v>100</v>
      </c>
      <c r="J676" s="1">
        <f>IFERROR(__xludf.DUMMYFUNCTION("IF(B676="""","""",
  100*E676 / MAX(FILTER($E:$E, $A:$A=$A676, $B:$B=$B676))
)
"),70.52631578947368)</f>
        <v>70.52631579</v>
      </c>
      <c r="K676" s="1">
        <f t="shared" si="3"/>
        <v>86.73684211</v>
      </c>
    </row>
    <row r="677">
      <c r="A677" s="3">
        <f>IFERROR(__xludf.DUMMYFUNCTION("""COMPUTED_VALUE"""),45962.0)</f>
        <v>45962</v>
      </c>
      <c r="B677" s="1" t="str">
        <f>IFERROR(__xludf.DUMMYFUNCTION("""COMPUTED_VALUE"""),"DPMall")</f>
        <v>DPMall</v>
      </c>
      <c r="C677" s="1" t="str">
        <f>IFERROR(__xludf.DUMMYFUNCTION("""COMPUTED_VALUE"""),"X!R")</f>
        <v>X!R</v>
      </c>
      <c r="D677" s="1">
        <f>IFERROR(__xludf.DUMMYFUNCTION("""COMPUTED_VALUE"""),570.0)</f>
        <v>570</v>
      </c>
      <c r="E677" s="1">
        <f>IFERROR(__xludf.DUMMYFUNCTION("""COMPUTED_VALUE"""),570.0)</f>
        <v>570</v>
      </c>
      <c r="F677" s="1">
        <f>IFERROR(__xludf.DUMMYFUNCTION("""COMPUTED_VALUE"""),114.0)</f>
        <v>114</v>
      </c>
      <c r="G677" s="1">
        <f t="shared" si="1"/>
        <v>5</v>
      </c>
      <c r="H677" s="1">
        <f t="shared" si="2"/>
        <v>5</v>
      </c>
      <c r="I677" s="1">
        <f>IFERROR(__xludf.DUMMYFUNCTION("IF(B677="""","""",
  100*F677 / MAX(FILTER($F:$F, $A:$A=$A677, $B:$B=$B677))
)
"),28.35820895522388)</f>
        <v>28.35820896</v>
      </c>
      <c r="J677" s="1">
        <f>IFERROR(__xludf.DUMMYFUNCTION("IF(B677="""","""",
  100*E677 / MAX(FILTER($E:$E, $A:$A=$A677, $B:$B=$B677))
)
"),100.0)</f>
        <v>100</v>
      </c>
      <c r="K677" s="1">
        <f t="shared" si="3"/>
        <v>60.59701493</v>
      </c>
    </row>
    <row r="678">
      <c r="A678" s="3">
        <f>IFERROR(__xludf.DUMMYFUNCTION("""COMPUTED_VALUE"""),45962.0)</f>
        <v>45962</v>
      </c>
      <c r="B678" s="1" t="str">
        <f>IFERROR(__xludf.DUMMYFUNCTION("""COMPUTED_VALUE"""),"DPMall")</f>
        <v>DPMall</v>
      </c>
      <c r="C678" s="1" t="str">
        <f>IFERROR(__xludf.DUMMYFUNCTION("""COMPUTED_VALUE"""),"bonart sour")</f>
        <v>bonart sour</v>
      </c>
      <c r="D678" s="1">
        <f>IFERROR(__xludf.DUMMYFUNCTION("""COMPUTED_VALUE"""),55.0)</f>
        <v>55</v>
      </c>
      <c r="E678" s="1">
        <f>IFERROR(__xludf.DUMMYFUNCTION("""COMPUTED_VALUE"""),55.0)</f>
        <v>55</v>
      </c>
      <c r="F678" s="1">
        <f>IFERROR(__xludf.DUMMYFUNCTION("""COMPUTED_VALUE"""),13.0)</f>
        <v>13</v>
      </c>
      <c r="G678" s="1">
        <f t="shared" si="1"/>
        <v>4.230769231</v>
      </c>
      <c r="H678" s="1">
        <f t="shared" si="2"/>
        <v>4.230769231</v>
      </c>
      <c r="I678" s="1">
        <f>IFERROR(__xludf.DUMMYFUNCTION("IF(B678="""","""",
  100*F678 / MAX(FILTER($F:$F, $A:$A=$A678, $B:$B=$B678))
)
"),3.2338308457711444)</f>
        <v>3.233830846</v>
      </c>
      <c r="J678" s="1">
        <f>IFERROR(__xludf.DUMMYFUNCTION("IF(B678="""","""",
  100*E678 / MAX(FILTER($E:$E, $A:$A=$A678, $B:$B=$B678))
)
"),9.649122807017545)</f>
        <v>9.649122807</v>
      </c>
      <c r="K678" s="1">
        <f t="shared" si="3"/>
        <v>6.120712228</v>
      </c>
    </row>
    <row r="679">
      <c r="A679" s="3">
        <f>IFERROR(__xludf.DUMMYFUNCTION("""COMPUTED_VALUE"""),45962.0)</f>
        <v>45962</v>
      </c>
      <c r="B679" s="1" t="str">
        <f>IFERROR(__xludf.DUMMYFUNCTION("""COMPUTED_VALUE"""),"DPMall")</f>
        <v>DPMall</v>
      </c>
      <c r="C679" s="1" t="str">
        <f>IFERROR(__xludf.DUMMYFUNCTION("""COMPUTED_VALUE"""),"bueno 1 stick")</f>
        <v>bueno 1 stick</v>
      </c>
      <c r="D679" s="1">
        <f>IFERROR(__xludf.DUMMYFUNCTION("""COMPUTED_VALUE"""),24.0)</f>
        <v>24</v>
      </c>
      <c r="E679" s="1">
        <f>IFERROR(__xludf.DUMMYFUNCTION("""COMPUTED_VALUE"""),24.0)</f>
        <v>24</v>
      </c>
      <c r="F679" s="1">
        <f>IFERROR(__xludf.DUMMYFUNCTION("""COMPUTED_VALUE"""),6.0)</f>
        <v>6</v>
      </c>
      <c r="G679" s="1">
        <f t="shared" si="1"/>
        <v>4</v>
      </c>
      <c r="H679" s="1">
        <f t="shared" si="2"/>
        <v>4</v>
      </c>
      <c r="I679" s="1">
        <f>IFERROR(__xludf.DUMMYFUNCTION("IF(B679="""","""",
  100*F679 / MAX(FILTER($F:$F, $A:$A=$A679, $B:$B=$B679))
)
"),1.492537313432836)</f>
        <v>1.492537313</v>
      </c>
      <c r="J679" s="1">
        <f>IFERROR(__xludf.DUMMYFUNCTION("IF(B679="""","""",
  100*E679 / MAX(FILTER($E:$E, $A:$A=$A679, $B:$B=$B679))
)
"),4.2105263157894735)</f>
        <v>4.210526316</v>
      </c>
      <c r="K679" s="1">
        <f t="shared" si="3"/>
        <v>2.715632364</v>
      </c>
    </row>
    <row r="680">
      <c r="A680" s="3">
        <f>IFERROR(__xludf.DUMMYFUNCTION("""COMPUTED_VALUE"""),45962.0)</f>
        <v>45962</v>
      </c>
      <c r="B680" s="1" t="str">
        <f>IFERROR(__xludf.DUMMYFUNCTION("""COMPUTED_VALUE"""),"DPMall")</f>
        <v>DPMall</v>
      </c>
      <c r="C680" s="1" t="str">
        <f>IFERROR(__xludf.DUMMYFUNCTION("""COMPUTED_VALUE"""),"helo kitty")</f>
        <v>helo kitty</v>
      </c>
      <c r="D680" s="1">
        <f>IFERROR(__xludf.DUMMYFUNCTION("""COMPUTED_VALUE"""),39.0)</f>
        <v>39</v>
      </c>
      <c r="E680" s="1">
        <f>IFERROR(__xludf.DUMMYFUNCTION("""COMPUTED_VALUE"""),39.0)</f>
        <v>39</v>
      </c>
      <c r="F680" s="1">
        <f>IFERROR(__xludf.DUMMYFUNCTION("""COMPUTED_VALUE"""),13.0)</f>
        <v>13</v>
      </c>
      <c r="G680" s="1">
        <f t="shared" si="1"/>
        <v>3</v>
      </c>
      <c r="H680" s="1">
        <f t="shared" si="2"/>
        <v>3</v>
      </c>
      <c r="I680" s="1">
        <f>IFERROR(__xludf.DUMMYFUNCTION("IF(B680="""","""",
  100*F680 / MAX(FILTER($F:$F, $A:$A=$A680, $B:$B=$B680))
)
"),3.2338308457711444)</f>
        <v>3.233830846</v>
      </c>
      <c r="J680" s="1">
        <f>IFERROR(__xludf.DUMMYFUNCTION("IF(B680="""","""",
  100*E680 / MAX(FILTER($E:$E, $A:$A=$A680, $B:$B=$B680))
)
"),6.842105263157895)</f>
        <v>6.842105263</v>
      </c>
      <c r="K680" s="1">
        <f t="shared" si="3"/>
        <v>4.857554334</v>
      </c>
    </row>
    <row r="681">
      <c r="A681" s="3">
        <f>IFERROR(__xludf.DUMMYFUNCTION("""COMPUTED_VALUE"""),45962.0)</f>
        <v>45962</v>
      </c>
      <c r="B681" s="1" t="str">
        <f>IFERROR(__xludf.DUMMYFUNCTION("""COMPUTED_VALUE"""),"DPMall")</f>
        <v>DPMall</v>
      </c>
      <c r="C681" s="1" t="str">
        <f>IFERROR(__xludf.DUMMYFUNCTION("""COMPUTED_VALUE"""),"ifrui juice")</f>
        <v>ifrui juice</v>
      </c>
      <c r="D681" s="1">
        <f>IFERROR(__xludf.DUMMYFUNCTION("""COMPUTED_VALUE"""),39.0)</f>
        <v>39</v>
      </c>
      <c r="E681" s="1">
        <f>IFERROR(__xludf.DUMMYFUNCTION("""COMPUTED_VALUE"""),39.0)</f>
        <v>39</v>
      </c>
      <c r="F681" s="1">
        <f>IFERROR(__xludf.DUMMYFUNCTION("""COMPUTED_VALUE"""),13.0)</f>
        <v>13</v>
      </c>
      <c r="G681" s="1">
        <f t="shared" si="1"/>
        <v>3</v>
      </c>
      <c r="H681" s="1">
        <f t="shared" si="2"/>
        <v>3</v>
      </c>
      <c r="I681" s="1">
        <f>IFERROR(__xludf.DUMMYFUNCTION("IF(B681="""","""",
  100*F681 / MAX(FILTER($F:$F, $A:$A=$A681, $B:$B=$B681))
)
"),3.2338308457711444)</f>
        <v>3.233830846</v>
      </c>
      <c r="J681" s="1">
        <f>IFERROR(__xludf.DUMMYFUNCTION("IF(B681="""","""",
  100*E681 / MAX(FILTER($E:$E, $A:$A=$A681, $B:$B=$B681))
)
"),6.842105263157895)</f>
        <v>6.842105263</v>
      </c>
      <c r="K681" s="1">
        <f t="shared" si="3"/>
        <v>4.857554334</v>
      </c>
    </row>
    <row r="682">
      <c r="A682" s="3">
        <f>IFERROR(__xludf.DUMMYFUNCTION("""COMPUTED_VALUE"""),45962.0)</f>
        <v>45962</v>
      </c>
      <c r="B682" s="1" t="str">
        <f>IFERROR(__xludf.DUMMYFUNCTION("""COMPUTED_VALUE"""),"DPMall")</f>
        <v>DPMall</v>
      </c>
      <c r="C682" s="1" t="str">
        <f>IFERROR(__xludf.DUMMYFUNCTION("""COMPUTED_VALUE"""),"kinder bueno")</f>
        <v>kinder bueno</v>
      </c>
      <c r="D682" s="1">
        <f>IFERROR(__xludf.DUMMYFUNCTION("""COMPUTED_VALUE"""),66.0)</f>
        <v>66</v>
      </c>
      <c r="E682" s="1">
        <f>IFERROR(__xludf.DUMMYFUNCTION("""COMPUTED_VALUE"""),66.0)</f>
        <v>66</v>
      </c>
      <c r="F682" s="1">
        <f>IFERROR(__xludf.DUMMYFUNCTION("""COMPUTED_VALUE"""),11.0)</f>
        <v>11</v>
      </c>
      <c r="G682" s="1">
        <f t="shared" si="1"/>
        <v>6</v>
      </c>
      <c r="H682" s="1">
        <f t="shared" si="2"/>
        <v>6</v>
      </c>
      <c r="I682" s="1">
        <f>IFERROR(__xludf.DUMMYFUNCTION("IF(B682="""","""",
  100*F682 / MAX(FILTER($F:$F, $A:$A=$A682, $B:$B=$B682))
)
"),2.736318407960199)</f>
        <v>2.736318408</v>
      </c>
      <c r="J682" s="1">
        <f>IFERROR(__xludf.DUMMYFUNCTION("IF(B682="""","""",
  100*E682 / MAX(FILTER($E:$E, $A:$A=$A682, $B:$B=$B682))
)
"),11.578947368421053)</f>
        <v>11.57894737</v>
      </c>
      <c r="K682" s="1">
        <f t="shared" si="3"/>
        <v>6.71550144</v>
      </c>
    </row>
    <row r="683">
      <c r="A683" s="3">
        <f>IFERROR(__xludf.DUMMYFUNCTION("""COMPUTED_VALUE"""),45962.0)</f>
        <v>45962</v>
      </c>
      <c r="B683" s="1" t="str">
        <f>IFERROR(__xludf.DUMMYFUNCTION("""COMPUTED_VALUE"""),"DPMall")</f>
        <v>DPMall</v>
      </c>
      <c r="C683" s="1" t="str">
        <f>IFERROR(__xludf.DUMMYFUNCTION("""COMPUTED_VALUE"""),"kinza")</f>
        <v>kinza</v>
      </c>
      <c r="D683" s="1">
        <f>IFERROR(__xludf.DUMMYFUNCTION("""COMPUTED_VALUE"""),120.0)</f>
        <v>120</v>
      </c>
      <c r="E683" s="1">
        <f>IFERROR(__xludf.DUMMYFUNCTION("""COMPUTED_VALUE"""),120.0)</f>
        <v>120</v>
      </c>
      <c r="F683" s="1">
        <f>IFERROR(__xludf.DUMMYFUNCTION("""COMPUTED_VALUE"""),40.0)</f>
        <v>40</v>
      </c>
      <c r="G683" s="1">
        <f t="shared" si="1"/>
        <v>3</v>
      </c>
      <c r="H683" s="1">
        <f t="shared" si="2"/>
        <v>3</v>
      </c>
      <c r="I683" s="1">
        <f>IFERROR(__xludf.DUMMYFUNCTION("IF(B683="""","""",
  100*F683 / MAX(FILTER($F:$F, $A:$A=$A683, $B:$B=$B683))
)
"),9.950248756218905)</f>
        <v>9.950248756</v>
      </c>
      <c r="J683" s="1">
        <f>IFERROR(__xludf.DUMMYFUNCTION("IF(B683="""","""",
  100*E683 / MAX(FILTER($E:$E, $A:$A=$A683, $B:$B=$B683))
)
"),21.05263157894737)</f>
        <v>21.05263158</v>
      </c>
      <c r="K683" s="1">
        <f t="shared" si="3"/>
        <v>14.94632103</v>
      </c>
    </row>
    <row r="684">
      <c r="A684" s="3">
        <f>IFERROR(__xludf.DUMMYFUNCTION("""COMPUTED_VALUE"""),45962.0)</f>
        <v>45962</v>
      </c>
      <c r="B684" s="1" t="str">
        <f>IFERROR(__xludf.DUMMYFUNCTION("""COMPUTED_VALUE"""),"DPMall")</f>
        <v>DPMall</v>
      </c>
      <c r="C684" s="1" t="str">
        <f>IFERROR(__xludf.DUMMYFUNCTION("""COMPUTED_VALUE"""),"kitkat")</f>
        <v>kitkat</v>
      </c>
      <c r="D684" s="1">
        <f>IFERROR(__xludf.DUMMYFUNCTION("""COMPUTED_VALUE"""),12.0)</f>
        <v>12</v>
      </c>
      <c r="E684" s="1">
        <f>IFERROR(__xludf.DUMMYFUNCTION("""COMPUTED_VALUE"""),12.0)</f>
        <v>12</v>
      </c>
      <c r="F684" s="1">
        <f>IFERROR(__xludf.DUMMYFUNCTION("""COMPUTED_VALUE"""),3.0)</f>
        <v>3</v>
      </c>
      <c r="G684" s="1">
        <f t="shared" si="1"/>
        <v>4</v>
      </c>
      <c r="H684" s="1">
        <f t="shared" si="2"/>
        <v>4</v>
      </c>
      <c r="I684" s="1">
        <f>IFERROR(__xludf.DUMMYFUNCTION("IF(B684="""","""",
  100*F684 / MAX(FILTER($F:$F, $A:$A=$A684, $B:$B=$B684))
)
"),0.746268656716418)</f>
        <v>0.7462686567</v>
      </c>
      <c r="J684" s="1">
        <f>IFERROR(__xludf.DUMMYFUNCTION("IF(B684="""","""",
  100*E684 / MAX(FILTER($E:$E, $A:$A=$A684, $B:$B=$B684))
)
"),2.1052631578947367)</f>
        <v>2.105263158</v>
      </c>
      <c r="K684" s="1">
        <f t="shared" si="3"/>
        <v>1.357816182</v>
      </c>
    </row>
    <row r="685">
      <c r="A685" s="3">
        <f>IFERROR(__xludf.DUMMYFUNCTION("""COMPUTED_VALUE"""),45962.0)</f>
        <v>45962</v>
      </c>
      <c r="B685" s="1" t="str">
        <f>IFERROR(__xludf.DUMMYFUNCTION("""COMPUTED_VALUE"""),"DPMall")</f>
        <v>DPMall</v>
      </c>
      <c r="C685" s="1" t="str">
        <f>IFERROR(__xludf.DUMMYFUNCTION("""COMPUTED_VALUE"""),"mr bite")</f>
        <v>mr bite</v>
      </c>
      <c r="D685" s="1">
        <f>IFERROR(__xludf.DUMMYFUNCTION("""COMPUTED_VALUE"""),173.0)</f>
        <v>173</v>
      </c>
      <c r="E685" s="1">
        <f>IFERROR(__xludf.DUMMYFUNCTION("""COMPUTED_VALUE"""),173.0)</f>
        <v>173</v>
      </c>
      <c r="F685" s="1">
        <f>IFERROR(__xludf.DUMMYFUNCTION("""COMPUTED_VALUE"""),85.0)</f>
        <v>85</v>
      </c>
      <c r="G685" s="1">
        <f t="shared" si="1"/>
        <v>2.035294118</v>
      </c>
      <c r="H685" s="1">
        <f t="shared" si="2"/>
        <v>2.035294118</v>
      </c>
      <c r="I685" s="1">
        <f>IFERROR(__xludf.DUMMYFUNCTION("IF(B685="""","""",
  100*F685 / MAX(FILTER($F:$F, $A:$A=$A685, $B:$B=$B685))
)
"),21.144278606965173)</f>
        <v>21.14427861</v>
      </c>
      <c r="J685" s="1">
        <f>IFERROR(__xludf.DUMMYFUNCTION("IF(B685="""","""",
  100*E685 / MAX(FILTER($E:$E, $A:$A=$A685, $B:$B=$B685))
)
"),30.350877192982455)</f>
        <v>30.35087719</v>
      </c>
      <c r="K685" s="1">
        <f t="shared" si="3"/>
        <v>25.28724797</v>
      </c>
    </row>
    <row r="686">
      <c r="A686" s="3">
        <f>IFERROR(__xludf.DUMMYFUNCTION("""COMPUTED_VALUE"""),45962.0)</f>
        <v>45962</v>
      </c>
      <c r="B686" s="1" t="str">
        <f>IFERROR(__xludf.DUMMYFUNCTION("""COMPUTED_VALUE"""),"DPMall")</f>
        <v>DPMall</v>
      </c>
      <c r="C686" s="1" t="str">
        <f>IFERROR(__xludf.DUMMYFUNCTION("""COMPUTED_VALUE"""),"ono cake")</f>
        <v>ono cake</v>
      </c>
      <c r="D686" s="1">
        <f>IFERROR(__xludf.DUMMYFUNCTION("""COMPUTED_VALUE"""),14.0)</f>
        <v>14</v>
      </c>
      <c r="E686" s="1">
        <f>IFERROR(__xludf.DUMMYFUNCTION("""COMPUTED_VALUE"""),14.0)</f>
        <v>14</v>
      </c>
      <c r="F686" s="1">
        <f>IFERROR(__xludf.DUMMYFUNCTION("""COMPUTED_VALUE"""),4.0)</f>
        <v>4</v>
      </c>
      <c r="G686" s="1">
        <f t="shared" si="1"/>
        <v>3.5</v>
      </c>
      <c r="H686" s="1">
        <f t="shared" si="2"/>
        <v>3.5</v>
      </c>
      <c r="I686" s="1">
        <f>IFERROR(__xludf.DUMMYFUNCTION("IF(B686="""","""",
  100*F686 / MAX(FILTER($F:$F, $A:$A=$A686, $B:$B=$B686))
)
"),0.9950248756218906)</f>
        <v>0.9950248756</v>
      </c>
      <c r="J686" s="1">
        <f>IFERROR(__xludf.DUMMYFUNCTION("IF(B686="""","""",
  100*E686 / MAX(FILTER($E:$E, $A:$A=$A686, $B:$B=$B686))
)
"),2.456140350877193)</f>
        <v>2.456140351</v>
      </c>
      <c r="K686" s="1">
        <f t="shared" si="3"/>
        <v>1.652526839</v>
      </c>
    </row>
    <row r="687">
      <c r="A687" s="3">
        <f>IFERROR(__xludf.DUMMYFUNCTION("""COMPUTED_VALUE"""),45962.0)</f>
        <v>45962</v>
      </c>
      <c r="B687" s="1" t="str">
        <f>IFERROR(__xludf.DUMMYFUNCTION("""COMPUTED_VALUE"""),"DPMall")</f>
        <v>DPMall</v>
      </c>
      <c r="C687" s="1" t="str">
        <f>IFERROR(__xludf.DUMMYFUNCTION("""COMPUTED_VALUE"""),"snickers")</f>
        <v>snickers</v>
      </c>
      <c r="D687" s="1">
        <f>IFERROR(__xludf.DUMMYFUNCTION("""COMPUTED_VALUE"""),85.0)</f>
        <v>85</v>
      </c>
      <c r="E687" s="1">
        <f>IFERROR(__xludf.DUMMYFUNCTION("""COMPUTED_VALUE"""),85.0)</f>
        <v>85</v>
      </c>
      <c r="F687" s="1">
        <f>IFERROR(__xludf.DUMMYFUNCTION("""COMPUTED_VALUE"""),17.0)</f>
        <v>17</v>
      </c>
      <c r="G687" s="1">
        <f t="shared" si="1"/>
        <v>5</v>
      </c>
      <c r="H687" s="1">
        <f t="shared" si="2"/>
        <v>5</v>
      </c>
      <c r="I687" s="1">
        <f>IFERROR(__xludf.DUMMYFUNCTION("IF(B687="""","""",
  100*F687 / MAX(FILTER($F:$F, $A:$A=$A687, $B:$B=$B687))
)
"),4.2288557213930345)</f>
        <v>4.228855721</v>
      </c>
      <c r="J687" s="1">
        <f>IFERROR(__xludf.DUMMYFUNCTION("IF(B687="""","""",
  100*E687 / MAX(FILTER($E:$E, $A:$A=$A687, $B:$B=$B687))
)
"),14.912280701754385)</f>
        <v>14.9122807</v>
      </c>
      <c r="K687" s="1">
        <f t="shared" si="3"/>
        <v>9.036396963</v>
      </c>
    </row>
    <row r="688">
      <c r="A688" s="3">
        <f>IFERROR(__xludf.DUMMYFUNCTION("""COMPUTED_VALUE"""),45962.0)</f>
        <v>45962</v>
      </c>
      <c r="B688" s="1" t="str">
        <f>IFERROR(__xludf.DUMMYFUNCTION("""COMPUTED_VALUE"""),"DPMall")</f>
        <v>DPMall</v>
      </c>
      <c r="C688" s="1" t="str">
        <f>IFERROR(__xludf.DUMMYFUNCTION("""COMPUTED_VALUE"""),"sunTop")</f>
        <v>sunTop</v>
      </c>
      <c r="D688" s="1">
        <f>IFERROR(__xludf.DUMMYFUNCTION("""COMPUTED_VALUE"""),194.0)</f>
        <v>194</v>
      </c>
      <c r="E688" s="1">
        <f>IFERROR(__xludf.DUMMYFUNCTION("""COMPUTED_VALUE"""),194.0)</f>
        <v>194</v>
      </c>
      <c r="F688" s="1">
        <f>IFERROR(__xludf.DUMMYFUNCTION("""COMPUTED_VALUE"""),194.0)</f>
        <v>194</v>
      </c>
      <c r="G688" s="1">
        <f t="shared" si="1"/>
        <v>1</v>
      </c>
      <c r="H688" s="1">
        <f t="shared" si="2"/>
        <v>1</v>
      </c>
      <c r="I688" s="1">
        <f>IFERROR(__xludf.DUMMYFUNCTION("IF(B688="""","""",
  100*F688 / MAX(FILTER($F:$F, $A:$A=$A688, $B:$B=$B688))
)
"),48.25870646766169)</f>
        <v>48.25870647</v>
      </c>
      <c r="J688" s="1">
        <f>IFERROR(__xludf.DUMMYFUNCTION("IF(B688="""","""",
  100*E688 / MAX(FILTER($E:$E, $A:$A=$A688, $B:$B=$B688))
)
"),34.03508771929825)</f>
        <v>34.03508772</v>
      </c>
      <c r="K688" s="1">
        <f t="shared" si="3"/>
        <v>41.85807803</v>
      </c>
    </row>
    <row r="689">
      <c r="A689" s="3">
        <f>IFERROR(__xludf.DUMMYFUNCTION("""COMPUTED_VALUE"""),45962.0)</f>
        <v>45962</v>
      </c>
      <c r="B689" s="1" t="str">
        <f>IFERROR(__xludf.DUMMYFUNCTION("""COMPUTED_VALUE"""),"DPMall")</f>
        <v>DPMall</v>
      </c>
      <c r="C689" s="1" t="str">
        <f>IFERROR(__xludf.DUMMYFUNCTION("""COMPUTED_VALUE"""),"vitaGo")</f>
        <v>vitaGo</v>
      </c>
      <c r="D689" s="1">
        <f>IFERROR(__xludf.DUMMYFUNCTION("""COMPUTED_VALUE"""),15.0)</f>
        <v>15</v>
      </c>
      <c r="E689" s="1">
        <f>IFERROR(__xludf.DUMMYFUNCTION("""COMPUTED_VALUE"""),15.0)</f>
        <v>15</v>
      </c>
      <c r="F689" s="1">
        <f>IFERROR(__xludf.DUMMYFUNCTION("""COMPUTED_VALUE"""),5.0)</f>
        <v>5</v>
      </c>
      <c r="G689" s="1">
        <f t="shared" si="1"/>
        <v>3</v>
      </c>
      <c r="H689" s="1">
        <f t="shared" si="2"/>
        <v>3</v>
      </c>
      <c r="I689" s="1">
        <f>IFERROR(__xludf.DUMMYFUNCTION("IF(B689="""","""",
  100*F689 / MAX(FILTER($F:$F, $A:$A=$A689, $B:$B=$B689))
)
"),1.243781094527363)</f>
        <v>1.243781095</v>
      </c>
      <c r="J689" s="1">
        <f>IFERROR(__xludf.DUMMYFUNCTION("IF(B689="""","""",
  100*E689 / MAX(FILTER($E:$E, $A:$A=$A689, $B:$B=$B689))
)
"),2.6315789473684212)</f>
        <v>2.631578947</v>
      </c>
      <c r="K689" s="1">
        <f t="shared" si="3"/>
        <v>1.868290128</v>
      </c>
    </row>
    <row r="690">
      <c r="A690" s="3">
        <f>IFERROR(__xludf.DUMMYFUNCTION("""COMPUTED_VALUE"""),45962.0)</f>
        <v>45962</v>
      </c>
      <c r="B690" s="1" t="str">
        <f>IFERROR(__xludf.DUMMYFUNCTION("""COMPUTED_VALUE"""),"DPMall")</f>
        <v>DPMall</v>
      </c>
      <c r="C690" s="1" t="str">
        <f>IFERROR(__xludf.DUMMYFUNCTION("""COMPUTED_VALUE"""),"xo energy")</f>
        <v>xo energy</v>
      </c>
      <c r="D690" s="1">
        <f>IFERROR(__xludf.DUMMYFUNCTION("""COMPUTED_VALUE"""),9.0)</f>
        <v>9</v>
      </c>
      <c r="E690" s="1">
        <f>IFERROR(__xludf.DUMMYFUNCTION("""COMPUTED_VALUE"""),9.0)</f>
        <v>9</v>
      </c>
      <c r="F690" s="1">
        <f>IFERROR(__xludf.DUMMYFUNCTION("""COMPUTED_VALUE"""),3.0)</f>
        <v>3</v>
      </c>
      <c r="G690" s="1">
        <f t="shared" si="1"/>
        <v>3</v>
      </c>
      <c r="H690" s="1">
        <f t="shared" si="2"/>
        <v>3</v>
      </c>
      <c r="I690" s="1">
        <f>IFERROR(__xludf.DUMMYFUNCTION("IF(B690="""","""",
  100*F690 / MAX(FILTER($F:$F, $A:$A=$A690, $B:$B=$B690))
)
"),0.746268656716418)</f>
        <v>0.7462686567</v>
      </c>
      <c r="J690" s="1">
        <f>IFERROR(__xludf.DUMMYFUNCTION("IF(B690="""","""",
  100*E690 / MAX(FILTER($E:$E, $A:$A=$A690, $B:$B=$B690))
)
"),1.5789473684210527)</f>
        <v>1.578947368</v>
      </c>
      <c r="K690" s="1">
        <f t="shared" si="3"/>
        <v>1.120974077</v>
      </c>
    </row>
    <row r="691">
      <c r="A691" s="3">
        <f>IFERROR(__xludf.DUMMYFUNCTION("""COMPUTED_VALUE"""),45962.0)</f>
        <v>45962</v>
      </c>
      <c r="B691" s="1" t="str">
        <f>IFERROR(__xludf.DUMMYFUNCTION("""COMPUTED_VALUE"""),"HTMall")</f>
        <v>HTMall</v>
      </c>
      <c r="C691" s="1" t="str">
        <f>IFERROR(__xludf.DUMMYFUNCTION("""COMPUTED_VALUE"""),"7up")</f>
        <v>7up</v>
      </c>
      <c r="D691" s="1">
        <f>IFERROR(__xludf.DUMMYFUNCTION("""COMPUTED_VALUE"""),39.0)</f>
        <v>39</v>
      </c>
      <c r="E691" s="1">
        <f>IFERROR(__xludf.DUMMYFUNCTION("""COMPUTED_VALUE"""),9.75)</f>
        <v>9.75</v>
      </c>
      <c r="F691" s="1">
        <f>IFERROR(__xludf.DUMMYFUNCTION("""COMPUTED_VALUE"""),13.0)</f>
        <v>13</v>
      </c>
      <c r="G691" s="1">
        <f t="shared" si="1"/>
        <v>3</v>
      </c>
      <c r="H691" s="1">
        <f t="shared" si="2"/>
        <v>0.75</v>
      </c>
      <c r="I691" s="1">
        <f>IFERROR(__xludf.DUMMYFUNCTION("IF(B691="""","""",
  100*F691 / MAX(FILTER($F:$F, $A:$A=$A691, $B:$B=$B691))
)
"),2.3508137432188065)</f>
        <v>2.350813743</v>
      </c>
      <c r="J691" s="1">
        <f>IFERROR(__xludf.DUMMYFUNCTION("IF(B691="""","""",
  100*E691 / MAX(FILTER($E:$E, $A:$A=$A691, $B:$B=$B691))
)
"),2.5187290105915783)</f>
        <v>2.518729011</v>
      </c>
      <c r="K691" s="1">
        <f t="shared" si="3"/>
        <v>2.426375614</v>
      </c>
    </row>
    <row r="692">
      <c r="A692" s="3">
        <f>IFERROR(__xludf.DUMMYFUNCTION("""COMPUTED_VALUE"""),45962.0)</f>
        <v>45962</v>
      </c>
      <c r="B692" s="1" t="str">
        <f>IFERROR(__xludf.DUMMYFUNCTION("""COMPUTED_VALUE"""),"HTMall")</f>
        <v>HTMall</v>
      </c>
      <c r="C692" s="1" t="str">
        <f>IFERROR(__xludf.DUMMYFUNCTION("""COMPUTED_VALUE"""),"Almarai Chocolate")</f>
        <v>Almarai Chocolate</v>
      </c>
      <c r="D692" s="1">
        <f>IFERROR(__xludf.DUMMYFUNCTION("""COMPUTED_VALUE"""),122.0)</f>
        <v>122</v>
      </c>
      <c r="E692" s="1">
        <f>IFERROR(__xludf.DUMMYFUNCTION("""COMPUTED_VALUE"""),10.0)</f>
        <v>10</v>
      </c>
      <c r="F692" s="1">
        <f>IFERROR(__xludf.DUMMYFUNCTION("""COMPUTED_VALUE"""),56.0)</f>
        <v>56</v>
      </c>
      <c r="G692" s="1">
        <f t="shared" si="1"/>
        <v>2.178571429</v>
      </c>
      <c r="H692" s="1">
        <f t="shared" si="2"/>
        <v>0.1785714286</v>
      </c>
      <c r="I692" s="1">
        <f>IFERROR(__xludf.DUMMYFUNCTION("IF(B692="""","""",
  100*F692 / MAX(FILTER($F:$F, $A:$A=$A692, $B:$B=$B692))
)
"),10.126582278481013)</f>
        <v>10.12658228</v>
      </c>
      <c r="J692" s="1">
        <f>IFERROR(__xludf.DUMMYFUNCTION("IF(B692="""","""",
  100*E692 / MAX(FILTER($E:$E, $A:$A=$A692, $B:$B=$B692))
)
"),2.5833118057349522)</f>
        <v>2.583311806</v>
      </c>
      <c r="K692" s="1">
        <f t="shared" si="3"/>
        <v>6.732110566</v>
      </c>
    </row>
    <row r="693">
      <c r="A693" s="3">
        <f>IFERROR(__xludf.DUMMYFUNCTION("""COMPUTED_VALUE"""),45962.0)</f>
        <v>45962</v>
      </c>
      <c r="B693" s="1" t="str">
        <f>IFERROR(__xludf.DUMMYFUNCTION("""COMPUTED_VALUE"""),"HTMall")</f>
        <v>HTMall</v>
      </c>
      <c r="C693" s="1" t="str">
        <f>IFERROR(__xludf.DUMMYFUNCTION("""COMPUTED_VALUE"""),"Almarai Strawberry")</f>
        <v>Almarai Strawberry</v>
      </c>
      <c r="D693" s="1">
        <f>IFERROR(__xludf.DUMMYFUNCTION("""COMPUTED_VALUE"""),117.0)</f>
        <v>117</v>
      </c>
      <c r="E693" s="1">
        <f>IFERROR(__xludf.DUMMYFUNCTION("""COMPUTED_VALUE"""),35.88)</f>
        <v>35.88</v>
      </c>
      <c r="F693" s="1">
        <f>IFERROR(__xludf.DUMMYFUNCTION("""COMPUTED_VALUE"""),39.0)</f>
        <v>39</v>
      </c>
      <c r="G693" s="1">
        <f t="shared" si="1"/>
        <v>3</v>
      </c>
      <c r="H693" s="1">
        <f t="shared" si="2"/>
        <v>0.92</v>
      </c>
      <c r="I693" s="1">
        <f>IFERROR(__xludf.DUMMYFUNCTION("IF(B693="""","""",
  100*F693 / MAX(FILTER($F:$F, $A:$A=$A693, $B:$B=$B693))
)
"),7.052441229656419)</f>
        <v>7.05244123</v>
      </c>
      <c r="J693" s="1">
        <f>IFERROR(__xludf.DUMMYFUNCTION("IF(B693="""","""",
  100*E693 / MAX(FILTER($E:$E, $A:$A=$A693, $B:$B=$B693))
)
"),9.26892275897701)</f>
        <v>9.268922759</v>
      </c>
      <c r="K693" s="1">
        <f t="shared" si="3"/>
        <v>8.049857918</v>
      </c>
    </row>
    <row r="694">
      <c r="A694" s="3">
        <f>IFERROR(__xludf.DUMMYFUNCTION("""COMPUTED_VALUE"""),45962.0)</f>
        <v>45962</v>
      </c>
      <c r="B694" s="1" t="str">
        <f>IFERROR(__xludf.DUMMYFUNCTION("""COMPUTED_VALUE"""),"HTMall")</f>
        <v>HTMall</v>
      </c>
      <c r="C694" s="1" t="str">
        <f>IFERROR(__xludf.DUMMYFUNCTION("""COMPUTED_VALUE"""),"Bounty")</f>
        <v>Bounty</v>
      </c>
      <c r="D694" s="1">
        <f>IFERROR(__xludf.DUMMYFUNCTION("""COMPUTED_VALUE"""),50.0)</f>
        <v>50</v>
      </c>
      <c r="E694" s="1">
        <f>IFERROR(__xludf.DUMMYFUNCTION("""COMPUTED_VALUE"""),12.5)</f>
        <v>12.5</v>
      </c>
      <c r="F694" s="1">
        <f>IFERROR(__xludf.DUMMYFUNCTION("""COMPUTED_VALUE"""),10.0)</f>
        <v>10</v>
      </c>
      <c r="G694" s="1">
        <f t="shared" si="1"/>
        <v>5</v>
      </c>
      <c r="H694" s="1">
        <f t="shared" si="2"/>
        <v>1.25</v>
      </c>
      <c r="I694" s="1">
        <f>IFERROR(__xludf.DUMMYFUNCTION("IF(B694="""","""",
  100*F694 / MAX(FILTER($F:$F, $A:$A=$A694, $B:$B=$B694))
)
"),1.8083182640144666)</f>
        <v>1.808318264</v>
      </c>
      <c r="J694" s="1">
        <f>IFERROR(__xludf.DUMMYFUNCTION("IF(B694="""","""",
  100*E694 / MAX(FILTER($E:$E, $A:$A=$A694, $B:$B=$B694))
)
"),3.22913975716869)</f>
        <v>3.229139757</v>
      </c>
      <c r="K694" s="1">
        <f t="shared" si="3"/>
        <v>2.447687936</v>
      </c>
    </row>
    <row r="695">
      <c r="A695" s="3">
        <f>IFERROR(__xludf.DUMMYFUNCTION("""COMPUTED_VALUE"""),45962.0)</f>
        <v>45962</v>
      </c>
      <c r="B695" s="1" t="str">
        <f>IFERROR(__xludf.DUMMYFUNCTION("""COMPUTED_VALUE"""),"HTMall")</f>
        <v>HTMall</v>
      </c>
      <c r="C695" s="1" t="str">
        <f>IFERROR(__xludf.DUMMYFUNCTION("""COMPUTED_VALUE"""),"Doritos cool ranc")</f>
        <v>Doritos cool ranc</v>
      </c>
      <c r="D695" s="1">
        <f>IFERROR(__xludf.DUMMYFUNCTION("""COMPUTED_VALUE"""),163.0)</f>
        <v>163</v>
      </c>
      <c r="E695" s="1">
        <f>IFERROR(__xludf.DUMMYFUNCTION("""COMPUTED_VALUE"""),70.6)</f>
        <v>70.6</v>
      </c>
      <c r="F695" s="1">
        <f>IFERROR(__xludf.DUMMYFUNCTION("""COMPUTED_VALUE"""),33.0)</f>
        <v>33</v>
      </c>
      <c r="G695" s="1">
        <f t="shared" si="1"/>
        <v>4.939393939</v>
      </c>
      <c r="H695" s="1">
        <f t="shared" si="2"/>
        <v>2.139393939</v>
      </c>
      <c r="I695" s="1">
        <f>IFERROR(__xludf.DUMMYFUNCTION("IF(B695="""","""",
  100*F695 / MAX(FILTER($F:$F, $A:$A=$A695, $B:$B=$B695))
)
"),5.967450271247739)</f>
        <v>5.967450271</v>
      </c>
      <c r="J695" s="1">
        <f>IFERROR(__xludf.DUMMYFUNCTION("IF(B695="""","""",
  100*E695 / MAX(FILTER($E:$E, $A:$A=$A695, $B:$B=$B695))
)
"),18.23818134848876)</f>
        <v>18.23818135</v>
      </c>
      <c r="K695" s="1">
        <f t="shared" si="3"/>
        <v>11.48927926</v>
      </c>
    </row>
    <row r="696">
      <c r="A696" s="3">
        <f>IFERROR(__xludf.DUMMYFUNCTION("""COMPUTED_VALUE"""),45962.0)</f>
        <v>45962</v>
      </c>
      <c r="B696" s="1" t="str">
        <f>IFERROR(__xludf.DUMMYFUNCTION("""COMPUTED_VALUE"""),"HTMall")</f>
        <v>HTMall</v>
      </c>
      <c r="C696" s="1" t="str">
        <f>IFERROR(__xludf.DUMMYFUNCTION("""COMPUTED_VALUE"""),"Doritos real")</f>
        <v>Doritos real</v>
      </c>
      <c r="D696" s="1">
        <f>IFERROR(__xludf.DUMMYFUNCTION("""COMPUTED_VALUE"""),285.0)</f>
        <v>285</v>
      </c>
      <c r="E696" s="1">
        <f>IFERROR(__xludf.DUMMYFUNCTION("""COMPUTED_VALUE"""),39.0)</f>
        <v>39</v>
      </c>
      <c r="F696" s="1">
        <f>IFERROR(__xludf.DUMMYFUNCTION("""COMPUTED_VALUE"""),41.0)</f>
        <v>41</v>
      </c>
      <c r="G696" s="1">
        <f t="shared" si="1"/>
        <v>6.951219512</v>
      </c>
      <c r="H696" s="1">
        <f t="shared" si="2"/>
        <v>0.9512195122</v>
      </c>
      <c r="I696" s="1">
        <f>IFERROR(__xludf.DUMMYFUNCTION("IF(B696="""","""",
  100*F696 / MAX(FILTER($F:$F, $A:$A=$A696, $B:$B=$B696))
)
"),7.414104882459313)</f>
        <v>7.414104882</v>
      </c>
      <c r="J696" s="1">
        <f>IFERROR(__xludf.DUMMYFUNCTION("IF(B696="""","""",
  100*E696 / MAX(FILTER($E:$E, $A:$A=$A696, $B:$B=$B696))
)
"),10.074916042366313)</f>
        <v>10.07491604</v>
      </c>
      <c r="K696" s="1">
        <f t="shared" si="3"/>
        <v>8.611469904</v>
      </c>
    </row>
    <row r="697">
      <c r="A697" s="3">
        <f>IFERROR(__xludf.DUMMYFUNCTION("""COMPUTED_VALUE"""),45962.0)</f>
        <v>45962</v>
      </c>
      <c r="B697" s="1" t="str">
        <f>IFERROR(__xludf.DUMMYFUNCTION("""COMPUTED_VALUE"""),"HTMall")</f>
        <v>HTMall</v>
      </c>
      <c r="C697" s="1" t="str">
        <f>IFERROR(__xludf.DUMMYFUNCTION("""COMPUTED_VALUE"""),"Green")</f>
        <v>Green</v>
      </c>
      <c r="D697" s="1">
        <f>IFERROR(__xludf.DUMMYFUNCTION("""COMPUTED_VALUE"""),32.0)</f>
        <v>32</v>
      </c>
      <c r="E697" s="1">
        <f>IFERROR(__xludf.DUMMYFUNCTION("""COMPUTED_VALUE"""),8.32)</f>
        <v>8.32</v>
      </c>
      <c r="F697" s="1">
        <f>IFERROR(__xludf.DUMMYFUNCTION("""COMPUTED_VALUE"""),8.0)</f>
        <v>8</v>
      </c>
      <c r="G697" s="1">
        <f t="shared" si="1"/>
        <v>4</v>
      </c>
      <c r="H697" s="1">
        <f t="shared" si="2"/>
        <v>1.04</v>
      </c>
      <c r="I697" s="1">
        <f>IFERROR(__xludf.DUMMYFUNCTION("IF(B697="""","""",
  100*F697 / MAX(FILTER($F:$F, $A:$A=$A697, $B:$B=$B697))
)
"),1.4466546112115732)</f>
        <v>1.446654611</v>
      </c>
      <c r="J697" s="1">
        <f>IFERROR(__xludf.DUMMYFUNCTION("IF(B697="""","""",
  100*E697 / MAX(FILTER($E:$E, $A:$A=$A697, $B:$B=$B697))
)
"),2.14931542237148)</f>
        <v>2.149315422</v>
      </c>
      <c r="K697" s="1">
        <f t="shared" si="3"/>
        <v>1.762851976</v>
      </c>
    </row>
    <row r="698">
      <c r="A698" s="3">
        <f>IFERROR(__xludf.DUMMYFUNCTION("""COMPUTED_VALUE"""),45962.0)</f>
        <v>45962</v>
      </c>
      <c r="B698" s="1" t="str">
        <f>IFERROR(__xludf.DUMMYFUNCTION("""COMPUTED_VALUE"""),"HTMall")</f>
        <v>HTMall</v>
      </c>
      <c r="C698" s="1" t="str">
        <f>IFERROR(__xludf.DUMMYFUNCTION("""COMPUTED_VALUE"""),"Haribo")</f>
        <v>Haribo</v>
      </c>
      <c r="D698" s="1">
        <f>IFERROR(__xludf.DUMMYFUNCTION("""COMPUTED_VALUE"""),156.0)</f>
        <v>156</v>
      </c>
      <c r="E698" s="1">
        <f>IFERROR(__xludf.DUMMYFUNCTION("""COMPUTED_VALUE"""),65.0)</f>
        <v>65</v>
      </c>
      <c r="F698" s="1">
        <f>IFERROR(__xludf.DUMMYFUNCTION("""COMPUTED_VALUE"""),52.0)</f>
        <v>52</v>
      </c>
      <c r="G698" s="1">
        <f t="shared" si="1"/>
        <v>3</v>
      </c>
      <c r="H698" s="1">
        <f t="shared" si="2"/>
        <v>1.25</v>
      </c>
      <c r="I698" s="1">
        <f>IFERROR(__xludf.DUMMYFUNCTION("IF(B698="""","""",
  100*F698 / MAX(FILTER($F:$F, $A:$A=$A698, $B:$B=$B698))
)
"),9.403254972875226)</f>
        <v>9.403254973</v>
      </c>
      <c r="J698" s="1">
        <f>IFERROR(__xludf.DUMMYFUNCTION("IF(B698="""","""",
  100*E698 / MAX(FILTER($E:$E, $A:$A=$A698, $B:$B=$B698))
)
"),16.791526737277188)</f>
        <v>16.79152674</v>
      </c>
      <c r="K698" s="1">
        <f t="shared" si="3"/>
        <v>12.72797727</v>
      </c>
    </row>
    <row r="699">
      <c r="A699" s="3">
        <f>IFERROR(__xludf.DUMMYFUNCTION("""COMPUTED_VALUE"""),45962.0)</f>
        <v>45962</v>
      </c>
      <c r="B699" s="1" t="str">
        <f>IFERROR(__xludf.DUMMYFUNCTION("""COMPUTED_VALUE"""),"HTMall")</f>
        <v>HTMall</v>
      </c>
      <c r="C699" s="1" t="str">
        <f>IFERROR(__xludf.DUMMYFUNCTION("""COMPUTED_VALUE"""),"HiPro")</f>
        <v>HiPro</v>
      </c>
      <c r="D699" s="1">
        <f>IFERROR(__xludf.DUMMYFUNCTION("""COMPUTED_VALUE"""),4.0)</f>
        <v>4</v>
      </c>
      <c r="E699" s="1">
        <f>IFERROR(__xludf.DUMMYFUNCTION("""COMPUTED_VALUE"""),-1.83)</f>
        <v>-1.83</v>
      </c>
      <c r="F699" s="1">
        <f>IFERROR(__xludf.DUMMYFUNCTION("""COMPUTED_VALUE"""),1.0)</f>
        <v>1</v>
      </c>
      <c r="G699" s="1">
        <f t="shared" si="1"/>
        <v>4</v>
      </c>
      <c r="H699" s="1">
        <f t="shared" si="2"/>
        <v>-1.83</v>
      </c>
      <c r="I699" s="1">
        <f>IFERROR(__xludf.DUMMYFUNCTION("IF(B699="""","""",
  100*F699 / MAX(FILTER($F:$F, $A:$A=$A699, $B:$B=$B699))
)
"),0.18083182640144665)</f>
        <v>0.1808318264</v>
      </c>
      <c r="J699" s="1">
        <f>IFERROR(__xludf.DUMMYFUNCTION("IF(B699="""","""",
  100*E699 / MAX(FILTER($E:$E, $A:$A=$A699, $B:$B=$B699))
)
"),-0.47274606044949624)</f>
        <v>-0.4727460604</v>
      </c>
      <c r="K699" s="1">
        <f t="shared" si="3"/>
        <v>-0.1132782227</v>
      </c>
    </row>
    <row r="700">
      <c r="A700" s="3">
        <f>IFERROR(__xludf.DUMMYFUNCTION("""COMPUTED_VALUE"""),45962.0)</f>
        <v>45962</v>
      </c>
      <c r="B700" s="1" t="str">
        <f>IFERROR(__xludf.DUMMYFUNCTION("""COMPUTED_VALUE"""),"HTMall")</f>
        <v>HTMall</v>
      </c>
      <c r="C700" s="1" t="str">
        <f>IFERROR(__xludf.DUMMYFUNCTION("""COMPUTED_VALUE"""),"Kinder Bueno")</f>
        <v>Kinder Bueno</v>
      </c>
      <c r="D700" s="1">
        <f>IFERROR(__xludf.DUMMYFUNCTION("""COMPUTED_VALUE"""),210.0)</f>
        <v>210</v>
      </c>
      <c r="E700" s="1">
        <f>IFERROR(__xludf.DUMMYFUNCTION("""COMPUTED_VALUE"""),7.0)</f>
        <v>7</v>
      </c>
      <c r="F700" s="1">
        <f>IFERROR(__xludf.DUMMYFUNCTION("""COMPUTED_VALUE"""),35.0)</f>
        <v>35</v>
      </c>
      <c r="G700" s="1">
        <f t="shared" si="1"/>
        <v>6</v>
      </c>
      <c r="H700" s="1">
        <f t="shared" si="2"/>
        <v>0.2</v>
      </c>
      <c r="I700" s="1">
        <f>IFERROR(__xludf.DUMMYFUNCTION("IF(B700="""","""",
  100*F700 / MAX(FILTER($F:$F, $A:$A=$A700, $B:$B=$B700))
)
"),6.329113924050633)</f>
        <v>6.329113924</v>
      </c>
      <c r="J700" s="1">
        <f>IFERROR(__xludf.DUMMYFUNCTION("IF(B700="""","""",
  100*E700 / MAX(FILTER($E:$E, $A:$A=$A700, $B:$B=$B700))
)
"),1.8083182640144664)</f>
        <v>1.808318264</v>
      </c>
      <c r="K700" s="1">
        <f t="shared" si="3"/>
        <v>4.294755877</v>
      </c>
    </row>
    <row r="701">
      <c r="A701" s="3">
        <f>IFERROR(__xludf.DUMMYFUNCTION("""COMPUTED_VALUE"""),45962.0)</f>
        <v>45962</v>
      </c>
      <c r="B701" s="1" t="str">
        <f>IFERROR(__xludf.DUMMYFUNCTION("""COMPUTED_VALUE"""),"HTMall")</f>
        <v>HTMall</v>
      </c>
      <c r="C701" s="1" t="str">
        <f>IFERROR(__xludf.DUMMYFUNCTION("""COMPUTED_VALUE"""),"Kinder bueno1stick")</f>
        <v>Kinder bueno1stick</v>
      </c>
      <c r="D701" s="1">
        <f>IFERROR(__xludf.DUMMYFUNCTION("""COMPUTED_VALUE"""),72.0)</f>
        <v>72</v>
      </c>
      <c r="E701" s="1">
        <f>IFERROR(__xludf.DUMMYFUNCTION("""COMPUTED_VALUE"""),18.0)</f>
        <v>18</v>
      </c>
      <c r="F701" s="1">
        <f>IFERROR(__xludf.DUMMYFUNCTION("""COMPUTED_VALUE"""),18.0)</f>
        <v>18</v>
      </c>
      <c r="G701" s="1">
        <f t="shared" si="1"/>
        <v>4</v>
      </c>
      <c r="H701" s="1">
        <f t="shared" si="2"/>
        <v>1</v>
      </c>
      <c r="I701" s="1">
        <f>IFERROR(__xludf.DUMMYFUNCTION("IF(B701="""","""",
  100*F701 / MAX(FILTER($F:$F, $A:$A=$A701, $B:$B=$B701))
)
"),3.2549728752260396)</f>
        <v>3.254972875</v>
      </c>
      <c r="J701" s="1">
        <f>IFERROR(__xludf.DUMMYFUNCTION("IF(B701="""","""",
  100*E701 / MAX(FILTER($E:$E, $A:$A=$A701, $B:$B=$B701))
)
"),4.649961250322914)</f>
        <v>4.64996125</v>
      </c>
      <c r="K701" s="1">
        <f t="shared" si="3"/>
        <v>3.882717644</v>
      </c>
    </row>
    <row r="702">
      <c r="A702" s="3">
        <f>IFERROR(__xludf.DUMMYFUNCTION("""COMPUTED_VALUE"""),45962.0)</f>
        <v>45962</v>
      </c>
      <c r="B702" s="1" t="str">
        <f>IFERROR(__xludf.DUMMYFUNCTION("""COMPUTED_VALUE"""),"HTMall")</f>
        <v>HTMall</v>
      </c>
      <c r="C702" s="1" t="str">
        <f>IFERROR(__xludf.DUMMYFUNCTION("""COMPUTED_VALUE"""),"Laviva")</f>
        <v>Laviva</v>
      </c>
      <c r="D702" s="1">
        <f>IFERROR(__xludf.DUMMYFUNCTION("""COMPUTED_VALUE"""),156.0)</f>
        <v>156</v>
      </c>
      <c r="E702" s="1">
        <f>IFERROR(__xludf.DUMMYFUNCTION("""COMPUTED_VALUE"""),41.6)</f>
        <v>41.6</v>
      </c>
      <c r="F702" s="1">
        <f>IFERROR(__xludf.DUMMYFUNCTION("""COMPUTED_VALUE"""),52.0)</f>
        <v>52</v>
      </c>
      <c r="G702" s="1">
        <f t="shared" si="1"/>
        <v>3</v>
      </c>
      <c r="H702" s="1">
        <f t="shared" si="2"/>
        <v>0.8</v>
      </c>
      <c r="I702" s="1">
        <f>IFERROR(__xludf.DUMMYFUNCTION("IF(B702="""","""",
  100*F702 / MAX(FILTER($F:$F, $A:$A=$A702, $B:$B=$B702))
)
"),9.403254972875226)</f>
        <v>9.403254973</v>
      </c>
      <c r="J702" s="1">
        <f>IFERROR(__xludf.DUMMYFUNCTION("IF(B702="""","""",
  100*E702 / MAX(FILTER($E:$E, $A:$A=$A702, $B:$B=$B702))
)
"),10.7465771118574)</f>
        <v>10.74657711</v>
      </c>
      <c r="K702" s="1">
        <f t="shared" si="3"/>
        <v>10.00774994</v>
      </c>
    </row>
    <row r="703">
      <c r="A703" s="3">
        <f>IFERROR(__xludf.DUMMYFUNCTION("""COMPUTED_VALUE"""),45962.0)</f>
        <v>45962</v>
      </c>
      <c r="B703" s="1" t="str">
        <f>IFERROR(__xludf.DUMMYFUNCTION("""COMPUTED_VALUE"""),"HTMall")</f>
        <v>HTMall</v>
      </c>
      <c r="C703" s="1" t="str">
        <f>IFERROR(__xludf.DUMMYFUNCTION("""COMPUTED_VALUE"""),"Maltesers")</f>
        <v>Maltesers</v>
      </c>
      <c r="D703" s="1">
        <f>IFERROR(__xludf.DUMMYFUNCTION("""COMPUTED_VALUE"""),126.0)</f>
        <v>126</v>
      </c>
      <c r="E703" s="1">
        <f>IFERROR(__xludf.DUMMYFUNCTION("""COMPUTED_VALUE"""),-4.2)</f>
        <v>-4.2</v>
      </c>
      <c r="F703" s="1">
        <f>IFERROR(__xludf.DUMMYFUNCTION("""COMPUTED_VALUE"""),21.0)</f>
        <v>21</v>
      </c>
      <c r="G703" s="1">
        <f t="shared" si="1"/>
        <v>6</v>
      </c>
      <c r="H703" s="1">
        <f t="shared" si="2"/>
        <v>-0.2</v>
      </c>
      <c r="I703" s="1">
        <f>IFERROR(__xludf.DUMMYFUNCTION("IF(B703="""","""",
  100*F703 / MAX(FILTER($F:$F, $A:$A=$A703, $B:$B=$B703))
)
"),3.7974683544303796)</f>
        <v>3.797468354</v>
      </c>
      <c r="J703" s="1">
        <f>IFERROR(__xludf.DUMMYFUNCTION("IF(B703="""","""",
  100*E703 / MAX(FILTER($E:$E, $A:$A=$A703, $B:$B=$B703))
)
"),-1.0849909584086799)</f>
        <v>-1.084990958</v>
      </c>
      <c r="K703" s="1">
        <f t="shared" si="3"/>
        <v>1.600361664</v>
      </c>
    </row>
    <row r="704">
      <c r="A704" s="3">
        <f>IFERROR(__xludf.DUMMYFUNCTION("""COMPUTED_VALUE"""),45962.0)</f>
        <v>45962</v>
      </c>
      <c r="B704" s="1" t="str">
        <f>IFERROR(__xludf.DUMMYFUNCTION("""COMPUTED_VALUE"""),"HTMall")</f>
        <v>HTMall</v>
      </c>
      <c r="C704" s="1" t="str">
        <f>IFERROR(__xludf.DUMMYFUNCTION("""COMPUTED_VALUE"""),"Mirinda")</f>
        <v>Mirinda</v>
      </c>
      <c r="D704" s="1">
        <f>IFERROR(__xludf.DUMMYFUNCTION("""COMPUTED_VALUE"""),123.0)</f>
        <v>123</v>
      </c>
      <c r="E704" s="1">
        <f>IFERROR(__xludf.DUMMYFUNCTION("""COMPUTED_VALUE"""),30.75)</f>
        <v>30.75</v>
      </c>
      <c r="F704" s="1">
        <f>IFERROR(__xludf.DUMMYFUNCTION("""COMPUTED_VALUE"""),41.0)</f>
        <v>41</v>
      </c>
      <c r="G704" s="1">
        <f t="shared" si="1"/>
        <v>3</v>
      </c>
      <c r="H704" s="1">
        <f t="shared" si="2"/>
        <v>0.75</v>
      </c>
      <c r="I704" s="1">
        <f>IFERROR(__xludf.DUMMYFUNCTION("IF(B704="""","""",
  100*F704 / MAX(FILTER($F:$F, $A:$A=$A704, $B:$B=$B704))
)
"),7.414104882459313)</f>
        <v>7.414104882</v>
      </c>
      <c r="J704" s="1">
        <f>IFERROR(__xludf.DUMMYFUNCTION("IF(B704="""","""",
  100*E704 / MAX(FILTER($E:$E, $A:$A=$A704, $B:$B=$B704))
)
"),7.943683802634977)</f>
        <v>7.943683803</v>
      </c>
      <c r="K704" s="1">
        <f t="shared" si="3"/>
        <v>7.652415397</v>
      </c>
    </row>
    <row r="705">
      <c r="A705" s="3">
        <f>IFERROR(__xludf.DUMMYFUNCTION("""COMPUTED_VALUE"""),45962.0)</f>
        <v>45962</v>
      </c>
      <c r="B705" s="1" t="str">
        <f>IFERROR(__xludf.DUMMYFUNCTION("""COMPUTED_VALUE"""),"HTMall")</f>
        <v>HTMall</v>
      </c>
      <c r="C705" s="1" t="str">
        <f>IFERROR(__xludf.DUMMYFUNCTION("""COMPUTED_VALUE"""),"MrCrunch")</f>
        <v>MrCrunch</v>
      </c>
      <c r="D705" s="1">
        <f>IFERROR(__xludf.DUMMYFUNCTION("""COMPUTED_VALUE"""),55.0)</f>
        <v>55</v>
      </c>
      <c r="E705" s="1">
        <f>IFERROR(__xludf.DUMMYFUNCTION("""COMPUTED_VALUE"""),29.37)</f>
        <v>29.37</v>
      </c>
      <c r="F705" s="1">
        <f>IFERROR(__xludf.DUMMYFUNCTION("""COMPUTED_VALUE"""),11.0)</f>
        <v>11</v>
      </c>
      <c r="G705" s="1">
        <f t="shared" si="1"/>
        <v>5</v>
      </c>
      <c r="H705" s="1">
        <f t="shared" si="2"/>
        <v>2.67</v>
      </c>
      <c r="I705" s="1">
        <f>IFERROR(__xludf.DUMMYFUNCTION("IF(B705="""","""",
  100*F705 / MAX(FILTER($F:$F, $A:$A=$A705, $B:$B=$B705))
)
"),1.9891500904159132)</f>
        <v>1.98915009</v>
      </c>
      <c r="J705" s="1">
        <f>IFERROR(__xludf.DUMMYFUNCTION("IF(B705="""","""",
  100*E705 / MAX(FILTER($E:$E, $A:$A=$A705, $B:$B=$B705))
)
"),7.5871867734435545)</f>
        <v>7.587186773</v>
      </c>
      <c r="K705" s="1">
        <f t="shared" si="3"/>
        <v>4.508266598</v>
      </c>
    </row>
    <row r="706">
      <c r="A706" s="3">
        <f>IFERROR(__xludf.DUMMYFUNCTION("""COMPUTED_VALUE"""),45962.0)</f>
        <v>45962</v>
      </c>
      <c r="B706" s="1" t="str">
        <f>IFERROR(__xludf.DUMMYFUNCTION("""COMPUTED_VALUE"""),"HTMall")</f>
        <v>HTMall</v>
      </c>
      <c r="C706" s="1" t="str">
        <f>IFERROR(__xludf.DUMMYFUNCTION("""COMPUTED_VALUE"""),"MrCrunch Normal")</f>
        <v>MrCrunch Normal</v>
      </c>
      <c r="D706" s="1">
        <f>IFERROR(__xludf.DUMMYFUNCTION("""COMPUTED_VALUE"""),120.0)</f>
        <v>120</v>
      </c>
      <c r="E706" s="1">
        <f>IFERROR(__xludf.DUMMYFUNCTION("""COMPUTED_VALUE"""),70.8)</f>
        <v>70.8</v>
      </c>
      <c r="F706" s="1">
        <f>IFERROR(__xludf.DUMMYFUNCTION("""COMPUTED_VALUE"""),24.0)</f>
        <v>24</v>
      </c>
      <c r="G706" s="1">
        <f t="shared" si="1"/>
        <v>5</v>
      </c>
      <c r="H706" s="1">
        <f t="shared" si="2"/>
        <v>2.95</v>
      </c>
      <c r="I706" s="1">
        <f>IFERROR(__xludf.DUMMYFUNCTION("IF(B706="""","""",
  100*F706 / MAX(FILTER($F:$F, $A:$A=$A706, $B:$B=$B706))
)
"),4.3399638336347195)</f>
        <v>4.339963834</v>
      </c>
      <c r="J706" s="1">
        <f>IFERROR(__xludf.DUMMYFUNCTION("IF(B706="""","""",
  100*E706 / MAX(FILTER($E:$E, $A:$A=$A706, $B:$B=$B706))
)
"),18.28984758460346)</f>
        <v>18.28984758</v>
      </c>
      <c r="K706" s="1">
        <f t="shared" si="3"/>
        <v>10.61741152</v>
      </c>
    </row>
    <row r="707">
      <c r="A707" s="3">
        <f>IFERROR(__xludf.DUMMYFUNCTION("""COMPUTED_VALUE"""),45962.0)</f>
        <v>45962</v>
      </c>
      <c r="B707" s="1" t="str">
        <f>IFERROR(__xludf.DUMMYFUNCTION("""COMPUTED_VALUE"""),"HTMall")</f>
        <v>HTMall</v>
      </c>
      <c r="C707" s="1" t="str">
        <f>IFERROR(__xludf.DUMMYFUNCTION("""COMPUTED_VALUE"""),"MrCrunch-RingGo")</f>
        <v>MrCrunch-RingGo</v>
      </c>
      <c r="D707" s="1">
        <f>IFERROR(__xludf.DUMMYFUNCTION("""COMPUTED_VALUE"""),55.0)</f>
        <v>55</v>
      </c>
      <c r="E707" s="1">
        <f>IFERROR(__xludf.DUMMYFUNCTION("""COMPUTED_VALUE"""),37.4)</f>
        <v>37.4</v>
      </c>
      <c r="F707" s="1">
        <f>IFERROR(__xludf.DUMMYFUNCTION("""COMPUTED_VALUE"""),11.0)</f>
        <v>11</v>
      </c>
      <c r="G707" s="1">
        <f t="shared" si="1"/>
        <v>5</v>
      </c>
      <c r="H707" s="1">
        <f t="shared" si="2"/>
        <v>3.4</v>
      </c>
      <c r="I707" s="1">
        <f>IFERROR(__xludf.DUMMYFUNCTION("IF(B707="""","""",
  100*F707 / MAX(FILTER($F:$F, $A:$A=$A707, $B:$B=$B707))
)
"),1.9891500904159132)</f>
        <v>1.98915009</v>
      </c>
      <c r="J707" s="1">
        <f>IFERROR(__xludf.DUMMYFUNCTION("IF(B707="""","""",
  100*E707 / MAX(FILTER($E:$E, $A:$A=$A707, $B:$B=$B707))
)
"),9.66158615344872)</f>
        <v>9.661586153</v>
      </c>
      <c r="K707" s="1">
        <f t="shared" si="3"/>
        <v>5.441746319</v>
      </c>
    </row>
    <row r="708">
      <c r="A708" s="3">
        <f>IFERROR(__xludf.DUMMYFUNCTION("""COMPUTED_VALUE"""),45962.0)</f>
        <v>45962</v>
      </c>
      <c r="B708" s="1" t="str">
        <f>IFERROR(__xludf.DUMMYFUNCTION("""COMPUTED_VALUE"""),"HTMall")</f>
        <v>HTMall</v>
      </c>
      <c r="C708" s="1" t="str">
        <f>IFERROR(__xludf.DUMMYFUNCTION("""COMPUTED_VALUE"""),"Pepsi")</f>
        <v>Pepsi</v>
      </c>
      <c r="D708" s="1">
        <f>IFERROR(__xludf.DUMMYFUNCTION("""COMPUTED_VALUE"""),183.0)</f>
        <v>183</v>
      </c>
      <c r="E708" s="1">
        <f>IFERROR(__xludf.DUMMYFUNCTION("""COMPUTED_VALUE"""),45.75)</f>
        <v>45.75</v>
      </c>
      <c r="F708" s="1">
        <f>IFERROR(__xludf.DUMMYFUNCTION("""COMPUTED_VALUE"""),61.0)</f>
        <v>61</v>
      </c>
      <c r="G708" s="1">
        <f t="shared" si="1"/>
        <v>3</v>
      </c>
      <c r="H708" s="1">
        <f t="shared" si="2"/>
        <v>0.75</v>
      </c>
      <c r="I708" s="1">
        <f>IFERROR(__xludf.DUMMYFUNCTION("IF(B708="""","""",
  100*F708 / MAX(FILTER($F:$F, $A:$A=$A708, $B:$B=$B708))
)
"),11.030741410488245)</f>
        <v>11.03074141</v>
      </c>
      <c r="J708" s="1">
        <f>IFERROR(__xludf.DUMMYFUNCTION("IF(B708="""","""",
  100*E708 / MAX(FILTER($E:$E, $A:$A=$A708, $B:$B=$B708))
)
"),11.818651511237405)</f>
        <v>11.81865151</v>
      </c>
      <c r="K708" s="1">
        <f t="shared" si="3"/>
        <v>11.38530096</v>
      </c>
    </row>
    <row r="709">
      <c r="A709" s="3">
        <f>IFERROR(__xludf.DUMMYFUNCTION("""COMPUTED_VALUE"""),45962.0)</f>
        <v>45962</v>
      </c>
      <c r="B709" s="1" t="str">
        <f>IFERROR(__xludf.DUMMYFUNCTION("""COMPUTED_VALUE"""),"HTMall")</f>
        <v>HTMall</v>
      </c>
      <c r="C709" s="1" t="str">
        <f>IFERROR(__xludf.DUMMYFUNCTION("""COMPUTED_VALUE"""),"Rani")</f>
        <v>Rani</v>
      </c>
      <c r="D709" s="1">
        <f>IFERROR(__xludf.DUMMYFUNCTION("""COMPUTED_VALUE"""),48.0)</f>
        <v>48</v>
      </c>
      <c r="E709" s="1">
        <f>IFERROR(__xludf.DUMMYFUNCTION("""COMPUTED_VALUE"""),13.28)</f>
        <v>13.28</v>
      </c>
      <c r="F709" s="1">
        <f>IFERROR(__xludf.DUMMYFUNCTION("""COMPUTED_VALUE"""),16.0)</f>
        <v>16</v>
      </c>
      <c r="G709" s="1">
        <f t="shared" si="1"/>
        <v>3</v>
      </c>
      <c r="H709" s="1">
        <f t="shared" si="2"/>
        <v>0.83</v>
      </c>
      <c r="I709" s="1">
        <f>IFERROR(__xludf.DUMMYFUNCTION("IF(B709="""","""",
  100*F709 / MAX(FILTER($F:$F, $A:$A=$A709, $B:$B=$B709))
)
"),2.8933092224231465)</f>
        <v>2.893309222</v>
      </c>
      <c r="J709" s="1">
        <f>IFERROR(__xludf.DUMMYFUNCTION("IF(B709="""","""",
  100*E709 / MAX(FILTER($E:$E, $A:$A=$A709, $B:$B=$B709))
)
"),3.4306380780160164)</f>
        <v>3.430638078</v>
      </c>
      <c r="K709" s="1">
        <f t="shared" si="3"/>
        <v>3.135107207</v>
      </c>
    </row>
    <row r="710">
      <c r="A710" s="3">
        <f>IFERROR(__xludf.DUMMYFUNCTION("""COMPUTED_VALUE"""),45962.0)</f>
        <v>45962</v>
      </c>
      <c r="B710" s="1" t="str">
        <f>IFERROR(__xludf.DUMMYFUNCTION("""COMPUTED_VALUE"""),"HTMall")</f>
        <v>HTMall</v>
      </c>
      <c r="C710" s="1" t="str">
        <f>IFERROR(__xludf.DUMMYFUNCTION("""COMPUTED_VALUE"""),"Schweppes")</f>
        <v>Schweppes</v>
      </c>
      <c r="D710" s="1">
        <f>IFERROR(__xludf.DUMMYFUNCTION("""COMPUTED_VALUE"""),60.0)</f>
        <v>60</v>
      </c>
      <c r="E710" s="1">
        <f>IFERROR(__xludf.DUMMYFUNCTION("""COMPUTED_VALUE"""),20.0)</f>
        <v>20</v>
      </c>
      <c r="F710" s="1">
        <f>IFERROR(__xludf.DUMMYFUNCTION("""COMPUTED_VALUE"""),20.0)</f>
        <v>20</v>
      </c>
      <c r="G710" s="1">
        <f t="shared" si="1"/>
        <v>3</v>
      </c>
      <c r="H710" s="1">
        <f t="shared" si="2"/>
        <v>1</v>
      </c>
      <c r="I710" s="1">
        <f>IFERROR(__xludf.DUMMYFUNCTION("IF(B710="""","""",
  100*F710 / MAX(FILTER($F:$F, $A:$A=$A710, $B:$B=$B710))
)
"),3.616636528028933)</f>
        <v>3.616636528</v>
      </c>
      <c r="J710" s="1">
        <f>IFERROR(__xludf.DUMMYFUNCTION("IF(B710="""","""",
  100*E710 / MAX(FILTER($E:$E, $A:$A=$A710, $B:$B=$B710))
)
"),5.1666236114699045)</f>
        <v>5.166623611</v>
      </c>
      <c r="K710" s="1">
        <f t="shared" si="3"/>
        <v>4.314130716</v>
      </c>
    </row>
    <row r="711">
      <c r="A711" s="3">
        <f>IFERROR(__xludf.DUMMYFUNCTION("""COMPUTED_VALUE"""),45962.0)</f>
        <v>45962</v>
      </c>
      <c r="B711" s="1" t="str">
        <f>IFERROR(__xludf.DUMMYFUNCTION("""COMPUTED_VALUE"""),"HTMall")</f>
        <v>HTMall</v>
      </c>
      <c r="C711" s="1" t="str">
        <f>IFERROR(__xludf.DUMMYFUNCTION("""COMPUTED_VALUE"""),"Snickers")</f>
        <v>Snickers</v>
      </c>
      <c r="D711" s="1">
        <f>IFERROR(__xludf.DUMMYFUNCTION("""COMPUTED_VALUE"""),125.0)</f>
        <v>125</v>
      </c>
      <c r="E711" s="1">
        <f>IFERROR(__xludf.DUMMYFUNCTION("""COMPUTED_VALUE"""),12.5)</f>
        <v>12.5</v>
      </c>
      <c r="F711" s="1">
        <f>IFERROR(__xludf.DUMMYFUNCTION("""COMPUTED_VALUE"""),25.0)</f>
        <v>25</v>
      </c>
      <c r="G711" s="1">
        <f t="shared" si="1"/>
        <v>5</v>
      </c>
      <c r="H711" s="1">
        <f t="shared" si="2"/>
        <v>0.5</v>
      </c>
      <c r="I711" s="1">
        <f>IFERROR(__xludf.DUMMYFUNCTION("IF(B711="""","""",
  100*F711 / MAX(FILTER($F:$F, $A:$A=$A711, $B:$B=$B711))
)
"),4.520795660036167)</f>
        <v>4.52079566</v>
      </c>
      <c r="J711" s="1">
        <f>IFERROR(__xludf.DUMMYFUNCTION("IF(B711="""","""",
  100*E711 / MAX(FILTER($E:$E, $A:$A=$A711, $B:$B=$B711))
)
"),3.22913975716869)</f>
        <v>3.229139757</v>
      </c>
      <c r="K711" s="1">
        <f t="shared" si="3"/>
        <v>3.939550504</v>
      </c>
    </row>
    <row r="712">
      <c r="A712" s="3">
        <f>IFERROR(__xludf.DUMMYFUNCTION("""COMPUTED_VALUE"""),45962.0)</f>
        <v>45962</v>
      </c>
      <c r="B712" s="1" t="str">
        <f>IFERROR(__xludf.DUMMYFUNCTION("""COMPUTED_VALUE"""),"HTMall")</f>
        <v>HTMall</v>
      </c>
      <c r="C712" s="1" t="str">
        <f>IFERROR(__xludf.DUMMYFUNCTION("""COMPUTED_VALUE"""),"Tiger *12")</f>
        <v>Tiger *12</v>
      </c>
      <c r="D712" s="1">
        <f>IFERROR(__xludf.DUMMYFUNCTION("""COMPUTED_VALUE"""),885.0)</f>
        <v>885</v>
      </c>
      <c r="E712" s="1">
        <f>IFERROR(__xludf.DUMMYFUNCTION("""COMPUTED_VALUE"""),339.84)</f>
        <v>339.84</v>
      </c>
      <c r="F712" s="1">
        <f>IFERROR(__xludf.DUMMYFUNCTION("""COMPUTED_VALUE"""),177.0)</f>
        <v>177</v>
      </c>
      <c r="G712" s="1">
        <f t="shared" si="1"/>
        <v>5</v>
      </c>
      <c r="H712" s="1">
        <f t="shared" si="2"/>
        <v>1.92</v>
      </c>
      <c r="I712" s="1">
        <f>IFERROR(__xludf.DUMMYFUNCTION("IF(B712="""","""",
  100*F712 / MAX(FILTER($F:$F, $A:$A=$A712, $B:$B=$B712))
)
"),32.00723327305606)</f>
        <v>32.00723327</v>
      </c>
      <c r="J712" s="1">
        <f>IFERROR(__xludf.DUMMYFUNCTION("IF(B712="""","""",
  100*E712 / MAX(FILTER($E:$E, $A:$A=$A712, $B:$B=$B712))
)
"),87.7912684060966)</f>
        <v>87.79126841</v>
      </c>
      <c r="K712" s="1">
        <f t="shared" si="3"/>
        <v>57.11004908</v>
      </c>
    </row>
    <row r="713">
      <c r="A713" s="3">
        <f>IFERROR(__xludf.DUMMYFUNCTION("""COMPUTED_VALUE"""),45962.0)</f>
        <v>45962</v>
      </c>
      <c r="B713" s="1" t="str">
        <f>IFERROR(__xludf.DUMMYFUNCTION("""COMPUTED_VALUE"""),"HTMall")</f>
        <v>HTMall</v>
      </c>
      <c r="C713" s="1" t="str">
        <f>IFERROR(__xludf.DUMMYFUNCTION("""COMPUTED_VALUE"""),"Twix")</f>
        <v>Twix</v>
      </c>
      <c r="D713" s="1">
        <f>IFERROR(__xludf.DUMMYFUNCTION("""COMPUTED_VALUE"""),107.0)</f>
        <v>107</v>
      </c>
      <c r="E713" s="1">
        <f>IFERROR(__xludf.DUMMYFUNCTION("""COMPUTED_VALUE"""),16.0)</f>
        <v>16</v>
      </c>
      <c r="F713" s="1">
        <f>IFERROR(__xludf.DUMMYFUNCTION("""COMPUTED_VALUE"""),26.0)</f>
        <v>26</v>
      </c>
      <c r="G713" s="1">
        <f t="shared" si="1"/>
        <v>4.115384615</v>
      </c>
      <c r="H713" s="1">
        <f t="shared" si="2"/>
        <v>0.6153846154</v>
      </c>
      <c r="I713" s="1">
        <f>IFERROR(__xludf.DUMMYFUNCTION("IF(B713="""","""",
  100*F713 / MAX(FILTER($F:$F, $A:$A=$A713, $B:$B=$B713))
)
"),4.701627486437613)</f>
        <v>4.701627486</v>
      </c>
      <c r="J713" s="1">
        <f>IFERROR(__xludf.DUMMYFUNCTION("IF(B713="""","""",
  100*E713 / MAX(FILTER($E:$E, $A:$A=$A713, $B:$B=$B713))
)
"),4.133298889175923)</f>
        <v>4.133298889</v>
      </c>
      <c r="K713" s="1">
        <f t="shared" si="3"/>
        <v>4.445879618</v>
      </c>
    </row>
    <row r="714">
      <c r="A714" s="3">
        <f>IFERROR(__xludf.DUMMYFUNCTION("""COMPUTED_VALUE"""),45962.0)</f>
        <v>45962</v>
      </c>
      <c r="B714" s="1" t="str">
        <f>IFERROR(__xludf.DUMMYFUNCTION("""COMPUTED_VALUE"""),"HTMall")</f>
        <v>HTMall</v>
      </c>
      <c r="C714" s="1" t="str">
        <f>IFERROR(__xludf.DUMMYFUNCTION("""COMPUTED_VALUE"""),"Twix ex")</f>
        <v>Twix ex</v>
      </c>
      <c r="D714" s="1">
        <f>IFERROR(__xludf.DUMMYFUNCTION("""COMPUTED_VALUE"""),46.0)</f>
        <v>46</v>
      </c>
      <c r="E714" s="1">
        <f>IFERROR(__xludf.DUMMYFUNCTION("""COMPUTED_VALUE"""),25.0)</f>
        <v>25</v>
      </c>
      <c r="F714" s="1">
        <f>IFERROR(__xludf.DUMMYFUNCTION("""COMPUTED_VALUE"""),12.0)</f>
        <v>12</v>
      </c>
      <c r="G714" s="1">
        <f t="shared" si="1"/>
        <v>3.833333333</v>
      </c>
      <c r="H714" s="1">
        <f t="shared" si="2"/>
        <v>2.083333333</v>
      </c>
      <c r="I714" s="1">
        <f>IFERROR(__xludf.DUMMYFUNCTION("IF(B714="""","""",
  100*F714 / MAX(FILTER($F:$F, $A:$A=$A714, $B:$B=$B714))
)
"),2.1699819168173597)</f>
        <v>2.169981917</v>
      </c>
      <c r="J714" s="1">
        <f>IFERROR(__xludf.DUMMYFUNCTION("IF(B714="""","""",
  100*E714 / MAX(FILTER($E:$E, $A:$A=$A714, $B:$B=$B714))
)
"),6.45827951433738)</f>
        <v>6.458279514</v>
      </c>
      <c r="K714" s="1">
        <f t="shared" si="3"/>
        <v>4.099715836</v>
      </c>
    </row>
    <row r="715">
      <c r="A715" s="3">
        <f>IFERROR(__xludf.DUMMYFUNCTION("""COMPUTED_VALUE"""),45962.0)</f>
        <v>45962</v>
      </c>
      <c r="B715" s="1" t="str">
        <f>IFERROR(__xludf.DUMMYFUNCTION("""COMPUTED_VALUE"""),"HTMall")</f>
        <v>HTMall</v>
      </c>
      <c r="C715" s="1" t="str">
        <f>IFERROR(__xludf.DUMMYFUNCTION("""COMPUTED_VALUE"""),"Water")</f>
        <v>Water</v>
      </c>
      <c r="D715" s="1">
        <f>IFERROR(__xludf.DUMMYFUNCTION("""COMPUTED_VALUE"""),553.0)</f>
        <v>553</v>
      </c>
      <c r="E715" s="1">
        <f>IFERROR(__xludf.DUMMYFUNCTION("""COMPUTED_VALUE"""),387.1)</f>
        <v>387.1</v>
      </c>
      <c r="F715" s="1">
        <f>IFERROR(__xludf.DUMMYFUNCTION("""COMPUTED_VALUE"""),553.0)</f>
        <v>553</v>
      </c>
      <c r="G715" s="1">
        <f t="shared" si="1"/>
        <v>1</v>
      </c>
      <c r="H715" s="1">
        <f t="shared" si="2"/>
        <v>0.7</v>
      </c>
      <c r="I715" s="1">
        <f>IFERROR(__xludf.DUMMYFUNCTION("IF(B715="""","""",
  100*F715 / MAX(FILTER($F:$F, $A:$A=$A715, $B:$B=$B715))
)
"),100.0)</f>
        <v>100</v>
      </c>
      <c r="J715" s="1">
        <f>IFERROR(__xludf.DUMMYFUNCTION("IF(B715="""","""",
  100*E715 / MAX(FILTER($E:$E, $A:$A=$A715, $B:$B=$B715))
)
"),100.0)</f>
        <v>100</v>
      </c>
      <c r="K715" s="1">
        <f t="shared" si="3"/>
        <v>100</v>
      </c>
    </row>
    <row r="716">
      <c r="A716" s="3">
        <f>IFERROR(__xludf.DUMMYFUNCTION("""COMPUTED_VALUE"""),45962.0)</f>
        <v>45962</v>
      </c>
      <c r="B716" s="1" t="str">
        <f>IFERROR(__xludf.DUMMYFUNCTION("""COMPUTED_VALUE"""),"HTMall")</f>
        <v>HTMall</v>
      </c>
      <c r="C716" s="1" t="str">
        <f>IFERROR(__xludf.DUMMYFUNCTION("""COMPUTED_VALUE"""),"X!R")</f>
        <v>X!R</v>
      </c>
      <c r="D716" s="1">
        <f>IFERROR(__xludf.DUMMYFUNCTION("""COMPUTED_VALUE"""),400.0)</f>
        <v>400</v>
      </c>
      <c r="E716" s="1">
        <f>IFERROR(__xludf.DUMMYFUNCTION("""COMPUTED_VALUE"""),120.0)</f>
        <v>120</v>
      </c>
      <c r="F716" s="1">
        <f>IFERROR(__xludf.DUMMYFUNCTION("""COMPUTED_VALUE"""),80.0)</f>
        <v>80</v>
      </c>
      <c r="G716" s="1">
        <f t="shared" si="1"/>
        <v>5</v>
      </c>
      <c r="H716" s="1">
        <f t="shared" si="2"/>
        <v>1.5</v>
      </c>
      <c r="I716" s="1">
        <f>IFERROR(__xludf.DUMMYFUNCTION("IF(B716="""","""",
  100*F716 / MAX(FILTER($F:$F, $A:$A=$A716, $B:$B=$B716))
)
"),14.466546112115733)</f>
        <v>14.46654611</v>
      </c>
      <c r="J716" s="1">
        <f>IFERROR(__xludf.DUMMYFUNCTION("IF(B716="""","""",
  100*E716 / MAX(FILTER($E:$E, $A:$A=$A716, $B:$B=$B716))
)
"),30.999741668819425)</f>
        <v>30.99974167</v>
      </c>
      <c r="K716" s="1">
        <f t="shared" si="3"/>
        <v>21.90648411</v>
      </c>
    </row>
    <row r="717">
      <c r="A717" s="3">
        <f>IFERROR(__xludf.DUMMYFUNCTION("""COMPUTED_VALUE"""),45962.0)</f>
        <v>45962</v>
      </c>
      <c r="B717" s="1" t="str">
        <f>IFERROR(__xludf.DUMMYFUNCTION("""COMPUTED_VALUE"""),"HTMall")</f>
        <v>HTMall</v>
      </c>
      <c r="C717" s="1" t="str">
        <f>IFERROR(__xludf.DUMMYFUNCTION("""COMPUTED_VALUE"""),"bonart")</f>
        <v>bonart</v>
      </c>
      <c r="D717" s="1">
        <f>IFERROR(__xludf.DUMMYFUNCTION("""COMPUTED_VALUE"""),68.0)</f>
        <v>68</v>
      </c>
      <c r="E717" s="1">
        <f>IFERROR(__xludf.DUMMYFUNCTION("""COMPUTED_VALUE"""),12.52)</f>
        <v>12.52</v>
      </c>
      <c r="F717" s="1">
        <f>IFERROR(__xludf.DUMMYFUNCTION("""COMPUTED_VALUE"""),19.0)</f>
        <v>19</v>
      </c>
      <c r="G717" s="1">
        <f t="shared" si="1"/>
        <v>3.578947368</v>
      </c>
      <c r="H717" s="1">
        <f t="shared" si="2"/>
        <v>0.6589473684</v>
      </c>
      <c r="I717" s="1">
        <f>IFERROR(__xludf.DUMMYFUNCTION("IF(B717="""","""",
  100*F717 / MAX(FILTER($F:$F, $A:$A=$A717, $B:$B=$B717))
)
"),3.4358047016274864)</f>
        <v>3.435804702</v>
      </c>
      <c r="J717" s="1">
        <f>IFERROR(__xludf.DUMMYFUNCTION("IF(B717="""","""",
  100*E717 / MAX(FILTER($E:$E, $A:$A=$A717, $B:$B=$B717))
)
"),3.23430638078016)</f>
        <v>3.234306381</v>
      </c>
      <c r="K717" s="1">
        <f t="shared" si="3"/>
        <v>3.345130457</v>
      </c>
    </row>
    <row r="718">
      <c r="A718" s="3">
        <f>IFERROR(__xludf.DUMMYFUNCTION("""COMPUTED_VALUE"""),45962.0)</f>
        <v>45962</v>
      </c>
      <c r="B718" s="1" t="str">
        <f>IFERROR(__xludf.DUMMYFUNCTION("""COMPUTED_VALUE"""),"HTMall")</f>
        <v>HTMall</v>
      </c>
      <c r="C718" s="1" t="str">
        <f>IFERROR(__xludf.DUMMYFUNCTION("""COMPUTED_VALUE"""),"ex mars")</f>
        <v>ex mars</v>
      </c>
      <c r="D718" s="1">
        <f>IFERROR(__xludf.DUMMYFUNCTION("""COMPUTED_VALUE"""),166.0)</f>
        <v>166</v>
      </c>
      <c r="E718" s="1">
        <f>IFERROR(__xludf.DUMMYFUNCTION("""COMPUTED_VALUE"""),54.2)</f>
        <v>54.2</v>
      </c>
      <c r="F718" s="1">
        <f>IFERROR(__xludf.DUMMYFUNCTION("""COMPUTED_VALUE"""),43.0)</f>
        <v>43</v>
      </c>
      <c r="G718" s="1">
        <f t="shared" si="1"/>
        <v>3.860465116</v>
      </c>
      <c r="H718" s="1">
        <f t="shared" si="2"/>
        <v>1.260465116</v>
      </c>
      <c r="I718" s="1">
        <f>IFERROR(__xludf.DUMMYFUNCTION("IF(B718="""","""",
  100*F718 / MAX(FILTER($F:$F, $A:$A=$A718, $B:$B=$B718))
)
"),7.775768535262206)</f>
        <v>7.775768535</v>
      </c>
      <c r="J718" s="1">
        <f>IFERROR(__xludf.DUMMYFUNCTION("IF(B718="""","""",
  100*E718 / MAX(FILTER($E:$E, $A:$A=$A718, $B:$B=$B718))
)
"),14.00154998708344)</f>
        <v>14.00154999</v>
      </c>
      <c r="K718" s="1">
        <f t="shared" si="3"/>
        <v>10.57737019</v>
      </c>
    </row>
    <row r="719">
      <c r="A719" s="3">
        <f>IFERROR(__xludf.DUMMYFUNCTION("""COMPUTED_VALUE"""),45962.0)</f>
        <v>45962</v>
      </c>
      <c r="B719" s="1" t="str">
        <f>IFERROR(__xludf.DUMMYFUNCTION("""COMPUTED_VALUE"""),"HTMall")</f>
        <v>HTMall</v>
      </c>
      <c r="C719" s="1" t="str">
        <f>IFERROR(__xludf.DUMMYFUNCTION("""COMPUTED_VALUE"""),"mr bite")</f>
        <v>mr bite</v>
      </c>
      <c r="D719" s="1">
        <f>IFERROR(__xludf.DUMMYFUNCTION("""COMPUTED_VALUE"""),222.0)</f>
        <v>222</v>
      </c>
      <c r="E719" s="1">
        <f>IFERROR(__xludf.DUMMYFUNCTION("""COMPUTED_VALUE"""),74.37)</f>
        <v>74.37</v>
      </c>
      <c r="F719" s="1">
        <f>IFERROR(__xludf.DUMMYFUNCTION("""COMPUTED_VALUE"""),111.0)</f>
        <v>111</v>
      </c>
      <c r="G719" s="1">
        <f t="shared" si="1"/>
        <v>2</v>
      </c>
      <c r="H719" s="1">
        <f t="shared" si="2"/>
        <v>0.67</v>
      </c>
      <c r="I719" s="1">
        <f>IFERROR(__xludf.DUMMYFUNCTION("IF(B719="""","""",
  100*F719 / MAX(FILTER($F:$F, $A:$A=$A719, $B:$B=$B719))
)
"),20.07233273056058)</f>
        <v>20.07233273</v>
      </c>
      <c r="J719" s="1">
        <f>IFERROR(__xludf.DUMMYFUNCTION("IF(B719="""","""",
  100*E719 / MAX(FILTER($E:$E, $A:$A=$A719, $B:$B=$B719))
)
"),19.212089899250838)</f>
        <v>19.2120899</v>
      </c>
      <c r="K719" s="1">
        <f t="shared" si="3"/>
        <v>19.68522346</v>
      </c>
    </row>
    <row r="720">
      <c r="A720" s="3">
        <f>IFERROR(__xludf.DUMMYFUNCTION("""COMPUTED_VALUE"""),45962.0)</f>
        <v>45962</v>
      </c>
      <c r="B720" s="1" t="str">
        <f>IFERROR(__xludf.DUMMYFUNCTION("""COMPUTED_VALUE"""),"HTMall")</f>
        <v>HTMall</v>
      </c>
      <c r="C720" s="1" t="str">
        <f>IFERROR(__xludf.DUMMYFUNCTION("""COMPUTED_VALUE"""),"sunTop")</f>
        <v>sunTop</v>
      </c>
      <c r="D720" s="1">
        <f>IFERROR(__xludf.DUMMYFUNCTION("""COMPUTED_VALUE"""),344.0)</f>
        <v>344</v>
      </c>
      <c r="E720" s="1">
        <f>IFERROR(__xludf.DUMMYFUNCTION("""COMPUTED_VALUE"""),146.0)</f>
        <v>146</v>
      </c>
      <c r="F720" s="1">
        <f>IFERROR(__xludf.DUMMYFUNCTION("""COMPUTED_VALUE"""),330.0)</f>
        <v>330</v>
      </c>
      <c r="G720" s="1">
        <f t="shared" si="1"/>
        <v>1.042424242</v>
      </c>
      <c r="H720" s="1">
        <f t="shared" si="2"/>
        <v>0.4424242424</v>
      </c>
      <c r="I720" s="1">
        <f>IFERROR(__xludf.DUMMYFUNCTION("IF(B720="""","""",
  100*F720 / MAX(FILTER($F:$F, $A:$A=$A720, $B:$B=$B720))
)
"),59.6745027124774)</f>
        <v>59.67450271</v>
      </c>
      <c r="J720" s="1">
        <f>IFERROR(__xludf.DUMMYFUNCTION("IF(B720="""","""",
  100*E720 / MAX(FILTER($E:$E, $A:$A=$A720, $B:$B=$B720))
)
"),37.7163523637303)</f>
        <v>37.71635236</v>
      </c>
      <c r="K720" s="1">
        <f t="shared" si="3"/>
        <v>49.79333506</v>
      </c>
    </row>
    <row r="721">
      <c r="A721" s="3">
        <f>IFERROR(__xludf.DUMMYFUNCTION("""COMPUTED_VALUE"""),45962.0)</f>
        <v>45962</v>
      </c>
      <c r="B721" s="1" t="str">
        <f>IFERROR(__xludf.DUMMYFUNCTION("""COMPUTED_VALUE"""),"HospAlmoa")</f>
        <v>HospAlmoa</v>
      </c>
      <c r="C721" s="1" t="str">
        <f>IFERROR(__xludf.DUMMYFUNCTION("""COMPUTED_VALUE"""),"Almarai Chocolate")</f>
        <v>Almarai Chocolate</v>
      </c>
      <c r="D721" s="1">
        <f>IFERROR(__xludf.DUMMYFUNCTION("""COMPUTED_VALUE"""),124.0)</f>
        <v>124</v>
      </c>
      <c r="E721" s="1">
        <f>IFERROR(__xludf.DUMMYFUNCTION("""COMPUTED_VALUE"""),20.0)</f>
        <v>20</v>
      </c>
      <c r="F721" s="1">
        <f>IFERROR(__xludf.DUMMYFUNCTION("""COMPUTED_VALUE"""),52.0)</f>
        <v>52</v>
      </c>
      <c r="G721" s="1">
        <f t="shared" si="1"/>
        <v>2.384615385</v>
      </c>
      <c r="H721" s="1">
        <f t="shared" si="2"/>
        <v>0.3846153846</v>
      </c>
      <c r="I721" s="1">
        <f>IFERROR(__xludf.DUMMYFUNCTION("IF(B721="""","""",
  100*F721 / MAX(FILTER($F:$F, $A:$A=$A721, $B:$B=$B721))
)
"),19.475655430711612)</f>
        <v>19.47565543</v>
      </c>
      <c r="J721" s="1">
        <f>IFERROR(__xludf.DUMMYFUNCTION("IF(B721="""","""",
  100*E721 / MAX(FILTER($E:$E, $A:$A=$A721, $B:$B=$B721))
)
"),10.700909577314071)</f>
        <v>10.70090958</v>
      </c>
      <c r="K721" s="1">
        <f t="shared" si="3"/>
        <v>15.5270198</v>
      </c>
    </row>
    <row r="722">
      <c r="A722" s="3">
        <f>IFERROR(__xludf.DUMMYFUNCTION("""COMPUTED_VALUE"""),45962.0)</f>
        <v>45962</v>
      </c>
      <c r="B722" s="1" t="str">
        <f>IFERROR(__xludf.DUMMYFUNCTION("""COMPUTED_VALUE"""),"HospAlmoa")</f>
        <v>HospAlmoa</v>
      </c>
      <c r="C722" s="1" t="str">
        <f>IFERROR(__xludf.DUMMYFUNCTION("""COMPUTED_VALUE"""),"Almarai Strawberry")</f>
        <v>Almarai Strawberry</v>
      </c>
      <c r="D722" s="1">
        <f>IFERROR(__xludf.DUMMYFUNCTION("""COMPUTED_VALUE"""),129.0)</f>
        <v>129</v>
      </c>
      <c r="E722" s="1">
        <f>IFERROR(__xludf.DUMMYFUNCTION("""COMPUTED_VALUE"""),39.56)</f>
        <v>39.56</v>
      </c>
      <c r="F722" s="1">
        <f>IFERROR(__xludf.DUMMYFUNCTION("""COMPUTED_VALUE"""),43.0)</f>
        <v>43</v>
      </c>
      <c r="G722" s="1">
        <f t="shared" si="1"/>
        <v>3</v>
      </c>
      <c r="H722" s="1">
        <f t="shared" si="2"/>
        <v>0.92</v>
      </c>
      <c r="I722" s="1">
        <f>IFERROR(__xludf.DUMMYFUNCTION("IF(B722="""","""",
  100*F722 / MAX(FILTER($F:$F, $A:$A=$A722, $B:$B=$B722))
)
"),16.10486891385768)</f>
        <v>16.10486891</v>
      </c>
      <c r="J722" s="1">
        <f>IFERROR(__xludf.DUMMYFUNCTION("IF(B722="""","""",
  100*E722 / MAX(FILTER($E:$E, $A:$A=$A722, $B:$B=$B722))
)
"),21.166399143927233)</f>
        <v>21.16639914</v>
      </c>
      <c r="K722" s="1">
        <f t="shared" si="3"/>
        <v>18.38255752</v>
      </c>
    </row>
    <row r="723">
      <c r="A723" s="3">
        <f>IFERROR(__xludf.DUMMYFUNCTION("""COMPUTED_VALUE"""),45962.0)</f>
        <v>45962</v>
      </c>
      <c r="B723" s="1" t="str">
        <f>IFERROR(__xludf.DUMMYFUNCTION("""COMPUTED_VALUE"""),"HospAlmoa")</f>
        <v>HospAlmoa</v>
      </c>
      <c r="C723" s="1" t="str">
        <f>IFERROR(__xludf.DUMMYFUNCTION("""COMPUTED_VALUE"""),"Caser Juice")</f>
        <v>Caser Juice</v>
      </c>
      <c r="D723" s="1">
        <f>IFERROR(__xludf.DUMMYFUNCTION("""COMPUTED_VALUE"""),189.0)</f>
        <v>189</v>
      </c>
      <c r="E723" s="1">
        <f>IFERROR(__xludf.DUMMYFUNCTION("""COMPUTED_VALUE"""),27.93)</f>
        <v>27.93</v>
      </c>
      <c r="F723" s="1">
        <f>IFERROR(__xludf.DUMMYFUNCTION("""COMPUTED_VALUE"""),39.0)</f>
        <v>39</v>
      </c>
      <c r="G723" s="1">
        <f t="shared" si="1"/>
        <v>4.846153846</v>
      </c>
      <c r="H723" s="1">
        <f t="shared" si="2"/>
        <v>0.7161538462</v>
      </c>
      <c r="I723" s="1">
        <f>IFERROR(__xludf.DUMMYFUNCTION("IF(B723="""","""",
  100*F723 / MAX(FILTER($F:$F, $A:$A=$A723, $B:$B=$B723))
)
"),14.606741573033707)</f>
        <v>14.60674157</v>
      </c>
      <c r="J723" s="1">
        <f>IFERROR(__xludf.DUMMYFUNCTION("IF(B723="""","""",
  100*E723 / MAX(FILTER($E:$E, $A:$A=$A723, $B:$B=$B723))
)
"),14.9438202247191)</f>
        <v>14.94382022</v>
      </c>
      <c r="K723" s="1">
        <f t="shared" si="3"/>
        <v>14.75842697</v>
      </c>
    </row>
    <row r="724">
      <c r="A724" s="3">
        <f>IFERROR(__xludf.DUMMYFUNCTION("""COMPUTED_VALUE"""),45962.0)</f>
        <v>45962</v>
      </c>
      <c r="B724" s="1" t="str">
        <f>IFERROR(__xludf.DUMMYFUNCTION("""COMPUTED_VALUE"""),"HospAlmoa")</f>
        <v>HospAlmoa</v>
      </c>
      <c r="C724" s="1" t="str">
        <f>IFERROR(__xludf.DUMMYFUNCTION("""COMPUTED_VALUE"""),"Corissant Karuzo")</f>
        <v>Corissant Karuzo</v>
      </c>
      <c r="D724" s="1">
        <f>IFERROR(__xludf.DUMMYFUNCTION("""COMPUTED_VALUE"""),60.0)</f>
        <v>60</v>
      </c>
      <c r="E724" s="1">
        <f>IFERROR(__xludf.DUMMYFUNCTION("""COMPUTED_VALUE"""),40.05)</f>
        <v>40.05</v>
      </c>
      <c r="F724" s="1">
        <f>IFERROR(__xludf.DUMMYFUNCTION("""COMPUTED_VALUE"""),15.0)</f>
        <v>15</v>
      </c>
      <c r="G724" s="1">
        <f t="shared" si="1"/>
        <v>4</v>
      </c>
      <c r="H724" s="1">
        <f t="shared" si="2"/>
        <v>2.67</v>
      </c>
      <c r="I724" s="1">
        <f>IFERROR(__xludf.DUMMYFUNCTION("IF(B724="""","""",
  100*F724 / MAX(FILTER($F:$F, $A:$A=$A724, $B:$B=$B724))
)
"),5.617977528089888)</f>
        <v>5.617977528</v>
      </c>
      <c r="J724" s="1">
        <f>IFERROR(__xludf.DUMMYFUNCTION("IF(B724="""","""",
  100*E724 / MAX(FILTER($E:$E, $A:$A=$A724, $B:$B=$B724))
)
"),21.428571428571427)</f>
        <v>21.42857143</v>
      </c>
      <c r="K724" s="1">
        <f t="shared" si="3"/>
        <v>12.73274478</v>
      </c>
    </row>
    <row r="725">
      <c r="A725" s="3">
        <f>IFERROR(__xludf.DUMMYFUNCTION("""COMPUTED_VALUE"""),45962.0)</f>
        <v>45962</v>
      </c>
      <c r="B725" s="1" t="str">
        <f>IFERROR(__xludf.DUMMYFUNCTION("""COMPUTED_VALUE"""),"HospAlmoa")</f>
        <v>HospAlmoa</v>
      </c>
      <c r="C725" s="1" t="str">
        <f>IFERROR(__xludf.DUMMYFUNCTION("""COMPUTED_VALUE"""),"Digestive")</f>
        <v>Digestive</v>
      </c>
      <c r="D725" s="1">
        <f>IFERROR(__xludf.DUMMYFUNCTION("""COMPUTED_VALUE"""),117.0)</f>
        <v>117</v>
      </c>
      <c r="E725" s="1">
        <f>IFERROR(__xludf.DUMMYFUNCTION("""COMPUTED_VALUE"""),28.8)</f>
        <v>28.8</v>
      </c>
      <c r="F725" s="1">
        <f>IFERROR(__xludf.DUMMYFUNCTION("""COMPUTED_VALUE"""),140.0)</f>
        <v>140</v>
      </c>
      <c r="G725" s="1">
        <f t="shared" si="1"/>
        <v>0.8357142857</v>
      </c>
      <c r="H725" s="1">
        <f t="shared" si="2"/>
        <v>0.2057142857</v>
      </c>
      <c r="I725" s="1">
        <f>IFERROR(__xludf.DUMMYFUNCTION("IF(B725="""","""",
  100*F725 / MAX(FILTER($F:$F, $A:$A=$A725, $B:$B=$B725))
)
"),52.43445692883895)</f>
        <v>52.43445693</v>
      </c>
      <c r="J725" s="1">
        <f>IFERROR(__xludf.DUMMYFUNCTION("IF(B725="""","""",
  100*E725 / MAX(FILTER($E:$E, $A:$A=$A725, $B:$B=$B725))
)
"),15.409309791332262)</f>
        <v>15.40930979</v>
      </c>
      <c r="K725" s="1">
        <f t="shared" si="3"/>
        <v>35.77314072</v>
      </c>
    </row>
    <row r="726">
      <c r="A726" s="3">
        <f>IFERROR(__xludf.DUMMYFUNCTION("""COMPUTED_VALUE"""),45962.0)</f>
        <v>45962</v>
      </c>
      <c r="B726" s="1" t="str">
        <f>IFERROR(__xludf.DUMMYFUNCTION("""COMPUTED_VALUE"""),"HospAlmoa")</f>
        <v>HospAlmoa</v>
      </c>
      <c r="C726" s="1" t="str">
        <f>IFERROR(__xludf.DUMMYFUNCTION("""COMPUTED_VALUE"""),"Doritos real")</f>
        <v>Doritos real</v>
      </c>
      <c r="D726" s="1">
        <f>IFERROR(__xludf.DUMMYFUNCTION("""COMPUTED_VALUE"""),154.0)</f>
        <v>154</v>
      </c>
      <c r="E726" s="1">
        <f>IFERROR(__xludf.DUMMYFUNCTION("""COMPUTED_VALUE"""),22.0)</f>
        <v>22</v>
      </c>
      <c r="F726" s="1">
        <f>IFERROR(__xludf.DUMMYFUNCTION("""COMPUTED_VALUE"""),22.0)</f>
        <v>22</v>
      </c>
      <c r="G726" s="1">
        <f t="shared" si="1"/>
        <v>7</v>
      </c>
      <c r="H726" s="1">
        <f t="shared" si="2"/>
        <v>1</v>
      </c>
      <c r="I726" s="1">
        <f>IFERROR(__xludf.DUMMYFUNCTION("IF(B726="""","""",
  100*F726 / MAX(FILTER($F:$F, $A:$A=$A726, $B:$B=$B726))
)
"),8.239700374531836)</f>
        <v>8.239700375</v>
      </c>
      <c r="J726" s="1">
        <f>IFERROR(__xludf.DUMMYFUNCTION("IF(B726="""","""",
  100*E726 / MAX(FILTER($E:$E, $A:$A=$A726, $B:$B=$B726))
)
"),11.771000535045479)</f>
        <v>11.77100054</v>
      </c>
      <c r="K726" s="1">
        <f t="shared" si="3"/>
        <v>9.828785447</v>
      </c>
    </row>
    <row r="727">
      <c r="A727" s="3">
        <f>IFERROR(__xludf.DUMMYFUNCTION("""COMPUTED_VALUE"""),45962.0)</f>
        <v>45962</v>
      </c>
      <c r="B727" s="1" t="str">
        <f>IFERROR(__xludf.DUMMYFUNCTION("""COMPUTED_VALUE"""),"HospAlmoa")</f>
        <v>HospAlmoa</v>
      </c>
      <c r="C727" s="1" t="str">
        <f>IFERROR(__xludf.DUMMYFUNCTION("""COMPUTED_VALUE"""),"Green")</f>
        <v>Green</v>
      </c>
      <c r="D727" s="1">
        <f>IFERROR(__xludf.DUMMYFUNCTION("""COMPUTED_VALUE"""),52.0)</f>
        <v>52</v>
      </c>
      <c r="E727" s="1">
        <f>IFERROR(__xludf.DUMMYFUNCTION("""COMPUTED_VALUE"""),10.56)</f>
        <v>10.56</v>
      </c>
      <c r="F727" s="1">
        <f>IFERROR(__xludf.DUMMYFUNCTION("""COMPUTED_VALUE"""),14.0)</f>
        <v>14</v>
      </c>
      <c r="G727" s="1">
        <f t="shared" si="1"/>
        <v>3.714285714</v>
      </c>
      <c r="H727" s="1">
        <f t="shared" si="2"/>
        <v>0.7542857143</v>
      </c>
      <c r="I727" s="1">
        <f>IFERROR(__xludf.DUMMYFUNCTION("IF(B727="""","""",
  100*F727 / MAX(FILTER($F:$F, $A:$A=$A727, $B:$B=$B727))
)
"),5.2434456928838955)</f>
        <v>5.243445693</v>
      </c>
      <c r="J727" s="1">
        <f>IFERROR(__xludf.DUMMYFUNCTION("IF(B727="""","""",
  100*E727 / MAX(FILTER($E:$E, $A:$A=$A727, $B:$B=$B727))
)
"),5.65008025682183)</f>
        <v>5.650080257</v>
      </c>
      <c r="K727" s="1">
        <f t="shared" si="3"/>
        <v>5.426431247</v>
      </c>
    </row>
    <row r="728">
      <c r="A728" s="3">
        <f>IFERROR(__xludf.DUMMYFUNCTION("""COMPUTED_VALUE"""),45962.0)</f>
        <v>45962</v>
      </c>
      <c r="B728" s="1" t="str">
        <f>IFERROR(__xludf.DUMMYFUNCTION("""COMPUTED_VALUE"""),"HospAlmoa")</f>
        <v>HospAlmoa</v>
      </c>
      <c r="C728" s="1" t="str">
        <f>IFERROR(__xludf.DUMMYFUNCTION("""COMPUTED_VALUE"""),"HiPro")</f>
        <v>HiPro</v>
      </c>
      <c r="D728" s="1">
        <f>IFERROR(__xludf.DUMMYFUNCTION("""COMPUTED_VALUE"""),12.0)</f>
        <v>12</v>
      </c>
      <c r="E728" s="1">
        <f>IFERROR(__xludf.DUMMYFUNCTION("""COMPUTED_VALUE"""),-5.49)</f>
        <v>-5.49</v>
      </c>
      <c r="F728" s="1">
        <f>IFERROR(__xludf.DUMMYFUNCTION("""COMPUTED_VALUE"""),3.0)</f>
        <v>3</v>
      </c>
      <c r="G728" s="1">
        <f t="shared" si="1"/>
        <v>4</v>
      </c>
      <c r="H728" s="1">
        <f t="shared" si="2"/>
        <v>-1.83</v>
      </c>
      <c r="I728" s="1">
        <f>IFERROR(__xludf.DUMMYFUNCTION("IF(B728="""","""",
  100*F728 / MAX(FILTER($F:$F, $A:$A=$A728, $B:$B=$B728))
)
"),1.1235955056179776)</f>
        <v>1.123595506</v>
      </c>
      <c r="J728" s="1">
        <f>IFERROR(__xludf.DUMMYFUNCTION("IF(B728="""","""",
  100*E728 / MAX(FILTER($E:$E, $A:$A=$A728, $B:$B=$B728))
)
"),-2.937399678972713)</f>
        <v>-2.937399679</v>
      </c>
      <c r="K728" s="1">
        <f t="shared" si="3"/>
        <v>-0.7038523274</v>
      </c>
    </row>
    <row r="729">
      <c r="A729" s="3">
        <f>IFERROR(__xludf.DUMMYFUNCTION("""COMPUTED_VALUE"""),45962.0)</f>
        <v>45962</v>
      </c>
      <c r="B729" s="1" t="str">
        <f>IFERROR(__xludf.DUMMYFUNCTION("""COMPUTED_VALUE"""),"HospAlmoa")</f>
        <v>HospAlmoa</v>
      </c>
      <c r="C729" s="1" t="str">
        <f>IFERROR(__xludf.DUMMYFUNCTION("""COMPUTED_VALUE"""),"Indomie")</f>
        <v>Indomie</v>
      </c>
      <c r="D729" s="1">
        <f>IFERROR(__xludf.DUMMYFUNCTION("""COMPUTED_VALUE"""),60.0)</f>
        <v>60</v>
      </c>
      <c r="E729" s="1">
        <f>IFERROR(__xludf.DUMMYFUNCTION("""COMPUTED_VALUE"""),26.04)</f>
        <v>26.04</v>
      </c>
      <c r="F729" s="1">
        <f>IFERROR(__xludf.DUMMYFUNCTION("""COMPUTED_VALUE"""),12.0)</f>
        <v>12</v>
      </c>
      <c r="G729" s="1">
        <f t="shared" si="1"/>
        <v>5</v>
      </c>
      <c r="H729" s="1">
        <f t="shared" si="2"/>
        <v>2.17</v>
      </c>
      <c r="I729" s="1">
        <f>IFERROR(__xludf.DUMMYFUNCTION("IF(B729="""","""",
  100*F729 / MAX(FILTER($F:$F, $A:$A=$A729, $B:$B=$B729))
)
"),4.49438202247191)</f>
        <v>4.494382022</v>
      </c>
      <c r="J729" s="1">
        <f>IFERROR(__xludf.DUMMYFUNCTION("IF(B729="""","""",
  100*E729 / MAX(FILTER($E:$E, $A:$A=$A729, $B:$B=$B729))
)
"),13.932584269662922)</f>
        <v>13.93258427</v>
      </c>
      <c r="K729" s="1">
        <f t="shared" si="3"/>
        <v>8.741573034</v>
      </c>
    </row>
    <row r="730">
      <c r="A730" s="3">
        <f>IFERROR(__xludf.DUMMYFUNCTION("""COMPUTED_VALUE"""),45962.0)</f>
        <v>45962</v>
      </c>
      <c r="B730" s="1" t="str">
        <f>IFERROR(__xludf.DUMMYFUNCTION("""COMPUTED_VALUE"""),"HospAlmoa")</f>
        <v>HospAlmoa</v>
      </c>
      <c r="C730" s="1" t="str">
        <f>IFERROR(__xludf.DUMMYFUNCTION("""COMPUTED_VALUE"""),"Kinder Bueno")</f>
        <v>Kinder Bueno</v>
      </c>
      <c r="D730" s="1">
        <f>IFERROR(__xludf.DUMMYFUNCTION("""COMPUTED_VALUE"""),234.0)</f>
        <v>234</v>
      </c>
      <c r="E730" s="1">
        <f>IFERROR(__xludf.DUMMYFUNCTION("""COMPUTED_VALUE"""),-9.6)</f>
        <v>-9.6</v>
      </c>
      <c r="F730" s="1">
        <f>IFERROR(__xludf.DUMMYFUNCTION("""COMPUTED_VALUE"""),42.0)</f>
        <v>42</v>
      </c>
      <c r="G730" s="1">
        <f t="shared" si="1"/>
        <v>5.571428571</v>
      </c>
      <c r="H730" s="1">
        <f t="shared" si="2"/>
        <v>-0.2285714286</v>
      </c>
      <c r="I730" s="1">
        <f>IFERROR(__xludf.DUMMYFUNCTION("IF(B730="""","""",
  100*F730 / MAX(FILTER($F:$F, $A:$A=$A730, $B:$B=$B730))
)
"),15.730337078651685)</f>
        <v>15.73033708</v>
      </c>
      <c r="J730" s="1">
        <f>IFERROR(__xludf.DUMMYFUNCTION("IF(B730="""","""",
  100*E730 / MAX(FILTER($E:$E, $A:$A=$A730, $B:$B=$B730))
)
"),-5.136436597110754)</f>
        <v>-5.136436597</v>
      </c>
      <c r="K730" s="1">
        <f t="shared" si="3"/>
        <v>6.340288925</v>
      </c>
    </row>
    <row r="731">
      <c r="A731" s="3">
        <f>IFERROR(__xludf.DUMMYFUNCTION("""COMPUTED_VALUE"""),45962.0)</f>
        <v>45962</v>
      </c>
      <c r="B731" s="1" t="str">
        <f>IFERROR(__xludf.DUMMYFUNCTION("""COMPUTED_VALUE"""),"HospAlmoa")</f>
        <v>HospAlmoa</v>
      </c>
      <c r="C731" s="1" t="str">
        <f>IFERROR(__xludf.DUMMYFUNCTION("""COMPUTED_VALUE"""),"Kinder bueno1stick")</f>
        <v>Kinder bueno1stick</v>
      </c>
      <c r="D731" s="1">
        <f>IFERROR(__xludf.DUMMYFUNCTION("""COMPUTED_VALUE"""),112.0)</f>
        <v>112</v>
      </c>
      <c r="E731" s="1">
        <f>IFERROR(__xludf.DUMMYFUNCTION("""COMPUTED_VALUE"""),-11.0)</f>
        <v>-11</v>
      </c>
      <c r="F731" s="1">
        <f>IFERROR(__xludf.DUMMYFUNCTION("""COMPUTED_VALUE"""),41.0)</f>
        <v>41</v>
      </c>
      <c r="G731" s="1">
        <f t="shared" si="1"/>
        <v>2.731707317</v>
      </c>
      <c r="H731" s="1">
        <f t="shared" si="2"/>
        <v>-0.2682926829</v>
      </c>
      <c r="I731" s="1">
        <f>IFERROR(__xludf.DUMMYFUNCTION("IF(B731="""","""",
  100*F731 / MAX(FILTER($F:$F, $A:$A=$A731, $B:$B=$B731))
)
"),15.355805243445692)</f>
        <v>15.35580524</v>
      </c>
      <c r="J731" s="1">
        <f>IFERROR(__xludf.DUMMYFUNCTION("IF(B731="""","""",
  100*E731 / MAX(FILTER($E:$E, $A:$A=$A731, $B:$B=$B731))
)
"),-5.8855002675227395)</f>
        <v>-5.885500268</v>
      </c>
      <c r="K731" s="1">
        <f t="shared" si="3"/>
        <v>5.797217764</v>
      </c>
    </row>
    <row r="732">
      <c r="A732" s="3">
        <f>IFERROR(__xludf.DUMMYFUNCTION("""COMPUTED_VALUE"""),45962.0)</f>
        <v>45962</v>
      </c>
      <c r="B732" s="1" t="str">
        <f>IFERROR(__xludf.DUMMYFUNCTION("""COMPUTED_VALUE"""),"HospAlmoa")</f>
        <v>HospAlmoa</v>
      </c>
      <c r="C732" s="1" t="str">
        <f>IFERROR(__xludf.DUMMYFUNCTION("""COMPUTED_VALUE"""),"KitKat")</f>
        <v>KitKat</v>
      </c>
      <c r="D732" s="1">
        <f>IFERROR(__xludf.DUMMYFUNCTION("""COMPUTED_VALUE"""),35.0)</f>
        <v>35</v>
      </c>
      <c r="E732" s="1">
        <f>IFERROR(__xludf.DUMMYFUNCTION("""COMPUTED_VALUE"""),9.59)</f>
        <v>9.59</v>
      </c>
      <c r="F732" s="1">
        <f>IFERROR(__xludf.DUMMYFUNCTION("""COMPUTED_VALUE"""),7.0)</f>
        <v>7</v>
      </c>
      <c r="G732" s="1">
        <f t="shared" si="1"/>
        <v>5</v>
      </c>
      <c r="H732" s="1">
        <f t="shared" si="2"/>
        <v>1.37</v>
      </c>
      <c r="I732" s="1">
        <f>IFERROR(__xludf.DUMMYFUNCTION("IF(B732="""","""",
  100*F732 / MAX(FILTER($F:$F, $A:$A=$A732, $B:$B=$B732))
)
"),2.6217228464419478)</f>
        <v>2.621722846</v>
      </c>
      <c r="J732" s="1">
        <f>IFERROR(__xludf.DUMMYFUNCTION("IF(B732="""","""",
  100*E732 / MAX(FILTER($E:$E, $A:$A=$A732, $B:$B=$B732))
)
"),5.131086142322097)</f>
        <v>5.131086142</v>
      </c>
      <c r="K732" s="1">
        <f t="shared" si="3"/>
        <v>3.75093633</v>
      </c>
    </row>
    <row r="733">
      <c r="A733" s="3">
        <f>IFERROR(__xludf.DUMMYFUNCTION("""COMPUTED_VALUE"""),45962.0)</f>
        <v>45962</v>
      </c>
      <c r="B733" s="1" t="str">
        <f>IFERROR(__xludf.DUMMYFUNCTION("""COMPUTED_VALUE"""),"HospAlmoa")</f>
        <v>HospAlmoa</v>
      </c>
      <c r="C733" s="1" t="str">
        <f>IFERROR(__xludf.DUMMYFUNCTION("""COMPUTED_VALUE"""),"Laviva")</f>
        <v>Laviva</v>
      </c>
      <c r="D733" s="1">
        <f>IFERROR(__xludf.DUMMYFUNCTION("""COMPUTED_VALUE"""),153.0)</f>
        <v>153</v>
      </c>
      <c r="E733" s="1">
        <f>IFERROR(__xludf.DUMMYFUNCTION("""COMPUTED_VALUE"""),25.4)</f>
        <v>25.4</v>
      </c>
      <c r="F733" s="1">
        <f>IFERROR(__xludf.DUMMYFUNCTION("""COMPUTED_VALUE"""),58.0)</f>
        <v>58</v>
      </c>
      <c r="G733" s="1">
        <f t="shared" si="1"/>
        <v>2.637931034</v>
      </c>
      <c r="H733" s="1">
        <f t="shared" si="2"/>
        <v>0.4379310345</v>
      </c>
      <c r="I733" s="1">
        <f>IFERROR(__xludf.DUMMYFUNCTION("IF(B733="""","""",
  100*F733 / MAX(FILTER($F:$F, $A:$A=$A733, $B:$B=$B733))
)
"),21.722846441947567)</f>
        <v>21.72284644</v>
      </c>
      <c r="J733" s="1">
        <f>IFERROR(__xludf.DUMMYFUNCTION("IF(B733="""","""",
  100*E733 / MAX(FILTER($E:$E, $A:$A=$A733, $B:$B=$B733))
)
"),13.590155163188872)</f>
        <v>13.59015516</v>
      </c>
      <c r="K733" s="1">
        <f t="shared" si="3"/>
        <v>18.06313537</v>
      </c>
    </row>
    <row r="734">
      <c r="A734" s="3">
        <f>IFERROR(__xludf.DUMMYFUNCTION("""COMPUTED_VALUE"""),45962.0)</f>
        <v>45962</v>
      </c>
      <c r="B734" s="1" t="str">
        <f>IFERROR(__xludf.DUMMYFUNCTION("""COMPUTED_VALUE"""),"HospAlmoa")</f>
        <v>HospAlmoa</v>
      </c>
      <c r="C734" s="1" t="str">
        <f>IFERROR(__xludf.DUMMYFUNCTION("""COMPUTED_VALUE"""),"Lovita cookies")</f>
        <v>Lovita cookies</v>
      </c>
      <c r="D734" s="1">
        <f>IFERROR(__xludf.DUMMYFUNCTION("""COMPUTED_VALUE"""),98.0)</f>
        <v>98</v>
      </c>
      <c r="E734" s="1">
        <f>IFERROR(__xludf.DUMMYFUNCTION("""COMPUTED_VALUE"""),20.3)</f>
        <v>20.3</v>
      </c>
      <c r="F734" s="1">
        <f>IFERROR(__xludf.DUMMYFUNCTION("""COMPUTED_VALUE"""),15.0)</f>
        <v>15</v>
      </c>
      <c r="G734" s="1">
        <f t="shared" si="1"/>
        <v>6.533333333</v>
      </c>
      <c r="H734" s="1">
        <f t="shared" si="2"/>
        <v>1.353333333</v>
      </c>
      <c r="I734" s="1">
        <f>IFERROR(__xludf.DUMMYFUNCTION("IF(B734="""","""",
  100*F734 / MAX(FILTER($F:$F, $A:$A=$A734, $B:$B=$B734))
)
"),5.617977528089888)</f>
        <v>5.617977528</v>
      </c>
      <c r="J734" s="1">
        <f>IFERROR(__xludf.DUMMYFUNCTION("IF(B734="""","""",
  100*E734 / MAX(FILTER($E:$E, $A:$A=$A734, $B:$B=$B734))
)
"),10.861423220973782)</f>
        <v>10.86142322</v>
      </c>
      <c r="K734" s="1">
        <f t="shared" si="3"/>
        <v>7.97752809</v>
      </c>
    </row>
    <row r="735">
      <c r="A735" s="3">
        <f>IFERROR(__xludf.DUMMYFUNCTION("""COMPUTED_VALUE"""),45962.0)</f>
        <v>45962</v>
      </c>
      <c r="B735" s="1" t="str">
        <f>IFERROR(__xludf.DUMMYFUNCTION("""COMPUTED_VALUE"""),"HospAlmoa")</f>
        <v>HospAlmoa</v>
      </c>
      <c r="C735" s="1" t="str">
        <f>IFERROR(__xludf.DUMMYFUNCTION("""COMPUTED_VALUE"""),"Maltesers")</f>
        <v>Maltesers</v>
      </c>
      <c r="D735" s="1">
        <f>IFERROR(__xludf.DUMMYFUNCTION("""COMPUTED_VALUE"""),96.0)</f>
        <v>96</v>
      </c>
      <c r="E735" s="1">
        <f>IFERROR(__xludf.DUMMYFUNCTION("""COMPUTED_VALUE"""),-21.8)</f>
        <v>-21.8</v>
      </c>
      <c r="F735" s="1">
        <f>IFERROR(__xludf.DUMMYFUNCTION("""COMPUTED_VALUE"""),19.0)</f>
        <v>19</v>
      </c>
      <c r="G735" s="1">
        <f t="shared" si="1"/>
        <v>5.052631579</v>
      </c>
      <c r="H735" s="1">
        <f t="shared" si="2"/>
        <v>-1.147368421</v>
      </c>
      <c r="I735" s="1">
        <f>IFERROR(__xludf.DUMMYFUNCTION("IF(B735="""","""",
  100*F735 / MAX(FILTER($F:$F, $A:$A=$A735, $B:$B=$B735))
)
"),7.116104868913857)</f>
        <v>7.116104869</v>
      </c>
      <c r="J735" s="1">
        <f>IFERROR(__xludf.DUMMYFUNCTION("IF(B735="""","""",
  100*E735 / MAX(FILTER($E:$E, $A:$A=$A735, $B:$B=$B735))
)
"),-11.663991439272337)</f>
        <v>-11.66399144</v>
      </c>
      <c r="K735" s="1">
        <f t="shared" si="3"/>
        <v>-1.33493847</v>
      </c>
    </row>
    <row r="736">
      <c r="A736" s="3">
        <f>IFERROR(__xludf.DUMMYFUNCTION("""COMPUTED_VALUE"""),45962.0)</f>
        <v>45962</v>
      </c>
      <c r="B736" s="1" t="str">
        <f>IFERROR(__xludf.DUMMYFUNCTION("""COMPUTED_VALUE"""),"HospAlmoa")</f>
        <v>HospAlmoa</v>
      </c>
      <c r="C736" s="1" t="str">
        <f>IFERROR(__xludf.DUMMYFUNCTION("""COMPUTED_VALUE"""),"Mars")</f>
        <v>Mars</v>
      </c>
      <c r="D736" s="1">
        <f>IFERROR(__xludf.DUMMYFUNCTION("""COMPUTED_VALUE"""),24.0)</f>
        <v>24</v>
      </c>
      <c r="E736" s="1">
        <f>IFERROR(__xludf.DUMMYFUNCTION("""COMPUTED_VALUE"""),2.4)</f>
        <v>2.4</v>
      </c>
      <c r="F736" s="1">
        <f>IFERROR(__xludf.DUMMYFUNCTION("""COMPUTED_VALUE"""),6.0)</f>
        <v>6</v>
      </c>
      <c r="G736" s="1">
        <f t="shared" si="1"/>
        <v>4</v>
      </c>
      <c r="H736" s="1">
        <f t="shared" si="2"/>
        <v>0.4</v>
      </c>
      <c r="I736" s="1">
        <f>IFERROR(__xludf.DUMMYFUNCTION("IF(B736="""","""",
  100*F736 / MAX(FILTER($F:$F, $A:$A=$A736, $B:$B=$B736))
)
"),2.247191011235955)</f>
        <v>2.247191011</v>
      </c>
      <c r="J736" s="1">
        <f>IFERROR(__xludf.DUMMYFUNCTION("IF(B736="""","""",
  100*E736 / MAX(FILTER($E:$E, $A:$A=$A736, $B:$B=$B736))
)
"),1.2841091492776886)</f>
        <v>1.284109149</v>
      </c>
      <c r="K736" s="1">
        <f t="shared" si="3"/>
        <v>1.813804173</v>
      </c>
    </row>
    <row r="737">
      <c r="A737" s="3">
        <f>IFERROR(__xludf.DUMMYFUNCTION("""COMPUTED_VALUE"""),45962.0)</f>
        <v>45962</v>
      </c>
      <c r="B737" s="1" t="str">
        <f>IFERROR(__xludf.DUMMYFUNCTION("""COMPUTED_VALUE"""),"HospAlmoa")</f>
        <v>HospAlmoa</v>
      </c>
      <c r="C737" s="1" t="str">
        <f>IFERROR(__xludf.DUMMYFUNCTION("""COMPUTED_VALUE"""),"Mirinda")</f>
        <v>Mirinda</v>
      </c>
      <c r="D737" s="1">
        <f>IFERROR(__xludf.DUMMYFUNCTION("""COMPUTED_VALUE"""),72.0)</f>
        <v>72</v>
      </c>
      <c r="E737" s="1">
        <f>IFERROR(__xludf.DUMMYFUNCTION("""COMPUTED_VALUE"""),18.0)</f>
        <v>18</v>
      </c>
      <c r="F737" s="1">
        <f>IFERROR(__xludf.DUMMYFUNCTION("""COMPUTED_VALUE"""),24.0)</f>
        <v>24</v>
      </c>
      <c r="G737" s="1">
        <f t="shared" si="1"/>
        <v>3</v>
      </c>
      <c r="H737" s="1">
        <f t="shared" si="2"/>
        <v>0.75</v>
      </c>
      <c r="I737" s="1">
        <f>IFERROR(__xludf.DUMMYFUNCTION("IF(B737="""","""",
  100*F737 / MAX(FILTER($F:$F, $A:$A=$A737, $B:$B=$B737))
)
"),8.98876404494382)</f>
        <v>8.988764045</v>
      </c>
      <c r="J737" s="1">
        <f>IFERROR(__xludf.DUMMYFUNCTION("IF(B737="""","""",
  100*E737 / MAX(FILTER($E:$E, $A:$A=$A737, $B:$B=$B737))
)
"),9.630818619582664)</f>
        <v>9.63081862</v>
      </c>
      <c r="K737" s="1">
        <f t="shared" si="3"/>
        <v>9.277688604</v>
      </c>
    </row>
    <row r="738">
      <c r="A738" s="3">
        <f>IFERROR(__xludf.DUMMYFUNCTION("""COMPUTED_VALUE"""),45962.0)</f>
        <v>45962</v>
      </c>
      <c r="B738" s="1" t="str">
        <f>IFERROR(__xludf.DUMMYFUNCTION("""COMPUTED_VALUE"""),"HospAlmoa")</f>
        <v>HospAlmoa</v>
      </c>
      <c r="C738" s="1" t="str">
        <f>IFERROR(__xludf.DUMMYFUNCTION("""COMPUTED_VALUE"""),"MrCrunch")</f>
        <v>MrCrunch</v>
      </c>
      <c r="D738" s="1">
        <f>IFERROR(__xludf.DUMMYFUNCTION("""COMPUTED_VALUE"""),55.0)</f>
        <v>55</v>
      </c>
      <c r="E738" s="1">
        <f>IFERROR(__xludf.DUMMYFUNCTION("""COMPUTED_VALUE"""),29.37)</f>
        <v>29.37</v>
      </c>
      <c r="F738" s="1">
        <f>IFERROR(__xludf.DUMMYFUNCTION("""COMPUTED_VALUE"""),11.0)</f>
        <v>11</v>
      </c>
      <c r="G738" s="1">
        <f t="shared" si="1"/>
        <v>5</v>
      </c>
      <c r="H738" s="1">
        <f t="shared" si="2"/>
        <v>2.67</v>
      </c>
      <c r="I738" s="1">
        <f>IFERROR(__xludf.DUMMYFUNCTION("IF(B738="""","""",
  100*F738 / MAX(FILTER($F:$F, $A:$A=$A738, $B:$B=$B738))
)
"),4.119850187265918)</f>
        <v>4.119850187</v>
      </c>
      <c r="J738" s="1">
        <f>IFERROR(__xludf.DUMMYFUNCTION("IF(B738="""","""",
  100*E738 / MAX(FILTER($E:$E, $A:$A=$A738, $B:$B=$B738))
)
"),15.714285714285714)</f>
        <v>15.71428571</v>
      </c>
      <c r="K738" s="1">
        <f t="shared" si="3"/>
        <v>9.337346174</v>
      </c>
    </row>
    <row r="739">
      <c r="A739" s="3">
        <f>IFERROR(__xludf.DUMMYFUNCTION("""COMPUTED_VALUE"""),45962.0)</f>
        <v>45962</v>
      </c>
      <c r="B739" s="1" t="str">
        <f>IFERROR(__xludf.DUMMYFUNCTION("""COMPUTED_VALUE"""),"HospAlmoa")</f>
        <v>HospAlmoa</v>
      </c>
      <c r="C739" s="1" t="str">
        <f>IFERROR(__xludf.DUMMYFUNCTION("""COMPUTED_VALUE"""),"MrCrunch Normal")</f>
        <v>MrCrunch Normal</v>
      </c>
      <c r="D739" s="1">
        <f>IFERROR(__xludf.DUMMYFUNCTION("""COMPUTED_VALUE"""),65.0)</f>
        <v>65</v>
      </c>
      <c r="E739" s="1">
        <f>IFERROR(__xludf.DUMMYFUNCTION("""COMPUTED_VALUE"""),38.35)</f>
        <v>38.35</v>
      </c>
      <c r="F739" s="1">
        <f>IFERROR(__xludf.DUMMYFUNCTION("""COMPUTED_VALUE"""),13.0)</f>
        <v>13</v>
      </c>
      <c r="G739" s="1">
        <f t="shared" si="1"/>
        <v>5</v>
      </c>
      <c r="H739" s="1">
        <f t="shared" si="2"/>
        <v>2.95</v>
      </c>
      <c r="I739" s="1">
        <f>IFERROR(__xludf.DUMMYFUNCTION("IF(B739="""","""",
  100*F739 / MAX(FILTER($F:$F, $A:$A=$A739, $B:$B=$B739))
)
"),4.868913857677903)</f>
        <v>4.868913858</v>
      </c>
      <c r="J739" s="1">
        <f>IFERROR(__xludf.DUMMYFUNCTION("IF(B739="""","""",
  100*E739 / MAX(FILTER($E:$E, $A:$A=$A739, $B:$B=$B739))
)
"),20.518994114499733)</f>
        <v>20.51899411</v>
      </c>
      <c r="K739" s="1">
        <f t="shared" si="3"/>
        <v>11.91144997</v>
      </c>
    </row>
    <row r="740">
      <c r="A740" s="3">
        <f>IFERROR(__xludf.DUMMYFUNCTION("""COMPUTED_VALUE"""),45962.0)</f>
        <v>45962</v>
      </c>
      <c r="B740" s="1" t="str">
        <f>IFERROR(__xludf.DUMMYFUNCTION("""COMPUTED_VALUE"""),"HospAlmoa")</f>
        <v>HospAlmoa</v>
      </c>
      <c r="C740" s="1" t="str">
        <f>IFERROR(__xludf.DUMMYFUNCTION("""COMPUTED_VALUE"""),"MrCrunch-RingGo")</f>
        <v>MrCrunch-RingGo</v>
      </c>
      <c r="D740" s="1">
        <f>IFERROR(__xludf.DUMMYFUNCTION("""COMPUTED_VALUE"""),155.0)</f>
        <v>155</v>
      </c>
      <c r="E740" s="1">
        <f>IFERROR(__xludf.DUMMYFUNCTION("""COMPUTED_VALUE"""),105.4)</f>
        <v>105.4</v>
      </c>
      <c r="F740" s="1">
        <f>IFERROR(__xludf.DUMMYFUNCTION("""COMPUTED_VALUE"""),31.0)</f>
        <v>31</v>
      </c>
      <c r="G740" s="1">
        <f t="shared" si="1"/>
        <v>5</v>
      </c>
      <c r="H740" s="1">
        <f t="shared" si="2"/>
        <v>3.4</v>
      </c>
      <c r="I740" s="1">
        <f>IFERROR(__xludf.DUMMYFUNCTION("IF(B740="""","""",
  100*F740 / MAX(FILTER($F:$F, $A:$A=$A740, $B:$B=$B740))
)
"),11.610486891385769)</f>
        <v>11.61048689</v>
      </c>
      <c r="J740" s="1">
        <f>IFERROR(__xludf.DUMMYFUNCTION("IF(B740="""","""",
  100*E740 / MAX(FILTER($E:$E, $A:$A=$A740, $B:$B=$B740))
)
"),56.393793472445154)</f>
        <v>56.39379347</v>
      </c>
      <c r="K740" s="1">
        <f t="shared" si="3"/>
        <v>31.76297485</v>
      </c>
    </row>
    <row r="741">
      <c r="A741" s="3">
        <f>IFERROR(__xludf.DUMMYFUNCTION("""COMPUTED_VALUE"""),45962.0)</f>
        <v>45962</v>
      </c>
      <c r="B741" s="1" t="str">
        <f>IFERROR(__xludf.DUMMYFUNCTION("""COMPUTED_VALUE"""),"HospAlmoa")</f>
        <v>HospAlmoa</v>
      </c>
      <c r="C741" s="1" t="str">
        <f>IFERROR(__xludf.DUMMYFUNCTION("""COMPUTED_VALUE"""),"Pepsi")</f>
        <v>Pepsi</v>
      </c>
      <c r="D741" s="1">
        <f>IFERROR(__xludf.DUMMYFUNCTION("""COMPUTED_VALUE"""),171.0)</f>
        <v>171</v>
      </c>
      <c r="E741" s="1">
        <f>IFERROR(__xludf.DUMMYFUNCTION("""COMPUTED_VALUE"""),42.75)</f>
        <v>42.75</v>
      </c>
      <c r="F741" s="1">
        <f>IFERROR(__xludf.DUMMYFUNCTION("""COMPUTED_VALUE"""),57.0)</f>
        <v>57</v>
      </c>
      <c r="G741" s="1">
        <f t="shared" si="1"/>
        <v>3</v>
      </c>
      <c r="H741" s="1">
        <f t="shared" si="2"/>
        <v>0.75</v>
      </c>
      <c r="I741" s="1">
        <f>IFERROR(__xludf.DUMMYFUNCTION("IF(B741="""","""",
  100*F741 / MAX(FILTER($F:$F, $A:$A=$A741, $B:$B=$B741))
)
"),21.348314606741575)</f>
        <v>21.34831461</v>
      </c>
      <c r="J741" s="1">
        <f>IFERROR(__xludf.DUMMYFUNCTION("IF(B741="""","""",
  100*E741 / MAX(FILTER($E:$E, $A:$A=$A741, $B:$B=$B741))
)
"),22.87319422150883)</f>
        <v>22.87319422</v>
      </c>
      <c r="K741" s="1">
        <f t="shared" si="3"/>
        <v>22.03451043</v>
      </c>
    </row>
    <row r="742">
      <c r="A742" s="3">
        <f>IFERROR(__xludf.DUMMYFUNCTION("""COMPUTED_VALUE"""),45962.0)</f>
        <v>45962</v>
      </c>
      <c r="B742" s="1" t="str">
        <f>IFERROR(__xludf.DUMMYFUNCTION("""COMPUTED_VALUE"""),"HospAlmoa")</f>
        <v>HospAlmoa</v>
      </c>
      <c r="C742" s="1" t="str">
        <f>IFERROR(__xludf.DUMMYFUNCTION("""COMPUTED_VALUE"""),"Pretzels")</f>
        <v>Pretzels</v>
      </c>
      <c r="D742" s="1">
        <f>IFERROR(__xludf.DUMMYFUNCTION("""COMPUTED_VALUE"""),75.0)</f>
        <v>75</v>
      </c>
      <c r="E742" s="1">
        <f>IFERROR(__xludf.DUMMYFUNCTION("""COMPUTED_VALUE"""),26.25)</f>
        <v>26.25</v>
      </c>
      <c r="F742" s="1">
        <f>IFERROR(__xludf.DUMMYFUNCTION("""COMPUTED_VALUE"""),15.0)</f>
        <v>15</v>
      </c>
      <c r="G742" s="1">
        <f t="shared" si="1"/>
        <v>5</v>
      </c>
      <c r="H742" s="1">
        <f t="shared" si="2"/>
        <v>1.75</v>
      </c>
      <c r="I742" s="1">
        <f>IFERROR(__xludf.DUMMYFUNCTION("IF(B742="""","""",
  100*F742 / MAX(FILTER($F:$F, $A:$A=$A742, $B:$B=$B742))
)
"),5.617977528089888)</f>
        <v>5.617977528</v>
      </c>
      <c r="J742" s="1">
        <f>IFERROR(__xludf.DUMMYFUNCTION("IF(B742="""","""",
  100*E742 / MAX(FILTER($E:$E, $A:$A=$A742, $B:$B=$B742))
)
"),14.044943820224718)</f>
        <v>14.04494382</v>
      </c>
      <c r="K742" s="1">
        <f t="shared" si="3"/>
        <v>9.41011236</v>
      </c>
    </row>
    <row r="743">
      <c r="A743" s="3">
        <f>IFERROR(__xludf.DUMMYFUNCTION("""COMPUTED_VALUE"""),45962.0)</f>
        <v>45962</v>
      </c>
      <c r="B743" s="1" t="str">
        <f>IFERROR(__xludf.DUMMYFUNCTION("""COMPUTED_VALUE"""),"HospAlmoa")</f>
        <v>HospAlmoa</v>
      </c>
      <c r="C743" s="1" t="str">
        <f>IFERROR(__xludf.DUMMYFUNCTION("""COMPUTED_VALUE"""),"Rani")</f>
        <v>Rani</v>
      </c>
      <c r="D743" s="1">
        <f>IFERROR(__xludf.DUMMYFUNCTION("""COMPUTED_VALUE"""),7.0)</f>
        <v>7</v>
      </c>
      <c r="E743" s="1">
        <f>IFERROR(__xludf.DUMMYFUNCTION("""COMPUTED_VALUE"""),2.66)</f>
        <v>2.66</v>
      </c>
      <c r="F743" s="1">
        <f>IFERROR(__xludf.DUMMYFUNCTION("""COMPUTED_VALUE"""),2.0)</f>
        <v>2</v>
      </c>
      <c r="G743" s="1">
        <f t="shared" si="1"/>
        <v>3.5</v>
      </c>
      <c r="H743" s="1">
        <f t="shared" si="2"/>
        <v>1.33</v>
      </c>
      <c r="I743" s="1">
        <f>IFERROR(__xludf.DUMMYFUNCTION("IF(B743="""","""",
  100*F743 / MAX(FILTER($F:$F, $A:$A=$A743, $B:$B=$B743))
)
"),0.7490636704119851)</f>
        <v>0.7490636704</v>
      </c>
      <c r="J743" s="1">
        <f>IFERROR(__xludf.DUMMYFUNCTION("IF(B743="""","""",
  100*E743 / MAX(FILTER($E:$E, $A:$A=$A743, $B:$B=$B743))
)
"),1.4232209737827715)</f>
        <v>1.423220974</v>
      </c>
      <c r="K743" s="1">
        <f t="shared" si="3"/>
        <v>1.052434457</v>
      </c>
    </row>
    <row r="744">
      <c r="A744" s="3">
        <f>IFERROR(__xludf.DUMMYFUNCTION("""COMPUTED_VALUE"""),45962.0)</f>
        <v>45962</v>
      </c>
      <c r="B744" s="1" t="str">
        <f>IFERROR(__xludf.DUMMYFUNCTION("""COMPUTED_VALUE"""),"HospAlmoa")</f>
        <v>HospAlmoa</v>
      </c>
      <c r="C744" s="1" t="str">
        <f>IFERROR(__xludf.DUMMYFUNCTION("""COMPUTED_VALUE"""),"Schweppes")</f>
        <v>Schweppes</v>
      </c>
      <c r="D744" s="1">
        <f>IFERROR(__xludf.DUMMYFUNCTION("""COMPUTED_VALUE"""),51.0)</f>
        <v>51</v>
      </c>
      <c r="E744" s="1">
        <f>IFERROR(__xludf.DUMMYFUNCTION("""COMPUTED_VALUE"""),17.0)</f>
        <v>17</v>
      </c>
      <c r="F744" s="1">
        <f>IFERROR(__xludf.DUMMYFUNCTION("""COMPUTED_VALUE"""),17.0)</f>
        <v>17</v>
      </c>
      <c r="G744" s="1">
        <f t="shared" si="1"/>
        <v>3</v>
      </c>
      <c r="H744" s="1">
        <f t="shared" si="2"/>
        <v>1</v>
      </c>
      <c r="I744" s="1">
        <f>IFERROR(__xludf.DUMMYFUNCTION("IF(B744="""","""",
  100*F744 / MAX(FILTER($F:$F, $A:$A=$A744, $B:$B=$B744))
)
"),6.367041198501872)</f>
        <v>6.367041199</v>
      </c>
      <c r="J744" s="1">
        <f>IFERROR(__xludf.DUMMYFUNCTION("IF(B744="""","""",
  100*E744 / MAX(FILTER($E:$E, $A:$A=$A744, $B:$B=$B744))
)
"),9.095773140716961)</f>
        <v>9.095773141</v>
      </c>
      <c r="K744" s="1">
        <f t="shared" si="3"/>
        <v>7.594970572</v>
      </c>
    </row>
    <row r="745">
      <c r="A745" s="3">
        <f>IFERROR(__xludf.DUMMYFUNCTION("""COMPUTED_VALUE"""),45962.0)</f>
        <v>45962</v>
      </c>
      <c r="B745" s="1" t="str">
        <f>IFERROR(__xludf.DUMMYFUNCTION("""COMPUTED_VALUE"""),"HospAlmoa")</f>
        <v>HospAlmoa</v>
      </c>
      <c r="C745" s="1" t="str">
        <f>IFERROR(__xludf.DUMMYFUNCTION("""COMPUTED_VALUE"""),"Snickers")</f>
        <v>Snickers</v>
      </c>
      <c r="D745" s="1">
        <f>IFERROR(__xludf.DUMMYFUNCTION("""COMPUTED_VALUE"""),200.0)</f>
        <v>200</v>
      </c>
      <c r="E745" s="1">
        <f>IFERROR(__xludf.DUMMYFUNCTION("""COMPUTED_VALUE"""),6.5)</f>
        <v>6.5</v>
      </c>
      <c r="F745" s="1">
        <f>IFERROR(__xludf.DUMMYFUNCTION("""COMPUTED_VALUE"""),43.0)</f>
        <v>43</v>
      </c>
      <c r="G745" s="1">
        <f t="shared" si="1"/>
        <v>4.651162791</v>
      </c>
      <c r="H745" s="1">
        <f t="shared" si="2"/>
        <v>0.1511627907</v>
      </c>
      <c r="I745" s="1">
        <f>IFERROR(__xludf.DUMMYFUNCTION("IF(B745="""","""",
  100*F745 / MAX(FILTER($F:$F, $A:$A=$A745, $B:$B=$B745))
)
"),16.10486891385768)</f>
        <v>16.10486891</v>
      </c>
      <c r="J745" s="1">
        <f>IFERROR(__xludf.DUMMYFUNCTION("IF(B745="""","""",
  100*E745 / MAX(FILTER($E:$E, $A:$A=$A745, $B:$B=$B745))
)
"),3.477795612627073)</f>
        <v>3.477795613</v>
      </c>
      <c r="K745" s="1">
        <f t="shared" si="3"/>
        <v>10.42268593</v>
      </c>
    </row>
    <row r="746">
      <c r="A746" s="3">
        <f>IFERROR(__xludf.DUMMYFUNCTION("""COMPUTED_VALUE"""),45962.0)</f>
        <v>45962</v>
      </c>
      <c r="B746" s="1" t="str">
        <f>IFERROR(__xludf.DUMMYFUNCTION("""COMPUTED_VALUE"""),"HospAlmoa")</f>
        <v>HospAlmoa</v>
      </c>
      <c r="C746" s="1" t="str">
        <f>IFERROR(__xludf.DUMMYFUNCTION("""COMPUTED_VALUE"""),"Tiger *12")</f>
        <v>Tiger *12</v>
      </c>
      <c r="D746" s="1">
        <f>IFERROR(__xludf.DUMMYFUNCTION("""COMPUTED_VALUE"""),420.0)</f>
        <v>420</v>
      </c>
      <c r="E746" s="1">
        <f>IFERROR(__xludf.DUMMYFUNCTION("""COMPUTED_VALUE"""),158.2)</f>
        <v>158.2</v>
      </c>
      <c r="F746" s="1">
        <f>IFERROR(__xludf.DUMMYFUNCTION("""COMPUTED_VALUE"""),85.0)</f>
        <v>85</v>
      </c>
      <c r="G746" s="1">
        <f t="shared" si="1"/>
        <v>4.941176471</v>
      </c>
      <c r="H746" s="1">
        <f t="shared" si="2"/>
        <v>1.861176471</v>
      </c>
      <c r="I746" s="1">
        <f>IFERROR(__xludf.DUMMYFUNCTION("IF(B746="""","""",
  100*F746 / MAX(FILTER($F:$F, $A:$A=$A746, $B:$B=$B746))
)
"),31.835205992509362)</f>
        <v>31.83520599</v>
      </c>
      <c r="J746" s="1">
        <f>IFERROR(__xludf.DUMMYFUNCTION("IF(B746="""","""",
  100*E746 / MAX(FILTER($E:$E, $A:$A=$A746, $B:$B=$B746))
)
"),84.6441947565543)</f>
        <v>84.64419476</v>
      </c>
      <c r="K746" s="1">
        <f t="shared" si="3"/>
        <v>55.59925094</v>
      </c>
    </row>
    <row r="747">
      <c r="A747" s="3">
        <f>IFERROR(__xludf.DUMMYFUNCTION("""COMPUTED_VALUE"""),45962.0)</f>
        <v>45962</v>
      </c>
      <c r="B747" s="1" t="str">
        <f>IFERROR(__xludf.DUMMYFUNCTION("""COMPUTED_VALUE"""),"HospAlmoa")</f>
        <v>HospAlmoa</v>
      </c>
      <c r="C747" s="1" t="str">
        <f>IFERROR(__xludf.DUMMYFUNCTION("""COMPUTED_VALUE"""),"Twix")</f>
        <v>Twix</v>
      </c>
      <c r="D747" s="1">
        <f>IFERROR(__xludf.DUMMYFUNCTION("""COMPUTED_VALUE"""),125.0)</f>
        <v>125</v>
      </c>
      <c r="E747" s="1">
        <f>IFERROR(__xludf.DUMMYFUNCTION("""COMPUTED_VALUE"""),27.0)</f>
        <v>27</v>
      </c>
      <c r="F747" s="1">
        <f>IFERROR(__xludf.DUMMYFUNCTION("""COMPUTED_VALUE"""),28.0)</f>
        <v>28</v>
      </c>
      <c r="G747" s="1">
        <f t="shared" si="1"/>
        <v>4.464285714</v>
      </c>
      <c r="H747" s="1">
        <f t="shared" si="2"/>
        <v>0.9642857143</v>
      </c>
      <c r="I747" s="1">
        <f>IFERROR(__xludf.DUMMYFUNCTION("IF(B747="""","""",
  100*F747 / MAX(FILTER($F:$F, $A:$A=$A747, $B:$B=$B747))
)
"),10.486891385767791)</f>
        <v>10.48689139</v>
      </c>
      <c r="J747" s="1">
        <f>IFERROR(__xludf.DUMMYFUNCTION("IF(B747="""","""",
  100*E747 / MAX(FILTER($E:$E, $A:$A=$A747, $B:$B=$B747))
)
"),14.446227929373997)</f>
        <v>14.44622793</v>
      </c>
      <c r="K747" s="1">
        <f t="shared" si="3"/>
        <v>12.26859283</v>
      </c>
    </row>
    <row r="748">
      <c r="A748" s="3">
        <f>IFERROR(__xludf.DUMMYFUNCTION("""COMPUTED_VALUE"""),45962.0)</f>
        <v>45962</v>
      </c>
      <c r="B748" s="1" t="str">
        <f>IFERROR(__xludf.DUMMYFUNCTION("""COMPUTED_VALUE"""),"HospAlmoa")</f>
        <v>HospAlmoa</v>
      </c>
      <c r="C748" s="1" t="str">
        <f>IFERROR(__xludf.DUMMYFUNCTION("""COMPUTED_VALUE"""),"Twix ex")</f>
        <v>Twix ex</v>
      </c>
      <c r="D748" s="1">
        <f>IFERROR(__xludf.DUMMYFUNCTION("""COMPUTED_VALUE"""),12.0)</f>
        <v>12</v>
      </c>
      <c r="E748" s="1">
        <f>IFERROR(__xludf.DUMMYFUNCTION("""COMPUTED_VALUE"""),-12.5)</f>
        <v>-12.5</v>
      </c>
      <c r="F748" s="1">
        <f>IFERROR(__xludf.DUMMYFUNCTION("""COMPUTED_VALUE"""),14.0)</f>
        <v>14</v>
      </c>
      <c r="G748" s="1">
        <f t="shared" si="1"/>
        <v>0.8571428571</v>
      </c>
      <c r="H748" s="1">
        <f t="shared" si="2"/>
        <v>-0.8928571429</v>
      </c>
      <c r="I748" s="1">
        <f>IFERROR(__xludf.DUMMYFUNCTION("IF(B748="""","""",
  100*F748 / MAX(FILTER($F:$F, $A:$A=$A748, $B:$B=$B748))
)
"),5.2434456928838955)</f>
        <v>5.243445693</v>
      </c>
      <c r="J748" s="1">
        <f>IFERROR(__xludf.DUMMYFUNCTION("IF(B748="""","""",
  100*E748 / MAX(FILTER($E:$E, $A:$A=$A748, $B:$B=$B748))
)
"),-6.688068485821295)</f>
        <v>-6.688068486</v>
      </c>
      <c r="K748" s="1">
        <f t="shared" si="3"/>
        <v>-0.1257356875</v>
      </c>
    </row>
    <row r="749">
      <c r="A749" s="3">
        <f>IFERROR(__xludf.DUMMYFUNCTION("""COMPUTED_VALUE"""),45962.0)</f>
        <v>45962</v>
      </c>
      <c r="B749" s="1" t="str">
        <f>IFERROR(__xludf.DUMMYFUNCTION("""COMPUTED_VALUE"""),"HospAlmoa")</f>
        <v>HospAlmoa</v>
      </c>
      <c r="C749" s="1" t="str">
        <f>IFERROR(__xludf.DUMMYFUNCTION("""COMPUTED_VALUE"""),"Water")</f>
        <v>Water</v>
      </c>
      <c r="D749" s="1">
        <f>IFERROR(__xludf.DUMMYFUNCTION("""COMPUTED_VALUE"""),267.0)</f>
        <v>267</v>
      </c>
      <c r="E749" s="1">
        <f>IFERROR(__xludf.DUMMYFUNCTION("""COMPUTED_VALUE"""),186.9)</f>
        <v>186.9</v>
      </c>
      <c r="F749" s="1">
        <f>IFERROR(__xludf.DUMMYFUNCTION("""COMPUTED_VALUE"""),267.0)</f>
        <v>267</v>
      </c>
      <c r="G749" s="1">
        <f t="shared" si="1"/>
        <v>1</v>
      </c>
      <c r="H749" s="1">
        <f t="shared" si="2"/>
        <v>0.7</v>
      </c>
      <c r="I749" s="1">
        <f>IFERROR(__xludf.DUMMYFUNCTION("IF(B749="""","""",
  100*F749 / MAX(FILTER($F:$F, $A:$A=$A749, $B:$B=$B749))
)
"),100.0)</f>
        <v>100</v>
      </c>
      <c r="J749" s="1">
        <f>IFERROR(__xludf.DUMMYFUNCTION("IF(B749="""","""",
  100*E749 / MAX(FILTER($E:$E, $A:$A=$A749, $B:$B=$B749))
)
"),100.0)</f>
        <v>100</v>
      </c>
      <c r="K749" s="1">
        <f t="shared" si="3"/>
        <v>100</v>
      </c>
    </row>
    <row r="750">
      <c r="A750" s="3">
        <f>IFERROR(__xludf.DUMMYFUNCTION("""COMPUTED_VALUE"""),45962.0)</f>
        <v>45962</v>
      </c>
      <c r="B750" s="1" t="str">
        <f>IFERROR(__xludf.DUMMYFUNCTION("""COMPUTED_VALUE"""),"HospAlmoa")</f>
        <v>HospAlmoa</v>
      </c>
      <c r="C750" s="1" t="str">
        <f>IFERROR(__xludf.DUMMYFUNCTION("""COMPUTED_VALUE"""),"X!R")</f>
        <v>X!R</v>
      </c>
      <c r="D750" s="1">
        <f>IFERROR(__xludf.DUMMYFUNCTION("""COMPUTED_VALUE"""),310.0)</f>
        <v>310</v>
      </c>
      <c r="E750" s="1">
        <f>IFERROR(__xludf.DUMMYFUNCTION("""COMPUTED_VALUE"""),93.0)</f>
        <v>93</v>
      </c>
      <c r="F750" s="1">
        <f>IFERROR(__xludf.DUMMYFUNCTION("""COMPUTED_VALUE"""),62.0)</f>
        <v>62</v>
      </c>
      <c r="G750" s="1">
        <f t="shared" si="1"/>
        <v>5</v>
      </c>
      <c r="H750" s="1">
        <f t="shared" si="2"/>
        <v>1.5</v>
      </c>
      <c r="I750" s="1">
        <f>IFERROR(__xludf.DUMMYFUNCTION("IF(B750="""","""",
  100*F750 / MAX(FILTER($F:$F, $A:$A=$A750, $B:$B=$B750))
)
"),23.220973782771537)</f>
        <v>23.22097378</v>
      </c>
      <c r="J750" s="1">
        <f>IFERROR(__xludf.DUMMYFUNCTION("IF(B750="""","""",
  100*E750 / MAX(FILTER($E:$E, $A:$A=$A750, $B:$B=$B750))
)
"),49.75922953451043)</f>
        <v>49.75922953</v>
      </c>
      <c r="K750" s="1">
        <f t="shared" si="3"/>
        <v>35.16318887</v>
      </c>
    </row>
    <row r="751">
      <c r="A751" s="3">
        <f>IFERROR(__xludf.DUMMYFUNCTION("""COMPUTED_VALUE"""),45962.0)</f>
        <v>45962</v>
      </c>
      <c r="B751" s="1" t="str">
        <f>IFERROR(__xludf.DUMMYFUNCTION("""COMPUTED_VALUE"""),"HospAlmoa")</f>
        <v>HospAlmoa</v>
      </c>
      <c r="C751" s="1" t="str">
        <f>IFERROR(__xludf.DUMMYFUNCTION("""COMPUTED_VALUE"""),"ex mars")</f>
        <v>ex mars</v>
      </c>
      <c r="D751" s="1">
        <f>IFERROR(__xludf.DUMMYFUNCTION("""COMPUTED_VALUE"""),140.0)</f>
        <v>140</v>
      </c>
      <c r="E751" s="1">
        <f>IFERROR(__xludf.DUMMYFUNCTION("""COMPUTED_VALUE"""),49.0)</f>
        <v>49</v>
      </c>
      <c r="F751" s="1">
        <f>IFERROR(__xludf.DUMMYFUNCTION("""COMPUTED_VALUE"""),35.0)</f>
        <v>35</v>
      </c>
      <c r="G751" s="1">
        <f t="shared" si="1"/>
        <v>4</v>
      </c>
      <c r="H751" s="1">
        <f t="shared" si="2"/>
        <v>1.4</v>
      </c>
      <c r="I751" s="1">
        <f>IFERROR(__xludf.DUMMYFUNCTION("IF(B751="""","""",
  100*F751 / MAX(FILTER($F:$F, $A:$A=$A751, $B:$B=$B751))
)
"),13.108614232209737)</f>
        <v>13.10861423</v>
      </c>
      <c r="J751" s="1">
        <f>IFERROR(__xludf.DUMMYFUNCTION("IF(B751="""","""",
  100*E751 / MAX(FILTER($E:$E, $A:$A=$A751, $B:$B=$B751))
)
"),26.217228464419474)</f>
        <v>26.21722846</v>
      </c>
      <c r="K751" s="1">
        <f t="shared" si="3"/>
        <v>19.00749064</v>
      </c>
    </row>
    <row r="752">
      <c r="A752" s="3">
        <f>IFERROR(__xludf.DUMMYFUNCTION("""COMPUTED_VALUE"""),45962.0)</f>
        <v>45962</v>
      </c>
      <c r="B752" s="1" t="str">
        <f>IFERROR(__xludf.DUMMYFUNCTION("""COMPUTED_VALUE"""),"HospAlmoa")</f>
        <v>HospAlmoa</v>
      </c>
      <c r="C752" s="1" t="str">
        <f>IFERROR(__xludf.DUMMYFUNCTION("""COMPUTED_VALUE"""),"kinza")</f>
        <v>kinza</v>
      </c>
      <c r="D752" s="1">
        <f>IFERROR(__xludf.DUMMYFUNCTION("""COMPUTED_VALUE"""),4.0)</f>
        <v>4</v>
      </c>
      <c r="E752" s="1">
        <f>IFERROR(__xludf.DUMMYFUNCTION("""COMPUTED_VALUE"""),2.46)</f>
        <v>2.46</v>
      </c>
      <c r="F752" s="1">
        <f>IFERROR(__xludf.DUMMYFUNCTION("""COMPUTED_VALUE"""),1.0)</f>
        <v>1</v>
      </c>
      <c r="G752" s="1">
        <f t="shared" si="1"/>
        <v>4</v>
      </c>
      <c r="H752" s="1">
        <f t="shared" si="2"/>
        <v>2.46</v>
      </c>
      <c r="I752" s="1">
        <f>IFERROR(__xludf.DUMMYFUNCTION("IF(B752="""","""",
  100*F752 / MAX(FILTER($F:$F, $A:$A=$A752, $B:$B=$B752))
)
"),0.37453183520599254)</f>
        <v>0.3745318352</v>
      </c>
      <c r="J752" s="1">
        <f>IFERROR(__xludf.DUMMYFUNCTION("IF(B752="""","""",
  100*E752 / MAX(FILTER($E:$E, $A:$A=$A752, $B:$B=$B752))
)
"),1.3162118780096308)</f>
        <v>1.316211878</v>
      </c>
      <c r="K752" s="1">
        <f t="shared" si="3"/>
        <v>0.7982878545</v>
      </c>
    </row>
    <row r="753">
      <c r="A753" s="3">
        <f>IFERROR(__xludf.DUMMYFUNCTION("""COMPUTED_VALUE"""),45962.0)</f>
        <v>45962</v>
      </c>
      <c r="B753" s="1" t="str">
        <f>IFERROR(__xludf.DUMMYFUNCTION("""COMPUTED_VALUE"""),"HospAlmoa")</f>
        <v>HospAlmoa</v>
      </c>
      <c r="C753" s="1" t="str">
        <f>IFERROR(__xludf.DUMMYFUNCTION("""COMPUTED_VALUE"""),"koren Indomie")</f>
        <v>koren Indomie</v>
      </c>
      <c r="D753" s="1">
        <f>IFERROR(__xludf.DUMMYFUNCTION("""COMPUTED_VALUE"""),60.0)</f>
        <v>60</v>
      </c>
      <c r="E753" s="1">
        <f>IFERROR(__xludf.DUMMYFUNCTION("""COMPUTED_VALUE"""),9.0)</f>
        <v>9</v>
      </c>
      <c r="F753" s="1">
        <f>IFERROR(__xludf.DUMMYFUNCTION("""COMPUTED_VALUE"""),6.0)</f>
        <v>6</v>
      </c>
      <c r="G753" s="1">
        <f t="shared" si="1"/>
        <v>10</v>
      </c>
      <c r="H753" s="1">
        <f t="shared" si="2"/>
        <v>1.5</v>
      </c>
      <c r="I753" s="1">
        <f>IFERROR(__xludf.DUMMYFUNCTION("IF(B753="""","""",
  100*F753 / MAX(FILTER($F:$F, $A:$A=$A753, $B:$B=$B753))
)
"),2.247191011235955)</f>
        <v>2.247191011</v>
      </c>
      <c r="J753" s="1">
        <f>IFERROR(__xludf.DUMMYFUNCTION("IF(B753="""","""",
  100*E753 / MAX(FILTER($E:$E, $A:$A=$A753, $B:$B=$B753))
)
"),4.815409309791332)</f>
        <v>4.81540931</v>
      </c>
      <c r="K753" s="1">
        <f t="shared" si="3"/>
        <v>3.402889246</v>
      </c>
    </row>
    <row r="754">
      <c r="A754" s="3">
        <f>IFERROR(__xludf.DUMMYFUNCTION("""COMPUTED_VALUE"""),45962.0)</f>
        <v>45962</v>
      </c>
      <c r="B754" s="1" t="str">
        <f>IFERROR(__xludf.DUMMYFUNCTION("""COMPUTED_VALUE"""),"HospAlmoa")</f>
        <v>HospAlmoa</v>
      </c>
      <c r="C754" s="1" t="str">
        <f>IFERROR(__xludf.DUMMYFUNCTION("""COMPUTED_VALUE"""),"mr bite")</f>
        <v>mr bite</v>
      </c>
      <c r="D754" s="1">
        <f>IFERROR(__xludf.DUMMYFUNCTION("""COMPUTED_VALUE"""),222.0)</f>
        <v>222</v>
      </c>
      <c r="E754" s="1">
        <f>IFERROR(__xludf.DUMMYFUNCTION("""COMPUTED_VALUE"""),67.72)</f>
        <v>67.72</v>
      </c>
      <c r="F754" s="1">
        <f>IFERROR(__xludf.DUMMYFUNCTION("""COMPUTED_VALUE"""),116.0)</f>
        <v>116</v>
      </c>
      <c r="G754" s="1">
        <f t="shared" si="1"/>
        <v>1.913793103</v>
      </c>
      <c r="H754" s="1">
        <f t="shared" si="2"/>
        <v>0.5837931034</v>
      </c>
      <c r="I754" s="1">
        <f>IFERROR(__xludf.DUMMYFUNCTION("IF(B754="""","""",
  100*F754 / MAX(FILTER($F:$F, $A:$A=$A754, $B:$B=$B754))
)
"),43.445692883895134)</f>
        <v>43.44569288</v>
      </c>
      <c r="J754" s="1">
        <f>IFERROR(__xludf.DUMMYFUNCTION("IF(B754="""","""",
  100*E754 / MAX(FILTER($E:$E, $A:$A=$A754, $B:$B=$B754))
)
"),36.23327982878545)</f>
        <v>36.23327983</v>
      </c>
      <c r="K754" s="1">
        <f t="shared" si="3"/>
        <v>40.20010701</v>
      </c>
    </row>
    <row r="755">
      <c r="A755" s="3">
        <f>IFERROR(__xludf.DUMMYFUNCTION("""COMPUTED_VALUE"""),45962.0)</f>
        <v>45962</v>
      </c>
      <c r="B755" s="1" t="str">
        <f>IFERROR(__xludf.DUMMYFUNCTION("""COMPUTED_VALUE"""),"HospAlmoa")</f>
        <v>HospAlmoa</v>
      </c>
      <c r="C755" s="1" t="str">
        <f>IFERROR(__xludf.DUMMYFUNCTION("""COMPUTED_VALUE"""),"sunTop")</f>
        <v>sunTop</v>
      </c>
      <c r="D755" s="1">
        <f>IFERROR(__xludf.DUMMYFUNCTION("""COMPUTED_VALUE"""),121.0)</f>
        <v>121</v>
      </c>
      <c r="E755" s="1">
        <f>IFERROR(__xludf.DUMMYFUNCTION("""COMPUTED_VALUE"""),48.4)</f>
        <v>48.4</v>
      </c>
      <c r="F755" s="1">
        <f>IFERROR(__xludf.DUMMYFUNCTION("""COMPUTED_VALUE"""),121.0)</f>
        <v>121</v>
      </c>
      <c r="G755" s="1">
        <f t="shared" si="1"/>
        <v>1</v>
      </c>
      <c r="H755" s="1">
        <f t="shared" si="2"/>
        <v>0.4</v>
      </c>
      <c r="I755" s="1">
        <f>IFERROR(__xludf.DUMMYFUNCTION("IF(B755="""","""",
  100*F755 / MAX(FILTER($F:$F, $A:$A=$A755, $B:$B=$B755))
)
"),45.3183520599251)</f>
        <v>45.31835206</v>
      </c>
      <c r="J755" s="1">
        <f>IFERROR(__xludf.DUMMYFUNCTION("IF(B755="""","""",
  100*E755 / MAX(FILTER($E:$E, $A:$A=$A755, $B:$B=$B755))
)
"),25.896201177100053)</f>
        <v>25.89620118</v>
      </c>
      <c r="K755" s="1">
        <f t="shared" si="3"/>
        <v>36.57838416</v>
      </c>
    </row>
    <row r="756">
      <c r="A756" s="3">
        <f>IFERROR(__xludf.DUMMYFUNCTION("""COMPUTED_VALUE"""),45962.0)</f>
        <v>45962</v>
      </c>
      <c r="B756" s="1" t="str">
        <f>IFERROR(__xludf.DUMMYFUNCTION("""COMPUTED_VALUE"""),"SeaCost")</f>
        <v>SeaCost</v>
      </c>
      <c r="C756" s="1" t="str">
        <f>IFERROR(__xludf.DUMMYFUNCTION("""COMPUTED_VALUE"""),"Almarai Chocolate")</f>
        <v>Almarai Chocolate</v>
      </c>
      <c r="D756" s="1">
        <f>IFERROR(__xludf.DUMMYFUNCTION("""COMPUTED_VALUE"""),117.0)</f>
        <v>117</v>
      </c>
      <c r="E756" s="1">
        <f>IFERROR(__xludf.DUMMYFUNCTION("""COMPUTED_VALUE"""),39.0)</f>
        <v>39</v>
      </c>
      <c r="F756" s="1">
        <f>IFERROR(__xludf.DUMMYFUNCTION("""COMPUTED_VALUE"""),39.0)</f>
        <v>39</v>
      </c>
      <c r="G756" s="1">
        <f t="shared" si="1"/>
        <v>3</v>
      </c>
      <c r="H756" s="1">
        <f t="shared" si="2"/>
        <v>1</v>
      </c>
      <c r="I756" s="1">
        <f>IFERROR(__xludf.DUMMYFUNCTION("IF(B756="""","""",
  100*F756 / MAX(FILTER($F:$F, $A:$A=$A756, $B:$B=$B756))
)
"),10.182767624020888)</f>
        <v>10.18276762</v>
      </c>
      <c r="J756" s="1">
        <f>IFERROR(__xludf.DUMMYFUNCTION("IF(B756="""","""",
  100*E756 / MAX(FILTER($E:$E, $A:$A=$A756, $B:$B=$B756))
)
"),12.055641421947449)</f>
        <v>12.05564142</v>
      </c>
      <c r="K756" s="1">
        <f t="shared" si="3"/>
        <v>11.02556083</v>
      </c>
    </row>
    <row r="757">
      <c r="A757" s="3">
        <f>IFERROR(__xludf.DUMMYFUNCTION("""COMPUTED_VALUE"""),45962.0)</f>
        <v>45962</v>
      </c>
      <c r="B757" s="1" t="str">
        <f>IFERROR(__xludf.DUMMYFUNCTION("""COMPUTED_VALUE"""),"SeaCost")</f>
        <v>SeaCost</v>
      </c>
      <c r="C757" s="1" t="str">
        <f>IFERROR(__xludf.DUMMYFUNCTION("""COMPUTED_VALUE"""),"Almarai Strawberry")</f>
        <v>Almarai Strawberry</v>
      </c>
      <c r="D757" s="1">
        <f>IFERROR(__xludf.DUMMYFUNCTION("""COMPUTED_VALUE"""),72.0)</f>
        <v>72</v>
      </c>
      <c r="E757" s="1">
        <f>IFERROR(__xludf.DUMMYFUNCTION("""COMPUTED_VALUE"""),22.08)</f>
        <v>22.08</v>
      </c>
      <c r="F757" s="1">
        <f>IFERROR(__xludf.DUMMYFUNCTION("""COMPUTED_VALUE"""),24.0)</f>
        <v>24</v>
      </c>
      <c r="G757" s="1">
        <f t="shared" si="1"/>
        <v>3</v>
      </c>
      <c r="H757" s="1">
        <f t="shared" si="2"/>
        <v>0.92</v>
      </c>
      <c r="I757" s="1">
        <f>IFERROR(__xludf.DUMMYFUNCTION("IF(B757="""","""",
  100*F757 / MAX(FILTER($F:$F, $A:$A=$A757, $B:$B=$B757))
)
"),6.266318537859008)</f>
        <v>6.266318538</v>
      </c>
      <c r="J757" s="1">
        <f>IFERROR(__xludf.DUMMYFUNCTION("IF(B757="""","""",
  100*E757 / MAX(FILTER($E:$E, $A:$A=$A757, $B:$B=$B757))
)
"),6.825347758887172)</f>
        <v>6.825347759</v>
      </c>
      <c r="K757" s="1">
        <f t="shared" si="3"/>
        <v>6.517881687</v>
      </c>
    </row>
    <row r="758">
      <c r="A758" s="3">
        <f>IFERROR(__xludf.DUMMYFUNCTION("""COMPUTED_VALUE"""),45962.0)</f>
        <v>45962</v>
      </c>
      <c r="B758" s="1" t="str">
        <f>IFERROR(__xludf.DUMMYFUNCTION("""COMPUTED_VALUE"""),"SeaCost")</f>
        <v>SeaCost</v>
      </c>
      <c r="C758" s="1" t="str">
        <f>IFERROR(__xludf.DUMMYFUNCTION("""COMPUTED_VALUE"""),"Caser Juice")</f>
        <v>Caser Juice</v>
      </c>
      <c r="D758" s="1">
        <f>IFERROR(__xludf.DUMMYFUNCTION("""COMPUTED_VALUE"""),46.0)</f>
        <v>46</v>
      </c>
      <c r="E758" s="1">
        <f>IFERROR(__xludf.DUMMYFUNCTION("""COMPUTED_VALUE"""),4.7)</f>
        <v>4.7</v>
      </c>
      <c r="F758" s="1">
        <f>IFERROR(__xludf.DUMMYFUNCTION("""COMPUTED_VALUE"""),10.0)</f>
        <v>10</v>
      </c>
      <c r="G758" s="1">
        <f t="shared" si="1"/>
        <v>4.6</v>
      </c>
      <c r="H758" s="1">
        <f t="shared" si="2"/>
        <v>0.47</v>
      </c>
      <c r="I758" s="1">
        <f>IFERROR(__xludf.DUMMYFUNCTION("IF(B758="""","""",
  100*F758 / MAX(FILTER($F:$F, $A:$A=$A758, $B:$B=$B758))
)
"),2.6109660574412534)</f>
        <v>2.610966057</v>
      </c>
      <c r="J758" s="1">
        <f>IFERROR(__xludf.DUMMYFUNCTION("IF(B758="""","""",
  100*E758 / MAX(FILTER($E:$E, $A:$A=$A758, $B:$B=$B758))
)
"),1.4528593508500773)</f>
        <v>1.452859351</v>
      </c>
      <c r="K758" s="1">
        <f t="shared" si="3"/>
        <v>2.089818039</v>
      </c>
    </row>
    <row r="759">
      <c r="A759" s="3">
        <f>IFERROR(__xludf.DUMMYFUNCTION("""COMPUTED_VALUE"""),45962.0)</f>
        <v>45962</v>
      </c>
      <c r="B759" s="1" t="str">
        <f>IFERROR(__xludf.DUMMYFUNCTION("""COMPUTED_VALUE"""),"SeaCost")</f>
        <v>SeaCost</v>
      </c>
      <c r="C759" s="1" t="str">
        <f>IFERROR(__xludf.DUMMYFUNCTION("""COMPUTED_VALUE"""),"Dallas juice")</f>
        <v>Dallas juice</v>
      </c>
      <c r="D759" s="1">
        <f>IFERROR(__xludf.DUMMYFUNCTION("""COMPUTED_VALUE"""),460.0)</f>
        <v>460</v>
      </c>
      <c r="E759" s="1">
        <f>IFERROR(__xludf.DUMMYFUNCTION("""COMPUTED_VALUE"""),323.5)</f>
        <v>323.5</v>
      </c>
      <c r="F759" s="1">
        <f>IFERROR(__xludf.DUMMYFUNCTION("""COMPUTED_VALUE"""),150.0)</f>
        <v>150</v>
      </c>
      <c r="G759" s="1">
        <f t="shared" si="1"/>
        <v>3.066666667</v>
      </c>
      <c r="H759" s="1">
        <f t="shared" si="2"/>
        <v>2.156666667</v>
      </c>
      <c r="I759" s="1">
        <f>IFERROR(__xludf.DUMMYFUNCTION("IF(B759="""","""",
  100*F759 / MAX(FILTER($F:$F, $A:$A=$A759, $B:$B=$B759))
)
"),39.1644908616188)</f>
        <v>39.16449086</v>
      </c>
      <c r="J759" s="1">
        <f>IFERROR(__xludf.DUMMYFUNCTION("IF(B759="""","""",
  100*E759 / MAX(FILTER($E:$E, $A:$A=$A759, $B:$B=$B759))
)
"),100.0)</f>
        <v>100</v>
      </c>
      <c r="K759" s="1">
        <f t="shared" si="3"/>
        <v>66.54046997</v>
      </c>
    </row>
    <row r="760">
      <c r="A760" s="3">
        <f>IFERROR(__xludf.DUMMYFUNCTION("""COMPUTED_VALUE"""),45962.0)</f>
        <v>45962</v>
      </c>
      <c r="B760" s="1" t="str">
        <f>IFERROR(__xludf.DUMMYFUNCTION("""COMPUTED_VALUE"""),"SeaCost")</f>
        <v>SeaCost</v>
      </c>
      <c r="C760" s="1" t="str">
        <f>IFERROR(__xludf.DUMMYFUNCTION("""COMPUTED_VALUE"""),"HiPro")</f>
        <v>HiPro</v>
      </c>
      <c r="D760" s="1">
        <f>IFERROR(__xludf.DUMMYFUNCTION("""COMPUTED_VALUE"""),60.0)</f>
        <v>60</v>
      </c>
      <c r="E760" s="1">
        <f>IFERROR(__xludf.DUMMYFUNCTION("""COMPUTED_VALUE"""),-21.62)</f>
        <v>-21.62</v>
      </c>
      <c r="F760" s="1">
        <f>IFERROR(__xludf.DUMMYFUNCTION("""COMPUTED_VALUE"""),14.0)</f>
        <v>14</v>
      </c>
      <c r="G760" s="1">
        <f t="shared" si="1"/>
        <v>4.285714286</v>
      </c>
      <c r="H760" s="1">
        <f t="shared" si="2"/>
        <v>-1.544285714</v>
      </c>
      <c r="I760" s="1">
        <f>IFERROR(__xludf.DUMMYFUNCTION("IF(B760="""","""",
  100*F760 / MAX(FILTER($F:$F, $A:$A=$A760, $B:$B=$B760))
)
"),3.6553524804177546)</f>
        <v>3.65535248</v>
      </c>
      <c r="J760" s="1">
        <f>IFERROR(__xludf.DUMMYFUNCTION("IF(B760="""","""",
  100*E760 / MAX(FILTER($E:$E, $A:$A=$A760, $B:$B=$B760))
)
"),-6.683153013910355)</f>
        <v>-6.683153014</v>
      </c>
      <c r="K760" s="1">
        <f t="shared" si="3"/>
        <v>-0.996974992</v>
      </c>
    </row>
    <row r="761">
      <c r="A761" s="3">
        <f>IFERROR(__xludf.DUMMYFUNCTION("""COMPUTED_VALUE"""),45962.0)</f>
        <v>45962</v>
      </c>
      <c r="B761" s="1" t="str">
        <f>IFERROR(__xludf.DUMMYFUNCTION("""COMPUTED_VALUE"""),"SeaCost")</f>
        <v>SeaCost</v>
      </c>
      <c r="C761" s="1" t="str">
        <f>IFERROR(__xludf.DUMMYFUNCTION("""COMPUTED_VALUE"""),"Jannaty")</f>
        <v>Jannaty</v>
      </c>
      <c r="D761" s="1">
        <f>IFERROR(__xludf.DUMMYFUNCTION("""COMPUTED_VALUE"""),141.0)</f>
        <v>141</v>
      </c>
      <c r="E761" s="1">
        <f>IFERROR(__xludf.DUMMYFUNCTION("""COMPUTED_VALUE"""),51.0)</f>
        <v>51</v>
      </c>
      <c r="F761" s="1">
        <f>IFERROR(__xludf.DUMMYFUNCTION("""COMPUTED_VALUE"""),40.0)</f>
        <v>40</v>
      </c>
      <c r="G761" s="1">
        <f t="shared" si="1"/>
        <v>3.525</v>
      </c>
      <c r="H761" s="1">
        <f t="shared" si="2"/>
        <v>1.275</v>
      </c>
      <c r="I761" s="1">
        <f>IFERROR(__xludf.DUMMYFUNCTION("IF(B761="""","""",
  100*F761 / MAX(FILTER($F:$F, $A:$A=$A761, $B:$B=$B761))
)
"),10.443864229765014)</f>
        <v>10.44386423</v>
      </c>
      <c r="J761" s="1">
        <f>IFERROR(__xludf.DUMMYFUNCTION("IF(B761="""","""",
  100*E761 / MAX(FILTER($E:$E, $A:$A=$A761, $B:$B=$B761))
)
"),15.765069551777435)</f>
        <v>15.76506955</v>
      </c>
      <c r="K761" s="1">
        <f t="shared" si="3"/>
        <v>12.83840662</v>
      </c>
    </row>
    <row r="762">
      <c r="A762" s="3">
        <f>IFERROR(__xludf.DUMMYFUNCTION("""COMPUTED_VALUE"""),45962.0)</f>
        <v>45962</v>
      </c>
      <c r="B762" s="1" t="str">
        <f>IFERROR(__xludf.DUMMYFUNCTION("""COMPUTED_VALUE"""),"SeaCost")</f>
        <v>SeaCost</v>
      </c>
      <c r="C762" s="1" t="str">
        <f>IFERROR(__xludf.DUMMYFUNCTION("""COMPUTED_VALUE"""),"L suntop")</f>
        <v>L suntop</v>
      </c>
      <c r="D762" s="1">
        <f>IFERROR(__xludf.DUMMYFUNCTION("""COMPUTED_VALUE"""),121.0)</f>
        <v>121</v>
      </c>
      <c r="E762" s="1">
        <f>IFERROR(__xludf.DUMMYFUNCTION("""COMPUTED_VALUE"""),63.05)</f>
        <v>63.05</v>
      </c>
      <c r="F762" s="1">
        <f>IFERROR(__xludf.DUMMYFUNCTION("""COMPUTED_VALUE"""),61.0)</f>
        <v>61</v>
      </c>
      <c r="G762" s="1">
        <f t="shared" si="1"/>
        <v>1.983606557</v>
      </c>
      <c r="H762" s="1">
        <f t="shared" si="2"/>
        <v>1.033606557</v>
      </c>
      <c r="I762" s="1">
        <f>IFERROR(__xludf.DUMMYFUNCTION("IF(B762="""","""",
  100*F762 / MAX(FILTER($F:$F, $A:$A=$A762, $B:$B=$B762))
)
"),15.926892950391645)</f>
        <v>15.92689295</v>
      </c>
      <c r="J762" s="1">
        <f>IFERROR(__xludf.DUMMYFUNCTION("IF(B762="""","""",
  100*E762 / MAX(FILTER($E:$E, $A:$A=$A762, $B:$B=$B762))
)
"),19.489953632148378)</f>
        <v>19.48995363</v>
      </c>
      <c r="K762" s="1">
        <f t="shared" si="3"/>
        <v>17.53027026</v>
      </c>
    </row>
    <row r="763">
      <c r="A763" s="3">
        <f>IFERROR(__xludf.DUMMYFUNCTION("""COMPUTED_VALUE"""),45962.0)</f>
        <v>45962</v>
      </c>
      <c r="B763" s="1" t="str">
        <f>IFERROR(__xludf.DUMMYFUNCTION("""COMPUTED_VALUE"""),"SeaCost")</f>
        <v>SeaCost</v>
      </c>
      <c r="C763" s="1" t="str">
        <f>IFERROR(__xludf.DUMMYFUNCTION("""COMPUTED_VALUE"""),"Lovita cookies")</f>
        <v>Lovita cookies</v>
      </c>
      <c r="D763" s="1">
        <f>IFERROR(__xludf.DUMMYFUNCTION("""COMPUTED_VALUE"""),8.0)</f>
        <v>8</v>
      </c>
      <c r="E763" s="1">
        <f>IFERROR(__xludf.DUMMYFUNCTION("""COMPUTED_VALUE"""),2.82)</f>
        <v>2.82</v>
      </c>
      <c r="F763" s="1">
        <f>IFERROR(__xludf.DUMMYFUNCTION("""COMPUTED_VALUE"""),1.0)</f>
        <v>1</v>
      </c>
      <c r="G763" s="1">
        <f t="shared" si="1"/>
        <v>8</v>
      </c>
      <c r="H763" s="1">
        <f t="shared" si="2"/>
        <v>2.82</v>
      </c>
      <c r="I763" s="1">
        <f>IFERROR(__xludf.DUMMYFUNCTION("IF(B763="""","""",
  100*F763 / MAX(FILTER($F:$F, $A:$A=$A763, $B:$B=$B763))
)
"),0.26109660574412535)</f>
        <v>0.2610966057</v>
      </c>
      <c r="J763" s="1">
        <f>IFERROR(__xludf.DUMMYFUNCTION("IF(B763="""","""",
  100*E763 / MAX(FILTER($E:$E, $A:$A=$A763, $B:$B=$B763))
)
"),0.8717156105100463)</f>
        <v>0.8717156105</v>
      </c>
      <c r="K763" s="1">
        <f t="shared" si="3"/>
        <v>0.5358751579</v>
      </c>
    </row>
    <row r="764">
      <c r="A764" s="3">
        <f>IFERROR(__xludf.DUMMYFUNCTION("""COMPUTED_VALUE"""),45962.0)</f>
        <v>45962</v>
      </c>
      <c r="B764" s="1" t="str">
        <f>IFERROR(__xludf.DUMMYFUNCTION("""COMPUTED_VALUE"""),"SeaCost")</f>
        <v>SeaCost</v>
      </c>
      <c r="C764" s="1" t="str">
        <f>IFERROR(__xludf.DUMMYFUNCTION("""COMPUTED_VALUE"""),"Mulino Cookis")</f>
        <v>Mulino Cookis</v>
      </c>
      <c r="D764" s="1">
        <f>IFERROR(__xludf.DUMMYFUNCTION("""COMPUTED_VALUE"""),364.0)</f>
        <v>364</v>
      </c>
      <c r="E764" s="1">
        <f>IFERROR(__xludf.DUMMYFUNCTION("""COMPUTED_VALUE"""),114.92)</f>
        <v>114.92</v>
      </c>
      <c r="F764" s="1">
        <f>IFERROR(__xludf.DUMMYFUNCTION("""COMPUTED_VALUE"""),52.0)</f>
        <v>52</v>
      </c>
      <c r="G764" s="1">
        <f t="shared" si="1"/>
        <v>7</v>
      </c>
      <c r="H764" s="1">
        <f t="shared" si="2"/>
        <v>2.21</v>
      </c>
      <c r="I764" s="1">
        <f>IFERROR(__xludf.DUMMYFUNCTION("IF(B764="""","""",
  100*F764 / MAX(FILTER($F:$F, $A:$A=$A764, $B:$B=$B764))
)
"),13.577023498694517)</f>
        <v>13.5770235</v>
      </c>
      <c r="J764" s="1">
        <f>IFERROR(__xludf.DUMMYFUNCTION("IF(B764="""","""",
  100*E764 / MAX(FILTER($E:$E, $A:$A=$A764, $B:$B=$B764))
)
"),35.523956723338486)</f>
        <v>35.52395672</v>
      </c>
      <c r="K764" s="1">
        <f t="shared" si="3"/>
        <v>23.45314345</v>
      </c>
    </row>
    <row r="765">
      <c r="A765" s="3">
        <f>IFERROR(__xludf.DUMMYFUNCTION("""COMPUTED_VALUE"""),45962.0)</f>
        <v>45962</v>
      </c>
      <c r="B765" s="1" t="str">
        <f>IFERROR(__xludf.DUMMYFUNCTION("""COMPUTED_VALUE"""),"SeaCost")</f>
        <v>SeaCost</v>
      </c>
      <c r="C765" s="1" t="str">
        <f>IFERROR(__xludf.DUMMYFUNCTION("""COMPUTED_VALUE"""),"Nuts")</f>
        <v>Nuts</v>
      </c>
      <c r="D765" s="1">
        <f>IFERROR(__xludf.DUMMYFUNCTION("""COMPUTED_VALUE"""),120.0)</f>
        <v>120</v>
      </c>
      <c r="E765" s="1">
        <f>IFERROR(__xludf.DUMMYFUNCTION("""COMPUTED_VALUE"""),28.4)</f>
        <v>28.4</v>
      </c>
      <c r="F765" s="1">
        <f>IFERROR(__xludf.DUMMYFUNCTION("""COMPUTED_VALUE"""),20.0)</f>
        <v>20</v>
      </c>
      <c r="G765" s="1">
        <f t="shared" si="1"/>
        <v>6</v>
      </c>
      <c r="H765" s="1">
        <f t="shared" si="2"/>
        <v>1.42</v>
      </c>
      <c r="I765" s="1">
        <f>IFERROR(__xludf.DUMMYFUNCTION("IF(B765="""","""",
  100*F765 / MAX(FILTER($F:$F, $A:$A=$A765, $B:$B=$B765))
)
"),5.221932114882507)</f>
        <v>5.221932115</v>
      </c>
      <c r="J765" s="1">
        <f>IFERROR(__xludf.DUMMYFUNCTION("IF(B765="""","""",
  100*E765 / MAX(FILTER($E:$E, $A:$A=$A765, $B:$B=$B765))
)
"),8.778979907264297)</f>
        <v>8.778979907</v>
      </c>
      <c r="K765" s="1">
        <f t="shared" si="3"/>
        <v>6.822603621</v>
      </c>
    </row>
    <row r="766">
      <c r="A766" s="3">
        <f>IFERROR(__xludf.DUMMYFUNCTION("""COMPUTED_VALUE"""),45962.0)</f>
        <v>45962</v>
      </c>
      <c r="B766" s="1" t="str">
        <f>IFERROR(__xludf.DUMMYFUNCTION("""COMPUTED_VALUE"""),"SeaCost")</f>
        <v>SeaCost</v>
      </c>
      <c r="C766" s="1" t="str">
        <f>IFERROR(__xludf.DUMMYFUNCTION("""COMPUTED_VALUE"""),"PopCorn Chocolate")</f>
        <v>PopCorn Chocolate</v>
      </c>
      <c r="D766" s="1">
        <f>IFERROR(__xludf.DUMMYFUNCTION("""COMPUTED_VALUE"""),35.0)</f>
        <v>35</v>
      </c>
      <c r="E766" s="1">
        <f>IFERROR(__xludf.DUMMYFUNCTION("""COMPUTED_VALUE"""),10.0)</f>
        <v>10</v>
      </c>
      <c r="F766" s="1">
        <f>IFERROR(__xludf.DUMMYFUNCTION("""COMPUTED_VALUE"""),5.0)</f>
        <v>5</v>
      </c>
      <c r="G766" s="1">
        <f t="shared" si="1"/>
        <v>7</v>
      </c>
      <c r="H766" s="1">
        <f t="shared" si="2"/>
        <v>2</v>
      </c>
      <c r="I766" s="1">
        <f>IFERROR(__xludf.DUMMYFUNCTION("IF(B766="""","""",
  100*F766 / MAX(FILTER($F:$F, $A:$A=$A766, $B:$B=$B766))
)
"),1.3054830287206267)</f>
        <v>1.305483029</v>
      </c>
      <c r="J766" s="1">
        <f>IFERROR(__xludf.DUMMYFUNCTION("IF(B766="""","""",
  100*E766 / MAX(FILTER($E:$E, $A:$A=$A766, $B:$B=$B766))
)
"),3.091190108191654)</f>
        <v>3.091190108</v>
      </c>
      <c r="K766" s="1">
        <f t="shared" si="3"/>
        <v>2.109051214</v>
      </c>
    </row>
    <row r="767">
      <c r="A767" s="3">
        <f>IFERROR(__xludf.DUMMYFUNCTION("""COMPUTED_VALUE"""),45962.0)</f>
        <v>45962</v>
      </c>
      <c r="B767" s="1" t="str">
        <f>IFERROR(__xludf.DUMMYFUNCTION("""COMPUTED_VALUE"""),"SeaCost")</f>
        <v>SeaCost</v>
      </c>
      <c r="C767" s="1" t="str">
        <f>IFERROR(__xludf.DUMMYFUNCTION("""COMPUTED_VALUE"""),"Pretzels")</f>
        <v>Pretzels</v>
      </c>
      <c r="D767" s="1">
        <f>IFERROR(__xludf.DUMMYFUNCTION("""COMPUTED_VALUE"""),138.0)</f>
        <v>138</v>
      </c>
      <c r="E767" s="1">
        <f>IFERROR(__xludf.DUMMYFUNCTION("""COMPUTED_VALUE"""),63.25)</f>
        <v>63.25</v>
      </c>
      <c r="F767" s="1">
        <f>IFERROR(__xludf.DUMMYFUNCTION("""COMPUTED_VALUE"""),23.0)</f>
        <v>23</v>
      </c>
      <c r="G767" s="1">
        <f t="shared" si="1"/>
        <v>6</v>
      </c>
      <c r="H767" s="1">
        <f t="shared" si="2"/>
        <v>2.75</v>
      </c>
      <c r="I767" s="1">
        <f>IFERROR(__xludf.DUMMYFUNCTION("IF(B767="""","""",
  100*F767 / MAX(FILTER($F:$F, $A:$A=$A767, $B:$B=$B767))
)
"),6.005221932114883)</f>
        <v>6.005221932</v>
      </c>
      <c r="J767" s="1">
        <f>IFERROR(__xludf.DUMMYFUNCTION("IF(B767="""","""",
  100*E767 / MAX(FILTER($E:$E, $A:$A=$A767, $B:$B=$B767))
)
"),19.55177743431221)</f>
        <v>19.55177743</v>
      </c>
      <c r="K767" s="1">
        <f t="shared" si="3"/>
        <v>12.10117191</v>
      </c>
    </row>
    <row r="768">
      <c r="A768" s="3">
        <f>IFERROR(__xludf.DUMMYFUNCTION("""COMPUTED_VALUE"""),45962.0)</f>
        <v>45962</v>
      </c>
      <c r="B768" s="1" t="str">
        <f>IFERROR(__xludf.DUMMYFUNCTION("""COMPUTED_VALUE"""),"SeaCost")</f>
        <v>SeaCost</v>
      </c>
      <c r="C768" s="1" t="str">
        <f>IFERROR(__xludf.DUMMYFUNCTION("""COMPUTED_VALUE"""),"Prime")</f>
        <v>Prime</v>
      </c>
      <c r="D768" s="1">
        <f>IFERROR(__xludf.DUMMYFUNCTION("""COMPUTED_VALUE"""),100.0)</f>
        <v>100</v>
      </c>
      <c r="E768" s="1">
        <f>IFERROR(__xludf.DUMMYFUNCTION("""COMPUTED_VALUE"""),29.2)</f>
        <v>29.2</v>
      </c>
      <c r="F768" s="1">
        <f>IFERROR(__xludf.DUMMYFUNCTION("""COMPUTED_VALUE"""),5.0)</f>
        <v>5</v>
      </c>
      <c r="G768" s="1">
        <f t="shared" si="1"/>
        <v>20</v>
      </c>
      <c r="H768" s="1">
        <f t="shared" si="2"/>
        <v>5.84</v>
      </c>
      <c r="I768" s="1">
        <f>IFERROR(__xludf.DUMMYFUNCTION("IF(B768="""","""",
  100*F768 / MAX(FILTER($F:$F, $A:$A=$A768, $B:$B=$B768))
)
"),1.3054830287206267)</f>
        <v>1.305483029</v>
      </c>
      <c r="J768" s="1">
        <f>IFERROR(__xludf.DUMMYFUNCTION("IF(B768="""","""",
  100*E768 / MAX(FILTER($E:$E, $A:$A=$A768, $B:$B=$B768))
)
"),9.02627511591963)</f>
        <v>9.026275116</v>
      </c>
      <c r="K768" s="1">
        <f t="shared" si="3"/>
        <v>4.779839468</v>
      </c>
    </row>
    <row r="769">
      <c r="A769" s="3">
        <f>IFERROR(__xludf.DUMMYFUNCTION("""COMPUTED_VALUE"""),45962.0)</f>
        <v>45962</v>
      </c>
      <c r="B769" s="1" t="str">
        <f>IFERROR(__xludf.DUMMYFUNCTION("""COMPUTED_VALUE"""),"SeaCost")</f>
        <v>SeaCost</v>
      </c>
      <c r="C769" s="1" t="str">
        <f>IFERROR(__xludf.DUMMYFUNCTION("""COMPUTED_VALUE"""),"Prime Ex")</f>
        <v>Prime Ex</v>
      </c>
      <c r="D769" s="1">
        <f>IFERROR(__xludf.DUMMYFUNCTION("""COMPUTED_VALUE"""),100.0)</f>
        <v>100</v>
      </c>
      <c r="E769" s="1">
        <f>IFERROR(__xludf.DUMMYFUNCTION("""COMPUTED_VALUE"""),55.0)</f>
        <v>55</v>
      </c>
      <c r="F769" s="1">
        <f>IFERROR(__xludf.DUMMYFUNCTION("""COMPUTED_VALUE"""),5.0)</f>
        <v>5</v>
      </c>
      <c r="G769" s="1">
        <f t="shared" si="1"/>
        <v>20</v>
      </c>
      <c r="H769" s="1">
        <f t="shared" si="2"/>
        <v>11</v>
      </c>
      <c r="I769" s="1">
        <f>IFERROR(__xludf.DUMMYFUNCTION("IF(B769="""","""",
  100*F769 / MAX(FILTER($F:$F, $A:$A=$A769, $B:$B=$B769))
)
"),1.3054830287206267)</f>
        <v>1.305483029</v>
      </c>
      <c r="J769" s="1">
        <f>IFERROR(__xludf.DUMMYFUNCTION("IF(B769="""","""",
  100*E769 / MAX(FILTER($E:$E, $A:$A=$A769, $B:$B=$B769))
)
"),17.001545595054097)</f>
        <v>17.0015456</v>
      </c>
      <c r="K769" s="1">
        <f t="shared" si="3"/>
        <v>8.368711184</v>
      </c>
    </row>
    <row r="770">
      <c r="A770" s="3">
        <f>IFERROR(__xludf.DUMMYFUNCTION("""COMPUTED_VALUE"""),45962.0)</f>
        <v>45962</v>
      </c>
      <c r="B770" s="1" t="str">
        <f>IFERROR(__xludf.DUMMYFUNCTION("""COMPUTED_VALUE"""),"SeaCost")</f>
        <v>SeaCost</v>
      </c>
      <c r="C770" s="1" t="str">
        <f>IFERROR(__xludf.DUMMYFUNCTION("""COMPUTED_VALUE"""),"Rani")</f>
        <v>Rani</v>
      </c>
      <c r="D770" s="1">
        <f>IFERROR(__xludf.DUMMYFUNCTION("""COMPUTED_VALUE"""),24.0)</f>
        <v>24</v>
      </c>
      <c r="E770" s="1">
        <f>IFERROR(__xludf.DUMMYFUNCTION("""COMPUTED_VALUE"""),6.64)</f>
        <v>6.64</v>
      </c>
      <c r="F770" s="1">
        <f>IFERROR(__xludf.DUMMYFUNCTION("""COMPUTED_VALUE"""),8.0)</f>
        <v>8</v>
      </c>
      <c r="G770" s="1">
        <f t="shared" si="1"/>
        <v>3</v>
      </c>
      <c r="H770" s="1">
        <f t="shared" si="2"/>
        <v>0.83</v>
      </c>
      <c r="I770" s="1">
        <f>IFERROR(__xludf.DUMMYFUNCTION("IF(B770="""","""",
  100*F770 / MAX(FILTER($F:$F, $A:$A=$A770, $B:$B=$B770))
)
"),2.088772845953003)</f>
        <v>2.088772846</v>
      </c>
      <c r="J770" s="1">
        <f>IFERROR(__xludf.DUMMYFUNCTION("IF(B770="""","""",
  100*E770 / MAX(FILTER($E:$E, $A:$A=$A770, $B:$B=$B770))
)
"),2.052550231839258)</f>
        <v>2.052550232</v>
      </c>
      <c r="K770" s="1">
        <f t="shared" si="3"/>
        <v>2.07247267</v>
      </c>
    </row>
    <row r="771">
      <c r="A771" s="3">
        <f>IFERROR(__xludf.DUMMYFUNCTION("""COMPUTED_VALUE"""),45962.0)</f>
        <v>45962</v>
      </c>
      <c r="B771" s="1" t="str">
        <f>IFERROR(__xludf.DUMMYFUNCTION("""COMPUTED_VALUE"""),"SeaCost")</f>
        <v>SeaCost</v>
      </c>
      <c r="C771" s="1" t="str">
        <f>IFERROR(__xludf.DUMMYFUNCTION("""COMPUTED_VALUE"""),"Roshetto")</f>
        <v>Roshetto</v>
      </c>
      <c r="D771" s="1">
        <f>IFERROR(__xludf.DUMMYFUNCTION("""COMPUTED_VALUE"""),24.0)</f>
        <v>24</v>
      </c>
      <c r="E771" s="1">
        <f>IFERROR(__xludf.DUMMYFUNCTION("""COMPUTED_VALUE"""),13.12)</f>
        <v>13.12</v>
      </c>
      <c r="F771" s="1">
        <f>IFERROR(__xludf.DUMMYFUNCTION("""COMPUTED_VALUE"""),8.0)</f>
        <v>8</v>
      </c>
      <c r="G771" s="1">
        <f t="shared" si="1"/>
        <v>3</v>
      </c>
      <c r="H771" s="1">
        <f t="shared" si="2"/>
        <v>1.64</v>
      </c>
      <c r="I771" s="1">
        <f>IFERROR(__xludf.DUMMYFUNCTION("IF(B771="""","""",
  100*F771 / MAX(FILTER($F:$F, $A:$A=$A771, $B:$B=$B771))
)
"),2.088772845953003)</f>
        <v>2.088772846</v>
      </c>
      <c r="J771" s="1">
        <f>IFERROR(__xludf.DUMMYFUNCTION("IF(B771="""","""",
  100*E771 / MAX(FILTER($E:$E, $A:$A=$A771, $B:$B=$B771))
)
"),4.05564142194745)</f>
        <v>4.055641422</v>
      </c>
      <c r="K771" s="1">
        <f t="shared" si="3"/>
        <v>2.973863705</v>
      </c>
    </row>
    <row r="772">
      <c r="A772" s="3">
        <f>IFERROR(__xludf.DUMMYFUNCTION("""COMPUTED_VALUE"""),45962.0)</f>
        <v>45962</v>
      </c>
      <c r="B772" s="1" t="str">
        <f>IFERROR(__xludf.DUMMYFUNCTION("""COMPUTED_VALUE"""),"SeaCost")</f>
        <v>SeaCost</v>
      </c>
      <c r="C772" s="1" t="str">
        <f>IFERROR(__xludf.DUMMYFUNCTION("""COMPUTED_VALUE"""),"Saminsa")</f>
        <v>Saminsa</v>
      </c>
      <c r="D772" s="1">
        <f>IFERROR(__xludf.DUMMYFUNCTION("""COMPUTED_VALUE"""),162.0)</f>
        <v>162</v>
      </c>
      <c r="E772" s="1">
        <f>IFERROR(__xludf.DUMMYFUNCTION("""COMPUTED_VALUE"""),106.0)</f>
        <v>106</v>
      </c>
      <c r="F772" s="1">
        <f>IFERROR(__xludf.DUMMYFUNCTION("""COMPUTED_VALUE"""),56.0)</f>
        <v>56</v>
      </c>
      <c r="G772" s="1">
        <f t="shared" si="1"/>
        <v>2.892857143</v>
      </c>
      <c r="H772" s="1">
        <f t="shared" si="2"/>
        <v>1.892857143</v>
      </c>
      <c r="I772" s="1">
        <f>IFERROR(__xludf.DUMMYFUNCTION("IF(B772="""","""",
  100*F772 / MAX(FILTER($F:$F, $A:$A=$A772, $B:$B=$B772))
)
"),14.621409921671018)</f>
        <v>14.62140992</v>
      </c>
      <c r="J772" s="1">
        <f>IFERROR(__xludf.DUMMYFUNCTION("IF(B772="""","""",
  100*E772 / MAX(FILTER($E:$E, $A:$A=$A772, $B:$B=$B772))
)
"),32.76661514683153)</f>
        <v>32.76661515</v>
      </c>
      <c r="K772" s="1">
        <f t="shared" si="3"/>
        <v>22.78675227</v>
      </c>
    </row>
    <row r="773">
      <c r="A773" s="3">
        <f>IFERROR(__xludf.DUMMYFUNCTION("""COMPUTED_VALUE"""),45962.0)</f>
        <v>45962</v>
      </c>
      <c r="B773" s="1" t="str">
        <f>IFERROR(__xludf.DUMMYFUNCTION("""COMPUTED_VALUE"""),"SeaCost")</f>
        <v>SeaCost</v>
      </c>
      <c r="C773" s="1" t="str">
        <f>IFERROR(__xludf.DUMMYFUNCTION("""COMPUTED_VALUE"""),"Smsm")</f>
        <v>Smsm</v>
      </c>
      <c r="D773" s="1">
        <f>IFERROR(__xludf.DUMMYFUNCTION("""COMPUTED_VALUE"""),30.0)</f>
        <v>30</v>
      </c>
      <c r="E773" s="1">
        <f>IFERROR(__xludf.DUMMYFUNCTION("""COMPUTED_VALUE"""),8.0)</f>
        <v>8</v>
      </c>
      <c r="F773" s="1">
        <f>IFERROR(__xludf.DUMMYFUNCTION("""COMPUTED_VALUE"""),5.0)</f>
        <v>5</v>
      </c>
      <c r="G773" s="1">
        <f t="shared" si="1"/>
        <v>6</v>
      </c>
      <c r="H773" s="1">
        <f t="shared" si="2"/>
        <v>1.6</v>
      </c>
      <c r="I773" s="1">
        <f>IFERROR(__xludf.DUMMYFUNCTION("IF(B773="""","""",
  100*F773 / MAX(FILTER($F:$F, $A:$A=$A773, $B:$B=$B773))
)
"),1.3054830287206267)</f>
        <v>1.305483029</v>
      </c>
      <c r="J773" s="1">
        <f>IFERROR(__xludf.DUMMYFUNCTION("IF(B773="""","""",
  100*E773 / MAX(FILTER($E:$E, $A:$A=$A773, $B:$B=$B773))
)
"),2.472952086553323)</f>
        <v>2.472952087</v>
      </c>
      <c r="K773" s="1">
        <f t="shared" si="3"/>
        <v>1.830844105</v>
      </c>
    </row>
    <row r="774">
      <c r="A774" s="3">
        <f>IFERROR(__xludf.DUMMYFUNCTION("""COMPUTED_VALUE"""),45962.0)</f>
        <v>45962</v>
      </c>
      <c r="B774" s="1" t="str">
        <f>IFERROR(__xludf.DUMMYFUNCTION("""COMPUTED_VALUE"""),"SeaCost")</f>
        <v>SeaCost</v>
      </c>
      <c r="C774" s="1" t="str">
        <f>IFERROR(__xludf.DUMMYFUNCTION("""COMPUTED_VALUE"""),"Today Chocolate")</f>
        <v>Today Chocolate</v>
      </c>
      <c r="D774" s="1">
        <f>IFERROR(__xludf.DUMMYFUNCTION("""COMPUTED_VALUE"""),48.0)</f>
        <v>48</v>
      </c>
      <c r="E774" s="1">
        <f>IFERROR(__xludf.DUMMYFUNCTION("""COMPUTED_VALUE"""),12.68)</f>
        <v>12.68</v>
      </c>
      <c r="F774" s="1">
        <f>IFERROR(__xludf.DUMMYFUNCTION("""COMPUTED_VALUE"""),4.0)</f>
        <v>4</v>
      </c>
      <c r="G774" s="1">
        <f t="shared" si="1"/>
        <v>12</v>
      </c>
      <c r="H774" s="1">
        <f t="shared" si="2"/>
        <v>3.17</v>
      </c>
      <c r="I774" s="1">
        <f>IFERROR(__xludf.DUMMYFUNCTION("IF(B774="""","""",
  100*F774 / MAX(FILTER($F:$F, $A:$A=$A774, $B:$B=$B774))
)
"),1.0443864229765014)</f>
        <v>1.044386423</v>
      </c>
      <c r="J774" s="1">
        <f>IFERROR(__xludf.DUMMYFUNCTION("IF(B774="""","""",
  100*E774 / MAX(FILTER($E:$E, $A:$A=$A774, $B:$B=$B774))
)
"),3.919629057187017)</f>
        <v>3.919629057</v>
      </c>
      <c r="K774" s="1">
        <f t="shared" si="3"/>
        <v>2.338245608</v>
      </c>
    </row>
    <row r="775">
      <c r="A775" s="3">
        <f>IFERROR(__xludf.DUMMYFUNCTION("""COMPUTED_VALUE"""),45962.0)</f>
        <v>45962</v>
      </c>
      <c r="B775" s="1" t="str">
        <f>IFERROR(__xludf.DUMMYFUNCTION("""COMPUTED_VALUE"""),"SeaCost")</f>
        <v>SeaCost</v>
      </c>
      <c r="C775" s="1" t="str">
        <f>IFERROR(__xludf.DUMMYFUNCTION("""COMPUTED_VALUE"""),"Toren Dark Chocolate")</f>
        <v>Toren Dark Chocolate</v>
      </c>
      <c r="D775" s="1">
        <f>IFERROR(__xludf.DUMMYFUNCTION("""COMPUTED_VALUE"""),310.0)</f>
        <v>310</v>
      </c>
      <c r="E775" s="1">
        <f>IFERROR(__xludf.DUMMYFUNCTION("""COMPUTED_VALUE"""),168.95)</f>
        <v>168.95</v>
      </c>
      <c r="F775" s="1">
        <f>IFERROR(__xludf.DUMMYFUNCTION("""COMPUTED_VALUE"""),155.0)</f>
        <v>155</v>
      </c>
      <c r="G775" s="1">
        <f t="shared" si="1"/>
        <v>2</v>
      </c>
      <c r="H775" s="1">
        <f t="shared" si="2"/>
        <v>1.09</v>
      </c>
      <c r="I775" s="1">
        <f>IFERROR(__xludf.DUMMYFUNCTION("IF(B775="""","""",
  100*F775 / MAX(FILTER($F:$F, $A:$A=$A775, $B:$B=$B775))
)
"),40.469973890339425)</f>
        <v>40.46997389</v>
      </c>
      <c r="J775" s="1">
        <f>IFERROR(__xludf.DUMMYFUNCTION("IF(B775="""","""",
  100*E775 / MAX(FILTER($E:$E, $A:$A=$A775, $B:$B=$B775))
)
"),52.22565687789799)</f>
        <v>52.22565688</v>
      </c>
      <c r="K775" s="1">
        <f t="shared" si="3"/>
        <v>45.76003123</v>
      </c>
    </row>
    <row r="776">
      <c r="A776" s="3">
        <f>IFERROR(__xludf.DUMMYFUNCTION("""COMPUTED_VALUE"""),45962.0)</f>
        <v>45962</v>
      </c>
      <c r="B776" s="1" t="str">
        <f>IFERROR(__xludf.DUMMYFUNCTION("""COMPUTED_VALUE"""),"SeaCost")</f>
        <v>SeaCost</v>
      </c>
      <c r="C776" s="1" t="str">
        <f>IFERROR(__xludf.DUMMYFUNCTION("""COMPUTED_VALUE"""),"Water")</f>
        <v>Water</v>
      </c>
      <c r="D776" s="1">
        <f>IFERROR(__xludf.DUMMYFUNCTION("""COMPUTED_VALUE"""),398.0)</f>
        <v>398</v>
      </c>
      <c r="E776" s="1">
        <f>IFERROR(__xludf.DUMMYFUNCTION("""COMPUTED_VALUE"""),283.1)</f>
        <v>283.1</v>
      </c>
      <c r="F776" s="1">
        <f>IFERROR(__xludf.DUMMYFUNCTION("""COMPUTED_VALUE"""),383.0)</f>
        <v>383</v>
      </c>
      <c r="G776" s="1">
        <f t="shared" si="1"/>
        <v>1.039164491</v>
      </c>
      <c r="H776" s="1">
        <f t="shared" si="2"/>
        <v>0.7391644909</v>
      </c>
      <c r="I776" s="1">
        <f>IFERROR(__xludf.DUMMYFUNCTION("IF(B776="""","""",
  100*F776 / MAX(FILTER($F:$F, $A:$A=$A776, $B:$B=$B776))
)
"),100.0)</f>
        <v>100</v>
      </c>
      <c r="J776" s="1">
        <f>IFERROR(__xludf.DUMMYFUNCTION("IF(B776="""","""",
  100*E776 / MAX(FILTER($E:$E, $A:$A=$A776, $B:$B=$B776))
)
"),87.51159196290573)</f>
        <v>87.51159196</v>
      </c>
      <c r="K776" s="1">
        <f t="shared" si="3"/>
        <v>94.38021638</v>
      </c>
    </row>
    <row r="777">
      <c r="A777" s="3">
        <f>IFERROR(__xludf.DUMMYFUNCTION("""COMPUTED_VALUE"""),45962.0)</f>
        <v>45962</v>
      </c>
      <c r="B777" s="1" t="str">
        <f>IFERROR(__xludf.DUMMYFUNCTION("""COMPUTED_VALUE"""),"SeaCost")</f>
        <v>SeaCost</v>
      </c>
      <c r="C777" s="1" t="str">
        <f>IFERROR(__xludf.DUMMYFUNCTION("""COMPUTED_VALUE"""),"Yasmin Almonds")</f>
        <v>Yasmin Almonds</v>
      </c>
      <c r="D777" s="1">
        <f>IFERROR(__xludf.DUMMYFUNCTION("""COMPUTED_VALUE"""),15.0)</f>
        <v>15</v>
      </c>
      <c r="E777" s="1">
        <f>IFERROR(__xludf.DUMMYFUNCTION("""COMPUTED_VALUE"""),4.2)</f>
        <v>4.2</v>
      </c>
      <c r="F777" s="1">
        <f>IFERROR(__xludf.DUMMYFUNCTION("""COMPUTED_VALUE"""),3.0)</f>
        <v>3</v>
      </c>
      <c r="G777" s="1">
        <f t="shared" si="1"/>
        <v>5</v>
      </c>
      <c r="H777" s="1">
        <f t="shared" si="2"/>
        <v>1.4</v>
      </c>
      <c r="I777" s="1">
        <f>IFERROR(__xludf.DUMMYFUNCTION("IF(B777="""","""",
  100*F777 / MAX(FILTER($F:$F, $A:$A=$A777, $B:$B=$B777))
)
"),0.783289817232376)</f>
        <v>0.7832898172</v>
      </c>
      <c r="J777" s="1">
        <f>IFERROR(__xludf.DUMMYFUNCTION("IF(B777="""","""",
  100*E777 / MAX(FILTER($E:$E, $A:$A=$A777, $B:$B=$B777))
)
"),1.2982998454404946)</f>
        <v>1.298299845</v>
      </c>
      <c r="K777" s="1">
        <f t="shared" si="3"/>
        <v>1.01504433</v>
      </c>
    </row>
    <row r="778">
      <c r="A778" s="3">
        <f>IFERROR(__xludf.DUMMYFUNCTION("""COMPUTED_VALUE"""),45962.0)</f>
        <v>45962</v>
      </c>
      <c r="B778" s="1" t="str">
        <f>IFERROR(__xludf.DUMMYFUNCTION("""COMPUTED_VALUE"""),"SeaCost")</f>
        <v>SeaCost</v>
      </c>
      <c r="C778" s="1" t="str">
        <f>IFERROR(__xludf.DUMMYFUNCTION("""COMPUTED_VALUE"""),"Yasmin Penuts")</f>
        <v>Yasmin Penuts</v>
      </c>
      <c r="D778" s="1">
        <f>IFERROR(__xludf.DUMMYFUNCTION("""COMPUTED_VALUE"""),21.0)</f>
        <v>21</v>
      </c>
      <c r="E778" s="1">
        <f>IFERROR(__xludf.DUMMYFUNCTION("""COMPUTED_VALUE"""),8.4)</f>
        <v>8.4</v>
      </c>
      <c r="F778" s="1">
        <f>IFERROR(__xludf.DUMMYFUNCTION("""COMPUTED_VALUE"""),7.0)</f>
        <v>7</v>
      </c>
      <c r="G778" s="1">
        <f t="shared" si="1"/>
        <v>3</v>
      </c>
      <c r="H778" s="1">
        <f t="shared" si="2"/>
        <v>1.2</v>
      </c>
      <c r="I778" s="1">
        <f>IFERROR(__xludf.DUMMYFUNCTION("IF(B778="""","""",
  100*F778 / MAX(FILTER($F:$F, $A:$A=$A778, $B:$B=$B778))
)
"),1.8276762402088773)</f>
        <v>1.82767624</v>
      </c>
      <c r="J778" s="1">
        <f>IFERROR(__xludf.DUMMYFUNCTION("IF(B778="""","""",
  100*E778 / MAX(FILTER($E:$E, $A:$A=$A778, $B:$B=$B778))
)
"),2.596599690880989)</f>
        <v>2.596599691</v>
      </c>
      <c r="K778" s="1">
        <f t="shared" si="3"/>
        <v>2.173691793</v>
      </c>
    </row>
    <row r="779">
      <c r="A779" s="3">
        <f>IFERROR(__xludf.DUMMYFUNCTION("""COMPUTED_VALUE"""),45962.0)</f>
        <v>45962</v>
      </c>
      <c r="B779" s="1" t="str">
        <f>IFERROR(__xludf.DUMMYFUNCTION("""COMPUTED_VALUE"""),"SeaCost")</f>
        <v>SeaCost</v>
      </c>
      <c r="C779" s="1" t="str">
        <f>IFERROR(__xludf.DUMMYFUNCTION("""COMPUTED_VALUE"""),"Yipy Juice")</f>
        <v>Yipy Juice</v>
      </c>
      <c r="D779" s="1">
        <f>IFERROR(__xludf.DUMMYFUNCTION("""COMPUTED_VALUE"""),30.0)</f>
        <v>30</v>
      </c>
      <c r="E779" s="1">
        <f>IFERROR(__xludf.DUMMYFUNCTION("""COMPUTED_VALUE"""),10.84)</f>
        <v>10.84</v>
      </c>
      <c r="F779" s="1">
        <f>IFERROR(__xludf.DUMMYFUNCTION("""COMPUTED_VALUE"""),2.0)</f>
        <v>2</v>
      </c>
      <c r="G779" s="1">
        <f t="shared" si="1"/>
        <v>15</v>
      </c>
      <c r="H779" s="1">
        <f t="shared" si="2"/>
        <v>5.42</v>
      </c>
      <c r="I779" s="1">
        <f>IFERROR(__xludf.DUMMYFUNCTION("IF(B779="""","""",
  100*F779 / MAX(FILTER($F:$F, $A:$A=$A779, $B:$B=$B779))
)
"),0.5221932114882507)</f>
        <v>0.5221932115</v>
      </c>
      <c r="J779" s="1">
        <f>IFERROR(__xludf.DUMMYFUNCTION("IF(B779="""","""",
  100*E779 / MAX(FILTER($E:$E, $A:$A=$A779, $B:$B=$B779))
)
"),3.3508500772797527)</f>
        <v>3.350850077</v>
      </c>
      <c r="K779" s="1">
        <f t="shared" si="3"/>
        <v>1.795088801</v>
      </c>
    </row>
    <row r="780">
      <c r="A780" s="3">
        <f>IFERROR(__xludf.DUMMYFUNCTION("""COMPUTED_VALUE"""),45962.0)</f>
        <v>45962</v>
      </c>
      <c r="B780" s="1" t="str">
        <f>IFERROR(__xludf.DUMMYFUNCTION("""COMPUTED_VALUE"""),"SeaCost")</f>
        <v>SeaCost</v>
      </c>
      <c r="C780" s="1" t="str">
        <f>IFERROR(__xludf.DUMMYFUNCTION("""COMPUTED_VALUE"""),"ifruit juice")</f>
        <v>ifruit juice</v>
      </c>
      <c r="D780" s="1">
        <f>IFERROR(__xludf.DUMMYFUNCTION("""COMPUTED_VALUE"""),54.0)</f>
        <v>54</v>
      </c>
      <c r="E780" s="1">
        <f>IFERROR(__xludf.DUMMYFUNCTION("""COMPUTED_VALUE"""),21.99)</f>
        <v>21.99</v>
      </c>
      <c r="F780" s="1">
        <f>IFERROR(__xludf.DUMMYFUNCTION("""COMPUTED_VALUE"""),11.0)</f>
        <v>11</v>
      </c>
      <c r="G780" s="1">
        <f t="shared" si="1"/>
        <v>4.909090909</v>
      </c>
      <c r="H780" s="1">
        <f t="shared" si="2"/>
        <v>1.999090909</v>
      </c>
      <c r="I780" s="1">
        <f>IFERROR(__xludf.DUMMYFUNCTION("IF(B780="""","""",
  100*F780 / MAX(FILTER($F:$F, $A:$A=$A780, $B:$B=$B780))
)
"),2.8720626631853787)</f>
        <v>2.872062663</v>
      </c>
      <c r="J780" s="1">
        <f>IFERROR(__xludf.DUMMYFUNCTION("IF(B780="""","""",
  100*E780 / MAX(FILTER($E:$E, $A:$A=$A780, $B:$B=$B780))
)
"),6.797527047913447)</f>
        <v>6.797527048</v>
      </c>
      <c r="K780" s="1">
        <f t="shared" si="3"/>
        <v>4.638521636</v>
      </c>
    </row>
    <row r="781">
      <c r="A781" s="3">
        <f>IFERROR(__xludf.DUMMYFUNCTION("""COMPUTED_VALUE"""),45962.0)</f>
        <v>45962</v>
      </c>
      <c r="B781" s="1" t="str">
        <f>IFERROR(__xludf.DUMMYFUNCTION("""COMPUTED_VALUE"""),"SeaCost")</f>
        <v>SeaCost</v>
      </c>
      <c r="C781" s="1" t="str">
        <f>IFERROR(__xludf.DUMMYFUNCTION("""COMPUTED_VALUE"""),"sunTop")</f>
        <v>sunTop</v>
      </c>
      <c r="D781" s="1">
        <f>IFERROR(__xludf.DUMMYFUNCTION("""COMPUTED_VALUE"""),254.0)</f>
        <v>254</v>
      </c>
      <c r="E781" s="1">
        <f>IFERROR(__xludf.DUMMYFUNCTION("""COMPUTED_VALUE"""),105.8)</f>
        <v>105.8</v>
      </c>
      <c r="F781" s="1">
        <f>IFERROR(__xludf.DUMMYFUNCTION("""COMPUTED_VALUE"""),247.0)</f>
        <v>247</v>
      </c>
      <c r="G781" s="1">
        <f t="shared" si="1"/>
        <v>1.028340081</v>
      </c>
      <c r="H781" s="1">
        <f t="shared" si="2"/>
        <v>0.428340081</v>
      </c>
      <c r="I781" s="1">
        <f>IFERROR(__xludf.DUMMYFUNCTION("IF(B781="""","""",
  100*F781 / MAX(FILTER($F:$F, $A:$A=$A781, $B:$B=$B781))
)
"),64.49086161879896)</f>
        <v>64.49086162</v>
      </c>
      <c r="J781" s="1">
        <f>IFERROR(__xludf.DUMMYFUNCTION("IF(B781="""","""",
  100*E781 / MAX(FILTER($E:$E, $A:$A=$A781, $B:$B=$B781))
)
"),32.7047913446677)</f>
        <v>32.70479134</v>
      </c>
      <c r="K781" s="1">
        <f t="shared" si="3"/>
        <v>50.18713</v>
      </c>
    </row>
    <row r="782">
      <c r="A782" s="3">
        <f>IFERROR(__xludf.DUMMYFUNCTION("""COMPUTED_VALUE"""),45962.0)</f>
        <v>45962</v>
      </c>
      <c r="B782" s="1" t="str">
        <f>IFERROR(__xludf.DUMMYFUNCTION("""COMPUTED_VALUE"""),"SeaCost")</f>
        <v>SeaCost</v>
      </c>
      <c r="C782" s="1" t="str">
        <f>IFERROR(__xludf.DUMMYFUNCTION("""COMPUTED_VALUE"""),"zigi marinated peanuts")</f>
        <v>zigi marinated peanuts</v>
      </c>
      <c r="D782" s="1">
        <f>IFERROR(__xludf.DUMMYFUNCTION("""COMPUTED_VALUE"""),95.0)</f>
        <v>95</v>
      </c>
      <c r="E782" s="1">
        <f>IFERROR(__xludf.DUMMYFUNCTION("""COMPUTED_VALUE"""),35.5)</f>
        <v>35.5</v>
      </c>
      <c r="F782" s="1">
        <f>IFERROR(__xludf.DUMMYFUNCTION("""COMPUTED_VALUE"""),17.0)</f>
        <v>17</v>
      </c>
      <c r="G782" s="1">
        <f t="shared" si="1"/>
        <v>5.588235294</v>
      </c>
      <c r="H782" s="1">
        <f t="shared" si="2"/>
        <v>2.088235294</v>
      </c>
      <c r="I782" s="1">
        <f>IFERROR(__xludf.DUMMYFUNCTION("IF(B782="""","""",
  100*F782 / MAX(FILTER($F:$F, $A:$A=$A782, $B:$B=$B782))
)
"),4.438642297650131)</f>
        <v>4.438642298</v>
      </c>
      <c r="J782" s="1">
        <f>IFERROR(__xludf.DUMMYFUNCTION("IF(B782="""","""",
  100*E782 / MAX(FILTER($E:$E, $A:$A=$A782, $B:$B=$B782))
)
"),10.97372488408037)</f>
        <v>10.97372488</v>
      </c>
      <c r="K782" s="1">
        <f t="shared" si="3"/>
        <v>7.379429462</v>
      </c>
    </row>
    <row r="783">
      <c r="A783" s="3">
        <f>IFERROR(__xludf.DUMMYFUNCTION("""COMPUTED_VALUE"""),45992.0)</f>
        <v>45992</v>
      </c>
      <c r="B783" s="1" t="str">
        <f>IFERROR(__xludf.DUMMYFUNCTION("""COMPUTED_VALUE"""),"DPMall")</f>
        <v>DPMall</v>
      </c>
      <c r="C783" s="1" t="str">
        <f>IFERROR(__xludf.DUMMYFUNCTION("""COMPUTED_VALUE"""),"7up")</f>
        <v>7up</v>
      </c>
      <c r="D783" s="1">
        <f>IFERROR(__xludf.DUMMYFUNCTION("""COMPUTED_VALUE"""),39.0)</f>
        <v>39</v>
      </c>
      <c r="E783" s="1">
        <f>IFERROR(__xludf.DUMMYFUNCTION("""COMPUTED_VALUE"""),39.0)</f>
        <v>39</v>
      </c>
      <c r="F783" s="1">
        <f>IFERROR(__xludf.DUMMYFUNCTION("""COMPUTED_VALUE"""),13.0)</f>
        <v>13</v>
      </c>
      <c r="G783" s="1">
        <f t="shared" si="1"/>
        <v>3</v>
      </c>
      <c r="H783" s="1">
        <f t="shared" si="2"/>
        <v>3</v>
      </c>
      <c r="I783" s="1">
        <f>IFERROR(__xludf.DUMMYFUNCTION("IF(B783="""","""",
  100*F783 / MAX(FILTER($F:$F, $A:$A=$A783, $B:$B=$B783))
)
"),2.4667931688804554)</f>
        <v>2.466793169</v>
      </c>
      <c r="J783" s="1">
        <f>IFERROR(__xludf.DUMMYFUNCTION("IF(B783="""","""",
  100*E783 / MAX(FILTER($E:$E, $A:$A=$A783, $B:$B=$B783))
)
"),7.400379506641366)</f>
        <v>7.400379507</v>
      </c>
      <c r="K783" s="1">
        <f t="shared" si="3"/>
        <v>4.686907021</v>
      </c>
    </row>
    <row r="784">
      <c r="A784" s="3">
        <f>IFERROR(__xludf.DUMMYFUNCTION("""COMPUTED_VALUE"""),45992.0)</f>
        <v>45992</v>
      </c>
      <c r="B784" s="1" t="str">
        <f>IFERROR(__xludf.DUMMYFUNCTION("""COMPUTED_VALUE"""),"DPMall")</f>
        <v>DPMall</v>
      </c>
      <c r="C784" s="1" t="str">
        <f>IFERROR(__xludf.DUMMYFUNCTION("""COMPUTED_VALUE"""),"Doritos cool ranc")</f>
        <v>Doritos cool ranc</v>
      </c>
      <c r="D784" s="1">
        <f>IFERROR(__xludf.DUMMYFUNCTION("""COMPUTED_VALUE"""),110.0)</f>
        <v>110</v>
      </c>
      <c r="E784" s="1">
        <f>IFERROR(__xludf.DUMMYFUNCTION("""COMPUTED_VALUE"""),110.0)</f>
        <v>110</v>
      </c>
      <c r="F784" s="1">
        <f>IFERROR(__xludf.DUMMYFUNCTION("""COMPUTED_VALUE"""),22.0)</f>
        <v>22</v>
      </c>
      <c r="G784" s="1">
        <f t="shared" si="1"/>
        <v>5</v>
      </c>
      <c r="H784" s="1">
        <f t="shared" si="2"/>
        <v>5</v>
      </c>
      <c r="I784" s="1">
        <f>IFERROR(__xludf.DUMMYFUNCTION("IF(B784="""","""",
  100*F784 / MAX(FILTER($F:$F, $A:$A=$A784, $B:$B=$B784))
)
"),4.174573055028463)</f>
        <v>4.174573055</v>
      </c>
      <c r="J784" s="1">
        <f>IFERROR(__xludf.DUMMYFUNCTION("IF(B784="""","""",
  100*E784 / MAX(FILTER($E:$E, $A:$A=$A784, $B:$B=$B784))
)
"),20.872865275142313)</f>
        <v>20.87286528</v>
      </c>
      <c r="K784" s="1">
        <f t="shared" si="3"/>
        <v>11.68880455</v>
      </c>
    </row>
    <row r="785">
      <c r="A785" s="3">
        <f>IFERROR(__xludf.DUMMYFUNCTION("""COMPUTED_VALUE"""),45992.0)</f>
        <v>45992</v>
      </c>
      <c r="B785" s="1" t="str">
        <f>IFERROR(__xludf.DUMMYFUNCTION("""COMPUTED_VALUE"""),"DPMall")</f>
        <v>DPMall</v>
      </c>
      <c r="C785" s="1" t="str">
        <f>IFERROR(__xludf.DUMMYFUNCTION("""COMPUTED_VALUE"""),"Gardena")</f>
        <v>Gardena</v>
      </c>
      <c r="D785" s="1">
        <f>IFERROR(__xludf.DUMMYFUNCTION("""COMPUTED_VALUE"""),55.0)</f>
        <v>55</v>
      </c>
      <c r="E785" s="1">
        <f>IFERROR(__xludf.DUMMYFUNCTION("""COMPUTED_VALUE"""),55.0)</f>
        <v>55</v>
      </c>
      <c r="F785" s="1">
        <f>IFERROR(__xludf.DUMMYFUNCTION("""COMPUTED_VALUE"""),11.0)</f>
        <v>11</v>
      </c>
      <c r="G785" s="1">
        <f t="shared" si="1"/>
        <v>5</v>
      </c>
      <c r="H785" s="1">
        <f t="shared" si="2"/>
        <v>5</v>
      </c>
      <c r="I785" s="1">
        <f>IFERROR(__xludf.DUMMYFUNCTION("IF(B785="""","""",
  100*F785 / MAX(FILTER($F:$F, $A:$A=$A785, $B:$B=$B785))
)
"),2.0872865275142316)</f>
        <v>2.087286528</v>
      </c>
      <c r="J785" s="1">
        <f>IFERROR(__xludf.DUMMYFUNCTION("IF(B785="""","""",
  100*E785 / MAX(FILTER($E:$E, $A:$A=$A785, $B:$B=$B785))
)
"),10.436432637571157)</f>
        <v>10.43643264</v>
      </c>
      <c r="K785" s="1">
        <f t="shared" si="3"/>
        <v>5.844402277</v>
      </c>
    </row>
    <row r="786">
      <c r="A786" s="3">
        <f>IFERROR(__xludf.DUMMYFUNCTION("""COMPUTED_VALUE"""),45992.0)</f>
        <v>45992</v>
      </c>
      <c r="B786" s="1" t="str">
        <f>IFERROR(__xludf.DUMMYFUNCTION("""COMPUTED_VALUE"""),"DPMall")</f>
        <v>DPMall</v>
      </c>
      <c r="C786" s="1" t="str">
        <f>IFERROR(__xludf.DUMMYFUNCTION("""COMPUTED_VALUE"""),"Laviva")</f>
        <v>Laviva</v>
      </c>
      <c r="D786" s="1">
        <f>IFERROR(__xludf.DUMMYFUNCTION("""COMPUTED_VALUE"""),174.0)</f>
        <v>174</v>
      </c>
      <c r="E786" s="1">
        <f>IFERROR(__xludf.DUMMYFUNCTION("""COMPUTED_VALUE"""),174.0)</f>
        <v>174</v>
      </c>
      <c r="F786" s="1">
        <f>IFERROR(__xludf.DUMMYFUNCTION("""COMPUTED_VALUE"""),58.0)</f>
        <v>58</v>
      </c>
      <c r="G786" s="1">
        <f t="shared" si="1"/>
        <v>3</v>
      </c>
      <c r="H786" s="1">
        <f t="shared" si="2"/>
        <v>3</v>
      </c>
      <c r="I786" s="1">
        <f>IFERROR(__xludf.DUMMYFUNCTION("IF(B786="""","""",
  100*F786 / MAX(FILTER($F:$F, $A:$A=$A786, $B:$B=$B786))
)
"),11.005692599620494)</f>
        <v>11.0056926</v>
      </c>
      <c r="J786" s="1">
        <f>IFERROR(__xludf.DUMMYFUNCTION("IF(B786="""","""",
  100*E786 / MAX(FILTER($E:$E, $A:$A=$A786, $B:$B=$B786))
)
"),33.01707779886148)</f>
        <v>33.0170778</v>
      </c>
      <c r="K786" s="1">
        <f t="shared" si="3"/>
        <v>20.91081594</v>
      </c>
    </row>
    <row r="787">
      <c r="A787" s="3">
        <f>IFERROR(__xludf.DUMMYFUNCTION("""COMPUTED_VALUE"""),45992.0)</f>
        <v>45992</v>
      </c>
      <c r="B787" s="1" t="str">
        <f>IFERROR(__xludf.DUMMYFUNCTION("""COMPUTED_VALUE"""),"DPMall")</f>
        <v>DPMall</v>
      </c>
      <c r="C787" s="1" t="str">
        <f>IFERROR(__xludf.DUMMYFUNCTION("""COMPUTED_VALUE"""),"Maltesers")</f>
        <v>Maltesers</v>
      </c>
      <c r="D787" s="1">
        <f>IFERROR(__xludf.DUMMYFUNCTION("""COMPUTED_VALUE"""),82.0)</f>
        <v>82</v>
      </c>
      <c r="E787" s="1">
        <f>IFERROR(__xludf.DUMMYFUNCTION("""COMPUTED_VALUE"""),82.0)</f>
        <v>82</v>
      </c>
      <c r="F787" s="1">
        <f>IFERROR(__xludf.DUMMYFUNCTION("""COMPUTED_VALUE"""),12.0)</f>
        <v>12</v>
      </c>
      <c r="G787" s="1">
        <f t="shared" si="1"/>
        <v>6.833333333</v>
      </c>
      <c r="H787" s="1">
        <f t="shared" si="2"/>
        <v>6.833333333</v>
      </c>
      <c r="I787" s="1">
        <f>IFERROR(__xludf.DUMMYFUNCTION("IF(B787="""","""",
  100*F787 / MAX(FILTER($F:$F, $A:$A=$A787, $B:$B=$B787))
)
"),2.2770398481973433)</f>
        <v>2.277039848</v>
      </c>
      <c r="J787" s="1">
        <f>IFERROR(__xludf.DUMMYFUNCTION("IF(B787="""","""",
  100*E787 / MAX(FILTER($E:$E, $A:$A=$A787, $B:$B=$B787))
)
"),15.559772296015181)</f>
        <v>15.5597723</v>
      </c>
      <c r="K787" s="1">
        <f t="shared" si="3"/>
        <v>8.25426945</v>
      </c>
    </row>
    <row r="788">
      <c r="A788" s="3">
        <f>IFERROR(__xludf.DUMMYFUNCTION("""COMPUTED_VALUE"""),45992.0)</f>
        <v>45992</v>
      </c>
      <c r="B788" s="1" t="str">
        <f>IFERROR(__xludf.DUMMYFUNCTION("""COMPUTED_VALUE"""),"DPMall")</f>
        <v>DPMall</v>
      </c>
      <c r="C788" s="1" t="str">
        <f>IFERROR(__xludf.DUMMYFUNCTION("""COMPUTED_VALUE"""),"Marshmellow sweetBag")</f>
        <v>Marshmellow sweetBag</v>
      </c>
      <c r="D788" s="1">
        <f>IFERROR(__xludf.DUMMYFUNCTION("""COMPUTED_VALUE"""),156.0)</f>
        <v>156</v>
      </c>
      <c r="E788" s="1">
        <f>IFERROR(__xludf.DUMMYFUNCTION("""COMPUTED_VALUE"""),156.0)</f>
        <v>156</v>
      </c>
      <c r="F788" s="1">
        <f>IFERROR(__xludf.DUMMYFUNCTION("""COMPUTED_VALUE"""),52.0)</f>
        <v>52</v>
      </c>
      <c r="G788" s="1">
        <f t="shared" si="1"/>
        <v>3</v>
      </c>
      <c r="H788" s="1">
        <f t="shared" si="2"/>
        <v>3</v>
      </c>
      <c r="I788" s="1">
        <f>IFERROR(__xludf.DUMMYFUNCTION("IF(B788="""","""",
  100*F788 / MAX(FILTER($F:$F, $A:$A=$A788, $B:$B=$B788))
)
"),9.867172675521822)</f>
        <v>9.867172676</v>
      </c>
      <c r="J788" s="1">
        <f>IFERROR(__xludf.DUMMYFUNCTION("IF(B788="""","""",
  100*E788 / MAX(FILTER($E:$E, $A:$A=$A788, $B:$B=$B788))
)
"),29.601518026565465)</f>
        <v>29.60151803</v>
      </c>
      <c r="K788" s="1">
        <f t="shared" si="3"/>
        <v>18.74762808</v>
      </c>
    </row>
    <row r="789">
      <c r="A789" s="3">
        <f>IFERROR(__xludf.DUMMYFUNCTION("""COMPUTED_VALUE"""),45992.0)</f>
        <v>45992</v>
      </c>
      <c r="B789" s="1" t="str">
        <f>IFERROR(__xludf.DUMMYFUNCTION("""COMPUTED_VALUE"""),"DPMall")</f>
        <v>DPMall</v>
      </c>
      <c r="C789" s="1" t="str">
        <f>IFERROR(__xludf.DUMMYFUNCTION("""COMPUTED_VALUE"""),"Mirinda")</f>
        <v>Mirinda</v>
      </c>
      <c r="D789" s="1">
        <f>IFERROR(__xludf.DUMMYFUNCTION("""COMPUTED_VALUE"""),21.0)</f>
        <v>21</v>
      </c>
      <c r="E789" s="1">
        <f>IFERROR(__xludf.DUMMYFUNCTION("""COMPUTED_VALUE"""),21.0)</f>
        <v>21</v>
      </c>
      <c r="F789" s="1">
        <f>IFERROR(__xludf.DUMMYFUNCTION("""COMPUTED_VALUE"""),7.0)</f>
        <v>7</v>
      </c>
      <c r="G789" s="1">
        <f t="shared" si="1"/>
        <v>3</v>
      </c>
      <c r="H789" s="1">
        <f t="shared" si="2"/>
        <v>3</v>
      </c>
      <c r="I789" s="1">
        <f>IFERROR(__xludf.DUMMYFUNCTION("IF(B789="""","""",
  100*F789 / MAX(FILTER($F:$F, $A:$A=$A789, $B:$B=$B789))
)
"),1.3282732447817838)</f>
        <v>1.328273245</v>
      </c>
      <c r="J789" s="1">
        <f>IFERROR(__xludf.DUMMYFUNCTION("IF(B789="""","""",
  100*E789 / MAX(FILTER($E:$E, $A:$A=$A789, $B:$B=$B789))
)
"),3.984819734345351)</f>
        <v>3.984819734</v>
      </c>
      <c r="K789" s="1">
        <f t="shared" si="3"/>
        <v>2.523719165</v>
      </c>
    </row>
    <row r="790">
      <c r="A790" s="3">
        <f>IFERROR(__xludf.DUMMYFUNCTION("""COMPUTED_VALUE"""),45992.0)</f>
        <v>45992</v>
      </c>
      <c r="B790" s="1" t="str">
        <f>IFERROR(__xludf.DUMMYFUNCTION("""COMPUTED_VALUE"""),"DPMall")</f>
        <v>DPMall</v>
      </c>
      <c r="C790" s="1" t="str">
        <f>IFERROR(__xludf.DUMMYFUNCTION("""COMPUTED_VALUE"""),"Mr Crunch")</f>
        <v>Mr Crunch</v>
      </c>
      <c r="D790" s="1">
        <f>IFERROR(__xludf.DUMMYFUNCTION("""COMPUTED_VALUE"""),55.0)</f>
        <v>55</v>
      </c>
      <c r="E790" s="1">
        <f>IFERROR(__xludf.DUMMYFUNCTION("""COMPUTED_VALUE"""),55.0)</f>
        <v>55</v>
      </c>
      <c r="F790" s="1">
        <f>IFERROR(__xludf.DUMMYFUNCTION("""COMPUTED_VALUE"""),11.0)</f>
        <v>11</v>
      </c>
      <c r="G790" s="1">
        <f t="shared" si="1"/>
        <v>5</v>
      </c>
      <c r="H790" s="1">
        <f t="shared" si="2"/>
        <v>5</v>
      </c>
      <c r="I790" s="1">
        <f>IFERROR(__xludf.DUMMYFUNCTION("IF(B790="""","""",
  100*F790 / MAX(FILTER($F:$F, $A:$A=$A790, $B:$B=$B790))
)
"),2.0872865275142316)</f>
        <v>2.087286528</v>
      </c>
      <c r="J790" s="1">
        <f>IFERROR(__xludf.DUMMYFUNCTION("IF(B790="""","""",
  100*E790 / MAX(FILTER($E:$E, $A:$A=$A790, $B:$B=$B790))
)
"),10.436432637571157)</f>
        <v>10.43643264</v>
      </c>
      <c r="K790" s="1">
        <f t="shared" si="3"/>
        <v>5.844402277</v>
      </c>
    </row>
    <row r="791">
      <c r="A791" s="3">
        <f>IFERROR(__xludf.DUMMYFUNCTION("""COMPUTED_VALUE"""),45992.0)</f>
        <v>45992</v>
      </c>
      <c r="B791" s="1" t="str">
        <f>IFERROR(__xludf.DUMMYFUNCTION("""COMPUTED_VALUE"""),"DPMall")</f>
        <v>DPMall</v>
      </c>
      <c r="C791" s="1" t="str">
        <f>IFERROR(__xludf.DUMMYFUNCTION("""COMPUTED_VALUE"""),"Mr Crunch cheez top")</f>
        <v>Mr Crunch cheez top</v>
      </c>
      <c r="D791" s="1">
        <f>IFERROR(__xludf.DUMMYFUNCTION("""COMPUTED_VALUE"""),366.0)</f>
        <v>366</v>
      </c>
      <c r="E791" s="1">
        <f>IFERROR(__xludf.DUMMYFUNCTION("""COMPUTED_VALUE"""),366.0)</f>
        <v>366</v>
      </c>
      <c r="F791" s="1">
        <f>IFERROR(__xludf.DUMMYFUNCTION("""COMPUTED_VALUE"""),76.0)</f>
        <v>76</v>
      </c>
      <c r="G791" s="1">
        <f t="shared" si="1"/>
        <v>4.815789474</v>
      </c>
      <c r="H791" s="1">
        <f t="shared" si="2"/>
        <v>4.815789474</v>
      </c>
      <c r="I791" s="1">
        <f>IFERROR(__xludf.DUMMYFUNCTION("IF(B791="""","""",
  100*F791 / MAX(FILTER($F:$F, $A:$A=$A791, $B:$B=$B791))
)
"),14.421252371916509)</f>
        <v>14.42125237</v>
      </c>
      <c r="J791" s="1">
        <f>IFERROR(__xludf.DUMMYFUNCTION("IF(B791="""","""",
  100*E791 / MAX(FILTER($E:$E, $A:$A=$A791, $B:$B=$B791))
)
"),69.44971537001898)</f>
        <v>69.44971537</v>
      </c>
      <c r="K791" s="1">
        <f t="shared" si="3"/>
        <v>39.18406072</v>
      </c>
    </row>
    <row r="792">
      <c r="A792" s="3">
        <f>IFERROR(__xludf.DUMMYFUNCTION("""COMPUTED_VALUE"""),45992.0)</f>
        <v>45992</v>
      </c>
      <c r="B792" s="1" t="str">
        <f>IFERROR(__xludf.DUMMYFUNCTION("""COMPUTED_VALUE"""),"DPMall")</f>
        <v>DPMall</v>
      </c>
      <c r="C792" s="1" t="str">
        <f>IFERROR(__xludf.DUMMYFUNCTION("""COMPUTED_VALUE"""),"Mr Crunch normal")</f>
        <v>Mr Crunch normal</v>
      </c>
      <c r="D792" s="1">
        <f>IFERROR(__xludf.DUMMYFUNCTION("""COMPUTED_VALUE"""),305.0)</f>
        <v>305</v>
      </c>
      <c r="E792" s="1">
        <f>IFERROR(__xludf.DUMMYFUNCTION("""COMPUTED_VALUE"""),305.0)</f>
        <v>305</v>
      </c>
      <c r="F792" s="1">
        <f>IFERROR(__xludf.DUMMYFUNCTION("""COMPUTED_VALUE"""),61.0)</f>
        <v>61</v>
      </c>
      <c r="G792" s="1">
        <f t="shared" si="1"/>
        <v>5</v>
      </c>
      <c r="H792" s="1">
        <f t="shared" si="2"/>
        <v>5</v>
      </c>
      <c r="I792" s="1">
        <f>IFERROR(__xludf.DUMMYFUNCTION("IF(B792="""","""",
  100*F792 / MAX(FILTER($F:$F, $A:$A=$A792, $B:$B=$B792))
)
"),11.574952561669829)</f>
        <v>11.57495256</v>
      </c>
      <c r="J792" s="1">
        <f>IFERROR(__xludf.DUMMYFUNCTION("IF(B792="""","""",
  100*E792 / MAX(FILTER($E:$E, $A:$A=$A792, $B:$B=$B792))
)
"),57.874762808349146)</f>
        <v>57.87476281</v>
      </c>
      <c r="K792" s="1">
        <f t="shared" si="3"/>
        <v>32.40986717</v>
      </c>
    </row>
    <row r="793">
      <c r="A793" s="3">
        <f>IFERROR(__xludf.DUMMYFUNCTION("""COMPUTED_VALUE"""),45992.0)</f>
        <v>45992</v>
      </c>
      <c r="B793" s="1" t="str">
        <f>IFERROR(__xludf.DUMMYFUNCTION("""COMPUTED_VALUE"""),"DPMall")</f>
        <v>DPMall</v>
      </c>
      <c r="C793" s="1" t="str">
        <f>IFERROR(__xludf.DUMMYFUNCTION("""COMPUTED_VALUE"""),"Pepsi")</f>
        <v>Pepsi</v>
      </c>
      <c r="D793" s="1">
        <f>IFERROR(__xludf.DUMMYFUNCTION("""COMPUTED_VALUE"""),114.0)</f>
        <v>114</v>
      </c>
      <c r="E793" s="1">
        <f>IFERROR(__xludf.DUMMYFUNCTION("""COMPUTED_VALUE"""),114.0)</f>
        <v>114</v>
      </c>
      <c r="F793" s="1">
        <f>IFERROR(__xludf.DUMMYFUNCTION("""COMPUTED_VALUE"""),38.0)</f>
        <v>38</v>
      </c>
      <c r="G793" s="1">
        <f t="shared" si="1"/>
        <v>3</v>
      </c>
      <c r="H793" s="1">
        <f t="shared" si="2"/>
        <v>3</v>
      </c>
      <c r="I793" s="1">
        <f>IFERROR(__xludf.DUMMYFUNCTION("IF(B793="""","""",
  100*F793 / MAX(FILTER($F:$F, $A:$A=$A793, $B:$B=$B793))
)
"),7.2106261859582546)</f>
        <v>7.210626186</v>
      </c>
      <c r="J793" s="1">
        <f>IFERROR(__xludf.DUMMYFUNCTION("IF(B793="""","""",
  100*E793 / MAX(FILTER($E:$E, $A:$A=$A793, $B:$B=$B793))
)
"),21.631878557874764)</f>
        <v>21.63187856</v>
      </c>
      <c r="K793" s="1">
        <f t="shared" si="3"/>
        <v>13.70018975</v>
      </c>
    </row>
    <row r="794">
      <c r="A794" s="3">
        <f>IFERROR(__xludf.DUMMYFUNCTION("""COMPUTED_VALUE"""),45992.0)</f>
        <v>45992</v>
      </c>
      <c r="B794" s="1" t="str">
        <f>IFERROR(__xludf.DUMMYFUNCTION("""COMPUTED_VALUE"""),"DPMall")</f>
        <v>DPMall</v>
      </c>
      <c r="C794" s="1" t="str">
        <f>IFERROR(__xludf.DUMMYFUNCTION("""COMPUTED_VALUE"""),"SunTop Saudi")</f>
        <v>SunTop Saudi</v>
      </c>
      <c r="D794" s="1">
        <f>IFERROR(__xludf.DUMMYFUNCTION("""COMPUTED_VALUE"""),216.0)</f>
        <v>216</v>
      </c>
      <c r="E794" s="1">
        <f>IFERROR(__xludf.DUMMYFUNCTION("""COMPUTED_VALUE"""),216.0)</f>
        <v>216</v>
      </c>
      <c r="F794" s="1">
        <f>IFERROR(__xludf.DUMMYFUNCTION("""COMPUTED_VALUE"""),216.0)</f>
        <v>216</v>
      </c>
      <c r="G794" s="1">
        <f t="shared" si="1"/>
        <v>1</v>
      </c>
      <c r="H794" s="1">
        <f t="shared" si="2"/>
        <v>1</v>
      </c>
      <c r="I794" s="1">
        <f>IFERROR(__xludf.DUMMYFUNCTION("IF(B794="""","""",
  100*F794 / MAX(FILTER($F:$F, $A:$A=$A794, $B:$B=$B794))
)
"),40.98671726755218)</f>
        <v>40.98671727</v>
      </c>
      <c r="J794" s="1">
        <f>IFERROR(__xludf.DUMMYFUNCTION("IF(B794="""","""",
  100*E794 / MAX(FILTER($E:$E, $A:$A=$A794, $B:$B=$B794))
)
"),40.98671726755218)</f>
        <v>40.98671727</v>
      </c>
      <c r="K794" s="1">
        <f t="shared" si="3"/>
        <v>40.98671727</v>
      </c>
    </row>
    <row r="795">
      <c r="A795" s="3">
        <f>IFERROR(__xludf.DUMMYFUNCTION("""COMPUTED_VALUE"""),45992.0)</f>
        <v>45992</v>
      </c>
      <c r="B795" s="1" t="str">
        <f>IFERROR(__xludf.DUMMYFUNCTION("""COMPUTED_VALUE"""),"DPMall")</f>
        <v>DPMall</v>
      </c>
      <c r="C795" s="1" t="str">
        <f>IFERROR(__xludf.DUMMYFUNCTION("""COMPUTED_VALUE"""),"Wafe up extra")</f>
        <v>Wafe up extra</v>
      </c>
      <c r="D795" s="1">
        <f>IFERROR(__xludf.DUMMYFUNCTION("""COMPUTED_VALUE"""),61.0)</f>
        <v>61</v>
      </c>
      <c r="E795" s="1">
        <f>IFERROR(__xludf.DUMMYFUNCTION("""COMPUTED_VALUE"""),61.0)</f>
        <v>61</v>
      </c>
      <c r="F795" s="1">
        <f>IFERROR(__xludf.DUMMYFUNCTION("""COMPUTED_VALUE"""),17.0)</f>
        <v>17</v>
      </c>
      <c r="G795" s="1">
        <f t="shared" si="1"/>
        <v>3.588235294</v>
      </c>
      <c r="H795" s="1">
        <f t="shared" si="2"/>
        <v>3.588235294</v>
      </c>
      <c r="I795" s="1">
        <f>IFERROR(__xludf.DUMMYFUNCTION("IF(B795="""","""",
  100*F795 / MAX(FILTER($F:$F, $A:$A=$A795, $B:$B=$B795))
)
"),3.225806451612903)</f>
        <v>3.225806452</v>
      </c>
      <c r="J795" s="1">
        <f>IFERROR(__xludf.DUMMYFUNCTION("IF(B795="""","""",
  100*E795 / MAX(FILTER($E:$E, $A:$A=$A795, $B:$B=$B795))
)
"),11.574952561669829)</f>
        <v>11.57495256</v>
      </c>
      <c r="K795" s="1">
        <f t="shared" si="3"/>
        <v>6.982922201</v>
      </c>
    </row>
    <row r="796">
      <c r="A796" s="3">
        <f>IFERROR(__xludf.DUMMYFUNCTION("""COMPUTED_VALUE"""),45992.0)</f>
        <v>45992</v>
      </c>
      <c r="B796" s="1" t="str">
        <f>IFERROR(__xludf.DUMMYFUNCTION("""COMPUTED_VALUE"""),"DPMall")</f>
        <v>DPMall</v>
      </c>
      <c r="C796" s="1" t="str">
        <f>IFERROR(__xludf.DUMMYFUNCTION("""COMPUTED_VALUE"""),"Water")</f>
        <v>Water</v>
      </c>
      <c r="D796" s="1">
        <f>IFERROR(__xludf.DUMMYFUNCTION("""COMPUTED_VALUE"""),527.0)</f>
        <v>527</v>
      </c>
      <c r="E796" s="1">
        <f>IFERROR(__xludf.DUMMYFUNCTION("""COMPUTED_VALUE"""),527.0)</f>
        <v>527</v>
      </c>
      <c r="F796" s="1">
        <f>IFERROR(__xludf.DUMMYFUNCTION("""COMPUTED_VALUE"""),527.0)</f>
        <v>527</v>
      </c>
      <c r="G796" s="1">
        <f t="shared" si="1"/>
        <v>1</v>
      </c>
      <c r="H796" s="1">
        <f t="shared" si="2"/>
        <v>1</v>
      </c>
      <c r="I796" s="1">
        <f>IFERROR(__xludf.DUMMYFUNCTION("IF(B796="""","""",
  100*F796 / MAX(FILTER($F:$F, $A:$A=$A796, $B:$B=$B796))
)
"),100.0)</f>
        <v>100</v>
      </c>
      <c r="J796" s="1">
        <f>IFERROR(__xludf.DUMMYFUNCTION("IF(B796="""","""",
  100*E796 / MAX(FILTER($E:$E, $A:$A=$A796, $B:$B=$B796))
)
"),100.0)</f>
        <v>100</v>
      </c>
      <c r="K796" s="1">
        <f t="shared" si="3"/>
        <v>100</v>
      </c>
    </row>
    <row r="797">
      <c r="A797" s="3">
        <f>IFERROR(__xludf.DUMMYFUNCTION("""COMPUTED_VALUE"""),45992.0)</f>
        <v>45992</v>
      </c>
      <c r="B797" s="1" t="str">
        <f>IFERROR(__xludf.DUMMYFUNCTION("""COMPUTED_VALUE"""),"DPMall")</f>
        <v>DPMall</v>
      </c>
      <c r="C797" s="1" t="str">
        <f>IFERROR(__xludf.DUMMYFUNCTION("""COMPUTED_VALUE"""),"X!R")</f>
        <v>X!R</v>
      </c>
      <c r="D797" s="1">
        <f>IFERROR(__xludf.DUMMYFUNCTION("""COMPUTED_VALUE"""),490.0)</f>
        <v>490</v>
      </c>
      <c r="E797" s="1">
        <f>IFERROR(__xludf.DUMMYFUNCTION("""COMPUTED_VALUE"""),490.0)</f>
        <v>490</v>
      </c>
      <c r="F797" s="1">
        <f>IFERROR(__xludf.DUMMYFUNCTION("""COMPUTED_VALUE"""),98.0)</f>
        <v>98</v>
      </c>
      <c r="G797" s="1">
        <f t="shared" si="1"/>
        <v>5</v>
      </c>
      <c r="H797" s="1">
        <f t="shared" si="2"/>
        <v>5</v>
      </c>
      <c r="I797" s="1">
        <f>IFERROR(__xludf.DUMMYFUNCTION("IF(B797="""","""",
  100*F797 / MAX(FILTER($F:$F, $A:$A=$A797, $B:$B=$B797))
)
"),18.595825426944973)</f>
        <v>18.59582543</v>
      </c>
      <c r="J797" s="1">
        <f>IFERROR(__xludf.DUMMYFUNCTION("IF(B797="""","""",
  100*E797 / MAX(FILTER($E:$E, $A:$A=$A797, $B:$B=$B797))
)
"),92.97912713472486)</f>
        <v>92.97912713</v>
      </c>
      <c r="K797" s="1">
        <f t="shared" si="3"/>
        <v>52.0683112</v>
      </c>
    </row>
    <row r="798">
      <c r="A798" s="3">
        <f>IFERROR(__xludf.DUMMYFUNCTION("""COMPUTED_VALUE"""),45992.0)</f>
        <v>45992</v>
      </c>
      <c r="B798" s="1" t="str">
        <f>IFERROR(__xludf.DUMMYFUNCTION("""COMPUTED_VALUE"""),"DPMall")</f>
        <v>DPMall</v>
      </c>
      <c r="C798" s="1" t="str">
        <f>IFERROR(__xludf.DUMMYFUNCTION("""COMPUTED_VALUE"""),"bonart sour")</f>
        <v>bonart sour</v>
      </c>
      <c r="D798" s="1">
        <f>IFERROR(__xludf.DUMMYFUNCTION("""COMPUTED_VALUE"""),63.0)</f>
        <v>63</v>
      </c>
      <c r="E798" s="1">
        <f>IFERROR(__xludf.DUMMYFUNCTION("""COMPUTED_VALUE"""),63.0)</f>
        <v>63</v>
      </c>
      <c r="F798" s="1">
        <f>IFERROR(__xludf.DUMMYFUNCTION("""COMPUTED_VALUE"""),19.0)</f>
        <v>19</v>
      </c>
      <c r="G798" s="1">
        <f t="shared" si="1"/>
        <v>3.315789474</v>
      </c>
      <c r="H798" s="1">
        <f t="shared" si="2"/>
        <v>3.315789474</v>
      </c>
      <c r="I798" s="1">
        <f>IFERROR(__xludf.DUMMYFUNCTION("IF(B798="""","""",
  100*F798 / MAX(FILTER($F:$F, $A:$A=$A798, $B:$B=$B798))
)
"),3.6053130929791273)</f>
        <v>3.605313093</v>
      </c>
      <c r="J798" s="1">
        <f>IFERROR(__xludf.DUMMYFUNCTION("IF(B798="""","""",
  100*E798 / MAX(FILTER($E:$E, $A:$A=$A798, $B:$B=$B798))
)
"),11.954459203036054)</f>
        <v>11.9544592</v>
      </c>
      <c r="K798" s="1">
        <f t="shared" si="3"/>
        <v>7.362428843</v>
      </c>
    </row>
    <row r="799">
      <c r="A799" s="3">
        <f>IFERROR(__xludf.DUMMYFUNCTION("""COMPUTED_VALUE"""),45992.0)</f>
        <v>45992</v>
      </c>
      <c r="B799" s="1" t="str">
        <f>IFERROR(__xludf.DUMMYFUNCTION("""COMPUTED_VALUE"""),"DPMall")</f>
        <v>DPMall</v>
      </c>
      <c r="C799" s="1" t="str">
        <f>IFERROR(__xludf.DUMMYFUNCTION("""COMPUTED_VALUE"""),"bueno 1 stick")</f>
        <v>bueno 1 stick</v>
      </c>
      <c r="D799" s="1">
        <f>IFERROR(__xludf.DUMMYFUNCTION("""COMPUTED_VALUE"""),46.0)</f>
        <v>46</v>
      </c>
      <c r="E799" s="1">
        <f>IFERROR(__xludf.DUMMYFUNCTION("""COMPUTED_VALUE"""),46.0)</f>
        <v>46</v>
      </c>
      <c r="F799" s="1">
        <f>IFERROR(__xludf.DUMMYFUNCTION("""COMPUTED_VALUE"""),10.0)</f>
        <v>10</v>
      </c>
      <c r="G799" s="1">
        <f t="shared" si="1"/>
        <v>4.6</v>
      </c>
      <c r="H799" s="1">
        <f t="shared" si="2"/>
        <v>4.6</v>
      </c>
      <c r="I799" s="1">
        <f>IFERROR(__xludf.DUMMYFUNCTION("IF(B799="""","""",
  100*F799 / MAX(FILTER($F:$F, $A:$A=$A799, $B:$B=$B799))
)
"),1.8975332068311195)</f>
        <v>1.897533207</v>
      </c>
      <c r="J799" s="1">
        <f>IFERROR(__xludf.DUMMYFUNCTION("IF(B799="""","""",
  100*E799 / MAX(FILTER($E:$E, $A:$A=$A799, $B:$B=$B799))
)
"),8.72865275142315)</f>
        <v>8.728652751</v>
      </c>
      <c r="K799" s="1">
        <f t="shared" si="3"/>
        <v>4.971537002</v>
      </c>
    </row>
    <row r="800">
      <c r="A800" s="3">
        <f>IFERROR(__xludf.DUMMYFUNCTION("""COMPUTED_VALUE"""),45992.0)</f>
        <v>45992</v>
      </c>
      <c r="B800" s="1" t="str">
        <f>IFERROR(__xludf.DUMMYFUNCTION("""COMPUTED_VALUE"""),"DPMall")</f>
        <v>DPMall</v>
      </c>
      <c r="C800" s="1" t="str">
        <f>IFERROR(__xludf.DUMMYFUNCTION("""COMPUTED_VALUE"""),"helo kitty")</f>
        <v>helo kitty</v>
      </c>
      <c r="D800" s="1">
        <f>IFERROR(__xludf.DUMMYFUNCTION("""COMPUTED_VALUE"""),81.0)</f>
        <v>81</v>
      </c>
      <c r="E800" s="1">
        <f>IFERROR(__xludf.DUMMYFUNCTION("""COMPUTED_VALUE"""),81.0)</f>
        <v>81</v>
      </c>
      <c r="F800" s="1">
        <f>IFERROR(__xludf.DUMMYFUNCTION("""COMPUTED_VALUE"""),27.0)</f>
        <v>27</v>
      </c>
      <c r="G800" s="1">
        <f t="shared" si="1"/>
        <v>3</v>
      </c>
      <c r="H800" s="1">
        <f t="shared" si="2"/>
        <v>3</v>
      </c>
      <c r="I800" s="1">
        <f>IFERROR(__xludf.DUMMYFUNCTION("IF(B800="""","""",
  100*F800 / MAX(FILTER($F:$F, $A:$A=$A800, $B:$B=$B800))
)
"),5.1233396584440225)</f>
        <v>5.123339658</v>
      </c>
      <c r="J800" s="1">
        <f>IFERROR(__xludf.DUMMYFUNCTION("IF(B800="""","""",
  100*E800 / MAX(FILTER($E:$E, $A:$A=$A800, $B:$B=$B800))
)
"),15.370018975332068)</f>
        <v>15.37001898</v>
      </c>
      <c r="K800" s="1">
        <f t="shared" si="3"/>
        <v>9.734345351</v>
      </c>
    </row>
    <row r="801">
      <c r="A801" s="3">
        <f>IFERROR(__xludf.DUMMYFUNCTION("""COMPUTED_VALUE"""),45992.0)</f>
        <v>45992</v>
      </c>
      <c r="B801" s="1" t="str">
        <f>IFERROR(__xludf.DUMMYFUNCTION("""COMPUTED_VALUE"""),"DPMall")</f>
        <v>DPMall</v>
      </c>
      <c r="C801" s="1" t="str">
        <f>IFERROR(__xludf.DUMMYFUNCTION("""COMPUTED_VALUE"""),"ifrui juice")</f>
        <v>ifrui juice</v>
      </c>
      <c r="D801" s="1">
        <f>IFERROR(__xludf.DUMMYFUNCTION("""COMPUTED_VALUE"""),52.0)</f>
        <v>52</v>
      </c>
      <c r="E801" s="1">
        <f>IFERROR(__xludf.DUMMYFUNCTION("""COMPUTED_VALUE"""),52.0)</f>
        <v>52</v>
      </c>
      <c r="F801" s="1">
        <f>IFERROR(__xludf.DUMMYFUNCTION("""COMPUTED_VALUE"""),52.0)</f>
        <v>52</v>
      </c>
      <c r="G801" s="1">
        <f t="shared" si="1"/>
        <v>1</v>
      </c>
      <c r="H801" s="1">
        <f t="shared" si="2"/>
        <v>1</v>
      </c>
      <c r="I801" s="1">
        <f>IFERROR(__xludf.DUMMYFUNCTION("IF(B801="""","""",
  100*F801 / MAX(FILTER($F:$F, $A:$A=$A801, $B:$B=$B801))
)
"),9.867172675521822)</f>
        <v>9.867172676</v>
      </c>
      <c r="J801" s="1">
        <f>IFERROR(__xludf.DUMMYFUNCTION("IF(B801="""","""",
  100*E801 / MAX(FILTER($E:$E, $A:$A=$A801, $B:$B=$B801))
)
"),9.867172675521822)</f>
        <v>9.867172676</v>
      </c>
      <c r="K801" s="1">
        <f t="shared" si="3"/>
        <v>9.867172676</v>
      </c>
    </row>
    <row r="802">
      <c r="A802" s="3">
        <f>IFERROR(__xludf.DUMMYFUNCTION("""COMPUTED_VALUE"""),45992.0)</f>
        <v>45992</v>
      </c>
      <c r="B802" s="1" t="str">
        <f>IFERROR(__xludf.DUMMYFUNCTION("""COMPUTED_VALUE"""),"DPMall")</f>
        <v>DPMall</v>
      </c>
      <c r="C802" s="1" t="str">
        <f>IFERROR(__xludf.DUMMYFUNCTION("""COMPUTED_VALUE"""),"kinder bueno")</f>
        <v>kinder bueno</v>
      </c>
      <c r="D802" s="1">
        <f>IFERROR(__xludf.DUMMYFUNCTION("""COMPUTED_VALUE"""),66.0)</f>
        <v>66</v>
      </c>
      <c r="E802" s="1">
        <f>IFERROR(__xludf.DUMMYFUNCTION("""COMPUTED_VALUE"""),66.0)</f>
        <v>66</v>
      </c>
      <c r="F802" s="1">
        <f>IFERROR(__xludf.DUMMYFUNCTION("""COMPUTED_VALUE"""),10.0)</f>
        <v>10</v>
      </c>
      <c r="G802" s="1">
        <f t="shared" si="1"/>
        <v>6.6</v>
      </c>
      <c r="H802" s="1">
        <f t="shared" si="2"/>
        <v>6.6</v>
      </c>
      <c r="I802" s="1">
        <f>IFERROR(__xludf.DUMMYFUNCTION("IF(B802="""","""",
  100*F802 / MAX(FILTER($F:$F, $A:$A=$A802, $B:$B=$B802))
)
"),1.8975332068311195)</f>
        <v>1.897533207</v>
      </c>
      <c r="J802" s="1">
        <f>IFERROR(__xludf.DUMMYFUNCTION("IF(B802="""","""",
  100*E802 / MAX(FILTER($E:$E, $A:$A=$A802, $B:$B=$B802))
)
"),12.523719165085389)</f>
        <v>12.52371917</v>
      </c>
      <c r="K802" s="1">
        <f t="shared" si="3"/>
        <v>6.679316888</v>
      </c>
    </row>
    <row r="803">
      <c r="A803" s="3">
        <f>IFERROR(__xludf.DUMMYFUNCTION("""COMPUTED_VALUE"""),45992.0)</f>
        <v>45992</v>
      </c>
      <c r="B803" s="1" t="str">
        <f>IFERROR(__xludf.DUMMYFUNCTION("""COMPUTED_VALUE"""),"DPMall")</f>
        <v>DPMall</v>
      </c>
      <c r="C803" s="1" t="str">
        <f>IFERROR(__xludf.DUMMYFUNCTION("""COMPUTED_VALUE"""),"kinza")</f>
        <v>kinza</v>
      </c>
      <c r="D803" s="1">
        <f>IFERROR(__xludf.DUMMYFUNCTION("""COMPUTED_VALUE"""),150.0)</f>
        <v>150</v>
      </c>
      <c r="E803" s="1">
        <f>IFERROR(__xludf.DUMMYFUNCTION("""COMPUTED_VALUE"""),150.0)</f>
        <v>150</v>
      </c>
      <c r="F803" s="1">
        <f>IFERROR(__xludf.DUMMYFUNCTION("""COMPUTED_VALUE"""),50.0)</f>
        <v>50</v>
      </c>
      <c r="G803" s="1">
        <f t="shared" si="1"/>
        <v>3</v>
      </c>
      <c r="H803" s="1">
        <f t="shared" si="2"/>
        <v>3</v>
      </c>
      <c r="I803" s="1">
        <f>IFERROR(__xludf.DUMMYFUNCTION("IF(B803="""","""",
  100*F803 / MAX(FILTER($F:$F, $A:$A=$A803, $B:$B=$B803))
)
"),9.487666034155598)</f>
        <v>9.487666034</v>
      </c>
      <c r="J803" s="1">
        <f>IFERROR(__xludf.DUMMYFUNCTION("IF(B803="""","""",
  100*E803 / MAX(FILTER($E:$E, $A:$A=$A803, $B:$B=$B803))
)
"),28.462998102466795)</f>
        <v>28.4629981</v>
      </c>
      <c r="K803" s="1">
        <f t="shared" si="3"/>
        <v>18.02656546</v>
      </c>
    </row>
    <row r="804">
      <c r="A804" s="3">
        <f>IFERROR(__xludf.DUMMYFUNCTION("""COMPUTED_VALUE"""),45992.0)</f>
        <v>45992</v>
      </c>
      <c r="B804" s="1" t="str">
        <f>IFERROR(__xludf.DUMMYFUNCTION("""COMPUTED_VALUE"""),"DPMall")</f>
        <v>DPMall</v>
      </c>
      <c r="C804" s="1" t="str">
        <f>IFERROR(__xludf.DUMMYFUNCTION("""COMPUTED_VALUE"""),"mars")</f>
        <v>mars</v>
      </c>
      <c r="D804" s="1">
        <f>IFERROR(__xludf.DUMMYFUNCTION("""COMPUTED_VALUE"""),12.0)</f>
        <v>12</v>
      </c>
      <c r="E804" s="1">
        <f>IFERROR(__xludf.DUMMYFUNCTION("""COMPUTED_VALUE"""),12.0)</f>
        <v>12</v>
      </c>
      <c r="F804" s="1">
        <f>IFERROR(__xludf.DUMMYFUNCTION("""COMPUTED_VALUE"""),3.0)</f>
        <v>3</v>
      </c>
      <c r="G804" s="1">
        <f t="shared" si="1"/>
        <v>4</v>
      </c>
      <c r="H804" s="1">
        <f t="shared" si="2"/>
        <v>4</v>
      </c>
      <c r="I804" s="1">
        <f>IFERROR(__xludf.DUMMYFUNCTION("IF(B804="""","""",
  100*F804 / MAX(FILTER($F:$F, $A:$A=$A804, $B:$B=$B804))
)
"),0.5692599620493358)</f>
        <v>0.569259962</v>
      </c>
      <c r="J804" s="1">
        <f>IFERROR(__xludf.DUMMYFUNCTION("IF(B804="""","""",
  100*E804 / MAX(FILTER($E:$E, $A:$A=$A804, $B:$B=$B804))
)
"),2.2770398481973433)</f>
        <v>2.277039848</v>
      </c>
      <c r="K804" s="1">
        <f t="shared" si="3"/>
        <v>1.337760911</v>
      </c>
    </row>
    <row r="805">
      <c r="A805" s="3">
        <f>IFERROR(__xludf.DUMMYFUNCTION("""COMPUTED_VALUE"""),45992.0)</f>
        <v>45992</v>
      </c>
      <c r="B805" s="1" t="str">
        <f>IFERROR(__xludf.DUMMYFUNCTION("""COMPUTED_VALUE"""),"DPMall")</f>
        <v>DPMall</v>
      </c>
      <c r="C805" s="1" t="str">
        <f>IFERROR(__xludf.DUMMYFUNCTION("""COMPUTED_VALUE"""),"mr bite")</f>
        <v>mr bite</v>
      </c>
      <c r="D805" s="1">
        <f>IFERROR(__xludf.DUMMYFUNCTION("""COMPUTED_VALUE"""),250.0)</f>
        <v>250</v>
      </c>
      <c r="E805" s="1">
        <f>IFERROR(__xludf.DUMMYFUNCTION("""COMPUTED_VALUE"""),250.0)</f>
        <v>250</v>
      </c>
      <c r="F805" s="1">
        <f>IFERROR(__xludf.DUMMYFUNCTION("""COMPUTED_VALUE"""),125.0)</f>
        <v>125</v>
      </c>
      <c r="G805" s="1">
        <f t="shared" si="1"/>
        <v>2</v>
      </c>
      <c r="H805" s="1">
        <f t="shared" si="2"/>
        <v>2</v>
      </c>
      <c r="I805" s="1">
        <f>IFERROR(__xludf.DUMMYFUNCTION("IF(B805="""","""",
  100*F805 / MAX(FILTER($F:$F, $A:$A=$A805, $B:$B=$B805))
)
"),23.719165085388994)</f>
        <v>23.71916509</v>
      </c>
      <c r="J805" s="1">
        <f>IFERROR(__xludf.DUMMYFUNCTION("IF(B805="""","""",
  100*E805 / MAX(FILTER($E:$E, $A:$A=$A805, $B:$B=$B805))
)
"),47.43833017077799)</f>
        <v>47.43833017</v>
      </c>
      <c r="K805" s="1">
        <f t="shared" si="3"/>
        <v>34.39278937</v>
      </c>
    </row>
    <row r="806">
      <c r="A806" s="3">
        <f>IFERROR(__xludf.DUMMYFUNCTION("""COMPUTED_VALUE"""),45992.0)</f>
        <v>45992</v>
      </c>
      <c r="B806" s="1" t="str">
        <f>IFERROR(__xludf.DUMMYFUNCTION("""COMPUTED_VALUE"""),"DPMall")</f>
        <v>DPMall</v>
      </c>
      <c r="C806" s="1" t="str">
        <f>IFERROR(__xludf.DUMMYFUNCTION("""COMPUTED_VALUE"""),"real Doritos")</f>
        <v>real Doritos</v>
      </c>
      <c r="D806" s="1">
        <f>IFERROR(__xludf.DUMMYFUNCTION("""COMPUTED_VALUE"""),277.0)</f>
        <v>277</v>
      </c>
      <c r="E806" s="1">
        <f>IFERROR(__xludf.DUMMYFUNCTION("""COMPUTED_VALUE"""),277.0)</f>
        <v>277</v>
      </c>
      <c r="F806" s="1">
        <f>IFERROR(__xludf.DUMMYFUNCTION("""COMPUTED_VALUE"""),53.0)</f>
        <v>53</v>
      </c>
      <c r="G806" s="1">
        <f t="shared" si="1"/>
        <v>5.226415094</v>
      </c>
      <c r="H806" s="1">
        <f t="shared" si="2"/>
        <v>5.226415094</v>
      </c>
      <c r="I806" s="1">
        <f>IFERROR(__xludf.DUMMYFUNCTION("IF(B806="""","""",
  100*F806 / MAX(FILTER($F:$F, $A:$A=$A806, $B:$B=$B806))
)
"),10.056925996204933)</f>
        <v>10.056926</v>
      </c>
      <c r="J806" s="1">
        <f>IFERROR(__xludf.DUMMYFUNCTION("IF(B806="""","""",
  100*E806 / MAX(FILTER($E:$E, $A:$A=$A806, $B:$B=$B806))
)
"),52.56166982922201)</f>
        <v>52.56166983</v>
      </c>
      <c r="K806" s="1">
        <f t="shared" si="3"/>
        <v>29.18406072</v>
      </c>
    </row>
    <row r="807">
      <c r="A807" s="3">
        <f>IFERROR(__xludf.DUMMYFUNCTION("""COMPUTED_VALUE"""),45992.0)</f>
        <v>45992</v>
      </c>
      <c r="B807" s="1" t="str">
        <f>IFERROR(__xludf.DUMMYFUNCTION("""COMPUTED_VALUE"""),"DPMall")</f>
        <v>DPMall</v>
      </c>
      <c r="C807" s="1" t="str">
        <f>IFERROR(__xludf.DUMMYFUNCTION("""COMPUTED_VALUE"""),"schweppers")</f>
        <v>schweppers</v>
      </c>
      <c r="D807" s="1">
        <f>IFERROR(__xludf.DUMMYFUNCTION("""COMPUTED_VALUE"""),6.0)</f>
        <v>6</v>
      </c>
      <c r="E807" s="1">
        <f>IFERROR(__xludf.DUMMYFUNCTION("""COMPUTED_VALUE"""),6.0)</f>
        <v>6</v>
      </c>
      <c r="F807" s="1">
        <f>IFERROR(__xludf.DUMMYFUNCTION("""COMPUTED_VALUE"""),2.0)</f>
        <v>2</v>
      </c>
      <c r="G807" s="1">
        <f t="shared" si="1"/>
        <v>3</v>
      </c>
      <c r="H807" s="1">
        <f t="shared" si="2"/>
        <v>3</v>
      </c>
      <c r="I807" s="1">
        <f>IFERROR(__xludf.DUMMYFUNCTION("IF(B807="""","""",
  100*F807 / MAX(FILTER($F:$F, $A:$A=$A807, $B:$B=$B807))
)
"),0.3795066413662239)</f>
        <v>0.3795066414</v>
      </c>
      <c r="J807" s="1">
        <f>IFERROR(__xludf.DUMMYFUNCTION("IF(B807="""","""",
  100*E807 / MAX(FILTER($E:$E, $A:$A=$A807, $B:$B=$B807))
)
"),1.1385199240986716)</f>
        <v>1.138519924</v>
      </c>
      <c r="K807" s="1">
        <f t="shared" si="3"/>
        <v>0.7210626186</v>
      </c>
    </row>
    <row r="808">
      <c r="A808" s="3">
        <f>IFERROR(__xludf.DUMMYFUNCTION("""COMPUTED_VALUE"""),45992.0)</f>
        <v>45992</v>
      </c>
      <c r="B808" s="1" t="str">
        <f>IFERROR(__xludf.DUMMYFUNCTION("""COMPUTED_VALUE"""),"DPMall")</f>
        <v>DPMall</v>
      </c>
      <c r="C808" s="1" t="str">
        <f>IFERROR(__xludf.DUMMYFUNCTION("""COMPUTED_VALUE"""),"snickers")</f>
        <v>snickers</v>
      </c>
      <c r="D808" s="1">
        <f>IFERROR(__xludf.DUMMYFUNCTION("""COMPUTED_VALUE"""),66.0)</f>
        <v>66</v>
      </c>
      <c r="E808" s="1">
        <f>IFERROR(__xludf.DUMMYFUNCTION("""COMPUTED_VALUE"""),66.0)</f>
        <v>66</v>
      </c>
      <c r="F808" s="1">
        <f>IFERROR(__xludf.DUMMYFUNCTION("""COMPUTED_VALUE"""),13.0)</f>
        <v>13</v>
      </c>
      <c r="G808" s="1">
        <f t="shared" si="1"/>
        <v>5.076923077</v>
      </c>
      <c r="H808" s="1">
        <f t="shared" si="2"/>
        <v>5.076923077</v>
      </c>
      <c r="I808" s="1">
        <f>IFERROR(__xludf.DUMMYFUNCTION("IF(B808="""","""",
  100*F808 / MAX(FILTER($F:$F, $A:$A=$A808, $B:$B=$B808))
)
"),2.4667931688804554)</f>
        <v>2.466793169</v>
      </c>
      <c r="J808" s="1">
        <f>IFERROR(__xludf.DUMMYFUNCTION("IF(B808="""","""",
  100*E808 / MAX(FILTER($E:$E, $A:$A=$A808, $B:$B=$B808))
)
"),12.523719165085389)</f>
        <v>12.52371917</v>
      </c>
      <c r="K808" s="1">
        <f t="shared" si="3"/>
        <v>6.992409867</v>
      </c>
    </row>
    <row r="809">
      <c r="A809" s="3">
        <f>IFERROR(__xludf.DUMMYFUNCTION("""COMPUTED_VALUE"""),45992.0)</f>
        <v>45992</v>
      </c>
      <c r="B809" s="1" t="str">
        <f>IFERROR(__xludf.DUMMYFUNCTION("""COMPUTED_VALUE"""),"DPMall")</f>
        <v>DPMall</v>
      </c>
      <c r="C809" s="1" t="str">
        <f>IFERROR(__xludf.DUMMYFUNCTION("""COMPUTED_VALUE"""),"tiger chips *12")</f>
        <v>tiger chips *12</v>
      </c>
      <c r="D809" s="1">
        <f>IFERROR(__xludf.DUMMYFUNCTION("""COMPUTED_VALUE"""),430.0)</f>
        <v>430</v>
      </c>
      <c r="E809" s="1">
        <f>IFERROR(__xludf.DUMMYFUNCTION("""COMPUTED_VALUE"""),430.0)</f>
        <v>430</v>
      </c>
      <c r="F809" s="1">
        <f>IFERROR(__xludf.DUMMYFUNCTION("""COMPUTED_VALUE"""),86.0)</f>
        <v>86</v>
      </c>
      <c r="G809" s="1">
        <f t="shared" si="1"/>
        <v>5</v>
      </c>
      <c r="H809" s="1">
        <f t="shared" si="2"/>
        <v>5</v>
      </c>
      <c r="I809" s="1">
        <f>IFERROR(__xludf.DUMMYFUNCTION("IF(B809="""","""",
  100*F809 / MAX(FILTER($F:$F, $A:$A=$A809, $B:$B=$B809))
)
"),16.31878557874763)</f>
        <v>16.31878558</v>
      </c>
      <c r="J809" s="1">
        <f>IFERROR(__xludf.DUMMYFUNCTION("IF(B809="""","""",
  100*E809 / MAX(FILTER($E:$E, $A:$A=$A809, $B:$B=$B809))
)
"),81.59392789373814)</f>
        <v>81.59392789</v>
      </c>
      <c r="K809" s="1">
        <f t="shared" si="3"/>
        <v>45.69259962</v>
      </c>
    </row>
    <row r="810">
      <c r="A810" s="3">
        <f>IFERROR(__xludf.DUMMYFUNCTION("""COMPUTED_VALUE"""),45992.0)</f>
        <v>45992</v>
      </c>
      <c r="B810" s="1" t="str">
        <f>IFERROR(__xludf.DUMMYFUNCTION("""COMPUTED_VALUE"""),"HTMall")</f>
        <v>HTMall</v>
      </c>
      <c r="C810" s="1" t="str">
        <f>IFERROR(__xludf.DUMMYFUNCTION("""COMPUTED_VALUE"""),"7up")</f>
        <v>7up</v>
      </c>
      <c r="D810" s="1">
        <f>IFERROR(__xludf.DUMMYFUNCTION("""COMPUTED_VALUE"""),132.0)</f>
        <v>132</v>
      </c>
      <c r="E810" s="1">
        <f>IFERROR(__xludf.DUMMYFUNCTION("""COMPUTED_VALUE"""),33.0)</f>
        <v>33</v>
      </c>
      <c r="F810" s="1">
        <f>IFERROR(__xludf.DUMMYFUNCTION("""COMPUTED_VALUE"""),44.0)</f>
        <v>44</v>
      </c>
      <c r="G810" s="1">
        <f t="shared" si="1"/>
        <v>3</v>
      </c>
      <c r="H810" s="1">
        <f t="shared" si="2"/>
        <v>0.75</v>
      </c>
      <c r="I810" s="1">
        <f>IFERROR(__xludf.DUMMYFUNCTION("IF(B810="""","""",
  100*F810 / MAX(FILTER($F:$F, $A:$A=$A810, $B:$B=$B810))
)
"),5.1825677267373385)</f>
        <v>5.182567727</v>
      </c>
      <c r="J810" s="1">
        <f>IFERROR(__xludf.DUMMYFUNCTION("IF(B810="""","""",
  100*E810 / MAX(FILTER($E:$E, $A:$A=$A810, $B:$B=$B810))
)
"),5.552751135790006)</f>
        <v>5.552751136</v>
      </c>
      <c r="K810" s="1">
        <f t="shared" si="3"/>
        <v>5.349150261</v>
      </c>
    </row>
    <row r="811">
      <c r="A811" s="3">
        <f>IFERROR(__xludf.DUMMYFUNCTION("""COMPUTED_VALUE"""),45992.0)</f>
        <v>45992</v>
      </c>
      <c r="B811" s="1" t="str">
        <f>IFERROR(__xludf.DUMMYFUNCTION("""COMPUTED_VALUE"""),"HTMall")</f>
        <v>HTMall</v>
      </c>
      <c r="C811" s="1" t="str">
        <f>IFERROR(__xludf.DUMMYFUNCTION("""COMPUTED_VALUE"""),"Almarai Chocolate")</f>
        <v>Almarai Chocolate</v>
      </c>
      <c r="D811" s="1">
        <f>IFERROR(__xludf.DUMMYFUNCTION("""COMPUTED_VALUE"""),150.0)</f>
        <v>150</v>
      </c>
      <c r="E811" s="1">
        <f>IFERROR(__xludf.DUMMYFUNCTION("""COMPUTED_VALUE"""),50.0)</f>
        <v>50</v>
      </c>
      <c r="F811" s="1">
        <f>IFERROR(__xludf.DUMMYFUNCTION("""COMPUTED_VALUE"""),50.0)</f>
        <v>50</v>
      </c>
      <c r="G811" s="1">
        <f t="shared" si="1"/>
        <v>3</v>
      </c>
      <c r="H811" s="1">
        <f t="shared" si="2"/>
        <v>1</v>
      </c>
      <c r="I811" s="1">
        <f>IFERROR(__xludf.DUMMYFUNCTION("IF(B811="""","""",
  100*F811 / MAX(FILTER($F:$F, $A:$A=$A811, $B:$B=$B811))
)
"),5.889281507656066)</f>
        <v>5.889281508</v>
      </c>
      <c r="J811" s="1">
        <f>IFERROR(__xludf.DUMMYFUNCTION("IF(B811="""","""",
  100*E811 / MAX(FILTER($E:$E, $A:$A=$A811, $B:$B=$B811))
)
"),8.413259296651523)</f>
        <v>8.413259297</v>
      </c>
      <c r="K811" s="1">
        <f t="shared" si="3"/>
        <v>7.025071513</v>
      </c>
    </row>
    <row r="812">
      <c r="A812" s="3">
        <f>IFERROR(__xludf.DUMMYFUNCTION("""COMPUTED_VALUE"""),45992.0)</f>
        <v>45992</v>
      </c>
      <c r="B812" s="1" t="str">
        <f>IFERROR(__xludf.DUMMYFUNCTION("""COMPUTED_VALUE"""),"HTMall")</f>
        <v>HTMall</v>
      </c>
      <c r="C812" s="1" t="str">
        <f>IFERROR(__xludf.DUMMYFUNCTION("""COMPUTED_VALUE"""),"Almarai Strawberry")</f>
        <v>Almarai Strawberry</v>
      </c>
      <c r="D812" s="1">
        <f>IFERROR(__xludf.DUMMYFUNCTION("""COMPUTED_VALUE"""),105.0)</f>
        <v>105</v>
      </c>
      <c r="E812" s="1">
        <f>IFERROR(__xludf.DUMMYFUNCTION("""COMPUTED_VALUE"""),32.2)</f>
        <v>32.2</v>
      </c>
      <c r="F812" s="1">
        <f>IFERROR(__xludf.DUMMYFUNCTION("""COMPUTED_VALUE"""),35.0)</f>
        <v>35</v>
      </c>
      <c r="G812" s="1">
        <f t="shared" si="1"/>
        <v>3</v>
      </c>
      <c r="H812" s="1">
        <f t="shared" si="2"/>
        <v>0.92</v>
      </c>
      <c r="I812" s="1">
        <f>IFERROR(__xludf.DUMMYFUNCTION("IF(B812="""","""",
  100*F812 / MAX(FILTER($F:$F, $A:$A=$A812, $B:$B=$B812))
)
"),4.122497055359246)</f>
        <v>4.122497055</v>
      </c>
      <c r="J812" s="1">
        <f>IFERROR(__xludf.DUMMYFUNCTION("IF(B812="""","""",
  100*E812 / MAX(FILTER($E:$E, $A:$A=$A812, $B:$B=$B812))
)
"),5.418138987043582)</f>
        <v>5.418138987</v>
      </c>
      <c r="K812" s="1">
        <f t="shared" si="3"/>
        <v>4.705535925</v>
      </c>
    </row>
    <row r="813">
      <c r="A813" s="3">
        <f>IFERROR(__xludf.DUMMYFUNCTION("""COMPUTED_VALUE"""),45992.0)</f>
        <v>45992</v>
      </c>
      <c r="B813" s="1" t="str">
        <f>IFERROR(__xludf.DUMMYFUNCTION("""COMPUTED_VALUE"""),"HTMall")</f>
        <v>HTMall</v>
      </c>
      <c r="C813" s="1" t="str">
        <f>IFERROR(__xludf.DUMMYFUNCTION("""COMPUTED_VALUE"""),"Bounty")</f>
        <v>Bounty</v>
      </c>
      <c r="D813" s="1">
        <f>IFERROR(__xludf.DUMMYFUNCTION("""COMPUTED_VALUE"""),120.0)</f>
        <v>120</v>
      </c>
      <c r="E813" s="1">
        <f>IFERROR(__xludf.DUMMYFUNCTION("""COMPUTED_VALUE"""),30.0)</f>
        <v>30</v>
      </c>
      <c r="F813" s="1">
        <f>IFERROR(__xludf.DUMMYFUNCTION("""COMPUTED_VALUE"""),24.0)</f>
        <v>24</v>
      </c>
      <c r="G813" s="1">
        <f t="shared" si="1"/>
        <v>5</v>
      </c>
      <c r="H813" s="1">
        <f t="shared" si="2"/>
        <v>1.25</v>
      </c>
      <c r="I813" s="1">
        <f>IFERROR(__xludf.DUMMYFUNCTION("IF(B813="""","""",
  100*F813 / MAX(FILTER($F:$F, $A:$A=$A813, $B:$B=$B813))
)
"),2.8268551236749118)</f>
        <v>2.826855124</v>
      </c>
      <c r="J813" s="1">
        <f>IFERROR(__xludf.DUMMYFUNCTION("IF(B813="""","""",
  100*E813 / MAX(FILTER($E:$E, $A:$A=$A813, $B:$B=$B813))
)
"),5.047955577990914)</f>
        <v>5.047955578</v>
      </c>
      <c r="K813" s="1">
        <f t="shared" si="3"/>
        <v>3.826350328</v>
      </c>
    </row>
    <row r="814">
      <c r="A814" s="3">
        <f>IFERROR(__xludf.DUMMYFUNCTION("""COMPUTED_VALUE"""),45992.0)</f>
        <v>45992</v>
      </c>
      <c r="B814" s="1" t="str">
        <f>IFERROR(__xludf.DUMMYFUNCTION("""COMPUTED_VALUE"""),"HTMall")</f>
        <v>HTMall</v>
      </c>
      <c r="C814" s="1" t="str">
        <f>IFERROR(__xludf.DUMMYFUNCTION("""COMPUTED_VALUE"""),"Doritos cool ranc")</f>
        <v>Doritos cool ranc</v>
      </c>
      <c r="D814" s="1">
        <f>IFERROR(__xludf.DUMMYFUNCTION("""COMPUTED_VALUE"""),1007.0)</f>
        <v>1007</v>
      </c>
      <c r="E814" s="1">
        <f>IFERROR(__xludf.DUMMYFUNCTION("""COMPUTED_VALUE"""),444.2)</f>
        <v>444.2</v>
      </c>
      <c r="F814" s="1">
        <f>IFERROR(__xludf.DUMMYFUNCTION("""COMPUTED_VALUE"""),201.0)</f>
        <v>201</v>
      </c>
      <c r="G814" s="1">
        <f t="shared" si="1"/>
        <v>5.009950249</v>
      </c>
      <c r="H814" s="1">
        <f t="shared" si="2"/>
        <v>2.209950249</v>
      </c>
      <c r="I814" s="1">
        <f>IFERROR(__xludf.DUMMYFUNCTION("IF(B814="""","""",
  100*F814 / MAX(FILTER($F:$F, $A:$A=$A814, $B:$B=$B814))
)
"),23.674911660777386)</f>
        <v>23.67491166</v>
      </c>
      <c r="J814" s="1">
        <f>IFERROR(__xludf.DUMMYFUNCTION("IF(B814="""","""",
  100*E814 / MAX(FILTER($E:$E, $A:$A=$A814, $B:$B=$B814))
)
"),74.74339559145213)</f>
        <v>74.74339559</v>
      </c>
      <c r="K814" s="1">
        <f t="shared" si="3"/>
        <v>46.65572943</v>
      </c>
    </row>
    <row r="815">
      <c r="A815" s="3">
        <f>IFERROR(__xludf.DUMMYFUNCTION("""COMPUTED_VALUE"""),45992.0)</f>
        <v>45992</v>
      </c>
      <c r="B815" s="1" t="str">
        <f>IFERROR(__xludf.DUMMYFUNCTION("""COMPUTED_VALUE"""),"HTMall")</f>
        <v>HTMall</v>
      </c>
      <c r="C815" s="1" t="str">
        <f>IFERROR(__xludf.DUMMYFUNCTION("""COMPUTED_VALUE"""),"Doritos real")</f>
        <v>Doritos real</v>
      </c>
      <c r="D815" s="1">
        <f>IFERROR(__xludf.DUMMYFUNCTION("""COMPUTED_VALUE"""),140.0)</f>
        <v>140</v>
      </c>
      <c r="E815" s="1">
        <f>IFERROR(__xludf.DUMMYFUNCTION("""COMPUTED_VALUE"""),8.0)</f>
        <v>8</v>
      </c>
      <c r="F815" s="1">
        <f>IFERROR(__xludf.DUMMYFUNCTION("""COMPUTED_VALUE"""),22.0)</f>
        <v>22</v>
      </c>
      <c r="G815" s="1">
        <f t="shared" si="1"/>
        <v>6.363636364</v>
      </c>
      <c r="H815" s="1">
        <f t="shared" si="2"/>
        <v>0.3636363636</v>
      </c>
      <c r="I815" s="1">
        <f>IFERROR(__xludf.DUMMYFUNCTION("IF(B815="""","""",
  100*F815 / MAX(FILTER($F:$F, $A:$A=$A815, $B:$B=$B815))
)
"),2.5912838633686692)</f>
        <v>2.591283863</v>
      </c>
      <c r="J815" s="1">
        <f>IFERROR(__xludf.DUMMYFUNCTION("IF(B815="""","""",
  100*E815 / MAX(FILTER($E:$E, $A:$A=$A815, $B:$B=$B815))
)
"),1.3461214874642438)</f>
        <v>1.346121487</v>
      </c>
      <c r="K815" s="1">
        <f t="shared" si="3"/>
        <v>2.030960794</v>
      </c>
    </row>
    <row r="816">
      <c r="A816" s="3">
        <f>IFERROR(__xludf.DUMMYFUNCTION("""COMPUTED_VALUE"""),45992.0)</f>
        <v>45992</v>
      </c>
      <c r="B816" s="1" t="str">
        <f>IFERROR(__xludf.DUMMYFUNCTION("""COMPUTED_VALUE"""),"HTMall")</f>
        <v>HTMall</v>
      </c>
      <c r="C816" s="1" t="str">
        <f>IFERROR(__xludf.DUMMYFUNCTION("""COMPUTED_VALUE"""),"Green")</f>
        <v>Green</v>
      </c>
      <c r="D816" s="1">
        <f>IFERROR(__xludf.DUMMYFUNCTION("""COMPUTED_VALUE"""),24.0)</f>
        <v>24</v>
      </c>
      <c r="E816" s="1">
        <f>IFERROR(__xludf.DUMMYFUNCTION("""COMPUTED_VALUE"""),6.24)</f>
        <v>6.24</v>
      </c>
      <c r="F816" s="1">
        <f>IFERROR(__xludf.DUMMYFUNCTION("""COMPUTED_VALUE"""),6.0)</f>
        <v>6</v>
      </c>
      <c r="G816" s="1">
        <f t="shared" si="1"/>
        <v>4</v>
      </c>
      <c r="H816" s="1">
        <f t="shared" si="2"/>
        <v>1.04</v>
      </c>
      <c r="I816" s="1">
        <f>IFERROR(__xludf.DUMMYFUNCTION("IF(B816="""","""",
  100*F816 / MAX(FILTER($F:$F, $A:$A=$A816, $B:$B=$B816))
)
"),0.7067137809187279)</f>
        <v>0.7067137809</v>
      </c>
      <c r="J816" s="1">
        <f>IFERROR(__xludf.DUMMYFUNCTION("IF(B816="""","""",
  100*E816 / MAX(FILTER($E:$E, $A:$A=$A816, $B:$B=$B816))
)
"),1.0499747602221101)</f>
        <v>1.04997476</v>
      </c>
      <c r="K816" s="1">
        <f t="shared" si="3"/>
        <v>0.8611812216</v>
      </c>
    </row>
    <row r="817">
      <c r="A817" s="3">
        <f>IFERROR(__xludf.DUMMYFUNCTION("""COMPUTED_VALUE"""),45992.0)</f>
        <v>45992</v>
      </c>
      <c r="B817" s="1" t="str">
        <f>IFERROR(__xludf.DUMMYFUNCTION("""COMPUTED_VALUE"""),"HTMall")</f>
        <v>HTMall</v>
      </c>
      <c r="C817" s="1" t="str">
        <f>IFERROR(__xludf.DUMMYFUNCTION("""COMPUTED_VALUE"""),"Haribo")</f>
        <v>Haribo</v>
      </c>
      <c r="D817" s="1">
        <f>IFERROR(__xludf.DUMMYFUNCTION("""COMPUTED_VALUE"""),270.0)</f>
        <v>270</v>
      </c>
      <c r="E817" s="1">
        <f>IFERROR(__xludf.DUMMYFUNCTION("""COMPUTED_VALUE"""),112.5)</f>
        <v>112.5</v>
      </c>
      <c r="F817" s="1">
        <f>IFERROR(__xludf.DUMMYFUNCTION("""COMPUTED_VALUE"""),90.0)</f>
        <v>90</v>
      </c>
      <c r="G817" s="1">
        <f t="shared" si="1"/>
        <v>3</v>
      </c>
      <c r="H817" s="1">
        <f t="shared" si="2"/>
        <v>1.25</v>
      </c>
      <c r="I817" s="1">
        <f>IFERROR(__xludf.DUMMYFUNCTION("IF(B817="""","""",
  100*F817 / MAX(FILTER($F:$F, $A:$A=$A817, $B:$B=$B817))
)
"),10.60070671378092)</f>
        <v>10.60070671</v>
      </c>
      <c r="J817" s="1">
        <f>IFERROR(__xludf.DUMMYFUNCTION("IF(B817="""","""",
  100*E817 / MAX(FILTER($E:$E, $A:$A=$A817, $B:$B=$B817))
)
"),18.92983341746593)</f>
        <v>18.92983342</v>
      </c>
      <c r="K817" s="1">
        <f t="shared" si="3"/>
        <v>14.34881373</v>
      </c>
    </row>
    <row r="818">
      <c r="A818" s="3">
        <f>IFERROR(__xludf.DUMMYFUNCTION("""COMPUTED_VALUE"""),45992.0)</f>
        <v>45992</v>
      </c>
      <c r="B818" s="1" t="str">
        <f>IFERROR(__xludf.DUMMYFUNCTION("""COMPUTED_VALUE"""),"HTMall")</f>
        <v>HTMall</v>
      </c>
      <c r="C818" s="1" t="str">
        <f>IFERROR(__xludf.DUMMYFUNCTION("""COMPUTED_VALUE"""),"Kinder Bueno")</f>
        <v>Kinder Bueno</v>
      </c>
      <c r="D818" s="1">
        <f>IFERROR(__xludf.DUMMYFUNCTION("""COMPUTED_VALUE"""),247.0)</f>
        <v>247</v>
      </c>
      <c r="E818" s="1">
        <f>IFERROR(__xludf.DUMMYFUNCTION("""COMPUTED_VALUE"""),38.2)</f>
        <v>38.2</v>
      </c>
      <c r="F818" s="1">
        <f>IFERROR(__xludf.DUMMYFUNCTION("""COMPUTED_VALUE"""),36.0)</f>
        <v>36</v>
      </c>
      <c r="G818" s="1">
        <f t="shared" si="1"/>
        <v>6.861111111</v>
      </c>
      <c r="H818" s="1">
        <f t="shared" si="2"/>
        <v>1.061111111</v>
      </c>
      <c r="I818" s="1">
        <f>IFERROR(__xludf.DUMMYFUNCTION("IF(B818="""","""",
  100*F818 / MAX(FILTER($F:$F, $A:$A=$A818, $B:$B=$B818))
)
"),4.240282685512367)</f>
        <v>4.240282686</v>
      </c>
      <c r="J818" s="1">
        <f>IFERROR(__xludf.DUMMYFUNCTION("IF(B818="""","""",
  100*E818 / MAX(FILTER($E:$E, $A:$A=$A818, $B:$B=$B818))
)
"),6.427730102641765)</f>
        <v>6.427730103</v>
      </c>
      <c r="K818" s="1">
        <f t="shared" si="3"/>
        <v>5.224634023</v>
      </c>
    </row>
    <row r="819">
      <c r="A819" s="3">
        <f>IFERROR(__xludf.DUMMYFUNCTION("""COMPUTED_VALUE"""),45992.0)</f>
        <v>45992</v>
      </c>
      <c r="B819" s="1" t="str">
        <f>IFERROR(__xludf.DUMMYFUNCTION("""COMPUTED_VALUE"""),"HTMall")</f>
        <v>HTMall</v>
      </c>
      <c r="C819" s="1" t="str">
        <f>IFERROR(__xludf.DUMMYFUNCTION("""COMPUTED_VALUE"""),"Kinder bueno1stick")</f>
        <v>Kinder bueno1stick</v>
      </c>
      <c r="D819" s="1">
        <f>IFERROR(__xludf.DUMMYFUNCTION("""COMPUTED_VALUE"""),122.0)</f>
        <v>122</v>
      </c>
      <c r="E819" s="1">
        <f>IFERROR(__xludf.DUMMYFUNCTION("""COMPUTED_VALUE"""),32.0)</f>
        <v>32</v>
      </c>
      <c r="F819" s="1">
        <f>IFERROR(__xludf.DUMMYFUNCTION("""COMPUTED_VALUE"""),30.0)</f>
        <v>30</v>
      </c>
      <c r="G819" s="1">
        <f t="shared" si="1"/>
        <v>4.066666667</v>
      </c>
      <c r="H819" s="1">
        <f t="shared" si="2"/>
        <v>1.066666667</v>
      </c>
      <c r="I819" s="1">
        <f>IFERROR(__xludf.DUMMYFUNCTION("IF(B819="""","""",
  100*F819 / MAX(FILTER($F:$F, $A:$A=$A819, $B:$B=$B819))
)
"),3.5335689045936394)</f>
        <v>3.533568905</v>
      </c>
      <c r="J819" s="1">
        <f>IFERROR(__xludf.DUMMYFUNCTION("IF(B819="""","""",
  100*E819 / MAX(FILTER($E:$E, $A:$A=$A819, $B:$B=$B819))
)
"),5.384485949856975)</f>
        <v>5.38448595</v>
      </c>
      <c r="K819" s="1">
        <f t="shared" si="3"/>
        <v>4.366481575</v>
      </c>
    </row>
    <row r="820">
      <c r="A820" s="3">
        <f>IFERROR(__xludf.DUMMYFUNCTION("""COMPUTED_VALUE"""),45992.0)</f>
        <v>45992</v>
      </c>
      <c r="B820" s="1" t="str">
        <f>IFERROR(__xludf.DUMMYFUNCTION("""COMPUTED_VALUE"""),"HTMall")</f>
        <v>HTMall</v>
      </c>
      <c r="C820" s="1" t="str">
        <f>IFERROR(__xludf.DUMMYFUNCTION("""COMPUTED_VALUE"""),"Laviva")</f>
        <v>Laviva</v>
      </c>
      <c r="D820" s="1">
        <f>IFERROR(__xludf.DUMMYFUNCTION("""COMPUTED_VALUE"""),273.0)</f>
        <v>273</v>
      </c>
      <c r="E820" s="1">
        <f>IFERROR(__xludf.DUMMYFUNCTION("""COMPUTED_VALUE"""),72.8)</f>
        <v>72.8</v>
      </c>
      <c r="F820" s="1">
        <f>IFERROR(__xludf.DUMMYFUNCTION("""COMPUTED_VALUE"""),91.0)</f>
        <v>91</v>
      </c>
      <c r="G820" s="1">
        <f t="shared" si="1"/>
        <v>3</v>
      </c>
      <c r="H820" s="1">
        <f t="shared" si="2"/>
        <v>0.8</v>
      </c>
      <c r="I820" s="1">
        <f>IFERROR(__xludf.DUMMYFUNCTION("IF(B820="""","""",
  100*F820 / MAX(FILTER($F:$F, $A:$A=$A820, $B:$B=$B820))
)
"),10.71849234393404)</f>
        <v>10.71849234</v>
      </c>
      <c r="J820" s="1">
        <f>IFERROR(__xludf.DUMMYFUNCTION("IF(B820="""","""",
  100*E820 / MAX(FILTER($E:$E, $A:$A=$A820, $B:$B=$B820))
)
"),12.249705535924619)</f>
        <v>12.24970554</v>
      </c>
      <c r="K820" s="1">
        <f t="shared" si="3"/>
        <v>11.40753828</v>
      </c>
    </row>
    <row r="821">
      <c r="A821" s="3">
        <f>IFERROR(__xludf.DUMMYFUNCTION("""COMPUTED_VALUE"""),45992.0)</f>
        <v>45992</v>
      </c>
      <c r="B821" s="1" t="str">
        <f>IFERROR(__xludf.DUMMYFUNCTION("""COMPUTED_VALUE"""),"HTMall")</f>
        <v>HTMall</v>
      </c>
      <c r="C821" s="1" t="str">
        <f>IFERROR(__xludf.DUMMYFUNCTION("""COMPUTED_VALUE"""),"Maltesers")</f>
        <v>Maltesers</v>
      </c>
      <c r="D821" s="1">
        <f>IFERROR(__xludf.DUMMYFUNCTION("""COMPUTED_VALUE"""),112.0)</f>
        <v>112</v>
      </c>
      <c r="E821" s="1">
        <f>IFERROR(__xludf.DUMMYFUNCTION("""COMPUTED_VALUE"""),12.8)</f>
        <v>12.8</v>
      </c>
      <c r="F821" s="1">
        <f>IFERROR(__xludf.DUMMYFUNCTION("""COMPUTED_VALUE"""),16.0)</f>
        <v>16</v>
      </c>
      <c r="G821" s="1">
        <f t="shared" si="1"/>
        <v>7</v>
      </c>
      <c r="H821" s="1">
        <f t="shared" si="2"/>
        <v>0.8</v>
      </c>
      <c r="I821" s="1">
        <f>IFERROR(__xludf.DUMMYFUNCTION("IF(B821="""","""",
  100*F821 / MAX(FILTER($F:$F, $A:$A=$A821, $B:$B=$B821))
)
"),1.8845700824499412)</f>
        <v>1.884570082</v>
      </c>
      <c r="J821" s="1">
        <f>IFERROR(__xludf.DUMMYFUNCTION("IF(B821="""","""",
  100*E821 / MAX(FILTER($E:$E, $A:$A=$A821, $B:$B=$B821))
)
"),2.15379437994279)</f>
        <v>2.15379438</v>
      </c>
      <c r="K821" s="1">
        <f t="shared" si="3"/>
        <v>2.005721016</v>
      </c>
    </row>
    <row r="822">
      <c r="A822" s="3">
        <f>IFERROR(__xludf.DUMMYFUNCTION("""COMPUTED_VALUE"""),45992.0)</f>
        <v>45992</v>
      </c>
      <c r="B822" s="1" t="str">
        <f>IFERROR(__xludf.DUMMYFUNCTION("""COMPUTED_VALUE"""),"HTMall")</f>
        <v>HTMall</v>
      </c>
      <c r="C822" s="1" t="str">
        <f>IFERROR(__xludf.DUMMYFUNCTION("""COMPUTED_VALUE"""),"Mirinda")</f>
        <v>Mirinda</v>
      </c>
      <c r="D822" s="1">
        <f>IFERROR(__xludf.DUMMYFUNCTION("""COMPUTED_VALUE"""),147.0)</f>
        <v>147</v>
      </c>
      <c r="E822" s="1">
        <f>IFERROR(__xludf.DUMMYFUNCTION("""COMPUTED_VALUE"""),36.75)</f>
        <v>36.75</v>
      </c>
      <c r="F822" s="1">
        <f>IFERROR(__xludf.DUMMYFUNCTION("""COMPUTED_VALUE"""),49.0)</f>
        <v>49</v>
      </c>
      <c r="G822" s="1">
        <f t="shared" si="1"/>
        <v>3</v>
      </c>
      <c r="H822" s="1">
        <f t="shared" si="2"/>
        <v>0.75</v>
      </c>
      <c r="I822" s="1">
        <f>IFERROR(__xludf.DUMMYFUNCTION("IF(B822="""","""",
  100*F822 / MAX(FILTER($F:$F, $A:$A=$A822, $B:$B=$B822))
)
"),5.771495877502945)</f>
        <v>5.771495878</v>
      </c>
      <c r="J822" s="1">
        <f>IFERROR(__xludf.DUMMYFUNCTION("IF(B822="""","""",
  100*E822 / MAX(FILTER($E:$E, $A:$A=$A822, $B:$B=$B822))
)
"),6.18374558303887)</f>
        <v>6.183745583</v>
      </c>
      <c r="K822" s="1">
        <f t="shared" si="3"/>
        <v>5.957008245</v>
      </c>
    </row>
    <row r="823">
      <c r="A823" s="3">
        <f>IFERROR(__xludf.DUMMYFUNCTION("""COMPUTED_VALUE"""),45992.0)</f>
        <v>45992</v>
      </c>
      <c r="B823" s="1" t="str">
        <f>IFERROR(__xludf.DUMMYFUNCTION("""COMPUTED_VALUE"""),"HTMall")</f>
        <v>HTMall</v>
      </c>
      <c r="C823" s="1" t="str">
        <f>IFERROR(__xludf.DUMMYFUNCTION("""COMPUTED_VALUE"""),"MrCrunch Normal")</f>
        <v>MrCrunch Normal</v>
      </c>
      <c r="D823" s="1">
        <f>IFERROR(__xludf.DUMMYFUNCTION("""COMPUTED_VALUE"""),170.0)</f>
        <v>170</v>
      </c>
      <c r="E823" s="1">
        <f>IFERROR(__xludf.DUMMYFUNCTION("""COMPUTED_VALUE"""),100.3)</f>
        <v>100.3</v>
      </c>
      <c r="F823" s="1">
        <f>IFERROR(__xludf.DUMMYFUNCTION("""COMPUTED_VALUE"""),34.0)</f>
        <v>34</v>
      </c>
      <c r="G823" s="1">
        <f t="shared" si="1"/>
        <v>5</v>
      </c>
      <c r="H823" s="1">
        <f t="shared" si="2"/>
        <v>2.95</v>
      </c>
      <c r="I823" s="1">
        <f>IFERROR(__xludf.DUMMYFUNCTION("IF(B823="""","""",
  100*F823 / MAX(FILTER($F:$F, $A:$A=$A823, $B:$B=$B823))
)
"),4.004711425206125)</f>
        <v>4.004711425</v>
      </c>
      <c r="J823" s="1">
        <f>IFERROR(__xludf.DUMMYFUNCTION("IF(B823="""","""",
  100*E823 / MAX(FILTER($E:$E, $A:$A=$A823, $B:$B=$B823))
)
"),16.876998149082954)</f>
        <v>16.87699815</v>
      </c>
      <c r="K823" s="1">
        <f t="shared" si="3"/>
        <v>9.797240451</v>
      </c>
    </row>
    <row r="824">
      <c r="A824" s="3">
        <f>IFERROR(__xludf.DUMMYFUNCTION("""COMPUTED_VALUE"""),45992.0)</f>
        <v>45992</v>
      </c>
      <c r="B824" s="1" t="str">
        <f>IFERROR(__xludf.DUMMYFUNCTION("""COMPUTED_VALUE"""),"HTMall")</f>
        <v>HTMall</v>
      </c>
      <c r="C824" s="1" t="str">
        <f>IFERROR(__xludf.DUMMYFUNCTION("""COMPUTED_VALUE"""),"MrCrunch-RingGo")</f>
        <v>MrCrunch-RingGo</v>
      </c>
      <c r="D824" s="1">
        <f>IFERROR(__xludf.DUMMYFUNCTION("""COMPUTED_VALUE"""),155.0)</f>
        <v>155</v>
      </c>
      <c r="E824" s="1">
        <f>IFERROR(__xludf.DUMMYFUNCTION("""COMPUTED_VALUE"""),105.4)</f>
        <v>105.4</v>
      </c>
      <c r="F824" s="1">
        <f>IFERROR(__xludf.DUMMYFUNCTION("""COMPUTED_VALUE"""),31.0)</f>
        <v>31</v>
      </c>
      <c r="G824" s="1">
        <f t="shared" si="1"/>
        <v>5</v>
      </c>
      <c r="H824" s="1">
        <f t="shared" si="2"/>
        <v>3.4</v>
      </c>
      <c r="I824" s="1">
        <f>IFERROR(__xludf.DUMMYFUNCTION("IF(B824="""","""",
  100*F824 / MAX(FILTER($F:$F, $A:$A=$A824, $B:$B=$B824))
)
"),3.651354534746761)</f>
        <v>3.651354535</v>
      </c>
      <c r="J824" s="1">
        <f>IFERROR(__xludf.DUMMYFUNCTION("IF(B824="""","""",
  100*E824 / MAX(FILTER($E:$E, $A:$A=$A824, $B:$B=$B824))
)
"),17.735150597341413)</f>
        <v>17.7351506</v>
      </c>
      <c r="K824" s="1">
        <f t="shared" si="3"/>
        <v>9.989062763</v>
      </c>
    </row>
    <row r="825">
      <c r="A825" s="3">
        <f>IFERROR(__xludf.DUMMYFUNCTION("""COMPUTED_VALUE"""),45992.0)</f>
        <v>45992</v>
      </c>
      <c r="B825" s="1" t="str">
        <f>IFERROR(__xludf.DUMMYFUNCTION("""COMPUTED_VALUE"""),"HTMall")</f>
        <v>HTMall</v>
      </c>
      <c r="C825" s="1" t="str">
        <f>IFERROR(__xludf.DUMMYFUNCTION("""COMPUTED_VALUE"""),"Mrbeast")</f>
        <v>Mrbeast</v>
      </c>
      <c r="D825" s="1">
        <f>IFERROR(__xludf.DUMMYFUNCTION("""COMPUTED_VALUE"""),710.0)</f>
        <v>710</v>
      </c>
      <c r="E825" s="1">
        <f>IFERROR(__xludf.DUMMYFUNCTION("""COMPUTED_VALUE"""),366.9)</f>
        <v>366.9</v>
      </c>
      <c r="F825" s="1">
        <f>IFERROR(__xludf.DUMMYFUNCTION("""COMPUTED_VALUE"""),73.0)</f>
        <v>73</v>
      </c>
      <c r="G825" s="1">
        <f t="shared" si="1"/>
        <v>9.726027397</v>
      </c>
      <c r="H825" s="1">
        <f t="shared" si="2"/>
        <v>5.026027397</v>
      </c>
      <c r="I825" s="1">
        <f>IFERROR(__xludf.DUMMYFUNCTION("IF(B825="""","""",
  100*F825 / MAX(FILTER($F:$F, $A:$A=$A825, $B:$B=$B825))
)
"),8.598351001177857)</f>
        <v>8.598351001</v>
      </c>
      <c r="J825" s="1">
        <f>IFERROR(__xludf.DUMMYFUNCTION("IF(B825="""","""",
  100*E825 / MAX(FILTER($E:$E, $A:$A=$A825, $B:$B=$B825))
)
"),61.73649671882888)</f>
        <v>61.73649672</v>
      </c>
      <c r="K825" s="1">
        <f t="shared" si="3"/>
        <v>32.51051657</v>
      </c>
    </row>
    <row r="826">
      <c r="A826" s="3">
        <f>IFERROR(__xludf.DUMMYFUNCTION("""COMPUTED_VALUE"""),45992.0)</f>
        <v>45992</v>
      </c>
      <c r="B826" s="1" t="str">
        <f>IFERROR(__xludf.DUMMYFUNCTION("""COMPUTED_VALUE"""),"HTMall")</f>
        <v>HTMall</v>
      </c>
      <c r="C826" s="1" t="str">
        <f>IFERROR(__xludf.DUMMYFUNCTION("""COMPUTED_VALUE"""),"Pepsi")</f>
        <v>Pepsi</v>
      </c>
      <c r="D826" s="1">
        <f>IFERROR(__xludf.DUMMYFUNCTION("""COMPUTED_VALUE"""),300.0)</f>
        <v>300</v>
      </c>
      <c r="E826" s="1">
        <f>IFERROR(__xludf.DUMMYFUNCTION("""COMPUTED_VALUE"""),75.0)</f>
        <v>75</v>
      </c>
      <c r="F826" s="1">
        <f>IFERROR(__xludf.DUMMYFUNCTION("""COMPUTED_VALUE"""),100.0)</f>
        <v>100</v>
      </c>
      <c r="G826" s="1">
        <f t="shared" si="1"/>
        <v>3</v>
      </c>
      <c r="H826" s="1">
        <f t="shared" si="2"/>
        <v>0.75</v>
      </c>
      <c r="I826" s="1">
        <f>IFERROR(__xludf.DUMMYFUNCTION("IF(B826="""","""",
  100*F826 / MAX(FILTER($F:$F, $A:$A=$A826, $B:$B=$B826))
)
"),11.778563015312132)</f>
        <v>11.77856302</v>
      </c>
      <c r="J826" s="1">
        <f>IFERROR(__xludf.DUMMYFUNCTION("IF(B826="""","""",
  100*E826 / MAX(FILTER($E:$E, $A:$A=$A826, $B:$B=$B826))
)
"),12.619888944977285)</f>
        <v>12.61988894</v>
      </c>
      <c r="K826" s="1">
        <f t="shared" si="3"/>
        <v>12.15715968</v>
      </c>
    </row>
    <row r="827">
      <c r="A827" s="3">
        <f>IFERROR(__xludf.DUMMYFUNCTION("""COMPUTED_VALUE"""),45992.0)</f>
        <v>45992</v>
      </c>
      <c r="B827" s="1" t="str">
        <f>IFERROR(__xludf.DUMMYFUNCTION("""COMPUTED_VALUE"""),"HTMall")</f>
        <v>HTMall</v>
      </c>
      <c r="C827" s="1" t="str">
        <f>IFERROR(__xludf.DUMMYFUNCTION("""COMPUTED_VALUE"""),"Rani")</f>
        <v>Rani</v>
      </c>
      <c r="D827" s="1">
        <f>IFERROR(__xludf.DUMMYFUNCTION("""COMPUTED_VALUE"""),48.0)</f>
        <v>48</v>
      </c>
      <c r="E827" s="1">
        <f>IFERROR(__xludf.DUMMYFUNCTION("""COMPUTED_VALUE"""),13.28)</f>
        <v>13.28</v>
      </c>
      <c r="F827" s="1">
        <f>IFERROR(__xludf.DUMMYFUNCTION("""COMPUTED_VALUE"""),16.0)</f>
        <v>16</v>
      </c>
      <c r="G827" s="1">
        <f t="shared" si="1"/>
        <v>3</v>
      </c>
      <c r="H827" s="1">
        <f t="shared" si="2"/>
        <v>0.83</v>
      </c>
      <c r="I827" s="1">
        <f>IFERROR(__xludf.DUMMYFUNCTION("IF(B827="""","""",
  100*F827 / MAX(FILTER($F:$F, $A:$A=$A827, $B:$B=$B827))
)
"),1.8845700824499412)</f>
        <v>1.884570082</v>
      </c>
      <c r="J827" s="1">
        <f>IFERROR(__xludf.DUMMYFUNCTION("IF(B827="""","""",
  100*E827 / MAX(FILTER($E:$E, $A:$A=$A827, $B:$B=$B827))
)
"),2.2345616691906445)</f>
        <v>2.234561669</v>
      </c>
      <c r="K827" s="1">
        <f t="shared" si="3"/>
        <v>2.042066296</v>
      </c>
    </row>
    <row r="828">
      <c r="A828" s="3">
        <f>IFERROR(__xludf.DUMMYFUNCTION("""COMPUTED_VALUE"""),45992.0)</f>
        <v>45992</v>
      </c>
      <c r="B828" s="1" t="str">
        <f>IFERROR(__xludf.DUMMYFUNCTION("""COMPUTED_VALUE"""),"HTMall")</f>
        <v>HTMall</v>
      </c>
      <c r="C828" s="1" t="str">
        <f>IFERROR(__xludf.DUMMYFUNCTION("""COMPUTED_VALUE"""),"Schweppes")</f>
        <v>Schweppes</v>
      </c>
      <c r="D828" s="1">
        <f>IFERROR(__xludf.DUMMYFUNCTION("""COMPUTED_VALUE"""),56.0)</f>
        <v>56</v>
      </c>
      <c r="E828" s="1">
        <f>IFERROR(__xludf.DUMMYFUNCTION("""COMPUTED_VALUE"""),20.0)</f>
        <v>20</v>
      </c>
      <c r="F828" s="1">
        <f>IFERROR(__xludf.DUMMYFUNCTION("""COMPUTED_VALUE"""),18.0)</f>
        <v>18</v>
      </c>
      <c r="G828" s="1">
        <f t="shared" si="1"/>
        <v>3.111111111</v>
      </c>
      <c r="H828" s="1">
        <f t="shared" si="2"/>
        <v>1.111111111</v>
      </c>
      <c r="I828" s="1">
        <f>IFERROR(__xludf.DUMMYFUNCTION("IF(B828="""","""",
  100*F828 / MAX(FILTER($F:$F, $A:$A=$A828, $B:$B=$B828))
)
"),2.1201413427561837)</f>
        <v>2.120141343</v>
      </c>
      <c r="J828" s="1">
        <f>IFERROR(__xludf.DUMMYFUNCTION("IF(B828="""","""",
  100*E828 / MAX(FILTER($E:$E, $A:$A=$A828, $B:$B=$B828))
)
"),3.365303718660609)</f>
        <v>3.365303719</v>
      </c>
      <c r="K828" s="1">
        <f t="shared" si="3"/>
        <v>2.680464412</v>
      </c>
    </row>
    <row r="829">
      <c r="A829" s="3">
        <f>IFERROR(__xludf.DUMMYFUNCTION("""COMPUTED_VALUE"""),45992.0)</f>
        <v>45992</v>
      </c>
      <c r="B829" s="1" t="str">
        <f>IFERROR(__xludf.DUMMYFUNCTION("""COMPUTED_VALUE"""),"HTMall")</f>
        <v>HTMall</v>
      </c>
      <c r="C829" s="1" t="str">
        <f>IFERROR(__xludf.DUMMYFUNCTION("""COMPUTED_VALUE"""),"Skittles")</f>
        <v>Skittles</v>
      </c>
      <c r="D829" s="1">
        <f>IFERROR(__xludf.DUMMYFUNCTION("""COMPUTED_VALUE"""),144.0)</f>
        <v>144</v>
      </c>
      <c r="E829" s="1">
        <f>IFERROR(__xludf.DUMMYFUNCTION("""COMPUTED_VALUE"""),39.06)</f>
        <v>39.06</v>
      </c>
      <c r="F829" s="1">
        <f>IFERROR(__xludf.DUMMYFUNCTION("""COMPUTED_VALUE"""),18.0)</f>
        <v>18</v>
      </c>
      <c r="G829" s="1">
        <f t="shared" si="1"/>
        <v>8</v>
      </c>
      <c r="H829" s="1">
        <f t="shared" si="2"/>
        <v>2.17</v>
      </c>
      <c r="I829" s="1">
        <f>IFERROR(__xludf.DUMMYFUNCTION("IF(B829="""","""",
  100*F829 / MAX(FILTER($F:$F, $A:$A=$A829, $B:$B=$B829))
)
"),2.1201413427561837)</f>
        <v>2.120141343</v>
      </c>
      <c r="J829" s="1">
        <f>IFERROR(__xludf.DUMMYFUNCTION("IF(B829="""","""",
  100*E829 / MAX(FILTER($E:$E, $A:$A=$A829, $B:$B=$B829))
)
"),6.57243816254417)</f>
        <v>6.572438163</v>
      </c>
      <c r="K829" s="1">
        <f t="shared" si="3"/>
        <v>4.123674912</v>
      </c>
    </row>
    <row r="830">
      <c r="A830" s="3">
        <f>IFERROR(__xludf.DUMMYFUNCTION("""COMPUTED_VALUE"""),45992.0)</f>
        <v>45992</v>
      </c>
      <c r="B830" s="1" t="str">
        <f>IFERROR(__xludf.DUMMYFUNCTION("""COMPUTED_VALUE"""),"HTMall")</f>
        <v>HTMall</v>
      </c>
      <c r="C830" s="1" t="str">
        <f>IFERROR(__xludf.DUMMYFUNCTION("""COMPUTED_VALUE"""),"Snickers")</f>
        <v>Snickers</v>
      </c>
      <c r="D830" s="1">
        <f>IFERROR(__xludf.DUMMYFUNCTION("""COMPUTED_VALUE"""),130.0)</f>
        <v>130</v>
      </c>
      <c r="E830" s="1">
        <f>IFERROR(__xludf.DUMMYFUNCTION("""COMPUTED_VALUE"""),17.5)</f>
        <v>17.5</v>
      </c>
      <c r="F830" s="1">
        <f>IFERROR(__xludf.DUMMYFUNCTION("""COMPUTED_VALUE"""),25.0)</f>
        <v>25</v>
      </c>
      <c r="G830" s="1">
        <f t="shared" si="1"/>
        <v>5.2</v>
      </c>
      <c r="H830" s="1">
        <f t="shared" si="2"/>
        <v>0.7</v>
      </c>
      <c r="I830" s="1">
        <f>IFERROR(__xludf.DUMMYFUNCTION("IF(B830="""","""",
  100*F830 / MAX(FILTER($F:$F, $A:$A=$A830, $B:$B=$B830))
)
"),2.944640753828033)</f>
        <v>2.944640754</v>
      </c>
      <c r="J830" s="1">
        <f>IFERROR(__xludf.DUMMYFUNCTION("IF(B830="""","""",
  100*E830 / MAX(FILTER($E:$E, $A:$A=$A830, $B:$B=$B830))
)
"),2.944640753828033)</f>
        <v>2.944640754</v>
      </c>
      <c r="K830" s="1">
        <f t="shared" si="3"/>
        <v>2.944640754</v>
      </c>
    </row>
    <row r="831">
      <c r="A831" s="3">
        <f>IFERROR(__xludf.DUMMYFUNCTION("""COMPUTED_VALUE"""),45992.0)</f>
        <v>45992</v>
      </c>
      <c r="B831" s="1" t="str">
        <f>IFERROR(__xludf.DUMMYFUNCTION("""COMPUTED_VALUE"""),"HTMall")</f>
        <v>HTMall</v>
      </c>
      <c r="C831" s="1" t="str">
        <f>IFERROR(__xludf.DUMMYFUNCTION("""COMPUTED_VALUE"""),"Tiger *12")</f>
        <v>Tiger *12</v>
      </c>
      <c r="D831" s="1">
        <f>IFERROR(__xludf.DUMMYFUNCTION("""COMPUTED_VALUE"""),1295.0)</f>
        <v>1295</v>
      </c>
      <c r="E831" s="1">
        <f>IFERROR(__xludf.DUMMYFUNCTION("""COMPUTED_VALUE"""),497.28)</f>
        <v>497.28</v>
      </c>
      <c r="F831" s="1">
        <f>IFERROR(__xludf.DUMMYFUNCTION("""COMPUTED_VALUE"""),259.0)</f>
        <v>259</v>
      </c>
      <c r="G831" s="1">
        <f t="shared" si="1"/>
        <v>5</v>
      </c>
      <c r="H831" s="1">
        <f t="shared" si="2"/>
        <v>1.92</v>
      </c>
      <c r="I831" s="1">
        <f>IFERROR(__xludf.DUMMYFUNCTION("IF(B831="""","""",
  100*F831 / MAX(FILTER($F:$F, $A:$A=$A831, $B:$B=$B831))
)
"),30.50647820965842)</f>
        <v>30.50647821</v>
      </c>
      <c r="J831" s="1">
        <f>IFERROR(__xludf.DUMMYFUNCTION("IF(B831="""","""",
  100*E831 / MAX(FILTER($E:$E, $A:$A=$A831, $B:$B=$B831))
)
"),83.6749116607774)</f>
        <v>83.67491166</v>
      </c>
      <c r="K831" s="1">
        <f t="shared" si="3"/>
        <v>54.43227326</v>
      </c>
    </row>
    <row r="832">
      <c r="A832" s="3">
        <f>IFERROR(__xludf.DUMMYFUNCTION("""COMPUTED_VALUE"""),45992.0)</f>
        <v>45992</v>
      </c>
      <c r="B832" s="1" t="str">
        <f>IFERROR(__xludf.DUMMYFUNCTION("""COMPUTED_VALUE"""),"HTMall")</f>
        <v>HTMall</v>
      </c>
      <c r="C832" s="1" t="str">
        <f>IFERROR(__xludf.DUMMYFUNCTION("""COMPUTED_VALUE"""),"Twix")</f>
        <v>Twix</v>
      </c>
      <c r="D832" s="1">
        <f>IFERROR(__xludf.DUMMYFUNCTION("""COMPUTED_VALUE"""),12.0)</f>
        <v>12</v>
      </c>
      <c r="E832" s="1">
        <f>IFERROR(__xludf.DUMMYFUNCTION("""COMPUTED_VALUE"""),5.0)</f>
        <v>5</v>
      </c>
      <c r="F832" s="1">
        <f>IFERROR(__xludf.DUMMYFUNCTION("""COMPUTED_VALUE"""),2.0)</f>
        <v>2</v>
      </c>
      <c r="G832" s="1">
        <f t="shared" si="1"/>
        <v>6</v>
      </c>
      <c r="H832" s="1">
        <f t="shared" si="2"/>
        <v>2.5</v>
      </c>
      <c r="I832" s="1">
        <f>IFERROR(__xludf.DUMMYFUNCTION("IF(B832="""","""",
  100*F832 / MAX(FILTER($F:$F, $A:$A=$A832, $B:$B=$B832))
)
"),0.23557126030624265)</f>
        <v>0.2355712603</v>
      </c>
      <c r="J832" s="1">
        <f>IFERROR(__xludf.DUMMYFUNCTION("IF(B832="""","""",
  100*E832 / MAX(FILTER($E:$E, $A:$A=$A832, $B:$B=$B832))
)
"),0.8413259296651523)</f>
        <v>0.8413259297</v>
      </c>
      <c r="K832" s="1">
        <f t="shared" si="3"/>
        <v>0.5081608615</v>
      </c>
    </row>
    <row r="833">
      <c r="A833" s="3">
        <f>IFERROR(__xludf.DUMMYFUNCTION("""COMPUTED_VALUE"""),45992.0)</f>
        <v>45992</v>
      </c>
      <c r="B833" s="1" t="str">
        <f>IFERROR(__xludf.DUMMYFUNCTION("""COMPUTED_VALUE"""),"HTMall")</f>
        <v>HTMall</v>
      </c>
      <c r="C833" s="1" t="str">
        <f>IFERROR(__xludf.DUMMYFUNCTION("""COMPUTED_VALUE"""),"Water")</f>
        <v>Water</v>
      </c>
      <c r="D833" s="1">
        <f>IFERROR(__xludf.DUMMYFUNCTION("""COMPUTED_VALUE"""),849.0)</f>
        <v>849</v>
      </c>
      <c r="E833" s="1">
        <f>IFERROR(__xludf.DUMMYFUNCTION("""COMPUTED_VALUE"""),594.3)</f>
        <v>594.3</v>
      </c>
      <c r="F833" s="1">
        <f>IFERROR(__xludf.DUMMYFUNCTION("""COMPUTED_VALUE"""),849.0)</f>
        <v>849</v>
      </c>
      <c r="G833" s="1">
        <f t="shared" si="1"/>
        <v>1</v>
      </c>
      <c r="H833" s="1">
        <f t="shared" si="2"/>
        <v>0.7</v>
      </c>
      <c r="I833" s="1">
        <f>IFERROR(__xludf.DUMMYFUNCTION("IF(B833="""","""",
  100*F833 / MAX(FILTER($F:$F, $A:$A=$A833, $B:$B=$B833))
)
"),100.0)</f>
        <v>100</v>
      </c>
      <c r="J833" s="1">
        <f>IFERROR(__xludf.DUMMYFUNCTION("IF(B833="""","""",
  100*E833 / MAX(FILTER($E:$E, $A:$A=$A833, $B:$B=$B833))
)
"),100.0)</f>
        <v>100</v>
      </c>
      <c r="K833" s="1">
        <f t="shared" si="3"/>
        <v>100</v>
      </c>
    </row>
    <row r="834">
      <c r="A834" s="3">
        <f>IFERROR(__xludf.DUMMYFUNCTION("""COMPUTED_VALUE"""),45992.0)</f>
        <v>45992</v>
      </c>
      <c r="B834" s="1" t="str">
        <f>IFERROR(__xludf.DUMMYFUNCTION("""COMPUTED_VALUE"""),"HTMall")</f>
        <v>HTMall</v>
      </c>
      <c r="C834" s="1" t="str">
        <f>IFERROR(__xludf.DUMMYFUNCTION("""COMPUTED_VALUE"""),"X!R")</f>
        <v>X!R</v>
      </c>
      <c r="D834" s="1">
        <f>IFERROR(__xludf.DUMMYFUNCTION("""COMPUTED_VALUE"""),435.0)</f>
        <v>435</v>
      </c>
      <c r="E834" s="1">
        <f>IFERROR(__xludf.DUMMYFUNCTION("""COMPUTED_VALUE"""),130.5)</f>
        <v>130.5</v>
      </c>
      <c r="F834" s="1">
        <f>IFERROR(__xludf.DUMMYFUNCTION("""COMPUTED_VALUE"""),87.0)</f>
        <v>87</v>
      </c>
      <c r="G834" s="1">
        <f t="shared" si="1"/>
        <v>5</v>
      </c>
      <c r="H834" s="1">
        <f t="shared" si="2"/>
        <v>1.5</v>
      </c>
      <c r="I834" s="1">
        <f>IFERROR(__xludf.DUMMYFUNCTION("IF(B834="""","""",
  100*F834 / MAX(FILTER($F:$F, $A:$A=$A834, $B:$B=$B834))
)
"),10.247349823321555)</f>
        <v>10.24734982</v>
      </c>
      <c r="J834" s="1">
        <f>IFERROR(__xludf.DUMMYFUNCTION("IF(B834="""","""",
  100*E834 / MAX(FILTER($E:$E, $A:$A=$A834, $B:$B=$B834))
)
"),21.958606764260477)</f>
        <v>21.95860676</v>
      </c>
      <c r="K834" s="1">
        <f t="shared" si="3"/>
        <v>15.51741545</v>
      </c>
    </row>
    <row r="835">
      <c r="A835" s="3">
        <f>IFERROR(__xludf.DUMMYFUNCTION("""COMPUTED_VALUE"""),45992.0)</f>
        <v>45992</v>
      </c>
      <c r="B835" s="1" t="str">
        <f>IFERROR(__xludf.DUMMYFUNCTION("""COMPUTED_VALUE"""),"HTMall")</f>
        <v>HTMall</v>
      </c>
      <c r="C835" s="1" t="str">
        <f>IFERROR(__xludf.DUMMYFUNCTION("""COMPUTED_VALUE"""),"ex mars")</f>
        <v>ex mars</v>
      </c>
      <c r="D835" s="1">
        <f>IFERROR(__xludf.DUMMYFUNCTION("""COMPUTED_VALUE"""),77.0)</f>
        <v>77</v>
      </c>
      <c r="E835" s="1">
        <f>IFERROR(__xludf.DUMMYFUNCTION("""COMPUTED_VALUE"""),17.2)</f>
        <v>17.2</v>
      </c>
      <c r="F835" s="1">
        <f>IFERROR(__xludf.DUMMYFUNCTION("""COMPUTED_VALUE"""),23.0)</f>
        <v>23</v>
      </c>
      <c r="G835" s="1">
        <f t="shared" si="1"/>
        <v>3.347826087</v>
      </c>
      <c r="H835" s="1">
        <f t="shared" si="2"/>
        <v>0.747826087</v>
      </c>
      <c r="I835" s="1">
        <f>IFERROR(__xludf.DUMMYFUNCTION("IF(B835="""","""",
  100*F835 / MAX(FILTER($F:$F, $A:$A=$A835, $B:$B=$B835))
)
"),2.7090694935217905)</f>
        <v>2.709069494</v>
      </c>
      <c r="J835" s="1">
        <f>IFERROR(__xludf.DUMMYFUNCTION("IF(B835="""","""",
  100*E835 / MAX(FILTER($E:$E, $A:$A=$A835, $B:$B=$B835))
)
"),2.894161198048124)</f>
        <v>2.894161198</v>
      </c>
      <c r="K835" s="1">
        <f t="shared" si="3"/>
        <v>2.792360761</v>
      </c>
    </row>
    <row r="836">
      <c r="A836" s="3">
        <f>IFERROR(__xludf.DUMMYFUNCTION("""COMPUTED_VALUE"""),45992.0)</f>
        <v>45992</v>
      </c>
      <c r="B836" s="1" t="str">
        <f>IFERROR(__xludf.DUMMYFUNCTION("""COMPUTED_VALUE"""),"HTMall")</f>
        <v>HTMall</v>
      </c>
      <c r="C836" s="1" t="str">
        <f>IFERROR(__xludf.DUMMYFUNCTION("""COMPUTED_VALUE"""),"mr bite")</f>
        <v>mr bite</v>
      </c>
      <c r="D836" s="1">
        <f>IFERROR(__xludf.DUMMYFUNCTION("""COMPUTED_VALUE"""),386.0)</f>
        <v>386</v>
      </c>
      <c r="E836" s="1">
        <f>IFERROR(__xludf.DUMMYFUNCTION("""COMPUTED_VALUE"""),129.31)</f>
        <v>129.31</v>
      </c>
      <c r="F836" s="1">
        <f>IFERROR(__xludf.DUMMYFUNCTION("""COMPUTED_VALUE"""),193.0)</f>
        <v>193</v>
      </c>
      <c r="G836" s="1">
        <f t="shared" si="1"/>
        <v>2</v>
      </c>
      <c r="H836" s="1">
        <f t="shared" si="2"/>
        <v>0.67</v>
      </c>
      <c r="I836" s="1">
        <f>IFERROR(__xludf.DUMMYFUNCTION("IF(B836="""","""",
  100*F836 / MAX(FILTER($F:$F, $A:$A=$A836, $B:$B=$B836))
)
"),22.732626619552416)</f>
        <v>22.73262662</v>
      </c>
      <c r="J836" s="1">
        <f>IFERROR(__xludf.DUMMYFUNCTION("IF(B836="""","""",
  100*E836 / MAX(FILTER($E:$E, $A:$A=$A836, $B:$B=$B836))
)
"),21.75837119300017)</f>
        <v>21.75837119</v>
      </c>
      <c r="K836" s="1">
        <f t="shared" si="3"/>
        <v>22.29421168</v>
      </c>
    </row>
    <row r="837">
      <c r="A837" s="3">
        <f>IFERROR(__xludf.DUMMYFUNCTION("""COMPUTED_VALUE"""),45992.0)</f>
        <v>45992</v>
      </c>
      <c r="B837" s="1" t="str">
        <f>IFERROR(__xludf.DUMMYFUNCTION("""COMPUTED_VALUE"""),"HTMall")</f>
        <v>HTMall</v>
      </c>
      <c r="C837" s="1" t="str">
        <f>IFERROR(__xludf.DUMMYFUNCTION("""COMPUTED_VALUE"""),"sunTop")</f>
        <v>sunTop</v>
      </c>
      <c r="D837" s="1">
        <f>IFERROR(__xludf.DUMMYFUNCTION("""COMPUTED_VALUE"""),512.0)</f>
        <v>512</v>
      </c>
      <c r="E837" s="1">
        <f>IFERROR(__xludf.DUMMYFUNCTION("""COMPUTED_VALUE"""),204.8)</f>
        <v>204.8</v>
      </c>
      <c r="F837" s="1">
        <f>IFERROR(__xludf.DUMMYFUNCTION("""COMPUTED_VALUE"""),512.0)</f>
        <v>512</v>
      </c>
      <c r="G837" s="1">
        <f t="shared" si="1"/>
        <v>1</v>
      </c>
      <c r="H837" s="1">
        <f t="shared" si="2"/>
        <v>0.4</v>
      </c>
      <c r="I837" s="1">
        <f>IFERROR(__xludf.DUMMYFUNCTION("IF(B837="""","""",
  100*F837 / MAX(FILTER($F:$F, $A:$A=$A837, $B:$B=$B837))
)
"),60.30624263839812)</f>
        <v>60.30624264</v>
      </c>
      <c r="J837" s="1">
        <f>IFERROR(__xludf.DUMMYFUNCTION("IF(B837="""","""",
  100*E837 / MAX(FILTER($E:$E, $A:$A=$A837, $B:$B=$B837))
)
"),34.46071007908464)</f>
        <v>34.46071008</v>
      </c>
      <c r="K837" s="1">
        <f t="shared" si="3"/>
        <v>48.67575299</v>
      </c>
    </row>
    <row r="838">
      <c r="A838" s="3">
        <f>IFERROR(__xludf.DUMMYFUNCTION("""COMPUTED_VALUE"""),45992.0)</f>
        <v>45992</v>
      </c>
      <c r="B838" s="1" t="str">
        <f>IFERROR(__xludf.DUMMYFUNCTION("""COMPUTED_VALUE"""),"HospAlmoa")</f>
        <v>HospAlmoa</v>
      </c>
      <c r="C838" s="1" t="str">
        <f>IFERROR(__xludf.DUMMYFUNCTION("""COMPUTED_VALUE"""),"Almarai Chocolate")</f>
        <v>Almarai Chocolate</v>
      </c>
      <c r="D838" s="1">
        <f>IFERROR(__xludf.DUMMYFUNCTION("""COMPUTED_VALUE"""),51.0)</f>
        <v>51</v>
      </c>
      <c r="E838" s="1">
        <f>IFERROR(__xludf.DUMMYFUNCTION("""COMPUTED_VALUE"""),17.0)</f>
        <v>17</v>
      </c>
      <c r="F838" s="1">
        <f>IFERROR(__xludf.DUMMYFUNCTION("""COMPUTED_VALUE"""),17.0)</f>
        <v>17</v>
      </c>
      <c r="G838" s="1">
        <f t="shared" si="1"/>
        <v>3</v>
      </c>
      <c r="H838" s="1">
        <f t="shared" si="2"/>
        <v>1</v>
      </c>
      <c r="I838" s="1">
        <f>IFERROR(__xludf.DUMMYFUNCTION("IF(B838="""","""",
  100*F838 / MAX(FILTER($F:$F, $A:$A=$A838, $B:$B=$B838))
)
"),4.218362282878412)</f>
        <v>4.218362283</v>
      </c>
      <c r="J838" s="1">
        <f>IFERROR(__xludf.DUMMYFUNCTION("IF(B838="""","""",
  100*E838 / MAX(FILTER($E:$E, $A:$A=$A838, $B:$B=$B838))
)
"),6.026231832683445)</f>
        <v>6.026231833</v>
      </c>
      <c r="K838" s="1">
        <f t="shared" si="3"/>
        <v>5.03190358</v>
      </c>
    </row>
    <row r="839">
      <c r="A839" s="3">
        <f>IFERROR(__xludf.DUMMYFUNCTION("""COMPUTED_VALUE"""),45992.0)</f>
        <v>45992</v>
      </c>
      <c r="B839" s="1" t="str">
        <f>IFERROR(__xludf.DUMMYFUNCTION("""COMPUTED_VALUE"""),"HospAlmoa")</f>
        <v>HospAlmoa</v>
      </c>
      <c r="C839" s="1" t="str">
        <f>IFERROR(__xludf.DUMMYFUNCTION("""COMPUTED_VALUE"""),"Almarai Strawberry")</f>
        <v>Almarai Strawberry</v>
      </c>
      <c r="D839" s="1">
        <f>IFERROR(__xludf.DUMMYFUNCTION("""COMPUTED_VALUE"""),180.0)</f>
        <v>180</v>
      </c>
      <c r="E839" s="1">
        <f>IFERROR(__xludf.DUMMYFUNCTION("""COMPUTED_VALUE"""),55.2)</f>
        <v>55.2</v>
      </c>
      <c r="F839" s="1">
        <f>IFERROR(__xludf.DUMMYFUNCTION("""COMPUTED_VALUE"""),60.0)</f>
        <v>60</v>
      </c>
      <c r="G839" s="1">
        <f t="shared" si="1"/>
        <v>3</v>
      </c>
      <c r="H839" s="1">
        <f t="shared" si="2"/>
        <v>0.92</v>
      </c>
      <c r="I839" s="1">
        <f>IFERROR(__xludf.DUMMYFUNCTION("IF(B839="""","""",
  100*F839 / MAX(FILTER($F:$F, $A:$A=$A839, $B:$B=$B839))
)
"),14.88833746898263)</f>
        <v>14.88833747</v>
      </c>
      <c r="J839" s="1">
        <f>IFERROR(__xludf.DUMMYFUNCTION("IF(B839="""","""",
  100*E839 / MAX(FILTER($E:$E, $A:$A=$A839, $B:$B=$B839))
)
"),19.5675292449486)</f>
        <v>19.56752924</v>
      </c>
      <c r="K839" s="1">
        <f t="shared" si="3"/>
        <v>16.99397377</v>
      </c>
    </row>
    <row r="840">
      <c r="A840" s="3">
        <f>IFERROR(__xludf.DUMMYFUNCTION("""COMPUTED_VALUE"""),45992.0)</f>
        <v>45992</v>
      </c>
      <c r="B840" s="1" t="str">
        <f>IFERROR(__xludf.DUMMYFUNCTION("""COMPUTED_VALUE"""),"HospAlmoa")</f>
        <v>HospAlmoa</v>
      </c>
      <c r="C840" s="1" t="str">
        <f>IFERROR(__xludf.DUMMYFUNCTION("""COMPUTED_VALUE"""),"Caser Juice")</f>
        <v>Caser Juice</v>
      </c>
      <c r="D840" s="1">
        <f>IFERROR(__xludf.DUMMYFUNCTION("""COMPUTED_VALUE"""),67.0)</f>
        <v>67</v>
      </c>
      <c r="E840" s="1">
        <f>IFERROR(__xludf.DUMMYFUNCTION("""COMPUTED_VALUE"""),5.05)</f>
        <v>5.05</v>
      </c>
      <c r="F840" s="1">
        <f>IFERROR(__xludf.DUMMYFUNCTION("""COMPUTED_VALUE"""),15.0)</f>
        <v>15</v>
      </c>
      <c r="G840" s="1">
        <f t="shared" si="1"/>
        <v>4.466666667</v>
      </c>
      <c r="H840" s="1">
        <f t="shared" si="2"/>
        <v>0.3366666667</v>
      </c>
      <c r="I840" s="1">
        <f>IFERROR(__xludf.DUMMYFUNCTION("IF(B840="""","""",
  100*F840 / MAX(FILTER($F:$F, $A:$A=$A840, $B:$B=$B840))
)
"),3.7220843672456576)</f>
        <v>3.722084367</v>
      </c>
      <c r="J840" s="1">
        <f>IFERROR(__xludf.DUMMYFUNCTION("IF(B840="""","""",
  100*E840 / MAX(FILTER($E:$E, $A:$A=$A840, $B:$B=$B840))
)
"),1.790145338532435)</f>
        <v>1.790145339</v>
      </c>
      <c r="K840" s="1">
        <f t="shared" si="3"/>
        <v>2.852711804</v>
      </c>
    </row>
    <row r="841">
      <c r="A841" s="3">
        <f>IFERROR(__xludf.DUMMYFUNCTION("""COMPUTED_VALUE"""),45992.0)</f>
        <v>45992</v>
      </c>
      <c r="B841" s="1" t="str">
        <f>IFERROR(__xludf.DUMMYFUNCTION("""COMPUTED_VALUE"""),"HospAlmoa")</f>
        <v>HospAlmoa</v>
      </c>
      <c r="C841" s="1" t="str">
        <f>IFERROR(__xludf.DUMMYFUNCTION("""COMPUTED_VALUE"""),"Corissant Karuzo")</f>
        <v>Corissant Karuzo</v>
      </c>
      <c r="D841" s="1">
        <f>IFERROR(__xludf.DUMMYFUNCTION("""COMPUTED_VALUE"""),115.0)</f>
        <v>115</v>
      </c>
      <c r="E841" s="1">
        <f>IFERROR(__xludf.DUMMYFUNCTION("""COMPUTED_VALUE"""),76.43)</f>
        <v>76.43</v>
      </c>
      <c r="F841" s="1">
        <f>IFERROR(__xludf.DUMMYFUNCTION("""COMPUTED_VALUE"""),29.0)</f>
        <v>29</v>
      </c>
      <c r="G841" s="1">
        <f t="shared" si="1"/>
        <v>3.965517241</v>
      </c>
      <c r="H841" s="1">
        <f t="shared" si="2"/>
        <v>2.635517241</v>
      </c>
      <c r="I841" s="1">
        <f>IFERROR(__xludf.DUMMYFUNCTION("IF(B841="""","""",
  100*F841 / MAX(FILTER($F:$F, $A:$A=$A841, $B:$B=$B841))
)
"),7.196029776674938)</f>
        <v>7.196029777</v>
      </c>
      <c r="J841" s="1">
        <f>IFERROR(__xludf.DUMMYFUNCTION("IF(B841="""","""",
  100*E841 / MAX(FILTER($E:$E, $A:$A=$A841, $B:$B=$B841))
)
"),27.093229351293868)</f>
        <v>27.09322935</v>
      </c>
      <c r="K841" s="1">
        <f t="shared" si="3"/>
        <v>16.14976959</v>
      </c>
    </row>
    <row r="842">
      <c r="A842" s="3">
        <f>IFERROR(__xludf.DUMMYFUNCTION("""COMPUTED_VALUE"""),45992.0)</f>
        <v>45992</v>
      </c>
      <c r="B842" s="1" t="str">
        <f>IFERROR(__xludf.DUMMYFUNCTION("""COMPUTED_VALUE"""),"HospAlmoa")</f>
        <v>HospAlmoa</v>
      </c>
      <c r="C842" s="1" t="str">
        <f>IFERROR(__xludf.DUMMYFUNCTION("""COMPUTED_VALUE"""),"Digestive")</f>
        <v>Digestive</v>
      </c>
      <c r="D842" s="1">
        <f>IFERROR(__xludf.DUMMYFUNCTION("""COMPUTED_VALUE"""),103.0)</f>
        <v>103</v>
      </c>
      <c r="E842" s="1">
        <f>IFERROR(__xludf.DUMMYFUNCTION("""COMPUTED_VALUE"""),38.11)</f>
        <v>38.11</v>
      </c>
      <c r="F842" s="1">
        <f>IFERROR(__xludf.DUMMYFUNCTION("""COMPUTED_VALUE"""),103.0)</f>
        <v>103</v>
      </c>
      <c r="G842" s="1">
        <f t="shared" si="1"/>
        <v>1</v>
      </c>
      <c r="H842" s="1">
        <f t="shared" si="2"/>
        <v>0.37</v>
      </c>
      <c r="I842" s="1">
        <f>IFERROR(__xludf.DUMMYFUNCTION("IF(B842="""","""",
  100*F842 / MAX(FILTER($F:$F, $A:$A=$A842, $B:$B=$B842))
)
"),25.558312655086848)</f>
        <v>25.55831266</v>
      </c>
      <c r="J842" s="1">
        <f>IFERROR(__xludf.DUMMYFUNCTION("IF(B842="""","""",
  100*E842 / MAX(FILTER($E:$E, $A:$A=$A842, $B:$B=$B842))
)
"),13.509393831974476)</f>
        <v>13.50939383</v>
      </c>
      <c r="K842" s="1">
        <f t="shared" si="3"/>
        <v>20.13629918</v>
      </c>
    </row>
    <row r="843">
      <c r="A843" s="3">
        <f>IFERROR(__xludf.DUMMYFUNCTION("""COMPUTED_VALUE"""),45992.0)</f>
        <v>45992</v>
      </c>
      <c r="B843" s="1" t="str">
        <f>IFERROR(__xludf.DUMMYFUNCTION("""COMPUTED_VALUE"""),"HospAlmoa")</f>
        <v>HospAlmoa</v>
      </c>
      <c r="C843" s="1" t="str">
        <f>IFERROR(__xludf.DUMMYFUNCTION("""COMPUTED_VALUE"""),"Doritos cool ranc")</f>
        <v>Doritos cool ranc</v>
      </c>
      <c r="D843" s="1">
        <f>IFERROR(__xludf.DUMMYFUNCTION("""COMPUTED_VALUE"""),370.0)</f>
        <v>370</v>
      </c>
      <c r="E843" s="1">
        <f>IFERROR(__xludf.DUMMYFUNCTION("""COMPUTED_VALUE"""),162.8)</f>
        <v>162.8</v>
      </c>
      <c r="F843" s="1">
        <f>IFERROR(__xludf.DUMMYFUNCTION("""COMPUTED_VALUE"""),74.0)</f>
        <v>74</v>
      </c>
      <c r="G843" s="1">
        <f t="shared" si="1"/>
        <v>5</v>
      </c>
      <c r="H843" s="1">
        <f t="shared" si="2"/>
        <v>2.2</v>
      </c>
      <c r="I843" s="1">
        <f>IFERROR(__xludf.DUMMYFUNCTION("IF(B843="""","""",
  100*F843 / MAX(FILTER($F:$F, $A:$A=$A843, $B:$B=$B843))
)
"),18.36228287841191)</f>
        <v>18.36228288</v>
      </c>
      <c r="J843" s="1">
        <f>IFERROR(__xludf.DUMMYFUNCTION("IF(B843="""","""",
  100*E843 / MAX(FILTER($E:$E, $A:$A=$A843, $B:$B=$B843))
)
"),57.710031903580294)</f>
        <v>57.7100319</v>
      </c>
      <c r="K843" s="1">
        <f t="shared" si="3"/>
        <v>36.06876994</v>
      </c>
    </row>
    <row r="844">
      <c r="A844" s="3">
        <f>IFERROR(__xludf.DUMMYFUNCTION("""COMPUTED_VALUE"""),45992.0)</f>
        <v>45992</v>
      </c>
      <c r="B844" s="1" t="str">
        <f>IFERROR(__xludf.DUMMYFUNCTION("""COMPUTED_VALUE"""),"HospAlmoa")</f>
        <v>HospAlmoa</v>
      </c>
      <c r="C844" s="1" t="str">
        <f>IFERROR(__xludf.DUMMYFUNCTION("""COMPUTED_VALUE"""),"Doritos real")</f>
        <v>Doritos real</v>
      </c>
      <c r="D844" s="1">
        <f>IFERROR(__xludf.DUMMYFUNCTION("""COMPUTED_VALUE"""),82.0)</f>
        <v>82</v>
      </c>
      <c r="E844" s="1">
        <f>IFERROR(__xludf.DUMMYFUNCTION("""COMPUTED_VALUE"""),4.0)</f>
        <v>4</v>
      </c>
      <c r="F844" s="1">
        <f>IFERROR(__xludf.DUMMYFUNCTION("""COMPUTED_VALUE"""),13.0)</f>
        <v>13</v>
      </c>
      <c r="G844" s="1">
        <f t="shared" si="1"/>
        <v>6.307692308</v>
      </c>
      <c r="H844" s="1">
        <f t="shared" si="2"/>
        <v>0.3076923077</v>
      </c>
      <c r="I844" s="1">
        <f>IFERROR(__xludf.DUMMYFUNCTION("IF(B844="""","""",
  100*F844 / MAX(FILTER($F:$F, $A:$A=$A844, $B:$B=$B844))
)
"),3.225806451612903)</f>
        <v>3.225806452</v>
      </c>
      <c r="J844" s="1">
        <f>IFERROR(__xludf.DUMMYFUNCTION("IF(B844="""","""",
  100*E844 / MAX(FILTER($E:$E, $A:$A=$A844, $B:$B=$B844))
)
"),1.4179369018078694)</f>
        <v>1.417936902</v>
      </c>
      <c r="K844" s="1">
        <f t="shared" si="3"/>
        <v>2.412265154</v>
      </c>
    </row>
    <row r="845">
      <c r="A845" s="3">
        <f>IFERROR(__xludf.DUMMYFUNCTION("""COMPUTED_VALUE"""),45992.0)</f>
        <v>45992</v>
      </c>
      <c r="B845" s="1" t="str">
        <f>IFERROR(__xludf.DUMMYFUNCTION("""COMPUTED_VALUE"""),"HospAlmoa")</f>
        <v>HospAlmoa</v>
      </c>
      <c r="C845" s="1" t="str">
        <f>IFERROR(__xludf.DUMMYFUNCTION("""COMPUTED_VALUE"""),"Indomie")</f>
        <v>Indomie</v>
      </c>
      <c r="D845" s="1">
        <f>IFERROR(__xludf.DUMMYFUNCTION("""COMPUTED_VALUE"""),100.0)</f>
        <v>100</v>
      </c>
      <c r="E845" s="1">
        <f>IFERROR(__xludf.DUMMYFUNCTION("""COMPUTED_VALUE"""),43.4)</f>
        <v>43.4</v>
      </c>
      <c r="F845" s="1">
        <f>IFERROR(__xludf.DUMMYFUNCTION("""COMPUTED_VALUE"""),20.0)</f>
        <v>20</v>
      </c>
      <c r="G845" s="1">
        <f t="shared" si="1"/>
        <v>5</v>
      </c>
      <c r="H845" s="1">
        <f t="shared" si="2"/>
        <v>2.17</v>
      </c>
      <c r="I845" s="1">
        <f>IFERROR(__xludf.DUMMYFUNCTION("IF(B845="""","""",
  100*F845 / MAX(FILTER($F:$F, $A:$A=$A845, $B:$B=$B845))
)
"),4.962779156327543)</f>
        <v>4.962779156</v>
      </c>
      <c r="J845" s="1">
        <f>IFERROR(__xludf.DUMMYFUNCTION("IF(B845="""","""",
  100*E845 / MAX(FILTER($E:$E, $A:$A=$A845, $B:$B=$B845))
)
"),15.384615384615383)</f>
        <v>15.38461538</v>
      </c>
      <c r="K845" s="1">
        <f t="shared" si="3"/>
        <v>9.652605459</v>
      </c>
    </row>
    <row r="846">
      <c r="A846" s="3">
        <f>IFERROR(__xludf.DUMMYFUNCTION("""COMPUTED_VALUE"""),45992.0)</f>
        <v>45992</v>
      </c>
      <c r="B846" s="1" t="str">
        <f>IFERROR(__xludf.DUMMYFUNCTION("""COMPUTED_VALUE"""),"HospAlmoa")</f>
        <v>HospAlmoa</v>
      </c>
      <c r="C846" s="1" t="str">
        <f>IFERROR(__xludf.DUMMYFUNCTION("""COMPUTED_VALUE"""),"Kinder Bueno")</f>
        <v>Kinder Bueno</v>
      </c>
      <c r="D846" s="1">
        <f>IFERROR(__xludf.DUMMYFUNCTION("""COMPUTED_VALUE"""),475.0)</f>
        <v>475</v>
      </c>
      <c r="E846" s="1">
        <f>IFERROR(__xludf.DUMMYFUNCTION("""COMPUTED_VALUE"""),69.0)</f>
        <v>69</v>
      </c>
      <c r="F846" s="1">
        <f>IFERROR(__xludf.DUMMYFUNCTION("""COMPUTED_VALUE"""),70.0)</f>
        <v>70</v>
      </c>
      <c r="G846" s="1">
        <f t="shared" si="1"/>
        <v>6.785714286</v>
      </c>
      <c r="H846" s="1">
        <f t="shared" si="2"/>
        <v>0.9857142857</v>
      </c>
      <c r="I846" s="1">
        <f>IFERROR(__xludf.DUMMYFUNCTION("IF(B846="""","""",
  100*F846 / MAX(FILTER($F:$F, $A:$A=$A846, $B:$B=$B846))
)
"),17.3697270471464)</f>
        <v>17.36972705</v>
      </c>
      <c r="J846" s="1">
        <f>IFERROR(__xludf.DUMMYFUNCTION("IF(B846="""","""",
  100*E846 / MAX(FILTER($E:$E, $A:$A=$A846, $B:$B=$B846))
)
"),24.45941155618575)</f>
        <v>24.45941156</v>
      </c>
      <c r="K846" s="1">
        <f t="shared" si="3"/>
        <v>20.56008508</v>
      </c>
    </row>
    <row r="847">
      <c r="A847" s="3">
        <f>IFERROR(__xludf.DUMMYFUNCTION("""COMPUTED_VALUE"""),45992.0)</f>
        <v>45992</v>
      </c>
      <c r="B847" s="1" t="str">
        <f>IFERROR(__xludf.DUMMYFUNCTION("""COMPUTED_VALUE"""),"HospAlmoa")</f>
        <v>HospAlmoa</v>
      </c>
      <c r="C847" s="1" t="str">
        <f>IFERROR(__xludf.DUMMYFUNCTION("""COMPUTED_VALUE"""),"Kinder bueno1stick")</f>
        <v>Kinder bueno1stick</v>
      </c>
      <c r="D847" s="1">
        <f>IFERROR(__xludf.DUMMYFUNCTION("""COMPUTED_VALUE"""),140.0)</f>
        <v>140</v>
      </c>
      <c r="E847" s="1">
        <f>IFERROR(__xludf.DUMMYFUNCTION("""COMPUTED_VALUE"""),20.0)</f>
        <v>20</v>
      </c>
      <c r="F847" s="1">
        <f>IFERROR(__xludf.DUMMYFUNCTION("""COMPUTED_VALUE"""),40.0)</f>
        <v>40</v>
      </c>
      <c r="G847" s="1">
        <f t="shared" si="1"/>
        <v>3.5</v>
      </c>
      <c r="H847" s="1">
        <f t="shared" si="2"/>
        <v>0.5</v>
      </c>
      <c r="I847" s="1">
        <f>IFERROR(__xludf.DUMMYFUNCTION("IF(B847="""","""",
  100*F847 / MAX(FILTER($F:$F, $A:$A=$A847, $B:$B=$B847))
)
"),9.925558312655086)</f>
        <v>9.925558313</v>
      </c>
      <c r="J847" s="1">
        <f>IFERROR(__xludf.DUMMYFUNCTION("IF(B847="""","""",
  100*E847 / MAX(FILTER($E:$E, $A:$A=$A847, $B:$B=$B847))
)
"),7.089684509039347)</f>
        <v>7.089684509</v>
      </c>
      <c r="K847" s="1">
        <f t="shared" si="3"/>
        <v>8.649415101</v>
      </c>
    </row>
    <row r="848">
      <c r="A848" s="3">
        <f>IFERROR(__xludf.DUMMYFUNCTION("""COMPUTED_VALUE"""),45992.0)</f>
        <v>45992</v>
      </c>
      <c r="B848" s="1" t="str">
        <f>IFERROR(__xludf.DUMMYFUNCTION("""COMPUTED_VALUE"""),"HospAlmoa")</f>
        <v>HospAlmoa</v>
      </c>
      <c r="C848" s="1" t="str">
        <f>IFERROR(__xludf.DUMMYFUNCTION("""COMPUTED_VALUE"""),"Kunuz Juice")</f>
        <v>Kunuz Juice</v>
      </c>
      <c r="D848" s="1">
        <f>IFERROR(__xludf.DUMMYFUNCTION("""COMPUTED_VALUE"""),44.0)</f>
        <v>44</v>
      </c>
      <c r="E848" s="1">
        <f>IFERROR(__xludf.DUMMYFUNCTION("""COMPUTED_VALUE"""),22.0)</f>
        <v>22</v>
      </c>
      <c r="F848" s="1">
        <f>IFERROR(__xludf.DUMMYFUNCTION("""COMPUTED_VALUE"""),11.0)</f>
        <v>11</v>
      </c>
      <c r="G848" s="1">
        <f t="shared" si="1"/>
        <v>4</v>
      </c>
      <c r="H848" s="1">
        <f t="shared" si="2"/>
        <v>2</v>
      </c>
      <c r="I848" s="1">
        <f>IFERROR(__xludf.DUMMYFUNCTION("IF(B848="""","""",
  100*F848 / MAX(FILTER($F:$F, $A:$A=$A848, $B:$B=$B848))
)
"),2.729528535980149)</f>
        <v>2.729528536</v>
      </c>
      <c r="J848" s="1">
        <f>IFERROR(__xludf.DUMMYFUNCTION("IF(B848="""","""",
  100*E848 / MAX(FILTER($E:$E, $A:$A=$A848, $B:$B=$B848))
)
"),7.798652959943282)</f>
        <v>7.79865296</v>
      </c>
      <c r="K848" s="1">
        <f t="shared" si="3"/>
        <v>5.010634527</v>
      </c>
    </row>
    <row r="849">
      <c r="A849" s="3">
        <f>IFERROR(__xludf.DUMMYFUNCTION("""COMPUTED_VALUE"""),45992.0)</f>
        <v>45992</v>
      </c>
      <c r="B849" s="1" t="str">
        <f>IFERROR(__xludf.DUMMYFUNCTION("""COMPUTED_VALUE"""),"HospAlmoa")</f>
        <v>HospAlmoa</v>
      </c>
      <c r="C849" s="1" t="str">
        <f>IFERROR(__xludf.DUMMYFUNCTION("""COMPUTED_VALUE"""),"Laviva")</f>
        <v>Laviva</v>
      </c>
      <c r="D849" s="1">
        <f>IFERROR(__xludf.DUMMYFUNCTION("""COMPUTED_VALUE"""),237.0)</f>
        <v>237</v>
      </c>
      <c r="E849" s="1">
        <f>IFERROR(__xludf.DUMMYFUNCTION("""COMPUTED_VALUE"""),63.2)</f>
        <v>63.2</v>
      </c>
      <c r="F849" s="1">
        <f>IFERROR(__xludf.DUMMYFUNCTION("""COMPUTED_VALUE"""),79.0)</f>
        <v>79</v>
      </c>
      <c r="G849" s="1">
        <f t="shared" si="1"/>
        <v>3</v>
      </c>
      <c r="H849" s="1">
        <f t="shared" si="2"/>
        <v>0.8</v>
      </c>
      <c r="I849" s="1">
        <f>IFERROR(__xludf.DUMMYFUNCTION("IF(B849="""","""",
  100*F849 / MAX(FILTER($F:$F, $A:$A=$A849, $B:$B=$B849))
)
"),19.602977667493796)</f>
        <v>19.60297767</v>
      </c>
      <c r="J849" s="1">
        <f>IFERROR(__xludf.DUMMYFUNCTION("IF(B849="""","""",
  100*E849 / MAX(FILTER($E:$E, $A:$A=$A849, $B:$B=$B849))
)
"),22.403403048564336)</f>
        <v>22.40340305</v>
      </c>
      <c r="K849" s="1">
        <f t="shared" si="3"/>
        <v>20.86316909</v>
      </c>
    </row>
    <row r="850">
      <c r="A850" s="3">
        <f>IFERROR(__xludf.DUMMYFUNCTION("""COMPUTED_VALUE"""),45992.0)</f>
        <v>45992</v>
      </c>
      <c r="B850" s="1" t="str">
        <f>IFERROR(__xludf.DUMMYFUNCTION("""COMPUTED_VALUE"""),"HospAlmoa")</f>
        <v>HospAlmoa</v>
      </c>
      <c r="C850" s="1" t="str">
        <f>IFERROR(__xludf.DUMMYFUNCTION("""COMPUTED_VALUE"""),"Lovita cookies")</f>
        <v>Lovita cookies</v>
      </c>
      <c r="D850" s="1">
        <f>IFERROR(__xludf.DUMMYFUNCTION("""COMPUTED_VALUE"""),15.0)</f>
        <v>15</v>
      </c>
      <c r="E850" s="1">
        <f>IFERROR(__xludf.DUMMYFUNCTION("""COMPUTED_VALUE"""),-0.54)</f>
        <v>-0.54</v>
      </c>
      <c r="F850" s="1">
        <f>IFERROR(__xludf.DUMMYFUNCTION("""COMPUTED_VALUE"""),3.0)</f>
        <v>3</v>
      </c>
      <c r="G850" s="1">
        <f t="shared" si="1"/>
        <v>5</v>
      </c>
      <c r="H850" s="1">
        <f t="shared" si="2"/>
        <v>-0.18</v>
      </c>
      <c r="I850" s="1">
        <f>IFERROR(__xludf.DUMMYFUNCTION("IF(B850="""","""",
  100*F850 / MAX(FILTER($F:$F, $A:$A=$A850, $B:$B=$B850))
)
"),0.7444168734491315)</f>
        <v>0.7444168734</v>
      </c>
      <c r="J850" s="1">
        <f>IFERROR(__xludf.DUMMYFUNCTION("IF(B850="""","""",
  100*E850 / MAX(FILTER($E:$E, $A:$A=$A850, $B:$B=$B850))
)
"),-0.19142148174406237)</f>
        <v>-0.1914214817</v>
      </c>
      <c r="K850" s="1">
        <f t="shared" si="3"/>
        <v>0.3232896136</v>
      </c>
    </row>
    <row r="851">
      <c r="A851" s="3">
        <f>IFERROR(__xludf.DUMMYFUNCTION("""COMPUTED_VALUE"""),45992.0)</f>
        <v>45992</v>
      </c>
      <c r="B851" s="1" t="str">
        <f>IFERROR(__xludf.DUMMYFUNCTION("""COMPUTED_VALUE"""),"HospAlmoa")</f>
        <v>HospAlmoa</v>
      </c>
      <c r="C851" s="1" t="str">
        <f>IFERROR(__xludf.DUMMYFUNCTION("""COMPUTED_VALUE"""),"Maltesers")</f>
        <v>Maltesers</v>
      </c>
      <c r="D851" s="1">
        <f>IFERROR(__xludf.DUMMYFUNCTION("""COMPUTED_VALUE"""),61.0)</f>
        <v>61</v>
      </c>
      <c r="E851" s="1">
        <f>IFERROR(__xludf.DUMMYFUNCTION("""COMPUTED_VALUE"""),5.2)</f>
        <v>5.2</v>
      </c>
      <c r="F851" s="1">
        <f>IFERROR(__xludf.DUMMYFUNCTION("""COMPUTED_VALUE"""),9.0)</f>
        <v>9</v>
      </c>
      <c r="G851" s="1">
        <f t="shared" si="1"/>
        <v>6.777777778</v>
      </c>
      <c r="H851" s="1">
        <f t="shared" si="2"/>
        <v>0.5777777778</v>
      </c>
      <c r="I851" s="1">
        <f>IFERROR(__xludf.DUMMYFUNCTION("IF(B851="""","""",
  100*F851 / MAX(FILTER($F:$F, $A:$A=$A851, $B:$B=$B851))
)
"),2.2332506203473947)</f>
        <v>2.23325062</v>
      </c>
      <c r="J851" s="1">
        <f>IFERROR(__xludf.DUMMYFUNCTION("IF(B851="""","""",
  100*E851 / MAX(FILTER($E:$E, $A:$A=$A851, $B:$B=$B851))
)
"),1.8433179723502302)</f>
        <v>1.843317972</v>
      </c>
      <c r="K851" s="1">
        <f t="shared" si="3"/>
        <v>2.057780929</v>
      </c>
    </row>
    <row r="852">
      <c r="A852" s="3">
        <f>IFERROR(__xludf.DUMMYFUNCTION("""COMPUTED_VALUE"""),45992.0)</f>
        <v>45992</v>
      </c>
      <c r="B852" s="1" t="str">
        <f>IFERROR(__xludf.DUMMYFUNCTION("""COMPUTED_VALUE"""),"HospAlmoa")</f>
        <v>HospAlmoa</v>
      </c>
      <c r="C852" s="1" t="str">
        <f>IFERROR(__xludf.DUMMYFUNCTION("""COMPUTED_VALUE"""),"Mars")</f>
        <v>Mars</v>
      </c>
      <c r="D852" s="1">
        <f>IFERROR(__xludf.DUMMYFUNCTION("""COMPUTED_VALUE"""),6.0)</f>
        <v>6</v>
      </c>
      <c r="E852" s="1">
        <f>IFERROR(__xludf.DUMMYFUNCTION("""COMPUTED_VALUE"""),2.4)</f>
        <v>2.4</v>
      </c>
      <c r="F852" s="1">
        <f>IFERROR(__xludf.DUMMYFUNCTION("""COMPUTED_VALUE"""),1.0)</f>
        <v>1</v>
      </c>
      <c r="G852" s="1">
        <f t="shared" si="1"/>
        <v>6</v>
      </c>
      <c r="H852" s="1">
        <f t="shared" si="2"/>
        <v>2.4</v>
      </c>
      <c r="I852" s="1">
        <f>IFERROR(__xludf.DUMMYFUNCTION("IF(B852="""","""",
  100*F852 / MAX(FILTER($F:$F, $A:$A=$A852, $B:$B=$B852))
)
"),0.24813895781637718)</f>
        <v>0.2481389578</v>
      </c>
      <c r="J852" s="1">
        <f>IFERROR(__xludf.DUMMYFUNCTION("IF(B852="""","""",
  100*E852 / MAX(FILTER($E:$E, $A:$A=$A852, $B:$B=$B852))
)
"),0.8507621410847217)</f>
        <v>0.8507621411</v>
      </c>
      <c r="K852" s="1">
        <f t="shared" si="3"/>
        <v>0.5193193903</v>
      </c>
    </row>
    <row r="853">
      <c r="A853" s="3">
        <f>IFERROR(__xludf.DUMMYFUNCTION("""COMPUTED_VALUE"""),45992.0)</f>
        <v>45992</v>
      </c>
      <c r="B853" s="1" t="str">
        <f>IFERROR(__xludf.DUMMYFUNCTION("""COMPUTED_VALUE"""),"HospAlmoa")</f>
        <v>HospAlmoa</v>
      </c>
      <c r="C853" s="1" t="str">
        <f>IFERROR(__xludf.DUMMYFUNCTION("""COMPUTED_VALUE"""),"Mirinda")</f>
        <v>Mirinda</v>
      </c>
      <c r="D853" s="1">
        <f>IFERROR(__xludf.DUMMYFUNCTION("""COMPUTED_VALUE"""),78.0)</f>
        <v>78</v>
      </c>
      <c r="E853" s="1">
        <f>IFERROR(__xludf.DUMMYFUNCTION("""COMPUTED_VALUE"""),19.5)</f>
        <v>19.5</v>
      </c>
      <c r="F853" s="1">
        <f>IFERROR(__xludf.DUMMYFUNCTION("""COMPUTED_VALUE"""),26.0)</f>
        <v>26</v>
      </c>
      <c r="G853" s="1">
        <f t="shared" si="1"/>
        <v>3</v>
      </c>
      <c r="H853" s="1">
        <f t="shared" si="2"/>
        <v>0.75</v>
      </c>
      <c r="I853" s="1">
        <f>IFERROR(__xludf.DUMMYFUNCTION("IF(B853="""","""",
  100*F853 / MAX(FILTER($F:$F, $A:$A=$A853, $B:$B=$B853))
)
"),6.451612903225806)</f>
        <v>6.451612903</v>
      </c>
      <c r="J853" s="1">
        <f>IFERROR(__xludf.DUMMYFUNCTION("IF(B853="""","""",
  100*E853 / MAX(FILTER($E:$E, $A:$A=$A853, $B:$B=$B853))
)
"),6.912442396313364)</f>
        <v>6.912442396</v>
      </c>
      <c r="K853" s="1">
        <f t="shared" si="3"/>
        <v>6.658986175</v>
      </c>
    </row>
    <row r="854">
      <c r="A854" s="3">
        <f>IFERROR(__xludf.DUMMYFUNCTION("""COMPUTED_VALUE"""),45992.0)</f>
        <v>45992</v>
      </c>
      <c r="B854" s="1" t="str">
        <f>IFERROR(__xludf.DUMMYFUNCTION("""COMPUTED_VALUE"""),"HospAlmoa")</f>
        <v>HospAlmoa</v>
      </c>
      <c r="C854" s="1" t="str">
        <f>IFERROR(__xludf.DUMMYFUNCTION("""COMPUTED_VALUE"""),"MrCrunch")</f>
        <v>MrCrunch</v>
      </c>
      <c r="D854" s="1">
        <f>IFERROR(__xludf.DUMMYFUNCTION("""COMPUTED_VALUE"""),50.0)</f>
        <v>50</v>
      </c>
      <c r="E854" s="1">
        <f>IFERROR(__xludf.DUMMYFUNCTION("""COMPUTED_VALUE"""),26.7)</f>
        <v>26.7</v>
      </c>
      <c r="F854" s="1">
        <f>IFERROR(__xludf.DUMMYFUNCTION("""COMPUTED_VALUE"""),10.0)</f>
        <v>10</v>
      </c>
      <c r="G854" s="1">
        <f t="shared" si="1"/>
        <v>5</v>
      </c>
      <c r="H854" s="1">
        <f t="shared" si="2"/>
        <v>2.67</v>
      </c>
      <c r="I854" s="1">
        <f>IFERROR(__xludf.DUMMYFUNCTION("IF(B854="""","""",
  100*F854 / MAX(FILTER($F:$F, $A:$A=$A854, $B:$B=$B854))
)
"),2.4813895781637716)</f>
        <v>2.481389578</v>
      </c>
      <c r="J854" s="1">
        <f>IFERROR(__xludf.DUMMYFUNCTION("IF(B854="""","""",
  100*E854 / MAX(FILTER($E:$E, $A:$A=$A854, $B:$B=$B854))
)
"),9.464728819567528)</f>
        <v>9.46472882</v>
      </c>
      <c r="K854" s="1">
        <f t="shared" si="3"/>
        <v>5.623892237</v>
      </c>
    </row>
    <row r="855">
      <c r="A855" s="3">
        <f>IFERROR(__xludf.DUMMYFUNCTION("""COMPUTED_VALUE"""),45992.0)</f>
        <v>45992</v>
      </c>
      <c r="B855" s="1" t="str">
        <f>IFERROR(__xludf.DUMMYFUNCTION("""COMPUTED_VALUE"""),"HospAlmoa")</f>
        <v>HospAlmoa</v>
      </c>
      <c r="C855" s="1" t="str">
        <f>IFERROR(__xludf.DUMMYFUNCTION("""COMPUTED_VALUE"""),"MrCrunch Normal")</f>
        <v>MrCrunch Normal</v>
      </c>
      <c r="D855" s="1">
        <f>IFERROR(__xludf.DUMMYFUNCTION("""COMPUTED_VALUE"""),30.0)</f>
        <v>30</v>
      </c>
      <c r="E855" s="1">
        <f>IFERROR(__xludf.DUMMYFUNCTION("""COMPUTED_VALUE"""),17.7)</f>
        <v>17.7</v>
      </c>
      <c r="F855" s="1">
        <f>IFERROR(__xludf.DUMMYFUNCTION("""COMPUTED_VALUE"""),6.0)</f>
        <v>6</v>
      </c>
      <c r="G855" s="1">
        <f t="shared" si="1"/>
        <v>5</v>
      </c>
      <c r="H855" s="1">
        <f t="shared" si="2"/>
        <v>2.95</v>
      </c>
      <c r="I855" s="1">
        <f>IFERROR(__xludf.DUMMYFUNCTION("IF(B855="""","""",
  100*F855 / MAX(FILTER($F:$F, $A:$A=$A855, $B:$B=$B855))
)
"),1.488833746898263)</f>
        <v>1.488833747</v>
      </c>
      <c r="J855" s="1">
        <f>IFERROR(__xludf.DUMMYFUNCTION("IF(B855="""","""",
  100*E855 / MAX(FILTER($E:$E, $A:$A=$A855, $B:$B=$B855))
)
"),6.274370790499822)</f>
        <v>6.27437079</v>
      </c>
      <c r="K855" s="1">
        <f t="shared" si="3"/>
        <v>3.642325417</v>
      </c>
    </row>
    <row r="856">
      <c r="A856" s="3">
        <f>IFERROR(__xludf.DUMMYFUNCTION("""COMPUTED_VALUE"""),45992.0)</f>
        <v>45992</v>
      </c>
      <c r="B856" s="1" t="str">
        <f>IFERROR(__xludf.DUMMYFUNCTION("""COMPUTED_VALUE"""),"HospAlmoa")</f>
        <v>HospAlmoa</v>
      </c>
      <c r="C856" s="1" t="str">
        <f>IFERROR(__xludf.DUMMYFUNCTION("""COMPUTED_VALUE"""),"MrCrunch-RingGo")</f>
        <v>MrCrunch-RingGo</v>
      </c>
      <c r="D856" s="1">
        <f>IFERROR(__xludf.DUMMYFUNCTION("""COMPUTED_VALUE"""),70.0)</f>
        <v>70</v>
      </c>
      <c r="E856" s="1">
        <f>IFERROR(__xludf.DUMMYFUNCTION("""COMPUTED_VALUE"""),47.6)</f>
        <v>47.6</v>
      </c>
      <c r="F856" s="1">
        <f>IFERROR(__xludf.DUMMYFUNCTION("""COMPUTED_VALUE"""),14.0)</f>
        <v>14</v>
      </c>
      <c r="G856" s="1">
        <f t="shared" si="1"/>
        <v>5</v>
      </c>
      <c r="H856" s="1">
        <f t="shared" si="2"/>
        <v>3.4</v>
      </c>
      <c r="I856" s="1">
        <f>IFERROR(__xludf.DUMMYFUNCTION("IF(B856="""","""",
  100*F856 / MAX(FILTER($F:$F, $A:$A=$A856, $B:$B=$B856))
)
"),3.4739454094292803)</f>
        <v>3.473945409</v>
      </c>
      <c r="J856" s="1">
        <f>IFERROR(__xludf.DUMMYFUNCTION("IF(B856="""","""",
  100*E856 / MAX(FILTER($E:$E, $A:$A=$A856, $B:$B=$B856))
)
"),16.873449131513645)</f>
        <v>16.87344913</v>
      </c>
      <c r="K856" s="1">
        <f t="shared" si="3"/>
        <v>9.503722084</v>
      </c>
    </row>
    <row r="857">
      <c r="A857" s="3">
        <f>IFERROR(__xludf.DUMMYFUNCTION("""COMPUTED_VALUE"""),45992.0)</f>
        <v>45992</v>
      </c>
      <c r="B857" s="1" t="str">
        <f>IFERROR(__xludf.DUMMYFUNCTION("""COMPUTED_VALUE"""),"HospAlmoa")</f>
        <v>HospAlmoa</v>
      </c>
      <c r="C857" s="1" t="str">
        <f>IFERROR(__xludf.DUMMYFUNCTION("""COMPUTED_VALUE"""),"Pepsi")</f>
        <v>Pepsi</v>
      </c>
      <c r="D857" s="1">
        <f>IFERROR(__xludf.DUMMYFUNCTION("""COMPUTED_VALUE"""),192.0)</f>
        <v>192</v>
      </c>
      <c r="E857" s="1">
        <f>IFERROR(__xludf.DUMMYFUNCTION("""COMPUTED_VALUE"""),48.0)</f>
        <v>48</v>
      </c>
      <c r="F857" s="1">
        <f>IFERROR(__xludf.DUMMYFUNCTION("""COMPUTED_VALUE"""),64.0)</f>
        <v>64</v>
      </c>
      <c r="G857" s="1">
        <f t="shared" si="1"/>
        <v>3</v>
      </c>
      <c r="H857" s="1">
        <f t="shared" si="2"/>
        <v>0.75</v>
      </c>
      <c r="I857" s="1">
        <f>IFERROR(__xludf.DUMMYFUNCTION("IF(B857="""","""",
  100*F857 / MAX(FILTER($F:$F, $A:$A=$A857, $B:$B=$B857))
)
"),15.88089330024814)</f>
        <v>15.8808933</v>
      </c>
      <c r="J857" s="1">
        <f>IFERROR(__xludf.DUMMYFUNCTION("IF(B857="""","""",
  100*E857 / MAX(FILTER($E:$E, $A:$A=$A857, $B:$B=$B857))
)
"),17.015242821694432)</f>
        <v>17.01524282</v>
      </c>
      <c r="K857" s="1">
        <f t="shared" si="3"/>
        <v>16.39135058</v>
      </c>
    </row>
    <row r="858">
      <c r="A858" s="3">
        <f>IFERROR(__xludf.DUMMYFUNCTION("""COMPUTED_VALUE"""),45992.0)</f>
        <v>45992</v>
      </c>
      <c r="B858" s="1" t="str">
        <f>IFERROR(__xludf.DUMMYFUNCTION("""COMPUTED_VALUE"""),"HospAlmoa")</f>
        <v>HospAlmoa</v>
      </c>
      <c r="C858" s="1" t="str">
        <f>IFERROR(__xludf.DUMMYFUNCTION("""COMPUTED_VALUE"""),"Pretzels")</f>
        <v>Pretzels</v>
      </c>
      <c r="D858" s="1">
        <f>IFERROR(__xludf.DUMMYFUNCTION("""COMPUTED_VALUE"""),150.0)</f>
        <v>150</v>
      </c>
      <c r="E858" s="1">
        <f>IFERROR(__xludf.DUMMYFUNCTION("""COMPUTED_VALUE"""),52.5)</f>
        <v>52.5</v>
      </c>
      <c r="F858" s="1">
        <f>IFERROR(__xludf.DUMMYFUNCTION("""COMPUTED_VALUE"""),30.0)</f>
        <v>30</v>
      </c>
      <c r="G858" s="1">
        <f t="shared" si="1"/>
        <v>5</v>
      </c>
      <c r="H858" s="1">
        <f t="shared" si="2"/>
        <v>1.75</v>
      </c>
      <c r="I858" s="1">
        <f>IFERROR(__xludf.DUMMYFUNCTION("IF(B858="""","""",
  100*F858 / MAX(FILTER($F:$F, $A:$A=$A858, $B:$B=$B858))
)
"),7.444168734491315)</f>
        <v>7.444168734</v>
      </c>
      <c r="J858" s="1">
        <f>IFERROR(__xludf.DUMMYFUNCTION("IF(B858="""","""",
  100*E858 / MAX(FILTER($E:$E, $A:$A=$A858, $B:$B=$B858))
)
"),18.610421836228287)</f>
        <v>18.61042184</v>
      </c>
      <c r="K858" s="1">
        <f t="shared" si="3"/>
        <v>12.46898263</v>
      </c>
    </row>
    <row r="859">
      <c r="A859" s="3">
        <f>IFERROR(__xludf.DUMMYFUNCTION("""COMPUTED_VALUE"""),45992.0)</f>
        <v>45992</v>
      </c>
      <c r="B859" s="1" t="str">
        <f>IFERROR(__xludf.DUMMYFUNCTION("""COMPUTED_VALUE"""),"HospAlmoa")</f>
        <v>HospAlmoa</v>
      </c>
      <c r="C859" s="1" t="str">
        <f>IFERROR(__xludf.DUMMYFUNCTION("""COMPUTED_VALUE"""),"Rani")</f>
        <v>Rani</v>
      </c>
      <c r="D859" s="1">
        <f>IFERROR(__xludf.DUMMYFUNCTION("""COMPUTED_VALUE"""),60.0)</f>
        <v>60</v>
      </c>
      <c r="E859" s="1">
        <f>IFERROR(__xludf.DUMMYFUNCTION("""COMPUTED_VALUE"""),16.6)</f>
        <v>16.6</v>
      </c>
      <c r="F859" s="1">
        <f>IFERROR(__xludf.DUMMYFUNCTION("""COMPUTED_VALUE"""),20.0)</f>
        <v>20</v>
      </c>
      <c r="G859" s="1">
        <f t="shared" si="1"/>
        <v>3</v>
      </c>
      <c r="H859" s="1">
        <f t="shared" si="2"/>
        <v>0.83</v>
      </c>
      <c r="I859" s="1">
        <f>IFERROR(__xludf.DUMMYFUNCTION("IF(B859="""","""",
  100*F859 / MAX(FILTER($F:$F, $A:$A=$A859, $B:$B=$B859))
)
"),4.962779156327543)</f>
        <v>4.962779156</v>
      </c>
      <c r="J859" s="1">
        <f>IFERROR(__xludf.DUMMYFUNCTION("IF(B859="""","""",
  100*E859 / MAX(FILTER($E:$E, $A:$A=$A859, $B:$B=$B859))
)
"),5.884438142502659)</f>
        <v>5.884438143</v>
      </c>
      <c r="K859" s="1">
        <f t="shared" si="3"/>
        <v>5.3775257</v>
      </c>
    </row>
    <row r="860">
      <c r="A860" s="3">
        <f>IFERROR(__xludf.DUMMYFUNCTION("""COMPUTED_VALUE"""),45992.0)</f>
        <v>45992</v>
      </c>
      <c r="B860" s="1" t="str">
        <f>IFERROR(__xludf.DUMMYFUNCTION("""COMPUTED_VALUE"""),"HospAlmoa")</f>
        <v>HospAlmoa</v>
      </c>
      <c r="C860" s="1" t="str">
        <f>IFERROR(__xludf.DUMMYFUNCTION("""COMPUTED_VALUE"""),"Schweppes")</f>
        <v>Schweppes</v>
      </c>
      <c r="D860" s="1">
        <f>IFERROR(__xludf.DUMMYFUNCTION("""COMPUTED_VALUE"""),90.0)</f>
        <v>90</v>
      </c>
      <c r="E860" s="1">
        <f>IFERROR(__xludf.DUMMYFUNCTION("""COMPUTED_VALUE"""),30.0)</f>
        <v>30</v>
      </c>
      <c r="F860" s="1">
        <f>IFERROR(__xludf.DUMMYFUNCTION("""COMPUTED_VALUE"""),30.0)</f>
        <v>30</v>
      </c>
      <c r="G860" s="1">
        <f t="shared" si="1"/>
        <v>3</v>
      </c>
      <c r="H860" s="1">
        <f t="shared" si="2"/>
        <v>1</v>
      </c>
      <c r="I860" s="1">
        <f>IFERROR(__xludf.DUMMYFUNCTION("IF(B860="""","""",
  100*F860 / MAX(FILTER($F:$F, $A:$A=$A860, $B:$B=$B860))
)
"),7.444168734491315)</f>
        <v>7.444168734</v>
      </c>
      <c r="J860" s="1">
        <f>IFERROR(__xludf.DUMMYFUNCTION("IF(B860="""","""",
  100*E860 / MAX(FILTER($E:$E, $A:$A=$A860, $B:$B=$B860))
)
"),10.634526763559021)</f>
        <v>10.63452676</v>
      </c>
      <c r="K860" s="1">
        <f t="shared" si="3"/>
        <v>8.879829848</v>
      </c>
    </row>
    <row r="861">
      <c r="A861" s="3">
        <f>IFERROR(__xludf.DUMMYFUNCTION("""COMPUTED_VALUE"""),45992.0)</f>
        <v>45992</v>
      </c>
      <c r="B861" s="1" t="str">
        <f>IFERROR(__xludf.DUMMYFUNCTION("""COMPUTED_VALUE"""),"HospAlmoa")</f>
        <v>HospAlmoa</v>
      </c>
      <c r="C861" s="1" t="str">
        <f>IFERROR(__xludf.DUMMYFUNCTION("""COMPUTED_VALUE"""),"Snickers")</f>
        <v>Snickers</v>
      </c>
      <c r="D861" s="1">
        <f>IFERROR(__xludf.DUMMYFUNCTION("""COMPUTED_VALUE"""),196.0)</f>
        <v>196</v>
      </c>
      <c r="E861" s="1">
        <f>IFERROR(__xludf.DUMMYFUNCTION("""COMPUTED_VALUE"""),25.0)</f>
        <v>25</v>
      </c>
      <c r="F861" s="1">
        <f>IFERROR(__xludf.DUMMYFUNCTION("""COMPUTED_VALUE"""),38.0)</f>
        <v>38</v>
      </c>
      <c r="G861" s="1">
        <f t="shared" si="1"/>
        <v>5.157894737</v>
      </c>
      <c r="H861" s="1">
        <f t="shared" si="2"/>
        <v>0.6578947368</v>
      </c>
      <c r="I861" s="1">
        <f>IFERROR(__xludf.DUMMYFUNCTION("IF(B861="""","""",
  100*F861 / MAX(FILTER($F:$F, $A:$A=$A861, $B:$B=$B861))
)
"),9.429280397022332)</f>
        <v>9.429280397</v>
      </c>
      <c r="J861" s="1">
        <f>IFERROR(__xludf.DUMMYFUNCTION("IF(B861="""","""",
  100*E861 / MAX(FILTER($E:$E, $A:$A=$A861, $B:$B=$B861))
)
"),8.862105636299184)</f>
        <v>8.862105636</v>
      </c>
      <c r="K861" s="1">
        <f t="shared" si="3"/>
        <v>9.174051755</v>
      </c>
    </row>
    <row r="862">
      <c r="A862" s="3">
        <f>IFERROR(__xludf.DUMMYFUNCTION("""COMPUTED_VALUE"""),45992.0)</f>
        <v>45992</v>
      </c>
      <c r="B862" s="1" t="str">
        <f>IFERROR(__xludf.DUMMYFUNCTION("""COMPUTED_VALUE"""),"HospAlmoa")</f>
        <v>HospAlmoa</v>
      </c>
      <c r="C862" s="1" t="str">
        <f>IFERROR(__xludf.DUMMYFUNCTION("""COMPUTED_VALUE"""),"Tiger *12")</f>
        <v>Tiger *12</v>
      </c>
      <c r="D862" s="1">
        <f>IFERROR(__xludf.DUMMYFUNCTION("""COMPUTED_VALUE"""),615.0)</f>
        <v>615</v>
      </c>
      <c r="E862" s="1">
        <f>IFERROR(__xludf.DUMMYFUNCTION("""COMPUTED_VALUE"""),236.16)</f>
        <v>236.16</v>
      </c>
      <c r="F862" s="1">
        <f>IFERROR(__xludf.DUMMYFUNCTION("""COMPUTED_VALUE"""),123.0)</f>
        <v>123</v>
      </c>
      <c r="G862" s="1">
        <f t="shared" si="1"/>
        <v>5</v>
      </c>
      <c r="H862" s="1">
        <f t="shared" si="2"/>
        <v>1.92</v>
      </c>
      <c r="I862" s="1">
        <f>IFERROR(__xludf.DUMMYFUNCTION("IF(B862="""","""",
  100*F862 / MAX(FILTER($F:$F, $A:$A=$A862, $B:$B=$B862))
)
"),30.521091811414394)</f>
        <v>30.52109181</v>
      </c>
      <c r="J862" s="1">
        <f>IFERROR(__xludf.DUMMYFUNCTION("IF(B862="""","""",
  100*E862 / MAX(FILTER($E:$E, $A:$A=$A862, $B:$B=$B862))
)
"),83.71499468273662)</f>
        <v>83.71499468</v>
      </c>
      <c r="K862" s="1">
        <f t="shared" si="3"/>
        <v>54.4583481</v>
      </c>
    </row>
    <row r="863">
      <c r="A863" s="3">
        <f>IFERROR(__xludf.DUMMYFUNCTION("""COMPUTED_VALUE"""),45992.0)</f>
        <v>45992</v>
      </c>
      <c r="B863" s="1" t="str">
        <f>IFERROR(__xludf.DUMMYFUNCTION("""COMPUTED_VALUE"""),"HospAlmoa")</f>
        <v>HospAlmoa</v>
      </c>
      <c r="C863" s="1" t="str">
        <f>IFERROR(__xludf.DUMMYFUNCTION("""COMPUTED_VALUE"""),"Twix")</f>
        <v>Twix</v>
      </c>
      <c r="D863" s="1">
        <f>IFERROR(__xludf.DUMMYFUNCTION("""COMPUTED_VALUE"""),66.0)</f>
        <v>66</v>
      </c>
      <c r="E863" s="1">
        <f>IFERROR(__xludf.DUMMYFUNCTION("""COMPUTED_VALUE"""),27.5)</f>
        <v>27.5</v>
      </c>
      <c r="F863" s="1">
        <f>IFERROR(__xludf.DUMMYFUNCTION("""COMPUTED_VALUE"""),11.0)</f>
        <v>11</v>
      </c>
      <c r="G863" s="1">
        <f t="shared" si="1"/>
        <v>6</v>
      </c>
      <c r="H863" s="1">
        <f t="shared" si="2"/>
        <v>2.5</v>
      </c>
      <c r="I863" s="1">
        <f>IFERROR(__xludf.DUMMYFUNCTION("IF(B863="""","""",
  100*F863 / MAX(FILTER($F:$F, $A:$A=$A863, $B:$B=$B863))
)
"),2.729528535980149)</f>
        <v>2.729528536</v>
      </c>
      <c r="J863" s="1">
        <f>IFERROR(__xludf.DUMMYFUNCTION("IF(B863="""","""",
  100*E863 / MAX(FILTER($E:$E, $A:$A=$A863, $B:$B=$B863))
)
"),9.748316199929102)</f>
        <v>9.7483162</v>
      </c>
      <c r="K863" s="1">
        <f t="shared" si="3"/>
        <v>5.887982985</v>
      </c>
    </row>
    <row r="864">
      <c r="A864" s="3">
        <f>IFERROR(__xludf.DUMMYFUNCTION("""COMPUTED_VALUE"""),45992.0)</f>
        <v>45992</v>
      </c>
      <c r="B864" s="1" t="str">
        <f>IFERROR(__xludf.DUMMYFUNCTION("""COMPUTED_VALUE"""),"HospAlmoa")</f>
        <v>HospAlmoa</v>
      </c>
      <c r="C864" s="1" t="str">
        <f>IFERROR(__xludf.DUMMYFUNCTION("""COMPUTED_VALUE"""),"Water")</f>
        <v>Water</v>
      </c>
      <c r="D864" s="1">
        <f>IFERROR(__xludf.DUMMYFUNCTION("""COMPUTED_VALUE"""),403.0)</f>
        <v>403</v>
      </c>
      <c r="E864" s="1">
        <f>IFERROR(__xludf.DUMMYFUNCTION("""COMPUTED_VALUE"""),282.1)</f>
        <v>282.1</v>
      </c>
      <c r="F864" s="1">
        <f>IFERROR(__xludf.DUMMYFUNCTION("""COMPUTED_VALUE"""),403.0)</f>
        <v>403</v>
      </c>
      <c r="G864" s="1">
        <f t="shared" si="1"/>
        <v>1</v>
      </c>
      <c r="H864" s="1">
        <f t="shared" si="2"/>
        <v>0.7</v>
      </c>
      <c r="I864" s="1">
        <f>IFERROR(__xludf.DUMMYFUNCTION("IF(B864="""","""",
  100*F864 / MAX(FILTER($F:$F, $A:$A=$A864, $B:$B=$B864))
)
"),100.0)</f>
        <v>100</v>
      </c>
      <c r="J864" s="1">
        <f>IFERROR(__xludf.DUMMYFUNCTION("IF(B864="""","""",
  100*E864 / MAX(FILTER($E:$E, $A:$A=$A864, $B:$B=$B864))
)
"),100.0)</f>
        <v>100</v>
      </c>
      <c r="K864" s="1">
        <f t="shared" si="3"/>
        <v>100</v>
      </c>
    </row>
    <row r="865">
      <c r="A865" s="3">
        <f>IFERROR(__xludf.DUMMYFUNCTION("""COMPUTED_VALUE"""),45992.0)</f>
        <v>45992</v>
      </c>
      <c r="B865" s="1" t="str">
        <f>IFERROR(__xludf.DUMMYFUNCTION("""COMPUTED_VALUE"""),"HospAlmoa")</f>
        <v>HospAlmoa</v>
      </c>
      <c r="C865" s="1" t="str">
        <f>IFERROR(__xludf.DUMMYFUNCTION("""COMPUTED_VALUE"""),"X!R")</f>
        <v>X!R</v>
      </c>
      <c r="D865" s="1">
        <f>IFERROR(__xludf.DUMMYFUNCTION("""COMPUTED_VALUE"""),430.0)</f>
        <v>430</v>
      </c>
      <c r="E865" s="1">
        <f>IFERROR(__xludf.DUMMYFUNCTION("""COMPUTED_VALUE"""),129.0)</f>
        <v>129</v>
      </c>
      <c r="F865" s="1">
        <f>IFERROR(__xludf.DUMMYFUNCTION("""COMPUTED_VALUE"""),86.0)</f>
        <v>86</v>
      </c>
      <c r="G865" s="1">
        <f t="shared" si="1"/>
        <v>5</v>
      </c>
      <c r="H865" s="1">
        <f t="shared" si="2"/>
        <v>1.5</v>
      </c>
      <c r="I865" s="1">
        <f>IFERROR(__xludf.DUMMYFUNCTION("IF(B865="""","""",
  100*F865 / MAX(FILTER($F:$F, $A:$A=$A865, $B:$B=$B865))
)
"),21.33995037220844)</f>
        <v>21.33995037</v>
      </c>
      <c r="J865" s="1">
        <f>IFERROR(__xludf.DUMMYFUNCTION("IF(B865="""","""",
  100*E865 / MAX(FILTER($E:$E, $A:$A=$A865, $B:$B=$B865))
)
"),45.72846508330379)</f>
        <v>45.72846508</v>
      </c>
      <c r="K865" s="1">
        <f t="shared" si="3"/>
        <v>32.31478199</v>
      </c>
    </row>
    <row r="866">
      <c r="A866" s="3">
        <f>IFERROR(__xludf.DUMMYFUNCTION("""COMPUTED_VALUE"""),45992.0)</f>
        <v>45992</v>
      </c>
      <c r="B866" s="1" t="str">
        <f>IFERROR(__xludf.DUMMYFUNCTION("""COMPUTED_VALUE"""),"HospAlmoa")</f>
        <v>HospAlmoa</v>
      </c>
      <c r="C866" s="1" t="str">
        <f>IFERROR(__xludf.DUMMYFUNCTION("""COMPUTED_VALUE"""),"ex mars")</f>
        <v>ex mars</v>
      </c>
      <c r="D866" s="1">
        <f>IFERROR(__xludf.DUMMYFUNCTION("""COMPUTED_VALUE"""),108.0)</f>
        <v>108</v>
      </c>
      <c r="E866" s="1">
        <f>IFERROR(__xludf.DUMMYFUNCTION("""COMPUTED_VALUE"""),37.8)</f>
        <v>37.8</v>
      </c>
      <c r="F866" s="1">
        <f>IFERROR(__xludf.DUMMYFUNCTION("""COMPUTED_VALUE"""),27.0)</f>
        <v>27</v>
      </c>
      <c r="G866" s="1">
        <f t="shared" si="1"/>
        <v>4</v>
      </c>
      <c r="H866" s="1">
        <f t="shared" si="2"/>
        <v>1.4</v>
      </c>
      <c r="I866" s="1">
        <f>IFERROR(__xludf.DUMMYFUNCTION("IF(B866="""","""",
  100*F866 / MAX(FILTER($F:$F, $A:$A=$A866, $B:$B=$B866))
)
"),6.699751861042183)</f>
        <v>6.699751861</v>
      </c>
      <c r="J866" s="1">
        <f>IFERROR(__xludf.DUMMYFUNCTION("IF(B866="""","""",
  100*E866 / MAX(FILTER($E:$E, $A:$A=$A866, $B:$B=$B866))
)
"),13.399503722084365)</f>
        <v>13.39950372</v>
      </c>
      <c r="K866" s="1">
        <f t="shared" si="3"/>
        <v>9.714640199</v>
      </c>
    </row>
    <row r="867">
      <c r="A867" s="3">
        <f>IFERROR(__xludf.DUMMYFUNCTION("""COMPUTED_VALUE"""),45992.0)</f>
        <v>45992</v>
      </c>
      <c r="B867" s="1" t="str">
        <f>IFERROR(__xludf.DUMMYFUNCTION("""COMPUTED_VALUE"""),"HospAlmoa")</f>
        <v>HospAlmoa</v>
      </c>
      <c r="C867" s="1" t="str">
        <f>IFERROR(__xludf.DUMMYFUNCTION("""COMPUTED_VALUE"""),"koren Indomie")</f>
        <v>koren Indomie</v>
      </c>
      <c r="D867" s="1">
        <f>IFERROR(__xludf.DUMMYFUNCTION("""COMPUTED_VALUE"""),90.0)</f>
        <v>90</v>
      </c>
      <c r="E867" s="1">
        <f>IFERROR(__xludf.DUMMYFUNCTION("""COMPUTED_VALUE"""),13.5)</f>
        <v>13.5</v>
      </c>
      <c r="F867" s="1">
        <f>IFERROR(__xludf.DUMMYFUNCTION("""COMPUTED_VALUE"""),9.0)</f>
        <v>9</v>
      </c>
      <c r="G867" s="1">
        <f t="shared" si="1"/>
        <v>10</v>
      </c>
      <c r="H867" s="1">
        <f t="shared" si="2"/>
        <v>1.5</v>
      </c>
      <c r="I867" s="1">
        <f>IFERROR(__xludf.DUMMYFUNCTION("IF(B867="""","""",
  100*F867 / MAX(FILTER($F:$F, $A:$A=$A867, $B:$B=$B867))
)
"),2.2332506203473947)</f>
        <v>2.23325062</v>
      </c>
      <c r="J867" s="1">
        <f>IFERROR(__xludf.DUMMYFUNCTION("IF(B867="""","""",
  100*E867 / MAX(FILTER($E:$E, $A:$A=$A867, $B:$B=$B867))
)
"),4.785537043601559)</f>
        <v>4.785537044</v>
      </c>
      <c r="K867" s="1">
        <f t="shared" si="3"/>
        <v>3.381779511</v>
      </c>
    </row>
    <row r="868">
      <c r="A868" s="3">
        <f>IFERROR(__xludf.DUMMYFUNCTION("""COMPUTED_VALUE"""),45992.0)</f>
        <v>45992</v>
      </c>
      <c r="B868" s="1" t="str">
        <f>IFERROR(__xludf.DUMMYFUNCTION("""COMPUTED_VALUE"""),"HospAlmoa")</f>
        <v>HospAlmoa</v>
      </c>
      <c r="C868" s="1" t="str">
        <f>IFERROR(__xludf.DUMMYFUNCTION("""COMPUTED_VALUE"""),"mr bite")</f>
        <v>mr bite</v>
      </c>
      <c r="D868" s="1">
        <f>IFERROR(__xludf.DUMMYFUNCTION("""COMPUTED_VALUE"""),398.0)</f>
        <v>398</v>
      </c>
      <c r="E868" s="1">
        <f>IFERROR(__xludf.DUMMYFUNCTION("""COMPUTED_VALUE"""),133.33)</f>
        <v>133.33</v>
      </c>
      <c r="F868" s="1">
        <f>IFERROR(__xludf.DUMMYFUNCTION("""COMPUTED_VALUE"""),199.0)</f>
        <v>199</v>
      </c>
      <c r="G868" s="1">
        <f t="shared" si="1"/>
        <v>2</v>
      </c>
      <c r="H868" s="1">
        <f t="shared" si="2"/>
        <v>0.67</v>
      </c>
      <c r="I868" s="1">
        <f>IFERROR(__xludf.DUMMYFUNCTION("IF(B868="""","""",
  100*F868 / MAX(FILTER($F:$F, $A:$A=$A868, $B:$B=$B868))
)
"),49.37965260545906)</f>
        <v>49.37965261</v>
      </c>
      <c r="J868" s="1">
        <f>IFERROR(__xludf.DUMMYFUNCTION("IF(B868="""","""",
  100*E868 / MAX(FILTER($E:$E, $A:$A=$A868, $B:$B=$B868))
)
"),47.263381779510816)</f>
        <v>47.26338178</v>
      </c>
      <c r="K868" s="1">
        <f t="shared" si="3"/>
        <v>48.42733073</v>
      </c>
    </row>
    <row r="869">
      <c r="A869" s="3">
        <f>IFERROR(__xludf.DUMMYFUNCTION("""COMPUTED_VALUE"""),45992.0)</f>
        <v>45992</v>
      </c>
      <c r="B869" s="1" t="str">
        <f>IFERROR(__xludf.DUMMYFUNCTION("""COMPUTED_VALUE"""),"HospAlmoa")</f>
        <v>HospAlmoa</v>
      </c>
      <c r="C869" s="1" t="str">
        <f>IFERROR(__xludf.DUMMYFUNCTION("""COMPUTED_VALUE"""),"sunTop")</f>
        <v>sunTop</v>
      </c>
      <c r="D869" s="1">
        <f>IFERROR(__xludf.DUMMYFUNCTION("""COMPUTED_VALUE"""),150.0)</f>
        <v>150</v>
      </c>
      <c r="E869" s="1">
        <f>IFERROR(__xludf.DUMMYFUNCTION("""COMPUTED_VALUE"""),60.0)</f>
        <v>60</v>
      </c>
      <c r="F869" s="1">
        <f>IFERROR(__xludf.DUMMYFUNCTION("""COMPUTED_VALUE"""),150.0)</f>
        <v>150</v>
      </c>
      <c r="G869" s="1">
        <f t="shared" si="1"/>
        <v>1</v>
      </c>
      <c r="H869" s="1">
        <f t="shared" si="2"/>
        <v>0.4</v>
      </c>
      <c r="I869" s="1">
        <f>IFERROR(__xludf.DUMMYFUNCTION("IF(B869="""","""",
  100*F869 / MAX(FILTER($F:$F, $A:$A=$A869, $B:$B=$B869))
)
"),37.220843672456574)</f>
        <v>37.22084367</v>
      </c>
      <c r="J869" s="1">
        <f>IFERROR(__xludf.DUMMYFUNCTION("IF(B869="""","""",
  100*E869 / MAX(FILTER($E:$E, $A:$A=$A869, $B:$B=$B869))
)
"),21.269053527118043)</f>
        <v>21.26905353</v>
      </c>
      <c r="K869" s="1">
        <f t="shared" si="3"/>
        <v>30.04253811</v>
      </c>
    </row>
    <row r="870">
      <c r="A870" s="3">
        <f>IFERROR(__xludf.DUMMYFUNCTION("""COMPUTED_VALUE"""),45992.0)</f>
        <v>45992</v>
      </c>
      <c r="B870" s="1" t="str">
        <f>IFERROR(__xludf.DUMMYFUNCTION("""COMPUTED_VALUE"""),"SeaCost")</f>
        <v>SeaCost</v>
      </c>
      <c r="C870" s="1" t="str">
        <f>IFERROR(__xludf.DUMMYFUNCTION("""COMPUTED_VALUE"""),"Almarai Chocolate")</f>
        <v>Almarai Chocolate</v>
      </c>
      <c r="D870" s="1">
        <f>IFERROR(__xludf.DUMMYFUNCTION("""COMPUTED_VALUE"""),102.0)</f>
        <v>102</v>
      </c>
      <c r="E870" s="1">
        <f>IFERROR(__xludf.DUMMYFUNCTION("""COMPUTED_VALUE"""),34.0)</f>
        <v>34</v>
      </c>
      <c r="F870" s="1">
        <f>IFERROR(__xludf.DUMMYFUNCTION("""COMPUTED_VALUE"""),34.0)</f>
        <v>34</v>
      </c>
      <c r="G870" s="1">
        <f t="shared" si="1"/>
        <v>3</v>
      </c>
      <c r="H870" s="1">
        <f t="shared" si="2"/>
        <v>1</v>
      </c>
      <c r="I870" s="1">
        <f>IFERROR(__xludf.DUMMYFUNCTION("IF(B870="""","""",
  100*F870 / MAX(FILTER($F:$F, $A:$A=$A870, $B:$B=$B870))
)
"),12.274368231046932)</f>
        <v>12.27436823</v>
      </c>
      <c r="J870" s="1">
        <f>IFERROR(__xludf.DUMMYFUNCTION("IF(B870="""","""",
  100*E870 / MAX(FILTER($E:$E, $A:$A=$A870, $B:$B=$B870))
)
"),6.351578554081824)</f>
        <v>6.351578554</v>
      </c>
      <c r="K870" s="1">
        <f t="shared" si="3"/>
        <v>9.609112876</v>
      </c>
    </row>
    <row r="871">
      <c r="A871" s="3">
        <f>IFERROR(__xludf.DUMMYFUNCTION("""COMPUTED_VALUE"""),45992.0)</f>
        <v>45992</v>
      </c>
      <c r="B871" s="1" t="str">
        <f>IFERROR(__xludf.DUMMYFUNCTION("""COMPUTED_VALUE"""),"SeaCost")</f>
        <v>SeaCost</v>
      </c>
      <c r="C871" s="1" t="str">
        <f>IFERROR(__xludf.DUMMYFUNCTION("""COMPUTED_VALUE"""),"Almarai Strawberry")</f>
        <v>Almarai Strawberry</v>
      </c>
      <c r="D871" s="1">
        <f>IFERROR(__xludf.DUMMYFUNCTION("""COMPUTED_VALUE"""),117.0)</f>
        <v>117</v>
      </c>
      <c r="E871" s="1">
        <f>IFERROR(__xludf.DUMMYFUNCTION("""COMPUTED_VALUE"""),35.88)</f>
        <v>35.88</v>
      </c>
      <c r="F871" s="1">
        <f>IFERROR(__xludf.DUMMYFUNCTION("""COMPUTED_VALUE"""),39.0)</f>
        <v>39</v>
      </c>
      <c r="G871" s="1">
        <f t="shared" si="1"/>
        <v>3</v>
      </c>
      <c r="H871" s="1">
        <f t="shared" si="2"/>
        <v>0.92</v>
      </c>
      <c r="I871" s="1">
        <f>IFERROR(__xludf.DUMMYFUNCTION("IF(B871="""","""",
  100*F871 / MAX(FILTER($F:$F, $A:$A=$A871, $B:$B=$B871))
)
"),14.07942238267148)</f>
        <v>14.07942238</v>
      </c>
      <c r="J871" s="1">
        <f>IFERROR(__xludf.DUMMYFUNCTION("IF(B871="""","""",
  100*E871 / MAX(FILTER($E:$E, $A:$A=$A871, $B:$B=$B871))
)
"),6.702783485895761)</f>
        <v>6.702783486</v>
      </c>
      <c r="K871" s="1">
        <f t="shared" si="3"/>
        <v>10.75993488</v>
      </c>
    </row>
    <row r="872">
      <c r="A872" s="3">
        <f>IFERROR(__xludf.DUMMYFUNCTION("""COMPUTED_VALUE"""),45992.0)</f>
        <v>45992</v>
      </c>
      <c r="B872" s="1" t="str">
        <f>IFERROR(__xludf.DUMMYFUNCTION("""COMPUTED_VALUE"""),"SeaCost")</f>
        <v>SeaCost</v>
      </c>
      <c r="C872" s="1" t="str">
        <f>IFERROR(__xludf.DUMMYFUNCTION("""COMPUTED_VALUE"""),"Caser Juice")</f>
        <v>Caser Juice</v>
      </c>
      <c r="D872" s="1">
        <f>IFERROR(__xludf.DUMMYFUNCTION("""COMPUTED_VALUE"""),26.0)</f>
        <v>26</v>
      </c>
      <c r="E872" s="1">
        <f>IFERROR(__xludf.DUMMYFUNCTION("""COMPUTED_VALUE"""),1.22)</f>
        <v>1.22</v>
      </c>
      <c r="F872" s="1">
        <f>IFERROR(__xludf.DUMMYFUNCTION("""COMPUTED_VALUE"""),6.0)</f>
        <v>6</v>
      </c>
      <c r="G872" s="1">
        <f t="shared" si="1"/>
        <v>4.333333333</v>
      </c>
      <c r="H872" s="1">
        <f t="shared" si="2"/>
        <v>0.2033333333</v>
      </c>
      <c r="I872" s="1">
        <f>IFERROR(__xludf.DUMMYFUNCTION("IF(B872="""","""",
  100*F872 / MAX(FILTER($F:$F, $A:$A=$A872, $B:$B=$B872))
)
"),2.1660649819494586)</f>
        <v>2.166064982</v>
      </c>
      <c r="J872" s="1">
        <f>IFERROR(__xludf.DUMMYFUNCTION("IF(B872="""","""",
  100*E872 / MAX(FILTER($E:$E, $A:$A=$A872, $B:$B=$B872))
)
"),0.22790958341117132)</f>
        <v>0.2279095834</v>
      </c>
      <c r="K872" s="1">
        <f t="shared" si="3"/>
        <v>1.293895053</v>
      </c>
    </row>
    <row r="873">
      <c r="A873" s="3">
        <f>IFERROR(__xludf.DUMMYFUNCTION("""COMPUTED_VALUE"""),45992.0)</f>
        <v>45992</v>
      </c>
      <c r="B873" s="1" t="str">
        <f>IFERROR(__xludf.DUMMYFUNCTION("""COMPUTED_VALUE"""),"SeaCost")</f>
        <v>SeaCost</v>
      </c>
      <c r="C873" s="1" t="str">
        <f>IFERROR(__xludf.DUMMYFUNCTION("""COMPUTED_VALUE"""),"Chico")</f>
        <v>Chico</v>
      </c>
      <c r="D873" s="1">
        <f>IFERROR(__xludf.DUMMYFUNCTION("""COMPUTED_VALUE"""),15.0)</f>
        <v>15</v>
      </c>
      <c r="E873" s="1">
        <f>IFERROR(__xludf.DUMMYFUNCTION("""COMPUTED_VALUE"""),8.49)</f>
        <v>8.49</v>
      </c>
      <c r="F873" s="1">
        <f>IFERROR(__xludf.DUMMYFUNCTION("""COMPUTED_VALUE"""),3.0)</f>
        <v>3</v>
      </c>
      <c r="G873" s="1">
        <f t="shared" si="1"/>
        <v>5</v>
      </c>
      <c r="H873" s="1">
        <f t="shared" si="2"/>
        <v>2.83</v>
      </c>
      <c r="I873" s="1">
        <f>IFERROR(__xludf.DUMMYFUNCTION("IF(B873="""","""",
  100*F873 / MAX(FILTER($F:$F, $A:$A=$A873, $B:$B=$B873))
)
"),1.0830324909747293)</f>
        <v>1.083032491</v>
      </c>
      <c r="J873" s="1">
        <f>IFERROR(__xludf.DUMMYFUNCTION("IF(B873="""","""",
  100*E873 / MAX(FILTER($E:$E, $A:$A=$A873, $B:$B=$B873))
)
"),1.58602652718102)</f>
        <v>1.586026527</v>
      </c>
      <c r="K873" s="1">
        <f t="shared" si="3"/>
        <v>1.309379807</v>
      </c>
    </row>
    <row r="874">
      <c r="A874" s="3">
        <f>IFERROR(__xludf.DUMMYFUNCTION("""COMPUTED_VALUE"""),45992.0)</f>
        <v>45992</v>
      </c>
      <c r="B874" s="1" t="str">
        <f>IFERROR(__xludf.DUMMYFUNCTION("""COMPUTED_VALUE"""),"SeaCost")</f>
        <v>SeaCost</v>
      </c>
      <c r="C874" s="1" t="str">
        <f>IFERROR(__xludf.DUMMYFUNCTION("""COMPUTED_VALUE"""),"Corissant Karuzo")</f>
        <v>Corissant Karuzo</v>
      </c>
      <c r="D874" s="1">
        <f>IFERROR(__xludf.DUMMYFUNCTION("""COMPUTED_VALUE"""),90.0)</f>
        <v>90</v>
      </c>
      <c r="E874" s="1">
        <f>IFERROR(__xludf.DUMMYFUNCTION("""COMPUTED_VALUE"""),66.06)</f>
        <v>66.06</v>
      </c>
      <c r="F874" s="1">
        <f>IFERROR(__xludf.DUMMYFUNCTION("""COMPUTED_VALUE"""),18.0)</f>
        <v>18</v>
      </c>
      <c r="G874" s="1">
        <f t="shared" si="1"/>
        <v>5</v>
      </c>
      <c r="H874" s="1">
        <f t="shared" si="2"/>
        <v>3.67</v>
      </c>
      <c r="I874" s="1">
        <f>IFERROR(__xludf.DUMMYFUNCTION("IF(B874="""","""",
  100*F874 / MAX(FILTER($F:$F, $A:$A=$A874, $B:$B=$B874))
)
"),6.498194945848375)</f>
        <v>6.498194946</v>
      </c>
      <c r="J874" s="1">
        <f>IFERROR(__xludf.DUMMYFUNCTION("IF(B874="""","""",
  100*E874 / MAX(FILTER($E:$E, $A:$A=$A874, $B:$B=$B874))
)
"),12.340743508313096)</f>
        <v>12.34074351</v>
      </c>
      <c r="K874" s="1">
        <f t="shared" si="3"/>
        <v>9.127341799</v>
      </c>
    </row>
    <row r="875">
      <c r="A875" s="3">
        <f>IFERROR(__xludf.DUMMYFUNCTION("""COMPUTED_VALUE"""),45992.0)</f>
        <v>45992</v>
      </c>
      <c r="B875" s="1" t="str">
        <f>IFERROR(__xludf.DUMMYFUNCTION("""COMPUTED_VALUE"""),"SeaCost")</f>
        <v>SeaCost</v>
      </c>
      <c r="C875" s="1" t="str">
        <f>IFERROR(__xludf.DUMMYFUNCTION("""COMPUTED_VALUE"""),"Dallas juice")</f>
        <v>Dallas juice</v>
      </c>
      <c r="D875" s="1">
        <f>IFERROR(__xludf.DUMMYFUNCTION("""COMPUTED_VALUE"""),297.0)</f>
        <v>297</v>
      </c>
      <c r="E875" s="1">
        <f>IFERROR(__xludf.DUMMYFUNCTION("""COMPUTED_VALUE"""),206.91)</f>
        <v>206.91</v>
      </c>
      <c r="F875" s="1">
        <f>IFERROR(__xludf.DUMMYFUNCTION("""COMPUTED_VALUE"""),99.0)</f>
        <v>99</v>
      </c>
      <c r="G875" s="1">
        <f t="shared" si="1"/>
        <v>3</v>
      </c>
      <c r="H875" s="1">
        <f t="shared" si="2"/>
        <v>2.09</v>
      </c>
      <c r="I875" s="1">
        <f>IFERROR(__xludf.DUMMYFUNCTION("IF(B875="""","""",
  100*F875 / MAX(FILTER($F:$F, $A:$A=$A875, $B:$B=$B875))
)
"),35.74007220216607)</f>
        <v>35.7400722</v>
      </c>
      <c r="J875" s="1">
        <f>IFERROR(__xludf.DUMMYFUNCTION("IF(B875="""","""",
  100*E875 / MAX(FILTER($E:$E, $A:$A=$A875, $B:$B=$B875))
)
"),38.65309172426677)</f>
        <v>38.65309172</v>
      </c>
      <c r="K875" s="1">
        <f t="shared" si="3"/>
        <v>37.05093099</v>
      </c>
    </row>
    <row r="876">
      <c r="A876" s="3">
        <f>IFERROR(__xludf.DUMMYFUNCTION("""COMPUTED_VALUE"""),45992.0)</f>
        <v>45992</v>
      </c>
      <c r="B876" s="1" t="str">
        <f>IFERROR(__xludf.DUMMYFUNCTION("""COMPUTED_VALUE"""),"SeaCost")</f>
        <v>SeaCost</v>
      </c>
      <c r="C876" s="1" t="str">
        <f>IFERROR(__xludf.DUMMYFUNCTION("""COMPUTED_VALUE"""),"Haribo")</f>
        <v>Haribo</v>
      </c>
      <c r="D876" s="1">
        <f>IFERROR(__xludf.DUMMYFUNCTION("""COMPUTED_VALUE"""),135.0)</f>
        <v>135</v>
      </c>
      <c r="E876" s="1">
        <f>IFERROR(__xludf.DUMMYFUNCTION("""COMPUTED_VALUE"""),87.75)</f>
        <v>87.75</v>
      </c>
      <c r="F876" s="1">
        <f>IFERROR(__xludf.DUMMYFUNCTION("""COMPUTED_VALUE"""),27.0)</f>
        <v>27</v>
      </c>
      <c r="G876" s="1">
        <f t="shared" si="1"/>
        <v>5</v>
      </c>
      <c r="H876" s="1">
        <f t="shared" si="2"/>
        <v>3.25</v>
      </c>
      <c r="I876" s="1">
        <f>IFERROR(__xludf.DUMMYFUNCTION("IF(B876="""","""",
  100*F876 / MAX(FILTER($F:$F, $A:$A=$A876, $B:$B=$B876))
)
"),9.747292418772563)</f>
        <v>9.747292419</v>
      </c>
      <c r="J876" s="1">
        <f>IFERROR(__xludf.DUMMYFUNCTION("IF(B876="""","""",
  100*E876 / MAX(FILTER($E:$E, $A:$A=$A876, $B:$B=$B876))
)
"),16.392677003549412)</f>
        <v>16.392677</v>
      </c>
      <c r="K876" s="1">
        <f t="shared" si="3"/>
        <v>12.73771548</v>
      </c>
    </row>
    <row r="877">
      <c r="A877" s="3">
        <f>IFERROR(__xludf.DUMMYFUNCTION("""COMPUTED_VALUE"""),45992.0)</f>
        <v>45992</v>
      </c>
      <c r="B877" s="1" t="str">
        <f>IFERROR(__xludf.DUMMYFUNCTION("""COMPUTED_VALUE"""),"SeaCost")</f>
        <v>SeaCost</v>
      </c>
      <c r="C877" s="1" t="str">
        <f>IFERROR(__xludf.DUMMYFUNCTION("""COMPUTED_VALUE"""),"HiPro")</f>
        <v>HiPro</v>
      </c>
      <c r="D877" s="1">
        <f>IFERROR(__xludf.DUMMYFUNCTION("""COMPUTED_VALUE"""),12.0)</f>
        <v>12</v>
      </c>
      <c r="E877" s="1">
        <f>IFERROR(__xludf.DUMMYFUNCTION("""COMPUTED_VALUE"""),-11.32)</f>
        <v>-11.32</v>
      </c>
      <c r="F877" s="1">
        <f>IFERROR(__xludf.DUMMYFUNCTION("""COMPUTED_VALUE"""),4.0)</f>
        <v>4</v>
      </c>
      <c r="G877" s="1">
        <f t="shared" si="1"/>
        <v>3</v>
      </c>
      <c r="H877" s="1">
        <f t="shared" si="2"/>
        <v>-2.83</v>
      </c>
      <c r="I877" s="1">
        <f>IFERROR(__xludf.DUMMYFUNCTION("IF(B877="""","""",
  100*F877 / MAX(FILTER($F:$F, $A:$A=$A877, $B:$B=$B877))
)
"),1.444043321299639)</f>
        <v>1.444043321</v>
      </c>
      <c r="J877" s="1">
        <f>IFERROR(__xludf.DUMMYFUNCTION("IF(B877="""","""",
  100*E877 / MAX(FILTER($E:$E, $A:$A=$A877, $B:$B=$B877))
)
"),-2.11470203624136)</f>
        <v>-2.114702036</v>
      </c>
      <c r="K877" s="1">
        <f t="shared" si="3"/>
        <v>-0.1573920896</v>
      </c>
    </row>
    <row r="878">
      <c r="A878" s="3">
        <f>IFERROR(__xludf.DUMMYFUNCTION("""COMPUTED_VALUE"""),45992.0)</f>
        <v>45992</v>
      </c>
      <c r="B878" s="1" t="str">
        <f>IFERROR(__xludf.DUMMYFUNCTION("""COMPUTED_VALUE"""),"SeaCost")</f>
        <v>SeaCost</v>
      </c>
      <c r="C878" s="1" t="str">
        <f>IFERROR(__xludf.DUMMYFUNCTION("""COMPUTED_VALUE"""),"Jannaty")</f>
        <v>Jannaty</v>
      </c>
      <c r="D878" s="1">
        <f>IFERROR(__xludf.DUMMYFUNCTION("""COMPUTED_VALUE"""),73.0)</f>
        <v>73</v>
      </c>
      <c r="E878" s="1">
        <f>IFERROR(__xludf.DUMMYFUNCTION("""COMPUTED_VALUE"""),25.75)</f>
        <v>25.75</v>
      </c>
      <c r="F878" s="1">
        <f>IFERROR(__xludf.DUMMYFUNCTION("""COMPUTED_VALUE"""),21.0)</f>
        <v>21</v>
      </c>
      <c r="G878" s="1">
        <f t="shared" si="1"/>
        <v>3.476190476</v>
      </c>
      <c r="H878" s="1">
        <f t="shared" si="2"/>
        <v>1.226190476</v>
      </c>
      <c r="I878" s="1">
        <f>IFERROR(__xludf.DUMMYFUNCTION("IF(B878="""","""",
  100*F878 / MAX(FILTER($F:$F, $A:$A=$A878, $B:$B=$B878))
)
"),7.581227436823105)</f>
        <v>7.581227437</v>
      </c>
      <c r="J878" s="1">
        <f>IFERROR(__xludf.DUMMYFUNCTION("IF(B878="""","""",
  100*E878 / MAX(FILTER($E:$E, $A:$A=$A878, $B:$B=$B878))
)
"),4.810386699047264)</f>
        <v>4.810386699</v>
      </c>
      <c r="K878" s="1">
        <f t="shared" si="3"/>
        <v>6.334349105</v>
      </c>
    </row>
    <row r="879">
      <c r="A879" s="3">
        <f>IFERROR(__xludf.DUMMYFUNCTION("""COMPUTED_VALUE"""),45992.0)</f>
        <v>45992</v>
      </c>
      <c r="B879" s="1" t="str">
        <f>IFERROR(__xludf.DUMMYFUNCTION("""COMPUTED_VALUE"""),"SeaCost")</f>
        <v>SeaCost</v>
      </c>
      <c r="C879" s="1" t="str">
        <f>IFERROR(__xludf.DUMMYFUNCTION("""COMPUTED_VALUE"""),"Kunuz Juice")</f>
        <v>Kunuz Juice</v>
      </c>
      <c r="D879" s="1">
        <f>IFERROR(__xludf.DUMMYFUNCTION("""COMPUTED_VALUE"""),12.0)</f>
        <v>12</v>
      </c>
      <c r="E879" s="1">
        <f>IFERROR(__xludf.DUMMYFUNCTION("""COMPUTED_VALUE"""),6.0)</f>
        <v>6</v>
      </c>
      <c r="F879" s="1">
        <f>IFERROR(__xludf.DUMMYFUNCTION("""COMPUTED_VALUE"""),3.0)</f>
        <v>3</v>
      </c>
      <c r="G879" s="1">
        <f t="shared" si="1"/>
        <v>4</v>
      </c>
      <c r="H879" s="1">
        <f t="shared" si="2"/>
        <v>2</v>
      </c>
      <c r="I879" s="1">
        <f>IFERROR(__xludf.DUMMYFUNCTION("IF(B879="""","""",
  100*F879 / MAX(FILTER($F:$F, $A:$A=$A879, $B:$B=$B879))
)
"),1.0830324909747293)</f>
        <v>1.083032491</v>
      </c>
      <c r="J879" s="1">
        <f>IFERROR(__xludf.DUMMYFUNCTION("IF(B879="""","""",
  100*E879 / MAX(FILTER($E:$E, $A:$A=$A879, $B:$B=$B879))
)
"),1.1208668036614984)</f>
        <v>1.120866804</v>
      </c>
      <c r="K879" s="1">
        <f t="shared" si="3"/>
        <v>1.100057932</v>
      </c>
    </row>
    <row r="880">
      <c r="A880" s="3">
        <f>IFERROR(__xludf.DUMMYFUNCTION("""COMPUTED_VALUE"""),45992.0)</f>
        <v>45992</v>
      </c>
      <c r="B880" s="1" t="str">
        <f>IFERROR(__xludf.DUMMYFUNCTION("""COMPUTED_VALUE"""),"SeaCost")</f>
        <v>SeaCost</v>
      </c>
      <c r="C880" s="1" t="str">
        <f>IFERROR(__xludf.DUMMYFUNCTION("""COMPUTED_VALUE"""),"L suntop")</f>
        <v>L suntop</v>
      </c>
      <c r="D880" s="1">
        <f>IFERROR(__xludf.DUMMYFUNCTION("""COMPUTED_VALUE"""),54.0)</f>
        <v>54</v>
      </c>
      <c r="E880" s="1">
        <f>IFERROR(__xludf.DUMMYFUNCTION("""COMPUTED_VALUE"""),28.35)</f>
        <v>28.35</v>
      </c>
      <c r="F880" s="1">
        <f>IFERROR(__xludf.DUMMYFUNCTION("""COMPUTED_VALUE"""),27.0)</f>
        <v>27</v>
      </c>
      <c r="G880" s="1">
        <f t="shared" si="1"/>
        <v>2</v>
      </c>
      <c r="H880" s="1">
        <f t="shared" si="2"/>
        <v>1.05</v>
      </c>
      <c r="I880" s="1">
        <f>IFERROR(__xludf.DUMMYFUNCTION("IF(B880="""","""",
  100*F880 / MAX(FILTER($F:$F, $A:$A=$A880, $B:$B=$B880))
)
"),9.747292418772563)</f>
        <v>9.747292419</v>
      </c>
      <c r="J880" s="1">
        <f>IFERROR(__xludf.DUMMYFUNCTION("IF(B880="""","""",
  100*E880 / MAX(FILTER($E:$E, $A:$A=$A880, $B:$B=$B880))
)
"),5.29609564730058)</f>
        <v>5.296095647</v>
      </c>
      <c r="K880" s="1">
        <f t="shared" si="3"/>
        <v>7.744253872</v>
      </c>
    </row>
    <row r="881">
      <c r="A881" s="3">
        <f>IFERROR(__xludf.DUMMYFUNCTION("""COMPUTED_VALUE"""),45992.0)</f>
        <v>45992</v>
      </c>
      <c r="B881" s="1" t="str">
        <f>IFERROR(__xludf.DUMMYFUNCTION("""COMPUTED_VALUE"""),"SeaCost")</f>
        <v>SeaCost</v>
      </c>
      <c r="C881" s="1" t="str">
        <f>IFERROR(__xludf.DUMMYFUNCTION("""COMPUTED_VALUE"""),"Lovita cookies")</f>
        <v>Lovita cookies</v>
      </c>
      <c r="D881" s="1">
        <f>IFERROR(__xludf.DUMMYFUNCTION("""COMPUTED_VALUE"""),120.0)</f>
        <v>120</v>
      </c>
      <c r="E881" s="1">
        <f>IFERROR(__xludf.DUMMYFUNCTION("""COMPUTED_VALUE"""),42.3)</f>
        <v>42.3</v>
      </c>
      <c r="F881" s="1">
        <f>IFERROR(__xludf.DUMMYFUNCTION("""COMPUTED_VALUE"""),15.0)</f>
        <v>15</v>
      </c>
      <c r="G881" s="1">
        <f t="shared" si="1"/>
        <v>8</v>
      </c>
      <c r="H881" s="1">
        <f t="shared" si="2"/>
        <v>2.82</v>
      </c>
      <c r="I881" s="1">
        <f>IFERROR(__xludf.DUMMYFUNCTION("IF(B881="""","""",
  100*F881 / MAX(FILTER($F:$F, $A:$A=$A881, $B:$B=$B881))
)
"),5.415162454873646)</f>
        <v>5.415162455</v>
      </c>
      <c r="J881" s="1">
        <f>IFERROR(__xludf.DUMMYFUNCTION("IF(B881="""","""",
  100*E881 / MAX(FILTER($E:$E, $A:$A=$A881, $B:$B=$B881))
)
"),7.902110965813563)</f>
        <v>7.902110966</v>
      </c>
      <c r="K881" s="1">
        <f t="shared" si="3"/>
        <v>6.534289285</v>
      </c>
    </row>
    <row r="882">
      <c r="A882" s="3">
        <f>IFERROR(__xludf.DUMMYFUNCTION("""COMPUTED_VALUE"""),45992.0)</f>
        <v>45992</v>
      </c>
      <c r="B882" s="1" t="str">
        <f>IFERROR(__xludf.DUMMYFUNCTION("""COMPUTED_VALUE"""),"SeaCost")</f>
        <v>SeaCost</v>
      </c>
      <c r="C882" s="1" t="str">
        <f>IFERROR(__xludf.DUMMYFUNCTION("""COMPUTED_VALUE"""),"Mrbeast")</f>
        <v>Mrbeast</v>
      </c>
      <c r="D882" s="1">
        <f>IFERROR(__xludf.DUMMYFUNCTION("""COMPUTED_VALUE"""),1010.0)</f>
        <v>1010</v>
      </c>
      <c r="E882" s="1">
        <f>IFERROR(__xludf.DUMMYFUNCTION("""COMPUTED_VALUE"""),535.3)</f>
        <v>535.3</v>
      </c>
      <c r="F882" s="1">
        <f>IFERROR(__xludf.DUMMYFUNCTION("""COMPUTED_VALUE"""),101.0)</f>
        <v>101</v>
      </c>
      <c r="G882" s="1">
        <f t="shared" si="1"/>
        <v>10</v>
      </c>
      <c r="H882" s="1">
        <f t="shared" si="2"/>
        <v>5.3</v>
      </c>
      <c r="I882" s="1">
        <f>IFERROR(__xludf.DUMMYFUNCTION("IF(B882="""","""",
  100*F882 / MAX(FILTER($F:$F, $A:$A=$A882, $B:$B=$B882))
)
"),36.462093862815884)</f>
        <v>36.46209386</v>
      </c>
      <c r="J882" s="1">
        <f>IFERROR(__xludf.DUMMYFUNCTION("IF(B882="""","""",
  100*E882 / MAX(FILTER($E:$E, $A:$A=$A882, $B:$B=$B882))
)
"),100.0)</f>
        <v>100</v>
      </c>
      <c r="K882" s="1">
        <f t="shared" si="3"/>
        <v>65.05415162</v>
      </c>
    </row>
    <row r="883">
      <c r="A883" s="3">
        <f>IFERROR(__xludf.DUMMYFUNCTION("""COMPUTED_VALUE"""),45992.0)</f>
        <v>45992</v>
      </c>
      <c r="B883" s="1" t="str">
        <f>IFERROR(__xludf.DUMMYFUNCTION("""COMPUTED_VALUE"""),"SeaCost")</f>
        <v>SeaCost</v>
      </c>
      <c r="C883" s="1" t="str">
        <f>IFERROR(__xludf.DUMMYFUNCTION("""COMPUTED_VALUE"""),"Mulino Cookis")</f>
        <v>Mulino Cookis</v>
      </c>
      <c r="D883" s="1">
        <f>IFERROR(__xludf.DUMMYFUNCTION("""COMPUTED_VALUE"""),154.0)</f>
        <v>154</v>
      </c>
      <c r="E883" s="1">
        <f>IFERROR(__xludf.DUMMYFUNCTION("""COMPUTED_VALUE"""),48.62)</f>
        <v>48.62</v>
      </c>
      <c r="F883" s="1">
        <f>IFERROR(__xludf.DUMMYFUNCTION("""COMPUTED_VALUE"""),22.0)</f>
        <v>22</v>
      </c>
      <c r="G883" s="1">
        <f t="shared" si="1"/>
        <v>7</v>
      </c>
      <c r="H883" s="1">
        <f t="shared" si="2"/>
        <v>2.21</v>
      </c>
      <c r="I883" s="1">
        <f>IFERROR(__xludf.DUMMYFUNCTION("IF(B883="""","""",
  100*F883 / MAX(FILTER($F:$F, $A:$A=$A883, $B:$B=$B883))
)
"),7.9422382671480145)</f>
        <v>7.942238267</v>
      </c>
      <c r="J883" s="1">
        <f>IFERROR(__xludf.DUMMYFUNCTION("IF(B883="""","""",
  100*E883 / MAX(FILTER($E:$E, $A:$A=$A883, $B:$B=$B883))
)
"),9.082757332337009)</f>
        <v>9.082757332</v>
      </c>
      <c r="K883" s="1">
        <f t="shared" si="3"/>
        <v>8.455471846</v>
      </c>
    </row>
    <row r="884">
      <c r="A884" s="3">
        <f>IFERROR(__xludf.DUMMYFUNCTION("""COMPUTED_VALUE"""),45992.0)</f>
        <v>45992</v>
      </c>
      <c r="B884" s="1" t="str">
        <f>IFERROR(__xludf.DUMMYFUNCTION("""COMPUTED_VALUE"""),"SeaCost")</f>
        <v>SeaCost</v>
      </c>
      <c r="C884" s="1" t="str">
        <f>IFERROR(__xludf.DUMMYFUNCTION("""COMPUTED_VALUE"""),"Nuts")</f>
        <v>Nuts</v>
      </c>
      <c r="D884" s="1">
        <f>IFERROR(__xludf.DUMMYFUNCTION("""COMPUTED_VALUE"""),6.0)</f>
        <v>6</v>
      </c>
      <c r="E884" s="1">
        <f>IFERROR(__xludf.DUMMYFUNCTION("""COMPUTED_VALUE"""),1.42)</f>
        <v>1.42</v>
      </c>
      <c r="F884" s="1">
        <f>IFERROR(__xludf.DUMMYFUNCTION("""COMPUTED_VALUE"""),1.0)</f>
        <v>1</v>
      </c>
      <c r="G884" s="1">
        <f t="shared" si="1"/>
        <v>6</v>
      </c>
      <c r="H884" s="1">
        <f t="shared" si="2"/>
        <v>1.42</v>
      </c>
      <c r="I884" s="1">
        <f>IFERROR(__xludf.DUMMYFUNCTION("IF(B884="""","""",
  100*F884 / MAX(FILTER($F:$F, $A:$A=$A884, $B:$B=$B884))
)
"),0.36101083032490977)</f>
        <v>0.3610108303</v>
      </c>
      <c r="J884" s="1">
        <f>IFERROR(__xludf.DUMMYFUNCTION("IF(B884="""","""",
  100*E884 / MAX(FILTER($E:$E, $A:$A=$A884, $B:$B=$B884))
)
"),0.26527181019988794)</f>
        <v>0.2652718102</v>
      </c>
      <c r="K884" s="1">
        <f t="shared" si="3"/>
        <v>0.3179282713</v>
      </c>
    </row>
    <row r="885">
      <c r="A885" s="3">
        <f>IFERROR(__xludf.DUMMYFUNCTION("""COMPUTED_VALUE"""),45992.0)</f>
        <v>45992</v>
      </c>
      <c r="B885" s="1" t="str">
        <f>IFERROR(__xludf.DUMMYFUNCTION("""COMPUTED_VALUE"""),"SeaCost")</f>
        <v>SeaCost</v>
      </c>
      <c r="C885" s="1" t="str">
        <f>IFERROR(__xludf.DUMMYFUNCTION("""COMPUTED_VALUE"""),"Pretzels")</f>
        <v>Pretzels</v>
      </c>
      <c r="D885" s="1">
        <f>IFERROR(__xludf.DUMMYFUNCTION("""COMPUTED_VALUE"""),102.0)</f>
        <v>102</v>
      </c>
      <c r="E885" s="1">
        <f>IFERROR(__xludf.DUMMYFUNCTION("""COMPUTED_VALUE"""),46.75)</f>
        <v>46.75</v>
      </c>
      <c r="F885" s="1">
        <f>IFERROR(__xludf.DUMMYFUNCTION("""COMPUTED_VALUE"""),17.0)</f>
        <v>17</v>
      </c>
      <c r="G885" s="1">
        <f t="shared" si="1"/>
        <v>6</v>
      </c>
      <c r="H885" s="1">
        <f t="shared" si="2"/>
        <v>2.75</v>
      </c>
      <c r="I885" s="1">
        <f>IFERROR(__xludf.DUMMYFUNCTION("IF(B885="""","""",
  100*F885 / MAX(FILTER($F:$F, $A:$A=$A885, $B:$B=$B885))
)
"),6.137184115523466)</f>
        <v>6.137184116</v>
      </c>
      <c r="J885" s="1">
        <f>IFERROR(__xludf.DUMMYFUNCTION("IF(B885="""","""",
  100*E885 / MAX(FILTER($E:$E, $A:$A=$A885, $B:$B=$B885))
)
"),8.733420511862509)</f>
        <v>8.733420512</v>
      </c>
      <c r="K885" s="1">
        <f t="shared" si="3"/>
        <v>7.305490494</v>
      </c>
    </row>
    <row r="886">
      <c r="A886" s="3">
        <f>IFERROR(__xludf.DUMMYFUNCTION("""COMPUTED_VALUE"""),45992.0)</f>
        <v>45992</v>
      </c>
      <c r="B886" s="1" t="str">
        <f>IFERROR(__xludf.DUMMYFUNCTION("""COMPUTED_VALUE"""),"SeaCost")</f>
        <v>SeaCost</v>
      </c>
      <c r="C886" s="1" t="str">
        <f>IFERROR(__xludf.DUMMYFUNCTION("""COMPUTED_VALUE"""),"Prime")</f>
        <v>Prime</v>
      </c>
      <c r="D886" s="1">
        <f>IFERROR(__xludf.DUMMYFUNCTION("""COMPUTED_VALUE"""),40.0)</f>
        <v>40</v>
      </c>
      <c r="E886" s="1">
        <f>IFERROR(__xludf.DUMMYFUNCTION("""COMPUTED_VALUE"""),11.68)</f>
        <v>11.68</v>
      </c>
      <c r="F886" s="1">
        <f>IFERROR(__xludf.DUMMYFUNCTION("""COMPUTED_VALUE"""),2.0)</f>
        <v>2</v>
      </c>
      <c r="G886" s="1">
        <f t="shared" si="1"/>
        <v>20</v>
      </c>
      <c r="H886" s="1">
        <f t="shared" si="2"/>
        <v>5.84</v>
      </c>
      <c r="I886" s="1">
        <f>IFERROR(__xludf.DUMMYFUNCTION("IF(B886="""","""",
  100*F886 / MAX(FILTER($F:$F, $A:$A=$A886, $B:$B=$B886))
)
"),0.7220216606498195)</f>
        <v>0.7220216606</v>
      </c>
      <c r="J886" s="1">
        <f>IFERROR(__xludf.DUMMYFUNCTION("IF(B886="""","""",
  100*E886 / MAX(FILTER($E:$E, $A:$A=$A886, $B:$B=$B886))
)
"),2.18195404446105)</f>
        <v>2.181954044</v>
      </c>
      <c r="K886" s="1">
        <f t="shared" si="3"/>
        <v>1.378991233</v>
      </c>
    </row>
    <row r="887">
      <c r="A887" s="3">
        <f>IFERROR(__xludf.DUMMYFUNCTION("""COMPUTED_VALUE"""),45992.0)</f>
        <v>45992</v>
      </c>
      <c r="B887" s="1" t="str">
        <f>IFERROR(__xludf.DUMMYFUNCTION("""COMPUTED_VALUE"""),"SeaCost")</f>
        <v>SeaCost</v>
      </c>
      <c r="C887" s="1" t="str">
        <f>IFERROR(__xludf.DUMMYFUNCTION("""COMPUTED_VALUE"""),"Prime Ex")</f>
        <v>Prime Ex</v>
      </c>
      <c r="D887" s="1">
        <f>IFERROR(__xludf.DUMMYFUNCTION("""COMPUTED_VALUE"""),40.0)</f>
        <v>40</v>
      </c>
      <c r="E887" s="1">
        <f>IFERROR(__xludf.DUMMYFUNCTION("""COMPUTED_VALUE"""),22.0)</f>
        <v>22</v>
      </c>
      <c r="F887" s="1">
        <f>IFERROR(__xludf.DUMMYFUNCTION("""COMPUTED_VALUE"""),2.0)</f>
        <v>2</v>
      </c>
      <c r="G887" s="1">
        <f t="shared" si="1"/>
        <v>20</v>
      </c>
      <c r="H887" s="1">
        <f t="shared" si="2"/>
        <v>11</v>
      </c>
      <c r="I887" s="1">
        <f>IFERROR(__xludf.DUMMYFUNCTION("IF(B887="""","""",
  100*F887 / MAX(FILTER($F:$F, $A:$A=$A887, $B:$B=$B887))
)
"),0.7220216606498195)</f>
        <v>0.7220216606</v>
      </c>
      <c r="J887" s="1">
        <f>IFERROR(__xludf.DUMMYFUNCTION("IF(B887="""","""",
  100*E887 / MAX(FILTER($E:$E, $A:$A=$A887, $B:$B=$B887))
)
"),4.109844946758828)</f>
        <v>4.109844947</v>
      </c>
      <c r="K887" s="1">
        <f t="shared" si="3"/>
        <v>2.246542139</v>
      </c>
    </row>
    <row r="888">
      <c r="A888" s="3">
        <f>IFERROR(__xludf.DUMMYFUNCTION("""COMPUTED_VALUE"""),45992.0)</f>
        <v>45992</v>
      </c>
      <c r="B888" s="1" t="str">
        <f>IFERROR(__xludf.DUMMYFUNCTION("""COMPUTED_VALUE"""),"SeaCost")</f>
        <v>SeaCost</v>
      </c>
      <c r="C888" s="1" t="str">
        <f>IFERROR(__xludf.DUMMYFUNCTION("""COMPUTED_VALUE"""),"Roshetto")</f>
        <v>Roshetto</v>
      </c>
      <c r="D888" s="1">
        <f>IFERROR(__xludf.DUMMYFUNCTION("""COMPUTED_VALUE"""),21.0)</f>
        <v>21</v>
      </c>
      <c r="E888" s="1">
        <f>IFERROR(__xludf.DUMMYFUNCTION("""COMPUTED_VALUE"""),11.48)</f>
        <v>11.48</v>
      </c>
      <c r="F888" s="1">
        <f>IFERROR(__xludf.DUMMYFUNCTION("""COMPUTED_VALUE"""),7.0)</f>
        <v>7</v>
      </c>
      <c r="G888" s="1">
        <f t="shared" si="1"/>
        <v>3</v>
      </c>
      <c r="H888" s="1">
        <f t="shared" si="2"/>
        <v>1.64</v>
      </c>
      <c r="I888" s="1">
        <f>IFERROR(__xludf.DUMMYFUNCTION("IF(B888="""","""",
  100*F888 / MAX(FILTER($F:$F, $A:$A=$A888, $B:$B=$B888))
)
"),2.527075812274368)</f>
        <v>2.527075812</v>
      </c>
      <c r="J888" s="1">
        <f>IFERROR(__xludf.DUMMYFUNCTION("IF(B888="""","""",
  100*E888 / MAX(FILTER($E:$E, $A:$A=$A888, $B:$B=$B888))
)
"),2.1445918176723335)</f>
        <v>2.144591818</v>
      </c>
      <c r="K888" s="1">
        <f t="shared" si="3"/>
        <v>2.354958015</v>
      </c>
    </row>
    <row r="889">
      <c r="A889" s="3">
        <f>IFERROR(__xludf.DUMMYFUNCTION("""COMPUTED_VALUE"""),45992.0)</f>
        <v>45992</v>
      </c>
      <c r="B889" s="1" t="str">
        <f>IFERROR(__xludf.DUMMYFUNCTION("""COMPUTED_VALUE"""),"SeaCost")</f>
        <v>SeaCost</v>
      </c>
      <c r="C889" s="1" t="str">
        <f>IFERROR(__xludf.DUMMYFUNCTION("""COMPUTED_VALUE"""),"Skittles")</f>
        <v>Skittles</v>
      </c>
      <c r="D889" s="1">
        <f>IFERROR(__xludf.DUMMYFUNCTION("""COMPUTED_VALUE"""),302.0)</f>
        <v>302</v>
      </c>
      <c r="E889" s="1">
        <f>IFERROR(__xludf.DUMMYFUNCTION("""COMPUTED_VALUE"""),80.46)</f>
        <v>80.46</v>
      </c>
      <c r="F889" s="1">
        <f>IFERROR(__xludf.DUMMYFUNCTION("""COMPUTED_VALUE"""),38.0)</f>
        <v>38</v>
      </c>
      <c r="G889" s="1">
        <f t="shared" si="1"/>
        <v>7.947368421</v>
      </c>
      <c r="H889" s="1">
        <f t="shared" si="2"/>
        <v>2.117368421</v>
      </c>
      <c r="I889" s="1">
        <f>IFERROR(__xludf.DUMMYFUNCTION("IF(B889="""","""",
  100*F889 / MAX(FILTER($F:$F, $A:$A=$A889, $B:$B=$B889))
)
"),13.71841155234657)</f>
        <v>13.71841155</v>
      </c>
      <c r="J889" s="1">
        <f>IFERROR(__xludf.DUMMYFUNCTION("IF(B889="""","""",
  100*E889 / MAX(FILTER($E:$E, $A:$A=$A889, $B:$B=$B889))
)
"),15.03082383710069)</f>
        <v>15.03082384</v>
      </c>
      <c r="K889" s="1">
        <f t="shared" si="3"/>
        <v>14.30899708</v>
      </c>
    </row>
    <row r="890">
      <c r="A890" s="3">
        <f>IFERROR(__xludf.DUMMYFUNCTION("""COMPUTED_VALUE"""),45992.0)</f>
        <v>45992</v>
      </c>
      <c r="B890" s="1" t="str">
        <f>IFERROR(__xludf.DUMMYFUNCTION("""COMPUTED_VALUE"""),"SeaCost")</f>
        <v>SeaCost</v>
      </c>
      <c r="C890" s="1" t="str">
        <f>IFERROR(__xludf.DUMMYFUNCTION("""COMPUTED_VALUE"""),"Today Chocolate")</f>
        <v>Today Chocolate</v>
      </c>
      <c r="D890" s="1">
        <f>IFERROR(__xludf.DUMMYFUNCTION("""COMPUTED_VALUE"""),12.0)</f>
        <v>12</v>
      </c>
      <c r="E890" s="1">
        <f>IFERROR(__xludf.DUMMYFUNCTION("""COMPUTED_VALUE"""),3.17)</f>
        <v>3.17</v>
      </c>
      <c r="F890" s="1">
        <f>IFERROR(__xludf.DUMMYFUNCTION("""COMPUTED_VALUE"""),1.0)</f>
        <v>1</v>
      </c>
      <c r="G890" s="1">
        <f t="shared" si="1"/>
        <v>12</v>
      </c>
      <c r="H890" s="1">
        <f t="shared" si="2"/>
        <v>3.17</v>
      </c>
      <c r="I890" s="1">
        <f>IFERROR(__xludf.DUMMYFUNCTION("IF(B890="""","""",
  100*F890 / MAX(FILTER($F:$F, $A:$A=$A890, $B:$B=$B890))
)
"),0.36101083032490977)</f>
        <v>0.3610108303</v>
      </c>
      <c r="J890" s="1">
        <f>IFERROR(__xludf.DUMMYFUNCTION("IF(B890="""","""",
  100*E890 / MAX(FILTER($E:$E, $A:$A=$A890, $B:$B=$B890))
)
"),0.5921912946011583)</f>
        <v>0.5921912946</v>
      </c>
      <c r="K890" s="1">
        <f t="shared" si="3"/>
        <v>0.4650420392</v>
      </c>
    </row>
    <row r="891">
      <c r="A891" s="3">
        <f>IFERROR(__xludf.DUMMYFUNCTION("""COMPUTED_VALUE"""),45992.0)</f>
        <v>45992</v>
      </c>
      <c r="B891" s="1" t="str">
        <f>IFERROR(__xludf.DUMMYFUNCTION("""COMPUTED_VALUE"""),"SeaCost")</f>
        <v>SeaCost</v>
      </c>
      <c r="C891" s="1" t="str">
        <f>IFERROR(__xludf.DUMMYFUNCTION("""COMPUTED_VALUE"""),"Toren Dark Chocolate")</f>
        <v>Toren Dark Chocolate</v>
      </c>
      <c r="D891" s="1">
        <f>IFERROR(__xludf.DUMMYFUNCTION("""COMPUTED_VALUE"""),74.0)</f>
        <v>74</v>
      </c>
      <c r="E891" s="1">
        <f>IFERROR(__xludf.DUMMYFUNCTION("""COMPUTED_VALUE"""),43.97)</f>
        <v>43.97</v>
      </c>
      <c r="F891" s="1">
        <f>IFERROR(__xludf.DUMMYFUNCTION("""COMPUTED_VALUE"""),33.0)</f>
        <v>33</v>
      </c>
      <c r="G891" s="1">
        <f t="shared" si="1"/>
        <v>2.242424242</v>
      </c>
      <c r="H891" s="1">
        <f t="shared" si="2"/>
        <v>1.332424242</v>
      </c>
      <c r="I891" s="1">
        <f>IFERROR(__xludf.DUMMYFUNCTION("IF(B891="""","""",
  100*F891 / MAX(FILTER($F:$F, $A:$A=$A891, $B:$B=$B891))
)
"),11.913357400722022)</f>
        <v>11.9133574</v>
      </c>
      <c r="J891" s="1">
        <f>IFERROR(__xludf.DUMMYFUNCTION("IF(B891="""","""",
  100*E891 / MAX(FILTER($E:$E, $A:$A=$A891, $B:$B=$B891))
)
"),8.214085559499347)</f>
        <v>8.214085559</v>
      </c>
      <c r="K891" s="1">
        <f t="shared" si="3"/>
        <v>10.24868507</v>
      </c>
    </row>
    <row r="892">
      <c r="A892" s="3">
        <f>IFERROR(__xludf.DUMMYFUNCTION("""COMPUTED_VALUE"""),45992.0)</f>
        <v>45992</v>
      </c>
      <c r="B892" s="1" t="str">
        <f>IFERROR(__xludf.DUMMYFUNCTION("""COMPUTED_VALUE"""),"SeaCost")</f>
        <v>SeaCost</v>
      </c>
      <c r="C892" s="1" t="str">
        <f>IFERROR(__xludf.DUMMYFUNCTION("""COMPUTED_VALUE"""),"Water")</f>
        <v>Water</v>
      </c>
      <c r="D892" s="1">
        <f>IFERROR(__xludf.DUMMYFUNCTION("""COMPUTED_VALUE"""),277.0)</f>
        <v>277</v>
      </c>
      <c r="E892" s="1">
        <f>IFERROR(__xludf.DUMMYFUNCTION("""COMPUTED_VALUE"""),193.9)</f>
        <v>193.9</v>
      </c>
      <c r="F892" s="1">
        <f>IFERROR(__xludf.DUMMYFUNCTION("""COMPUTED_VALUE"""),277.0)</f>
        <v>277</v>
      </c>
      <c r="G892" s="1">
        <f t="shared" si="1"/>
        <v>1</v>
      </c>
      <c r="H892" s="1">
        <f t="shared" si="2"/>
        <v>0.7</v>
      </c>
      <c r="I892" s="1">
        <f>IFERROR(__xludf.DUMMYFUNCTION("IF(B892="""","""",
  100*F892 / MAX(FILTER($F:$F, $A:$A=$A892, $B:$B=$B892))
)
"),100.0)</f>
        <v>100</v>
      </c>
      <c r="J892" s="1">
        <f>IFERROR(__xludf.DUMMYFUNCTION("IF(B892="""","""",
  100*E892 / MAX(FILTER($E:$E, $A:$A=$A892, $B:$B=$B892))
)
"),36.222678871660754)</f>
        <v>36.22267887</v>
      </c>
      <c r="K892" s="1">
        <f t="shared" si="3"/>
        <v>71.30020549</v>
      </c>
    </row>
    <row r="893">
      <c r="A893" s="3">
        <f>IFERROR(__xludf.DUMMYFUNCTION("""COMPUTED_VALUE"""),45992.0)</f>
        <v>45992</v>
      </c>
      <c r="B893" s="1" t="str">
        <f>IFERROR(__xludf.DUMMYFUNCTION("""COMPUTED_VALUE"""),"SeaCost")</f>
        <v>SeaCost</v>
      </c>
      <c r="C893" s="1" t="str">
        <f>IFERROR(__xludf.DUMMYFUNCTION("""COMPUTED_VALUE"""),"Yasmin Almonds")</f>
        <v>Yasmin Almonds</v>
      </c>
      <c r="D893" s="1">
        <f>IFERROR(__xludf.DUMMYFUNCTION("""COMPUTED_VALUE"""),15.0)</f>
        <v>15</v>
      </c>
      <c r="E893" s="1">
        <f>IFERROR(__xludf.DUMMYFUNCTION("""COMPUTED_VALUE"""),4.2)</f>
        <v>4.2</v>
      </c>
      <c r="F893" s="1">
        <f>IFERROR(__xludf.DUMMYFUNCTION("""COMPUTED_VALUE"""),3.0)</f>
        <v>3</v>
      </c>
      <c r="G893" s="1">
        <f t="shared" si="1"/>
        <v>5</v>
      </c>
      <c r="H893" s="1">
        <f t="shared" si="2"/>
        <v>1.4</v>
      </c>
      <c r="I893" s="1">
        <f>IFERROR(__xludf.DUMMYFUNCTION("IF(B893="""","""",
  100*F893 / MAX(FILTER($F:$F, $A:$A=$A893, $B:$B=$B893))
)
"),1.0830324909747293)</f>
        <v>1.083032491</v>
      </c>
      <c r="J893" s="1">
        <f>IFERROR(__xludf.DUMMYFUNCTION("IF(B893="""","""",
  100*E893 / MAX(FILTER($E:$E, $A:$A=$A893, $B:$B=$B893))
)
"),0.7846067625630488)</f>
        <v>0.7846067626</v>
      </c>
      <c r="K893" s="1">
        <f t="shared" si="3"/>
        <v>0.9487409132</v>
      </c>
    </row>
    <row r="894">
      <c r="A894" s="3">
        <f>IFERROR(__xludf.DUMMYFUNCTION("""COMPUTED_VALUE"""),45992.0)</f>
        <v>45992</v>
      </c>
      <c r="B894" s="1" t="str">
        <f>IFERROR(__xludf.DUMMYFUNCTION("""COMPUTED_VALUE"""),"SeaCost")</f>
        <v>SeaCost</v>
      </c>
      <c r="C894" s="1" t="str">
        <f>IFERROR(__xludf.DUMMYFUNCTION("""COMPUTED_VALUE"""),"Yasmin Penuts")</f>
        <v>Yasmin Penuts</v>
      </c>
      <c r="D894" s="1">
        <f>IFERROR(__xludf.DUMMYFUNCTION("""COMPUTED_VALUE"""),9.0)</f>
        <v>9</v>
      </c>
      <c r="E894" s="1">
        <f>IFERROR(__xludf.DUMMYFUNCTION("""COMPUTED_VALUE"""),3.6)</f>
        <v>3.6</v>
      </c>
      <c r="F894" s="1">
        <f>IFERROR(__xludf.DUMMYFUNCTION("""COMPUTED_VALUE"""),3.0)</f>
        <v>3</v>
      </c>
      <c r="G894" s="1">
        <f t="shared" si="1"/>
        <v>3</v>
      </c>
      <c r="H894" s="1">
        <f t="shared" si="2"/>
        <v>1.2</v>
      </c>
      <c r="I894" s="1">
        <f>IFERROR(__xludf.DUMMYFUNCTION("IF(B894="""","""",
  100*F894 / MAX(FILTER($F:$F, $A:$A=$A894, $B:$B=$B894))
)
"),1.0830324909747293)</f>
        <v>1.083032491</v>
      </c>
      <c r="J894" s="1">
        <f>IFERROR(__xludf.DUMMYFUNCTION("IF(B894="""","""",
  100*E894 / MAX(FILTER($E:$E, $A:$A=$A894, $B:$B=$B894))
)
"),0.672520082196899)</f>
        <v>0.6725200822</v>
      </c>
      <c r="K894" s="1">
        <f t="shared" si="3"/>
        <v>0.898301907</v>
      </c>
    </row>
    <row r="895">
      <c r="A895" s="3">
        <f>IFERROR(__xludf.DUMMYFUNCTION("""COMPUTED_VALUE"""),45992.0)</f>
        <v>45992</v>
      </c>
      <c r="B895" s="1" t="str">
        <f>IFERROR(__xludf.DUMMYFUNCTION("""COMPUTED_VALUE"""),"SeaCost")</f>
        <v>SeaCost</v>
      </c>
      <c r="C895" s="1" t="str">
        <f>IFERROR(__xludf.DUMMYFUNCTION("""COMPUTED_VALUE"""),"Yipy Juice")</f>
        <v>Yipy Juice</v>
      </c>
      <c r="D895" s="1">
        <f>IFERROR(__xludf.DUMMYFUNCTION("""COMPUTED_VALUE"""),15.0)</f>
        <v>15</v>
      </c>
      <c r="E895" s="1">
        <f>IFERROR(__xludf.DUMMYFUNCTION("""COMPUTED_VALUE"""),5.42)</f>
        <v>5.42</v>
      </c>
      <c r="F895" s="1">
        <f>IFERROR(__xludf.DUMMYFUNCTION("""COMPUTED_VALUE"""),1.0)</f>
        <v>1</v>
      </c>
      <c r="G895" s="1">
        <f t="shared" si="1"/>
        <v>15</v>
      </c>
      <c r="H895" s="1">
        <f t="shared" si="2"/>
        <v>5.42</v>
      </c>
      <c r="I895" s="1">
        <f>IFERROR(__xludf.DUMMYFUNCTION("IF(B895="""","""",
  100*F895 / MAX(FILTER($F:$F, $A:$A=$A895, $B:$B=$B895))
)
"),0.36101083032490977)</f>
        <v>0.3610108303</v>
      </c>
      <c r="J895" s="1">
        <f>IFERROR(__xludf.DUMMYFUNCTION("IF(B895="""","""",
  100*E895 / MAX(FILTER($E:$E, $A:$A=$A895, $B:$B=$B895))
)
"),1.0125163459742201)</f>
        <v>1.012516346</v>
      </c>
      <c r="K895" s="1">
        <f t="shared" si="3"/>
        <v>0.6541883124</v>
      </c>
    </row>
    <row r="896">
      <c r="A896" s="3">
        <f>IFERROR(__xludf.DUMMYFUNCTION("""COMPUTED_VALUE"""),45992.0)</f>
        <v>45992</v>
      </c>
      <c r="B896" s="1" t="str">
        <f>IFERROR(__xludf.DUMMYFUNCTION("""COMPUTED_VALUE"""),"SeaCost")</f>
        <v>SeaCost</v>
      </c>
      <c r="C896" s="1" t="str">
        <f>IFERROR(__xludf.DUMMYFUNCTION("""COMPUTED_VALUE"""),"brownies moulin")</f>
        <v>brownies moulin</v>
      </c>
      <c r="D896" s="1">
        <f>IFERROR(__xludf.DUMMYFUNCTION("""COMPUTED_VALUE"""),105.0)</f>
        <v>105</v>
      </c>
      <c r="E896" s="1">
        <f>IFERROR(__xludf.DUMMYFUNCTION("""COMPUTED_VALUE"""),59.5)</f>
        <v>59.5</v>
      </c>
      <c r="F896" s="1">
        <f>IFERROR(__xludf.DUMMYFUNCTION("""COMPUTED_VALUE"""),35.0)</f>
        <v>35</v>
      </c>
      <c r="G896" s="1">
        <f t="shared" si="1"/>
        <v>3</v>
      </c>
      <c r="H896" s="1">
        <f t="shared" si="2"/>
        <v>1.7</v>
      </c>
      <c r="I896" s="1">
        <f>IFERROR(__xludf.DUMMYFUNCTION("IF(B896="""","""",
  100*F896 / MAX(FILTER($F:$F, $A:$A=$A896, $B:$B=$B896))
)
"),12.635379061371841)</f>
        <v>12.63537906</v>
      </c>
      <c r="J896" s="1">
        <f>IFERROR(__xludf.DUMMYFUNCTION("IF(B896="""","""",
  100*E896 / MAX(FILTER($E:$E, $A:$A=$A896, $B:$B=$B896))
)
"),11.115262469643191)</f>
        <v>11.11526247</v>
      </c>
      <c r="K896" s="1">
        <f t="shared" si="3"/>
        <v>11.9513266</v>
      </c>
    </row>
    <row r="897">
      <c r="A897" s="3">
        <f>IFERROR(__xludf.DUMMYFUNCTION("""COMPUTED_VALUE"""),45992.0)</f>
        <v>45992</v>
      </c>
      <c r="B897" s="1" t="str">
        <f>IFERROR(__xludf.DUMMYFUNCTION("""COMPUTED_VALUE"""),"SeaCost")</f>
        <v>SeaCost</v>
      </c>
      <c r="C897" s="1" t="str">
        <f>IFERROR(__xludf.DUMMYFUNCTION("""COMPUTED_VALUE"""),"ifruit juice")</f>
        <v>ifruit juice</v>
      </c>
      <c r="D897" s="1">
        <f>IFERROR(__xludf.DUMMYFUNCTION("""COMPUTED_VALUE"""),48.0)</f>
        <v>48</v>
      </c>
      <c r="E897" s="1">
        <f>IFERROR(__xludf.DUMMYFUNCTION("""COMPUTED_VALUE"""),18.9)</f>
        <v>18.9</v>
      </c>
      <c r="F897" s="1">
        <f>IFERROR(__xludf.DUMMYFUNCTION("""COMPUTED_VALUE"""),10.0)</f>
        <v>10</v>
      </c>
      <c r="G897" s="1">
        <f t="shared" si="1"/>
        <v>4.8</v>
      </c>
      <c r="H897" s="1">
        <f t="shared" si="2"/>
        <v>1.89</v>
      </c>
      <c r="I897" s="1">
        <f>IFERROR(__xludf.DUMMYFUNCTION("IF(B897="""","""",
  100*F897 / MAX(FILTER($F:$F, $A:$A=$A897, $B:$B=$B897))
)
"),3.6101083032490973)</f>
        <v>3.610108303</v>
      </c>
      <c r="J897" s="1">
        <f>IFERROR(__xludf.DUMMYFUNCTION("IF(B897="""","""",
  100*E897 / MAX(FILTER($E:$E, $A:$A=$A897, $B:$B=$B897))
)
"),3.530730431533719)</f>
        <v>3.530730432</v>
      </c>
      <c r="K897" s="1">
        <f t="shared" si="3"/>
        <v>3.574388261</v>
      </c>
    </row>
    <row r="898">
      <c r="A898" s="3">
        <f>IFERROR(__xludf.DUMMYFUNCTION("""COMPUTED_VALUE"""),45992.0)</f>
        <v>45992</v>
      </c>
      <c r="B898" s="1" t="str">
        <f>IFERROR(__xludf.DUMMYFUNCTION("""COMPUTED_VALUE"""),"SeaCost")</f>
        <v>SeaCost</v>
      </c>
      <c r="C898" s="1" t="str">
        <f>IFERROR(__xludf.DUMMYFUNCTION("""COMPUTED_VALUE"""),"mr bite")</f>
        <v>mr bite</v>
      </c>
      <c r="D898" s="1">
        <f>IFERROR(__xludf.DUMMYFUNCTION("""COMPUTED_VALUE"""),45.0)</f>
        <v>45</v>
      </c>
      <c r="E898" s="1">
        <f>IFERROR(__xludf.DUMMYFUNCTION("""COMPUTED_VALUE"""),25.05)</f>
        <v>25.05</v>
      </c>
      <c r="F898" s="1">
        <f>IFERROR(__xludf.DUMMYFUNCTION("""COMPUTED_VALUE"""),15.0)</f>
        <v>15</v>
      </c>
      <c r="G898" s="1">
        <f t="shared" si="1"/>
        <v>3</v>
      </c>
      <c r="H898" s="1">
        <f t="shared" si="2"/>
        <v>1.67</v>
      </c>
      <c r="I898" s="1">
        <f>IFERROR(__xludf.DUMMYFUNCTION("IF(B898="""","""",
  100*F898 / MAX(FILTER($F:$F, $A:$A=$A898, $B:$B=$B898))
)
"),5.415162454873646)</f>
        <v>5.415162455</v>
      </c>
      <c r="J898" s="1">
        <f>IFERROR(__xludf.DUMMYFUNCTION("IF(B898="""","""",
  100*E898 / MAX(FILTER($E:$E, $A:$A=$A898, $B:$B=$B898))
)
"),4.679618905286755)</f>
        <v>4.679618905</v>
      </c>
      <c r="K898" s="1">
        <f t="shared" si="3"/>
        <v>5.084167858</v>
      </c>
    </row>
    <row r="899">
      <c r="A899" s="3">
        <f>IFERROR(__xludf.DUMMYFUNCTION("""COMPUTED_VALUE"""),45992.0)</f>
        <v>45992</v>
      </c>
      <c r="B899" s="1" t="str">
        <f>IFERROR(__xludf.DUMMYFUNCTION("""COMPUTED_VALUE"""),"SeaCost")</f>
        <v>SeaCost</v>
      </c>
      <c r="C899" s="1" t="str">
        <f>IFERROR(__xludf.DUMMYFUNCTION("""COMPUTED_VALUE"""),"mr.bite strike")</f>
        <v>mr.bite strike</v>
      </c>
      <c r="D899" s="1">
        <f>IFERROR(__xludf.DUMMYFUNCTION("""COMPUTED_VALUE"""),32.0)</f>
        <v>32</v>
      </c>
      <c r="E899" s="1">
        <f>IFERROR(__xludf.DUMMYFUNCTION("""COMPUTED_VALUE"""),17.04)</f>
        <v>17.04</v>
      </c>
      <c r="F899" s="1">
        <f>IFERROR(__xludf.DUMMYFUNCTION("""COMPUTED_VALUE"""),8.0)</f>
        <v>8</v>
      </c>
      <c r="G899" s="1">
        <f t="shared" si="1"/>
        <v>4</v>
      </c>
      <c r="H899" s="1">
        <f t="shared" si="2"/>
        <v>2.13</v>
      </c>
      <c r="I899" s="1">
        <f>IFERROR(__xludf.DUMMYFUNCTION("IF(B899="""","""",
  100*F899 / MAX(FILTER($F:$F, $A:$A=$A899, $B:$B=$B899))
)
"),2.888086642599278)</f>
        <v>2.888086643</v>
      </c>
      <c r="J899" s="1">
        <f>IFERROR(__xludf.DUMMYFUNCTION("IF(B899="""","""",
  100*E899 / MAX(FILTER($E:$E, $A:$A=$A899, $B:$B=$B899))
)
"),3.183261722398655)</f>
        <v>3.183261722</v>
      </c>
      <c r="K899" s="1">
        <f t="shared" si="3"/>
        <v>3.020915429</v>
      </c>
    </row>
    <row r="900">
      <c r="A900" s="3">
        <f>IFERROR(__xludf.DUMMYFUNCTION("""COMPUTED_VALUE"""),45992.0)</f>
        <v>45992</v>
      </c>
      <c r="B900" s="1" t="str">
        <f>IFERROR(__xludf.DUMMYFUNCTION("""COMPUTED_VALUE"""),"SeaCost")</f>
        <v>SeaCost</v>
      </c>
      <c r="C900" s="1" t="str">
        <f>IFERROR(__xludf.DUMMYFUNCTION("""COMPUTED_VALUE"""),"sunTop")</f>
        <v>sunTop</v>
      </c>
      <c r="D900" s="1">
        <f>IFERROR(__xludf.DUMMYFUNCTION("""COMPUTED_VALUE"""),191.0)</f>
        <v>191</v>
      </c>
      <c r="E900" s="1">
        <f>IFERROR(__xludf.DUMMYFUNCTION("""COMPUTED_VALUE"""),76.4)</f>
        <v>76.4</v>
      </c>
      <c r="F900" s="1">
        <f>IFERROR(__xludf.DUMMYFUNCTION("""COMPUTED_VALUE"""),191.0)</f>
        <v>191</v>
      </c>
      <c r="G900" s="1">
        <f t="shared" si="1"/>
        <v>1</v>
      </c>
      <c r="H900" s="1">
        <f t="shared" si="2"/>
        <v>0.4</v>
      </c>
      <c r="I900" s="1">
        <f>IFERROR(__xludf.DUMMYFUNCTION("IF(B900="""","""",
  100*F900 / MAX(FILTER($F:$F, $A:$A=$A900, $B:$B=$B900))
)
"),68.95306859205776)</f>
        <v>68.95306859</v>
      </c>
      <c r="J900" s="1">
        <f>IFERROR(__xludf.DUMMYFUNCTION("IF(B900="""","""",
  100*E900 / MAX(FILTER($E:$E, $A:$A=$A900, $B:$B=$B900))
)
"),14.272370633289746)</f>
        <v>14.27237063</v>
      </c>
      <c r="K900" s="1">
        <f t="shared" si="3"/>
        <v>44.34675451</v>
      </c>
    </row>
    <row r="901">
      <c r="A901" s="3">
        <f>IFERROR(__xludf.DUMMYFUNCTION("""COMPUTED_VALUE"""),45992.0)</f>
        <v>45992</v>
      </c>
      <c r="B901" s="1" t="str">
        <f>IFERROR(__xludf.DUMMYFUNCTION("""COMPUTED_VALUE"""),"SeaCost")</f>
        <v>SeaCost</v>
      </c>
      <c r="C901" s="1" t="str">
        <f>IFERROR(__xludf.DUMMYFUNCTION("""COMPUTED_VALUE"""),"zigi marinated peanuts")</f>
        <v>zigi marinated peanuts</v>
      </c>
      <c r="D901" s="1">
        <f>IFERROR(__xludf.DUMMYFUNCTION("""COMPUTED_VALUE"""),40.0)</f>
        <v>40</v>
      </c>
      <c r="E901" s="1">
        <f>IFERROR(__xludf.DUMMYFUNCTION("""COMPUTED_VALUE"""),12.0)</f>
        <v>12</v>
      </c>
      <c r="F901" s="1">
        <f>IFERROR(__xludf.DUMMYFUNCTION("""COMPUTED_VALUE"""),8.0)</f>
        <v>8</v>
      </c>
      <c r="G901" s="1">
        <f t="shared" si="1"/>
        <v>5</v>
      </c>
      <c r="H901" s="1">
        <f t="shared" si="2"/>
        <v>1.5</v>
      </c>
      <c r="I901" s="1">
        <f>IFERROR(__xludf.DUMMYFUNCTION("IF(B901="""","""",
  100*F901 / MAX(FILTER($F:$F, $A:$A=$A901, $B:$B=$B901))
)
"),2.888086642599278)</f>
        <v>2.888086643</v>
      </c>
      <c r="J901" s="1">
        <f>IFERROR(__xludf.DUMMYFUNCTION("IF(B901="""","""",
  100*E901 / MAX(FILTER($E:$E, $A:$A=$A901, $B:$B=$B901))
)
"),2.2417336073229968)</f>
        <v>2.241733607</v>
      </c>
      <c r="K901" s="1">
        <f t="shared" si="3"/>
        <v>2.597227777</v>
      </c>
    </row>
    <row r="902">
      <c r="A902" s="3">
        <f>IFERROR(__xludf.DUMMYFUNCTION("""COMPUTED_VALUE"""),46023.0)</f>
        <v>46023</v>
      </c>
      <c r="B902" s="1" t="str">
        <f>IFERROR(__xludf.DUMMYFUNCTION("""COMPUTED_VALUE"""),"DPMall")</f>
        <v>DPMall</v>
      </c>
      <c r="C902" s="1" t="str">
        <f>IFERROR(__xludf.DUMMYFUNCTION("""COMPUTED_VALUE"""),"7up")</f>
        <v>7up</v>
      </c>
      <c r="D902" s="1">
        <f>IFERROR(__xludf.DUMMYFUNCTION("""COMPUTED_VALUE"""),48.0)</f>
        <v>48</v>
      </c>
      <c r="E902" s="1">
        <f>IFERROR(__xludf.DUMMYFUNCTION("""COMPUTED_VALUE"""),12.0)</f>
        <v>12</v>
      </c>
      <c r="F902" s="1">
        <f>IFERROR(__xludf.DUMMYFUNCTION("""COMPUTED_VALUE"""),16.0)</f>
        <v>16</v>
      </c>
      <c r="G902" s="1">
        <f t="shared" si="1"/>
        <v>3</v>
      </c>
      <c r="H902" s="1">
        <f t="shared" si="2"/>
        <v>0.75</v>
      </c>
      <c r="I902" s="1">
        <f>IFERROR(__xludf.DUMMYFUNCTION("IF(B902="""","""",
  100*F902 / MAX(FILTER($F:$F, $A:$A=$A902, $B:$B=$B902))
)
"),4.9079754601226995)</f>
        <v>4.90797546</v>
      </c>
      <c r="J902" s="1">
        <f>IFERROR(__xludf.DUMMYFUNCTION("IF(B902="""","""",
  100*E902 / MAX(FILTER($E:$E, $A:$A=$A902, $B:$B=$B902))
)
"),5.184481119847922)</f>
        <v>5.18448112</v>
      </c>
      <c r="K902" s="1">
        <f t="shared" si="3"/>
        <v>5.032403007</v>
      </c>
    </row>
    <row r="903">
      <c r="A903" s="3">
        <f>IFERROR(__xludf.DUMMYFUNCTION("""COMPUTED_VALUE"""),46023.0)</f>
        <v>46023</v>
      </c>
      <c r="B903" s="1" t="str">
        <f>IFERROR(__xludf.DUMMYFUNCTION("""COMPUTED_VALUE"""),"DPMall")</f>
        <v>DPMall</v>
      </c>
      <c r="C903" s="1" t="str">
        <f>IFERROR(__xludf.DUMMYFUNCTION("""COMPUTED_VALUE"""),"Almarai Strawberry")</f>
        <v>Almarai Strawberry</v>
      </c>
      <c r="D903" s="1">
        <f>IFERROR(__xludf.DUMMYFUNCTION("""COMPUTED_VALUE"""),57.0)</f>
        <v>57</v>
      </c>
      <c r="E903" s="1">
        <f>IFERROR(__xludf.DUMMYFUNCTION("""COMPUTED_VALUE"""),17.48)</f>
        <v>17.48</v>
      </c>
      <c r="F903" s="1">
        <f>IFERROR(__xludf.DUMMYFUNCTION("""COMPUTED_VALUE"""),19.0)</f>
        <v>19</v>
      </c>
    </row>
    <row r="904">
      <c r="A904" s="3">
        <f>IFERROR(__xludf.DUMMYFUNCTION("""COMPUTED_VALUE"""),46023.0)</f>
        <v>46023</v>
      </c>
      <c r="B904" s="1" t="str">
        <f>IFERROR(__xludf.DUMMYFUNCTION("""COMPUTED_VALUE"""),"DPMall")</f>
        <v>DPMall</v>
      </c>
      <c r="C904" s="1" t="str">
        <f>IFERROR(__xludf.DUMMYFUNCTION("""COMPUTED_VALUE"""),"Doritos cool ranc")</f>
        <v>Doritos cool ranc</v>
      </c>
      <c r="D904" s="1">
        <f>IFERROR(__xludf.DUMMYFUNCTION("""COMPUTED_VALUE"""),347.0)</f>
        <v>347</v>
      </c>
      <c r="E904" s="1">
        <f>IFERROR(__xludf.DUMMYFUNCTION("""COMPUTED_VALUE"""),163.46)</f>
        <v>163.46</v>
      </c>
      <c r="F904" s="1">
        <f>IFERROR(__xludf.DUMMYFUNCTION("""COMPUTED_VALUE"""),69.0)</f>
        <v>69</v>
      </c>
    </row>
    <row r="905">
      <c r="A905" s="3">
        <f>IFERROR(__xludf.DUMMYFUNCTION("""COMPUTED_VALUE"""),46023.0)</f>
        <v>46023</v>
      </c>
      <c r="B905" s="1" t="str">
        <f>IFERROR(__xludf.DUMMYFUNCTION("""COMPUTED_VALUE"""),"DPMall")</f>
        <v>DPMall</v>
      </c>
      <c r="C905" s="1" t="str">
        <f>IFERROR(__xludf.DUMMYFUNCTION("""COMPUTED_VALUE"""),"Gardena")</f>
        <v>Gardena</v>
      </c>
      <c r="D905" s="1">
        <f>IFERROR(__xludf.DUMMYFUNCTION("""COMPUTED_VALUE"""),30.0)</f>
        <v>30</v>
      </c>
      <c r="E905" s="1">
        <f>IFERROR(__xludf.DUMMYFUNCTION("""COMPUTED_VALUE"""),21.75)</f>
        <v>21.75</v>
      </c>
      <c r="F905" s="1">
        <f>IFERROR(__xludf.DUMMYFUNCTION("""COMPUTED_VALUE"""),3.0)</f>
        <v>3</v>
      </c>
    </row>
    <row r="906">
      <c r="A906" s="3">
        <f>IFERROR(__xludf.DUMMYFUNCTION("""COMPUTED_VALUE"""),46023.0)</f>
        <v>46023</v>
      </c>
      <c r="B906" s="1" t="str">
        <f>IFERROR(__xludf.DUMMYFUNCTION("""COMPUTED_VALUE"""),"DPMall")</f>
        <v>DPMall</v>
      </c>
      <c r="C906" s="1" t="str">
        <f>IFERROR(__xludf.DUMMYFUNCTION("""COMPUTED_VALUE"""),"Haribo")</f>
        <v>Haribo</v>
      </c>
      <c r="D906" s="1">
        <f>IFERROR(__xludf.DUMMYFUNCTION("""COMPUTED_VALUE"""),51.0)</f>
        <v>51</v>
      </c>
      <c r="E906" s="1">
        <f>IFERROR(__xludf.DUMMYFUNCTION("""COMPUTED_VALUE"""),21.25)</f>
        <v>21.25</v>
      </c>
      <c r="F906" s="1">
        <f>IFERROR(__xludf.DUMMYFUNCTION("""COMPUTED_VALUE"""),17.0)</f>
        <v>17</v>
      </c>
    </row>
    <row r="907">
      <c r="A907" s="3">
        <f>IFERROR(__xludf.DUMMYFUNCTION("""COMPUTED_VALUE"""),46023.0)</f>
        <v>46023</v>
      </c>
      <c r="B907" s="1" t="str">
        <f>IFERROR(__xludf.DUMMYFUNCTION("""COMPUTED_VALUE"""),"DPMall")</f>
        <v>DPMall</v>
      </c>
      <c r="C907" s="1" t="str">
        <f>IFERROR(__xludf.DUMMYFUNCTION("""COMPUTED_VALUE"""),"Laviva")</f>
        <v>Laviva</v>
      </c>
      <c r="D907" s="1">
        <f>IFERROR(__xludf.DUMMYFUNCTION("""COMPUTED_VALUE"""),72.0)</f>
        <v>72</v>
      </c>
      <c r="E907" s="1">
        <f>IFERROR(__xludf.DUMMYFUNCTION("""COMPUTED_VALUE"""),22.08)</f>
        <v>22.08</v>
      </c>
      <c r="F907" s="1">
        <f>IFERROR(__xludf.DUMMYFUNCTION("""COMPUTED_VALUE"""),24.0)</f>
        <v>24</v>
      </c>
    </row>
    <row r="908">
      <c r="A908" s="3">
        <f>IFERROR(__xludf.DUMMYFUNCTION("""COMPUTED_VALUE"""),46023.0)</f>
        <v>46023</v>
      </c>
      <c r="B908" s="1" t="str">
        <f>IFERROR(__xludf.DUMMYFUNCTION("""COMPUTED_VALUE"""),"DPMall")</f>
        <v>DPMall</v>
      </c>
      <c r="C908" s="1" t="str">
        <f>IFERROR(__xludf.DUMMYFUNCTION("""COMPUTED_VALUE"""),"Maltesers")</f>
        <v>Maltesers</v>
      </c>
      <c r="D908" s="1">
        <f>IFERROR(__xludf.DUMMYFUNCTION("""COMPUTED_VALUE"""),78.0)</f>
        <v>78</v>
      </c>
      <c r="E908" s="1">
        <f>IFERROR(__xludf.DUMMYFUNCTION("""COMPUTED_VALUE"""),15.3)</f>
        <v>15.3</v>
      </c>
      <c r="F908" s="1">
        <f>IFERROR(__xludf.DUMMYFUNCTION("""COMPUTED_VALUE"""),11.0)</f>
        <v>11</v>
      </c>
    </row>
    <row r="909">
      <c r="A909" s="3">
        <f>IFERROR(__xludf.DUMMYFUNCTION("""COMPUTED_VALUE"""),46023.0)</f>
        <v>46023</v>
      </c>
      <c r="B909" s="1" t="str">
        <f>IFERROR(__xludf.DUMMYFUNCTION("""COMPUTED_VALUE"""),"DPMall")</f>
        <v>DPMall</v>
      </c>
      <c r="C909" s="1" t="str">
        <f>IFERROR(__xludf.DUMMYFUNCTION("""COMPUTED_VALUE"""),"Marshmellow sweetBag")</f>
        <v>Marshmellow sweetBag</v>
      </c>
      <c r="D909" s="1">
        <f>IFERROR(__xludf.DUMMYFUNCTION("""COMPUTED_VALUE"""),93.0)</f>
        <v>93</v>
      </c>
      <c r="E909" s="1">
        <f>IFERROR(__xludf.DUMMYFUNCTION("""COMPUTED_VALUE"""),36.27)</f>
        <v>36.27</v>
      </c>
      <c r="F909" s="1">
        <f>IFERROR(__xludf.DUMMYFUNCTION("""COMPUTED_VALUE"""),31.0)</f>
        <v>31</v>
      </c>
    </row>
    <row r="910">
      <c r="A910" s="3">
        <f>IFERROR(__xludf.DUMMYFUNCTION("""COMPUTED_VALUE"""),46023.0)</f>
        <v>46023</v>
      </c>
      <c r="B910" s="1" t="str">
        <f>IFERROR(__xludf.DUMMYFUNCTION("""COMPUTED_VALUE"""),"DPMall")</f>
        <v>DPMall</v>
      </c>
      <c r="C910" s="1" t="str">
        <f>IFERROR(__xludf.DUMMYFUNCTION("""COMPUTED_VALUE"""),"Mirinda")</f>
        <v>Mirinda</v>
      </c>
      <c r="D910" s="1">
        <f>IFERROR(__xludf.DUMMYFUNCTION("""COMPUTED_VALUE"""),39.0)</f>
        <v>39</v>
      </c>
      <c r="E910" s="1">
        <f>IFERROR(__xludf.DUMMYFUNCTION("""COMPUTED_VALUE"""),9.75)</f>
        <v>9.75</v>
      </c>
      <c r="F910" s="1">
        <f>IFERROR(__xludf.DUMMYFUNCTION("""COMPUTED_VALUE"""),13.0)</f>
        <v>13</v>
      </c>
    </row>
    <row r="911">
      <c r="A911" s="3">
        <f>IFERROR(__xludf.DUMMYFUNCTION("""COMPUTED_VALUE"""),46023.0)</f>
        <v>46023</v>
      </c>
      <c r="B911" s="1" t="str">
        <f>IFERROR(__xludf.DUMMYFUNCTION("""COMPUTED_VALUE"""),"DPMall")</f>
        <v>DPMall</v>
      </c>
      <c r="C911" s="1" t="str">
        <f>IFERROR(__xludf.DUMMYFUNCTION("""COMPUTED_VALUE"""),"Mr Crunch cheez top")</f>
        <v>Mr Crunch cheez top</v>
      </c>
      <c r="D911" s="1">
        <f>IFERROR(__xludf.DUMMYFUNCTION("""COMPUTED_VALUE"""),84.0)</f>
        <v>84</v>
      </c>
      <c r="E911" s="1">
        <f>IFERROR(__xludf.DUMMYFUNCTION("""COMPUTED_VALUE"""),53.0)</f>
        <v>53</v>
      </c>
      <c r="F911" s="1">
        <f>IFERROR(__xludf.DUMMYFUNCTION("""COMPUTED_VALUE"""),20.0)</f>
        <v>20</v>
      </c>
    </row>
    <row r="912">
      <c r="A912" s="3">
        <f>IFERROR(__xludf.DUMMYFUNCTION("""COMPUTED_VALUE"""),46023.0)</f>
        <v>46023</v>
      </c>
      <c r="B912" s="1" t="str">
        <f>IFERROR(__xludf.DUMMYFUNCTION("""COMPUTED_VALUE"""),"DPMall")</f>
        <v>DPMall</v>
      </c>
      <c r="C912" s="1" t="str">
        <f>IFERROR(__xludf.DUMMYFUNCTION("""COMPUTED_VALUE"""),"Mr Crunch normal")</f>
        <v>Mr Crunch normal</v>
      </c>
      <c r="D912" s="1">
        <f>IFERROR(__xludf.DUMMYFUNCTION("""COMPUTED_VALUE"""),35.0)</f>
        <v>35</v>
      </c>
      <c r="E912" s="1">
        <f>IFERROR(__xludf.DUMMYFUNCTION("""COMPUTED_VALUE"""),19.6)</f>
        <v>19.6</v>
      </c>
      <c r="F912" s="1">
        <f>IFERROR(__xludf.DUMMYFUNCTION("""COMPUTED_VALUE"""),7.0)</f>
        <v>7</v>
      </c>
    </row>
    <row r="913">
      <c r="A913" s="3">
        <f>IFERROR(__xludf.DUMMYFUNCTION("""COMPUTED_VALUE"""),46023.0)</f>
        <v>46023</v>
      </c>
      <c r="B913" s="1" t="str">
        <f>IFERROR(__xludf.DUMMYFUNCTION("""COMPUTED_VALUE"""),"DPMall")</f>
        <v>DPMall</v>
      </c>
      <c r="C913" s="1" t="str">
        <f>IFERROR(__xludf.DUMMYFUNCTION("""COMPUTED_VALUE"""),"Pepsi")</f>
        <v>Pepsi</v>
      </c>
      <c r="D913" s="1">
        <f>IFERROR(__xludf.DUMMYFUNCTION("""COMPUTED_VALUE"""),111.0)</f>
        <v>111</v>
      </c>
      <c r="E913" s="1">
        <f>IFERROR(__xludf.DUMMYFUNCTION("""COMPUTED_VALUE"""),27.75)</f>
        <v>27.75</v>
      </c>
      <c r="F913" s="1">
        <f>IFERROR(__xludf.DUMMYFUNCTION("""COMPUTED_VALUE"""),37.0)</f>
        <v>37</v>
      </c>
    </row>
    <row r="914">
      <c r="A914" s="3">
        <f>IFERROR(__xludf.DUMMYFUNCTION("""COMPUTED_VALUE"""),46023.0)</f>
        <v>46023</v>
      </c>
      <c r="B914" s="1" t="str">
        <f>IFERROR(__xludf.DUMMYFUNCTION("""COMPUTED_VALUE"""),"DPMall")</f>
        <v>DPMall</v>
      </c>
      <c r="C914" s="1" t="str">
        <f>IFERROR(__xludf.DUMMYFUNCTION("""COMPUTED_VALUE"""),"SunTop Saudi")</f>
        <v>SunTop Saudi</v>
      </c>
      <c r="D914" s="1">
        <f>IFERROR(__xludf.DUMMYFUNCTION("""COMPUTED_VALUE"""),119.0)</f>
        <v>119</v>
      </c>
      <c r="E914" s="1">
        <f>IFERROR(__xludf.DUMMYFUNCTION("""COMPUTED_VALUE"""),50.52)</f>
        <v>50.52</v>
      </c>
      <c r="F914" s="1">
        <f>IFERROR(__xludf.DUMMYFUNCTION("""COMPUTED_VALUE"""),107.0)</f>
        <v>107</v>
      </c>
    </row>
    <row r="915">
      <c r="A915" s="3">
        <f>IFERROR(__xludf.DUMMYFUNCTION("""COMPUTED_VALUE"""),46023.0)</f>
        <v>46023</v>
      </c>
      <c r="B915" s="1" t="str">
        <f>IFERROR(__xludf.DUMMYFUNCTION("""COMPUTED_VALUE"""),"DPMall")</f>
        <v>DPMall</v>
      </c>
      <c r="C915" s="1" t="str">
        <f>IFERROR(__xludf.DUMMYFUNCTION("""COMPUTED_VALUE"""),"Water")</f>
        <v>Water</v>
      </c>
      <c r="D915" s="1">
        <f>IFERROR(__xludf.DUMMYFUNCTION("""COMPUTED_VALUE"""),326.0)</f>
        <v>326</v>
      </c>
      <c r="E915" s="1">
        <f>IFERROR(__xludf.DUMMYFUNCTION("""COMPUTED_VALUE"""),231.46)</f>
        <v>231.46</v>
      </c>
      <c r="F915" s="1">
        <f>IFERROR(__xludf.DUMMYFUNCTION("""COMPUTED_VALUE"""),326.0)</f>
        <v>326</v>
      </c>
    </row>
    <row r="916">
      <c r="A916" s="3">
        <f>IFERROR(__xludf.DUMMYFUNCTION("""COMPUTED_VALUE"""),46023.0)</f>
        <v>46023</v>
      </c>
      <c r="B916" s="1" t="str">
        <f>IFERROR(__xludf.DUMMYFUNCTION("""COMPUTED_VALUE"""),"DPMall")</f>
        <v>DPMall</v>
      </c>
      <c r="C916" s="1" t="str">
        <f>IFERROR(__xludf.DUMMYFUNCTION("""COMPUTED_VALUE"""),"X!R")</f>
        <v>X!R</v>
      </c>
      <c r="D916" s="1">
        <f>IFERROR(__xludf.DUMMYFUNCTION("""COMPUTED_VALUE"""),399.0)</f>
        <v>399</v>
      </c>
      <c r="E916" s="1">
        <f>IFERROR(__xludf.DUMMYFUNCTION("""COMPUTED_VALUE"""),132.51)</f>
        <v>132.51</v>
      </c>
      <c r="F916" s="1">
        <f>IFERROR(__xludf.DUMMYFUNCTION("""COMPUTED_VALUE"""),81.0)</f>
        <v>81</v>
      </c>
    </row>
    <row r="917">
      <c r="A917" s="3">
        <f>IFERROR(__xludf.DUMMYFUNCTION("""COMPUTED_VALUE"""),46023.0)</f>
        <v>46023</v>
      </c>
      <c r="B917" s="1" t="str">
        <f>IFERROR(__xludf.DUMMYFUNCTION("""COMPUTED_VALUE"""),"DPMall")</f>
        <v>DPMall</v>
      </c>
      <c r="C917" s="1" t="str">
        <f>IFERROR(__xludf.DUMMYFUNCTION("""COMPUTED_VALUE"""),"bueno 1 stick")</f>
        <v>bueno 1 stick</v>
      </c>
      <c r="D917" s="1">
        <f>IFERROR(__xludf.DUMMYFUNCTION("""COMPUTED_VALUE"""),18.0)</f>
        <v>18</v>
      </c>
      <c r="E917" s="1">
        <f>IFERROR(__xludf.DUMMYFUNCTION("""COMPUTED_VALUE"""),9.0)</f>
        <v>9</v>
      </c>
      <c r="F917" s="1">
        <f>IFERROR(__xludf.DUMMYFUNCTION("""COMPUTED_VALUE"""),3.0)</f>
        <v>3</v>
      </c>
    </row>
    <row r="918">
      <c r="A918" s="3">
        <f>IFERROR(__xludf.DUMMYFUNCTION("""COMPUTED_VALUE"""),46023.0)</f>
        <v>46023</v>
      </c>
      <c r="B918" s="1" t="str">
        <f>IFERROR(__xludf.DUMMYFUNCTION("""COMPUTED_VALUE"""),"DPMall")</f>
        <v>DPMall</v>
      </c>
      <c r="C918" s="1" t="str">
        <f>IFERROR(__xludf.DUMMYFUNCTION("""COMPUTED_VALUE"""),"ifrui juice")</f>
        <v>ifrui juice</v>
      </c>
      <c r="D918" s="1">
        <f>IFERROR(__xludf.DUMMYFUNCTION("""COMPUTED_VALUE"""),1.0)</f>
        <v>1</v>
      </c>
      <c r="E918" s="1">
        <f>IFERROR(__xludf.DUMMYFUNCTION("""COMPUTED_VALUE"""),-0.33)</f>
        <v>-0.33</v>
      </c>
      <c r="F918" s="1">
        <f>IFERROR(__xludf.DUMMYFUNCTION("""COMPUTED_VALUE"""),1.0)</f>
        <v>1</v>
      </c>
    </row>
    <row r="919">
      <c r="A919" s="3">
        <f>IFERROR(__xludf.DUMMYFUNCTION("""COMPUTED_VALUE"""),46023.0)</f>
        <v>46023</v>
      </c>
      <c r="B919" s="1" t="str">
        <f>IFERROR(__xludf.DUMMYFUNCTION("""COMPUTED_VALUE"""),"DPMall")</f>
        <v>DPMall</v>
      </c>
      <c r="C919" s="1" t="str">
        <f>IFERROR(__xludf.DUMMYFUNCTION("""COMPUTED_VALUE"""),"kinder bueno")</f>
        <v>kinder bueno</v>
      </c>
      <c r="D919" s="1">
        <f>IFERROR(__xludf.DUMMYFUNCTION("""COMPUTED_VALUE"""),70.0)</f>
        <v>70</v>
      </c>
      <c r="E919" s="1">
        <f>IFERROR(__xludf.DUMMYFUNCTION("""COMPUTED_VALUE"""),10.0)</f>
        <v>10</v>
      </c>
      <c r="F919" s="1">
        <f>IFERROR(__xludf.DUMMYFUNCTION("""COMPUTED_VALUE"""),10.0)</f>
        <v>10</v>
      </c>
    </row>
    <row r="920">
      <c r="A920" s="3">
        <f>IFERROR(__xludf.DUMMYFUNCTION("""COMPUTED_VALUE"""),46023.0)</f>
        <v>46023</v>
      </c>
      <c r="B920" s="1" t="str">
        <f>IFERROR(__xludf.DUMMYFUNCTION("""COMPUTED_VALUE"""),"DPMall")</f>
        <v>DPMall</v>
      </c>
      <c r="C920" s="1" t="str">
        <f>IFERROR(__xludf.DUMMYFUNCTION("""COMPUTED_VALUE"""),"kinza")</f>
        <v>kinza</v>
      </c>
      <c r="D920" s="1">
        <f>IFERROR(__xludf.DUMMYFUNCTION("""COMPUTED_VALUE"""),27.0)</f>
        <v>27</v>
      </c>
      <c r="E920" s="1">
        <f>IFERROR(__xludf.DUMMYFUNCTION("""COMPUTED_VALUE"""),15.66)</f>
        <v>15.66</v>
      </c>
      <c r="F920" s="1">
        <f>IFERROR(__xludf.DUMMYFUNCTION("""COMPUTED_VALUE"""),9.0)</f>
        <v>9</v>
      </c>
    </row>
    <row r="921">
      <c r="A921" s="3">
        <f>IFERROR(__xludf.DUMMYFUNCTION("""COMPUTED_VALUE"""),46023.0)</f>
        <v>46023</v>
      </c>
      <c r="B921" s="1" t="str">
        <f>IFERROR(__xludf.DUMMYFUNCTION("""COMPUTED_VALUE"""),"DPMall")</f>
        <v>DPMall</v>
      </c>
      <c r="C921" s="1" t="str">
        <f>IFERROR(__xludf.DUMMYFUNCTION("""COMPUTED_VALUE"""),"mars")</f>
        <v>mars</v>
      </c>
      <c r="D921" s="1">
        <f>IFERROR(__xludf.DUMMYFUNCTION("""COMPUTED_VALUE"""),16.0)</f>
        <v>16</v>
      </c>
      <c r="E921" s="1">
        <f>IFERROR(__xludf.DUMMYFUNCTION("""COMPUTED_VALUE"""),7.6)</f>
        <v>7.6</v>
      </c>
      <c r="F921" s="1">
        <f>IFERROR(__xludf.DUMMYFUNCTION("""COMPUTED_VALUE"""),3.0)</f>
        <v>3</v>
      </c>
    </row>
    <row r="922">
      <c r="A922" s="3">
        <f>IFERROR(__xludf.DUMMYFUNCTION("""COMPUTED_VALUE"""),46023.0)</f>
        <v>46023</v>
      </c>
      <c r="B922" s="1" t="str">
        <f>IFERROR(__xludf.DUMMYFUNCTION("""COMPUTED_VALUE"""),"DPMall")</f>
        <v>DPMall</v>
      </c>
      <c r="C922" s="1" t="str">
        <f>IFERROR(__xludf.DUMMYFUNCTION("""COMPUTED_VALUE"""),"mr bite")</f>
        <v>mr bite</v>
      </c>
      <c r="D922" s="1">
        <f>IFERROR(__xludf.DUMMYFUNCTION("""COMPUTED_VALUE"""),158.0)</f>
        <v>158</v>
      </c>
      <c r="E922" s="1">
        <f>IFERROR(__xludf.DUMMYFUNCTION("""COMPUTED_VALUE"""),59.25)</f>
        <v>59.25</v>
      </c>
      <c r="F922" s="1">
        <f>IFERROR(__xludf.DUMMYFUNCTION("""COMPUTED_VALUE"""),79.0)</f>
        <v>79</v>
      </c>
    </row>
    <row r="923">
      <c r="A923" s="3">
        <f>IFERROR(__xludf.DUMMYFUNCTION("""COMPUTED_VALUE"""),46023.0)</f>
        <v>46023</v>
      </c>
      <c r="B923" s="1" t="str">
        <f>IFERROR(__xludf.DUMMYFUNCTION("""COMPUTED_VALUE"""),"DPMall")</f>
        <v>DPMall</v>
      </c>
      <c r="C923" s="1" t="str">
        <f>IFERROR(__xludf.DUMMYFUNCTION("""COMPUTED_VALUE"""),"schweppers")</f>
        <v>schweppers</v>
      </c>
      <c r="D923" s="1">
        <f>IFERROR(__xludf.DUMMYFUNCTION("""COMPUTED_VALUE"""),51.0)</f>
        <v>51</v>
      </c>
      <c r="E923" s="1">
        <f>IFERROR(__xludf.DUMMYFUNCTION("""COMPUTED_VALUE"""),17.0)</f>
        <v>17</v>
      </c>
      <c r="F923" s="1">
        <f>IFERROR(__xludf.DUMMYFUNCTION("""COMPUTED_VALUE"""),17.0)</f>
        <v>17</v>
      </c>
    </row>
    <row r="924">
      <c r="A924" s="3">
        <f>IFERROR(__xludf.DUMMYFUNCTION("""COMPUTED_VALUE"""),46023.0)</f>
        <v>46023</v>
      </c>
      <c r="B924" s="1" t="str">
        <f>IFERROR(__xludf.DUMMYFUNCTION("""COMPUTED_VALUE"""),"DPMall")</f>
        <v>DPMall</v>
      </c>
      <c r="C924" s="1" t="str">
        <f>IFERROR(__xludf.DUMMYFUNCTION("""COMPUTED_VALUE"""),"snickers")</f>
        <v>snickers</v>
      </c>
      <c r="D924" s="1">
        <f>IFERROR(__xludf.DUMMYFUNCTION("""COMPUTED_VALUE"""),6.0)</f>
        <v>6</v>
      </c>
      <c r="E924" s="1">
        <f>IFERROR(__xludf.DUMMYFUNCTION("""COMPUTED_VALUE"""),1.0)</f>
        <v>1</v>
      </c>
      <c r="F924" s="1">
        <f>IFERROR(__xludf.DUMMYFUNCTION("""COMPUTED_VALUE"""),1.0)</f>
        <v>1</v>
      </c>
    </row>
    <row r="925">
      <c r="A925" s="3">
        <f>IFERROR(__xludf.DUMMYFUNCTION("""COMPUTED_VALUE"""),46023.0)</f>
        <v>46023</v>
      </c>
      <c r="B925" s="1" t="str">
        <f>IFERROR(__xludf.DUMMYFUNCTION("""COMPUTED_VALUE"""),"DPMall")</f>
        <v>DPMall</v>
      </c>
      <c r="C925" s="1" t="str">
        <f>IFERROR(__xludf.DUMMYFUNCTION("""COMPUTED_VALUE"""),"tiger 12")</f>
        <v>tiger 12</v>
      </c>
      <c r="D925" s="1">
        <f>IFERROR(__xludf.DUMMYFUNCTION("""COMPUTED_VALUE"""),524.0)</f>
        <v>524</v>
      </c>
      <c r="E925" s="1">
        <f>IFERROR(__xludf.DUMMYFUNCTION("""COMPUTED_VALUE"""),224.0)</f>
        <v>224</v>
      </c>
      <c r="F925" s="1">
        <f>IFERROR(__xludf.DUMMYFUNCTION("""COMPUTED_VALUE"""),100.0)</f>
        <v>100</v>
      </c>
    </row>
    <row r="926">
      <c r="A926" s="3">
        <f>IFERROR(__xludf.DUMMYFUNCTION("""COMPUTED_VALUE"""),46023.0)</f>
        <v>46023</v>
      </c>
      <c r="B926" s="1" t="str">
        <f>IFERROR(__xludf.DUMMYFUNCTION("""COMPUTED_VALUE"""),"HTMall")</f>
        <v>HTMall</v>
      </c>
      <c r="C926" s="1" t="str">
        <f>IFERROR(__xludf.DUMMYFUNCTION("""COMPUTED_VALUE"""),"7up")</f>
        <v>7up</v>
      </c>
      <c r="D926" s="1">
        <f>IFERROR(__xludf.DUMMYFUNCTION("""COMPUTED_VALUE"""),69.0)</f>
        <v>69</v>
      </c>
      <c r="E926" s="1">
        <f>IFERROR(__xludf.DUMMYFUNCTION("""COMPUTED_VALUE"""),17.25)</f>
        <v>17.25</v>
      </c>
      <c r="F926" s="1">
        <f>IFERROR(__xludf.DUMMYFUNCTION("""COMPUTED_VALUE"""),23.0)</f>
        <v>23</v>
      </c>
    </row>
    <row r="927">
      <c r="A927" s="3">
        <f>IFERROR(__xludf.DUMMYFUNCTION("""COMPUTED_VALUE"""),46023.0)</f>
        <v>46023</v>
      </c>
      <c r="B927" s="1" t="str">
        <f>IFERROR(__xludf.DUMMYFUNCTION("""COMPUTED_VALUE"""),"HTMall")</f>
        <v>HTMall</v>
      </c>
      <c r="C927" s="1" t="str">
        <f>IFERROR(__xludf.DUMMYFUNCTION("""COMPUTED_VALUE"""),"Almarai Chocolate")</f>
        <v>Almarai Chocolate</v>
      </c>
      <c r="D927" s="1">
        <f>IFERROR(__xludf.DUMMYFUNCTION("""COMPUTED_VALUE"""),240.0)</f>
        <v>240</v>
      </c>
      <c r="E927" s="1">
        <f>IFERROR(__xludf.DUMMYFUNCTION("""COMPUTED_VALUE"""),80.0)</f>
        <v>80</v>
      </c>
      <c r="F927" s="1">
        <f>IFERROR(__xludf.DUMMYFUNCTION("""COMPUTED_VALUE"""),80.0)</f>
        <v>80</v>
      </c>
    </row>
    <row r="928">
      <c r="A928" s="3">
        <f>IFERROR(__xludf.DUMMYFUNCTION("""COMPUTED_VALUE"""),46023.0)</f>
        <v>46023</v>
      </c>
      <c r="B928" s="1" t="str">
        <f>IFERROR(__xludf.DUMMYFUNCTION("""COMPUTED_VALUE"""),"HTMall")</f>
        <v>HTMall</v>
      </c>
      <c r="C928" s="1" t="str">
        <f>IFERROR(__xludf.DUMMYFUNCTION("""COMPUTED_VALUE"""),"Almarai Strawberry")</f>
        <v>Almarai Strawberry</v>
      </c>
      <c r="D928" s="1">
        <f>IFERROR(__xludf.DUMMYFUNCTION("""COMPUTED_VALUE"""),198.0)</f>
        <v>198</v>
      </c>
      <c r="E928" s="1">
        <f>IFERROR(__xludf.DUMMYFUNCTION("""COMPUTED_VALUE"""),60.72)</f>
        <v>60.72</v>
      </c>
      <c r="F928" s="1">
        <f>IFERROR(__xludf.DUMMYFUNCTION("""COMPUTED_VALUE"""),66.0)</f>
        <v>66</v>
      </c>
    </row>
    <row r="929">
      <c r="A929" s="3">
        <f>IFERROR(__xludf.DUMMYFUNCTION("""COMPUTED_VALUE"""),46023.0)</f>
        <v>46023</v>
      </c>
      <c r="B929" s="1" t="str">
        <f>IFERROR(__xludf.DUMMYFUNCTION("""COMPUTED_VALUE"""),"HTMall")</f>
        <v>HTMall</v>
      </c>
      <c r="C929" s="1" t="str">
        <f>IFERROR(__xludf.DUMMYFUNCTION("""COMPUTED_VALUE"""),"Barbican")</f>
        <v>Barbican</v>
      </c>
      <c r="D929" s="1">
        <f>IFERROR(__xludf.DUMMYFUNCTION("""COMPUTED_VALUE"""),35.0)</f>
        <v>35</v>
      </c>
      <c r="E929" s="1">
        <f>IFERROR(__xludf.DUMMYFUNCTION("""COMPUTED_VALUE"""),12.81)</f>
        <v>12.81</v>
      </c>
      <c r="F929" s="1">
        <f>IFERROR(__xludf.DUMMYFUNCTION("""COMPUTED_VALUE"""),7.0)</f>
        <v>7</v>
      </c>
    </row>
    <row r="930">
      <c r="A930" s="3">
        <f>IFERROR(__xludf.DUMMYFUNCTION("""COMPUTED_VALUE"""),46023.0)</f>
        <v>46023</v>
      </c>
      <c r="B930" s="1" t="str">
        <f>IFERROR(__xludf.DUMMYFUNCTION("""COMPUTED_VALUE"""),"HTMall")</f>
        <v>HTMall</v>
      </c>
      <c r="C930" s="1" t="str">
        <f>IFERROR(__xludf.DUMMYFUNCTION("""COMPUTED_VALUE"""),"Buldak")</f>
        <v>Buldak</v>
      </c>
      <c r="D930" s="1">
        <f>IFERROR(__xludf.DUMMYFUNCTION("""COMPUTED_VALUE"""),165.0)</f>
        <v>165</v>
      </c>
      <c r="E930" s="1">
        <f>IFERROR(__xludf.DUMMYFUNCTION("""COMPUTED_VALUE"""),77.0)</f>
        <v>77</v>
      </c>
      <c r="F930" s="1">
        <f>IFERROR(__xludf.DUMMYFUNCTION("""COMPUTED_VALUE"""),11.0)</f>
        <v>11</v>
      </c>
    </row>
    <row r="931">
      <c r="A931" s="3">
        <f>IFERROR(__xludf.DUMMYFUNCTION("""COMPUTED_VALUE"""),46023.0)</f>
        <v>46023</v>
      </c>
      <c r="B931" s="1" t="str">
        <f>IFERROR(__xludf.DUMMYFUNCTION("""COMPUTED_VALUE"""),"HTMall")</f>
        <v>HTMall</v>
      </c>
      <c r="C931" s="1" t="str">
        <f>IFERROR(__xludf.DUMMYFUNCTION("""COMPUTED_VALUE"""),"Chotso")</f>
        <v>Chotso</v>
      </c>
      <c r="D931" s="1">
        <f>IFERROR(__xludf.DUMMYFUNCTION("""COMPUTED_VALUE"""),30.0)</f>
        <v>30</v>
      </c>
      <c r="E931" s="1">
        <f>IFERROR(__xludf.DUMMYFUNCTION("""COMPUTED_VALUE"""),13.98)</f>
        <v>13.98</v>
      </c>
      <c r="F931" s="1">
        <f>IFERROR(__xludf.DUMMYFUNCTION("""COMPUTED_VALUE"""),6.0)</f>
        <v>6</v>
      </c>
    </row>
    <row r="932">
      <c r="A932" s="3">
        <f>IFERROR(__xludf.DUMMYFUNCTION("""COMPUTED_VALUE"""),46023.0)</f>
        <v>46023</v>
      </c>
      <c r="B932" s="1" t="str">
        <f>IFERROR(__xludf.DUMMYFUNCTION("""COMPUTED_VALUE"""),"HTMall")</f>
        <v>HTMall</v>
      </c>
      <c r="C932" s="1" t="str">
        <f>IFERROR(__xludf.DUMMYFUNCTION("""COMPUTED_VALUE"""),"Coach Suntop")</f>
        <v>Coach Suntop</v>
      </c>
      <c r="D932" s="1">
        <f>IFERROR(__xludf.DUMMYFUNCTION("""COMPUTED_VALUE"""),17.0)</f>
        <v>17</v>
      </c>
      <c r="E932" s="1">
        <f>IFERROR(__xludf.DUMMYFUNCTION("""COMPUTED_VALUE"""),9.35)</f>
        <v>9.35</v>
      </c>
      <c r="F932" s="1">
        <f>IFERROR(__xludf.DUMMYFUNCTION("""COMPUTED_VALUE"""),17.0)</f>
        <v>17</v>
      </c>
    </row>
    <row r="933">
      <c r="A933" s="3">
        <f>IFERROR(__xludf.DUMMYFUNCTION("""COMPUTED_VALUE"""),46023.0)</f>
        <v>46023</v>
      </c>
      <c r="B933" s="1" t="str">
        <f>IFERROR(__xludf.DUMMYFUNCTION("""COMPUTED_VALUE"""),"HTMall")</f>
        <v>HTMall</v>
      </c>
      <c r="C933" s="1" t="str">
        <f>IFERROR(__xludf.DUMMYFUNCTION("""COMPUTED_VALUE"""),"Doritos cool ranc")</f>
        <v>Doritos cool ranc</v>
      </c>
      <c r="D933" s="1">
        <f>IFERROR(__xludf.DUMMYFUNCTION("""COMPUTED_VALUE"""),525.0)</f>
        <v>525</v>
      </c>
      <c r="E933" s="1">
        <f>IFERROR(__xludf.DUMMYFUNCTION("""COMPUTED_VALUE"""),251.02)</f>
        <v>251.02</v>
      </c>
      <c r="F933" s="1">
        <f>IFERROR(__xludf.DUMMYFUNCTION("""COMPUTED_VALUE"""),103.0)</f>
        <v>103</v>
      </c>
    </row>
    <row r="934">
      <c r="A934" s="3">
        <f>IFERROR(__xludf.DUMMYFUNCTION("""COMPUTED_VALUE"""),46023.0)</f>
        <v>46023</v>
      </c>
      <c r="B934" s="1" t="str">
        <f>IFERROR(__xludf.DUMMYFUNCTION("""COMPUTED_VALUE"""),"HTMall")</f>
        <v>HTMall</v>
      </c>
      <c r="C934" s="1" t="str">
        <f>IFERROR(__xludf.DUMMYFUNCTION("""COMPUTED_VALUE"""),"Doritos green hot")</f>
        <v>Doritos green hot</v>
      </c>
      <c r="D934" s="1">
        <f>IFERROR(__xludf.DUMMYFUNCTION("""COMPUTED_VALUE"""),830.0)</f>
        <v>830</v>
      </c>
      <c r="E934" s="1">
        <f>IFERROR(__xludf.DUMMYFUNCTION("""COMPUTED_VALUE"""),388.44)</f>
        <v>388.44</v>
      </c>
      <c r="F934" s="1">
        <f>IFERROR(__xludf.DUMMYFUNCTION("""COMPUTED_VALUE"""),166.0)</f>
        <v>166</v>
      </c>
    </row>
    <row r="935">
      <c r="A935" s="3">
        <f>IFERROR(__xludf.DUMMYFUNCTION("""COMPUTED_VALUE"""),46023.0)</f>
        <v>46023</v>
      </c>
      <c r="B935" s="1" t="str">
        <f>IFERROR(__xludf.DUMMYFUNCTION("""COMPUTED_VALUE"""),"HTMall")</f>
        <v>HTMall</v>
      </c>
      <c r="C935" s="1" t="str">
        <f>IFERROR(__xludf.DUMMYFUNCTION("""COMPUTED_VALUE"""),"Doritos nacho")</f>
        <v>Doritos nacho</v>
      </c>
      <c r="D935" s="1">
        <f>IFERROR(__xludf.DUMMYFUNCTION("""COMPUTED_VALUE"""),165.0)</f>
        <v>165</v>
      </c>
      <c r="E935" s="1">
        <f>IFERROR(__xludf.DUMMYFUNCTION("""COMPUTED_VALUE"""),49.5)</f>
        <v>49.5</v>
      </c>
      <c r="F935" s="1">
        <f>IFERROR(__xludf.DUMMYFUNCTION("""COMPUTED_VALUE"""),33.0)</f>
        <v>33</v>
      </c>
    </row>
    <row r="936">
      <c r="A936" s="3">
        <f>IFERROR(__xludf.DUMMYFUNCTION("""COMPUTED_VALUE"""),46023.0)</f>
        <v>46023</v>
      </c>
      <c r="B936" s="1" t="str">
        <f>IFERROR(__xludf.DUMMYFUNCTION("""COMPUTED_VALUE"""),"HTMall")</f>
        <v>HTMall</v>
      </c>
      <c r="C936" s="1" t="str">
        <f>IFERROR(__xludf.DUMMYFUNCTION("""COMPUTED_VALUE"""),"Green")</f>
        <v>Green</v>
      </c>
      <c r="D936" s="1">
        <f>IFERROR(__xludf.DUMMYFUNCTION("""COMPUTED_VALUE"""),16.0)</f>
        <v>16</v>
      </c>
      <c r="E936" s="1">
        <f>IFERROR(__xludf.DUMMYFUNCTION("""COMPUTED_VALUE"""),-1.76)</f>
        <v>-1.76</v>
      </c>
      <c r="F936" s="1">
        <f>IFERROR(__xludf.DUMMYFUNCTION("""COMPUTED_VALUE"""),6.0)</f>
        <v>6</v>
      </c>
    </row>
    <row r="937">
      <c r="A937" s="3">
        <f>IFERROR(__xludf.DUMMYFUNCTION("""COMPUTED_VALUE"""),46023.0)</f>
        <v>46023</v>
      </c>
      <c r="B937" s="1" t="str">
        <f>IFERROR(__xludf.DUMMYFUNCTION("""COMPUTED_VALUE"""),"HTMall")</f>
        <v>HTMall</v>
      </c>
      <c r="C937" s="1" t="str">
        <f>IFERROR(__xludf.DUMMYFUNCTION("""COMPUTED_VALUE"""),"Haribo")</f>
        <v>Haribo</v>
      </c>
      <c r="D937" s="1">
        <f>IFERROR(__xludf.DUMMYFUNCTION("""COMPUTED_VALUE"""),531.0)</f>
        <v>531</v>
      </c>
      <c r="E937" s="1">
        <f>IFERROR(__xludf.DUMMYFUNCTION("""COMPUTED_VALUE"""),221.25)</f>
        <v>221.25</v>
      </c>
      <c r="F937" s="1">
        <f>IFERROR(__xludf.DUMMYFUNCTION("""COMPUTED_VALUE"""),177.0)</f>
        <v>177</v>
      </c>
    </row>
    <row r="938">
      <c r="A938" s="3">
        <f>IFERROR(__xludf.DUMMYFUNCTION("""COMPUTED_VALUE"""),46023.0)</f>
        <v>46023</v>
      </c>
      <c r="B938" s="1" t="str">
        <f>IFERROR(__xludf.DUMMYFUNCTION("""COMPUTED_VALUE"""),"HTMall")</f>
        <v>HTMall</v>
      </c>
      <c r="C938" s="1" t="str">
        <f>IFERROR(__xludf.DUMMYFUNCTION("""COMPUTED_VALUE"""),"Haribo bears")</f>
        <v>Haribo bears</v>
      </c>
      <c r="D938" s="1">
        <f>IFERROR(__xludf.DUMMYFUNCTION("""COMPUTED_VALUE"""),66.0)</f>
        <v>66</v>
      </c>
      <c r="E938" s="1">
        <f>IFERROR(__xludf.DUMMYFUNCTION("""COMPUTED_VALUE"""),35.86)</f>
        <v>35.86</v>
      </c>
      <c r="F938" s="1">
        <f>IFERROR(__xludf.DUMMYFUNCTION("""COMPUTED_VALUE"""),22.0)</f>
        <v>22</v>
      </c>
    </row>
    <row r="939">
      <c r="A939" s="3">
        <f>IFERROR(__xludf.DUMMYFUNCTION("""COMPUTED_VALUE"""),46023.0)</f>
        <v>46023</v>
      </c>
      <c r="B939" s="1" t="str">
        <f>IFERROR(__xludf.DUMMYFUNCTION("""COMPUTED_VALUE"""),"HTMall")</f>
        <v>HTMall</v>
      </c>
      <c r="C939" s="1" t="str">
        <f>IFERROR(__xludf.DUMMYFUNCTION("""COMPUTED_VALUE"""),"Kinder Bueno")</f>
        <v>Kinder Bueno</v>
      </c>
      <c r="D939" s="1">
        <f>IFERROR(__xludf.DUMMYFUNCTION("""COMPUTED_VALUE"""),170.0)</f>
        <v>170</v>
      </c>
      <c r="E939" s="1">
        <f>IFERROR(__xludf.DUMMYFUNCTION("""COMPUTED_VALUE"""),36.6)</f>
        <v>36.6</v>
      </c>
      <c r="F939" s="1">
        <f>IFERROR(__xludf.DUMMYFUNCTION("""COMPUTED_VALUE"""),23.0)</f>
        <v>23</v>
      </c>
    </row>
    <row r="940">
      <c r="A940" s="3">
        <f>IFERROR(__xludf.DUMMYFUNCTION("""COMPUTED_VALUE"""),46023.0)</f>
        <v>46023</v>
      </c>
      <c r="B940" s="1" t="str">
        <f>IFERROR(__xludf.DUMMYFUNCTION("""COMPUTED_VALUE"""),"HTMall")</f>
        <v>HTMall</v>
      </c>
      <c r="C940" s="1" t="str">
        <f>IFERROR(__xludf.DUMMYFUNCTION("""COMPUTED_VALUE"""),"Kinder bueno1stick")</f>
        <v>Kinder bueno1stick</v>
      </c>
      <c r="D940" s="1">
        <f>IFERROR(__xludf.DUMMYFUNCTION("""COMPUTED_VALUE"""),24.0)</f>
        <v>24</v>
      </c>
      <c r="E940" s="1">
        <f>IFERROR(__xludf.DUMMYFUNCTION("""COMPUTED_VALUE"""),3.0)</f>
        <v>3</v>
      </c>
      <c r="F940" s="1">
        <f>IFERROR(__xludf.DUMMYFUNCTION("""COMPUTED_VALUE"""),7.0)</f>
        <v>7</v>
      </c>
    </row>
    <row r="941">
      <c r="A941" s="3">
        <f>IFERROR(__xludf.DUMMYFUNCTION("""COMPUTED_VALUE"""),46023.0)</f>
        <v>46023</v>
      </c>
      <c r="B941" s="1" t="str">
        <f>IFERROR(__xludf.DUMMYFUNCTION("""COMPUTED_VALUE"""),"HTMall")</f>
        <v>HTMall</v>
      </c>
      <c r="C941" s="1" t="str">
        <f>IFERROR(__xludf.DUMMYFUNCTION("""COMPUTED_VALUE"""),"L suntop")</f>
        <v>L suntop</v>
      </c>
      <c r="D941" s="1">
        <f>IFERROR(__xludf.DUMMYFUNCTION("""COMPUTED_VALUE"""),85.0)</f>
        <v>85</v>
      </c>
      <c r="E941" s="1">
        <f>IFERROR(__xludf.DUMMYFUNCTION("""COMPUTED_VALUE"""),53.65)</f>
        <v>53.65</v>
      </c>
      <c r="F941" s="1">
        <f>IFERROR(__xludf.DUMMYFUNCTION("""COMPUTED_VALUE"""),33.0)</f>
        <v>33</v>
      </c>
    </row>
    <row r="942">
      <c r="A942" s="3">
        <f>IFERROR(__xludf.DUMMYFUNCTION("""COMPUTED_VALUE"""),46023.0)</f>
        <v>46023</v>
      </c>
      <c r="B942" s="1" t="str">
        <f>IFERROR(__xludf.DUMMYFUNCTION("""COMPUTED_VALUE"""),"HTMall")</f>
        <v>HTMall</v>
      </c>
      <c r="C942" s="1" t="str">
        <f>IFERROR(__xludf.DUMMYFUNCTION("""COMPUTED_VALUE"""),"Laviva")</f>
        <v>Laviva</v>
      </c>
      <c r="D942" s="1">
        <f>IFERROR(__xludf.DUMMYFUNCTION("""COMPUTED_VALUE"""),399.0)</f>
        <v>399</v>
      </c>
      <c r="E942" s="1">
        <f>IFERROR(__xludf.DUMMYFUNCTION("""COMPUTED_VALUE"""),99.75)</f>
        <v>99.75</v>
      </c>
      <c r="F942" s="1">
        <f>IFERROR(__xludf.DUMMYFUNCTION("""COMPUTED_VALUE"""),133.0)</f>
        <v>133</v>
      </c>
    </row>
    <row r="943">
      <c r="A943" s="3">
        <f>IFERROR(__xludf.DUMMYFUNCTION("""COMPUTED_VALUE"""),46023.0)</f>
        <v>46023</v>
      </c>
      <c r="B943" s="1" t="str">
        <f>IFERROR(__xludf.DUMMYFUNCTION("""COMPUTED_VALUE"""),"HTMall")</f>
        <v>HTMall</v>
      </c>
      <c r="C943" s="1" t="str">
        <f>IFERROR(__xludf.DUMMYFUNCTION("""COMPUTED_VALUE"""),"Lolo")</f>
        <v>Lolo</v>
      </c>
      <c r="D943" s="1">
        <f>IFERROR(__xludf.DUMMYFUNCTION("""COMPUTED_VALUE"""),15.0)</f>
        <v>15</v>
      </c>
      <c r="E943" s="1">
        <f>IFERROR(__xludf.DUMMYFUNCTION("""COMPUTED_VALUE"""),7.8)</f>
        <v>7.8</v>
      </c>
      <c r="F943" s="1">
        <f>IFERROR(__xludf.DUMMYFUNCTION("""COMPUTED_VALUE"""),3.0)</f>
        <v>3</v>
      </c>
    </row>
    <row r="944">
      <c r="A944" s="3">
        <f>IFERROR(__xludf.DUMMYFUNCTION("""COMPUTED_VALUE"""),46023.0)</f>
        <v>46023</v>
      </c>
      <c r="B944" s="1" t="str">
        <f>IFERROR(__xludf.DUMMYFUNCTION("""COMPUTED_VALUE"""),"HTMall")</f>
        <v>HTMall</v>
      </c>
      <c r="C944" s="1" t="str">
        <f>IFERROR(__xludf.DUMMYFUNCTION("""COMPUTED_VALUE"""),"MR Crunch")</f>
        <v>MR Crunch</v>
      </c>
      <c r="D944" s="1">
        <f>IFERROR(__xludf.DUMMYFUNCTION("""COMPUTED_VALUE"""),350.0)</f>
        <v>350</v>
      </c>
      <c r="E944" s="1">
        <f>IFERROR(__xludf.DUMMYFUNCTION("""COMPUTED_VALUE"""),156.1)</f>
        <v>156.1</v>
      </c>
      <c r="F944" s="1">
        <f>IFERROR(__xludf.DUMMYFUNCTION("""COMPUTED_VALUE"""),70.0)</f>
        <v>70</v>
      </c>
    </row>
    <row r="945">
      <c r="A945" s="3">
        <f>IFERROR(__xludf.DUMMYFUNCTION("""COMPUTED_VALUE"""),46023.0)</f>
        <v>46023</v>
      </c>
      <c r="B945" s="1" t="str">
        <f>IFERROR(__xludf.DUMMYFUNCTION("""COMPUTED_VALUE"""),"HTMall")</f>
        <v>HTMall</v>
      </c>
      <c r="C945" s="1" t="str">
        <f>IFERROR(__xludf.DUMMYFUNCTION("""COMPUTED_VALUE"""),"Maltesers")</f>
        <v>Maltesers</v>
      </c>
      <c r="D945" s="1">
        <f>IFERROR(__xludf.DUMMYFUNCTION("""COMPUTED_VALUE"""),63.0)</f>
        <v>63</v>
      </c>
      <c r="E945" s="1">
        <f>IFERROR(__xludf.DUMMYFUNCTION("""COMPUTED_VALUE"""),7.2)</f>
        <v>7.2</v>
      </c>
      <c r="F945" s="1">
        <f>IFERROR(__xludf.DUMMYFUNCTION("""COMPUTED_VALUE"""),9.0)</f>
        <v>9</v>
      </c>
    </row>
    <row r="946">
      <c r="A946" s="3">
        <f>IFERROR(__xludf.DUMMYFUNCTION("""COMPUTED_VALUE"""),46023.0)</f>
        <v>46023</v>
      </c>
      <c r="B946" s="1" t="str">
        <f>IFERROR(__xludf.DUMMYFUNCTION("""COMPUTED_VALUE"""),"HTMall")</f>
        <v>HTMall</v>
      </c>
      <c r="C946" s="1" t="str">
        <f>IFERROR(__xludf.DUMMYFUNCTION("""COMPUTED_VALUE"""),"Mars")</f>
        <v>Mars</v>
      </c>
      <c r="D946" s="1">
        <f>IFERROR(__xludf.DUMMYFUNCTION("""COMPUTED_VALUE"""),12.0)</f>
        <v>12</v>
      </c>
      <c r="E946" s="1">
        <f>IFERROR(__xludf.DUMMYFUNCTION("""COMPUTED_VALUE"""),1.6)</f>
        <v>1.6</v>
      </c>
      <c r="F946" s="1">
        <f>IFERROR(__xludf.DUMMYFUNCTION("""COMPUTED_VALUE"""),2.0)</f>
        <v>2</v>
      </c>
    </row>
    <row r="947">
      <c r="A947" s="3">
        <f>IFERROR(__xludf.DUMMYFUNCTION("""COMPUTED_VALUE"""),46023.0)</f>
        <v>46023</v>
      </c>
      <c r="B947" s="1" t="str">
        <f>IFERROR(__xludf.DUMMYFUNCTION("""COMPUTED_VALUE"""),"HTMall")</f>
        <v>HTMall</v>
      </c>
      <c r="C947" s="1" t="str">
        <f>IFERROR(__xludf.DUMMYFUNCTION("""COMPUTED_VALUE"""),"Mirinda")</f>
        <v>Mirinda</v>
      </c>
      <c r="D947" s="1">
        <f>IFERROR(__xludf.DUMMYFUNCTION("""COMPUTED_VALUE"""),213.0)</f>
        <v>213</v>
      </c>
      <c r="E947" s="1">
        <f>IFERROR(__xludf.DUMMYFUNCTION("""COMPUTED_VALUE"""),53.25)</f>
        <v>53.25</v>
      </c>
      <c r="F947" s="1">
        <f>IFERROR(__xludf.DUMMYFUNCTION("""COMPUTED_VALUE"""),71.0)</f>
        <v>71</v>
      </c>
    </row>
    <row r="948">
      <c r="A948" s="3">
        <f>IFERROR(__xludf.DUMMYFUNCTION("""COMPUTED_VALUE"""),46023.0)</f>
        <v>46023</v>
      </c>
      <c r="B948" s="1" t="str">
        <f>IFERROR(__xludf.DUMMYFUNCTION("""COMPUTED_VALUE"""),"HTMall")</f>
        <v>HTMall</v>
      </c>
      <c r="C948" s="1" t="str">
        <f>IFERROR(__xludf.DUMMYFUNCTION("""COMPUTED_VALUE"""),"MrCrunch")</f>
        <v>MrCrunch</v>
      </c>
      <c r="D948" s="1">
        <f>IFERROR(__xludf.DUMMYFUNCTION("""COMPUTED_VALUE"""),65.0)</f>
        <v>65</v>
      </c>
      <c r="E948" s="1">
        <f>IFERROR(__xludf.DUMMYFUNCTION("""COMPUTED_VALUE"""),34.71)</f>
        <v>34.71</v>
      </c>
      <c r="F948" s="1">
        <f>IFERROR(__xludf.DUMMYFUNCTION("""COMPUTED_VALUE"""),13.0)</f>
        <v>13</v>
      </c>
    </row>
    <row r="949">
      <c r="A949" s="3">
        <f>IFERROR(__xludf.DUMMYFUNCTION("""COMPUTED_VALUE"""),46023.0)</f>
        <v>46023</v>
      </c>
      <c r="B949" s="1" t="str">
        <f>IFERROR(__xludf.DUMMYFUNCTION("""COMPUTED_VALUE"""),"HTMall")</f>
        <v>HTMall</v>
      </c>
      <c r="C949" s="1" t="str">
        <f>IFERROR(__xludf.DUMMYFUNCTION("""COMPUTED_VALUE"""),"MrCrunch Normal")</f>
        <v>MrCrunch Normal</v>
      </c>
      <c r="D949" s="1">
        <f>IFERROR(__xludf.DUMMYFUNCTION("""COMPUTED_VALUE"""),30.0)</f>
        <v>30</v>
      </c>
      <c r="E949" s="1">
        <f>IFERROR(__xludf.DUMMYFUNCTION("""COMPUTED_VALUE"""),17.7)</f>
        <v>17.7</v>
      </c>
      <c r="F949" s="1">
        <f>IFERROR(__xludf.DUMMYFUNCTION("""COMPUTED_VALUE"""),6.0)</f>
        <v>6</v>
      </c>
    </row>
    <row r="950">
      <c r="A950" s="3">
        <f>IFERROR(__xludf.DUMMYFUNCTION("""COMPUTED_VALUE"""),46023.0)</f>
        <v>46023</v>
      </c>
      <c r="B950" s="1" t="str">
        <f>IFERROR(__xludf.DUMMYFUNCTION("""COMPUTED_VALUE"""),"HTMall")</f>
        <v>HTMall</v>
      </c>
      <c r="C950" s="1" t="str">
        <f>IFERROR(__xludf.DUMMYFUNCTION("""COMPUTED_VALUE"""),"MrCrunch-RingGo")</f>
        <v>MrCrunch-RingGo</v>
      </c>
      <c r="D950" s="1">
        <f>IFERROR(__xludf.DUMMYFUNCTION("""COMPUTED_VALUE"""),30.0)</f>
        <v>30</v>
      </c>
      <c r="E950" s="1">
        <f>IFERROR(__xludf.DUMMYFUNCTION("""COMPUTED_VALUE"""),20.4)</f>
        <v>20.4</v>
      </c>
      <c r="F950" s="1">
        <f>IFERROR(__xludf.DUMMYFUNCTION("""COMPUTED_VALUE"""),6.0)</f>
        <v>6</v>
      </c>
    </row>
    <row r="951">
      <c r="A951" s="3">
        <f>IFERROR(__xludf.DUMMYFUNCTION("""COMPUTED_VALUE"""),46023.0)</f>
        <v>46023</v>
      </c>
      <c r="B951" s="1" t="str">
        <f>IFERROR(__xludf.DUMMYFUNCTION("""COMPUTED_VALUE"""),"HTMall")</f>
        <v>HTMall</v>
      </c>
      <c r="C951" s="1" t="str">
        <f>IFERROR(__xludf.DUMMYFUNCTION("""COMPUTED_VALUE"""),"Mrbeast")</f>
        <v>Mrbeast</v>
      </c>
      <c r="D951" s="1">
        <f>IFERROR(__xludf.DUMMYFUNCTION("""COMPUTED_VALUE"""),620.0)</f>
        <v>620</v>
      </c>
      <c r="E951" s="1">
        <f>IFERROR(__xludf.DUMMYFUNCTION("""COMPUTED_VALUE"""),328.6)</f>
        <v>328.6</v>
      </c>
      <c r="F951" s="1">
        <f>IFERROR(__xludf.DUMMYFUNCTION("""COMPUTED_VALUE"""),62.0)</f>
        <v>62</v>
      </c>
    </row>
    <row r="952">
      <c r="A952" s="3">
        <f>IFERROR(__xludf.DUMMYFUNCTION("""COMPUTED_VALUE"""),46023.0)</f>
        <v>46023</v>
      </c>
      <c r="B952" s="1" t="str">
        <f>IFERROR(__xludf.DUMMYFUNCTION("""COMPUTED_VALUE"""),"HTMall")</f>
        <v>HTMall</v>
      </c>
      <c r="C952" s="1" t="str">
        <f>IFERROR(__xludf.DUMMYFUNCTION("""COMPUTED_VALUE"""),"Ono cake")</f>
        <v>Ono cake</v>
      </c>
      <c r="D952" s="1">
        <f>IFERROR(__xludf.DUMMYFUNCTION("""COMPUTED_VALUE"""),42.0)</f>
        <v>42</v>
      </c>
      <c r="E952" s="1">
        <f>IFERROR(__xludf.DUMMYFUNCTION("""COMPUTED_VALUE"""),27.3)</f>
        <v>27.3</v>
      </c>
      <c r="F952" s="1">
        <f>IFERROR(__xludf.DUMMYFUNCTION("""COMPUTED_VALUE"""),21.0)</f>
        <v>21</v>
      </c>
    </row>
    <row r="953">
      <c r="A953" s="3">
        <f>IFERROR(__xludf.DUMMYFUNCTION("""COMPUTED_VALUE"""),46023.0)</f>
        <v>46023</v>
      </c>
      <c r="B953" s="1" t="str">
        <f>IFERROR(__xludf.DUMMYFUNCTION("""COMPUTED_VALUE"""),"HTMall")</f>
        <v>HTMall</v>
      </c>
      <c r="C953" s="1" t="str">
        <f>IFERROR(__xludf.DUMMYFUNCTION("""COMPUTED_VALUE"""),"Pepsi")</f>
        <v>Pepsi</v>
      </c>
      <c r="D953" s="1">
        <f>IFERROR(__xludf.DUMMYFUNCTION("""COMPUTED_VALUE"""),306.0)</f>
        <v>306</v>
      </c>
      <c r="E953" s="1">
        <f>IFERROR(__xludf.DUMMYFUNCTION("""COMPUTED_VALUE"""),76.5)</f>
        <v>76.5</v>
      </c>
      <c r="F953" s="1">
        <f>IFERROR(__xludf.DUMMYFUNCTION("""COMPUTED_VALUE"""),102.0)</f>
        <v>102</v>
      </c>
    </row>
    <row r="954">
      <c r="A954" s="3">
        <f>IFERROR(__xludf.DUMMYFUNCTION("""COMPUTED_VALUE"""),46023.0)</f>
        <v>46023</v>
      </c>
      <c r="B954" s="1" t="str">
        <f>IFERROR(__xludf.DUMMYFUNCTION("""COMPUTED_VALUE"""),"HTMall")</f>
        <v>HTMall</v>
      </c>
      <c r="C954" s="1" t="str">
        <f>IFERROR(__xludf.DUMMYFUNCTION("""COMPUTED_VALUE"""),"Rayhan suntop")</f>
        <v>Rayhan suntop</v>
      </c>
      <c r="D954" s="1">
        <f>IFERROR(__xludf.DUMMYFUNCTION("""COMPUTED_VALUE"""),12.0)</f>
        <v>12</v>
      </c>
      <c r="E954" s="1">
        <f>IFERROR(__xludf.DUMMYFUNCTION("""COMPUTED_VALUE"""),3.84)</f>
        <v>3.84</v>
      </c>
      <c r="F954" s="1">
        <f>IFERROR(__xludf.DUMMYFUNCTION("""COMPUTED_VALUE"""),12.0)</f>
        <v>12</v>
      </c>
    </row>
    <row r="955">
      <c r="A955" s="3">
        <f>IFERROR(__xludf.DUMMYFUNCTION("""COMPUTED_VALUE"""),46023.0)</f>
        <v>46023</v>
      </c>
      <c r="B955" s="1" t="str">
        <f>IFERROR(__xludf.DUMMYFUNCTION("""COMPUTED_VALUE"""),"HTMall")</f>
        <v>HTMall</v>
      </c>
      <c r="C955" s="1" t="str">
        <f>IFERROR(__xludf.DUMMYFUNCTION("""COMPUTED_VALUE"""),"Schweppes")</f>
        <v>Schweppes</v>
      </c>
      <c r="D955" s="1">
        <f>IFERROR(__xludf.DUMMYFUNCTION("""COMPUTED_VALUE"""),120.0)</f>
        <v>120</v>
      </c>
      <c r="E955" s="1">
        <f>IFERROR(__xludf.DUMMYFUNCTION("""COMPUTED_VALUE"""),40.0)</f>
        <v>40</v>
      </c>
      <c r="F955" s="1">
        <f>IFERROR(__xludf.DUMMYFUNCTION("""COMPUTED_VALUE"""),40.0)</f>
        <v>40</v>
      </c>
    </row>
    <row r="956">
      <c r="A956" s="3">
        <f>IFERROR(__xludf.DUMMYFUNCTION("""COMPUTED_VALUE"""),46023.0)</f>
        <v>46023</v>
      </c>
      <c r="B956" s="1" t="str">
        <f>IFERROR(__xludf.DUMMYFUNCTION("""COMPUTED_VALUE"""),"HTMall")</f>
        <v>HTMall</v>
      </c>
      <c r="C956" s="1" t="str">
        <f>IFERROR(__xludf.DUMMYFUNCTION("""COMPUTED_VALUE"""),"Shani")</f>
        <v>Shani</v>
      </c>
      <c r="D956" s="1">
        <f>IFERROR(__xludf.DUMMYFUNCTION("""COMPUTED_VALUE"""),99.0)</f>
        <v>99</v>
      </c>
      <c r="E956" s="1">
        <f>IFERROR(__xludf.DUMMYFUNCTION("""COMPUTED_VALUE"""),24.75)</f>
        <v>24.75</v>
      </c>
      <c r="F956" s="1">
        <f>IFERROR(__xludf.DUMMYFUNCTION("""COMPUTED_VALUE"""),33.0)</f>
        <v>33</v>
      </c>
    </row>
    <row r="957">
      <c r="A957" s="3">
        <f>IFERROR(__xludf.DUMMYFUNCTION("""COMPUTED_VALUE"""),46023.0)</f>
        <v>46023</v>
      </c>
      <c r="B957" s="1" t="str">
        <f>IFERROR(__xludf.DUMMYFUNCTION("""COMPUTED_VALUE"""),"HTMall")</f>
        <v>HTMall</v>
      </c>
      <c r="C957" s="1" t="str">
        <f>IFERROR(__xludf.DUMMYFUNCTION("""COMPUTED_VALUE"""),"Skittles")</f>
        <v>Skittles</v>
      </c>
      <c r="D957" s="1">
        <f>IFERROR(__xludf.DUMMYFUNCTION("""COMPUTED_VALUE"""),256.0)</f>
        <v>256</v>
      </c>
      <c r="E957" s="1">
        <f>IFERROR(__xludf.DUMMYFUNCTION("""COMPUTED_VALUE"""),69.44)</f>
        <v>69.44</v>
      </c>
      <c r="F957" s="1">
        <f>IFERROR(__xludf.DUMMYFUNCTION("""COMPUTED_VALUE"""),32.0)</f>
        <v>32</v>
      </c>
    </row>
    <row r="958">
      <c r="A958" s="3">
        <f>IFERROR(__xludf.DUMMYFUNCTION("""COMPUTED_VALUE"""),46023.0)</f>
        <v>46023</v>
      </c>
      <c r="B958" s="1" t="str">
        <f>IFERROR(__xludf.DUMMYFUNCTION("""COMPUTED_VALUE"""),"HTMall")</f>
        <v>HTMall</v>
      </c>
      <c r="C958" s="1" t="str">
        <f>IFERROR(__xludf.DUMMYFUNCTION("""COMPUTED_VALUE"""),"Snickers")</f>
        <v>Snickers</v>
      </c>
      <c r="D958" s="1">
        <f>IFERROR(__xludf.DUMMYFUNCTION("""COMPUTED_VALUE"""),72.0)</f>
        <v>72</v>
      </c>
      <c r="E958" s="1">
        <f>IFERROR(__xludf.DUMMYFUNCTION("""COMPUTED_VALUE"""),9.6)</f>
        <v>9.6</v>
      </c>
      <c r="F958" s="1">
        <f>IFERROR(__xludf.DUMMYFUNCTION("""COMPUTED_VALUE"""),12.0)</f>
        <v>12</v>
      </c>
    </row>
    <row r="959">
      <c r="A959" s="3">
        <f>IFERROR(__xludf.DUMMYFUNCTION("""COMPUTED_VALUE"""),46023.0)</f>
        <v>46023</v>
      </c>
      <c r="B959" s="1" t="str">
        <f>IFERROR(__xludf.DUMMYFUNCTION("""COMPUTED_VALUE"""),"HTMall")</f>
        <v>HTMall</v>
      </c>
      <c r="C959" s="1" t="str">
        <f>IFERROR(__xludf.DUMMYFUNCTION("""COMPUTED_VALUE"""),"Takis")</f>
        <v>Takis</v>
      </c>
      <c r="D959" s="1">
        <f>IFERROR(__xludf.DUMMYFUNCTION("""COMPUTED_VALUE"""),365.0)</f>
        <v>365</v>
      </c>
      <c r="E959" s="1">
        <f>IFERROR(__xludf.DUMMYFUNCTION("""COMPUTED_VALUE"""),50.79)</f>
        <v>50.79</v>
      </c>
      <c r="F959" s="1">
        <f>IFERROR(__xludf.DUMMYFUNCTION("""COMPUTED_VALUE"""),13.0)</f>
        <v>13</v>
      </c>
    </row>
    <row r="960">
      <c r="A960" s="3">
        <f>IFERROR(__xludf.DUMMYFUNCTION("""COMPUTED_VALUE"""),46023.0)</f>
        <v>46023</v>
      </c>
      <c r="B960" s="1" t="str">
        <f>IFERROR(__xludf.DUMMYFUNCTION("""COMPUTED_VALUE"""),"HTMall")</f>
        <v>HTMall</v>
      </c>
      <c r="C960" s="1" t="str">
        <f>IFERROR(__xludf.DUMMYFUNCTION("""COMPUTED_VALUE"""),"Tiger *12")</f>
        <v>Tiger *12</v>
      </c>
      <c r="D960" s="1">
        <f>IFERROR(__xludf.DUMMYFUNCTION("""COMPUTED_VALUE"""),235.0)</f>
        <v>235</v>
      </c>
      <c r="E960" s="1">
        <f>IFERROR(__xludf.DUMMYFUNCTION("""COMPUTED_VALUE"""),70.5)</f>
        <v>70.5</v>
      </c>
      <c r="F960" s="1">
        <f>IFERROR(__xludf.DUMMYFUNCTION("""COMPUTED_VALUE"""),47.0)</f>
        <v>47</v>
      </c>
    </row>
    <row r="961">
      <c r="A961" s="3">
        <f>IFERROR(__xludf.DUMMYFUNCTION("""COMPUTED_VALUE"""),46023.0)</f>
        <v>46023</v>
      </c>
      <c r="B961" s="1" t="str">
        <f>IFERROR(__xludf.DUMMYFUNCTION("""COMPUTED_VALUE"""),"HTMall")</f>
        <v>HTMall</v>
      </c>
      <c r="C961" s="1" t="str">
        <f>IFERROR(__xludf.DUMMYFUNCTION("""COMPUTED_VALUE"""),"Tiger *12 Cheese")</f>
        <v>Tiger *12 Cheese</v>
      </c>
      <c r="D961" s="1">
        <f>IFERROR(__xludf.DUMMYFUNCTION("""COMPUTED_VALUE"""),225.0)</f>
        <v>225</v>
      </c>
      <c r="E961" s="1">
        <f>IFERROR(__xludf.DUMMYFUNCTION("""COMPUTED_VALUE"""),78.0)</f>
        <v>78</v>
      </c>
      <c r="F961" s="1">
        <f>IFERROR(__xludf.DUMMYFUNCTION("""COMPUTED_VALUE"""),42.0)</f>
        <v>42</v>
      </c>
    </row>
    <row r="962">
      <c r="A962" s="3">
        <f>IFERROR(__xludf.DUMMYFUNCTION("""COMPUTED_VALUE"""),46023.0)</f>
        <v>46023</v>
      </c>
      <c r="B962" s="1" t="str">
        <f>IFERROR(__xludf.DUMMYFUNCTION("""COMPUTED_VALUE"""),"HTMall")</f>
        <v>HTMall</v>
      </c>
      <c r="C962" s="1" t="str">
        <f>IFERROR(__xludf.DUMMYFUNCTION("""COMPUTED_VALUE"""),"Tiger *12 kebab")</f>
        <v>Tiger *12 kebab</v>
      </c>
      <c r="D962" s="1">
        <f>IFERROR(__xludf.DUMMYFUNCTION("""COMPUTED_VALUE"""),74.0)</f>
        <v>74</v>
      </c>
      <c r="E962" s="1">
        <f>IFERROR(__xludf.DUMMYFUNCTION("""COMPUTED_VALUE"""),28.5)</f>
        <v>28.5</v>
      </c>
      <c r="F962" s="1">
        <f>IFERROR(__xludf.DUMMYFUNCTION("""COMPUTED_VALUE"""),13.0)</f>
        <v>13</v>
      </c>
    </row>
    <row r="963">
      <c r="A963" s="3">
        <f>IFERROR(__xludf.DUMMYFUNCTION("""COMPUTED_VALUE"""),46023.0)</f>
        <v>46023</v>
      </c>
      <c r="B963" s="1" t="str">
        <f>IFERROR(__xludf.DUMMYFUNCTION("""COMPUTED_VALUE"""),"HTMall")</f>
        <v>HTMall</v>
      </c>
      <c r="C963" s="1" t="str">
        <f>IFERROR(__xludf.DUMMYFUNCTION("""COMPUTED_VALUE"""),"Tiger *12 tomato")</f>
        <v>Tiger *12 tomato</v>
      </c>
      <c r="D963" s="1">
        <f>IFERROR(__xludf.DUMMYFUNCTION("""COMPUTED_VALUE"""),117.0)</f>
        <v>117</v>
      </c>
      <c r="E963" s="1">
        <f>IFERROR(__xludf.DUMMYFUNCTION("""COMPUTED_VALUE"""),36.5)</f>
        <v>36.5</v>
      </c>
      <c r="F963" s="1">
        <f>IFERROR(__xludf.DUMMYFUNCTION("""COMPUTED_VALUE"""),23.0)</f>
        <v>23</v>
      </c>
    </row>
    <row r="964">
      <c r="A964" s="3">
        <f>IFERROR(__xludf.DUMMYFUNCTION("""COMPUTED_VALUE"""),46023.0)</f>
        <v>46023</v>
      </c>
      <c r="B964" s="1" t="str">
        <f>IFERROR(__xludf.DUMMYFUNCTION("""COMPUTED_VALUE"""),"HTMall")</f>
        <v>HTMall</v>
      </c>
      <c r="C964" s="1" t="str">
        <f>IFERROR(__xludf.DUMMYFUNCTION("""COMPUTED_VALUE"""),"Tiger *16 kebab")</f>
        <v>Tiger *16 kebab</v>
      </c>
      <c r="D964" s="1">
        <f>IFERROR(__xludf.DUMMYFUNCTION("""COMPUTED_VALUE"""),140.0)</f>
        <v>140</v>
      </c>
      <c r="E964" s="1">
        <f>IFERROR(__xludf.DUMMYFUNCTION("""COMPUTED_VALUE"""),78.96)</f>
        <v>78.96</v>
      </c>
      <c r="F964" s="1">
        <f>IFERROR(__xludf.DUMMYFUNCTION("""COMPUTED_VALUE"""),28.0)</f>
        <v>28</v>
      </c>
    </row>
    <row r="965">
      <c r="A965" s="3">
        <f>IFERROR(__xludf.DUMMYFUNCTION("""COMPUTED_VALUE"""),46023.0)</f>
        <v>46023</v>
      </c>
      <c r="B965" s="1" t="str">
        <f>IFERROR(__xludf.DUMMYFUNCTION("""COMPUTED_VALUE"""),"HTMall")</f>
        <v>HTMall</v>
      </c>
      <c r="C965" s="1" t="str">
        <f>IFERROR(__xludf.DUMMYFUNCTION("""COMPUTED_VALUE"""),"Tiger *16 tomato")</f>
        <v>Tiger *16 tomato</v>
      </c>
      <c r="D965" s="1">
        <f>IFERROR(__xludf.DUMMYFUNCTION("""COMPUTED_VALUE"""),50.0)</f>
        <v>50</v>
      </c>
      <c r="E965" s="1">
        <f>IFERROR(__xludf.DUMMYFUNCTION("""COMPUTED_VALUE"""),28.2)</f>
        <v>28.2</v>
      </c>
      <c r="F965" s="1">
        <f>IFERROR(__xludf.DUMMYFUNCTION("""COMPUTED_VALUE"""),10.0)</f>
        <v>10</v>
      </c>
    </row>
    <row r="966">
      <c r="A966" s="3">
        <f>IFERROR(__xludf.DUMMYFUNCTION("""COMPUTED_VALUE"""),46023.0)</f>
        <v>46023</v>
      </c>
      <c r="B966" s="1" t="str">
        <f>IFERROR(__xludf.DUMMYFUNCTION("""COMPUTED_VALUE"""),"HTMall")</f>
        <v>HTMall</v>
      </c>
      <c r="C966" s="1" t="str">
        <f>IFERROR(__xludf.DUMMYFUNCTION("""COMPUTED_VALUE"""),"Tiger 12 chili and lemon")</f>
        <v>Tiger 12 chili and lemon</v>
      </c>
      <c r="D966" s="1">
        <f>IFERROR(__xludf.DUMMYFUNCTION("""COMPUTED_VALUE"""),111.0)</f>
        <v>111</v>
      </c>
      <c r="E966" s="1">
        <f>IFERROR(__xludf.DUMMYFUNCTION("""COMPUTED_VALUE"""),37.5)</f>
        <v>37.5</v>
      </c>
      <c r="F966" s="1">
        <f>IFERROR(__xludf.DUMMYFUNCTION("""COMPUTED_VALUE"""),21.0)</f>
        <v>21</v>
      </c>
    </row>
    <row r="967">
      <c r="A967" s="3">
        <f>IFERROR(__xludf.DUMMYFUNCTION("""COMPUTED_VALUE"""),46023.0)</f>
        <v>46023</v>
      </c>
      <c r="B967" s="1" t="str">
        <f>IFERROR(__xludf.DUMMYFUNCTION("""COMPUTED_VALUE"""),"HTMall")</f>
        <v>HTMall</v>
      </c>
      <c r="C967" s="1" t="str">
        <f>IFERROR(__xludf.DUMMYFUNCTION("""COMPUTED_VALUE"""),"Tiger 12 paprika")</f>
        <v>Tiger 12 paprika</v>
      </c>
      <c r="D967" s="1">
        <f>IFERROR(__xludf.DUMMYFUNCTION("""COMPUTED_VALUE"""),75.0)</f>
        <v>75</v>
      </c>
      <c r="E967" s="1">
        <f>IFERROR(__xludf.DUMMYFUNCTION("""COMPUTED_VALUE"""),22.5)</f>
        <v>22.5</v>
      </c>
      <c r="F967" s="1">
        <f>IFERROR(__xludf.DUMMYFUNCTION("""COMPUTED_VALUE"""),15.0)</f>
        <v>15</v>
      </c>
    </row>
    <row r="968">
      <c r="A968" s="3">
        <f>IFERROR(__xludf.DUMMYFUNCTION("""COMPUTED_VALUE"""),46023.0)</f>
        <v>46023</v>
      </c>
      <c r="B968" s="1" t="str">
        <f>IFERROR(__xludf.DUMMYFUNCTION("""COMPUTED_VALUE"""),"HTMall")</f>
        <v>HTMall</v>
      </c>
      <c r="C968" s="1" t="str">
        <f>IFERROR(__xludf.DUMMYFUNCTION("""COMPUTED_VALUE"""),"Tiger 12 sweet chili")</f>
        <v>Tiger 12 sweet chili</v>
      </c>
      <c r="D968" s="1">
        <f>IFERROR(__xludf.DUMMYFUNCTION("""COMPUTED_VALUE"""),27.0)</f>
        <v>27</v>
      </c>
      <c r="E968" s="1">
        <f>IFERROR(__xludf.DUMMYFUNCTION("""COMPUTED_VALUE"""),9.5)</f>
        <v>9.5</v>
      </c>
      <c r="F968" s="1">
        <f>IFERROR(__xludf.DUMMYFUNCTION("""COMPUTED_VALUE"""),5.0)</f>
        <v>5</v>
      </c>
    </row>
    <row r="969">
      <c r="A969" s="3">
        <f>IFERROR(__xludf.DUMMYFUNCTION("""COMPUTED_VALUE"""),46023.0)</f>
        <v>46023</v>
      </c>
      <c r="B969" s="1" t="str">
        <f>IFERROR(__xludf.DUMMYFUNCTION("""COMPUTED_VALUE"""),"HTMall")</f>
        <v>HTMall</v>
      </c>
      <c r="C969" s="1" t="str">
        <f>IFERROR(__xludf.DUMMYFUNCTION("""COMPUTED_VALUE"""),"Tiger excellence")</f>
        <v>Tiger excellence</v>
      </c>
      <c r="D969" s="1">
        <f>IFERROR(__xludf.DUMMYFUNCTION("""COMPUTED_VALUE"""),165.0)</f>
        <v>165</v>
      </c>
      <c r="E969" s="1">
        <f>IFERROR(__xludf.DUMMYFUNCTION("""COMPUTED_VALUE"""),90.75)</f>
        <v>90.75</v>
      </c>
      <c r="F969" s="1">
        <f>IFERROR(__xludf.DUMMYFUNCTION("""COMPUTED_VALUE"""),33.0)</f>
        <v>33</v>
      </c>
    </row>
    <row r="970">
      <c r="A970" s="3">
        <f>IFERROR(__xludf.DUMMYFUNCTION("""COMPUTED_VALUE"""),46023.0)</f>
        <v>46023</v>
      </c>
      <c r="B970" s="1" t="str">
        <f>IFERROR(__xludf.DUMMYFUNCTION("""COMPUTED_VALUE"""),"HTMall")</f>
        <v>HTMall</v>
      </c>
      <c r="C970" s="1" t="str">
        <f>IFERROR(__xludf.DUMMYFUNCTION("""COMPUTED_VALUE"""),"Turbo strips")</f>
        <v>Turbo strips</v>
      </c>
      <c r="D970" s="1">
        <f>IFERROR(__xludf.DUMMYFUNCTION("""COMPUTED_VALUE"""),235.0)</f>
        <v>235</v>
      </c>
      <c r="E970" s="1">
        <f>IFERROR(__xludf.DUMMYFUNCTION("""COMPUTED_VALUE"""),86.48)</f>
        <v>86.48</v>
      </c>
      <c r="F970" s="1">
        <f>IFERROR(__xludf.DUMMYFUNCTION("""COMPUTED_VALUE"""),47.0)</f>
        <v>47</v>
      </c>
    </row>
    <row r="971">
      <c r="A971" s="3">
        <f>IFERROR(__xludf.DUMMYFUNCTION("""COMPUTED_VALUE"""),46023.0)</f>
        <v>46023</v>
      </c>
      <c r="B971" s="1" t="str">
        <f>IFERROR(__xludf.DUMMYFUNCTION("""COMPUTED_VALUE"""),"HTMall")</f>
        <v>HTMall</v>
      </c>
      <c r="C971" s="1" t="str">
        <f>IFERROR(__xludf.DUMMYFUNCTION("""COMPUTED_VALUE"""),"Twix")</f>
        <v>Twix</v>
      </c>
      <c r="D971" s="1">
        <f>IFERROR(__xludf.DUMMYFUNCTION("""COMPUTED_VALUE"""),42.0)</f>
        <v>42</v>
      </c>
      <c r="E971" s="1">
        <f>IFERROR(__xludf.DUMMYFUNCTION("""COMPUTED_VALUE"""),7.0)</f>
        <v>7</v>
      </c>
      <c r="F971" s="1">
        <f>IFERROR(__xludf.DUMMYFUNCTION("""COMPUTED_VALUE"""),7.0)</f>
        <v>7</v>
      </c>
    </row>
    <row r="972">
      <c r="A972" s="3">
        <f>IFERROR(__xludf.DUMMYFUNCTION("""COMPUTED_VALUE"""),46023.0)</f>
        <v>46023</v>
      </c>
      <c r="B972" s="1" t="str">
        <f>IFERROR(__xludf.DUMMYFUNCTION("""COMPUTED_VALUE"""),"HTMall")</f>
        <v>HTMall</v>
      </c>
      <c r="C972" s="1" t="str">
        <f>IFERROR(__xludf.DUMMYFUNCTION("""COMPUTED_VALUE"""),"Twix ex")</f>
        <v>Twix ex</v>
      </c>
      <c r="D972" s="1">
        <f>IFERROR(__xludf.DUMMYFUNCTION("""COMPUTED_VALUE"""),8.0)</f>
        <v>8</v>
      </c>
      <c r="E972" s="1">
        <f>IFERROR(__xludf.DUMMYFUNCTION("""COMPUTED_VALUE"""),4.5)</f>
        <v>4.5</v>
      </c>
      <c r="F972" s="1">
        <f>IFERROR(__xludf.DUMMYFUNCTION("""COMPUTED_VALUE"""),2.0)</f>
        <v>2</v>
      </c>
    </row>
    <row r="973">
      <c r="A973" s="3">
        <f>IFERROR(__xludf.DUMMYFUNCTION("""COMPUTED_VALUE"""),46023.0)</f>
        <v>46023</v>
      </c>
      <c r="B973" s="1" t="str">
        <f>IFERROR(__xludf.DUMMYFUNCTION("""COMPUTED_VALUE"""),"HTMall")</f>
        <v>HTMall</v>
      </c>
      <c r="C973" s="1" t="str">
        <f>IFERROR(__xludf.DUMMYFUNCTION("""COMPUTED_VALUE"""),"Twix single")</f>
        <v>Twix single</v>
      </c>
      <c r="D973" s="1">
        <f>IFERROR(__xludf.DUMMYFUNCTION("""COMPUTED_VALUE"""),12.0)</f>
        <v>12</v>
      </c>
      <c r="E973" s="1">
        <f>IFERROR(__xludf.DUMMYFUNCTION("""COMPUTED_VALUE"""),4.95)</f>
        <v>4.95</v>
      </c>
      <c r="F973" s="1">
        <f>IFERROR(__xludf.DUMMYFUNCTION("""COMPUTED_VALUE"""),3.0)</f>
        <v>3</v>
      </c>
    </row>
    <row r="974">
      <c r="A974" s="3">
        <f>IFERROR(__xludf.DUMMYFUNCTION("""COMPUTED_VALUE"""),46023.0)</f>
        <v>46023</v>
      </c>
      <c r="B974" s="1" t="str">
        <f>IFERROR(__xludf.DUMMYFUNCTION("""COMPUTED_VALUE"""),"HTMall")</f>
        <v>HTMall</v>
      </c>
      <c r="C974" s="1" t="str">
        <f>IFERROR(__xludf.DUMMYFUNCTION("""COMPUTED_VALUE"""),"Water")</f>
        <v>Water</v>
      </c>
      <c r="D974" s="1">
        <f>IFERROR(__xludf.DUMMYFUNCTION("""COMPUTED_VALUE"""),1082.0)</f>
        <v>1082</v>
      </c>
      <c r="E974" s="1">
        <f>IFERROR(__xludf.DUMMYFUNCTION("""COMPUTED_VALUE"""),757.4)</f>
        <v>757.4</v>
      </c>
      <c r="F974" s="1">
        <f>IFERROR(__xludf.DUMMYFUNCTION("""COMPUTED_VALUE"""),1082.0)</f>
        <v>1082</v>
      </c>
    </row>
    <row r="975">
      <c r="A975" s="3">
        <f>IFERROR(__xludf.DUMMYFUNCTION("""COMPUTED_VALUE"""),46023.0)</f>
        <v>46023</v>
      </c>
      <c r="B975" s="1" t="str">
        <f>IFERROR(__xludf.DUMMYFUNCTION("""COMPUTED_VALUE"""),"HTMall")</f>
        <v>HTMall</v>
      </c>
      <c r="C975" s="1" t="str">
        <f>IFERROR(__xludf.DUMMYFUNCTION("""COMPUTED_VALUE"""),"X!R")</f>
        <v>X!R</v>
      </c>
      <c r="D975" s="1">
        <f>IFERROR(__xludf.DUMMYFUNCTION("""COMPUTED_VALUE"""),575.0)</f>
        <v>575</v>
      </c>
      <c r="E975" s="1">
        <f>IFERROR(__xludf.DUMMYFUNCTION("""COMPUTED_VALUE"""),143.75)</f>
        <v>143.75</v>
      </c>
      <c r="F975" s="1">
        <f>IFERROR(__xludf.DUMMYFUNCTION("""COMPUTED_VALUE"""),115.0)</f>
        <v>115</v>
      </c>
    </row>
    <row r="976">
      <c r="A976" s="3">
        <f>IFERROR(__xludf.DUMMYFUNCTION("""COMPUTED_VALUE"""),46023.0)</f>
        <v>46023</v>
      </c>
      <c r="B976" s="1" t="str">
        <f>IFERROR(__xludf.DUMMYFUNCTION("""COMPUTED_VALUE"""),"HTMall")</f>
        <v>HTMall</v>
      </c>
      <c r="C976" s="1" t="str">
        <f>IFERROR(__xludf.DUMMYFUNCTION("""COMPUTED_VALUE"""),"kinza")</f>
        <v>kinza</v>
      </c>
      <c r="D976" s="1">
        <f>IFERROR(__xludf.DUMMYFUNCTION("""COMPUTED_VALUE"""),146.0)</f>
        <v>146</v>
      </c>
      <c r="E976" s="1">
        <f>IFERROR(__xludf.DUMMYFUNCTION("""COMPUTED_VALUE"""),33.58)</f>
        <v>33.58</v>
      </c>
      <c r="F976" s="1">
        <f>IFERROR(__xludf.DUMMYFUNCTION("""COMPUTED_VALUE"""),73.0)</f>
        <v>73</v>
      </c>
    </row>
    <row r="977">
      <c r="A977" s="3">
        <f>IFERROR(__xludf.DUMMYFUNCTION("""COMPUTED_VALUE"""),46023.0)</f>
        <v>46023</v>
      </c>
      <c r="B977" s="1" t="str">
        <f>IFERROR(__xludf.DUMMYFUNCTION("""COMPUTED_VALUE"""),"HTMall")</f>
        <v>HTMall</v>
      </c>
      <c r="C977" s="1" t="str">
        <f>IFERROR(__xludf.DUMMYFUNCTION("""COMPUTED_VALUE"""),"mr bite")</f>
        <v>mr bite</v>
      </c>
      <c r="D977" s="1">
        <f>IFERROR(__xludf.DUMMYFUNCTION("""COMPUTED_VALUE"""),476.0)</f>
        <v>476</v>
      </c>
      <c r="E977" s="1">
        <f>IFERROR(__xludf.DUMMYFUNCTION("""COMPUTED_VALUE"""),159.46)</f>
        <v>159.46</v>
      </c>
      <c r="F977" s="1">
        <f>IFERROR(__xludf.DUMMYFUNCTION("""COMPUTED_VALUE"""),238.0)</f>
        <v>238</v>
      </c>
    </row>
    <row r="978">
      <c r="A978" s="3">
        <f>IFERROR(__xludf.DUMMYFUNCTION("""COMPUTED_VALUE"""),46023.0)</f>
        <v>46023</v>
      </c>
      <c r="B978" s="1" t="str">
        <f>IFERROR(__xludf.DUMMYFUNCTION("""COMPUTED_VALUE"""),"HTMall")</f>
        <v>HTMall</v>
      </c>
      <c r="C978" s="1" t="str">
        <f>IFERROR(__xludf.DUMMYFUNCTION("""COMPUTED_VALUE"""),"sunTop")</f>
        <v>sunTop</v>
      </c>
      <c r="D978" s="1">
        <f>IFERROR(__xludf.DUMMYFUNCTION("""COMPUTED_VALUE"""),245.0)</f>
        <v>245</v>
      </c>
      <c r="E978" s="1">
        <f>IFERROR(__xludf.DUMMYFUNCTION("""COMPUTED_VALUE"""),102.8)</f>
        <v>102.8</v>
      </c>
      <c r="F978" s="1">
        <f>IFERROR(__xludf.DUMMYFUNCTION("""COMPUTED_VALUE"""),237.0)</f>
        <v>237</v>
      </c>
    </row>
    <row r="979">
      <c r="A979" s="3">
        <f>IFERROR(__xludf.DUMMYFUNCTION("""COMPUTED_VALUE"""),46023.0)</f>
        <v>46023</v>
      </c>
      <c r="B979" s="1" t="str">
        <f>IFERROR(__xludf.DUMMYFUNCTION("""COMPUTED_VALUE"""),"HospAlmoa")</f>
        <v>HospAlmoa</v>
      </c>
      <c r="C979" s="1" t="str">
        <f>IFERROR(__xludf.DUMMYFUNCTION("""COMPUTED_VALUE"""),"Almarai Chocolate")</f>
        <v>Almarai Chocolate</v>
      </c>
      <c r="D979" s="1">
        <f>IFERROR(__xludf.DUMMYFUNCTION("""COMPUTED_VALUE"""),111.0)</f>
        <v>111</v>
      </c>
      <c r="E979" s="1">
        <f>IFERROR(__xludf.DUMMYFUNCTION("""COMPUTED_VALUE"""),37.0)</f>
        <v>37</v>
      </c>
      <c r="F979" s="1">
        <f>IFERROR(__xludf.DUMMYFUNCTION("""COMPUTED_VALUE"""),37.0)</f>
        <v>37</v>
      </c>
    </row>
    <row r="980">
      <c r="A980" s="3">
        <f>IFERROR(__xludf.DUMMYFUNCTION("""COMPUTED_VALUE"""),46023.0)</f>
        <v>46023</v>
      </c>
      <c r="B980" s="1" t="str">
        <f>IFERROR(__xludf.DUMMYFUNCTION("""COMPUTED_VALUE"""),"HospAlmoa")</f>
        <v>HospAlmoa</v>
      </c>
      <c r="C980" s="1" t="str">
        <f>IFERROR(__xludf.DUMMYFUNCTION("""COMPUTED_VALUE"""),"Almarai Strawberry")</f>
        <v>Almarai Strawberry</v>
      </c>
      <c r="D980" s="1">
        <f>IFERROR(__xludf.DUMMYFUNCTION("""COMPUTED_VALUE"""),108.0)</f>
        <v>108</v>
      </c>
      <c r="E980" s="1">
        <f>IFERROR(__xludf.DUMMYFUNCTION("""COMPUTED_VALUE"""),33.12)</f>
        <v>33.12</v>
      </c>
      <c r="F980" s="1">
        <f>IFERROR(__xludf.DUMMYFUNCTION("""COMPUTED_VALUE"""),36.0)</f>
        <v>36</v>
      </c>
    </row>
    <row r="981">
      <c r="A981" s="3">
        <f>IFERROR(__xludf.DUMMYFUNCTION("""COMPUTED_VALUE"""),46023.0)</f>
        <v>46023</v>
      </c>
      <c r="B981" s="1" t="str">
        <f>IFERROR(__xludf.DUMMYFUNCTION("""COMPUTED_VALUE"""),"HospAlmoa")</f>
        <v>HospAlmoa</v>
      </c>
      <c r="C981" s="1" t="str">
        <f>IFERROR(__xludf.DUMMYFUNCTION("""COMPUTED_VALUE"""),"Barbican")</f>
        <v>Barbican</v>
      </c>
      <c r="D981" s="1">
        <f>IFERROR(__xludf.DUMMYFUNCTION("""COMPUTED_VALUE"""),65.0)</f>
        <v>65</v>
      </c>
      <c r="E981" s="1">
        <f>IFERROR(__xludf.DUMMYFUNCTION("""COMPUTED_VALUE"""),23.79)</f>
        <v>23.79</v>
      </c>
      <c r="F981" s="1">
        <f>IFERROR(__xludf.DUMMYFUNCTION("""COMPUTED_VALUE"""),13.0)</f>
        <v>13</v>
      </c>
    </row>
    <row r="982">
      <c r="A982" s="3">
        <f>IFERROR(__xludf.DUMMYFUNCTION("""COMPUTED_VALUE"""),46023.0)</f>
        <v>46023</v>
      </c>
      <c r="B982" s="1" t="str">
        <f>IFERROR(__xludf.DUMMYFUNCTION("""COMPUTED_VALUE"""),"HospAlmoa")</f>
        <v>HospAlmoa</v>
      </c>
      <c r="C982" s="1" t="str">
        <f>IFERROR(__xludf.DUMMYFUNCTION("""COMPUTED_VALUE"""),"Caser Juice")</f>
        <v>Caser Juice</v>
      </c>
      <c r="D982" s="1">
        <f>IFERROR(__xludf.DUMMYFUNCTION("""COMPUTED_VALUE"""),85.0)</f>
        <v>85</v>
      </c>
      <c r="E982" s="1">
        <f>IFERROR(__xludf.DUMMYFUNCTION("""COMPUTED_VALUE"""),14.79)</f>
        <v>14.79</v>
      </c>
      <c r="F982" s="1">
        <f>IFERROR(__xludf.DUMMYFUNCTION("""COMPUTED_VALUE"""),17.0)</f>
        <v>17</v>
      </c>
    </row>
    <row r="983">
      <c r="A983" s="3">
        <f>IFERROR(__xludf.DUMMYFUNCTION("""COMPUTED_VALUE"""),46023.0)</f>
        <v>46023</v>
      </c>
      <c r="B983" s="1" t="str">
        <f>IFERROR(__xludf.DUMMYFUNCTION("""COMPUTED_VALUE"""),"HospAlmoa")</f>
        <v>HospAlmoa</v>
      </c>
      <c r="C983" s="1" t="str">
        <f>IFERROR(__xludf.DUMMYFUNCTION("""COMPUTED_VALUE"""),"Corissant Karuzo")</f>
        <v>Corissant Karuzo</v>
      </c>
      <c r="D983" s="1">
        <f>IFERROR(__xludf.DUMMYFUNCTION("""COMPUTED_VALUE"""),60.0)</f>
        <v>60</v>
      </c>
      <c r="E983" s="1">
        <f>IFERROR(__xludf.DUMMYFUNCTION("""COMPUTED_VALUE"""),13.05)</f>
        <v>13.05</v>
      </c>
      <c r="F983" s="1">
        <f>IFERROR(__xludf.DUMMYFUNCTION("""COMPUTED_VALUE"""),15.0)</f>
        <v>15</v>
      </c>
    </row>
    <row r="984">
      <c r="A984" s="3">
        <f>IFERROR(__xludf.DUMMYFUNCTION("""COMPUTED_VALUE"""),46023.0)</f>
        <v>46023</v>
      </c>
      <c r="B984" s="1" t="str">
        <f>IFERROR(__xludf.DUMMYFUNCTION("""COMPUTED_VALUE"""),"HospAlmoa")</f>
        <v>HospAlmoa</v>
      </c>
      <c r="C984" s="1" t="str">
        <f>IFERROR(__xludf.DUMMYFUNCTION("""COMPUTED_VALUE"""),"Digestive")</f>
        <v>Digestive</v>
      </c>
      <c r="D984" s="1">
        <f>IFERROR(__xludf.DUMMYFUNCTION("""COMPUTED_VALUE"""),23.0)</f>
        <v>23</v>
      </c>
      <c r="E984" s="1">
        <f>IFERROR(__xludf.DUMMYFUNCTION("""COMPUTED_VALUE"""),8.51)</f>
        <v>8.51</v>
      </c>
      <c r="F984" s="1">
        <f>IFERROR(__xludf.DUMMYFUNCTION("""COMPUTED_VALUE"""),23.0)</f>
        <v>23</v>
      </c>
    </row>
    <row r="985">
      <c r="A985" s="3">
        <f>IFERROR(__xludf.DUMMYFUNCTION("""COMPUTED_VALUE"""),46023.0)</f>
        <v>46023</v>
      </c>
      <c r="B985" s="1" t="str">
        <f>IFERROR(__xludf.DUMMYFUNCTION("""COMPUTED_VALUE"""),"HospAlmoa")</f>
        <v>HospAlmoa</v>
      </c>
      <c r="C985" s="1" t="str">
        <f>IFERROR(__xludf.DUMMYFUNCTION("""COMPUTED_VALUE"""),"Doritos cool ranc")</f>
        <v>Doritos cool ranc</v>
      </c>
      <c r="D985" s="1">
        <f>IFERROR(__xludf.DUMMYFUNCTION("""COMPUTED_VALUE"""),130.0)</f>
        <v>130</v>
      </c>
      <c r="E985" s="1">
        <f>IFERROR(__xludf.DUMMYFUNCTION("""COMPUTED_VALUE"""),60.839999999999996)</f>
        <v>60.84</v>
      </c>
      <c r="F985" s="1">
        <f>IFERROR(__xludf.DUMMYFUNCTION("""COMPUTED_VALUE"""),26.0)</f>
        <v>26</v>
      </c>
    </row>
    <row r="986">
      <c r="A986" s="3">
        <f>IFERROR(__xludf.DUMMYFUNCTION("""COMPUTED_VALUE"""),46023.0)</f>
        <v>46023</v>
      </c>
      <c r="B986" s="1" t="str">
        <f>IFERROR(__xludf.DUMMYFUNCTION("""COMPUTED_VALUE"""),"HospAlmoa")</f>
        <v>HospAlmoa</v>
      </c>
      <c r="C986" s="1" t="str">
        <f>IFERROR(__xludf.DUMMYFUNCTION("""COMPUTED_VALUE"""),"Doritos green hot")</f>
        <v>Doritos green hot</v>
      </c>
      <c r="D986" s="1">
        <f>IFERROR(__xludf.DUMMYFUNCTION("""COMPUTED_VALUE"""),120.0)</f>
        <v>120</v>
      </c>
      <c r="E986" s="1">
        <f>IFERROR(__xludf.DUMMYFUNCTION("""COMPUTED_VALUE"""),56.16)</f>
        <v>56.16</v>
      </c>
      <c r="F986" s="1">
        <f>IFERROR(__xludf.DUMMYFUNCTION("""COMPUTED_VALUE"""),24.0)</f>
        <v>24</v>
      </c>
    </row>
    <row r="987">
      <c r="A987" s="3">
        <f>IFERROR(__xludf.DUMMYFUNCTION("""COMPUTED_VALUE"""),46023.0)</f>
        <v>46023</v>
      </c>
      <c r="B987" s="1" t="str">
        <f>IFERROR(__xludf.DUMMYFUNCTION("""COMPUTED_VALUE"""),"HospAlmoa")</f>
        <v>HospAlmoa</v>
      </c>
      <c r="C987" s="1" t="str">
        <f>IFERROR(__xludf.DUMMYFUNCTION("""COMPUTED_VALUE"""),"Doritos nacho")</f>
        <v>Doritos nacho</v>
      </c>
      <c r="D987" s="1">
        <f>IFERROR(__xludf.DUMMYFUNCTION("""COMPUTED_VALUE"""),15.0)</f>
        <v>15</v>
      </c>
      <c r="E987" s="1">
        <f>IFERROR(__xludf.DUMMYFUNCTION("""COMPUTED_VALUE"""),4.5)</f>
        <v>4.5</v>
      </c>
      <c r="F987" s="1">
        <f>IFERROR(__xludf.DUMMYFUNCTION("""COMPUTED_VALUE"""),3.0)</f>
        <v>3</v>
      </c>
    </row>
    <row r="988">
      <c r="A988" s="3">
        <f>IFERROR(__xludf.DUMMYFUNCTION("""COMPUTED_VALUE"""),46023.0)</f>
        <v>46023</v>
      </c>
      <c r="B988" s="1" t="str">
        <f>IFERROR(__xludf.DUMMYFUNCTION("""COMPUTED_VALUE"""),"HospAlmoa")</f>
        <v>HospAlmoa</v>
      </c>
      <c r="C988" s="1" t="str">
        <f>IFERROR(__xludf.DUMMYFUNCTION("""COMPUTED_VALUE"""),"Gardena")</f>
        <v>Gardena</v>
      </c>
      <c r="D988" s="1">
        <f>IFERROR(__xludf.DUMMYFUNCTION("""COMPUTED_VALUE"""),78.0)</f>
        <v>78</v>
      </c>
      <c r="E988" s="1">
        <f>IFERROR(__xludf.DUMMYFUNCTION("""COMPUTED_VALUE"""),2.0)</f>
        <v>2</v>
      </c>
      <c r="F988" s="1">
        <f>IFERROR(__xludf.DUMMYFUNCTION("""COMPUTED_VALUE"""),20.0)</f>
        <v>20</v>
      </c>
    </row>
    <row r="989">
      <c r="A989" s="3">
        <f>IFERROR(__xludf.DUMMYFUNCTION("""COMPUTED_VALUE"""),46023.0)</f>
        <v>46023</v>
      </c>
      <c r="B989" s="1" t="str">
        <f>IFERROR(__xludf.DUMMYFUNCTION("""COMPUTED_VALUE"""),"HospAlmoa")</f>
        <v>HospAlmoa</v>
      </c>
      <c r="C989" s="1" t="str">
        <f>IFERROR(__xludf.DUMMYFUNCTION("""COMPUTED_VALUE"""),"Indomie")</f>
        <v>Indomie</v>
      </c>
      <c r="D989" s="1">
        <f>IFERROR(__xludf.DUMMYFUNCTION("""COMPUTED_VALUE"""),60.0)</f>
        <v>60</v>
      </c>
      <c r="E989" s="1">
        <f>IFERROR(__xludf.DUMMYFUNCTION("""COMPUTED_VALUE"""),26.04)</f>
        <v>26.04</v>
      </c>
      <c r="F989" s="1">
        <f>IFERROR(__xludf.DUMMYFUNCTION("""COMPUTED_VALUE"""),12.0)</f>
        <v>12</v>
      </c>
    </row>
    <row r="990">
      <c r="A990" s="3">
        <f>IFERROR(__xludf.DUMMYFUNCTION("""COMPUTED_VALUE"""),46023.0)</f>
        <v>46023</v>
      </c>
      <c r="B990" s="1" t="str">
        <f>IFERROR(__xludf.DUMMYFUNCTION("""COMPUTED_VALUE"""),"HospAlmoa")</f>
        <v>HospAlmoa</v>
      </c>
      <c r="C990" s="1" t="str">
        <f>IFERROR(__xludf.DUMMYFUNCTION("""COMPUTED_VALUE"""),"Kinder Bueno")</f>
        <v>Kinder Bueno</v>
      </c>
      <c r="D990" s="1">
        <f>IFERROR(__xludf.DUMMYFUNCTION("""COMPUTED_VALUE"""),323.0)</f>
        <v>323</v>
      </c>
      <c r="E990" s="1">
        <f>IFERROR(__xludf.DUMMYFUNCTION("""COMPUTED_VALUE"""),67.8)</f>
        <v>67.8</v>
      </c>
      <c r="F990" s="1">
        <f>IFERROR(__xludf.DUMMYFUNCTION("""COMPUTED_VALUE"""),44.0)</f>
        <v>44</v>
      </c>
    </row>
    <row r="991">
      <c r="A991" s="3">
        <f>IFERROR(__xludf.DUMMYFUNCTION("""COMPUTED_VALUE"""),46023.0)</f>
        <v>46023</v>
      </c>
      <c r="B991" s="1" t="str">
        <f>IFERROR(__xludf.DUMMYFUNCTION("""COMPUTED_VALUE"""),"HospAlmoa")</f>
        <v>HospAlmoa</v>
      </c>
      <c r="C991" s="1" t="str">
        <f>IFERROR(__xludf.DUMMYFUNCTION("""COMPUTED_VALUE"""),"Kinder bueno1stick")</f>
        <v>Kinder bueno1stick</v>
      </c>
      <c r="D991" s="1">
        <f>IFERROR(__xludf.DUMMYFUNCTION("""COMPUTED_VALUE"""),3.0)</f>
        <v>3</v>
      </c>
      <c r="E991" s="1">
        <f>IFERROR(__xludf.DUMMYFUNCTION("""COMPUTED_VALUE"""),0.0)</f>
        <v>0</v>
      </c>
      <c r="F991" s="1">
        <f>IFERROR(__xludf.DUMMYFUNCTION("""COMPUTED_VALUE"""),1.0)</f>
        <v>1</v>
      </c>
    </row>
    <row r="992">
      <c r="A992" s="3">
        <f>IFERROR(__xludf.DUMMYFUNCTION("""COMPUTED_VALUE"""),46023.0)</f>
        <v>46023</v>
      </c>
      <c r="B992" s="1" t="str">
        <f>IFERROR(__xludf.DUMMYFUNCTION("""COMPUTED_VALUE"""),"HospAlmoa")</f>
        <v>HospAlmoa</v>
      </c>
      <c r="C992" s="1" t="str">
        <f>IFERROR(__xludf.DUMMYFUNCTION("""COMPUTED_VALUE"""),"Kunuz Juice")</f>
        <v>Kunuz Juice</v>
      </c>
      <c r="D992" s="1">
        <f>IFERROR(__xludf.DUMMYFUNCTION("""COMPUTED_VALUE"""),48.0)</f>
        <v>48</v>
      </c>
      <c r="E992" s="1">
        <f>IFERROR(__xludf.DUMMYFUNCTION("""COMPUTED_VALUE"""),24.0)</f>
        <v>24</v>
      </c>
      <c r="F992" s="1">
        <f>IFERROR(__xludf.DUMMYFUNCTION("""COMPUTED_VALUE"""),12.0)</f>
        <v>12</v>
      </c>
    </row>
    <row r="993">
      <c r="A993" s="3">
        <f>IFERROR(__xludf.DUMMYFUNCTION("""COMPUTED_VALUE"""),46023.0)</f>
        <v>46023</v>
      </c>
      <c r="B993" s="1" t="str">
        <f>IFERROR(__xludf.DUMMYFUNCTION("""COMPUTED_VALUE"""),"HospAlmoa")</f>
        <v>HospAlmoa</v>
      </c>
      <c r="C993" s="1" t="str">
        <f>IFERROR(__xludf.DUMMYFUNCTION("""COMPUTED_VALUE"""),"Laviva")</f>
        <v>Laviva</v>
      </c>
      <c r="D993" s="1">
        <f>IFERROR(__xludf.DUMMYFUNCTION("""COMPUTED_VALUE"""),339.0)</f>
        <v>339</v>
      </c>
      <c r="E993" s="1">
        <f>IFERROR(__xludf.DUMMYFUNCTION("""COMPUTED_VALUE"""),78.0)</f>
        <v>78</v>
      </c>
      <c r="F993" s="1">
        <f>IFERROR(__xludf.DUMMYFUNCTION("""COMPUTED_VALUE"""),116.0)</f>
        <v>116</v>
      </c>
    </row>
    <row r="994">
      <c r="A994" s="3">
        <f>IFERROR(__xludf.DUMMYFUNCTION("""COMPUTED_VALUE"""),46023.0)</f>
        <v>46023</v>
      </c>
      <c r="B994" s="1" t="str">
        <f>IFERROR(__xludf.DUMMYFUNCTION("""COMPUTED_VALUE"""),"HospAlmoa")</f>
        <v>HospAlmoa</v>
      </c>
      <c r="C994" s="1" t="str">
        <f>IFERROR(__xludf.DUMMYFUNCTION("""COMPUTED_VALUE"""),"Lexus")</f>
        <v>Lexus</v>
      </c>
      <c r="D994" s="1">
        <f>IFERROR(__xludf.DUMMYFUNCTION("""COMPUTED_VALUE"""),45.0)</f>
        <v>45</v>
      </c>
      <c r="E994" s="1">
        <f>IFERROR(__xludf.DUMMYFUNCTION("""COMPUTED_VALUE"""),10.8)</f>
        <v>10.8</v>
      </c>
      <c r="F994" s="1">
        <f>IFERROR(__xludf.DUMMYFUNCTION("""COMPUTED_VALUE"""),9.0)</f>
        <v>9</v>
      </c>
    </row>
    <row r="995">
      <c r="A995" s="3">
        <f>IFERROR(__xludf.DUMMYFUNCTION("""COMPUTED_VALUE"""),46023.0)</f>
        <v>46023</v>
      </c>
      <c r="B995" s="1" t="str">
        <f>IFERROR(__xludf.DUMMYFUNCTION("""COMPUTED_VALUE"""),"HospAlmoa")</f>
        <v>HospAlmoa</v>
      </c>
      <c r="C995" s="1" t="str">
        <f>IFERROR(__xludf.DUMMYFUNCTION("""COMPUTED_VALUE"""),"Lovita cookies")</f>
        <v>Lovita cookies</v>
      </c>
      <c r="D995" s="1">
        <f>IFERROR(__xludf.DUMMYFUNCTION("""COMPUTED_VALUE"""),130.0)</f>
        <v>130</v>
      </c>
      <c r="E995" s="1">
        <f>IFERROR(__xludf.DUMMYFUNCTION("""COMPUTED_VALUE"""),47.12)</f>
        <v>47.12</v>
      </c>
      <c r="F995" s="1">
        <f>IFERROR(__xludf.DUMMYFUNCTION("""COMPUTED_VALUE"""),16.0)</f>
        <v>16</v>
      </c>
    </row>
    <row r="996">
      <c r="A996" s="3">
        <f>IFERROR(__xludf.DUMMYFUNCTION("""COMPUTED_VALUE"""),46023.0)</f>
        <v>46023</v>
      </c>
      <c r="B996" s="1" t="str">
        <f>IFERROR(__xludf.DUMMYFUNCTION("""COMPUTED_VALUE"""),"HospAlmoa")</f>
        <v>HospAlmoa</v>
      </c>
      <c r="C996" s="1" t="str">
        <f>IFERROR(__xludf.DUMMYFUNCTION("""COMPUTED_VALUE"""),"MR Crunch")</f>
        <v>MR Crunch</v>
      </c>
      <c r="D996" s="1">
        <f>IFERROR(__xludf.DUMMYFUNCTION("""COMPUTED_VALUE"""),280.0)</f>
        <v>280</v>
      </c>
      <c r="E996" s="1">
        <f>IFERROR(__xludf.DUMMYFUNCTION("""COMPUTED_VALUE"""),124.88)</f>
        <v>124.88</v>
      </c>
      <c r="F996" s="1">
        <f>IFERROR(__xludf.DUMMYFUNCTION("""COMPUTED_VALUE"""),56.0)</f>
        <v>56</v>
      </c>
    </row>
    <row r="997">
      <c r="A997" s="3">
        <f>IFERROR(__xludf.DUMMYFUNCTION("""COMPUTED_VALUE"""),46023.0)</f>
        <v>46023</v>
      </c>
      <c r="B997" s="1" t="str">
        <f>IFERROR(__xludf.DUMMYFUNCTION("""COMPUTED_VALUE"""),"HospAlmoa")</f>
        <v>HospAlmoa</v>
      </c>
      <c r="C997" s="1" t="str">
        <f>IFERROR(__xludf.DUMMYFUNCTION("""COMPUTED_VALUE"""),"Maltesers")</f>
        <v>Maltesers</v>
      </c>
      <c r="D997" s="1">
        <f>IFERROR(__xludf.DUMMYFUNCTION("""COMPUTED_VALUE"""),99.0)</f>
        <v>99</v>
      </c>
      <c r="E997" s="1">
        <f>IFERROR(__xludf.DUMMYFUNCTION("""COMPUTED_VALUE"""),18.4)</f>
        <v>18.4</v>
      </c>
      <c r="F997" s="1">
        <f>IFERROR(__xludf.DUMMYFUNCTION("""COMPUTED_VALUE"""),13.0)</f>
        <v>13</v>
      </c>
    </row>
    <row r="998">
      <c r="A998" s="3">
        <f>IFERROR(__xludf.DUMMYFUNCTION("""COMPUTED_VALUE"""),46023.0)</f>
        <v>46023</v>
      </c>
      <c r="B998" s="1" t="str">
        <f>IFERROR(__xludf.DUMMYFUNCTION("""COMPUTED_VALUE"""),"HospAlmoa")</f>
        <v>HospAlmoa</v>
      </c>
      <c r="C998" s="1" t="str">
        <f>IFERROR(__xludf.DUMMYFUNCTION("""COMPUTED_VALUE"""),"Marie biscuit")</f>
        <v>Marie biscuit</v>
      </c>
      <c r="D998" s="1">
        <f>IFERROR(__xludf.DUMMYFUNCTION("""COMPUTED_VALUE"""),1.0)</f>
        <v>1</v>
      </c>
      <c r="E998" s="1">
        <f>IFERROR(__xludf.DUMMYFUNCTION("""COMPUTED_VALUE"""),0.53)</f>
        <v>0.53</v>
      </c>
      <c r="F998" s="1">
        <f>IFERROR(__xludf.DUMMYFUNCTION("""COMPUTED_VALUE"""),1.0)</f>
        <v>1</v>
      </c>
    </row>
    <row r="999">
      <c r="A999" s="3">
        <f>IFERROR(__xludf.DUMMYFUNCTION("""COMPUTED_VALUE"""),46023.0)</f>
        <v>46023</v>
      </c>
      <c r="B999" s="1" t="str">
        <f>IFERROR(__xludf.DUMMYFUNCTION("""COMPUTED_VALUE"""),"HospAlmoa")</f>
        <v>HospAlmoa</v>
      </c>
      <c r="C999" s="1" t="str">
        <f>IFERROR(__xludf.DUMMYFUNCTION("""COMPUTED_VALUE"""),"Mars")</f>
        <v>Mars</v>
      </c>
      <c r="D999" s="1">
        <f>IFERROR(__xludf.DUMMYFUNCTION("""COMPUTED_VALUE"""),156.0)</f>
        <v>156</v>
      </c>
      <c r="E999" s="1">
        <f>IFERROR(__xludf.DUMMYFUNCTION("""COMPUTED_VALUE"""),20.8)</f>
        <v>20.8</v>
      </c>
      <c r="F999" s="1">
        <f>IFERROR(__xludf.DUMMYFUNCTION("""COMPUTED_VALUE"""),26.0)</f>
        <v>26</v>
      </c>
    </row>
    <row r="1000">
      <c r="A1000" s="3">
        <f>IFERROR(__xludf.DUMMYFUNCTION("""COMPUTED_VALUE"""),46023.0)</f>
        <v>46023</v>
      </c>
      <c r="B1000" s="1" t="str">
        <f>IFERROR(__xludf.DUMMYFUNCTION("""COMPUTED_VALUE"""),"HospAlmoa")</f>
        <v>HospAlmoa</v>
      </c>
      <c r="C1000" s="1" t="str">
        <f>IFERROR(__xludf.DUMMYFUNCTION("""COMPUTED_VALUE"""),"Mirinda")</f>
        <v>Mirinda</v>
      </c>
      <c r="D1000" s="1">
        <f>IFERROR(__xludf.DUMMYFUNCTION("""COMPUTED_VALUE"""),72.0)</f>
        <v>72</v>
      </c>
      <c r="E1000" s="1">
        <f>IFERROR(__xludf.DUMMYFUNCTION("""COMPUTED_VALUE"""),18.0)</f>
        <v>18</v>
      </c>
      <c r="F1000" s="1">
        <f>IFERROR(__xludf.DUMMYFUNCTION("""COMPUTED_VALUE"""),24.0)</f>
        <v>24</v>
      </c>
    </row>
    <row r="1001">
      <c r="A1001" s="3">
        <f>IFERROR(__xludf.DUMMYFUNCTION("""COMPUTED_VALUE"""),46023.0)</f>
        <v>46023</v>
      </c>
      <c r="B1001" s="1" t="str">
        <f>IFERROR(__xludf.DUMMYFUNCTION("""COMPUTED_VALUE"""),"HospAlmoa")</f>
        <v>HospAlmoa</v>
      </c>
      <c r="C1001" s="1" t="str">
        <f>IFERROR(__xludf.DUMMYFUNCTION("""COMPUTED_VALUE"""),"MrCrunch-RingGo")</f>
        <v>MrCrunch-RingGo</v>
      </c>
      <c r="D1001" s="1">
        <f>IFERROR(__xludf.DUMMYFUNCTION("""COMPUTED_VALUE"""),5.0)</f>
        <v>5</v>
      </c>
      <c r="E1001" s="1">
        <f>IFERROR(__xludf.DUMMYFUNCTION("""COMPUTED_VALUE"""),3.4)</f>
        <v>3.4</v>
      </c>
      <c r="F1001" s="1">
        <f>IFERROR(__xludf.DUMMYFUNCTION("""COMPUTED_VALUE"""),1.0)</f>
        <v>1</v>
      </c>
    </row>
    <row r="1002">
      <c r="A1002" s="3">
        <f>IFERROR(__xludf.DUMMYFUNCTION("""COMPUTED_VALUE"""),46023.0)</f>
        <v>46023</v>
      </c>
      <c r="B1002" s="1" t="str">
        <f>IFERROR(__xludf.DUMMYFUNCTION("""COMPUTED_VALUE"""),"HospAlmoa")</f>
        <v>HospAlmoa</v>
      </c>
      <c r="C1002" s="1" t="str">
        <f>IFERROR(__xludf.DUMMYFUNCTION("""COMPUTED_VALUE"""),"Pepsi")</f>
        <v>Pepsi</v>
      </c>
      <c r="D1002" s="1">
        <f>IFERROR(__xludf.DUMMYFUNCTION("""COMPUTED_VALUE"""),159.0)</f>
        <v>159</v>
      </c>
      <c r="E1002" s="1">
        <f>IFERROR(__xludf.DUMMYFUNCTION("""COMPUTED_VALUE"""),39.75)</f>
        <v>39.75</v>
      </c>
      <c r="F1002" s="1">
        <f>IFERROR(__xludf.DUMMYFUNCTION("""COMPUTED_VALUE"""),53.0)</f>
        <v>53</v>
      </c>
    </row>
    <row r="1003">
      <c r="A1003" s="3">
        <f>IFERROR(__xludf.DUMMYFUNCTION("""COMPUTED_VALUE"""),46023.0)</f>
        <v>46023</v>
      </c>
      <c r="B1003" s="1" t="str">
        <f>IFERROR(__xludf.DUMMYFUNCTION("""COMPUTED_VALUE"""),"HospAlmoa")</f>
        <v>HospAlmoa</v>
      </c>
      <c r="C1003" s="1" t="str">
        <f>IFERROR(__xludf.DUMMYFUNCTION("""COMPUTED_VALUE"""),"Pretzels")</f>
        <v>Pretzels</v>
      </c>
      <c r="D1003" s="1">
        <f>IFERROR(__xludf.DUMMYFUNCTION("""COMPUTED_VALUE"""),60.0)</f>
        <v>60</v>
      </c>
      <c r="E1003" s="1">
        <f>IFERROR(__xludf.DUMMYFUNCTION("""COMPUTED_VALUE"""),21.0)</f>
        <v>21</v>
      </c>
      <c r="F1003" s="1">
        <f>IFERROR(__xludf.DUMMYFUNCTION("""COMPUTED_VALUE"""),12.0)</f>
        <v>12</v>
      </c>
    </row>
    <row r="1004">
      <c r="A1004" s="3">
        <f>IFERROR(__xludf.DUMMYFUNCTION("""COMPUTED_VALUE"""),46023.0)</f>
        <v>46023</v>
      </c>
      <c r="B1004" s="1" t="str">
        <f>IFERROR(__xludf.DUMMYFUNCTION("""COMPUTED_VALUE"""),"HospAlmoa")</f>
        <v>HospAlmoa</v>
      </c>
      <c r="C1004" s="1" t="str">
        <f>IFERROR(__xludf.DUMMYFUNCTION("""COMPUTED_VALUE"""),"Rani")</f>
        <v>Rani</v>
      </c>
      <c r="D1004" s="1">
        <f>IFERROR(__xludf.DUMMYFUNCTION("""COMPUTED_VALUE"""),6.0)</f>
        <v>6</v>
      </c>
      <c r="E1004" s="1">
        <f>IFERROR(__xludf.DUMMYFUNCTION("""COMPUTED_VALUE"""),1.66)</f>
        <v>1.66</v>
      </c>
      <c r="F1004" s="1">
        <f>IFERROR(__xludf.DUMMYFUNCTION("""COMPUTED_VALUE"""),2.0)</f>
        <v>2</v>
      </c>
    </row>
    <row r="1005">
      <c r="A1005" s="3">
        <f>IFERROR(__xludf.DUMMYFUNCTION("""COMPUTED_VALUE"""),46023.0)</f>
        <v>46023</v>
      </c>
      <c r="B1005" s="1" t="str">
        <f>IFERROR(__xludf.DUMMYFUNCTION("""COMPUTED_VALUE"""),"HospAlmoa")</f>
        <v>HospAlmoa</v>
      </c>
      <c r="C1005" s="1" t="str">
        <f>IFERROR(__xludf.DUMMYFUNCTION("""COMPUTED_VALUE"""),"Rayhan suntop")</f>
        <v>Rayhan suntop</v>
      </c>
      <c r="D1005" s="1">
        <f>IFERROR(__xludf.DUMMYFUNCTION("""COMPUTED_VALUE"""),21.0)</f>
        <v>21</v>
      </c>
      <c r="E1005" s="1">
        <f>IFERROR(__xludf.DUMMYFUNCTION("""COMPUTED_VALUE"""),6.72)</f>
        <v>6.72</v>
      </c>
      <c r="F1005" s="1">
        <f>IFERROR(__xludf.DUMMYFUNCTION("""COMPUTED_VALUE"""),21.0)</f>
        <v>21</v>
      </c>
    </row>
    <row r="1006">
      <c r="A1006" s="3">
        <f>IFERROR(__xludf.DUMMYFUNCTION("""COMPUTED_VALUE"""),46023.0)</f>
        <v>46023</v>
      </c>
      <c r="B1006" s="1" t="str">
        <f>IFERROR(__xludf.DUMMYFUNCTION("""COMPUTED_VALUE"""),"HospAlmoa")</f>
        <v>HospAlmoa</v>
      </c>
      <c r="C1006" s="1" t="str">
        <f>IFERROR(__xludf.DUMMYFUNCTION("""COMPUTED_VALUE"""),"Savi stix")</f>
        <v>Savi stix</v>
      </c>
      <c r="D1006" s="1">
        <f>IFERROR(__xludf.DUMMYFUNCTION("""COMPUTED_VALUE"""),40.0)</f>
        <v>40</v>
      </c>
      <c r="E1006" s="1">
        <f>IFERROR(__xludf.DUMMYFUNCTION("""COMPUTED_VALUE"""),11.2)</f>
        <v>11.2</v>
      </c>
      <c r="F1006" s="1">
        <f>IFERROR(__xludf.DUMMYFUNCTION("""COMPUTED_VALUE"""),8.0)</f>
        <v>8</v>
      </c>
    </row>
    <row r="1007">
      <c r="A1007" s="3">
        <f>IFERROR(__xludf.DUMMYFUNCTION("""COMPUTED_VALUE"""),46023.0)</f>
        <v>46023</v>
      </c>
      <c r="B1007" s="1" t="str">
        <f>IFERROR(__xludf.DUMMYFUNCTION("""COMPUTED_VALUE"""),"HospAlmoa")</f>
        <v>HospAlmoa</v>
      </c>
      <c r="C1007" s="1" t="str">
        <f>IFERROR(__xludf.DUMMYFUNCTION("""COMPUTED_VALUE"""),"Schweppes")</f>
        <v>Schweppes</v>
      </c>
      <c r="D1007" s="1">
        <f>IFERROR(__xludf.DUMMYFUNCTION("""COMPUTED_VALUE"""),98.0)</f>
        <v>98</v>
      </c>
      <c r="E1007" s="1">
        <f>IFERROR(__xludf.DUMMYFUNCTION("""COMPUTED_VALUE"""),38.0)</f>
        <v>38</v>
      </c>
      <c r="F1007" s="1">
        <f>IFERROR(__xludf.DUMMYFUNCTION("""COMPUTED_VALUE"""),30.0)</f>
        <v>30</v>
      </c>
    </row>
    <row r="1008">
      <c r="A1008" s="3">
        <f>IFERROR(__xludf.DUMMYFUNCTION("""COMPUTED_VALUE"""),46023.0)</f>
        <v>46023</v>
      </c>
      <c r="B1008" s="1" t="str">
        <f>IFERROR(__xludf.DUMMYFUNCTION("""COMPUTED_VALUE"""),"HospAlmoa")</f>
        <v>HospAlmoa</v>
      </c>
      <c r="C1008" s="1" t="str">
        <f>IFERROR(__xludf.DUMMYFUNCTION("""COMPUTED_VALUE"""),"Shani")</f>
        <v>Shani</v>
      </c>
      <c r="D1008" s="1">
        <f>IFERROR(__xludf.DUMMYFUNCTION("""COMPUTED_VALUE"""),57.0)</f>
        <v>57</v>
      </c>
      <c r="E1008" s="1">
        <f>IFERROR(__xludf.DUMMYFUNCTION("""COMPUTED_VALUE"""),14.25)</f>
        <v>14.25</v>
      </c>
      <c r="F1008" s="1">
        <f>IFERROR(__xludf.DUMMYFUNCTION("""COMPUTED_VALUE"""),19.0)</f>
        <v>19</v>
      </c>
    </row>
    <row r="1009">
      <c r="A1009" s="3">
        <f>IFERROR(__xludf.DUMMYFUNCTION("""COMPUTED_VALUE"""),46023.0)</f>
        <v>46023</v>
      </c>
      <c r="B1009" s="1" t="str">
        <f>IFERROR(__xludf.DUMMYFUNCTION("""COMPUTED_VALUE"""),"HospAlmoa")</f>
        <v>HospAlmoa</v>
      </c>
      <c r="C1009" s="1" t="str">
        <f>IFERROR(__xludf.DUMMYFUNCTION("""COMPUTED_VALUE"""),"Snickers")</f>
        <v>Snickers</v>
      </c>
      <c r="D1009" s="1">
        <f>IFERROR(__xludf.DUMMYFUNCTION("""COMPUTED_VALUE"""),126.0)</f>
        <v>126</v>
      </c>
      <c r="E1009" s="1">
        <f>IFERROR(__xludf.DUMMYFUNCTION("""COMPUTED_VALUE"""),11.6)</f>
        <v>11.6</v>
      </c>
      <c r="F1009" s="1">
        <f>IFERROR(__xludf.DUMMYFUNCTION("""COMPUTED_VALUE"""),22.0)</f>
        <v>22</v>
      </c>
    </row>
    <row r="1010">
      <c r="A1010" s="3">
        <f>IFERROR(__xludf.DUMMYFUNCTION("""COMPUTED_VALUE"""),46023.0)</f>
        <v>46023</v>
      </c>
      <c r="B1010" s="1" t="str">
        <f>IFERROR(__xludf.DUMMYFUNCTION("""COMPUTED_VALUE"""),"HospAlmoa")</f>
        <v>HospAlmoa</v>
      </c>
      <c r="C1010" s="1" t="str">
        <f>IFERROR(__xludf.DUMMYFUNCTION("""COMPUTED_VALUE"""),"Tiger *12")</f>
        <v>Tiger *12</v>
      </c>
      <c r="D1010" s="1">
        <f>IFERROR(__xludf.DUMMYFUNCTION("""COMPUTED_VALUE"""),50.0)</f>
        <v>50</v>
      </c>
      <c r="E1010" s="1">
        <f>IFERROR(__xludf.DUMMYFUNCTION("""COMPUTED_VALUE"""),15.0)</f>
        <v>15</v>
      </c>
      <c r="F1010" s="1">
        <f>IFERROR(__xludf.DUMMYFUNCTION("""COMPUTED_VALUE"""),10.0)</f>
        <v>10</v>
      </c>
    </row>
    <row r="1011">
      <c r="A1011" s="3">
        <f>IFERROR(__xludf.DUMMYFUNCTION("""COMPUTED_VALUE"""),46023.0)</f>
        <v>46023</v>
      </c>
      <c r="B1011" s="1" t="str">
        <f>IFERROR(__xludf.DUMMYFUNCTION("""COMPUTED_VALUE"""),"HospAlmoa")</f>
        <v>HospAlmoa</v>
      </c>
      <c r="C1011" s="1" t="str">
        <f>IFERROR(__xludf.DUMMYFUNCTION("""COMPUTED_VALUE"""),"Tiger *12 Cheese")</f>
        <v>Tiger *12 Cheese</v>
      </c>
      <c r="D1011" s="1">
        <f>IFERROR(__xludf.DUMMYFUNCTION("""COMPUTED_VALUE"""),185.0)</f>
        <v>185</v>
      </c>
      <c r="E1011" s="1">
        <f>IFERROR(__xludf.DUMMYFUNCTION("""COMPUTED_VALUE"""),55.5)</f>
        <v>55.5</v>
      </c>
      <c r="F1011" s="1">
        <f>IFERROR(__xludf.DUMMYFUNCTION("""COMPUTED_VALUE"""),37.0)</f>
        <v>37</v>
      </c>
    </row>
    <row r="1012">
      <c r="A1012" s="3">
        <f>IFERROR(__xludf.DUMMYFUNCTION("""COMPUTED_VALUE"""),46023.0)</f>
        <v>46023</v>
      </c>
      <c r="B1012" s="1" t="str">
        <f>IFERROR(__xludf.DUMMYFUNCTION("""COMPUTED_VALUE"""),"HospAlmoa")</f>
        <v>HospAlmoa</v>
      </c>
      <c r="C1012" s="1" t="str">
        <f>IFERROR(__xludf.DUMMYFUNCTION("""COMPUTED_VALUE"""),"Tiger *12 kebab")</f>
        <v>Tiger *12 kebab</v>
      </c>
      <c r="D1012" s="1">
        <f>IFERROR(__xludf.DUMMYFUNCTION("""COMPUTED_VALUE"""),100.0)</f>
        <v>100</v>
      </c>
      <c r="E1012" s="1">
        <f>IFERROR(__xludf.DUMMYFUNCTION("""COMPUTED_VALUE"""),30.0)</f>
        <v>30</v>
      </c>
      <c r="F1012" s="1">
        <f>IFERROR(__xludf.DUMMYFUNCTION("""COMPUTED_VALUE"""),20.0)</f>
        <v>20</v>
      </c>
    </row>
    <row r="1013">
      <c r="A1013" s="3">
        <f>IFERROR(__xludf.DUMMYFUNCTION("""COMPUTED_VALUE"""),46023.0)</f>
        <v>46023</v>
      </c>
      <c r="B1013" s="1" t="str">
        <f>IFERROR(__xludf.DUMMYFUNCTION("""COMPUTED_VALUE"""),"HospAlmoa")</f>
        <v>HospAlmoa</v>
      </c>
      <c r="C1013" s="1" t="str">
        <f>IFERROR(__xludf.DUMMYFUNCTION("""COMPUTED_VALUE"""),"Tiger *12 tomato")</f>
        <v>Tiger *12 tomato</v>
      </c>
      <c r="D1013" s="1">
        <f>IFERROR(__xludf.DUMMYFUNCTION("""COMPUTED_VALUE"""),40.0)</f>
        <v>40</v>
      </c>
      <c r="E1013" s="1">
        <f>IFERROR(__xludf.DUMMYFUNCTION("""COMPUTED_VALUE"""),12.0)</f>
        <v>12</v>
      </c>
      <c r="F1013" s="1">
        <f>IFERROR(__xludf.DUMMYFUNCTION("""COMPUTED_VALUE"""),8.0)</f>
        <v>8</v>
      </c>
    </row>
    <row r="1014">
      <c r="A1014" s="3">
        <f>IFERROR(__xludf.DUMMYFUNCTION("""COMPUTED_VALUE"""),46023.0)</f>
        <v>46023</v>
      </c>
      <c r="B1014" s="1" t="str">
        <f>IFERROR(__xludf.DUMMYFUNCTION("""COMPUTED_VALUE"""),"HospAlmoa")</f>
        <v>HospAlmoa</v>
      </c>
      <c r="C1014" s="1" t="str">
        <f>IFERROR(__xludf.DUMMYFUNCTION("""COMPUTED_VALUE"""),"Tiger *16 kebab")</f>
        <v>Tiger *16 kebab</v>
      </c>
      <c r="D1014" s="1">
        <f>IFERROR(__xludf.DUMMYFUNCTION("""COMPUTED_VALUE"""),30.0)</f>
        <v>30</v>
      </c>
      <c r="E1014" s="1">
        <f>IFERROR(__xludf.DUMMYFUNCTION("""COMPUTED_VALUE"""),16.92)</f>
        <v>16.92</v>
      </c>
      <c r="F1014" s="1">
        <f>IFERROR(__xludf.DUMMYFUNCTION("""COMPUTED_VALUE"""),6.0)</f>
        <v>6</v>
      </c>
    </row>
    <row r="1015">
      <c r="A1015" s="3">
        <f>IFERROR(__xludf.DUMMYFUNCTION("""COMPUTED_VALUE"""),46023.0)</f>
        <v>46023</v>
      </c>
      <c r="B1015" s="1" t="str">
        <f>IFERROR(__xludf.DUMMYFUNCTION("""COMPUTED_VALUE"""),"HospAlmoa")</f>
        <v>HospAlmoa</v>
      </c>
      <c r="C1015" s="1" t="str">
        <f>IFERROR(__xludf.DUMMYFUNCTION("""COMPUTED_VALUE"""),"Tiger *16 tomato")</f>
        <v>Tiger *16 tomato</v>
      </c>
      <c r="D1015" s="1">
        <f>IFERROR(__xludf.DUMMYFUNCTION("""COMPUTED_VALUE"""),28.0)</f>
        <v>28</v>
      </c>
      <c r="E1015" s="1">
        <f>IFERROR(__xludf.DUMMYFUNCTION("""COMPUTED_VALUE"""),12.74)</f>
        <v>12.74</v>
      </c>
      <c r="F1015" s="1">
        <f>IFERROR(__xludf.DUMMYFUNCTION("""COMPUTED_VALUE"""),7.0)</f>
        <v>7</v>
      </c>
    </row>
    <row r="1016">
      <c r="A1016" s="3">
        <f>IFERROR(__xludf.DUMMYFUNCTION("""COMPUTED_VALUE"""),46023.0)</f>
        <v>46023</v>
      </c>
      <c r="B1016" s="1" t="str">
        <f>IFERROR(__xludf.DUMMYFUNCTION("""COMPUTED_VALUE"""),"HospAlmoa")</f>
        <v>HospAlmoa</v>
      </c>
      <c r="C1016" s="1" t="str">
        <f>IFERROR(__xludf.DUMMYFUNCTION("""COMPUTED_VALUE"""),"Tiger 12 chili and lemon")</f>
        <v>Tiger 12 chili and lemon</v>
      </c>
      <c r="D1016" s="1">
        <f>IFERROR(__xludf.DUMMYFUNCTION("""COMPUTED_VALUE"""),50.0)</f>
        <v>50</v>
      </c>
      <c r="E1016" s="1">
        <f>IFERROR(__xludf.DUMMYFUNCTION("""COMPUTED_VALUE"""),15.0)</f>
        <v>15</v>
      </c>
      <c r="F1016" s="1">
        <f>IFERROR(__xludf.DUMMYFUNCTION("""COMPUTED_VALUE"""),10.0)</f>
        <v>10</v>
      </c>
    </row>
    <row r="1017">
      <c r="A1017" s="3">
        <f>IFERROR(__xludf.DUMMYFUNCTION("""COMPUTED_VALUE"""),46023.0)</f>
        <v>46023</v>
      </c>
      <c r="B1017" s="1" t="str">
        <f>IFERROR(__xludf.DUMMYFUNCTION("""COMPUTED_VALUE"""),"HospAlmoa")</f>
        <v>HospAlmoa</v>
      </c>
      <c r="C1017" s="1" t="str">
        <f>IFERROR(__xludf.DUMMYFUNCTION("""COMPUTED_VALUE"""),"Tiger 12 paprika")</f>
        <v>Tiger 12 paprika</v>
      </c>
      <c r="D1017" s="1">
        <f>IFERROR(__xludf.DUMMYFUNCTION("""COMPUTED_VALUE"""),55.0)</f>
        <v>55</v>
      </c>
      <c r="E1017" s="1">
        <f>IFERROR(__xludf.DUMMYFUNCTION("""COMPUTED_VALUE"""),16.5)</f>
        <v>16.5</v>
      </c>
      <c r="F1017" s="1">
        <f>IFERROR(__xludf.DUMMYFUNCTION("""COMPUTED_VALUE"""),11.0)</f>
        <v>11</v>
      </c>
    </row>
    <row r="1018">
      <c r="A1018" s="3">
        <f>IFERROR(__xludf.DUMMYFUNCTION("""COMPUTED_VALUE"""),46023.0)</f>
        <v>46023</v>
      </c>
      <c r="B1018" s="1" t="str">
        <f>IFERROR(__xludf.DUMMYFUNCTION("""COMPUTED_VALUE"""),"HospAlmoa")</f>
        <v>HospAlmoa</v>
      </c>
      <c r="C1018" s="1" t="str">
        <f>IFERROR(__xludf.DUMMYFUNCTION("""COMPUTED_VALUE"""),"Tiger excellence")</f>
        <v>Tiger excellence</v>
      </c>
      <c r="D1018" s="1">
        <f>IFERROR(__xludf.DUMMYFUNCTION("""COMPUTED_VALUE"""),70.0)</f>
        <v>70</v>
      </c>
      <c r="E1018" s="1">
        <f>IFERROR(__xludf.DUMMYFUNCTION("""COMPUTED_VALUE"""),38.5)</f>
        <v>38.5</v>
      </c>
      <c r="F1018" s="1">
        <f>IFERROR(__xludf.DUMMYFUNCTION("""COMPUTED_VALUE"""),14.0)</f>
        <v>14</v>
      </c>
    </row>
    <row r="1019">
      <c r="A1019" s="3">
        <f>IFERROR(__xludf.DUMMYFUNCTION("""COMPUTED_VALUE"""),46023.0)</f>
        <v>46023</v>
      </c>
      <c r="B1019" s="1" t="str">
        <f>IFERROR(__xludf.DUMMYFUNCTION("""COMPUTED_VALUE"""),"HospAlmoa")</f>
        <v>HospAlmoa</v>
      </c>
      <c r="C1019" s="1" t="str">
        <f>IFERROR(__xludf.DUMMYFUNCTION("""COMPUTED_VALUE"""),"Toblerone")</f>
        <v>Toblerone</v>
      </c>
      <c r="D1019" s="1">
        <f>IFERROR(__xludf.DUMMYFUNCTION("""COMPUTED_VALUE"""),84.0)</f>
        <v>84</v>
      </c>
      <c r="E1019" s="1">
        <f>IFERROR(__xludf.DUMMYFUNCTION("""COMPUTED_VALUE"""),26.52)</f>
        <v>26.52</v>
      </c>
      <c r="F1019" s="1">
        <f>IFERROR(__xludf.DUMMYFUNCTION("""COMPUTED_VALUE"""),12.0)</f>
        <v>12</v>
      </c>
    </row>
    <row r="1020">
      <c r="A1020" s="3">
        <f>IFERROR(__xludf.DUMMYFUNCTION("""COMPUTED_VALUE"""),46023.0)</f>
        <v>46023</v>
      </c>
      <c r="B1020" s="1" t="str">
        <f>IFERROR(__xludf.DUMMYFUNCTION("""COMPUTED_VALUE"""),"HospAlmoa")</f>
        <v>HospAlmoa</v>
      </c>
      <c r="C1020" s="1" t="str">
        <f>IFERROR(__xludf.DUMMYFUNCTION("""COMPUTED_VALUE"""),"Twix")</f>
        <v>Twix</v>
      </c>
      <c r="D1020" s="1">
        <f>IFERROR(__xludf.DUMMYFUNCTION("""COMPUTED_VALUE"""),186.0)</f>
        <v>186</v>
      </c>
      <c r="E1020" s="1">
        <f>IFERROR(__xludf.DUMMYFUNCTION("""COMPUTED_VALUE"""),-14.0)</f>
        <v>-14</v>
      </c>
      <c r="F1020" s="1">
        <f>IFERROR(__xludf.DUMMYFUNCTION("""COMPUTED_VALUE"""),40.0)</f>
        <v>40</v>
      </c>
    </row>
    <row r="1021">
      <c r="A1021" s="3">
        <f>IFERROR(__xludf.DUMMYFUNCTION("""COMPUTED_VALUE"""),46023.0)</f>
        <v>46023</v>
      </c>
      <c r="B1021" s="1" t="str">
        <f>IFERROR(__xludf.DUMMYFUNCTION("""COMPUTED_VALUE"""),"HospAlmoa")</f>
        <v>HospAlmoa</v>
      </c>
      <c r="C1021" s="1" t="str">
        <f>IFERROR(__xludf.DUMMYFUNCTION("""COMPUTED_VALUE"""),"Water")</f>
        <v>Water</v>
      </c>
      <c r="D1021" s="1">
        <f>IFERROR(__xludf.DUMMYFUNCTION("""COMPUTED_VALUE"""),334.0)</f>
        <v>334</v>
      </c>
      <c r="E1021" s="1">
        <f>IFERROR(__xludf.DUMMYFUNCTION("""COMPUTED_VALUE"""),233.8)</f>
        <v>233.8</v>
      </c>
      <c r="F1021" s="1">
        <f>IFERROR(__xludf.DUMMYFUNCTION("""COMPUTED_VALUE"""),334.0)</f>
        <v>334</v>
      </c>
    </row>
    <row r="1022">
      <c r="A1022" s="3">
        <f>IFERROR(__xludf.DUMMYFUNCTION("""COMPUTED_VALUE"""),46023.0)</f>
        <v>46023</v>
      </c>
      <c r="B1022" s="1" t="str">
        <f>IFERROR(__xludf.DUMMYFUNCTION("""COMPUTED_VALUE"""),"HospAlmoa")</f>
        <v>HospAlmoa</v>
      </c>
      <c r="C1022" s="1" t="str">
        <f>IFERROR(__xludf.DUMMYFUNCTION("""COMPUTED_VALUE"""),"X!R")</f>
        <v>X!R</v>
      </c>
      <c r="D1022" s="1">
        <f>IFERROR(__xludf.DUMMYFUNCTION("""COMPUTED_VALUE"""),365.0)</f>
        <v>365</v>
      </c>
      <c r="E1022" s="1">
        <f>IFERROR(__xludf.DUMMYFUNCTION("""COMPUTED_VALUE"""),91.25)</f>
        <v>91.25</v>
      </c>
      <c r="F1022" s="1">
        <f>IFERROR(__xludf.DUMMYFUNCTION("""COMPUTED_VALUE"""),73.0)</f>
        <v>73</v>
      </c>
    </row>
    <row r="1023">
      <c r="A1023" s="3">
        <f>IFERROR(__xludf.DUMMYFUNCTION("""COMPUTED_VALUE"""),46023.0)</f>
        <v>46023</v>
      </c>
      <c r="B1023" s="1" t="str">
        <f>IFERROR(__xludf.DUMMYFUNCTION("""COMPUTED_VALUE"""),"HospAlmoa")</f>
        <v>HospAlmoa</v>
      </c>
      <c r="C1023" s="1" t="str">
        <f>IFERROR(__xludf.DUMMYFUNCTION("""COMPUTED_VALUE"""),"mr bite")</f>
        <v>mr bite</v>
      </c>
      <c r="D1023" s="1">
        <f>IFERROR(__xludf.DUMMYFUNCTION("""COMPUTED_VALUE"""),246.0)</f>
        <v>246</v>
      </c>
      <c r="E1023" s="1">
        <f>IFERROR(__xludf.DUMMYFUNCTION("""COMPUTED_VALUE"""),81.08)</f>
        <v>81.08</v>
      </c>
      <c r="F1023" s="1">
        <f>IFERROR(__xludf.DUMMYFUNCTION("""COMPUTED_VALUE"""),124.0)</f>
        <v>124</v>
      </c>
    </row>
    <row r="1024">
      <c r="A1024" s="3">
        <f>IFERROR(__xludf.DUMMYFUNCTION("""COMPUTED_VALUE"""),46023.0)</f>
        <v>46023</v>
      </c>
      <c r="B1024" s="1" t="str">
        <f>IFERROR(__xludf.DUMMYFUNCTION("""COMPUTED_VALUE"""),"HospAlmoa")</f>
        <v>HospAlmoa</v>
      </c>
      <c r="C1024" s="1" t="str">
        <f>IFERROR(__xludf.DUMMYFUNCTION("""COMPUTED_VALUE"""),"mr.bite strike")</f>
        <v>mr.bite strike</v>
      </c>
      <c r="D1024" s="1">
        <f>IFERROR(__xludf.DUMMYFUNCTION("""COMPUTED_VALUE"""),119.0)</f>
        <v>119</v>
      </c>
      <c r="E1024" s="1">
        <f>IFERROR(__xludf.DUMMYFUNCTION("""COMPUTED_VALUE"""),47.94)</f>
        <v>47.94</v>
      </c>
      <c r="F1024" s="1">
        <f>IFERROR(__xludf.DUMMYFUNCTION("""COMPUTED_VALUE"""),38.0)</f>
        <v>38</v>
      </c>
    </row>
    <row r="1025">
      <c r="A1025" s="3">
        <f>IFERROR(__xludf.DUMMYFUNCTION("""COMPUTED_VALUE"""),46023.0)</f>
        <v>46023</v>
      </c>
      <c r="B1025" s="1" t="str">
        <f>IFERROR(__xludf.DUMMYFUNCTION("""COMPUTED_VALUE"""),"HospAlmoa")</f>
        <v>HospAlmoa</v>
      </c>
      <c r="C1025" s="1" t="str">
        <f>IFERROR(__xludf.DUMMYFUNCTION("""COMPUTED_VALUE"""),"sunTop")</f>
        <v>sunTop</v>
      </c>
      <c r="D1025" s="1">
        <f>IFERROR(__xludf.DUMMYFUNCTION("""COMPUTED_VALUE"""),127.0)</f>
        <v>127</v>
      </c>
      <c r="E1025" s="1">
        <f>IFERROR(__xludf.DUMMYFUNCTION("""COMPUTED_VALUE"""),50.8)</f>
        <v>50.8</v>
      </c>
      <c r="F1025" s="1">
        <f>IFERROR(__xludf.DUMMYFUNCTION("""COMPUTED_VALUE"""),127.0)</f>
        <v>127</v>
      </c>
    </row>
    <row r="1026">
      <c r="A1026" s="3">
        <f>IFERROR(__xludf.DUMMYFUNCTION("""COMPUTED_VALUE"""),46023.0)</f>
        <v>46023</v>
      </c>
      <c r="B1026" s="1" t="str">
        <f>IFERROR(__xludf.DUMMYFUNCTION("""COMPUTED_VALUE"""),"Istiklal")</f>
        <v>Istiklal</v>
      </c>
      <c r="C1026" s="1" t="str">
        <f>IFERROR(__xludf.DUMMYFUNCTION("""COMPUTED_VALUE"""),"Almarai Chocolate")</f>
        <v>Almarai Chocolate</v>
      </c>
      <c r="D1026" s="1">
        <f>IFERROR(__xludf.DUMMYFUNCTION("""COMPUTED_VALUE"""),48.0)</f>
        <v>48</v>
      </c>
      <c r="E1026" s="1">
        <f>IFERROR(__xludf.DUMMYFUNCTION("""COMPUTED_VALUE"""),16.0)</f>
        <v>16</v>
      </c>
      <c r="F1026" s="1">
        <f>IFERROR(__xludf.DUMMYFUNCTION("""COMPUTED_VALUE"""),16.0)</f>
        <v>16</v>
      </c>
    </row>
    <row r="1027">
      <c r="A1027" s="3">
        <f>IFERROR(__xludf.DUMMYFUNCTION("""COMPUTED_VALUE"""),46023.0)</f>
        <v>46023</v>
      </c>
      <c r="B1027" s="1" t="str">
        <f>IFERROR(__xludf.DUMMYFUNCTION("""COMPUTED_VALUE"""),"Istiklal")</f>
        <v>Istiklal</v>
      </c>
      <c r="C1027" s="1" t="str">
        <f>IFERROR(__xludf.DUMMYFUNCTION("""COMPUTED_VALUE"""),"Almarai Strawberry")</f>
        <v>Almarai Strawberry</v>
      </c>
      <c r="D1027" s="1">
        <f>IFERROR(__xludf.DUMMYFUNCTION("""COMPUTED_VALUE"""),63.0)</f>
        <v>63</v>
      </c>
      <c r="E1027" s="1">
        <f>IFERROR(__xludf.DUMMYFUNCTION("""COMPUTED_VALUE"""),19.32)</f>
        <v>19.32</v>
      </c>
      <c r="F1027" s="1">
        <f>IFERROR(__xludf.DUMMYFUNCTION("""COMPUTED_VALUE"""),21.0)</f>
        <v>21</v>
      </c>
    </row>
    <row r="1028">
      <c r="A1028" s="3">
        <f>IFERROR(__xludf.DUMMYFUNCTION("""COMPUTED_VALUE"""),46023.0)</f>
        <v>46023</v>
      </c>
      <c r="B1028" s="1" t="str">
        <f>IFERROR(__xludf.DUMMYFUNCTION("""COMPUTED_VALUE"""),"Istiklal")</f>
        <v>Istiklal</v>
      </c>
      <c r="C1028" s="1" t="str">
        <f>IFERROR(__xludf.DUMMYFUNCTION("""COMPUTED_VALUE"""),"Barbican")</f>
        <v>Barbican</v>
      </c>
      <c r="D1028" s="1">
        <f>IFERROR(__xludf.DUMMYFUNCTION("""COMPUTED_VALUE"""),35.0)</f>
        <v>35</v>
      </c>
      <c r="E1028" s="1">
        <f>IFERROR(__xludf.DUMMYFUNCTION("""COMPUTED_VALUE"""),12.81)</f>
        <v>12.81</v>
      </c>
      <c r="F1028" s="1">
        <f>IFERROR(__xludf.DUMMYFUNCTION("""COMPUTED_VALUE"""),7.0)</f>
        <v>7</v>
      </c>
    </row>
    <row r="1029">
      <c r="A1029" s="3">
        <f>IFERROR(__xludf.DUMMYFUNCTION("""COMPUTED_VALUE"""),46023.0)</f>
        <v>46023</v>
      </c>
      <c r="B1029" s="1" t="str">
        <f>IFERROR(__xludf.DUMMYFUNCTION("""COMPUTED_VALUE"""),"Istiklal")</f>
        <v>Istiklal</v>
      </c>
      <c r="C1029" s="1" t="str">
        <f>IFERROR(__xludf.DUMMYFUNCTION("""COMPUTED_VALUE"""),"Caser Juice")</f>
        <v>Caser Juice</v>
      </c>
      <c r="D1029" s="1">
        <f>IFERROR(__xludf.DUMMYFUNCTION("""COMPUTED_VALUE"""),75.5)</f>
        <v>75.5</v>
      </c>
      <c r="E1029" s="1">
        <f>IFERROR(__xludf.DUMMYFUNCTION("""COMPUTED_VALUE"""),13.55)</f>
        <v>13.55</v>
      </c>
      <c r="F1029" s="1">
        <f>IFERROR(__xludf.DUMMYFUNCTION("""COMPUTED_VALUE"""),15.0)</f>
        <v>15</v>
      </c>
    </row>
    <row r="1030">
      <c r="A1030" s="3">
        <f>IFERROR(__xludf.DUMMYFUNCTION("""COMPUTED_VALUE"""),46023.0)</f>
        <v>46023</v>
      </c>
      <c r="B1030" s="1" t="str">
        <f>IFERROR(__xludf.DUMMYFUNCTION("""COMPUTED_VALUE"""),"Istiklal")</f>
        <v>Istiklal</v>
      </c>
      <c r="C1030" s="1" t="str">
        <f>IFERROR(__xludf.DUMMYFUNCTION("""COMPUTED_VALUE"""),"Corissant Karuzo")</f>
        <v>Corissant Karuzo</v>
      </c>
      <c r="D1030" s="1">
        <f>IFERROR(__xludf.DUMMYFUNCTION("""COMPUTED_VALUE"""),40.0)</f>
        <v>40</v>
      </c>
      <c r="E1030" s="1">
        <f>IFERROR(__xludf.DUMMYFUNCTION("""COMPUTED_VALUE"""),8.7)</f>
        <v>8.7</v>
      </c>
      <c r="F1030" s="1">
        <f>IFERROR(__xludf.DUMMYFUNCTION("""COMPUTED_VALUE"""),10.0)</f>
        <v>10</v>
      </c>
    </row>
    <row r="1031">
      <c r="A1031" s="3">
        <f>IFERROR(__xludf.DUMMYFUNCTION("""COMPUTED_VALUE"""),46023.0)</f>
        <v>46023</v>
      </c>
      <c r="B1031" s="1" t="str">
        <f>IFERROR(__xludf.DUMMYFUNCTION("""COMPUTED_VALUE"""),"Istiklal")</f>
        <v>Istiklal</v>
      </c>
      <c r="C1031" s="1" t="str">
        <f>IFERROR(__xludf.DUMMYFUNCTION("""COMPUTED_VALUE"""),"Doritos cool ranc")</f>
        <v>Doritos cool ranc</v>
      </c>
      <c r="D1031" s="1">
        <f>IFERROR(__xludf.DUMMYFUNCTION("""COMPUTED_VALUE"""),40.0)</f>
        <v>40</v>
      </c>
      <c r="E1031" s="1">
        <f>IFERROR(__xludf.DUMMYFUNCTION("""COMPUTED_VALUE"""),18.72)</f>
        <v>18.72</v>
      </c>
      <c r="F1031" s="1">
        <f>IFERROR(__xludf.DUMMYFUNCTION("""COMPUTED_VALUE"""),8.0)</f>
        <v>8</v>
      </c>
    </row>
    <row r="1032">
      <c r="A1032" s="3">
        <f>IFERROR(__xludf.DUMMYFUNCTION("""COMPUTED_VALUE"""),46023.0)</f>
        <v>46023</v>
      </c>
      <c r="B1032" s="1" t="str">
        <f>IFERROR(__xludf.DUMMYFUNCTION("""COMPUTED_VALUE"""),"Istiklal")</f>
        <v>Istiklal</v>
      </c>
      <c r="C1032" s="1" t="str">
        <f>IFERROR(__xludf.DUMMYFUNCTION("""COMPUTED_VALUE"""),"Doritos green hot")</f>
        <v>Doritos green hot</v>
      </c>
      <c r="D1032" s="1">
        <f>IFERROR(__xludf.DUMMYFUNCTION("""COMPUTED_VALUE"""),70.0)</f>
        <v>70</v>
      </c>
      <c r="E1032" s="1">
        <f>IFERROR(__xludf.DUMMYFUNCTION("""COMPUTED_VALUE"""),32.76)</f>
        <v>32.76</v>
      </c>
      <c r="F1032" s="1">
        <f>IFERROR(__xludf.DUMMYFUNCTION("""COMPUTED_VALUE"""),14.0)</f>
        <v>14</v>
      </c>
    </row>
    <row r="1033">
      <c r="A1033" s="3">
        <f>IFERROR(__xludf.DUMMYFUNCTION("""COMPUTED_VALUE"""),46023.0)</f>
        <v>46023</v>
      </c>
      <c r="B1033" s="1" t="str">
        <f>IFERROR(__xludf.DUMMYFUNCTION("""COMPUTED_VALUE"""),"Istiklal")</f>
        <v>Istiklal</v>
      </c>
      <c r="C1033" s="1" t="str">
        <f>IFERROR(__xludf.DUMMYFUNCTION("""COMPUTED_VALUE"""),"Freez")</f>
        <v>Freez</v>
      </c>
      <c r="D1033" s="1">
        <f>IFERROR(__xludf.DUMMYFUNCTION("""COMPUTED_VALUE"""),11.0)</f>
        <v>11</v>
      </c>
      <c r="E1033" s="1">
        <f>IFERROR(__xludf.DUMMYFUNCTION("""COMPUTED_VALUE"""),4.18)</f>
        <v>4.18</v>
      </c>
      <c r="F1033" s="1">
        <f>IFERROR(__xludf.DUMMYFUNCTION("""COMPUTED_VALUE"""),2.0)</f>
        <v>2</v>
      </c>
    </row>
    <row r="1034">
      <c r="A1034" s="3">
        <f>IFERROR(__xludf.DUMMYFUNCTION("""COMPUTED_VALUE"""),46023.0)</f>
        <v>46023</v>
      </c>
      <c r="B1034" s="1" t="str">
        <f>IFERROR(__xludf.DUMMYFUNCTION("""COMPUTED_VALUE"""),"Istiklal")</f>
        <v>Istiklal</v>
      </c>
      <c r="C1034" s="1" t="str">
        <f>IFERROR(__xludf.DUMMYFUNCTION("""COMPUTED_VALUE"""),"Gardena")</f>
        <v>Gardena</v>
      </c>
      <c r="D1034" s="1">
        <f>IFERROR(__xludf.DUMMYFUNCTION("""COMPUTED_VALUE"""),145.0)</f>
        <v>145</v>
      </c>
      <c r="E1034" s="1">
        <f>IFERROR(__xludf.DUMMYFUNCTION("""COMPUTED_VALUE"""),12.0)</f>
        <v>12</v>
      </c>
      <c r="F1034" s="1">
        <f>IFERROR(__xludf.DUMMYFUNCTION("""COMPUTED_VALUE"""),35.0)</f>
        <v>35</v>
      </c>
    </row>
    <row r="1035">
      <c r="A1035" s="3">
        <f>IFERROR(__xludf.DUMMYFUNCTION("""COMPUTED_VALUE"""),46023.0)</f>
        <v>46023</v>
      </c>
      <c r="B1035" s="1" t="str">
        <f>IFERROR(__xludf.DUMMYFUNCTION("""COMPUTED_VALUE"""),"Istiklal")</f>
        <v>Istiklal</v>
      </c>
      <c r="C1035" s="1" t="str">
        <f>IFERROR(__xludf.DUMMYFUNCTION("""COMPUTED_VALUE"""),"Kinder Bueno")</f>
        <v>Kinder Bueno</v>
      </c>
      <c r="D1035" s="1">
        <f>IFERROR(__xludf.DUMMYFUNCTION("""COMPUTED_VALUE"""),203.0)</f>
        <v>203</v>
      </c>
      <c r="E1035" s="1">
        <f>IFERROR(__xludf.DUMMYFUNCTION("""COMPUTED_VALUE"""),46.4)</f>
        <v>46.4</v>
      </c>
      <c r="F1035" s="1">
        <f>IFERROR(__xludf.DUMMYFUNCTION("""COMPUTED_VALUE"""),27.0)</f>
        <v>27</v>
      </c>
    </row>
    <row r="1036">
      <c r="A1036" s="3">
        <f>IFERROR(__xludf.DUMMYFUNCTION("""COMPUTED_VALUE"""),46023.0)</f>
        <v>46023</v>
      </c>
      <c r="B1036" s="1" t="str">
        <f>IFERROR(__xludf.DUMMYFUNCTION("""COMPUTED_VALUE"""),"Istiklal")</f>
        <v>Istiklal</v>
      </c>
      <c r="C1036" s="1" t="str">
        <f>IFERROR(__xludf.DUMMYFUNCTION("""COMPUTED_VALUE"""),"KitKat")</f>
        <v>KitKat</v>
      </c>
      <c r="D1036" s="1">
        <f>IFERROR(__xludf.DUMMYFUNCTION("""COMPUTED_VALUE"""),55.0)</f>
        <v>55</v>
      </c>
      <c r="E1036" s="1">
        <f>IFERROR(__xludf.DUMMYFUNCTION("""COMPUTED_VALUE"""),18.7)</f>
        <v>18.7</v>
      </c>
      <c r="F1036" s="1">
        <f>IFERROR(__xludf.DUMMYFUNCTION("""COMPUTED_VALUE"""),10.0)</f>
        <v>10</v>
      </c>
    </row>
    <row r="1037">
      <c r="A1037" s="3">
        <f>IFERROR(__xludf.DUMMYFUNCTION("""COMPUTED_VALUE"""),46023.0)</f>
        <v>46023</v>
      </c>
      <c r="B1037" s="1" t="str">
        <f>IFERROR(__xludf.DUMMYFUNCTION("""COMPUTED_VALUE"""),"Istiklal")</f>
        <v>Istiklal</v>
      </c>
      <c r="C1037" s="1" t="str">
        <f>IFERROR(__xludf.DUMMYFUNCTION("""COMPUTED_VALUE"""),"Kunuz Juice")</f>
        <v>Kunuz Juice</v>
      </c>
      <c r="D1037" s="1">
        <f>IFERROR(__xludf.DUMMYFUNCTION("""COMPUTED_VALUE"""),16.0)</f>
        <v>16</v>
      </c>
      <c r="E1037" s="1">
        <f>IFERROR(__xludf.DUMMYFUNCTION("""COMPUTED_VALUE"""),8.0)</f>
        <v>8</v>
      </c>
      <c r="F1037" s="1">
        <f>IFERROR(__xludf.DUMMYFUNCTION("""COMPUTED_VALUE"""),4.0)</f>
        <v>4</v>
      </c>
    </row>
    <row r="1038">
      <c r="A1038" s="3">
        <f>IFERROR(__xludf.DUMMYFUNCTION("""COMPUTED_VALUE"""),46023.0)</f>
        <v>46023</v>
      </c>
      <c r="B1038" s="1" t="str">
        <f>IFERROR(__xludf.DUMMYFUNCTION("""COMPUTED_VALUE"""),"Istiklal")</f>
        <v>Istiklal</v>
      </c>
      <c r="C1038" s="1" t="str">
        <f>IFERROR(__xludf.DUMMYFUNCTION("""COMPUTED_VALUE"""),"Lavazza")</f>
        <v>Lavazza</v>
      </c>
      <c r="D1038" s="1">
        <f>IFERROR(__xludf.DUMMYFUNCTION("""COMPUTED_VALUE"""),6.0)</f>
        <v>6</v>
      </c>
      <c r="E1038" s="1">
        <f>IFERROR(__xludf.DUMMYFUNCTION("""COMPUTED_VALUE"""),1.5)</f>
        <v>1.5</v>
      </c>
      <c r="F1038" s="1">
        <f>IFERROR(__xludf.DUMMYFUNCTION("""COMPUTED_VALUE"""),1.0)</f>
        <v>1</v>
      </c>
    </row>
    <row r="1039">
      <c r="A1039" s="3">
        <f>IFERROR(__xludf.DUMMYFUNCTION("""COMPUTED_VALUE"""),46023.0)</f>
        <v>46023</v>
      </c>
      <c r="B1039" s="1" t="str">
        <f>IFERROR(__xludf.DUMMYFUNCTION("""COMPUTED_VALUE"""),"Istiklal")</f>
        <v>Istiklal</v>
      </c>
      <c r="C1039" s="1" t="str">
        <f>IFERROR(__xludf.DUMMYFUNCTION("""COMPUTED_VALUE"""),"Laviva")</f>
        <v>Laviva</v>
      </c>
      <c r="D1039" s="1">
        <f>IFERROR(__xludf.DUMMYFUNCTION("""COMPUTED_VALUE"""),138.0)</f>
        <v>138</v>
      </c>
      <c r="E1039" s="1">
        <f>IFERROR(__xludf.DUMMYFUNCTION("""COMPUTED_VALUE"""),25.5)</f>
        <v>25.5</v>
      </c>
      <c r="F1039" s="1">
        <f>IFERROR(__xludf.DUMMYFUNCTION("""COMPUTED_VALUE"""),50.0)</f>
        <v>50</v>
      </c>
    </row>
    <row r="1040">
      <c r="A1040" s="3">
        <f>IFERROR(__xludf.DUMMYFUNCTION("""COMPUTED_VALUE"""),46023.0)</f>
        <v>46023</v>
      </c>
      <c r="B1040" s="1" t="str">
        <f>IFERROR(__xludf.DUMMYFUNCTION("""COMPUTED_VALUE"""),"Istiklal")</f>
        <v>Istiklal</v>
      </c>
      <c r="C1040" s="1" t="str">
        <f>IFERROR(__xludf.DUMMYFUNCTION("""COMPUTED_VALUE"""),"Lexus")</f>
        <v>Lexus</v>
      </c>
      <c r="D1040" s="1">
        <f>IFERROR(__xludf.DUMMYFUNCTION("""COMPUTED_VALUE"""),50.0)</f>
        <v>50</v>
      </c>
      <c r="E1040" s="1">
        <f>IFERROR(__xludf.DUMMYFUNCTION("""COMPUTED_VALUE"""),12.0)</f>
        <v>12</v>
      </c>
      <c r="F1040" s="1">
        <f>IFERROR(__xludf.DUMMYFUNCTION("""COMPUTED_VALUE"""),10.0)</f>
        <v>10</v>
      </c>
    </row>
    <row r="1041">
      <c r="A1041" s="3">
        <f>IFERROR(__xludf.DUMMYFUNCTION("""COMPUTED_VALUE"""),46023.0)</f>
        <v>46023</v>
      </c>
      <c r="B1041" s="1" t="str">
        <f>IFERROR(__xludf.DUMMYFUNCTION("""COMPUTED_VALUE"""),"Istiklal")</f>
        <v>Istiklal</v>
      </c>
      <c r="C1041" s="1" t="str">
        <f>IFERROR(__xludf.DUMMYFUNCTION("""COMPUTED_VALUE"""),"Lovita cookies")</f>
        <v>Lovita cookies</v>
      </c>
      <c r="D1041" s="1">
        <f>IFERROR(__xludf.DUMMYFUNCTION("""COMPUTED_VALUE"""),52.5)</f>
        <v>52.5</v>
      </c>
      <c r="E1041" s="1">
        <f>IFERROR(__xludf.DUMMYFUNCTION("""COMPUTED_VALUE"""),16.24)</f>
        <v>16.24</v>
      </c>
      <c r="F1041" s="1">
        <f>IFERROR(__xludf.DUMMYFUNCTION("""COMPUTED_VALUE"""),7.0)</f>
        <v>7</v>
      </c>
    </row>
    <row r="1042">
      <c r="A1042" s="3">
        <f>IFERROR(__xludf.DUMMYFUNCTION("""COMPUTED_VALUE"""),46023.0)</f>
        <v>46023</v>
      </c>
      <c r="B1042" s="1" t="str">
        <f>IFERROR(__xludf.DUMMYFUNCTION("""COMPUTED_VALUE"""),"Istiklal")</f>
        <v>Istiklal</v>
      </c>
      <c r="C1042" s="1" t="str">
        <f>IFERROR(__xludf.DUMMYFUNCTION("""COMPUTED_VALUE"""),"MR Crunch")</f>
        <v>MR Crunch</v>
      </c>
      <c r="D1042" s="1">
        <f>IFERROR(__xludf.DUMMYFUNCTION("""COMPUTED_VALUE"""),315.0)</f>
        <v>315</v>
      </c>
      <c r="E1042" s="1">
        <f>IFERROR(__xludf.DUMMYFUNCTION("""COMPUTED_VALUE"""),140.49)</f>
        <v>140.49</v>
      </c>
      <c r="F1042" s="1">
        <f>IFERROR(__xludf.DUMMYFUNCTION("""COMPUTED_VALUE"""),63.0)</f>
        <v>63</v>
      </c>
    </row>
    <row r="1043">
      <c r="A1043" s="3">
        <f>IFERROR(__xludf.DUMMYFUNCTION("""COMPUTED_VALUE"""),46023.0)</f>
        <v>46023</v>
      </c>
      <c r="B1043" s="1" t="str">
        <f>IFERROR(__xludf.DUMMYFUNCTION("""COMPUTED_VALUE"""),"Istiklal")</f>
        <v>Istiklal</v>
      </c>
      <c r="C1043" s="1" t="str">
        <f>IFERROR(__xludf.DUMMYFUNCTION("""COMPUTED_VALUE"""),"Maltesers")</f>
        <v>Maltesers</v>
      </c>
      <c r="D1043" s="1">
        <f>IFERROR(__xludf.DUMMYFUNCTION("""COMPUTED_VALUE"""),112.0)</f>
        <v>112</v>
      </c>
      <c r="E1043" s="1">
        <f>IFERROR(__xludf.DUMMYFUNCTION("""COMPUTED_VALUE"""),12.8)</f>
        <v>12.8</v>
      </c>
      <c r="F1043" s="1">
        <f>IFERROR(__xludf.DUMMYFUNCTION("""COMPUTED_VALUE"""),16.0)</f>
        <v>16</v>
      </c>
    </row>
    <row r="1044">
      <c r="A1044" s="3">
        <f>IFERROR(__xludf.DUMMYFUNCTION("""COMPUTED_VALUE"""),46023.0)</f>
        <v>46023</v>
      </c>
      <c r="B1044" s="1" t="str">
        <f>IFERROR(__xludf.DUMMYFUNCTION("""COMPUTED_VALUE"""),"Istiklal")</f>
        <v>Istiklal</v>
      </c>
      <c r="C1044" s="1" t="str">
        <f>IFERROR(__xludf.DUMMYFUNCTION("""COMPUTED_VALUE"""),"Mars")</f>
        <v>Mars</v>
      </c>
      <c r="D1044" s="1">
        <f>IFERROR(__xludf.DUMMYFUNCTION("""COMPUTED_VALUE"""),11.75)</f>
        <v>11.75</v>
      </c>
      <c r="E1044" s="1">
        <f>IFERROR(__xludf.DUMMYFUNCTION("""COMPUTED_VALUE"""),1.35)</f>
        <v>1.35</v>
      </c>
      <c r="F1044" s="1">
        <f>IFERROR(__xludf.DUMMYFUNCTION("""COMPUTED_VALUE"""),2.0)</f>
        <v>2</v>
      </c>
    </row>
    <row r="1045">
      <c r="A1045" s="3">
        <f>IFERROR(__xludf.DUMMYFUNCTION("""COMPUTED_VALUE"""),46023.0)</f>
        <v>46023</v>
      </c>
      <c r="B1045" s="1" t="str">
        <f>IFERROR(__xludf.DUMMYFUNCTION("""COMPUTED_VALUE"""),"Istiklal")</f>
        <v>Istiklal</v>
      </c>
      <c r="C1045" s="1" t="str">
        <f>IFERROR(__xludf.DUMMYFUNCTION("""COMPUTED_VALUE"""),"Mirinda")</f>
        <v>Mirinda</v>
      </c>
      <c r="D1045" s="1">
        <f>IFERROR(__xludf.DUMMYFUNCTION("""COMPUTED_VALUE"""),33.0)</f>
        <v>33</v>
      </c>
      <c r="E1045" s="1">
        <f>IFERROR(__xludf.DUMMYFUNCTION("""COMPUTED_VALUE"""),8.25)</f>
        <v>8.25</v>
      </c>
      <c r="F1045" s="1">
        <f>IFERROR(__xludf.DUMMYFUNCTION("""COMPUTED_VALUE"""),11.0)</f>
        <v>11</v>
      </c>
    </row>
    <row r="1046">
      <c r="A1046" s="3">
        <f>IFERROR(__xludf.DUMMYFUNCTION("""COMPUTED_VALUE"""),46023.0)</f>
        <v>46023</v>
      </c>
      <c r="B1046" s="1" t="str">
        <f>IFERROR(__xludf.DUMMYFUNCTION("""COMPUTED_VALUE"""),"Istiklal")</f>
        <v>Istiklal</v>
      </c>
      <c r="C1046" s="1" t="str">
        <f>IFERROR(__xludf.DUMMYFUNCTION("""COMPUTED_VALUE"""),"MrCrunch-RingGo")</f>
        <v>MrCrunch-RingGo</v>
      </c>
      <c r="D1046" s="1">
        <f>IFERROR(__xludf.DUMMYFUNCTION("""COMPUTED_VALUE"""),50.0)</f>
        <v>50</v>
      </c>
      <c r="E1046" s="1">
        <f>IFERROR(__xludf.DUMMYFUNCTION("""COMPUTED_VALUE"""),34.0)</f>
        <v>34</v>
      </c>
      <c r="F1046" s="1">
        <f>IFERROR(__xludf.DUMMYFUNCTION("""COMPUTED_VALUE"""),10.0)</f>
        <v>10</v>
      </c>
    </row>
    <row r="1047">
      <c r="A1047" s="3">
        <f>IFERROR(__xludf.DUMMYFUNCTION("""COMPUTED_VALUE"""),46023.0)</f>
        <v>46023</v>
      </c>
      <c r="B1047" s="1" t="str">
        <f>IFERROR(__xludf.DUMMYFUNCTION("""COMPUTED_VALUE"""),"Istiklal")</f>
        <v>Istiklal</v>
      </c>
      <c r="C1047" s="1" t="str">
        <f>IFERROR(__xludf.DUMMYFUNCTION("""COMPUTED_VALUE"""),"Pepsi")</f>
        <v>Pepsi</v>
      </c>
      <c r="D1047" s="1">
        <f>IFERROR(__xludf.DUMMYFUNCTION("""COMPUTED_VALUE"""),99.0)</f>
        <v>99</v>
      </c>
      <c r="E1047" s="1">
        <f>IFERROR(__xludf.DUMMYFUNCTION("""COMPUTED_VALUE"""),24.75)</f>
        <v>24.75</v>
      </c>
      <c r="F1047" s="1">
        <f>IFERROR(__xludf.DUMMYFUNCTION("""COMPUTED_VALUE"""),33.0)</f>
        <v>33</v>
      </c>
    </row>
    <row r="1048">
      <c r="A1048" s="3">
        <f>IFERROR(__xludf.DUMMYFUNCTION("""COMPUTED_VALUE"""),46023.0)</f>
        <v>46023</v>
      </c>
      <c r="B1048" s="1" t="str">
        <f>IFERROR(__xludf.DUMMYFUNCTION("""COMPUTED_VALUE"""),"Istiklal")</f>
        <v>Istiklal</v>
      </c>
      <c r="C1048" s="1" t="str">
        <f>IFERROR(__xludf.DUMMYFUNCTION("""COMPUTED_VALUE"""),"Rayhan suntop")</f>
        <v>Rayhan suntop</v>
      </c>
      <c r="D1048" s="1">
        <f>IFERROR(__xludf.DUMMYFUNCTION("""COMPUTED_VALUE"""),22.0)</f>
        <v>22</v>
      </c>
      <c r="E1048" s="1">
        <f>IFERROR(__xludf.DUMMYFUNCTION("""COMPUTED_VALUE"""),7.04)</f>
        <v>7.04</v>
      </c>
      <c r="F1048" s="1">
        <f>IFERROR(__xludf.DUMMYFUNCTION("""COMPUTED_VALUE"""),22.0)</f>
        <v>22</v>
      </c>
    </row>
    <row r="1049">
      <c r="A1049" s="3">
        <f>IFERROR(__xludf.DUMMYFUNCTION("""COMPUTED_VALUE"""),46023.0)</f>
        <v>46023</v>
      </c>
      <c r="B1049" s="1" t="str">
        <f>IFERROR(__xludf.DUMMYFUNCTION("""COMPUTED_VALUE"""),"Istiklal")</f>
        <v>Istiklal</v>
      </c>
      <c r="C1049" s="1" t="str">
        <f>IFERROR(__xludf.DUMMYFUNCTION("""COMPUTED_VALUE"""),"Savi stix")</f>
        <v>Savi stix</v>
      </c>
      <c r="D1049" s="1">
        <f>IFERROR(__xludf.DUMMYFUNCTION("""COMPUTED_VALUE"""),10.0)</f>
        <v>10</v>
      </c>
      <c r="E1049" s="1">
        <f>IFERROR(__xludf.DUMMYFUNCTION("""COMPUTED_VALUE"""),2.8)</f>
        <v>2.8</v>
      </c>
      <c r="F1049" s="1">
        <f>IFERROR(__xludf.DUMMYFUNCTION("""COMPUTED_VALUE"""),2.0)</f>
        <v>2</v>
      </c>
    </row>
    <row r="1050">
      <c r="A1050" s="3">
        <f>IFERROR(__xludf.DUMMYFUNCTION("""COMPUTED_VALUE"""),46023.0)</f>
        <v>46023</v>
      </c>
      <c r="B1050" s="1" t="str">
        <f>IFERROR(__xludf.DUMMYFUNCTION("""COMPUTED_VALUE"""),"Istiklal")</f>
        <v>Istiklal</v>
      </c>
      <c r="C1050" s="1" t="str">
        <f>IFERROR(__xludf.DUMMYFUNCTION("""COMPUTED_VALUE"""),"Schweppes")</f>
        <v>Schweppes</v>
      </c>
      <c r="D1050" s="1">
        <f>IFERROR(__xludf.DUMMYFUNCTION("""COMPUTED_VALUE"""),27.0)</f>
        <v>27</v>
      </c>
      <c r="E1050" s="1">
        <f>IFERROR(__xludf.DUMMYFUNCTION("""COMPUTED_VALUE"""),9.0)</f>
        <v>9</v>
      </c>
      <c r="F1050" s="1">
        <f>IFERROR(__xludf.DUMMYFUNCTION("""COMPUTED_VALUE"""),9.0)</f>
        <v>9</v>
      </c>
    </row>
    <row r="1051">
      <c r="A1051" s="3">
        <f>IFERROR(__xludf.DUMMYFUNCTION("""COMPUTED_VALUE"""),46023.0)</f>
        <v>46023</v>
      </c>
      <c r="B1051" s="1" t="str">
        <f>IFERROR(__xludf.DUMMYFUNCTION("""COMPUTED_VALUE"""),"Istiklal")</f>
        <v>Istiklal</v>
      </c>
      <c r="C1051" s="1" t="str">
        <f>IFERROR(__xludf.DUMMYFUNCTION("""COMPUTED_VALUE"""),"Shada up")</f>
        <v>Shada up</v>
      </c>
      <c r="D1051" s="1">
        <f>IFERROR(__xludf.DUMMYFUNCTION("""COMPUTED_VALUE"""),42.25)</f>
        <v>42.25</v>
      </c>
      <c r="E1051" s="1">
        <f>IFERROR(__xludf.DUMMYFUNCTION("""COMPUTED_VALUE"""),12.64)</f>
        <v>12.64</v>
      </c>
      <c r="F1051" s="1">
        <f>IFERROR(__xludf.DUMMYFUNCTION("""COMPUTED_VALUE"""),21.0)</f>
        <v>21</v>
      </c>
    </row>
    <row r="1052">
      <c r="A1052" s="3">
        <f>IFERROR(__xludf.DUMMYFUNCTION("""COMPUTED_VALUE"""),46023.0)</f>
        <v>46023</v>
      </c>
      <c r="B1052" s="1" t="str">
        <f>IFERROR(__xludf.DUMMYFUNCTION("""COMPUTED_VALUE"""),"Istiklal")</f>
        <v>Istiklal</v>
      </c>
      <c r="C1052" s="1" t="str">
        <f>IFERROR(__xludf.DUMMYFUNCTION("""COMPUTED_VALUE"""),"Shani")</f>
        <v>Shani</v>
      </c>
      <c r="D1052" s="1">
        <f>IFERROR(__xludf.DUMMYFUNCTION("""COMPUTED_VALUE"""),69.0)</f>
        <v>69</v>
      </c>
      <c r="E1052" s="1">
        <f>IFERROR(__xludf.DUMMYFUNCTION("""COMPUTED_VALUE"""),17.25)</f>
        <v>17.25</v>
      </c>
      <c r="F1052" s="1">
        <f>IFERROR(__xludf.DUMMYFUNCTION("""COMPUTED_VALUE"""),23.0)</f>
        <v>23</v>
      </c>
    </row>
    <row r="1053">
      <c r="A1053" s="3">
        <f>IFERROR(__xludf.DUMMYFUNCTION("""COMPUTED_VALUE"""),46023.0)</f>
        <v>46023</v>
      </c>
      <c r="B1053" s="1" t="str">
        <f>IFERROR(__xludf.DUMMYFUNCTION("""COMPUTED_VALUE"""),"Istiklal")</f>
        <v>Istiklal</v>
      </c>
      <c r="C1053" s="1" t="str">
        <f>IFERROR(__xludf.DUMMYFUNCTION("""COMPUTED_VALUE"""),"Snickers")</f>
        <v>Snickers</v>
      </c>
      <c r="D1053" s="1">
        <f>IFERROR(__xludf.DUMMYFUNCTION("""COMPUTED_VALUE"""),18.0)</f>
        <v>18</v>
      </c>
      <c r="E1053" s="1">
        <f>IFERROR(__xludf.DUMMYFUNCTION("""COMPUTED_VALUE"""),2.4)</f>
        <v>2.4</v>
      </c>
      <c r="F1053" s="1">
        <f>IFERROR(__xludf.DUMMYFUNCTION("""COMPUTED_VALUE"""),3.0)</f>
        <v>3</v>
      </c>
    </row>
    <row r="1054">
      <c r="A1054" s="3">
        <f>IFERROR(__xludf.DUMMYFUNCTION("""COMPUTED_VALUE"""),46023.0)</f>
        <v>46023</v>
      </c>
      <c r="B1054" s="1" t="str">
        <f>IFERROR(__xludf.DUMMYFUNCTION("""COMPUTED_VALUE"""),"Istiklal")</f>
        <v>Istiklal</v>
      </c>
      <c r="C1054" s="1" t="str">
        <f>IFERROR(__xludf.DUMMYFUNCTION("""COMPUTED_VALUE"""),"Tiger *12 Cheese")</f>
        <v>Tiger *12 Cheese</v>
      </c>
      <c r="D1054" s="1">
        <f>IFERROR(__xludf.DUMMYFUNCTION("""COMPUTED_VALUE"""),71.5)</f>
        <v>71.5</v>
      </c>
      <c r="E1054" s="1">
        <f>IFERROR(__xludf.DUMMYFUNCTION("""COMPUTED_VALUE"""),26.0)</f>
        <v>26</v>
      </c>
      <c r="F1054" s="1">
        <f>IFERROR(__xludf.DUMMYFUNCTION("""COMPUTED_VALUE"""),13.0)</f>
        <v>13</v>
      </c>
    </row>
    <row r="1055">
      <c r="A1055" s="3">
        <f>IFERROR(__xludf.DUMMYFUNCTION("""COMPUTED_VALUE"""),46023.0)</f>
        <v>46023</v>
      </c>
      <c r="B1055" s="1" t="str">
        <f>IFERROR(__xludf.DUMMYFUNCTION("""COMPUTED_VALUE"""),"Istiklal")</f>
        <v>Istiklal</v>
      </c>
      <c r="C1055" s="1" t="str">
        <f>IFERROR(__xludf.DUMMYFUNCTION("""COMPUTED_VALUE"""),"Tiger *12 kebab")</f>
        <v>Tiger *12 kebab</v>
      </c>
      <c r="D1055" s="1">
        <f>IFERROR(__xludf.DUMMYFUNCTION("""COMPUTED_VALUE"""),38.5)</f>
        <v>38.5</v>
      </c>
      <c r="E1055" s="1">
        <f>IFERROR(__xludf.DUMMYFUNCTION("""COMPUTED_VALUE"""),14.0)</f>
        <v>14</v>
      </c>
      <c r="F1055" s="1">
        <f>IFERROR(__xludf.DUMMYFUNCTION("""COMPUTED_VALUE"""),7.0)</f>
        <v>7</v>
      </c>
    </row>
    <row r="1056">
      <c r="A1056" s="3">
        <f>IFERROR(__xludf.DUMMYFUNCTION("""COMPUTED_VALUE"""),46023.0)</f>
        <v>46023</v>
      </c>
      <c r="B1056" s="1" t="str">
        <f>IFERROR(__xludf.DUMMYFUNCTION("""COMPUTED_VALUE"""),"Istiklal")</f>
        <v>Istiklal</v>
      </c>
      <c r="C1056" s="1" t="str">
        <f>IFERROR(__xludf.DUMMYFUNCTION("""COMPUTED_VALUE"""),"Tiger *16 kebab")</f>
        <v>Tiger *16 kebab</v>
      </c>
      <c r="D1056" s="1">
        <f>IFERROR(__xludf.DUMMYFUNCTION("""COMPUTED_VALUE"""),31.5)</f>
        <v>31.5</v>
      </c>
      <c r="E1056" s="1">
        <f>IFERROR(__xludf.DUMMYFUNCTION("""COMPUTED_VALUE"""),16.24)</f>
        <v>16.24</v>
      </c>
      <c r="F1056" s="1">
        <f>IFERROR(__xludf.DUMMYFUNCTION("""COMPUTED_VALUE"""),7.0)</f>
        <v>7</v>
      </c>
    </row>
    <row r="1057">
      <c r="A1057" s="3">
        <f>IFERROR(__xludf.DUMMYFUNCTION("""COMPUTED_VALUE"""),46023.0)</f>
        <v>46023</v>
      </c>
      <c r="B1057" s="1" t="str">
        <f>IFERROR(__xludf.DUMMYFUNCTION("""COMPUTED_VALUE"""),"Istiklal")</f>
        <v>Istiklal</v>
      </c>
      <c r="C1057" s="1" t="str">
        <f>IFERROR(__xludf.DUMMYFUNCTION("""COMPUTED_VALUE"""),"Tiger excellence")</f>
        <v>Tiger excellence</v>
      </c>
      <c r="D1057" s="1">
        <f>IFERROR(__xludf.DUMMYFUNCTION("""COMPUTED_VALUE"""),67.5)</f>
        <v>67.5</v>
      </c>
      <c r="E1057" s="1">
        <f>IFERROR(__xludf.DUMMYFUNCTION("""COMPUTED_VALUE"""),33.75)</f>
        <v>33.75</v>
      </c>
      <c r="F1057" s="1">
        <f>IFERROR(__xludf.DUMMYFUNCTION("""COMPUTED_VALUE"""),15.0)</f>
        <v>15</v>
      </c>
    </row>
    <row r="1058">
      <c r="A1058" s="3">
        <f>IFERROR(__xludf.DUMMYFUNCTION("""COMPUTED_VALUE"""),46023.0)</f>
        <v>46023</v>
      </c>
      <c r="B1058" s="1" t="str">
        <f>IFERROR(__xludf.DUMMYFUNCTION("""COMPUTED_VALUE"""),"Istiklal")</f>
        <v>Istiklal</v>
      </c>
      <c r="C1058" s="1" t="str">
        <f>IFERROR(__xludf.DUMMYFUNCTION("""COMPUTED_VALUE"""),"Toblerone")</f>
        <v>Toblerone</v>
      </c>
      <c r="D1058" s="1">
        <f>IFERROR(__xludf.DUMMYFUNCTION("""COMPUTED_VALUE"""),63.0)</f>
        <v>63</v>
      </c>
      <c r="E1058" s="1">
        <f>IFERROR(__xludf.DUMMYFUNCTION("""COMPUTED_VALUE"""),19.89)</f>
        <v>19.89</v>
      </c>
      <c r="F1058" s="1">
        <f>IFERROR(__xludf.DUMMYFUNCTION("""COMPUTED_VALUE"""),9.0)</f>
        <v>9</v>
      </c>
    </row>
    <row r="1059">
      <c r="A1059" s="3">
        <f>IFERROR(__xludf.DUMMYFUNCTION("""COMPUTED_VALUE"""),46023.0)</f>
        <v>46023</v>
      </c>
      <c r="B1059" s="1" t="str">
        <f>IFERROR(__xludf.DUMMYFUNCTION("""COMPUTED_VALUE"""),"Istiklal")</f>
        <v>Istiklal</v>
      </c>
      <c r="C1059" s="1" t="str">
        <f>IFERROR(__xludf.DUMMYFUNCTION("""COMPUTED_VALUE"""),"Twix")</f>
        <v>Twix</v>
      </c>
      <c r="D1059" s="1">
        <f>IFERROR(__xludf.DUMMYFUNCTION("""COMPUTED_VALUE"""),48.0)</f>
        <v>48</v>
      </c>
      <c r="E1059" s="1">
        <f>IFERROR(__xludf.DUMMYFUNCTION("""COMPUTED_VALUE"""),3.0)</f>
        <v>3</v>
      </c>
      <c r="F1059" s="1">
        <f>IFERROR(__xludf.DUMMYFUNCTION("""COMPUTED_VALUE"""),9.0)</f>
        <v>9</v>
      </c>
    </row>
    <row r="1060">
      <c r="A1060" s="3">
        <f>IFERROR(__xludf.DUMMYFUNCTION("""COMPUTED_VALUE"""),46023.0)</f>
        <v>46023</v>
      </c>
      <c r="B1060" s="1" t="str">
        <f>IFERROR(__xludf.DUMMYFUNCTION("""COMPUTED_VALUE"""),"Istiklal")</f>
        <v>Istiklal</v>
      </c>
      <c r="C1060" s="1" t="str">
        <f>IFERROR(__xludf.DUMMYFUNCTION("""COMPUTED_VALUE"""),"Twix ex")</f>
        <v>Twix ex</v>
      </c>
      <c r="D1060" s="1">
        <f>IFERROR(__xludf.DUMMYFUNCTION("""COMPUTED_VALUE"""),4.0)</f>
        <v>4</v>
      </c>
      <c r="E1060" s="1">
        <f>IFERROR(__xludf.DUMMYFUNCTION("""COMPUTED_VALUE"""),2.25)</f>
        <v>2.25</v>
      </c>
      <c r="F1060" s="1">
        <f>IFERROR(__xludf.DUMMYFUNCTION("""COMPUTED_VALUE"""),1.0)</f>
        <v>1</v>
      </c>
    </row>
    <row r="1061">
      <c r="A1061" s="3">
        <f>IFERROR(__xludf.DUMMYFUNCTION("""COMPUTED_VALUE"""),46023.0)</f>
        <v>46023</v>
      </c>
      <c r="B1061" s="1" t="str">
        <f>IFERROR(__xludf.DUMMYFUNCTION("""COMPUTED_VALUE"""),"Istiklal")</f>
        <v>Istiklal</v>
      </c>
      <c r="C1061" s="1" t="str">
        <f>IFERROR(__xludf.DUMMYFUNCTION("""COMPUTED_VALUE"""),"Water")</f>
        <v>Water</v>
      </c>
      <c r="D1061" s="1">
        <f>IFERROR(__xludf.DUMMYFUNCTION("""COMPUTED_VALUE"""),209.0)</f>
        <v>209</v>
      </c>
      <c r="E1061" s="1">
        <f>IFERROR(__xludf.DUMMYFUNCTION("""COMPUTED_VALUE"""),146.3)</f>
        <v>146.3</v>
      </c>
      <c r="F1061" s="1">
        <f>IFERROR(__xludf.DUMMYFUNCTION("""COMPUTED_VALUE"""),209.0)</f>
        <v>209</v>
      </c>
    </row>
    <row r="1062">
      <c r="A1062" s="3">
        <f>IFERROR(__xludf.DUMMYFUNCTION("""COMPUTED_VALUE"""),46023.0)</f>
        <v>46023</v>
      </c>
      <c r="B1062" s="1" t="str">
        <f>IFERROR(__xludf.DUMMYFUNCTION("""COMPUTED_VALUE"""),"Istiklal")</f>
        <v>Istiklal</v>
      </c>
      <c r="C1062" s="1" t="str">
        <f>IFERROR(__xludf.DUMMYFUNCTION("""COMPUTED_VALUE"""),"X!R")</f>
        <v>X!R</v>
      </c>
      <c r="D1062" s="1">
        <f>IFERROR(__xludf.DUMMYFUNCTION("""COMPUTED_VALUE"""),290.0)</f>
        <v>290</v>
      </c>
      <c r="E1062" s="1">
        <f>IFERROR(__xludf.DUMMYFUNCTION("""COMPUTED_VALUE"""),72.5)</f>
        <v>72.5</v>
      </c>
      <c r="F1062" s="1">
        <f>IFERROR(__xludf.DUMMYFUNCTION("""COMPUTED_VALUE"""),58.0)</f>
        <v>58</v>
      </c>
    </row>
    <row r="1063">
      <c r="A1063" s="3">
        <f>IFERROR(__xludf.DUMMYFUNCTION("""COMPUTED_VALUE"""),46023.0)</f>
        <v>46023</v>
      </c>
      <c r="B1063" s="1" t="str">
        <f>IFERROR(__xludf.DUMMYFUNCTION("""COMPUTED_VALUE"""),"Istiklal")</f>
        <v>Istiklal</v>
      </c>
      <c r="C1063" s="1" t="str">
        <f>IFERROR(__xludf.DUMMYFUNCTION("""COMPUTED_VALUE"""),"mr bite")</f>
        <v>mr bite</v>
      </c>
      <c r="D1063" s="1">
        <f>IFERROR(__xludf.DUMMYFUNCTION("""COMPUTED_VALUE"""),92.5)</f>
        <v>92.5</v>
      </c>
      <c r="E1063" s="1">
        <f>IFERROR(__xludf.DUMMYFUNCTION("""COMPUTED_VALUE"""),43.29)</f>
        <v>43.29</v>
      </c>
      <c r="F1063" s="1">
        <f>IFERROR(__xludf.DUMMYFUNCTION("""COMPUTED_VALUE"""),37.0)</f>
        <v>37</v>
      </c>
    </row>
    <row r="1064">
      <c r="A1064" s="3">
        <f>IFERROR(__xludf.DUMMYFUNCTION("""COMPUTED_VALUE"""),46023.0)</f>
        <v>46023</v>
      </c>
      <c r="B1064" s="1" t="str">
        <f>IFERROR(__xludf.DUMMYFUNCTION("""COMPUTED_VALUE"""),"Istiklal")</f>
        <v>Istiklal</v>
      </c>
      <c r="C1064" s="1" t="str">
        <f>IFERROR(__xludf.DUMMYFUNCTION("""COMPUTED_VALUE"""),"mr.bite strike")</f>
        <v>mr.bite strike</v>
      </c>
      <c r="D1064" s="1">
        <f>IFERROR(__xludf.DUMMYFUNCTION("""COMPUTED_VALUE"""),15.0)</f>
        <v>15</v>
      </c>
      <c r="E1064" s="1">
        <f>IFERROR(__xludf.DUMMYFUNCTION("""COMPUTED_VALUE"""),5.65)</f>
        <v>5.65</v>
      </c>
      <c r="F1064" s="1">
        <f>IFERROR(__xludf.DUMMYFUNCTION("""COMPUTED_VALUE"""),5.0)</f>
        <v>5</v>
      </c>
    </row>
    <row r="1065">
      <c r="A1065" s="3">
        <f>IFERROR(__xludf.DUMMYFUNCTION("""COMPUTED_VALUE"""),46023.0)</f>
        <v>46023</v>
      </c>
      <c r="B1065" s="1" t="str">
        <f>IFERROR(__xludf.DUMMYFUNCTION("""COMPUTED_VALUE"""),"Istiklal")</f>
        <v>Istiklal</v>
      </c>
      <c r="C1065" s="1" t="str">
        <f>IFERROR(__xludf.DUMMYFUNCTION("""COMPUTED_VALUE"""),"sunTop")</f>
        <v>sunTop</v>
      </c>
      <c r="D1065" s="1">
        <f>IFERROR(__xludf.DUMMYFUNCTION("""COMPUTED_VALUE"""),65.0)</f>
        <v>65</v>
      </c>
      <c r="E1065" s="1">
        <f>IFERROR(__xludf.DUMMYFUNCTION("""COMPUTED_VALUE"""),26.0)</f>
        <v>26</v>
      </c>
      <c r="F1065" s="1">
        <f>IFERROR(__xludf.DUMMYFUNCTION("""COMPUTED_VALUE"""),65.0)</f>
        <v>65</v>
      </c>
    </row>
    <row r="1066">
      <c r="A1066" s="3">
        <f>IFERROR(__xludf.DUMMYFUNCTION("""COMPUTED_VALUE"""),46023.0)</f>
        <v>46023</v>
      </c>
      <c r="B1066" s="1" t="str">
        <f>IFERROR(__xludf.DUMMYFUNCTION("""COMPUTED_VALUE"""),"Istiklal")</f>
        <v>Istiklal</v>
      </c>
      <c r="C1066" s="1" t="str">
        <f>IFERROR(__xludf.DUMMYFUNCTION("""COMPUTED_VALUE"""),"æœªè®¾ç½®")</f>
        <v>æœªè®¾ç½®</v>
      </c>
      <c r="D1066" s="1">
        <f>IFERROR(__xludf.DUMMYFUNCTION("""COMPUTED_VALUE"""),66.0)</f>
        <v>66</v>
      </c>
      <c r="E1066" s="1">
        <f>IFERROR(__xludf.DUMMYFUNCTION("""COMPUTED_VALUE"""),66.0)</f>
        <v>66</v>
      </c>
      <c r="F1066" s="1">
        <f>IFERROR(__xludf.DUMMYFUNCTION("""COMPUTED_VALUE"""),15.0)</f>
        <v>15</v>
      </c>
    </row>
    <row r="1067">
      <c r="A1067" s="3">
        <f>IFERROR(__xludf.DUMMYFUNCTION("""COMPUTED_VALUE"""),46023.0)</f>
        <v>46023</v>
      </c>
      <c r="B1067" s="1" t="str">
        <f>IFERROR(__xludf.DUMMYFUNCTION("""COMPUTED_VALUE"""),"SeaCost")</f>
        <v>SeaCost</v>
      </c>
      <c r="C1067" s="1" t="str">
        <f>IFERROR(__xludf.DUMMYFUNCTION("""COMPUTED_VALUE"""),"Almarai Chocolate")</f>
        <v>Almarai Chocolate</v>
      </c>
      <c r="D1067" s="1">
        <f>IFERROR(__xludf.DUMMYFUNCTION("""COMPUTED_VALUE"""),109.0)</f>
        <v>109</v>
      </c>
      <c r="E1067" s="1">
        <f>IFERROR(__xludf.DUMMYFUNCTION("""COMPUTED_VALUE"""),51.0)</f>
        <v>51</v>
      </c>
      <c r="F1067" s="1">
        <f>IFERROR(__xludf.DUMMYFUNCTION("""COMPUTED_VALUE"""),29.0)</f>
        <v>29</v>
      </c>
    </row>
    <row r="1068">
      <c r="A1068" s="3">
        <f>IFERROR(__xludf.DUMMYFUNCTION("""COMPUTED_VALUE"""),46023.0)</f>
        <v>46023</v>
      </c>
      <c r="B1068" s="1" t="str">
        <f>IFERROR(__xludf.DUMMYFUNCTION("""COMPUTED_VALUE"""),"SeaCost")</f>
        <v>SeaCost</v>
      </c>
      <c r="C1068" s="1" t="str">
        <f>IFERROR(__xludf.DUMMYFUNCTION("""COMPUTED_VALUE"""),"Almarai Strawberry")</f>
        <v>Almarai Strawberry</v>
      </c>
      <c r="D1068" s="1">
        <f>IFERROR(__xludf.DUMMYFUNCTION("""COMPUTED_VALUE"""),62.0)</f>
        <v>62</v>
      </c>
      <c r="E1068" s="1">
        <f>IFERROR(__xludf.DUMMYFUNCTION("""COMPUTED_VALUE"""),24.56)</f>
        <v>24.56</v>
      </c>
      <c r="F1068" s="1">
        <f>IFERROR(__xludf.DUMMYFUNCTION("""COMPUTED_VALUE"""),18.0)</f>
        <v>18</v>
      </c>
    </row>
    <row r="1069">
      <c r="A1069" s="3">
        <f>IFERROR(__xludf.DUMMYFUNCTION("""COMPUTED_VALUE"""),46023.0)</f>
        <v>46023</v>
      </c>
      <c r="B1069" s="1" t="str">
        <f>IFERROR(__xludf.DUMMYFUNCTION("""COMPUTED_VALUE"""),"SeaCost")</f>
        <v>SeaCost</v>
      </c>
      <c r="C1069" s="1" t="str">
        <f>IFERROR(__xludf.DUMMYFUNCTION("""COMPUTED_VALUE"""),"Be happy kids")</f>
        <v>Be happy kids</v>
      </c>
      <c r="D1069" s="1">
        <f>IFERROR(__xludf.DUMMYFUNCTION("""COMPUTED_VALUE"""),50.0)</f>
        <v>50</v>
      </c>
      <c r="E1069" s="1">
        <f>IFERROR(__xludf.DUMMYFUNCTION("""COMPUTED_VALUE"""),16.7)</f>
        <v>16.7</v>
      </c>
      <c r="F1069" s="1">
        <f>IFERROR(__xludf.DUMMYFUNCTION("""COMPUTED_VALUE"""),10.0)</f>
        <v>10</v>
      </c>
    </row>
    <row r="1070">
      <c r="A1070" s="3">
        <f>IFERROR(__xludf.DUMMYFUNCTION("""COMPUTED_VALUE"""),46023.0)</f>
        <v>46023</v>
      </c>
      <c r="B1070" s="1" t="str">
        <f>IFERROR(__xludf.DUMMYFUNCTION("""COMPUTED_VALUE"""),"SeaCost")</f>
        <v>SeaCost</v>
      </c>
      <c r="C1070" s="1" t="str">
        <f>IFERROR(__xludf.DUMMYFUNCTION("""COMPUTED_VALUE"""),"Caser Juice")</f>
        <v>Caser Juice</v>
      </c>
      <c r="D1070" s="1">
        <f>IFERROR(__xludf.DUMMYFUNCTION("""COMPUTED_VALUE"""),18.0)</f>
        <v>18</v>
      </c>
      <c r="E1070" s="1">
        <f>IFERROR(__xludf.DUMMYFUNCTION("""COMPUTED_VALUE"""),5.61)</f>
        <v>5.61</v>
      </c>
      <c r="F1070" s="1">
        <f>IFERROR(__xludf.DUMMYFUNCTION("""COMPUTED_VALUE"""),3.0)</f>
        <v>3</v>
      </c>
    </row>
    <row r="1071">
      <c r="A1071" s="3">
        <f>IFERROR(__xludf.DUMMYFUNCTION("""COMPUTED_VALUE"""),46023.0)</f>
        <v>46023</v>
      </c>
      <c r="B1071" s="1" t="str">
        <f>IFERROR(__xludf.DUMMYFUNCTION("""COMPUTED_VALUE"""),"SeaCost")</f>
        <v>SeaCost</v>
      </c>
      <c r="C1071" s="1" t="str">
        <f>IFERROR(__xludf.DUMMYFUNCTION("""COMPUTED_VALUE"""),"Chico")</f>
        <v>Chico</v>
      </c>
      <c r="D1071" s="1">
        <f>IFERROR(__xludf.DUMMYFUNCTION("""COMPUTED_VALUE"""),223.0)</f>
        <v>223</v>
      </c>
      <c r="E1071" s="1">
        <f>IFERROR(__xludf.DUMMYFUNCTION("""COMPUTED_VALUE"""),125.35)</f>
        <v>125.35</v>
      </c>
      <c r="F1071" s="1">
        <f>IFERROR(__xludf.DUMMYFUNCTION("""COMPUTED_VALUE"""),45.0)</f>
        <v>45</v>
      </c>
    </row>
    <row r="1072">
      <c r="A1072" s="3">
        <f>IFERROR(__xludf.DUMMYFUNCTION("""COMPUTED_VALUE"""),46023.0)</f>
        <v>46023</v>
      </c>
      <c r="B1072" s="1" t="str">
        <f>IFERROR(__xludf.DUMMYFUNCTION("""COMPUTED_VALUE"""),"SeaCost")</f>
        <v>SeaCost</v>
      </c>
      <c r="C1072" s="1" t="str">
        <f>IFERROR(__xludf.DUMMYFUNCTION("""COMPUTED_VALUE"""),"Chillax chips")</f>
        <v>Chillax chips</v>
      </c>
      <c r="D1072" s="1">
        <f>IFERROR(__xludf.DUMMYFUNCTION("""COMPUTED_VALUE"""),161.0)</f>
        <v>161</v>
      </c>
      <c r="E1072" s="1">
        <f>IFERROR(__xludf.DUMMYFUNCTION("""COMPUTED_VALUE"""),80.5)</f>
        <v>80.5</v>
      </c>
      <c r="F1072" s="1">
        <f>IFERROR(__xludf.DUMMYFUNCTION("""COMPUTED_VALUE"""),23.0)</f>
        <v>23</v>
      </c>
    </row>
    <row r="1073">
      <c r="A1073" s="3">
        <f>IFERROR(__xludf.DUMMYFUNCTION("""COMPUTED_VALUE"""),46023.0)</f>
        <v>46023</v>
      </c>
      <c r="B1073" s="1" t="str">
        <f>IFERROR(__xludf.DUMMYFUNCTION("""COMPUTED_VALUE"""),"SeaCost")</f>
        <v>SeaCost</v>
      </c>
      <c r="C1073" s="1" t="str">
        <f>IFERROR(__xludf.DUMMYFUNCTION("""COMPUTED_VALUE"""),"Corissant Karuzo")</f>
        <v>Corissant Karuzo</v>
      </c>
      <c r="D1073" s="1">
        <f>IFERROR(__xludf.DUMMYFUNCTION("""COMPUTED_VALUE"""),80.0)</f>
        <v>80</v>
      </c>
      <c r="E1073" s="1">
        <f>IFERROR(__xludf.DUMMYFUNCTION("""COMPUTED_VALUE"""),29.92)</f>
        <v>29.92</v>
      </c>
      <c r="F1073" s="1">
        <f>IFERROR(__xludf.DUMMYFUNCTION("""COMPUTED_VALUE"""),16.0)</f>
        <v>16</v>
      </c>
    </row>
    <row r="1074">
      <c r="A1074" s="3">
        <f>IFERROR(__xludf.DUMMYFUNCTION("""COMPUTED_VALUE"""),46023.0)</f>
        <v>46023</v>
      </c>
      <c r="B1074" s="1" t="str">
        <f>IFERROR(__xludf.DUMMYFUNCTION("""COMPUTED_VALUE"""),"SeaCost")</f>
        <v>SeaCost</v>
      </c>
      <c r="C1074" s="1" t="str">
        <f>IFERROR(__xludf.DUMMYFUNCTION("""COMPUTED_VALUE"""),"Dallas juice")</f>
        <v>Dallas juice</v>
      </c>
      <c r="D1074" s="1">
        <f>IFERROR(__xludf.DUMMYFUNCTION("""COMPUTED_VALUE"""),291.0)</f>
        <v>291</v>
      </c>
      <c r="E1074" s="1">
        <f>IFERROR(__xludf.DUMMYFUNCTION("""COMPUTED_VALUE"""),202.73)</f>
        <v>202.73</v>
      </c>
      <c r="F1074" s="1">
        <f>IFERROR(__xludf.DUMMYFUNCTION("""COMPUTED_VALUE"""),97.0)</f>
        <v>97</v>
      </c>
    </row>
    <row r="1075">
      <c r="A1075" s="3">
        <f>IFERROR(__xludf.DUMMYFUNCTION("""COMPUTED_VALUE"""),46023.0)</f>
        <v>46023</v>
      </c>
      <c r="B1075" s="1" t="str">
        <f>IFERROR(__xludf.DUMMYFUNCTION("""COMPUTED_VALUE"""),"SeaCost")</f>
        <v>SeaCost</v>
      </c>
      <c r="C1075" s="1" t="str">
        <f>IFERROR(__xludf.DUMMYFUNCTION("""COMPUTED_VALUE"""),"Duplo")</f>
        <v>Duplo</v>
      </c>
      <c r="D1075" s="1">
        <f>IFERROR(__xludf.DUMMYFUNCTION("""COMPUTED_VALUE"""),8.0)</f>
        <v>8</v>
      </c>
      <c r="E1075" s="1">
        <f>IFERROR(__xludf.DUMMYFUNCTION("""COMPUTED_VALUE"""),1.8)</f>
        <v>1.8</v>
      </c>
      <c r="F1075" s="1">
        <f>IFERROR(__xludf.DUMMYFUNCTION("""COMPUTED_VALUE"""),1.0)</f>
        <v>1</v>
      </c>
    </row>
    <row r="1076">
      <c r="A1076" s="3">
        <f>IFERROR(__xludf.DUMMYFUNCTION("""COMPUTED_VALUE"""),46023.0)</f>
        <v>46023</v>
      </c>
      <c r="B1076" s="1" t="str">
        <f>IFERROR(__xludf.DUMMYFUNCTION("""COMPUTED_VALUE"""),"SeaCost")</f>
        <v>SeaCost</v>
      </c>
      <c r="C1076" s="1" t="str">
        <f>IFERROR(__xludf.DUMMYFUNCTION("""COMPUTED_VALUE"""),"Goftime")</f>
        <v>Goftime</v>
      </c>
      <c r="D1076" s="1">
        <f>IFERROR(__xludf.DUMMYFUNCTION("""COMPUTED_VALUE"""),24.0)</f>
        <v>24</v>
      </c>
      <c r="E1076" s="1">
        <f>IFERROR(__xludf.DUMMYFUNCTION("""COMPUTED_VALUE"""),18.84)</f>
        <v>18.84</v>
      </c>
      <c r="F1076" s="1">
        <f>IFERROR(__xludf.DUMMYFUNCTION("""COMPUTED_VALUE"""),12.0)</f>
        <v>12</v>
      </c>
    </row>
    <row r="1077">
      <c r="A1077" s="3">
        <f>IFERROR(__xludf.DUMMYFUNCTION("""COMPUTED_VALUE"""),46023.0)</f>
        <v>46023</v>
      </c>
      <c r="B1077" s="1" t="str">
        <f>IFERROR(__xludf.DUMMYFUNCTION("""COMPUTED_VALUE"""),"SeaCost")</f>
        <v>SeaCost</v>
      </c>
      <c r="C1077" s="1" t="str">
        <f>IFERROR(__xludf.DUMMYFUNCTION("""COMPUTED_VALUE"""),"Haribo")</f>
        <v>Haribo</v>
      </c>
      <c r="D1077" s="1">
        <f>IFERROR(__xludf.DUMMYFUNCTION("""COMPUTED_VALUE"""),11.0)</f>
        <v>11</v>
      </c>
      <c r="E1077" s="1">
        <f>IFERROR(__xludf.DUMMYFUNCTION("""COMPUTED_VALUE"""),5.75)</f>
        <v>5.75</v>
      </c>
      <c r="F1077" s="1">
        <f>IFERROR(__xludf.DUMMYFUNCTION("""COMPUTED_VALUE"""),3.0)</f>
        <v>3</v>
      </c>
    </row>
    <row r="1078">
      <c r="A1078" s="3">
        <f>IFERROR(__xludf.DUMMYFUNCTION("""COMPUTED_VALUE"""),46023.0)</f>
        <v>46023</v>
      </c>
      <c r="B1078" s="1" t="str">
        <f>IFERROR(__xludf.DUMMYFUNCTION("""COMPUTED_VALUE"""),"SeaCost")</f>
        <v>SeaCost</v>
      </c>
      <c r="C1078" s="1" t="str">
        <f>IFERROR(__xludf.DUMMYFUNCTION("""COMPUTED_VALUE"""),"HiPro")</f>
        <v>HiPro</v>
      </c>
      <c r="D1078" s="1">
        <f>IFERROR(__xludf.DUMMYFUNCTION("""COMPUTED_VALUE"""),15.0)</f>
        <v>15</v>
      </c>
      <c r="E1078" s="1">
        <f>IFERROR(__xludf.DUMMYFUNCTION("""COMPUTED_VALUE"""),-14.15)</f>
        <v>-14.15</v>
      </c>
      <c r="F1078" s="1">
        <f>IFERROR(__xludf.DUMMYFUNCTION("""COMPUTED_VALUE"""),5.0)</f>
        <v>5</v>
      </c>
    </row>
    <row r="1079">
      <c r="A1079" s="3">
        <f>IFERROR(__xludf.DUMMYFUNCTION("""COMPUTED_VALUE"""),46023.0)</f>
        <v>46023</v>
      </c>
      <c r="B1079" s="1" t="str">
        <f>IFERROR(__xludf.DUMMYFUNCTION("""COMPUTED_VALUE"""),"SeaCost")</f>
        <v>SeaCost</v>
      </c>
      <c r="C1079" s="1" t="str">
        <f>IFERROR(__xludf.DUMMYFUNCTION("""COMPUTED_VALUE"""),"Kunuz Juice")</f>
        <v>Kunuz Juice</v>
      </c>
      <c r="D1079" s="1">
        <f>IFERROR(__xludf.DUMMYFUNCTION("""COMPUTED_VALUE"""),12.0)</f>
        <v>12</v>
      </c>
      <c r="E1079" s="1">
        <f>IFERROR(__xludf.DUMMYFUNCTION("""COMPUTED_VALUE"""),6.0)</f>
        <v>6</v>
      </c>
      <c r="F1079" s="1">
        <f>IFERROR(__xludf.DUMMYFUNCTION("""COMPUTED_VALUE"""),3.0)</f>
        <v>3</v>
      </c>
    </row>
    <row r="1080">
      <c r="A1080" s="3">
        <f>IFERROR(__xludf.DUMMYFUNCTION("""COMPUTED_VALUE"""),46023.0)</f>
        <v>46023</v>
      </c>
      <c r="B1080" s="1" t="str">
        <f>IFERROR(__xludf.DUMMYFUNCTION("""COMPUTED_VALUE"""),"SeaCost")</f>
        <v>SeaCost</v>
      </c>
      <c r="C1080" s="1" t="str">
        <f>IFERROR(__xludf.DUMMYFUNCTION("""COMPUTED_VALUE"""),"L suntop")</f>
        <v>L suntop</v>
      </c>
      <c r="D1080" s="1">
        <f>IFERROR(__xludf.DUMMYFUNCTION("""COMPUTED_VALUE"""),16.0)</f>
        <v>16</v>
      </c>
      <c r="E1080" s="1">
        <f>IFERROR(__xludf.DUMMYFUNCTION("""COMPUTED_VALUE"""),8.4)</f>
        <v>8.4</v>
      </c>
      <c r="F1080" s="1">
        <f>IFERROR(__xludf.DUMMYFUNCTION("""COMPUTED_VALUE"""),8.0)</f>
        <v>8</v>
      </c>
    </row>
    <row r="1081">
      <c r="A1081" s="3">
        <f>IFERROR(__xludf.DUMMYFUNCTION("""COMPUTED_VALUE"""),46023.0)</f>
        <v>46023</v>
      </c>
      <c r="B1081" s="1" t="str">
        <f>IFERROR(__xludf.DUMMYFUNCTION("""COMPUTED_VALUE"""),"SeaCost")</f>
        <v>SeaCost</v>
      </c>
      <c r="C1081" s="1" t="str">
        <f>IFERROR(__xludf.DUMMYFUNCTION("""COMPUTED_VALUE"""),"Laviva")</f>
        <v>Laviva</v>
      </c>
      <c r="D1081" s="1">
        <f>IFERROR(__xludf.DUMMYFUNCTION("""COMPUTED_VALUE"""),404.0)</f>
        <v>404</v>
      </c>
      <c r="E1081" s="1">
        <f>IFERROR(__xludf.DUMMYFUNCTION("""COMPUTED_VALUE"""),176.75)</f>
        <v>176.75</v>
      </c>
      <c r="F1081" s="1">
        <f>IFERROR(__xludf.DUMMYFUNCTION("""COMPUTED_VALUE"""),101.0)</f>
        <v>101</v>
      </c>
    </row>
    <row r="1082">
      <c r="A1082" s="3">
        <f>IFERROR(__xludf.DUMMYFUNCTION("""COMPUTED_VALUE"""),46023.0)</f>
        <v>46023</v>
      </c>
      <c r="B1082" s="1" t="str">
        <f>IFERROR(__xludf.DUMMYFUNCTION("""COMPUTED_VALUE"""),"SeaCost")</f>
        <v>SeaCost</v>
      </c>
      <c r="C1082" s="1" t="str">
        <f>IFERROR(__xludf.DUMMYFUNCTION("""COMPUTED_VALUE"""),"Lovita cookies")</f>
        <v>Lovita cookies</v>
      </c>
      <c r="D1082" s="1">
        <f>IFERROR(__xludf.DUMMYFUNCTION("""COMPUTED_VALUE"""),136.0)</f>
        <v>136</v>
      </c>
      <c r="E1082" s="1">
        <f>IFERROR(__xludf.DUMMYFUNCTION("""COMPUTED_VALUE"""),47.94)</f>
        <v>47.94</v>
      </c>
      <c r="F1082" s="1">
        <f>IFERROR(__xludf.DUMMYFUNCTION("""COMPUTED_VALUE"""),17.0)</f>
        <v>17</v>
      </c>
    </row>
    <row r="1083">
      <c r="A1083" s="3">
        <f>IFERROR(__xludf.DUMMYFUNCTION("""COMPUTED_VALUE"""),46023.0)</f>
        <v>46023</v>
      </c>
      <c r="B1083" s="1" t="str">
        <f>IFERROR(__xludf.DUMMYFUNCTION("""COMPUTED_VALUE"""),"SeaCost")</f>
        <v>SeaCost</v>
      </c>
      <c r="C1083" s="1" t="str">
        <f>IFERROR(__xludf.DUMMYFUNCTION("""COMPUTED_VALUE"""),"Mr Cruch veggy's")</f>
        <v>Mr Cruch veggy's</v>
      </c>
      <c r="D1083" s="1">
        <f>IFERROR(__xludf.DUMMYFUNCTION("""COMPUTED_VALUE"""),1038.0)</f>
        <v>1038</v>
      </c>
      <c r="E1083" s="1">
        <f>IFERROR(__xludf.DUMMYFUNCTION("""COMPUTED_VALUE"""),615.88)</f>
        <v>615.88</v>
      </c>
      <c r="F1083" s="1">
        <f>IFERROR(__xludf.DUMMYFUNCTION("""COMPUTED_VALUE"""),173.0)</f>
        <v>173</v>
      </c>
    </row>
    <row r="1084">
      <c r="A1084" s="3">
        <f>IFERROR(__xludf.DUMMYFUNCTION("""COMPUTED_VALUE"""),46023.0)</f>
        <v>46023</v>
      </c>
      <c r="B1084" s="1" t="str">
        <f>IFERROR(__xludf.DUMMYFUNCTION("""COMPUTED_VALUE"""),"SeaCost")</f>
        <v>SeaCost</v>
      </c>
      <c r="C1084" s="1" t="str">
        <f>IFERROR(__xludf.DUMMYFUNCTION("""COMPUTED_VALUE"""),"Mrbeast")</f>
        <v>Mrbeast</v>
      </c>
      <c r="D1084" s="1">
        <f>IFERROR(__xludf.DUMMYFUNCTION("""COMPUTED_VALUE"""),190.0)</f>
        <v>190</v>
      </c>
      <c r="E1084" s="1">
        <f>IFERROR(__xludf.DUMMYFUNCTION("""COMPUTED_VALUE"""),100.7)</f>
        <v>100.7</v>
      </c>
      <c r="F1084" s="1">
        <f>IFERROR(__xludf.DUMMYFUNCTION("""COMPUTED_VALUE"""),19.0)</f>
        <v>19</v>
      </c>
    </row>
    <row r="1085">
      <c r="A1085" s="3">
        <f>IFERROR(__xludf.DUMMYFUNCTION("""COMPUTED_VALUE"""),46023.0)</f>
        <v>46023</v>
      </c>
      <c r="B1085" s="1" t="str">
        <f>IFERROR(__xludf.DUMMYFUNCTION("""COMPUTED_VALUE"""),"SeaCost")</f>
        <v>SeaCost</v>
      </c>
      <c r="C1085" s="1" t="str">
        <f>IFERROR(__xludf.DUMMYFUNCTION("""COMPUTED_VALUE"""),"Mulino Cookis")</f>
        <v>Mulino Cookis</v>
      </c>
      <c r="D1085" s="1">
        <f>IFERROR(__xludf.DUMMYFUNCTION("""COMPUTED_VALUE"""),45.0)</f>
        <v>45</v>
      </c>
      <c r="E1085" s="1">
        <f>IFERROR(__xludf.DUMMYFUNCTION("""COMPUTED_VALUE"""),11.47)</f>
        <v>11.47</v>
      </c>
      <c r="F1085" s="1">
        <f>IFERROR(__xludf.DUMMYFUNCTION("""COMPUTED_VALUE"""),7.0)</f>
        <v>7</v>
      </c>
    </row>
    <row r="1086">
      <c r="A1086" s="3">
        <f>IFERROR(__xludf.DUMMYFUNCTION("""COMPUTED_VALUE"""),46023.0)</f>
        <v>46023</v>
      </c>
      <c r="B1086" s="1" t="str">
        <f>IFERROR(__xludf.DUMMYFUNCTION("""COMPUTED_VALUE"""),"SeaCost")</f>
        <v>SeaCost</v>
      </c>
      <c r="C1086" s="1" t="str">
        <f>IFERROR(__xludf.DUMMYFUNCTION("""COMPUTED_VALUE"""),"Pretzels")</f>
        <v>Pretzels</v>
      </c>
      <c r="D1086" s="1">
        <f>IFERROR(__xludf.DUMMYFUNCTION("""COMPUTED_VALUE"""),24.0)</f>
        <v>24</v>
      </c>
      <c r="E1086" s="1">
        <f>IFERROR(__xludf.DUMMYFUNCTION("""COMPUTED_VALUE"""),11.0)</f>
        <v>11</v>
      </c>
      <c r="F1086" s="1">
        <f>IFERROR(__xludf.DUMMYFUNCTION("""COMPUTED_VALUE"""),4.0)</f>
        <v>4</v>
      </c>
    </row>
    <row r="1087">
      <c r="A1087" s="3">
        <f>IFERROR(__xludf.DUMMYFUNCTION("""COMPUTED_VALUE"""),46023.0)</f>
        <v>46023</v>
      </c>
      <c r="B1087" s="1" t="str">
        <f>IFERROR(__xludf.DUMMYFUNCTION("""COMPUTED_VALUE"""),"SeaCost")</f>
        <v>SeaCost</v>
      </c>
      <c r="C1087" s="1" t="str">
        <f>IFERROR(__xludf.DUMMYFUNCTION("""COMPUTED_VALUE"""),"Prime")</f>
        <v>Prime</v>
      </c>
      <c r="D1087" s="1">
        <f>IFERROR(__xludf.DUMMYFUNCTION("""COMPUTED_VALUE"""),20.0)</f>
        <v>20</v>
      </c>
      <c r="E1087" s="1">
        <f>IFERROR(__xludf.DUMMYFUNCTION("""COMPUTED_VALUE"""),5.84)</f>
        <v>5.84</v>
      </c>
      <c r="F1087" s="1">
        <f>IFERROR(__xludf.DUMMYFUNCTION("""COMPUTED_VALUE"""),1.0)</f>
        <v>1</v>
      </c>
    </row>
    <row r="1088">
      <c r="A1088" s="3">
        <f>IFERROR(__xludf.DUMMYFUNCTION("""COMPUTED_VALUE"""),46023.0)</f>
        <v>46023</v>
      </c>
      <c r="B1088" s="1" t="str">
        <f>IFERROR(__xludf.DUMMYFUNCTION("""COMPUTED_VALUE"""),"SeaCost")</f>
        <v>SeaCost</v>
      </c>
      <c r="C1088" s="1" t="str">
        <f>IFERROR(__xludf.DUMMYFUNCTION("""COMPUTED_VALUE"""),"Rayhan suntop")</f>
        <v>Rayhan suntop</v>
      </c>
      <c r="D1088" s="1">
        <f>IFERROR(__xludf.DUMMYFUNCTION("""COMPUTED_VALUE"""),86.0)</f>
        <v>86</v>
      </c>
      <c r="E1088" s="1">
        <f>IFERROR(__xludf.DUMMYFUNCTION("""COMPUTED_VALUE"""),56.76)</f>
        <v>56.76</v>
      </c>
      <c r="F1088" s="1">
        <f>IFERROR(__xludf.DUMMYFUNCTION("""COMPUTED_VALUE"""),43.0)</f>
        <v>43</v>
      </c>
    </row>
    <row r="1089">
      <c r="A1089" s="3">
        <f>IFERROR(__xludf.DUMMYFUNCTION("""COMPUTED_VALUE"""),46023.0)</f>
        <v>46023</v>
      </c>
      <c r="B1089" s="1" t="str">
        <f>IFERROR(__xludf.DUMMYFUNCTION("""COMPUTED_VALUE"""),"SeaCost")</f>
        <v>SeaCost</v>
      </c>
      <c r="C1089" s="1" t="str">
        <f>IFERROR(__xludf.DUMMYFUNCTION("""COMPUTED_VALUE"""),"Shada up")</f>
        <v>Shada up</v>
      </c>
      <c r="D1089" s="1">
        <f>IFERROR(__xludf.DUMMYFUNCTION("""COMPUTED_VALUE"""),10.0)</f>
        <v>10</v>
      </c>
      <c r="E1089" s="1">
        <f>IFERROR(__xludf.DUMMYFUNCTION("""COMPUTED_VALUE"""),2.95)</f>
        <v>2.95</v>
      </c>
      <c r="F1089" s="1">
        <f>IFERROR(__xludf.DUMMYFUNCTION("""COMPUTED_VALUE"""),5.0)</f>
        <v>5</v>
      </c>
    </row>
    <row r="1090">
      <c r="A1090" s="3">
        <f>IFERROR(__xludf.DUMMYFUNCTION("""COMPUTED_VALUE"""),46023.0)</f>
        <v>46023</v>
      </c>
      <c r="B1090" s="1" t="str">
        <f>IFERROR(__xludf.DUMMYFUNCTION("""COMPUTED_VALUE"""),"SeaCost")</f>
        <v>SeaCost</v>
      </c>
      <c r="C1090" s="1" t="str">
        <f>IFERROR(__xludf.DUMMYFUNCTION("""COMPUTED_VALUE"""),"Skittles")</f>
        <v>Skittles</v>
      </c>
      <c r="D1090" s="1">
        <f>IFERROR(__xludf.DUMMYFUNCTION("""COMPUTED_VALUE"""),224.0)</f>
        <v>224</v>
      </c>
      <c r="E1090" s="1">
        <f>IFERROR(__xludf.DUMMYFUNCTION("""COMPUTED_VALUE"""),72.42)</f>
        <v>72.42</v>
      </c>
      <c r="F1090" s="1">
        <f>IFERROR(__xludf.DUMMYFUNCTION("""COMPUTED_VALUE"""),26.0)</f>
        <v>26</v>
      </c>
    </row>
    <row r="1091">
      <c r="A1091" s="3">
        <f>IFERROR(__xludf.DUMMYFUNCTION("""COMPUTED_VALUE"""),46023.0)</f>
        <v>46023</v>
      </c>
      <c r="B1091" s="1" t="str">
        <f>IFERROR(__xludf.DUMMYFUNCTION("""COMPUTED_VALUE"""),"SeaCost")</f>
        <v>SeaCost</v>
      </c>
      <c r="C1091" s="1" t="str">
        <f>IFERROR(__xludf.DUMMYFUNCTION("""COMPUTED_VALUE"""),"Souffle")</f>
        <v>Souffle</v>
      </c>
      <c r="D1091" s="1">
        <f>IFERROR(__xludf.DUMMYFUNCTION("""COMPUTED_VALUE"""),120.0)</f>
        <v>120</v>
      </c>
      <c r="E1091" s="1">
        <f>IFERROR(__xludf.DUMMYFUNCTION("""COMPUTED_VALUE"""),56.8)</f>
        <v>56.8</v>
      </c>
      <c r="F1091" s="1">
        <f>IFERROR(__xludf.DUMMYFUNCTION("""COMPUTED_VALUE"""),40.0)</f>
        <v>40</v>
      </c>
    </row>
    <row r="1092">
      <c r="A1092" s="3">
        <f>IFERROR(__xludf.DUMMYFUNCTION("""COMPUTED_VALUE"""),46023.0)</f>
        <v>46023</v>
      </c>
      <c r="B1092" s="1" t="str">
        <f>IFERROR(__xludf.DUMMYFUNCTION("""COMPUTED_VALUE"""),"SeaCost")</f>
        <v>SeaCost</v>
      </c>
      <c r="C1092" s="1" t="str">
        <f>IFERROR(__xludf.DUMMYFUNCTION("""COMPUTED_VALUE"""),"Toblerone")</f>
        <v>Toblerone</v>
      </c>
      <c r="D1092" s="1">
        <f>IFERROR(__xludf.DUMMYFUNCTION("""COMPUTED_VALUE"""),153.0)</f>
        <v>153</v>
      </c>
      <c r="E1092" s="1">
        <f>IFERROR(__xludf.DUMMYFUNCTION("""COMPUTED_VALUE"""),57.2)</f>
        <v>57.2</v>
      </c>
      <c r="F1092" s="1">
        <f>IFERROR(__xludf.DUMMYFUNCTION("""COMPUTED_VALUE"""),20.0)</f>
        <v>20</v>
      </c>
    </row>
    <row r="1093">
      <c r="A1093" s="3">
        <f>IFERROR(__xludf.DUMMYFUNCTION("""COMPUTED_VALUE"""),46023.0)</f>
        <v>46023</v>
      </c>
      <c r="B1093" s="1" t="str">
        <f>IFERROR(__xludf.DUMMYFUNCTION("""COMPUTED_VALUE"""),"SeaCost")</f>
        <v>SeaCost</v>
      </c>
      <c r="C1093" s="1" t="str">
        <f>IFERROR(__xludf.DUMMYFUNCTION("""COMPUTED_VALUE"""),"Today Chocolate")</f>
        <v>Today Chocolate</v>
      </c>
      <c r="D1093" s="1">
        <f>IFERROR(__xludf.DUMMYFUNCTION("""COMPUTED_VALUE"""),24.0)</f>
        <v>24</v>
      </c>
      <c r="E1093" s="1">
        <f>IFERROR(__xludf.DUMMYFUNCTION("""COMPUTED_VALUE"""),6.34)</f>
        <v>6.34</v>
      </c>
      <c r="F1093" s="1">
        <f>IFERROR(__xludf.DUMMYFUNCTION("""COMPUTED_VALUE"""),2.0)</f>
        <v>2</v>
      </c>
    </row>
    <row r="1094">
      <c r="A1094" s="3">
        <f>IFERROR(__xludf.DUMMYFUNCTION("""COMPUTED_VALUE"""),46023.0)</f>
        <v>46023</v>
      </c>
      <c r="B1094" s="1" t="str">
        <f>IFERROR(__xludf.DUMMYFUNCTION("""COMPUTED_VALUE"""),"SeaCost")</f>
        <v>SeaCost</v>
      </c>
      <c r="C1094" s="1" t="str">
        <f>IFERROR(__xludf.DUMMYFUNCTION("""COMPUTED_VALUE"""),"Wafer Laviva")</f>
        <v>Wafer Laviva</v>
      </c>
      <c r="D1094" s="1">
        <f>IFERROR(__xludf.DUMMYFUNCTION("""COMPUTED_VALUE"""),52.0)</f>
        <v>52</v>
      </c>
      <c r="E1094" s="1">
        <f>IFERROR(__xludf.DUMMYFUNCTION("""COMPUTED_VALUE"""),26.65)</f>
        <v>26.65</v>
      </c>
      <c r="F1094" s="1">
        <f>IFERROR(__xludf.DUMMYFUNCTION("""COMPUTED_VALUE"""),13.0)</f>
        <v>13</v>
      </c>
    </row>
    <row r="1095">
      <c r="A1095" s="3">
        <f>IFERROR(__xludf.DUMMYFUNCTION("""COMPUTED_VALUE"""),46023.0)</f>
        <v>46023</v>
      </c>
      <c r="B1095" s="1" t="str">
        <f>IFERROR(__xludf.DUMMYFUNCTION("""COMPUTED_VALUE"""),"SeaCost")</f>
        <v>SeaCost</v>
      </c>
      <c r="C1095" s="1" t="str">
        <f>IFERROR(__xludf.DUMMYFUNCTION("""COMPUTED_VALUE"""),"Waffi")</f>
        <v>Waffi</v>
      </c>
      <c r="D1095" s="1">
        <f>IFERROR(__xludf.DUMMYFUNCTION("""COMPUTED_VALUE"""),22.0)</f>
        <v>22</v>
      </c>
      <c r="E1095" s="1">
        <f>IFERROR(__xludf.DUMMYFUNCTION("""COMPUTED_VALUE"""),17.65)</f>
        <v>17.65</v>
      </c>
      <c r="F1095" s="1">
        <f>IFERROR(__xludf.DUMMYFUNCTION("""COMPUTED_VALUE"""),5.0)</f>
        <v>5</v>
      </c>
    </row>
    <row r="1096">
      <c r="A1096" s="3">
        <f>IFERROR(__xludf.DUMMYFUNCTION("""COMPUTED_VALUE"""),46023.0)</f>
        <v>46023</v>
      </c>
      <c r="B1096" s="1" t="str">
        <f>IFERROR(__xludf.DUMMYFUNCTION("""COMPUTED_VALUE"""),"SeaCost")</f>
        <v>SeaCost</v>
      </c>
      <c r="C1096" s="1" t="str">
        <f>IFERROR(__xludf.DUMMYFUNCTION("""COMPUTED_VALUE"""),"Water")</f>
        <v>Water</v>
      </c>
      <c r="D1096" s="1">
        <f>IFERROR(__xludf.DUMMYFUNCTION("""COMPUTED_VALUE"""),387.0)</f>
        <v>387</v>
      </c>
      <c r="E1096" s="1">
        <f>IFERROR(__xludf.DUMMYFUNCTION("""COMPUTED_VALUE"""),270.9)</f>
        <v>270.9</v>
      </c>
      <c r="F1096" s="1">
        <f>IFERROR(__xludf.DUMMYFUNCTION("""COMPUTED_VALUE"""),387.0)</f>
        <v>387</v>
      </c>
    </row>
    <row r="1097">
      <c r="A1097" s="3">
        <f>IFERROR(__xludf.DUMMYFUNCTION("""COMPUTED_VALUE"""),46023.0)</f>
        <v>46023</v>
      </c>
      <c r="B1097" s="1" t="str">
        <f>IFERROR(__xludf.DUMMYFUNCTION("""COMPUTED_VALUE"""),"SeaCost")</f>
        <v>SeaCost</v>
      </c>
      <c r="C1097" s="1" t="str">
        <f>IFERROR(__xludf.DUMMYFUNCTION("""COMPUTED_VALUE"""),"Yasmin Almonds")</f>
        <v>Yasmin Almonds</v>
      </c>
      <c r="D1097" s="1">
        <f>IFERROR(__xludf.DUMMYFUNCTION("""COMPUTED_VALUE"""),82.0)</f>
        <v>82</v>
      </c>
      <c r="E1097" s="1">
        <f>IFERROR(__xludf.DUMMYFUNCTION("""COMPUTED_VALUE"""),38.8)</f>
        <v>38.8</v>
      </c>
      <c r="F1097" s="1">
        <f>IFERROR(__xludf.DUMMYFUNCTION("""COMPUTED_VALUE"""),12.0)</f>
        <v>12</v>
      </c>
    </row>
    <row r="1098">
      <c r="A1098" s="3">
        <f>IFERROR(__xludf.DUMMYFUNCTION("""COMPUTED_VALUE"""),46023.0)</f>
        <v>46023</v>
      </c>
      <c r="B1098" s="1" t="str">
        <f>IFERROR(__xludf.DUMMYFUNCTION("""COMPUTED_VALUE"""),"SeaCost")</f>
        <v>SeaCost</v>
      </c>
      <c r="C1098" s="1" t="str">
        <f>IFERROR(__xludf.DUMMYFUNCTION("""COMPUTED_VALUE"""),"Yasmin Penuts")</f>
        <v>Yasmin Penuts</v>
      </c>
      <c r="D1098" s="1">
        <f>IFERROR(__xludf.DUMMYFUNCTION("""COMPUTED_VALUE"""),2.0)</f>
        <v>2</v>
      </c>
      <c r="E1098" s="1">
        <f>IFERROR(__xludf.DUMMYFUNCTION("""COMPUTED_VALUE"""),0.2)</f>
        <v>0.2</v>
      </c>
      <c r="F1098" s="1">
        <f>IFERROR(__xludf.DUMMYFUNCTION("""COMPUTED_VALUE"""),1.0)</f>
        <v>1</v>
      </c>
    </row>
    <row r="1099">
      <c r="A1099" s="3">
        <f>IFERROR(__xludf.DUMMYFUNCTION("""COMPUTED_VALUE"""),46023.0)</f>
        <v>46023</v>
      </c>
      <c r="B1099" s="1" t="str">
        <f>IFERROR(__xludf.DUMMYFUNCTION("""COMPUTED_VALUE"""),"SeaCost")</f>
        <v>SeaCost</v>
      </c>
      <c r="C1099" s="1" t="str">
        <f>IFERROR(__xludf.DUMMYFUNCTION("""COMPUTED_VALUE"""),"brownies moulin")</f>
        <v>brownies moulin</v>
      </c>
      <c r="D1099" s="1">
        <f>IFERROR(__xludf.DUMMYFUNCTION("""COMPUTED_VALUE"""),90.0)</f>
        <v>90</v>
      </c>
      <c r="E1099" s="1">
        <f>IFERROR(__xludf.DUMMYFUNCTION("""COMPUTED_VALUE"""),51.0)</f>
        <v>51</v>
      </c>
      <c r="F1099" s="1">
        <f>IFERROR(__xludf.DUMMYFUNCTION("""COMPUTED_VALUE"""),30.0)</f>
        <v>30</v>
      </c>
    </row>
    <row r="1100">
      <c r="A1100" s="3">
        <f>IFERROR(__xludf.DUMMYFUNCTION("""COMPUTED_VALUE"""),46023.0)</f>
        <v>46023</v>
      </c>
      <c r="B1100" s="1" t="str">
        <f>IFERROR(__xludf.DUMMYFUNCTION("""COMPUTED_VALUE"""),"SeaCost")</f>
        <v>SeaCost</v>
      </c>
      <c r="C1100" s="1" t="str">
        <f>IFERROR(__xludf.DUMMYFUNCTION("""COMPUTED_VALUE"""),"ifruit juice")</f>
        <v>ifruit juice</v>
      </c>
      <c r="D1100" s="1">
        <f>IFERROR(__xludf.DUMMYFUNCTION("""COMPUTED_VALUE"""),29.0)</f>
        <v>29</v>
      </c>
      <c r="E1100" s="1">
        <f>IFERROR(__xludf.DUMMYFUNCTION("""COMPUTED_VALUE"""),11.54)</f>
        <v>11.54</v>
      </c>
      <c r="F1100" s="1">
        <f>IFERROR(__xludf.DUMMYFUNCTION("""COMPUTED_VALUE"""),6.0)</f>
        <v>6</v>
      </c>
    </row>
    <row r="1101">
      <c r="A1101" s="3">
        <f>IFERROR(__xludf.DUMMYFUNCTION("""COMPUTED_VALUE"""),46023.0)</f>
        <v>46023</v>
      </c>
      <c r="B1101" s="1" t="str">
        <f>IFERROR(__xludf.DUMMYFUNCTION("""COMPUTED_VALUE"""),"SeaCost")</f>
        <v>SeaCost</v>
      </c>
      <c r="C1101" s="1" t="str">
        <f>IFERROR(__xludf.DUMMYFUNCTION("""COMPUTED_VALUE"""),"m&amp;m")</f>
        <v>m&amp;m</v>
      </c>
      <c r="D1101" s="1">
        <f>IFERROR(__xludf.DUMMYFUNCTION("""COMPUTED_VALUE"""),60.0)</f>
        <v>60</v>
      </c>
      <c r="E1101" s="1">
        <f>IFERROR(__xludf.DUMMYFUNCTION("""COMPUTED_VALUE"""),24.24)</f>
        <v>24.24</v>
      </c>
      <c r="F1101" s="1">
        <f>IFERROR(__xludf.DUMMYFUNCTION("""COMPUTED_VALUE"""),6.0)</f>
        <v>6</v>
      </c>
    </row>
    <row r="1102">
      <c r="A1102" s="3">
        <f>IFERROR(__xludf.DUMMYFUNCTION("""COMPUTED_VALUE"""),46023.0)</f>
        <v>46023</v>
      </c>
      <c r="B1102" s="1" t="str">
        <f>IFERROR(__xludf.DUMMYFUNCTION("""COMPUTED_VALUE"""),"SeaCost")</f>
        <v>SeaCost</v>
      </c>
      <c r="C1102" s="1" t="str">
        <f>IFERROR(__xludf.DUMMYFUNCTION("""COMPUTED_VALUE"""),"mr bite")</f>
        <v>mr bite</v>
      </c>
      <c r="D1102" s="1">
        <f>IFERROR(__xludf.DUMMYFUNCTION("""COMPUTED_VALUE"""),150.0)</f>
        <v>150</v>
      </c>
      <c r="E1102" s="1">
        <f>IFERROR(__xludf.DUMMYFUNCTION("""COMPUTED_VALUE"""),83.5)</f>
        <v>83.5</v>
      </c>
      <c r="F1102" s="1">
        <f>IFERROR(__xludf.DUMMYFUNCTION("""COMPUTED_VALUE"""),50.0)</f>
        <v>50</v>
      </c>
    </row>
    <row r="1103">
      <c r="A1103" s="3">
        <f>IFERROR(__xludf.DUMMYFUNCTION("""COMPUTED_VALUE"""),46023.0)</f>
        <v>46023</v>
      </c>
      <c r="B1103" s="1" t="str">
        <f>IFERROR(__xludf.DUMMYFUNCTION("""COMPUTED_VALUE"""),"SeaCost")</f>
        <v>SeaCost</v>
      </c>
      <c r="C1103" s="1" t="str">
        <f>IFERROR(__xludf.DUMMYFUNCTION("""COMPUTED_VALUE"""),"mr.bite strike")</f>
        <v>mr.bite strike</v>
      </c>
      <c r="D1103" s="1">
        <f>IFERROR(__xludf.DUMMYFUNCTION("""COMPUTED_VALUE"""),16.0)</f>
        <v>16</v>
      </c>
      <c r="E1103" s="1">
        <f>IFERROR(__xludf.DUMMYFUNCTION("""COMPUTED_VALUE"""),8.52)</f>
        <v>8.52</v>
      </c>
      <c r="F1103" s="1">
        <f>IFERROR(__xludf.DUMMYFUNCTION("""COMPUTED_VALUE"""),4.0)</f>
        <v>4</v>
      </c>
    </row>
    <row r="1104">
      <c r="A1104" s="3">
        <f>IFERROR(__xludf.DUMMYFUNCTION("""COMPUTED_VALUE"""),46023.0)</f>
        <v>46023</v>
      </c>
      <c r="B1104" s="1" t="str">
        <f>IFERROR(__xludf.DUMMYFUNCTION("""COMPUTED_VALUE"""),"SeaCost")</f>
        <v>SeaCost</v>
      </c>
      <c r="C1104" s="1" t="str">
        <f>IFERROR(__xludf.DUMMYFUNCTION("""COMPUTED_VALUE"""),"sunTop")</f>
        <v>sunTop</v>
      </c>
      <c r="D1104" s="1">
        <f>IFERROR(__xludf.DUMMYFUNCTION("""COMPUTED_VALUE"""),83.0)</f>
        <v>83</v>
      </c>
      <c r="E1104" s="1">
        <f>IFERROR(__xludf.DUMMYFUNCTION("""COMPUTED_VALUE"""),53.0)</f>
        <v>53</v>
      </c>
      <c r="F1104" s="1">
        <f>IFERROR(__xludf.DUMMYFUNCTION("""COMPUTED_VALUE"""),50.0)</f>
        <v>50</v>
      </c>
    </row>
    <row r="1105">
      <c r="A1105" s="3">
        <f>IFERROR(__xludf.DUMMYFUNCTION("""COMPUTED_VALUE"""),46023.0)</f>
        <v>46023</v>
      </c>
      <c r="B1105" s="1" t="str">
        <f>IFERROR(__xludf.DUMMYFUNCTION("""COMPUTED_VALUE"""),"SeaCost")</f>
        <v>SeaCost</v>
      </c>
      <c r="C1105" s="1" t="str">
        <f>IFERROR(__xludf.DUMMYFUNCTION("""COMPUTED_VALUE"""),"vita go")</f>
        <v>vita go</v>
      </c>
      <c r="D1105" s="1">
        <f>IFERROR(__xludf.DUMMYFUNCTION("""COMPUTED_VALUE"""),165.0)</f>
        <v>165</v>
      </c>
      <c r="E1105" s="1">
        <f>IFERROR(__xludf.DUMMYFUNCTION("""COMPUTED_VALUE"""),68.75)</f>
        <v>68.75</v>
      </c>
      <c r="F1105" s="1">
        <f>IFERROR(__xludf.DUMMYFUNCTION("""COMPUTED_VALUE"""),55.0)</f>
        <v>55</v>
      </c>
    </row>
    <row r="1106">
      <c r="A1106" s="3">
        <f>IFERROR(__xludf.DUMMYFUNCTION("""COMPUTED_VALUE"""),46023.0)</f>
        <v>46023</v>
      </c>
      <c r="B1106" s="1" t="str">
        <f>IFERROR(__xludf.DUMMYFUNCTION("""COMPUTED_VALUE"""),"SeaCost")</f>
        <v>SeaCost</v>
      </c>
      <c r="C1106" s="1" t="str">
        <f>IFERROR(__xludf.DUMMYFUNCTION("""COMPUTED_VALUE"""),"æœªè®¾ç½®")</f>
        <v>æœªè®¾ç½®</v>
      </c>
      <c r="D1106" s="1">
        <f>IFERROR(__xludf.DUMMYFUNCTION("""COMPUTED_VALUE"""),6.0)</f>
        <v>6</v>
      </c>
      <c r="E1106" s="1">
        <f>IFERROR(__xludf.DUMMYFUNCTION("""COMPUTED_VALUE"""),6.0)</f>
        <v>6</v>
      </c>
      <c r="F1106" s="1">
        <f>IFERROR(__xludf.DUMMYFUNCTION("""COMPUTED_VALUE"""),2.0)</f>
        <v>2</v>
      </c>
    </row>
    <row r="1107">
      <c r="A1107" s="3">
        <f>IFERROR(__xludf.DUMMYFUNCTION("""COMPUTED_VALUE"""),46054.0)</f>
        <v>46054</v>
      </c>
      <c r="B1107" s="1" t="str">
        <f>IFERROR(__xludf.DUMMYFUNCTION("""COMPUTED_VALUE"""),"Attahadi Universty")</f>
        <v>Attahadi Universty</v>
      </c>
      <c r="C1107" s="1" t="str">
        <f>IFERROR(__xludf.DUMMYFUNCTION("""COMPUTED_VALUE"""),"Activ chips")</f>
        <v>Activ chips</v>
      </c>
      <c r="D1107" s="1">
        <f>IFERROR(__xludf.DUMMYFUNCTION("""COMPUTED_VALUE"""),60.0)</f>
        <v>60</v>
      </c>
      <c r="E1107" s="1">
        <f>IFERROR(__xludf.DUMMYFUNCTION("""COMPUTED_VALUE"""),18.0)</f>
        <v>18</v>
      </c>
      <c r="F1107" s="1">
        <f>IFERROR(__xludf.DUMMYFUNCTION("""COMPUTED_VALUE"""),12.0)</f>
        <v>12</v>
      </c>
    </row>
    <row r="1108">
      <c r="A1108" s="3">
        <f>IFERROR(__xludf.DUMMYFUNCTION("""COMPUTED_VALUE"""),46054.0)</f>
        <v>46054</v>
      </c>
      <c r="B1108" s="1" t="str">
        <f>IFERROR(__xludf.DUMMYFUNCTION("""COMPUTED_VALUE"""),"Attahadi Universty")</f>
        <v>Attahadi Universty</v>
      </c>
      <c r="C1108" s="1" t="str">
        <f>IFERROR(__xludf.DUMMYFUNCTION("""COMPUTED_VALUE"""),"Almarai Banana")</f>
        <v>Almarai Banana</v>
      </c>
      <c r="D1108" s="1">
        <f>IFERROR(__xludf.DUMMYFUNCTION("""COMPUTED_VALUE"""),31.5)</f>
        <v>31.5</v>
      </c>
      <c r="E1108" s="1">
        <f>IFERROR(__xludf.DUMMYFUNCTION("""COMPUTED_VALUE"""),8.6)</f>
        <v>8.6</v>
      </c>
      <c r="F1108" s="1">
        <f>IFERROR(__xludf.DUMMYFUNCTION("""COMPUTED_VALUE"""),10.0)</f>
        <v>10</v>
      </c>
    </row>
    <row r="1109">
      <c r="A1109" s="3">
        <f>IFERROR(__xludf.DUMMYFUNCTION("""COMPUTED_VALUE"""),46054.0)</f>
        <v>46054</v>
      </c>
      <c r="B1109" s="1" t="str">
        <f>IFERROR(__xludf.DUMMYFUNCTION("""COMPUTED_VALUE"""),"Attahadi Universty")</f>
        <v>Attahadi Universty</v>
      </c>
      <c r="C1109" s="1" t="str">
        <f>IFERROR(__xludf.DUMMYFUNCTION("""COMPUTED_VALUE"""),"Almarai Chocolate")</f>
        <v>Almarai Chocolate</v>
      </c>
      <c r="D1109" s="1">
        <f>IFERROR(__xludf.DUMMYFUNCTION("""COMPUTED_VALUE"""),212.0)</f>
        <v>212</v>
      </c>
      <c r="E1109" s="1">
        <f>IFERROR(__xludf.DUMMYFUNCTION("""COMPUTED_VALUE"""),72.31)</f>
        <v>72.31</v>
      </c>
      <c r="F1109" s="1">
        <f>IFERROR(__xludf.DUMMYFUNCTION("""COMPUTED_VALUE"""),61.0)</f>
        <v>61</v>
      </c>
    </row>
    <row r="1110">
      <c r="A1110" s="3">
        <f>IFERROR(__xludf.DUMMYFUNCTION("""COMPUTED_VALUE"""),46054.0)</f>
        <v>46054</v>
      </c>
      <c r="B1110" s="1" t="str">
        <f>IFERROR(__xludf.DUMMYFUNCTION("""COMPUTED_VALUE"""),"Attahadi Universty")</f>
        <v>Attahadi Universty</v>
      </c>
      <c r="C1110" s="1" t="str">
        <f>IFERROR(__xludf.DUMMYFUNCTION("""COMPUTED_VALUE"""),"Almarai Strawberry")</f>
        <v>Almarai Strawberry</v>
      </c>
      <c r="D1110" s="1">
        <f>IFERROR(__xludf.DUMMYFUNCTION("""COMPUTED_VALUE"""),203.0)</f>
        <v>203</v>
      </c>
      <c r="E1110" s="1">
        <f>IFERROR(__xludf.DUMMYFUNCTION("""COMPUTED_VALUE"""),10.64)</f>
        <v>10.64</v>
      </c>
      <c r="F1110" s="1">
        <f>IFERROR(__xludf.DUMMYFUNCTION("""COMPUTED_VALUE"""),84.0)</f>
        <v>84</v>
      </c>
    </row>
    <row r="1111">
      <c r="A1111" s="3">
        <f>IFERROR(__xludf.DUMMYFUNCTION("""COMPUTED_VALUE"""),46054.0)</f>
        <v>46054</v>
      </c>
      <c r="B1111" s="1" t="str">
        <f>IFERROR(__xludf.DUMMYFUNCTION("""COMPUTED_VALUE"""),"Attahadi Universty")</f>
        <v>Attahadi Universty</v>
      </c>
      <c r="C1111" s="1" t="str">
        <f>IFERROR(__xludf.DUMMYFUNCTION("""COMPUTED_VALUE"""),"Barbican")</f>
        <v>Barbican</v>
      </c>
      <c r="D1111" s="1">
        <f>IFERROR(__xludf.DUMMYFUNCTION("""COMPUTED_VALUE"""),16.5)</f>
        <v>16.5</v>
      </c>
      <c r="E1111" s="1">
        <f>IFERROR(__xludf.DUMMYFUNCTION("""COMPUTED_VALUE"""),3.82)</f>
        <v>3.82</v>
      </c>
      <c r="F1111" s="1">
        <f>IFERROR(__xludf.DUMMYFUNCTION("""COMPUTED_VALUE"""),4.0)</f>
        <v>4</v>
      </c>
    </row>
    <row r="1112">
      <c r="A1112" s="3">
        <f>IFERROR(__xludf.DUMMYFUNCTION("""COMPUTED_VALUE"""),46054.0)</f>
        <v>46054</v>
      </c>
      <c r="B1112" s="1" t="str">
        <f>IFERROR(__xludf.DUMMYFUNCTION("""COMPUTED_VALUE"""),"Attahadi Universty")</f>
        <v>Attahadi Universty</v>
      </c>
      <c r="C1112" s="1" t="str">
        <f>IFERROR(__xludf.DUMMYFUNCTION("""COMPUTED_VALUE"""),"Buldak")</f>
        <v>Buldak</v>
      </c>
      <c r="D1112" s="1">
        <f>IFERROR(__xludf.DUMMYFUNCTION("""COMPUTED_VALUE"""),30.0)</f>
        <v>30</v>
      </c>
      <c r="E1112" s="1">
        <f>IFERROR(__xludf.DUMMYFUNCTION("""COMPUTED_VALUE"""),14.0)</f>
        <v>14</v>
      </c>
      <c r="F1112" s="1">
        <f>IFERROR(__xludf.DUMMYFUNCTION("""COMPUTED_VALUE"""),2.0)</f>
        <v>2</v>
      </c>
    </row>
    <row r="1113">
      <c r="A1113" s="3">
        <f>IFERROR(__xludf.DUMMYFUNCTION("""COMPUTED_VALUE"""),46054.0)</f>
        <v>46054</v>
      </c>
      <c r="B1113" s="1" t="str">
        <f>IFERROR(__xludf.DUMMYFUNCTION("""COMPUTED_VALUE"""),"Attahadi Universty")</f>
        <v>Attahadi Universty</v>
      </c>
      <c r="C1113" s="1" t="str">
        <f>IFERROR(__xludf.DUMMYFUNCTION("""COMPUTED_VALUE"""),"Chillax chips")</f>
        <v>Chillax chips</v>
      </c>
      <c r="D1113" s="1">
        <f>IFERROR(__xludf.DUMMYFUNCTION("""COMPUTED_VALUE"""),71.0)</f>
        <v>71</v>
      </c>
      <c r="E1113" s="1">
        <f>IFERROR(__xludf.DUMMYFUNCTION("""COMPUTED_VALUE"""),22.0)</f>
        <v>22</v>
      </c>
      <c r="F1113" s="1">
        <f>IFERROR(__xludf.DUMMYFUNCTION("""COMPUTED_VALUE"""),14.0)</f>
        <v>14</v>
      </c>
    </row>
    <row r="1114">
      <c r="A1114" s="3">
        <f>IFERROR(__xludf.DUMMYFUNCTION("""COMPUTED_VALUE"""),46054.0)</f>
        <v>46054</v>
      </c>
      <c r="B1114" s="1" t="str">
        <f>IFERROR(__xludf.DUMMYFUNCTION("""COMPUTED_VALUE"""),"Attahadi Universty")</f>
        <v>Attahadi Universty</v>
      </c>
      <c r="C1114" s="1" t="str">
        <f>IFERROR(__xludf.DUMMYFUNCTION("""COMPUTED_VALUE"""),"Corissant Karuzo")</f>
        <v>Corissant Karuzo</v>
      </c>
      <c r="D1114" s="1">
        <f>IFERROR(__xludf.DUMMYFUNCTION("""COMPUTED_VALUE"""),12.0)</f>
        <v>12</v>
      </c>
      <c r="E1114" s="1">
        <f>IFERROR(__xludf.DUMMYFUNCTION("""COMPUTED_VALUE"""),2.61)</f>
        <v>2.61</v>
      </c>
      <c r="F1114" s="1">
        <f>IFERROR(__xludf.DUMMYFUNCTION("""COMPUTED_VALUE"""),3.0)</f>
        <v>3</v>
      </c>
    </row>
    <row r="1115">
      <c r="A1115" s="3">
        <f>IFERROR(__xludf.DUMMYFUNCTION("""COMPUTED_VALUE"""),46054.0)</f>
        <v>46054</v>
      </c>
      <c r="B1115" s="1" t="str">
        <f>IFERROR(__xludf.DUMMYFUNCTION("""COMPUTED_VALUE"""),"Attahadi Universty")</f>
        <v>Attahadi Universty</v>
      </c>
      <c r="C1115" s="1" t="str">
        <f>IFERROR(__xludf.DUMMYFUNCTION("""COMPUTED_VALUE"""),"Doritos cool ranc")</f>
        <v>Doritos cool ranc</v>
      </c>
      <c r="D1115" s="1">
        <f>IFERROR(__xludf.DUMMYFUNCTION("""COMPUTED_VALUE"""),243.0)</f>
        <v>243</v>
      </c>
      <c r="E1115" s="1">
        <f>IFERROR(__xludf.DUMMYFUNCTION("""COMPUTED_VALUE"""),108.22)</f>
        <v>108.22</v>
      </c>
      <c r="F1115" s="1">
        <f>IFERROR(__xludf.DUMMYFUNCTION("""COMPUTED_VALUE"""),46.0)</f>
        <v>46</v>
      </c>
    </row>
    <row r="1116">
      <c r="A1116" s="3">
        <f>IFERROR(__xludf.DUMMYFUNCTION("""COMPUTED_VALUE"""),46054.0)</f>
        <v>46054</v>
      </c>
      <c r="B1116" s="1" t="str">
        <f>IFERROR(__xludf.DUMMYFUNCTION("""COMPUTED_VALUE"""),"Attahadi Universty")</f>
        <v>Attahadi Universty</v>
      </c>
      <c r="C1116" s="1" t="str">
        <f>IFERROR(__xludf.DUMMYFUNCTION("""COMPUTED_VALUE"""),"Doritos green hot")</f>
        <v>Doritos green hot</v>
      </c>
      <c r="D1116" s="1">
        <f>IFERROR(__xludf.DUMMYFUNCTION("""COMPUTED_VALUE"""),175.0)</f>
        <v>175</v>
      </c>
      <c r="E1116" s="1">
        <f>IFERROR(__xludf.DUMMYFUNCTION("""COMPUTED_VALUE"""),75.38)</f>
        <v>75.38</v>
      </c>
      <c r="F1116" s="1">
        <f>IFERROR(__xludf.DUMMYFUNCTION("""COMPUTED_VALUE"""),34.0)</f>
        <v>34</v>
      </c>
    </row>
    <row r="1117">
      <c r="A1117" s="3">
        <f>IFERROR(__xludf.DUMMYFUNCTION("""COMPUTED_VALUE"""),46054.0)</f>
        <v>46054</v>
      </c>
      <c r="B1117" s="1" t="str">
        <f>IFERROR(__xludf.DUMMYFUNCTION("""COMPUTED_VALUE"""),"Attahadi Universty")</f>
        <v>Attahadi Universty</v>
      </c>
      <c r="C1117" s="1" t="str">
        <f>IFERROR(__xludf.DUMMYFUNCTION("""COMPUTED_VALUE"""),"Doritos nacho")</f>
        <v>Doritos nacho</v>
      </c>
      <c r="D1117" s="1">
        <f>IFERROR(__xludf.DUMMYFUNCTION("""COMPUTED_VALUE"""),158.0)</f>
        <v>158</v>
      </c>
      <c r="E1117" s="1">
        <f>IFERROR(__xludf.DUMMYFUNCTION("""COMPUTED_VALUE"""),67.17)</f>
        <v>67.17</v>
      </c>
      <c r="F1117" s="1">
        <f>IFERROR(__xludf.DUMMYFUNCTION("""COMPUTED_VALUE"""),31.0)</f>
        <v>31</v>
      </c>
    </row>
    <row r="1118">
      <c r="A1118" s="3">
        <f>IFERROR(__xludf.DUMMYFUNCTION("""COMPUTED_VALUE"""),46054.0)</f>
        <v>46054</v>
      </c>
      <c r="B1118" s="1" t="str">
        <f>IFERROR(__xludf.DUMMYFUNCTION("""COMPUTED_VALUE"""),"Attahadi Universty")</f>
        <v>Attahadi Universty</v>
      </c>
      <c r="C1118" s="1" t="str">
        <f>IFERROR(__xludf.DUMMYFUNCTION("""COMPUTED_VALUE"""),"Doritos real")</f>
        <v>Doritos real</v>
      </c>
      <c r="D1118" s="1">
        <f>IFERROR(__xludf.DUMMYFUNCTION("""COMPUTED_VALUE"""),50.0)</f>
        <v>50</v>
      </c>
      <c r="E1118" s="1">
        <f>IFERROR(__xludf.DUMMYFUNCTION("""COMPUTED_VALUE"""),-10.0)</f>
        <v>-10</v>
      </c>
      <c r="F1118" s="1">
        <f>IFERROR(__xludf.DUMMYFUNCTION("""COMPUTED_VALUE"""),10.0)</f>
        <v>10</v>
      </c>
    </row>
    <row r="1119">
      <c r="A1119" s="3">
        <f>IFERROR(__xludf.DUMMYFUNCTION("""COMPUTED_VALUE"""),46054.0)</f>
        <v>46054</v>
      </c>
      <c r="B1119" s="1" t="str">
        <f>IFERROR(__xludf.DUMMYFUNCTION("""COMPUTED_VALUE"""),"Attahadi Universty")</f>
        <v>Attahadi Universty</v>
      </c>
      <c r="C1119" s="1" t="str">
        <f>IFERROR(__xludf.DUMMYFUNCTION("""COMPUTED_VALUE"""),"EXO")</f>
        <v>EXO</v>
      </c>
      <c r="D1119" s="1">
        <f>IFERROR(__xludf.DUMMYFUNCTION("""COMPUTED_VALUE"""),10.0)</f>
        <v>10</v>
      </c>
      <c r="E1119" s="1">
        <f>IFERROR(__xludf.DUMMYFUNCTION("""COMPUTED_VALUE"""),2.76)</f>
        <v>2.76</v>
      </c>
      <c r="F1119" s="1">
        <f>IFERROR(__xludf.DUMMYFUNCTION("""COMPUTED_VALUE"""),2.0)</f>
        <v>2</v>
      </c>
    </row>
    <row r="1120">
      <c r="A1120" s="3">
        <f>IFERROR(__xludf.DUMMYFUNCTION("""COMPUTED_VALUE"""),46054.0)</f>
        <v>46054</v>
      </c>
      <c r="B1120" s="1" t="str">
        <f>IFERROR(__xludf.DUMMYFUNCTION("""COMPUTED_VALUE"""),"Attahadi Universty")</f>
        <v>Attahadi Universty</v>
      </c>
      <c r="C1120" s="1" t="str">
        <f>IFERROR(__xludf.DUMMYFUNCTION("""COMPUTED_VALUE"""),"Freez")</f>
        <v>Freez</v>
      </c>
      <c r="D1120" s="1">
        <f>IFERROR(__xludf.DUMMYFUNCTION("""COMPUTED_VALUE"""),16.5)</f>
        <v>16.5</v>
      </c>
      <c r="E1120" s="1">
        <f>IFERROR(__xludf.DUMMYFUNCTION("""COMPUTED_VALUE"""),6.27)</f>
        <v>6.27</v>
      </c>
      <c r="F1120" s="1">
        <f>IFERROR(__xludf.DUMMYFUNCTION("""COMPUTED_VALUE"""),3.0)</f>
        <v>3</v>
      </c>
    </row>
    <row r="1121">
      <c r="A1121" s="3">
        <f>IFERROR(__xludf.DUMMYFUNCTION("""COMPUTED_VALUE"""),46054.0)</f>
        <v>46054</v>
      </c>
      <c r="B1121" s="1" t="str">
        <f>IFERROR(__xludf.DUMMYFUNCTION("""COMPUTED_VALUE"""),"Attahadi Universty")</f>
        <v>Attahadi Universty</v>
      </c>
      <c r="C1121" s="1" t="str">
        <f>IFERROR(__xludf.DUMMYFUNCTION("""COMPUTED_VALUE"""),"Haribo")</f>
        <v>Haribo</v>
      </c>
      <c r="D1121" s="1">
        <f>IFERROR(__xludf.DUMMYFUNCTION("""COMPUTED_VALUE"""),54.0)</f>
        <v>54</v>
      </c>
      <c r="E1121" s="1">
        <f>IFERROR(__xludf.DUMMYFUNCTION("""COMPUTED_VALUE"""),17.28)</f>
        <v>17.28</v>
      </c>
      <c r="F1121" s="1">
        <f>IFERROR(__xludf.DUMMYFUNCTION("""COMPUTED_VALUE"""),18.0)</f>
        <v>18</v>
      </c>
    </row>
    <row r="1122">
      <c r="A1122" s="3">
        <f>IFERROR(__xludf.DUMMYFUNCTION("""COMPUTED_VALUE"""),46054.0)</f>
        <v>46054</v>
      </c>
      <c r="B1122" s="1" t="str">
        <f>IFERROR(__xludf.DUMMYFUNCTION("""COMPUTED_VALUE"""),"Attahadi Universty")</f>
        <v>Attahadi Universty</v>
      </c>
      <c r="C1122" s="1" t="str">
        <f>IFERROR(__xludf.DUMMYFUNCTION("""COMPUTED_VALUE"""),"Haribo bears")</f>
        <v>Haribo bears</v>
      </c>
      <c r="D1122" s="1">
        <f>IFERROR(__xludf.DUMMYFUNCTION("""COMPUTED_VALUE"""),81.0)</f>
        <v>81</v>
      </c>
      <c r="E1122" s="1">
        <f>IFERROR(__xludf.DUMMYFUNCTION("""COMPUTED_VALUE"""),26.2)</f>
        <v>26.2</v>
      </c>
      <c r="F1122" s="1">
        <f>IFERROR(__xludf.DUMMYFUNCTION("""COMPUTED_VALUE"""),40.0)</f>
        <v>40</v>
      </c>
    </row>
    <row r="1123">
      <c r="A1123" s="3">
        <f>IFERROR(__xludf.DUMMYFUNCTION("""COMPUTED_VALUE"""),46054.0)</f>
        <v>46054</v>
      </c>
      <c r="B1123" s="1" t="str">
        <f>IFERROR(__xludf.DUMMYFUNCTION("""COMPUTED_VALUE"""),"Attahadi Universty")</f>
        <v>Attahadi Universty</v>
      </c>
      <c r="C1123" s="1" t="str">
        <f>IFERROR(__xludf.DUMMYFUNCTION("""COMPUTED_VALUE"""),"Kinder Bueno")</f>
        <v>Kinder Bueno</v>
      </c>
      <c r="D1123" s="1">
        <f>IFERROR(__xludf.DUMMYFUNCTION("""COMPUTED_VALUE"""),67.0)</f>
        <v>67</v>
      </c>
      <c r="E1123" s="1">
        <f>IFERROR(__xludf.DUMMYFUNCTION("""COMPUTED_VALUE"""),-38.0)</f>
        <v>-38</v>
      </c>
      <c r="F1123" s="1">
        <f>IFERROR(__xludf.DUMMYFUNCTION("""COMPUTED_VALUE"""),15.0)</f>
        <v>15</v>
      </c>
    </row>
    <row r="1124">
      <c r="A1124" s="3">
        <f>IFERROR(__xludf.DUMMYFUNCTION("""COMPUTED_VALUE"""),46054.0)</f>
        <v>46054</v>
      </c>
      <c r="B1124" s="1" t="str">
        <f>IFERROR(__xludf.DUMMYFUNCTION("""COMPUTED_VALUE"""),"Attahadi Universty")</f>
        <v>Attahadi Universty</v>
      </c>
      <c r="C1124" s="1" t="str">
        <f>IFERROR(__xludf.DUMMYFUNCTION("""COMPUTED_VALUE"""),"Kitkat 2 fingers")</f>
        <v>Kitkat 2 fingers</v>
      </c>
      <c r="D1124" s="1">
        <f>IFERROR(__xludf.DUMMYFUNCTION("""COMPUTED_VALUE"""),27.0)</f>
        <v>27</v>
      </c>
      <c r="E1124" s="1">
        <f>IFERROR(__xludf.DUMMYFUNCTION("""COMPUTED_VALUE"""),9.5)</f>
        <v>9.5</v>
      </c>
      <c r="F1124" s="1">
        <f>IFERROR(__xludf.DUMMYFUNCTION("""COMPUTED_VALUE"""),10.0)</f>
        <v>10</v>
      </c>
    </row>
    <row r="1125">
      <c r="A1125" s="3">
        <f>IFERROR(__xludf.DUMMYFUNCTION("""COMPUTED_VALUE"""),46054.0)</f>
        <v>46054</v>
      </c>
      <c r="B1125" s="1" t="str">
        <f>IFERROR(__xludf.DUMMYFUNCTION("""COMPUTED_VALUE"""),"Attahadi Universty")</f>
        <v>Attahadi Universty</v>
      </c>
      <c r="C1125" s="1" t="str">
        <f>IFERROR(__xludf.DUMMYFUNCTION("""COMPUTED_VALUE"""),"Kunuz Juice")</f>
        <v>Kunuz Juice</v>
      </c>
      <c r="D1125" s="1">
        <f>IFERROR(__xludf.DUMMYFUNCTION("""COMPUTED_VALUE"""),4.0)</f>
        <v>4</v>
      </c>
      <c r="E1125" s="1">
        <f>IFERROR(__xludf.DUMMYFUNCTION("""COMPUTED_VALUE"""),2.4)</f>
        <v>2.4</v>
      </c>
      <c r="F1125" s="1">
        <f>IFERROR(__xludf.DUMMYFUNCTION("""COMPUTED_VALUE"""),1.0)</f>
        <v>1</v>
      </c>
    </row>
    <row r="1126">
      <c r="A1126" s="3">
        <f>IFERROR(__xludf.DUMMYFUNCTION("""COMPUTED_VALUE"""),46054.0)</f>
        <v>46054</v>
      </c>
      <c r="B1126" s="1" t="str">
        <f>IFERROR(__xludf.DUMMYFUNCTION("""COMPUTED_VALUE"""),"Attahadi Universty")</f>
        <v>Attahadi Universty</v>
      </c>
      <c r="C1126" s="1" t="str">
        <f>IFERROR(__xludf.DUMMYFUNCTION("""COMPUTED_VALUE"""),"L suntop")</f>
        <v>L suntop</v>
      </c>
      <c r="D1126" s="1">
        <f>IFERROR(__xludf.DUMMYFUNCTION("""COMPUTED_VALUE"""),16.0)</f>
        <v>16</v>
      </c>
      <c r="E1126" s="1">
        <f>IFERROR(__xludf.DUMMYFUNCTION("""COMPUTED_VALUE"""),8.4)</f>
        <v>8.4</v>
      </c>
      <c r="F1126" s="1">
        <f>IFERROR(__xludf.DUMMYFUNCTION("""COMPUTED_VALUE"""),8.0)</f>
        <v>8</v>
      </c>
    </row>
    <row r="1127">
      <c r="A1127" s="3">
        <f>IFERROR(__xludf.DUMMYFUNCTION("""COMPUTED_VALUE"""),46054.0)</f>
        <v>46054</v>
      </c>
      <c r="B1127" s="1" t="str">
        <f>IFERROR(__xludf.DUMMYFUNCTION("""COMPUTED_VALUE"""),"Attahadi Universty")</f>
        <v>Attahadi Universty</v>
      </c>
      <c r="C1127" s="1" t="str">
        <f>IFERROR(__xludf.DUMMYFUNCTION("""COMPUTED_VALUE"""),"Lavazza")</f>
        <v>Lavazza</v>
      </c>
      <c r="D1127" s="1">
        <f>IFERROR(__xludf.DUMMYFUNCTION("""COMPUTED_VALUE"""),18.0)</f>
        <v>18</v>
      </c>
      <c r="E1127" s="1">
        <f>IFERROR(__xludf.DUMMYFUNCTION("""COMPUTED_VALUE"""),-4.5)</f>
        <v>-4.5</v>
      </c>
      <c r="F1127" s="1">
        <f>IFERROR(__xludf.DUMMYFUNCTION("""COMPUTED_VALUE"""),5.0)</f>
        <v>5</v>
      </c>
    </row>
    <row r="1128">
      <c r="A1128" s="3">
        <f>IFERROR(__xludf.DUMMYFUNCTION("""COMPUTED_VALUE"""),46054.0)</f>
        <v>46054</v>
      </c>
      <c r="B1128" s="1" t="str">
        <f>IFERROR(__xludf.DUMMYFUNCTION("""COMPUTED_VALUE"""),"Attahadi Universty")</f>
        <v>Attahadi Universty</v>
      </c>
      <c r="C1128" s="1" t="str">
        <f>IFERROR(__xludf.DUMMYFUNCTION("""COMPUTED_VALUE"""),"Laviva")</f>
        <v>Laviva</v>
      </c>
      <c r="D1128" s="1">
        <f>IFERROR(__xludf.DUMMYFUNCTION("""COMPUTED_VALUE"""),66.0)</f>
        <v>66</v>
      </c>
      <c r="E1128" s="1">
        <f>IFERROR(__xludf.DUMMYFUNCTION("""COMPUTED_VALUE"""),14.25)</f>
        <v>14.25</v>
      </c>
      <c r="F1128" s="1">
        <f>IFERROR(__xludf.DUMMYFUNCTION("""COMPUTED_VALUE"""),23.0)</f>
        <v>23</v>
      </c>
    </row>
    <row r="1129">
      <c r="A1129" s="3">
        <f>IFERROR(__xludf.DUMMYFUNCTION("""COMPUTED_VALUE"""),46054.0)</f>
        <v>46054</v>
      </c>
      <c r="B1129" s="1" t="str">
        <f>IFERROR(__xludf.DUMMYFUNCTION("""COMPUTED_VALUE"""),"Attahadi Universty")</f>
        <v>Attahadi Universty</v>
      </c>
      <c r="C1129" s="1" t="str">
        <f>IFERROR(__xludf.DUMMYFUNCTION("""COMPUTED_VALUE"""),"Lexus")</f>
        <v>Lexus</v>
      </c>
      <c r="D1129" s="1">
        <f>IFERROR(__xludf.DUMMYFUNCTION("""COMPUTED_VALUE"""),12.0)</f>
        <v>12</v>
      </c>
      <c r="E1129" s="1">
        <f>IFERROR(__xludf.DUMMYFUNCTION("""COMPUTED_VALUE"""),4.4)</f>
        <v>4.4</v>
      </c>
      <c r="F1129" s="1">
        <f>IFERROR(__xludf.DUMMYFUNCTION("""COMPUTED_VALUE"""),2.0)</f>
        <v>2</v>
      </c>
    </row>
    <row r="1130">
      <c r="A1130" s="3">
        <f>IFERROR(__xludf.DUMMYFUNCTION("""COMPUTED_VALUE"""),46054.0)</f>
        <v>46054</v>
      </c>
      <c r="B1130" s="1" t="str">
        <f>IFERROR(__xludf.DUMMYFUNCTION("""COMPUTED_VALUE"""),"Attahadi Universty")</f>
        <v>Attahadi Universty</v>
      </c>
      <c r="C1130" s="1" t="str">
        <f>IFERROR(__xludf.DUMMYFUNCTION("""COMPUTED_VALUE"""),"Lovita cookies")</f>
        <v>Lovita cookies</v>
      </c>
      <c r="D1130" s="1">
        <f>IFERROR(__xludf.DUMMYFUNCTION("""COMPUTED_VALUE"""),69.0)</f>
        <v>69</v>
      </c>
      <c r="E1130" s="1">
        <f>IFERROR(__xludf.DUMMYFUNCTION("""COMPUTED_VALUE"""),22.38)</f>
        <v>22.38</v>
      </c>
      <c r="F1130" s="1">
        <f>IFERROR(__xludf.DUMMYFUNCTION("""COMPUTED_VALUE"""),9.0)</f>
        <v>9</v>
      </c>
    </row>
    <row r="1131">
      <c r="A1131" s="3">
        <f>IFERROR(__xludf.DUMMYFUNCTION("""COMPUTED_VALUE"""),46054.0)</f>
        <v>46054</v>
      </c>
      <c r="B1131" s="1" t="str">
        <f>IFERROR(__xludf.DUMMYFUNCTION("""COMPUTED_VALUE"""),"Attahadi Universty")</f>
        <v>Attahadi Universty</v>
      </c>
      <c r="C1131" s="1" t="str">
        <f>IFERROR(__xludf.DUMMYFUNCTION("""COMPUTED_VALUE"""),"MR Crunch")</f>
        <v>MR Crunch</v>
      </c>
      <c r="D1131" s="1">
        <f>IFERROR(__xludf.DUMMYFUNCTION("""COMPUTED_VALUE"""),710.0)</f>
        <v>710</v>
      </c>
      <c r="E1131" s="1">
        <f>IFERROR(__xludf.DUMMYFUNCTION("""COMPUTED_VALUE"""),275.0)</f>
        <v>275</v>
      </c>
      <c r="F1131" s="1">
        <f>IFERROR(__xludf.DUMMYFUNCTION("""COMPUTED_VALUE"""),145.0)</f>
        <v>145</v>
      </c>
    </row>
    <row r="1132">
      <c r="A1132" s="3">
        <f>IFERROR(__xludf.DUMMYFUNCTION("""COMPUTED_VALUE"""),46054.0)</f>
        <v>46054</v>
      </c>
      <c r="B1132" s="1" t="str">
        <f>IFERROR(__xludf.DUMMYFUNCTION("""COMPUTED_VALUE"""),"Attahadi Universty")</f>
        <v>Attahadi Universty</v>
      </c>
      <c r="C1132" s="1" t="str">
        <f>IFERROR(__xludf.DUMMYFUNCTION("""COMPUTED_VALUE"""),"Maltesers")</f>
        <v>Maltesers</v>
      </c>
      <c r="D1132" s="1">
        <f>IFERROR(__xludf.DUMMYFUNCTION("""COMPUTED_VALUE"""),104.0)</f>
        <v>104</v>
      </c>
      <c r="E1132" s="1">
        <f>IFERROR(__xludf.DUMMYFUNCTION("""COMPUTED_VALUE"""),-1.0)</f>
        <v>-1</v>
      </c>
      <c r="F1132" s="1">
        <f>IFERROR(__xludf.DUMMYFUNCTION("""COMPUTED_VALUE"""),14.0)</f>
        <v>14</v>
      </c>
    </row>
    <row r="1133">
      <c r="A1133" s="3">
        <f>IFERROR(__xludf.DUMMYFUNCTION("""COMPUTED_VALUE"""),46054.0)</f>
        <v>46054</v>
      </c>
      <c r="B1133" s="1" t="str">
        <f>IFERROR(__xludf.DUMMYFUNCTION("""COMPUTED_VALUE"""),"Attahadi Universty")</f>
        <v>Attahadi Universty</v>
      </c>
      <c r="C1133" s="1" t="str">
        <f>IFERROR(__xludf.DUMMYFUNCTION("""COMPUTED_VALUE"""),"Mirinda")</f>
        <v>Mirinda</v>
      </c>
      <c r="D1133" s="1">
        <f>IFERROR(__xludf.DUMMYFUNCTION("""COMPUTED_VALUE"""),33.0)</f>
        <v>33</v>
      </c>
      <c r="E1133" s="1">
        <f>IFERROR(__xludf.DUMMYFUNCTION("""COMPUTED_VALUE"""),3.75)</f>
        <v>3.75</v>
      </c>
      <c r="F1133" s="1">
        <f>IFERROR(__xludf.DUMMYFUNCTION("""COMPUTED_VALUE"""),13.0)</f>
        <v>13</v>
      </c>
    </row>
    <row r="1134">
      <c r="A1134" s="3">
        <f>IFERROR(__xludf.DUMMYFUNCTION("""COMPUTED_VALUE"""),46054.0)</f>
        <v>46054</v>
      </c>
      <c r="B1134" s="1" t="str">
        <f>IFERROR(__xludf.DUMMYFUNCTION("""COMPUTED_VALUE"""),"Attahadi Universty")</f>
        <v>Attahadi Universty</v>
      </c>
      <c r="C1134" s="1" t="str">
        <f>IFERROR(__xludf.DUMMYFUNCTION("""COMPUTED_VALUE"""),"Mrbeast")</f>
        <v>Mrbeast</v>
      </c>
      <c r="D1134" s="1">
        <f>IFERROR(__xludf.DUMMYFUNCTION("""COMPUTED_VALUE"""),122.0)</f>
        <v>122</v>
      </c>
      <c r="E1134" s="1">
        <f>IFERROR(__xludf.DUMMYFUNCTION("""COMPUTED_VALUE"""),77.0)</f>
        <v>77</v>
      </c>
      <c r="F1134" s="1">
        <f>IFERROR(__xludf.DUMMYFUNCTION("""COMPUTED_VALUE"""),15.0)</f>
        <v>15</v>
      </c>
    </row>
    <row r="1135">
      <c r="A1135" s="3">
        <f>IFERROR(__xludf.DUMMYFUNCTION("""COMPUTED_VALUE"""),46054.0)</f>
        <v>46054</v>
      </c>
      <c r="B1135" s="1" t="str">
        <f>IFERROR(__xludf.DUMMYFUNCTION("""COMPUTED_VALUE"""),"Attahadi Universty")</f>
        <v>Attahadi Universty</v>
      </c>
      <c r="C1135" s="1" t="str">
        <f>IFERROR(__xludf.DUMMYFUNCTION("""COMPUTED_VALUE"""),"Pepsi")</f>
        <v>Pepsi</v>
      </c>
      <c r="D1135" s="1">
        <f>IFERROR(__xludf.DUMMYFUNCTION("""COMPUTED_VALUE"""),36.0)</f>
        <v>36</v>
      </c>
      <c r="E1135" s="1">
        <f>IFERROR(__xludf.DUMMYFUNCTION("""COMPUTED_VALUE"""),9.0)</f>
        <v>9</v>
      </c>
      <c r="F1135" s="1">
        <f>IFERROR(__xludf.DUMMYFUNCTION("""COMPUTED_VALUE"""),12.0)</f>
        <v>12</v>
      </c>
    </row>
    <row r="1136">
      <c r="A1136" s="3">
        <f>IFERROR(__xludf.DUMMYFUNCTION("""COMPUTED_VALUE"""),46054.0)</f>
        <v>46054</v>
      </c>
      <c r="B1136" s="1" t="str">
        <f>IFERROR(__xludf.DUMMYFUNCTION("""COMPUTED_VALUE"""),"Attahadi Universty")</f>
        <v>Attahadi Universty</v>
      </c>
      <c r="C1136" s="1" t="str">
        <f>IFERROR(__xludf.DUMMYFUNCTION("""COMPUTED_VALUE"""),"Schweppes bullet")</f>
        <v>Schweppes bullet</v>
      </c>
      <c r="D1136" s="1">
        <f>IFERROR(__xludf.DUMMYFUNCTION("""COMPUTED_VALUE"""),93.0)</f>
        <v>93</v>
      </c>
      <c r="E1136" s="1">
        <f>IFERROR(__xludf.DUMMYFUNCTION("""COMPUTED_VALUE"""),38.75)</f>
        <v>38.75</v>
      </c>
      <c r="F1136" s="1">
        <f>IFERROR(__xludf.DUMMYFUNCTION("""COMPUTED_VALUE"""),31.0)</f>
        <v>31</v>
      </c>
    </row>
    <row r="1137">
      <c r="A1137" s="3">
        <f>IFERROR(__xludf.DUMMYFUNCTION("""COMPUTED_VALUE"""),46054.0)</f>
        <v>46054</v>
      </c>
      <c r="B1137" s="1" t="str">
        <f>IFERROR(__xludf.DUMMYFUNCTION("""COMPUTED_VALUE"""),"Attahadi Universty")</f>
        <v>Attahadi Universty</v>
      </c>
      <c r="C1137" s="1" t="str">
        <f>IFERROR(__xludf.DUMMYFUNCTION("""COMPUTED_VALUE"""),"Shani")</f>
        <v>Shani</v>
      </c>
      <c r="D1137" s="1">
        <f>IFERROR(__xludf.DUMMYFUNCTION("""COMPUTED_VALUE"""),34.0)</f>
        <v>34</v>
      </c>
      <c r="E1137" s="1">
        <f>IFERROR(__xludf.DUMMYFUNCTION("""COMPUTED_VALUE"""),11.5)</f>
        <v>11.5</v>
      </c>
      <c r="F1137" s="1">
        <f>IFERROR(__xludf.DUMMYFUNCTION("""COMPUTED_VALUE"""),10.0)</f>
        <v>10</v>
      </c>
    </row>
    <row r="1138">
      <c r="A1138" s="3">
        <f>IFERROR(__xludf.DUMMYFUNCTION("""COMPUTED_VALUE"""),46054.0)</f>
        <v>46054</v>
      </c>
      <c r="B1138" s="1" t="str">
        <f>IFERROR(__xludf.DUMMYFUNCTION("""COMPUTED_VALUE"""),"Attahadi Universty")</f>
        <v>Attahadi Universty</v>
      </c>
      <c r="C1138" s="1" t="str">
        <f>IFERROR(__xludf.DUMMYFUNCTION("""COMPUTED_VALUE"""),"Skittles")</f>
        <v>Skittles</v>
      </c>
      <c r="D1138" s="1">
        <f>IFERROR(__xludf.DUMMYFUNCTION("""COMPUTED_VALUE"""),41.0)</f>
        <v>41</v>
      </c>
      <c r="E1138" s="1">
        <f>IFERROR(__xludf.DUMMYFUNCTION("""COMPUTED_VALUE"""),11.85)</f>
        <v>11.85</v>
      </c>
      <c r="F1138" s="1">
        <f>IFERROR(__xludf.DUMMYFUNCTION("""COMPUTED_VALUE"""),5.0)</f>
        <v>5</v>
      </c>
    </row>
    <row r="1139">
      <c r="A1139" s="3">
        <f>IFERROR(__xludf.DUMMYFUNCTION("""COMPUTED_VALUE"""),46054.0)</f>
        <v>46054</v>
      </c>
      <c r="B1139" s="1" t="str">
        <f>IFERROR(__xludf.DUMMYFUNCTION("""COMPUTED_VALUE"""),"Attahadi Universty")</f>
        <v>Attahadi Universty</v>
      </c>
      <c r="C1139" s="1" t="str">
        <f>IFERROR(__xludf.DUMMYFUNCTION("""COMPUTED_VALUE"""),"Takis")</f>
        <v>Takis</v>
      </c>
      <c r="D1139" s="1">
        <f>IFERROR(__xludf.DUMMYFUNCTION("""COMPUTED_VALUE"""),105.0)</f>
        <v>105</v>
      </c>
      <c r="E1139" s="1">
        <f>IFERROR(__xludf.DUMMYFUNCTION("""COMPUTED_VALUE"""),60.0)</f>
        <v>60</v>
      </c>
      <c r="F1139" s="1">
        <f>IFERROR(__xludf.DUMMYFUNCTION("""COMPUTED_VALUE"""),3.0)</f>
        <v>3</v>
      </c>
    </row>
    <row r="1140">
      <c r="A1140" s="3">
        <f>IFERROR(__xludf.DUMMYFUNCTION("""COMPUTED_VALUE"""),46054.0)</f>
        <v>46054</v>
      </c>
      <c r="B1140" s="1" t="str">
        <f>IFERROR(__xludf.DUMMYFUNCTION("""COMPUTED_VALUE"""),"Attahadi Universty")</f>
        <v>Attahadi Universty</v>
      </c>
      <c r="C1140" s="1" t="str">
        <f>IFERROR(__xludf.DUMMYFUNCTION("""COMPUTED_VALUE"""),"Tiger *12 kebab")</f>
        <v>Tiger *12 kebab</v>
      </c>
      <c r="D1140" s="1">
        <f>IFERROR(__xludf.DUMMYFUNCTION("""COMPUTED_VALUE"""),16.5)</f>
        <v>16.5</v>
      </c>
      <c r="E1140" s="1">
        <f>IFERROR(__xludf.DUMMYFUNCTION("""COMPUTED_VALUE"""),6.0)</f>
        <v>6</v>
      </c>
      <c r="F1140" s="1">
        <f>IFERROR(__xludf.DUMMYFUNCTION("""COMPUTED_VALUE"""),3.0)</f>
        <v>3</v>
      </c>
    </row>
    <row r="1141">
      <c r="A1141" s="3">
        <f>IFERROR(__xludf.DUMMYFUNCTION("""COMPUTED_VALUE"""),46054.0)</f>
        <v>46054</v>
      </c>
      <c r="B1141" s="1" t="str">
        <f>IFERROR(__xludf.DUMMYFUNCTION("""COMPUTED_VALUE"""),"Attahadi Universty")</f>
        <v>Attahadi Universty</v>
      </c>
      <c r="C1141" s="1" t="str">
        <f>IFERROR(__xludf.DUMMYFUNCTION("""COMPUTED_VALUE"""),"Tiger excellence")</f>
        <v>Tiger excellence</v>
      </c>
      <c r="D1141" s="1">
        <f>IFERROR(__xludf.DUMMYFUNCTION("""COMPUTED_VALUE"""),65.0)</f>
        <v>65</v>
      </c>
      <c r="E1141" s="1">
        <f>IFERROR(__xludf.DUMMYFUNCTION("""COMPUTED_VALUE"""),35.75)</f>
        <v>35.75</v>
      </c>
      <c r="F1141" s="1">
        <f>IFERROR(__xludf.DUMMYFUNCTION("""COMPUTED_VALUE"""),13.0)</f>
        <v>13</v>
      </c>
    </row>
    <row r="1142">
      <c r="A1142" s="3">
        <f>IFERROR(__xludf.DUMMYFUNCTION("""COMPUTED_VALUE"""),46054.0)</f>
        <v>46054</v>
      </c>
      <c r="B1142" s="1" t="str">
        <f>IFERROR(__xludf.DUMMYFUNCTION("""COMPUTED_VALUE"""),"Attahadi Universty")</f>
        <v>Attahadi Universty</v>
      </c>
      <c r="C1142" s="1" t="str">
        <f>IFERROR(__xludf.DUMMYFUNCTION("""COMPUTED_VALUE"""),"Toblerone")</f>
        <v>Toblerone</v>
      </c>
      <c r="D1142" s="1">
        <f>IFERROR(__xludf.DUMMYFUNCTION("""COMPUTED_VALUE"""),94.0)</f>
        <v>94</v>
      </c>
      <c r="E1142" s="1">
        <f>IFERROR(__xludf.DUMMYFUNCTION("""COMPUTED_VALUE"""),26.94)</f>
        <v>26.94</v>
      </c>
      <c r="F1142" s="1">
        <f>IFERROR(__xludf.DUMMYFUNCTION("""COMPUTED_VALUE"""),14.0)</f>
        <v>14</v>
      </c>
    </row>
    <row r="1143">
      <c r="A1143" s="3">
        <f>IFERROR(__xludf.DUMMYFUNCTION("""COMPUTED_VALUE"""),46054.0)</f>
        <v>46054</v>
      </c>
      <c r="B1143" s="1" t="str">
        <f>IFERROR(__xludf.DUMMYFUNCTION("""COMPUTED_VALUE"""),"Attahadi Universty")</f>
        <v>Attahadi Universty</v>
      </c>
      <c r="C1143" s="1" t="str">
        <f>IFERROR(__xludf.DUMMYFUNCTION("""COMPUTED_VALUE"""),"Turbo strips")</f>
        <v>Turbo strips</v>
      </c>
      <c r="D1143" s="1">
        <f>IFERROR(__xludf.DUMMYFUNCTION("""COMPUTED_VALUE"""),280.0)</f>
        <v>280</v>
      </c>
      <c r="E1143" s="1">
        <f>IFERROR(__xludf.DUMMYFUNCTION("""COMPUTED_VALUE"""),-34.16)</f>
        <v>-34.16</v>
      </c>
      <c r="F1143" s="1">
        <f>IFERROR(__xludf.DUMMYFUNCTION("""COMPUTED_VALUE"""),77.0)</f>
        <v>77</v>
      </c>
    </row>
    <row r="1144">
      <c r="A1144" s="3">
        <f>IFERROR(__xludf.DUMMYFUNCTION("""COMPUTED_VALUE"""),46054.0)</f>
        <v>46054</v>
      </c>
      <c r="B1144" s="1" t="str">
        <f>IFERROR(__xludf.DUMMYFUNCTION("""COMPUTED_VALUE"""),"Attahadi Universty")</f>
        <v>Attahadi Universty</v>
      </c>
      <c r="C1144" s="1" t="str">
        <f>IFERROR(__xludf.DUMMYFUNCTION("""COMPUTED_VALUE"""),"Twix single")</f>
        <v>Twix single</v>
      </c>
      <c r="D1144" s="1">
        <f>IFERROR(__xludf.DUMMYFUNCTION("""COMPUTED_VALUE"""),36.0)</f>
        <v>36</v>
      </c>
      <c r="E1144" s="1">
        <f>IFERROR(__xludf.DUMMYFUNCTION("""COMPUTED_VALUE"""),14.85)</f>
        <v>14.85</v>
      </c>
      <c r="F1144" s="1">
        <f>IFERROR(__xludf.DUMMYFUNCTION("""COMPUTED_VALUE"""),9.0)</f>
        <v>9</v>
      </c>
    </row>
    <row r="1145">
      <c r="A1145" s="3">
        <f>IFERROR(__xludf.DUMMYFUNCTION("""COMPUTED_VALUE"""),46054.0)</f>
        <v>46054</v>
      </c>
      <c r="B1145" s="1" t="str">
        <f>IFERROR(__xludf.DUMMYFUNCTION("""COMPUTED_VALUE"""),"Attahadi Universty")</f>
        <v>Attahadi Universty</v>
      </c>
      <c r="C1145" s="1" t="str">
        <f>IFERROR(__xludf.DUMMYFUNCTION("""COMPUTED_VALUE"""),"Water")</f>
        <v>Water</v>
      </c>
      <c r="D1145" s="1">
        <f>IFERROR(__xludf.DUMMYFUNCTION("""COMPUTED_VALUE"""),295.0)</f>
        <v>295</v>
      </c>
      <c r="E1145" s="1">
        <f>IFERROR(__xludf.DUMMYFUNCTION("""COMPUTED_VALUE"""),203.44)</f>
        <v>203.44</v>
      </c>
      <c r="F1145" s="1">
        <f>IFERROR(__xludf.DUMMYFUNCTION("""COMPUTED_VALUE"""),327.0)</f>
        <v>327</v>
      </c>
    </row>
    <row r="1146">
      <c r="A1146" s="3">
        <f>IFERROR(__xludf.DUMMYFUNCTION("""COMPUTED_VALUE"""),46054.0)</f>
        <v>46054</v>
      </c>
      <c r="B1146" s="1" t="str">
        <f>IFERROR(__xludf.DUMMYFUNCTION("""COMPUTED_VALUE"""),"Attahadi Universty")</f>
        <v>Attahadi Universty</v>
      </c>
      <c r="C1146" s="1" t="str">
        <f>IFERROR(__xludf.DUMMYFUNCTION("""COMPUTED_VALUE"""),"X!R")</f>
        <v>X!R</v>
      </c>
      <c r="D1146" s="1">
        <f>IFERROR(__xludf.DUMMYFUNCTION("""COMPUTED_VALUE"""),305.0)</f>
        <v>305</v>
      </c>
      <c r="E1146" s="1">
        <f>IFERROR(__xludf.DUMMYFUNCTION("""COMPUTED_VALUE"""),13.28)</f>
        <v>13.28</v>
      </c>
      <c r="F1146" s="1">
        <f>IFERROR(__xludf.DUMMYFUNCTION("""COMPUTED_VALUE"""),68.0)</f>
        <v>68</v>
      </c>
    </row>
    <row r="1147">
      <c r="A1147" s="3">
        <f>IFERROR(__xludf.DUMMYFUNCTION("""COMPUTED_VALUE"""),46054.0)</f>
        <v>46054</v>
      </c>
      <c r="B1147" s="1" t="str">
        <f>IFERROR(__xludf.DUMMYFUNCTION("""COMPUTED_VALUE"""),"Attahadi Universty")</f>
        <v>Attahadi Universty</v>
      </c>
      <c r="C1147" s="1" t="str">
        <f>IFERROR(__xludf.DUMMYFUNCTION("""COMPUTED_VALUE"""),"Xo Energy")</f>
        <v>Xo Energy</v>
      </c>
      <c r="D1147" s="1">
        <f>IFERROR(__xludf.DUMMYFUNCTION("""COMPUTED_VALUE"""),20.0)</f>
        <v>20</v>
      </c>
      <c r="E1147" s="1">
        <f>IFERROR(__xludf.DUMMYFUNCTION("""COMPUTED_VALUE"""),6.2)</f>
        <v>6.2</v>
      </c>
      <c r="F1147" s="1">
        <f>IFERROR(__xludf.DUMMYFUNCTION("""COMPUTED_VALUE"""),4.0)</f>
        <v>4</v>
      </c>
    </row>
    <row r="1148">
      <c r="A1148" s="3">
        <f>IFERROR(__xludf.DUMMYFUNCTION("""COMPUTED_VALUE"""),46054.0)</f>
        <v>46054</v>
      </c>
      <c r="B1148" s="1" t="str">
        <f>IFERROR(__xludf.DUMMYFUNCTION("""COMPUTED_VALUE"""),"Attahadi Universty")</f>
        <v>Attahadi Universty</v>
      </c>
      <c r="C1148" s="1" t="str">
        <f>IFERROR(__xludf.DUMMYFUNCTION("""COMPUTED_VALUE"""),"Yumi Zak")</f>
        <v>Yumi Zak</v>
      </c>
      <c r="D1148" s="1">
        <f>IFERROR(__xludf.DUMMYFUNCTION("""COMPUTED_VALUE"""),126.0)</f>
        <v>126</v>
      </c>
      <c r="E1148" s="1">
        <f>IFERROR(__xludf.DUMMYFUNCTION("""COMPUTED_VALUE"""),40.5)</f>
        <v>40.5</v>
      </c>
      <c r="F1148" s="1">
        <f>IFERROR(__xludf.DUMMYFUNCTION("""COMPUTED_VALUE"""),19.0)</f>
        <v>19</v>
      </c>
    </row>
    <row r="1149">
      <c r="A1149" s="3">
        <f>IFERROR(__xludf.DUMMYFUNCTION("""COMPUTED_VALUE"""),46054.0)</f>
        <v>46054</v>
      </c>
      <c r="B1149" s="1" t="str">
        <f>IFERROR(__xludf.DUMMYFUNCTION("""COMPUTED_VALUE"""),"Attahadi Universty")</f>
        <v>Attahadi Universty</v>
      </c>
      <c r="C1149" s="1" t="str">
        <f>IFERROR(__xludf.DUMMYFUNCTION("""COMPUTED_VALUE"""),"Yumi zak")</f>
        <v>Yumi zak</v>
      </c>
      <c r="D1149" s="1">
        <f>IFERROR(__xludf.DUMMYFUNCTION("""COMPUTED_VALUE"""),85.0)</f>
        <v>85</v>
      </c>
      <c r="E1149" s="1">
        <f>IFERROR(__xludf.DUMMYFUNCTION("""COMPUTED_VALUE"""),26.5)</f>
        <v>26.5</v>
      </c>
      <c r="F1149" s="1">
        <f>IFERROR(__xludf.DUMMYFUNCTION("""COMPUTED_VALUE"""),13.0)</f>
        <v>13</v>
      </c>
    </row>
    <row r="1150">
      <c r="A1150" s="3">
        <f>IFERROR(__xludf.DUMMYFUNCTION("""COMPUTED_VALUE"""),46054.0)</f>
        <v>46054</v>
      </c>
      <c r="B1150" s="1" t="str">
        <f>IFERROR(__xludf.DUMMYFUNCTION("""COMPUTED_VALUE"""),"Attahadi Universty")</f>
        <v>Attahadi Universty</v>
      </c>
      <c r="C1150" s="1" t="str">
        <f>IFERROR(__xludf.DUMMYFUNCTION("""COMPUTED_VALUE"""),"m&amp;m")</f>
        <v>m&amp;m</v>
      </c>
      <c r="D1150" s="1">
        <f>IFERROR(__xludf.DUMMYFUNCTION("""COMPUTED_VALUE"""),21.5)</f>
        <v>21.5</v>
      </c>
      <c r="E1150" s="1">
        <f>IFERROR(__xludf.DUMMYFUNCTION("""COMPUTED_VALUE"""),3.62)</f>
        <v>3.62</v>
      </c>
      <c r="F1150" s="1">
        <f>IFERROR(__xludf.DUMMYFUNCTION("""COMPUTED_VALUE"""),3.0)</f>
        <v>3</v>
      </c>
    </row>
    <row r="1151">
      <c r="A1151" s="3">
        <f>IFERROR(__xludf.DUMMYFUNCTION("""COMPUTED_VALUE"""),46054.0)</f>
        <v>46054</v>
      </c>
      <c r="B1151" s="1" t="str">
        <f>IFERROR(__xludf.DUMMYFUNCTION("""COMPUTED_VALUE"""),"Attahadi Universty")</f>
        <v>Attahadi Universty</v>
      </c>
      <c r="C1151" s="1" t="str">
        <f>IFERROR(__xludf.DUMMYFUNCTION("""COMPUTED_VALUE"""),"mr bite")</f>
        <v>mr bite</v>
      </c>
      <c r="D1151" s="1">
        <f>IFERROR(__xludf.DUMMYFUNCTION("""COMPUTED_VALUE"""),24.0)</f>
        <v>24</v>
      </c>
      <c r="E1151" s="1">
        <f>IFERROR(__xludf.DUMMYFUNCTION("""COMPUTED_VALUE"""),4.31)</f>
        <v>4.31</v>
      </c>
      <c r="F1151" s="1">
        <f>IFERROR(__xludf.DUMMYFUNCTION("""COMPUTED_VALUE"""),11.0)</f>
        <v>11</v>
      </c>
    </row>
    <row r="1152">
      <c r="A1152" s="3">
        <f>IFERROR(__xludf.DUMMYFUNCTION("""COMPUTED_VALUE"""),46054.0)</f>
        <v>46054</v>
      </c>
      <c r="B1152" s="1" t="str">
        <f>IFERROR(__xludf.DUMMYFUNCTION("""COMPUTED_VALUE"""),"Attahadi Universty")</f>
        <v>Attahadi Universty</v>
      </c>
      <c r="C1152" s="1" t="str">
        <f>IFERROR(__xludf.DUMMYFUNCTION("""COMPUTED_VALUE"""),"未设置")</f>
        <v>未设置</v>
      </c>
      <c r="D1152" s="1">
        <f>IFERROR(__xludf.DUMMYFUNCTION("""COMPUTED_VALUE"""),9.0)</f>
        <v>9</v>
      </c>
      <c r="E1152" s="1">
        <f>IFERROR(__xludf.DUMMYFUNCTION("""COMPUTED_VALUE"""),9.0)</f>
        <v>9</v>
      </c>
      <c r="F1152" s="1">
        <f>IFERROR(__xludf.DUMMYFUNCTION("""COMPUTED_VALUE"""),23.0)</f>
        <v>23</v>
      </c>
    </row>
    <row r="1153">
      <c r="A1153" s="3">
        <f>IFERROR(__xludf.DUMMYFUNCTION("""COMPUTED_VALUE"""),46054.0)</f>
        <v>46054</v>
      </c>
      <c r="B1153" s="1" t="str">
        <f>IFERROR(__xludf.DUMMYFUNCTION("""COMPUTED_VALUE"""),"DPMall")</f>
        <v>DPMall</v>
      </c>
      <c r="C1153" s="1" t="str">
        <f>IFERROR(__xludf.DUMMYFUNCTION("""COMPUTED_VALUE"""),"7up")</f>
        <v>7up</v>
      </c>
      <c r="D1153" s="1">
        <f>IFERROR(__xludf.DUMMYFUNCTION("""COMPUTED_VALUE"""),51.0)</f>
        <v>51</v>
      </c>
      <c r="E1153" s="1">
        <f>IFERROR(__xludf.DUMMYFUNCTION("""COMPUTED_VALUE"""),12.75)</f>
        <v>12.75</v>
      </c>
      <c r="F1153" s="1">
        <f>IFERROR(__xludf.DUMMYFUNCTION("""COMPUTED_VALUE"""),17.0)</f>
        <v>17</v>
      </c>
    </row>
    <row r="1154">
      <c r="A1154" s="3">
        <f>IFERROR(__xludf.DUMMYFUNCTION("""COMPUTED_VALUE"""),46054.0)</f>
        <v>46054</v>
      </c>
      <c r="B1154" s="1" t="str">
        <f>IFERROR(__xludf.DUMMYFUNCTION("""COMPUTED_VALUE"""),"DPMall")</f>
        <v>DPMall</v>
      </c>
      <c r="C1154" s="1" t="str">
        <f>IFERROR(__xludf.DUMMYFUNCTION("""COMPUTED_VALUE"""),"Almarai Strawberry")</f>
        <v>Almarai Strawberry</v>
      </c>
      <c r="D1154" s="1">
        <f>IFERROR(__xludf.DUMMYFUNCTION("""COMPUTED_VALUE"""),89.0)</f>
        <v>89</v>
      </c>
      <c r="E1154" s="1">
        <f>IFERROR(__xludf.DUMMYFUNCTION("""COMPUTED_VALUE"""),32.84)</f>
        <v>32.84</v>
      </c>
      <c r="F1154" s="1">
        <f>IFERROR(__xludf.DUMMYFUNCTION("""COMPUTED_VALUE"""),27.0)</f>
        <v>27</v>
      </c>
    </row>
    <row r="1155">
      <c r="A1155" s="3">
        <f>IFERROR(__xludf.DUMMYFUNCTION("""COMPUTED_VALUE"""),46054.0)</f>
        <v>46054</v>
      </c>
      <c r="B1155" s="1" t="str">
        <f>IFERROR(__xludf.DUMMYFUNCTION("""COMPUTED_VALUE"""),"DPMall")</f>
        <v>DPMall</v>
      </c>
      <c r="C1155" s="1" t="str">
        <f>IFERROR(__xludf.DUMMYFUNCTION("""COMPUTED_VALUE"""),"Doritos cool ranc")</f>
        <v>Doritos cool ranc</v>
      </c>
      <c r="D1155" s="1">
        <f>IFERROR(__xludf.DUMMYFUNCTION("""COMPUTED_VALUE"""),264.0)</f>
        <v>264</v>
      </c>
      <c r="E1155" s="1">
        <f>IFERROR(__xludf.DUMMYFUNCTION("""COMPUTED_VALUE"""),128.34)</f>
        <v>128.34</v>
      </c>
      <c r="F1155" s="1">
        <f>IFERROR(__xludf.DUMMYFUNCTION("""COMPUTED_VALUE"""),51.0)</f>
        <v>51</v>
      </c>
    </row>
    <row r="1156">
      <c r="A1156" s="3">
        <f>IFERROR(__xludf.DUMMYFUNCTION("""COMPUTED_VALUE"""),46054.0)</f>
        <v>46054</v>
      </c>
      <c r="B1156" s="1" t="str">
        <f>IFERROR(__xludf.DUMMYFUNCTION("""COMPUTED_VALUE"""),"DPMall")</f>
        <v>DPMall</v>
      </c>
      <c r="C1156" s="1" t="str">
        <f>IFERROR(__xludf.DUMMYFUNCTION("""COMPUTED_VALUE"""),"Gardena")</f>
        <v>Gardena</v>
      </c>
      <c r="D1156" s="1">
        <f>IFERROR(__xludf.DUMMYFUNCTION("""COMPUTED_VALUE"""),106.0)</f>
        <v>106</v>
      </c>
      <c r="E1156" s="1">
        <f>IFERROR(__xludf.DUMMYFUNCTION("""COMPUTED_VALUE"""),75.75)</f>
        <v>75.75</v>
      </c>
      <c r="F1156" s="1">
        <f>IFERROR(__xludf.DUMMYFUNCTION("""COMPUTED_VALUE"""),11.0)</f>
        <v>11</v>
      </c>
    </row>
    <row r="1157">
      <c r="A1157" s="3">
        <f>IFERROR(__xludf.DUMMYFUNCTION("""COMPUTED_VALUE"""),46054.0)</f>
        <v>46054</v>
      </c>
      <c r="B1157" s="1" t="str">
        <f>IFERROR(__xludf.DUMMYFUNCTION("""COMPUTED_VALUE"""),"DPMall")</f>
        <v>DPMall</v>
      </c>
      <c r="C1157" s="1" t="str">
        <f>IFERROR(__xludf.DUMMYFUNCTION("""COMPUTED_VALUE"""),"Haribo")</f>
        <v>Haribo</v>
      </c>
      <c r="D1157" s="1">
        <f>IFERROR(__xludf.DUMMYFUNCTION("""COMPUTED_VALUE"""),65.0)</f>
        <v>65</v>
      </c>
      <c r="E1157" s="1">
        <f>IFERROR(__xludf.DUMMYFUNCTION("""COMPUTED_VALUE"""),31.75)</f>
        <v>31.75</v>
      </c>
      <c r="F1157" s="1">
        <f>IFERROR(__xludf.DUMMYFUNCTION("""COMPUTED_VALUE"""),19.0)</f>
        <v>19</v>
      </c>
    </row>
    <row r="1158">
      <c r="A1158" s="3">
        <f>IFERROR(__xludf.DUMMYFUNCTION("""COMPUTED_VALUE"""),46054.0)</f>
        <v>46054</v>
      </c>
      <c r="B1158" s="1" t="str">
        <f>IFERROR(__xludf.DUMMYFUNCTION("""COMPUTED_VALUE"""),"DPMall")</f>
        <v>DPMall</v>
      </c>
      <c r="C1158" s="1" t="str">
        <f>IFERROR(__xludf.DUMMYFUNCTION("""COMPUTED_VALUE"""),"Laviva")</f>
        <v>Laviva</v>
      </c>
      <c r="D1158" s="1">
        <f>IFERROR(__xludf.DUMMYFUNCTION("""COMPUTED_VALUE"""),61.0)</f>
        <v>61</v>
      </c>
      <c r="E1158" s="1">
        <f>IFERROR(__xludf.DUMMYFUNCTION("""COMPUTED_VALUE"""),19.4)</f>
        <v>19.4</v>
      </c>
      <c r="F1158" s="1">
        <f>IFERROR(__xludf.DUMMYFUNCTION("""COMPUTED_VALUE"""),20.0)</f>
        <v>20</v>
      </c>
    </row>
    <row r="1159">
      <c r="A1159" s="3">
        <f>IFERROR(__xludf.DUMMYFUNCTION("""COMPUTED_VALUE"""),46054.0)</f>
        <v>46054</v>
      </c>
      <c r="B1159" s="1" t="str">
        <f>IFERROR(__xludf.DUMMYFUNCTION("""COMPUTED_VALUE"""),"DPMall")</f>
        <v>DPMall</v>
      </c>
      <c r="C1159" s="1" t="str">
        <f>IFERROR(__xludf.DUMMYFUNCTION("""COMPUTED_VALUE"""),"Maltesers")</f>
        <v>Maltesers</v>
      </c>
      <c r="D1159" s="1">
        <f>IFERROR(__xludf.DUMMYFUNCTION("""COMPUTED_VALUE"""),99.0)</f>
        <v>99</v>
      </c>
      <c r="E1159" s="1">
        <f>IFERROR(__xludf.DUMMYFUNCTION("""COMPUTED_VALUE"""),30.6)</f>
        <v>30.6</v>
      </c>
      <c r="F1159" s="1">
        <f>IFERROR(__xludf.DUMMYFUNCTION("""COMPUTED_VALUE"""),12.0)</f>
        <v>12</v>
      </c>
    </row>
    <row r="1160">
      <c r="A1160" s="3">
        <f>IFERROR(__xludf.DUMMYFUNCTION("""COMPUTED_VALUE"""),46054.0)</f>
        <v>46054</v>
      </c>
      <c r="B1160" s="1" t="str">
        <f>IFERROR(__xludf.DUMMYFUNCTION("""COMPUTED_VALUE"""),"DPMall")</f>
        <v>DPMall</v>
      </c>
      <c r="C1160" s="1" t="str">
        <f>IFERROR(__xludf.DUMMYFUNCTION("""COMPUTED_VALUE"""),"Marshmellow sweetBag")</f>
        <v>Marshmellow sweetBag</v>
      </c>
      <c r="D1160" s="1">
        <f>IFERROR(__xludf.DUMMYFUNCTION("""COMPUTED_VALUE"""),18.0)</f>
        <v>18</v>
      </c>
      <c r="E1160" s="1">
        <f>IFERROR(__xludf.DUMMYFUNCTION("""COMPUTED_VALUE"""),7.02)</f>
        <v>7.02</v>
      </c>
      <c r="F1160" s="1">
        <f>IFERROR(__xludf.DUMMYFUNCTION("""COMPUTED_VALUE"""),6.0)</f>
        <v>6</v>
      </c>
    </row>
    <row r="1161">
      <c r="A1161" s="3">
        <f>IFERROR(__xludf.DUMMYFUNCTION("""COMPUTED_VALUE"""),46054.0)</f>
        <v>46054</v>
      </c>
      <c r="B1161" s="1" t="str">
        <f>IFERROR(__xludf.DUMMYFUNCTION("""COMPUTED_VALUE"""),"DPMall")</f>
        <v>DPMall</v>
      </c>
      <c r="C1161" s="1" t="str">
        <f>IFERROR(__xludf.DUMMYFUNCTION("""COMPUTED_VALUE"""),"Mirinda")</f>
        <v>Mirinda</v>
      </c>
      <c r="D1161" s="1">
        <f>IFERROR(__xludf.DUMMYFUNCTION("""COMPUTED_VALUE"""),42.0)</f>
        <v>42</v>
      </c>
      <c r="E1161" s="1">
        <f>IFERROR(__xludf.DUMMYFUNCTION("""COMPUTED_VALUE"""),10.5)</f>
        <v>10.5</v>
      </c>
      <c r="F1161" s="1">
        <f>IFERROR(__xludf.DUMMYFUNCTION("""COMPUTED_VALUE"""),14.0)</f>
        <v>14</v>
      </c>
    </row>
    <row r="1162">
      <c r="A1162" s="3">
        <f>IFERROR(__xludf.DUMMYFUNCTION("""COMPUTED_VALUE"""),46054.0)</f>
        <v>46054</v>
      </c>
      <c r="B1162" s="1" t="str">
        <f>IFERROR(__xludf.DUMMYFUNCTION("""COMPUTED_VALUE"""),"DPMall")</f>
        <v>DPMall</v>
      </c>
      <c r="C1162" s="1" t="str">
        <f>IFERROR(__xludf.DUMMYFUNCTION("""COMPUTED_VALUE"""),"Mr Crunch cheez top")</f>
        <v>Mr Crunch cheez top</v>
      </c>
      <c r="D1162" s="1">
        <f>IFERROR(__xludf.DUMMYFUNCTION("""COMPUTED_VALUE"""),105.0)</f>
        <v>105</v>
      </c>
      <c r="E1162" s="1">
        <f>IFERROR(__xludf.DUMMYFUNCTION("""COMPUTED_VALUE"""),72.45)</f>
        <v>72.45</v>
      </c>
      <c r="F1162" s="1">
        <f>IFERROR(__xludf.DUMMYFUNCTION("""COMPUTED_VALUE"""),21.0)</f>
        <v>21</v>
      </c>
    </row>
    <row r="1163">
      <c r="A1163" s="3">
        <f>IFERROR(__xludf.DUMMYFUNCTION("""COMPUTED_VALUE"""),46054.0)</f>
        <v>46054</v>
      </c>
      <c r="B1163" s="1" t="str">
        <f>IFERROR(__xludf.DUMMYFUNCTION("""COMPUTED_VALUE"""),"DPMall")</f>
        <v>DPMall</v>
      </c>
      <c r="C1163" s="1" t="str">
        <f>IFERROR(__xludf.DUMMYFUNCTION("""COMPUTED_VALUE"""),"Mr Crunch normal")</f>
        <v>Mr Crunch normal</v>
      </c>
      <c r="D1163" s="1">
        <f>IFERROR(__xludf.DUMMYFUNCTION("""COMPUTED_VALUE"""),110.0)</f>
        <v>110</v>
      </c>
      <c r="E1163" s="1">
        <f>IFERROR(__xludf.DUMMYFUNCTION("""COMPUTED_VALUE"""),61.6)</f>
        <v>61.6</v>
      </c>
      <c r="F1163" s="1">
        <f>IFERROR(__xludf.DUMMYFUNCTION("""COMPUTED_VALUE"""),22.0)</f>
        <v>22</v>
      </c>
    </row>
    <row r="1164">
      <c r="A1164" s="3">
        <f>IFERROR(__xludf.DUMMYFUNCTION("""COMPUTED_VALUE"""),46054.0)</f>
        <v>46054</v>
      </c>
      <c r="B1164" s="1" t="str">
        <f>IFERROR(__xludf.DUMMYFUNCTION("""COMPUTED_VALUE"""),"DPMall")</f>
        <v>DPMall</v>
      </c>
      <c r="C1164" s="1" t="str">
        <f>IFERROR(__xludf.DUMMYFUNCTION("""COMPUTED_VALUE"""),"Pepsi")</f>
        <v>Pepsi</v>
      </c>
      <c r="D1164" s="1">
        <f>IFERROR(__xludf.DUMMYFUNCTION("""COMPUTED_VALUE"""),111.0)</f>
        <v>111</v>
      </c>
      <c r="E1164" s="1">
        <f>IFERROR(__xludf.DUMMYFUNCTION("""COMPUTED_VALUE"""),18.75)</f>
        <v>18.75</v>
      </c>
      <c r="F1164" s="1">
        <f>IFERROR(__xludf.DUMMYFUNCTION("""COMPUTED_VALUE"""),41.0)</f>
        <v>41</v>
      </c>
    </row>
    <row r="1165">
      <c r="A1165" s="3">
        <f>IFERROR(__xludf.DUMMYFUNCTION("""COMPUTED_VALUE"""),46054.0)</f>
        <v>46054</v>
      </c>
      <c r="B1165" s="1" t="str">
        <f>IFERROR(__xludf.DUMMYFUNCTION("""COMPUTED_VALUE"""),"DPMall")</f>
        <v>DPMall</v>
      </c>
      <c r="C1165" s="1" t="str">
        <f>IFERROR(__xludf.DUMMYFUNCTION("""COMPUTED_VALUE"""),"SunTop Saudi")</f>
        <v>SunTop Saudi</v>
      </c>
      <c r="D1165" s="1">
        <f>IFERROR(__xludf.DUMMYFUNCTION("""COMPUTED_VALUE"""),127.0)</f>
        <v>127</v>
      </c>
      <c r="E1165" s="1">
        <f>IFERROR(__xludf.DUMMYFUNCTION("""COMPUTED_VALUE"""),66.2)</f>
        <v>66.2</v>
      </c>
      <c r="F1165" s="1">
        <f>IFERROR(__xludf.DUMMYFUNCTION("""COMPUTED_VALUE"""),95.0)</f>
        <v>95</v>
      </c>
    </row>
    <row r="1166">
      <c r="A1166" s="3">
        <f>IFERROR(__xludf.DUMMYFUNCTION("""COMPUTED_VALUE"""),46054.0)</f>
        <v>46054</v>
      </c>
      <c r="B1166" s="1" t="str">
        <f>IFERROR(__xludf.DUMMYFUNCTION("""COMPUTED_VALUE"""),"DPMall")</f>
        <v>DPMall</v>
      </c>
      <c r="C1166" s="1" t="str">
        <f>IFERROR(__xludf.DUMMYFUNCTION("""COMPUTED_VALUE"""),"Water")</f>
        <v>Water</v>
      </c>
      <c r="D1166" s="1">
        <f>IFERROR(__xludf.DUMMYFUNCTION("""COMPUTED_VALUE"""),181.0)</f>
        <v>181</v>
      </c>
      <c r="E1166" s="1">
        <f>IFERROR(__xludf.DUMMYFUNCTION("""COMPUTED_VALUE"""),128.51)</f>
        <v>128.51</v>
      </c>
      <c r="F1166" s="1">
        <f>IFERROR(__xludf.DUMMYFUNCTION("""COMPUTED_VALUE"""),181.0)</f>
        <v>181</v>
      </c>
    </row>
    <row r="1167">
      <c r="A1167" s="3">
        <f>IFERROR(__xludf.DUMMYFUNCTION("""COMPUTED_VALUE"""),46054.0)</f>
        <v>46054</v>
      </c>
      <c r="B1167" s="1" t="str">
        <f>IFERROR(__xludf.DUMMYFUNCTION("""COMPUTED_VALUE"""),"DPMall")</f>
        <v>DPMall</v>
      </c>
      <c r="C1167" s="1" t="str">
        <f>IFERROR(__xludf.DUMMYFUNCTION("""COMPUTED_VALUE"""),"X!R")</f>
        <v>X!R</v>
      </c>
      <c r="D1167" s="1">
        <f>IFERROR(__xludf.DUMMYFUNCTION("""COMPUTED_VALUE"""),260.0)</f>
        <v>260</v>
      </c>
      <c r="E1167" s="1">
        <f>IFERROR(__xludf.DUMMYFUNCTION("""COMPUTED_VALUE"""),79.05)</f>
        <v>79.05</v>
      </c>
      <c r="F1167" s="1">
        <f>IFERROR(__xludf.DUMMYFUNCTION("""COMPUTED_VALUE"""),55.0)</f>
        <v>55</v>
      </c>
    </row>
    <row r="1168">
      <c r="A1168" s="3">
        <f>IFERROR(__xludf.DUMMYFUNCTION("""COMPUTED_VALUE"""),46054.0)</f>
        <v>46054</v>
      </c>
      <c r="B1168" s="1" t="str">
        <f>IFERROR(__xludf.DUMMYFUNCTION("""COMPUTED_VALUE"""),"DPMall")</f>
        <v>DPMall</v>
      </c>
      <c r="C1168" s="1" t="str">
        <f>IFERROR(__xludf.DUMMYFUNCTION("""COMPUTED_VALUE"""),"bueno 1 stick")</f>
        <v>bueno 1 stick</v>
      </c>
      <c r="D1168" s="1">
        <f>IFERROR(__xludf.DUMMYFUNCTION("""COMPUTED_VALUE"""),36.0)</f>
        <v>36</v>
      </c>
      <c r="E1168" s="1">
        <f>IFERROR(__xludf.DUMMYFUNCTION("""COMPUTED_VALUE"""),18.0)</f>
        <v>18</v>
      </c>
      <c r="F1168" s="1">
        <f>IFERROR(__xludf.DUMMYFUNCTION("""COMPUTED_VALUE"""),6.0)</f>
        <v>6</v>
      </c>
    </row>
    <row r="1169">
      <c r="A1169" s="3">
        <f>IFERROR(__xludf.DUMMYFUNCTION("""COMPUTED_VALUE"""),46054.0)</f>
        <v>46054</v>
      </c>
      <c r="B1169" s="1" t="str">
        <f>IFERROR(__xludf.DUMMYFUNCTION("""COMPUTED_VALUE"""),"DPMall")</f>
        <v>DPMall</v>
      </c>
      <c r="C1169" s="1" t="str">
        <f>IFERROR(__xludf.DUMMYFUNCTION("""COMPUTED_VALUE"""),"kinder bueno")</f>
        <v>kinder bueno</v>
      </c>
      <c r="D1169" s="1">
        <f>IFERROR(__xludf.DUMMYFUNCTION("""COMPUTED_VALUE"""),49.0)</f>
        <v>49</v>
      </c>
      <c r="E1169" s="1">
        <f>IFERROR(__xludf.DUMMYFUNCTION("""COMPUTED_VALUE"""),13.0)</f>
        <v>13</v>
      </c>
      <c r="F1169" s="1">
        <f>IFERROR(__xludf.DUMMYFUNCTION("""COMPUTED_VALUE"""),6.0)</f>
        <v>6</v>
      </c>
    </row>
    <row r="1170">
      <c r="A1170" s="3">
        <f>IFERROR(__xludf.DUMMYFUNCTION("""COMPUTED_VALUE"""),46054.0)</f>
        <v>46054</v>
      </c>
      <c r="B1170" s="1" t="str">
        <f>IFERROR(__xludf.DUMMYFUNCTION("""COMPUTED_VALUE"""),"DPMall")</f>
        <v>DPMall</v>
      </c>
      <c r="C1170" s="1" t="str">
        <f>IFERROR(__xludf.DUMMYFUNCTION("""COMPUTED_VALUE"""),"kinza")</f>
        <v>kinza</v>
      </c>
      <c r="D1170" s="1">
        <f>IFERROR(__xludf.DUMMYFUNCTION("""COMPUTED_VALUE"""),48.0)</f>
        <v>48</v>
      </c>
      <c r="E1170" s="1">
        <f>IFERROR(__xludf.DUMMYFUNCTION("""COMPUTED_VALUE"""),27.84)</f>
        <v>27.84</v>
      </c>
      <c r="F1170" s="1">
        <f>IFERROR(__xludf.DUMMYFUNCTION("""COMPUTED_VALUE"""),16.0)</f>
        <v>16</v>
      </c>
    </row>
    <row r="1171">
      <c r="A1171" s="3">
        <f>IFERROR(__xludf.DUMMYFUNCTION("""COMPUTED_VALUE"""),46054.0)</f>
        <v>46054</v>
      </c>
      <c r="B1171" s="1" t="str">
        <f>IFERROR(__xludf.DUMMYFUNCTION("""COMPUTED_VALUE"""),"DPMall")</f>
        <v>DPMall</v>
      </c>
      <c r="C1171" s="1" t="str">
        <f>IFERROR(__xludf.DUMMYFUNCTION("""COMPUTED_VALUE"""),"mars")</f>
        <v>mars</v>
      </c>
      <c r="D1171" s="1">
        <f>IFERROR(__xludf.DUMMYFUNCTION("""COMPUTED_VALUE"""),54.0)</f>
        <v>54</v>
      </c>
      <c r="E1171" s="1">
        <f>IFERROR(__xludf.DUMMYFUNCTION("""COMPUTED_VALUE"""),26.0)</f>
        <v>26</v>
      </c>
      <c r="F1171" s="1">
        <f>IFERROR(__xludf.DUMMYFUNCTION("""COMPUTED_VALUE"""),10.0)</f>
        <v>10</v>
      </c>
    </row>
    <row r="1172">
      <c r="A1172" s="3">
        <f>IFERROR(__xludf.DUMMYFUNCTION("""COMPUTED_VALUE"""),46054.0)</f>
        <v>46054</v>
      </c>
      <c r="B1172" s="1" t="str">
        <f>IFERROR(__xludf.DUMMYFUNCTION("""COMPUTED_VALUE"""),"DPMall")</f>
        <v>DPMall</v>
      </c>
      <c r="C1172" s="1" t="str">
        <f>IFERROR(__xludf.DUMMYFUNCTION("""COMPUTED_VALUE"""),"mr bite")</f>
        <v>mr bite</v>
      </c>
      <c r="D1172" s="1">
        <f>IFERROR(__xludf.DUMMYFUNCTION("""COMPUTED_VALUE"""),38.0)</f>
        <v>38</v>
      </c>
      <c r="E1172" s="1">
        <f>IFERROR(__xludf.DUMMYFUNCTION("""COMPUTED_VALUE"""),21.75)</f>
        <v>21.75</v>
      </c>
      <c r="F1172" s="1">
        <f>IFERROR(__xludf.DUMMYFUNCTION("""COMPUTED_VALUE"""),13.0)</f>
        <v>13</v>
      </c>
    </row>
    <row r="1173">
      <c r="A1173" s="3">
        <f>IFERROR(__xludf.DUMMYFUNCTION("""COMPUTED_VALUE"""),46054.0)</f>
        <v>46054</v>
      </c>
      <c r="B1173" s="1" t="str">
        <f>IFERROR(__xludf.DUMMYFUNCTION("""COMPUTED_VALUE"""),"DPMall")</f>
        <v>DPMall</v>
      </c>
      <c r="C1173" s="1" t="str">
        <f>IFERROR(__xludf.DUMMYFUNCTION("""COMPUTED_VALUE"""),"schweppers")</f>
        <v>schweppers</v>
      </c>
      <c r="D1173" s="1">
        <f>IFERROR(__xludf.DUMMYFUNCTION("""COMPUTED_VALUE"""),83.0)</f>
        <v>83</v>
      </c>
      <c r="E1173" s="1">
        <f>IFERROR(__xludf.DUMMYFUNCTION("""COMPUTED_VALUE"""),37.0)</f>
        <v>37</v>
      </c>
      <c r="F1173" s="1">
        <f>IFERROR(__xludf.DUMMYFUNCTION("""COMPUTED_VALUE"""),23.0)</f>
        <v>23</v>
      </c>
    </row>
    <row r="1174">
      <c r="A1174" s="3">
        <f>IFERROR(__xludf.DUMMYFUNCTION("""COMPUTED_VALUE"""),46054.0)</f>
        <v>46054</v>
      </c>
      <c r="B1174" s="1" t="str">
        <f>IFERROR(__xludf.DUMMYFUNCTION("""COMPUTED_VALUE"""),"DPMall")</f>
        <v>DPMall</v>
      </c>
      <c r="C1174" s="1" t="str">
        <f>IFERROR(__xludf.DUMMYFUNCTION("""COMPUTED_VALUE"""),"snickers")</f>
        <v>snickers</v>
      </c>
      <c r="D1174" s="1">
        <f>IFERROR(__xludf.DUMMYFUNCTION("""COMPUTED_VALUE"""),24.0)</f>
        <v>24</v>
      </c>
      <c r="E1174" s="1">
        <f>IFERROR(__xludf.DUMMYFUNCTION("""COMPUTED_VALUE"""),4.0)</f>
        <v>4</v>
      </c>
      <c r="F1174" s="1">
        <f>IFERROR(__xludf.DUMMYFUNCTION("""COMPUTED_VALUE"""),4.0)</f>
        <v>4</v>
      </c>
    </row>
    <row r="1175">
      <c r="A1175" s="3">
        <f>IFERROR(__xludf.DUMMYFUNCTION("""COMPUTED_VALUE"""),46054.0)</f>
        <v>46054</v>
      </c>
      <c r="B1175" s="1" t="str">
        <f>IFERROR(__xludf.DUMMYFUNCTION("""COMPUTED_VALUE"""),"DPMall")</f>
        <v>DPMall</v>
      </c>
      <c r="C1175" s="1" t="str">
        <f>IFERROR(__xludf.DUMMYFUNCTION("""COMPUTED_VALUE"""),"tiger 12")</f>
        <v>tiger 12</v>
      </c>
      <c r="D1175" s="1">
        <f>IFERROR(__xludf.DUMMYFUNCTION("""COMPUTED_VALUE"""),230.0)</f>
        <v>230</v>
      </c>
      <c r="E1175" s="1">
        <f>IFERROR(__xludf.DUMMYFUNCTION("""COMPUTED_VALUE"""),92.0)</f>
        <v>92</v>
      </c>
      <c r="F1175" s="1">
        <f>IFERROR(__xludf.DUMMYFUNCTION("""COMPUTED_VALUE"""),46.0)</f>
        <v>46</v>
      </c>
    </row>
    <row r="1176">
      <c r="A1176" s="3">
        <f>IFERROR(__xludf.DUMMYFUNCTION("""COMPUTED_VALUE"""),46054.0)</f>
        <v>46054</v>
      </c>
      <c r="B1176" s="1" t="str">
        <f>IFERROR(__xludf.DUMMYFUNCTION("""COMPUTED_VALUE"""),"HTLand")</f>
        <v>HTLand</v>
      </c>
      <c r="C1176" s="1" t="str">
        <f>IFERROR(__xludf.DUMMYFUNCTION("""COMPUTED_VALUE"""),"7up")</f>
        <v>7up</v>
      </c>
      <c r="D1176" s="1">
        <f>IFERROR(__xludf.DUMMYFUNCTION("""COMPUTED_VALUE"""),12.0)</f>
        <v>12</v>
      </c>
      <c r="E1176" s="1">
        <f>IFERROR(__xludf.DUMMYFUNCTION("""COMPUTED_VALUE"""),3.0)</f>
        <v>3</v>
      </c>
      <c r="F1176" s="1">
        <f>IFERROR(__xludf.DUMMYFUNCTION("""COMPUTED_VALUE"""),4.0)</f>
        <v>4</v>
      </c>
    </row>
    <row r="1177">
      <c r="A1177" s="3">
        <f>IFERROR(__xludf.DUMMYFUNCTION("""COMPUTED_VALUE"""),46054.0)</f>
        <v>46054</v>
      </c>
      <c r="B1177" s="1" t="str">
        <f>IFERROR(__xludf.DUMMYFUNCTION("""COMPUTED_VALUE"""),"HTLand")</f>
        <v>HTLand</v>
      </c>
      <c r="C1177" s="1" t="str">
        <f>IFERROR(__xludf.DUMMYFUNCTION("""COMPUTED_VALUE"""),"Almarai Chocolate")</f>
        <v>Almarai Chocolate</v>
      </c>
      <c r="D1177" s="1">
        <f>IFERROR(__xludf.DUMMYFUNCTION("""COMPUTED_VALUE"""),207.0)</f>
        <v>207</v>
      </c>
      <c r="E1177" s="1">
        <f>IFERROR(__xludf.DUMMYFUNCTION("""COMPUTED_VALUE"""),48.99)</f>
        <v>48.99</v>
      </c>
      <c r="F1177" s="1">
        <f>IFERROR(__xludf.DUMMYFUNCTION("""COMPUTED_VALUE"""),69.0)</f>
        <v>69</v>
      </c>
    </row>
    <row r="1178">
      <c r="A1178" s="3">
        <f>IFERROR(__xludf.DUMMYFUNCTION("""COMPUTED_VALUE"""),46054.0)</f>
        <v>46054</v>
      </c>
      <c r="B1178" s="1" t="str">
        <f>IFERROR(__xludf.DUMMYFUNCTION("""COMPUTED_VALUE"""),"HTLand")</f>
        <v>HTLand</v>
      </c>
      <c r="C1178" s="1" t="str">
        <f>IFERROR(__xludf.DUMMYFUNCTION("""COMPUTED_VALUE"""),"Almarai Strawberry")</f>
        <v>Almarai Strawberry</v>
      </c>
      <c r="D1178" s="1">
        <f>IFERROR(__xludf.DUMMYFUNCTION("""COMPUTED_VALUE"""),138.0)</f>
        <v>138</v>
      </c>
      <c r="E1178" s="1">
        <f>IFERROR(__xludf.DUMMYFUNCTION("""COMPUTED_VALUE"""),32.66)</f>
        <v>32.66</v>
      </c>
      <c r="F1178" s="1">
        <f>IFERROR(__xludf.DUMMYFUNCTION("""COMPUTED_VALUE"""),46.0)</f>
        <v>46</v>
      </c>
    </row>
    <row r="1179">
      <c r="A1179" s="3">
        <f>IFERROR(__xludf.DUMMYFUNCTION("""COMPUTED_VALUE"""),46054.0)</f>
        <v>46054</v>
      </c>
      <c r="B1179" s="1" t="str">
        <f>IFERROR(__xludf.DUMMYFUNCTION("""COMPUTED_VALUE"""),"HTLand")</f>
        <v>HTLand</v>
      </c>
      <c r="C1179" s="1" t="str">
        <f>IFERROR(__xludf.DUMMYFUNCTION("""COMPUTED_VALUE"""),"Buldak")</f>
        <v>Buldak</v>
      </c>
      <c r="D1179" s="1">
        <f>IFERROR(__xludf.DUMMYFUNCTION("""COMPUTED_VALUE"""),45.0)</f>
        <v>45</v>
      </c>
      <c r="E1179" s="1">
        <f>IFERROR(__xludf.DUMMYFUNCTION("""COMPUTED_VALUE"""),21.0)</f>
        <v>21</v>
      </c>
      <c r="F1179" s="1">
        <f>IFERROR(__xludf.DUMMYFUNCTION("""COMPUTED_VALUE"""),3.0)</f>
        <v>3</v>
      </c>
    </row>
    <row r="1180">
      <c r="A1180" s="3">
        <f>IFERROR(__xludf.DUMMYFUNCTION("""COMPUTED_VALUE"""),46054.0)</f>
        <v>46054</v>
      </c>
      <c r="B1180" s="1" t="str">
        <f>IFERROR(__xludf.DUMMYFUNCTION("""COMPUTED_VALUE"""),"HTLand")</f>
        <v>HTLand</v>
      </c>
      <c r="C1180" s="1" t="str">
        <f>IFERROR(__xludf.DUMMYFUNCTION("""COMPUTED_VALUE"""),"Chotso")</f>
        <v>Chotso</v>
      </c>
      <c r="D1180" s="1">
        <f>IFERROR(__xludf.DUMMYFUNCTION("""COMPUTED_VALUE"""),5.0)</f>
        <v>5</v>
      </c>
      <c r="E1180" s="1">
        <f>IFERROR(__xludf.DUMMYFUNCTION("""COMPUTED_VALUE"""),2.33)</f>
        <v>2.33</v>
      </c>
      <c r="F1180" s="1">
        <f>IFERROR(__xludf.DUMMYFUNCTION("""COMPUTED_VALUE"""),1.0)</f>
        <v>1</v>
      </c>
    </row>
    <row r="1181">
      <c r="A1181" s="3">
        <f>IFERROR(__xludf.DUMMYFUNCTION("""COMPUTED_VALUE"""),46054.0)</f>
        <v>46054</v>
      </c>
      <c r="B1181" s="1" t="str">
        <f>IFERROR(__xludf.DUMMYFUNCTION("""COMPUTED_VALUE"""),"HTLand")</f>
        <v>HTLand</v>
      </c>
      <c r="C1181" s="1" t="str">
        <f>IFERROR(__xludf.DUMMYFUNCTION("""COMPUTED_VALUE"""),"Coach Suntop")</f>
        <v>Coach Suntop</v>
      </c>
      <c r="D1181" s="1">
        <f>IFERROR(__xludf.DUMMYFUNCTION("""COMPUTED_VALUE"""),186.0)</f>
        <v>186</v>
      </c>
      <c r="E1181" s="1">
        <f>IFERROR(__xludf.DUMMYFUNCTION("""COMPUTED_VALUE"""),102.3)</f>
        <v>102.3</v>
      </c>
      <c r="F1181" s="1">
        <f>IFERROR(__xludf.DUMMYFUNCTION("""COMPUTED_VALUE"""),186.0)</f>
        <v>186</v>
      </c>
    </row>
    <row r="1182">
      <c r="A1182" s="3">
        <f>IFERROR(__xludf.DUMMYFUNCTION("""COMPUTED_VALUE"""),46054.0)</f>
        <v>46054</v>
      </c>
      <c r="B1182" s="1" t="str">
        <f>IFERROR(__xludf.DUMMYFUNCTION("""COMPUTED_VALUE"""),"HTLand")</f>
        <v>HTLand</v>
      </c>
      <c r="C1182" s="1" t="str">
        <f>IFERROR(__xludf.DUMMYFUNCTION("""COMPUTED_VALUE"""),"Doritos cool ranc")</f>
        <v>Doritos cool ranc</v>
      </c>
      <c r="D1182" s="1">
        <f>IFERROR(__xludf.DUMMYFUNCTION("""COMPUTED_VALUE"""),480.0)</f>
        <v>480</v>
      </c>
      <c r="E1182" s="1">
        <f>IFERROR(__xludf.DUMMYFUNCTION("""COMPUTED_VALUE"""),198.72)</f>
        <v>198.72</v>
      </c>
      <c r="F1182" s="1">
        <f>IFERROR(__xludf.DUMMYFUNCTION("""COMPUTED_VALUE"""),96.0)</f>
        <v>96</v>
      </c>
    </row>
    <row r="1183">
      <c r="A1183" s="3">
        <f>IFERROR(__xludf.DUMMYFUNCTION("""COMPUTED_VALUE"""),46054.0)</f>
        <v>46054</v>
      </c>
      <c r="B1183" s="1" t="str">
        <f>IFERROR(__xludf.DUMMYFUNCTION("""COMPUTED_VALUE"""),"HTLand")</f>
        <v>HTLand</v>
      </c>
      <c r="C1183" s="1" t="str">
        <f>IFERROR(__xludf.DUMMYFUNCTION("""COMPUTED_VALUE"""),"Doritos green hot")</f>
        <v>Doritos green hot</v>
      </c>
      <c r="D1183" s="1">
        <f>IFERROR(__xludf.DUMMYFUNCTION("""COMPUTED_VALUE"""),565.0)</f>
        <v>565</v>
      </c>
      <c r="E1183" s="1">
        <f>IFERROR(__xludf.DUMMYFUNCTION("""COMPUTED_VALUE"""),233.91)</f>
        <v>233.91</v>
      </c>
      <c r="F1183" s="1">
        <f>IFERROR(__xludf.DUMMYFUNCTION("""COMPUTED_VALUE"""),113.0)</f>
        <v>113</v>
      </c>
    </row>
    <row r="1184">
      <c r="A1184" s="3">
        <f>IFERROR(__xludf.DUMMYFUNCTION("""COMPUTED_VALUE"""),46054.0)</f>
        <v>46054</v>
      </c>
      <c r="B1184" s="1" t="str">
        <f>IFERROR(__xludf.DUMMYFUNCTION("""COMPUTED_VALUE"""),"HTLand")</f>
        <v>HTLand</v>
      </c>
      <c r="C1184" s="1" t="str">
        <f>IFERROR(__xludf.DUMMYFUNCTION("""COMPUTED_VALUE"""),"Doritos nacho")</f>
        <v>Doritos nacho</v>
      </c>
      <c r="D1184" s="1">
        <f>IFERROR(__xludf.DUMMYFUNCTION("""COMPUTED_VALUE"""),260.0)</f>
        <v>260</v>
      </c>
      <c r="E1184" s="1">
        <f>IFERROR(__xludf.DUMMYFUNCTION("""COMPUTED_VALUE"""),107.64)</f>
        <v>107.64</v>
      </c>
      <c r="F1184" s="1">
        <f>IFERROR(__xludf.DUMMYFUNCTION("""COMPUTED_VALUE"""),52.0)</f>
        <v>52</v>
      </c>
    </row>
    <row r="1185">
      <c r="A1185" s="3">
        <f>IFERROR(__xludf.DUMMYFUNCTION("""COMPUTED_VALUE"""),46054.0)</f>
        <v>46054</v>
      </c>
      <c r="B1185" s="1" t="str">
        <f>IFERROR(__xludf.DUMMYFUNCTION("""COMPUTED_VALUE"""),"HTLand")</f>
        <v>HTLand</v>
      </c>
      <c r="C1185" s="1" t="str">
        <f>IFERROR(__xludf.DUMMYFUNCTION("""COMPUTED_VALUE"""),"Haribo")</f>
        <v>Haribo</v>
      </c>
      <c r="D1185" s="1">
        <f>IFERROR(__xludf.DUMMYFUNCTION("""COMPUTED_VALUE"""),351.0)</f>
        <v>351</v>
      </c>
      <c r="E1185" s="1">
        <f>IFERROR(__xludf.DUMMYFUNCTION("""COMPUTED_VALUE"""),112.32)</f>
        <v>112.32</v>
      </c>
      <c r="F1185" s="1">
        <f>IFERROR(__xludf.DUMMYFUNCTION("""COMPUTED_VALUE"""),117.0)</f>
        <v>117</v>
      </c>
    </row>
    <row r="1186">
      <c r="A1186" s="3">
        <f>IFERROR(__xludf.DUMMYFUNCTION("""COMPUTED_VALUE"""),46054.0)</f>
        <v>46054</v>
      </c>
      <c r="B1186" s="1" t="str">
        <f>IFERROR(__xludf.DUMMYFUNCTION("""COMPUTED_VALUE"""),"HTLand")</f>
        <v>HTLand</v>
      </c>
      <c r="C1186" s="1" t="str">
        <f>IFERROR(__xludf.DUMMYFUNCTION("""COMPUTED_VALUE"""),"Haribo 80g")</f>
        <v>Haribo 80g</v>
      </c>
      <c r="D1186" s="1">
        <f>IFERROR(__xludf.DUMMYFUNCTION("""COMPUTED_VALUE"""),40.0)</f>
        <v>40</v>
      </c>
      <c r="E1186" s="1">
        <f>IFERROR(__xludf.DUMMYFUNCTION("""COMPUTED_VALUE"""),11.2)</f>
        <v>11.2</v>
      </c>
      <c r="F1186" s="1">
        <f>IFERROR(__xludf.DUMMYFUNCTION("""COMPUTED_VALUE"""),4.0)</f>
        <v>4</v>
      </c>
    </row>
    <row r="1187">
      <c r="A1187" s="3">
        <f>IFERROR(__xludf.DUMMYFUNCTION("""COMPUTED_VALUE"""),46054.0)</f>
        <v>46054</v>
      </c>
      <c r="B1187" s="1" t="str">
        <f>IFERROR(__xludf.DUMMYFUNCTION("""COMPUTED_VALUE"""),"HTLand")</f>
        <v>HTLand</v>
      </c>
      <c r="C1187" s="1" t="str">
        <f>IFERROR(__xludf.DUMMYFUNCTION("""COMPUTED_VALUE"""),"Haribo bears")</f>
        <v>Haribo bears</v>
      </c>
      <c r="D1187" s="1">
        <f>IFERROR(__xludf.DUMMYFUNCTION("""COMPUTED_VALUE"""),51.0)</f>
        <v>51</v>
      </c>
      <c r="E1187" s="1">
        <f>IFERROR(__xludf.DUMMYFUNCTION("""COMPUTED_VALUE"""),27.71)</f>
        <v>27.71</v>
      </c>
      <c r="F1187" s="1">
        <f>IFERROR(__xludf.DUMMYFUNCTION("""COMPUTED_VALUE"""),17.0)</f>
        <v>17</v>
      </c>
    </row>
    <row r="1188">
      <c r="A1188" s="3">
        <f>IFERROR(__xludf.DUMMYFUNCTION("""COMPUTED_VALUE"""),46054.0)</f>
        <v>46054</v>
      </c>
      <c r="B1188" s="1" t="str">
        <f>IFERROR(__xludf.DUMMYFUNCTION("""COMPUTED_VALUE"""),"HTLand")</f>
        <v>HTLand</v>
      </c>
      <c r="C1188" s="1" t="str">
        <f>IFERROR(__xludf.DUMMYFUNCTION("""COMPUTED_VALUE"""),"Kinder Bueno")</f>
        <v>Kinder Bueno</v>
      </c>
      <c r="D1188" s="1">
        <f>IFERROR(__xludf.DUMMYFUNCTION("""COMPUTED_VALUE"""),120.0)</f>
        <v>120</v>
      </c>
      <c r="E1188" s="1">
        <f>IFERROR(__xludf.DUMMYFUNCTION("""COMPUTED_VALUE"""),15.0)</f>
        <v>15</v>
      </c>
      <c r="F1188" s="1">
        <f>IFERROR(__xludf.DUMMYFUNCTION("""COMPUTED_VALUE"""),15.0)</f>
        <v>15</v>
      </c>
    </row>
    <row r="1189">
      <c r="A1189" s="3">
        <f>IFERROR(__xludf.DUMMYFUNCTION("""COMPUTED_VALUE"""),46054.0)</f>
        <v>46054</v>
      </c>
      <c r="B1189" s="1" t="str">
        <f>IFERROR(__xludf.DUMMYFUNCTION("""COMPUTED_VALUE"""),"HTLand")</f>
        <v>HTLand</v>
      </c>
      <c r="C1189" s="1" t="str">
        <f>IFERROR(__xludf.DUMMYFUNCTION("""COMPUTED_VALUE"""),"Laviva")</f>
        <v>Laviva</v>
      </c>
      <c r="D1189" s="1">
        <f>IFERROR(__xludf.DUMMYFUNCTION("""COMPUTED_VALUE"""),210.0)</f>
        <v>210</v>
      </c>
      <c r="E1189" s="1">
        <f>IFERROR(__xludf.DUMMYFUNCTION("""COMPUTED_VALUE"""),59.25)</f>
        <v>59.25</v>
      </c>
      <c r="F1189" s="1">
        <f>IFERROR(__xludf.DUMMYFUNCTION("""COMPUTED_VALUE"""),67.0)</f>
        <v>67</v>
      </c>
    </row>
    <row r="1190">
      <c r="A1190" s="3">
        <f>IFERROR(__xludf.DUMMYFUNCTION("""COMPUTED_VALUE"""),46054.0)</f>
        <v>46054</v>
      </c>
      <c r="B1190" s="1" t="str">
        <f>IFERROR(__xludf.DUMMYFUNCTION("""COMPUTED_VALUE"""),"HTLand")</f>
        <v>HTLand</v>
      </c>
      <c r="C1190" s="1" t="str">
        <f>IFERROR(__xludf.DUMMYFUNCTION("""COMPUTED_VALUE"""),"MR Crunch")</f>
        <v>MR Crunch</v>
      </c>
      <c r="D1190" s="1">
        <f>IFERROR(__xludf.DUMMYFUNCTION("""COMPUTED_VALUE"""),425.0)</f>
        <v>425</v>
      </c>
      <c r="E1190" s="1">
        <f>IFERROR(__xludf.DUMMYFUNCTION("""COMPUTED_VALUE"""),170.0)</f>
        <v>170</v>
      </c>
      <c r="F1190" s="1">
        <f>IFERROR(__xludf.DUMMYFUNCTION("""COMPUTED_VALUE"""),85.0)</f>
        <v>85</v>
      </c>
    </row>
    <row r="1191">
      <c r="A1191" s="3">
        <f>IFERROR(__xludf.DUMMYFUNCTION("""COMPUTED_VALUE"""),46054.0)</f>
        <v>46054</v>
      </c>
      <c r="B1191" s="1" t="str">
        <f>IFERROR(__xludf.DUMMYFUNCTION("""COMPUTED_VALUE"""),"HTLand")</f>
        <v>HTLand</v>
      </c>
      <c r="C1191" s="1" t="str">
        <f>IFERROR(__xludf.DUMMYFUNCTION("""COMPUTED_VALUE"""),"Maltesers")</f>
        <v>Maltesers</v>
      </c>
      <c r="D1191" s="1">
        <f>IFERROR(__xludf.DUMMYFUNCTION("""COMPUTED_VALUE"""),24.0)</f>
        <v>24</v>
      </c>
      <c r="E1191" s="1">
        <f>IFERROR(__xludf.DUMMYFUNCTION("""COMPUTED_VALUE"""),1.5)</f>
        <v>1.5</v>
      </c>
      <c r="F1191" s="1">
        <f>IFERROR(__xludf.DUMMYFUNCTION("""COMPUTED_VALUE"""),3.0)</f>
        <v>3</v>
      </c>
    </row>
    <row r="1192">
      <c r="A1192" s="3">
        <f>IFERROR(__xludf.DUMMYFUNCTION("""COMPUTED_VALUE"""),46054.0)</f>
        <v>46054</v>
      </c>
      <c r="B1192" s="1" t="str">
        <f>IFERROR(__xludf.DUMMYFUNCTION("""COMPUTED_VALUE"""),"HTLand")</f>
        <v>HTLand</v>
      </c>
      <c r="C1192" s="1" t="str">
        <f>IFERROR(__xludf.DUMMYFUNCTION("""COMPUTED_VALUE"""),"Mars")</f>
        <v>Mars</v>
      </c>
      <c r="D1192" s="1">
        <f>IFERROR(__xludf.DUMMYFUNCTION("""COMPUTED_VALUE"""),45.0)</f>
        <v>45</v>
      </c>
      <c r="E1192" s="1">
        <f>IFERROR(__xludf.DUMMYFUNCTION("""COMPUTED_VALUE"""),-15.5)</f>
        <v>-15.5</v>
      </c>
      <c r="F1192" s="1">
        <f>IFERROR(__xludf.DUMMYFUNCTION("""COMPUTED_VALUE"""),11.0)</f>
        <v>11</v>
      </c>
    </row>
    <row r="1193">
      <c r="A1193" s="3">
        <f>IFERROR(__xludf.DUMMYFUNCTION("""COMPUTED_VALUE"""),46054.0)</f>
        <v>46054</v>
      </c>
      <c r="B1193" s="1" t="str">
        <f>IFERROR(__xludf.DUMMYFUNCTION("""COMPUTED_VALUE"""),"HTLand")</f>
        <v>HTLand</v>
      </c>
      <c r="C1193" s="1" t="str">
        <f>IFERROR(__xludf.DUMMYFUNCTION("""COMPUTED_VALUE"""),"Mirinda")</f>
        <v>Mirinda</v>
      </c>
      <c r="D1193" s="1">
        <f>IFERROR(__xludf.DUMMYFUNCTION("""COMPUTED_VALUE"""),72.0)</f>
        <v>72</v>
      </c>
      <c r="E1193" s="1">
        <f>IFERROR(__xludf.DUMMYFUNCTION("""COMPUTED_VALUE"""),18.0)</f>
        <v>18</v>
      </c>
      <c r="F1193" s="1">
        <f>IFERROR(__xludf.DUMMYFUNCTION("""COMPUTED_VALUE"""),24.0)</f>
        <v>24</v>
      </c>
    </row>
    <row r="1194">
      <c r="A1194" s="3">
        <f>IFERROR(__xludf.DUMMYFUNCTION("""COMPUTED_VALUE"""),46054.0)</f>
        <v>46054</v>
      </c>
      <c r="B1194" s="1" t="str">
        <f>IFERROR(__xludf.DUMMYFUNCTION("""COMPUTED_VALUE"""),"HTLand")</f>
        <v>HTLand</v>
      </c>
      <c r="C1194" s="1" t="str">
        <f>IFERROR(__xludf.DUMMYFUNCTION("""COMPUTED_VALUE"""),"Mr Cruch veggy's")</f>
        <v>Mr Cruch veggy's</v>
      </c>
      <c r="D1194" s="1">
        <f>IFERROR(__xludf.DUMMYFUNCTION("""COMPUTED_VALUE"""),5.0)</f>
        <v>5</v>
      </c>
      <c r="E1194" s="1">
        <f>IFERROR(__xludf.DUMMYFUNCTION("""COMPUTED_VALUE"""),2.56)</f>
        <v>2.56</v>
      </c>
      <c r="F1194" s="1">
        <f>IFERROR(__xludf.DUMMYFUNCTION("""COMPUTED_VALUE"""),1.0)</f>
        <v>1</v>
      </c>
    </row>
    <row r="1195">
      <c r="A1195" s="3">
        <f>IFERROR(__xludf.DUMMYFUNCTION("""COMPUTED_VALUE"""),46054.0)</f>
        <v>46054</v>
      </c>
      <c r="B1195" s="1" t="str">
        <f>IFERROR(__xludf.DUMMYFUNCTION("""COMPUTED_VALUE"""),"HTLand")</f>
        <v>HTLand</v>
      </c>
      <c r="C1195" s="1" t="str">
        <f>IFERROR(__xludf.DUMMYFUNCTION("""COMPUTED_VALUE"""),"MrCrunch Normal")</f>
        <v>MrCrunch Normal</v>
      </c>
      <c r="D1195" s="1">
        <f>IFERROR(__xludf.DUMMYFUNCTION("""COMPUTED_VALUE"""),25.0)</f>
        <v>25</v>
      </c>
      <c r="E1195" s="1">
        <f>IFERROR(__xludf.DUMMYFUNCTION("""COMPUTED_VALUE"""),14.75)</f>
        <v>14.75</v>
      </c>
      <c r="F1195" s="1">
        <f>IFERROR(__xludf.DUMMYFUNCTION("""COMPUTED_VALUE"""),5.0)</f>
        <v>5</v>
      </c>
    </row>
    <row r="1196">
      <c r="A1196" s="3">
        <f>IFERROR(__xludf.DUMMYFUNCTION("""COMPUTED_VALUE"""),46054.0)</f>
        <v>46054</v>
      </c>
      <c r="B1196" s="1" t="str">
        <f>IFERROR(__xludf.DUMMYFUNCTION("""COMPUTED_VALUE"""),"HTLand")</f>
        <v>HTLand</v>
      </c>
      <c r="C1196" s="1" t="str">
        <f>IFERROR(__xludf.DUMMYFUNCTION("""COMPUTED_VALUE"""),"Mrbeast")</f>
        <v>Mrbeast</v>
      </c>
      <c r="D1196" s="1">
        <f>IFERROR(__xludf.DUMMYFUNCTION("""COMPUTED_VALUE"""),940.0)</f>
        <v>940</v>
      </c>
      <c r="E1196" s="1">
        <f>IFERROR(__xludf.DUMMYFUNCTION("""COMPUTED_VALUE"""),658.0)</f>
        <v>658</v>
      </c>
      <c r="F1196" s="1">
        <f>IFERROR(__xludf.DUMMYFUNCTION("""COMPUTED_VALUE"""),94.0)</f>
        <v>94</v>
      </c>
    </row>
    <row r="1197">
      <c r="A1197" s="3">
        <f>IFERROR(__xludf.DUMMYFUNCTION("""COMPUTED_VALUE"""),46054.0)</f>
        <v>46054</v>
      </c>
      <c r="B1197" s="1" t="str">
        <f>IFERROR(__xludf.DUMMYFUNCTION("""COMPUTED_VALUE"""),"HTLand")</f>
        <v>HTLand</v>
      </c>
      <c r="C1197" s="1" t="str">
        <f>IFERROR(__xludf.DUMMYFUNCTION("""COMPUTED_VALUE"""),"Pepsi")</f>
        <v>Pepsi</v>
      </c>
      <c r="D1197" s="1">
        <f>IFERROR(__xludf.DUMMYFUNCTION("""COMPUTED_VALUE"""),225.0)</f>
        <v>225</v>
      </c>
      <c r="E1197" s="1">
        <f>IFERROR(__xludf.DUMMYFUNCTION("""COMPUTED_VALUE"""),56.25)</f>
        <v>56.25</v>
      </c>
      <c r="F1197" s="1">
        <f>IFERROR(__xludf.DUMMYFUNCTION("""COMPUTED_VALUE"""),75.0)</f>
        <v>75</v>
      </c>
    </row>
    <row r="1198">
      <c r="A1198" s="3">
        <f>IFERROR(__xludf.DUMMYFUNCTION("""COMPUTED_VALUE"""),46054.0)</f>
        <v>46054</v>
      </c>
      <c r="B1198" s="1" t="str">
        <f>IFERROR(__xludf.DUMMYFUNCTION("""COMPUTED_VALUE"""),"HTLand")</f>
        <v>HTLand</v>
      </c>
      <c r="C1198" s="1" t="str">
        <f>IFERROR(__xludf.DUMMYFUNCTION("""COMPUTED_VALUE"""),"Rayhan suntop")</f>
        <v>Rayhan suntop</v>
      </c>
      <c r="D1198" s="1">
        <f>IFERROR(__xludf.DUMMYFUNCTION("""COMPUTED_VALUE"""),30.0)</f>
        <v>30</v>
      </c>
      <c r="E1198" s="1">
        <f>IFERROR(__xludf.DUMMYFUNCTION("""COMPUTED_VALUE"""),9.6)</f>
        <v>9.6</v>
      </c>
      <c r="F1198" s="1">
        <f>IFERROR(__xludf.DUMMYFUNCTION("""COMPUTED_VALUE"""),30.0)</f>
        <v>30</v>
      </c>
    </row>
    <row r="1199">
      <c r="A1199" s="3">
        <f>IFERROR(__xludf.DUMMYFUNCTION("""COMPUTED_VALUE"""),46054.0)</f>
        <v>46054</v>
      </c>
      <c r="B1199" s="1" t="str">
        <f>IFERROR(__xludf.DUMMYFUNCTION("""COMPUTED_VALUE"""),"HTLand")</f>
        <v>HTLand</v>
      </c>
      <c r="C1199" s="1" t="str">
        <f>IFERROR(__xludf.DUMMYFUNCTION("""COMPUTED_VALUE"""),"Schweppes bullet")</f>
        <v>Schweppes bullet</v>
      </c>
      <c r="D1199" s="1">
        <f>IFERROR(__xludf.DUMMYFUNCTION("""COMPUTED_VALUE"""),42.0)</f>
        <v>42</v>
      </c>
      <c r="E1199" s="1">
        <f>IFERROR(__xludf.DUMMYFUNCTION("""COMPUTED_VALUE"""),17.5)</f>
        <v>17.5</v>
      </c>
      <c r="F1199" s="1">
        <f>IFERROR(__xludf.DUMMYFUNCTION("""COMPUTED_VALUE"""),14.0)</f>
        <v>14</v>
      </c>
    </row>
    <row r="1200">
      <c r="A1200" s="3">
        <f>IFERROR(__xludf.DUMMYFUNCTION("""COMPUTED_VALUE"""),46054.0)</f>
        <v>46054</v>
      </c>
      <c r="B1200" s="1" t="str">
        <f>IFERROR(__xludf.DUMMYFUNCTION("""COMPUTED_VALUE"""),"HTLand")</f>
        <v>HTLand</v>
      </c>
      <c r="C1200" s="1" t="str">
        <f>IFERROR(__xludf.DUMMYFUNCTION("""COMPUTED_VALUE"""),"Shani")</f>
        <v>Shani</v>
      </c>
      <c r="D1200" s="1">
        <f>IFERROR(__xludf.DUMMYFUNCTION("""COMPUTED_VALUE"""),78.0)</f>
        <v>78</v>
      </c>
      <c r="E1200" s="1">
        <f>IFERROR(__xludf.DUMMYFUNCTION("""COMPUTED_VALUE"""),19.5)</f>
        <v>19.5</v>
      </c>
      <c r="F1200" s="1">
        <f>IFERROR(__xludf.DUMMYFUNCTION("""COMPUTED_VALUE"""),26.0)</f>
        <v>26</v>
      </c>
    </row>
    <row r="1201">
      <c r="A1201" s="3">
        <f>IFERROR(__xludf.DUMMYFUNCTION("""COMPUTED_VALUE"""),46054.0)</f>
        <v>46054</v>
      </c>
      <c r="B1201" s="1" t="str">
        <f>IFERROR(__xludf.DUMMYFUNCTION("""COMPUTED_VALUE"""),"HTLand")</f>
        <v>HTLand</v>
      </c>
      <c r="C1201" s="1" t="str">
        <f>IFERROR(__xludf.DUMMYFUNCTION("""COMPUTED_VALUE"""),"Skittles")</f>
        <v>Skittles</v>
      </c>
      <c r="D1201" s="1">
        <f>IFERROR(__xludf.DUMMYFUNCTION("""COMPUTED_VALUE"""),152.0)</f>
        <v>152</v>
      </c>
      <c r="E1201" s="1">
        <f>IFERROR(__xludf.DUMMYFUNCTION("""COMPUTED_VALUE"""),41.23)</f>
        <v>41.23</v>
      </c>
      <c r="F1201" s="1">
        <f>IFERROR(__xludf.DUMMYFUNCTION("""COMPUTED_VALUE"""),19.0)</f>
        <v>19</v>
      </c>
    </row>
    <row r="1202">
      <c r="A1202" s="3">
        <f>IFERROR(__xludf.DUMMYFUNCTION("""COMPUTED_VALUE"""),46054.0)</f>
        <v>46054</v>
      </c>
      <c r="B1202" s="1" t="str">
        <f>IFERROR(__xludf.DUMMYFUNCTION("""COMPUTED_VALUE"""),"HTLand")</f>
        <v>HTLand</v>
      </c>
      <c r="C1202" s="1" t="str">
        <f>IFERROR(__xludf.DUMMYFUNCTION("""COMPUTED_VALUE"""),"Snickers")</f>
        <v>Snickers</v>
      </c>
      <c r="D1202" s="1">
        <f>IFERROR(__xludf.DUMMYFUNCTION("""COMPUTED_VALUE"""),60.0)</f>
        <v>60</v>
      </c>
      <c r="E1202" s="1">
        <f>IFERROR(__xludf.DUMMYFUNCTION("""COMPUTED_VALUE"""),8.0)</f>
        <v>8</v>
      </c>
      <c r="F1202" s="1">
        <f>IFERROR(__xludf.DUMMYFUNCTION("""COMPUTED_VALUE"""),10.0)</f>
        <v>10</v>
      </c>
    </row>
    <row r="1203">
      <c r="A1203" s="3">
        <f>IFERROR(__xludf.DUMMYFUNCTION("""COMPUTED_VALUE"""),46054.0)</f>
        <v>46054</v>
      </c>
      <c r="B1203" s="1" t="str">
        <f>IFERROR(__xludf.DUMMYFUNCTION("""COMPUTED_VALUE"""),"HTLand")</f>
        <v>HTLand</v>
      </c>
      <c r="C1203" s="1" t="str">
        <f>IFERROR(__xludf.DUMMYFUNCTION("""COMPUTED_VALUE"""),"Tiger *12 Cheese")</f>
        <v>Tiger *12 Cheese</v>
      </c>
      <c r="D1203" s="1">
        <f>IFERROR(__xludf.DUMMYFUNCTION("""COMPUTED_VALUE"""),54.0)</f>
        <v>54</v>
      </c>
      <c r="E1203" s="1">
        <f>IFERROR(__xludf.DUMMYFUNCTION("""COMPUTED_VALUE"""),22.5)</f>
        <v>22.5</v>
      </c>
      <c r="F1203" s="1">
        <f>IFERROR(__xludf.DUMMYFUNCTION("""COMPUTED_VALUE"""),9.0)</f>
        <v>9</v>
      </c>
    </row>
    <row r="1204">
      <c r="A1204" s="3">
        <f>IFERROR(__xludf.DUMMYFUNCTION("""COMPUTED_VALUE"""),46054.0)</f>
        <v>46054</v>
      </c>
      <c r="B1204" s="1" t="str">
        <f>IFERROR(__xludf.DUMMYFUNCTION("""COMPUTED_VALUE"""),"HTLand")</f>
        <v>HTLand</v>
      </c>
      <c r="C1204" s="1" t="str">
        <f>IFERROR(__xludf.DUMMYFUNCTION("""COMPUTED_VALUE"""),"Tiger *12 kebab")</f>
        <v>Tiger *12 kebab</v>
      </c>
      <c r="D1204" s="1">
        <f>IFERROR(__xludf.DUMMYFUNCTION("""COMPUTED_VALUE"""),23.0)</f>
        <v>23</v>
      </c>
      <c r="E1204" s="1">
        <f>IFERROR(__xludf.DUMMYFUNCTION("""COMPUTED_VALUE"""),9.0)</f>
        <v>9</v>
      </c>
      <c r="F1204" s="1">
        <f>IFERROR(__xludf.DUMMYFUNCTION("""COMPUTED_VALUE"""),4.0)</f>
        <v>4</v>
      </c>
    </row>
    <row r="1205">
      <c r="A1205" s="3">
        <f>IFERROR(__xludf.DUMMYFUNCTION("""COMPUTED_VALUE"""),46054.0)</f>
        <v>46054</v>
      </c>
      <c r="B1205" s="1" t="str">
        <f>IFERROR(__xludf.DUMMYFUNCTION("""COMPUTED_VALUE"""),"HTLand")</f>
        <v>HTLand</v>
      </c>
      <c r="C1205" s="1" t="str">
        <f>IFERROR(__xludf.DUMMYFUNCTION("""COMPUTED_VALUE"""),"Tiger *12 tomato")</f>
        <v>Tiger *12 tomato</v>
      </c>
      <c r="D1205" s="1">
        <f>IFERROR(__xludf.DUMMYFUNCTION("""COMPUTED_VALUE"""),60.0)</f>
        <v>60</v>
      </c>
      <c r="E1205" s="1">
        <f>IFERROR(__xludf.DUMMYFUNCTION("""COMPUTED_VALUE"""),25.0)</f>
        <v>25</v>
      </c>
      <c r="F1205" s="1">
        <f>IFERROR(__xludf.DUMMYFUNCTION("""COMPUTED_VALUE"""),10.0)</f>
        <v>10</v>
      </c>
    </row>
    <row r="1206">
      <c r="A1206" s="3">
        <f>IFERROR(__xludf.DUMMYFUNCTION("""COMPUTED_VALUE"""),46054.0)</f>
        <v>46054</v>
      </c>
      <c r="B1206" s="1" t="str">
        <f>IFERROR(__xludf.DUMMYFUNCTION("""COMPUTED_VALUE"""),"HTLand")</f>
        <v>HTLand</v>
      </c>
      <c r="C1206" s="1" t="str">
        <f>IFERROR(__xludf.DUMMYFUNCTION("""COMPUTED_VALUE"""),"Tiger *16 kebab")</f>
        <v>Tiger *16 kebab</v>
      </c>
      <c r="D1206" s="1">
        <f>IFERROR(__xludf.DUMMYFUNCTION("""COMPUTED_VALUE"""),10.0)</f>
        <v>10</v>
      </c>
      <c r="E1206" s="1">
        <f>IFERROR(__xludf.DUMMYFUNCTION("""COMPUTED_VALUE"""),5.64)</f>
        <v>5.64</v>
      </c>
      <c r="F1206" s="1">
        <f>IFERROR(__xludf.DUMMYFUNCTION("""COMPUTED_VALUE"""),2.0)</f>
        <v>2</v>
      </c>
    </row>
    <row r="1207">
      <c r="A1207" s="3">
        <f>IFERROR(__xludf.DUMMYFUNCTION("""COMPUTED_VALUE"""),46054.0)</f>
        <v>46054</v>
      </c>
      <c r="B1207" s="1" t="str">
        <f>IFERROR(__xludf.DUMMYFUNCTION("""COMPUTED_VALUE"""),"HTLand")</f>
        <v>HTLand</v>
      </c>
      <c r="C1207" s="1" t="str">
        <f>IFERROR(__xludf.DUMMYFUNCTION("""COMPUTED_VALUE"""),"Tiger 12 chili and lemon")</f>
        <v>Tiger 12 chili and lemon</v>
      </c>
      <c r="D1207" s="1">
        <f>IFERROR(__xludf.DUMMYFUNCTION("""COMPUTED_VALUE"""),90.0)</f>
        <v>90</v>
      </c>
      <c r="E1207" s="1">
        <f>IFERROR(__xludf.DUMMYFUNCTION("""COMPUTED_VALUE"""),37.5)</f>
        <v>37.5</v>
      </c>
      <c r="F1207" s="1">
        <f>IFERROR(__xludf.DUMMYFUNCTION("""COMPUTED_VALUE"""),15.0)</f>
        <v>15</v>
      </c>
    </row>
    <row r="1208">
      <c r="A1208" s="3">
        <f>IFERROR(__xludf.DUMMYFUNCTION("""COMPUTED_VALUE"""),46054.0)</f>
        <v>46054</v>
      </c>
      <c r="B1208" s="1" t="str">
        <f>IFERROR(__xludf.DUMMYFUNCTION("""COMPUTED_VALUE"""),"HTLand")</f>
        <v>HTLand</v>
      </c>
      <c r="C1208" s="1" t="str">
        <f>IFERROR(__xludf.DUMMYFUNCTION("""COMPUTED_VALUE"""),"Tiger 12 sweet chili")</f>
        <v>Tiger 12 sweet chili</v>
      </c>
      <c r="D1208" s="1">
        <f>IFERROR(__xludf.DUMMYFUNCTION("""COMPUTED_VALUE"""),36.0)</f>
        <v>36</v>
      </c>
      <c r="E1208" s="1">
        <f>IFERROR(__xludf.DUMMYFUNCTION("""COMPUTED_VALUE"""),15.0)</f>
        <v>15</v>
      </c>
      <c r="F1208" s="1">
        <f>IFERROR(__xludf.DUMMYFUNCTION("""COMPUTED_VALUE"""),6.0)</f>
        <v>6</v>
      </c>
    </row>
    <row r="1209">
      <c r="A1209" s="3">
        <f>IFERROR(__xludf.DUMMYFUNCTION("""COMPUTED_VALUE"""),46054.0)</f>
        <v>46054</v>
      </c>
      <c r="B1209" s="1" t="str">
        <f>IFERROR(__xludf.DUMMYFUNCTION("""COMPUTED_VALUE"""),"HTLand")</f>
        <v>HTLand</v>
      </c>
      <c r="C1209" s="1" t="str">
        <f>IFERROR(__xludf.DUMMYFUNCTION("""COMPUTED_VALUE"""),"Tiger excellence")</f>
        <v>Tiger excellence</v>
      </c>
      <c r="D1209" s="1">
        <f>IFERROR(__xludf.DUMMYFUNCTION("""COMPUTED_VALUE"""),225.0)</f>
        <v>225</v>
      </c>
      <c r="E1209" s="1">
        <f>IFERROR(__xludf.DUMMYFUNCTION("""COMPUTED_VALUE"""),123.75)</f>
        <v>123.75</v>
      </c>
      <c r="F1209" s="1">
        <f>IFERROR(__xludf.DUMMYFUNCTION("""COMPUTED_VALUE"""),45.0)</f>
        <v>45</v>
      </c>
    </row>
    <row r="1210">
      <c r="A1210" s="3">
        <f>IFERROR(__xludf.DUMMYFUNCTION("""COMPUTED_VALUE"""),46054.0)</f>
        <v>46054</v>
      </c>
      <c r="B1210" s="1" t="str">
        <f>IFERROR(__xludf.DUMMYFUNCTION("""COMPUTED_VALUE"""),"HTLand")</f>
        <v>HTLand</v>
      </c>
      <c r="C1210" s="1" t="str">
        <f>IFERROR(__xludf.DUMMYFUNCTION("""COMPUTED_VALUE"""),"Turbo strips")</f>
        <v>Turbo strips</v>
      </c>
      <c r="D1210" s="1">
        <f>IFERROR(__xludf.DUMMYFUNCTION("""COMPUTED_VALUE"""),585.0)</f>
        <v>585</v>
      </c>
      <c r="E1210" s="1">
        <f>IFERROR(__xludf.DUMMYFUNCTION("""COMPUTED_VALUE"""),107.64)</f>
        <v>107.64</v>
      </c>
      <c r="F1210" s="1">
        <f>IFERROR(__xludf.DUMMYFUNCTION("""COMPUTED_VALUE"""),117.0)</f>
        <v>117</v>
      </c>
    </row>
    <row r="1211">
      <c r="A1211" s="3">
        <f>IFERROR(__xludf.DUMMYFUNCTION("""COMPUTED_VALUE"""),46054.0)</f>
        <v>46054</v>
      </c>
      <c r="B1211" s="1" t="str">
        <f>IFERROR(__xludf.DUMMYFUNCTION("""COMPUTED_VALUE"""),"HTLand")</f>
        <v>HTLand</v>
      </c>
      <c r="C1211" s="1" t="str">
        <f>IFERROR(__xludf.DUMMYFUNCTION("""COMPUTED_VALUE"""),"Twix")</f>
        <v>Twix</v>
      </c>
      <c r="D1211" s="1">
        <f>IFERROR(__xludf.DUMMYFUNCTION("""COMPUTED_VALUE"""),42.0)</f>
        <v>42</v>
      </c>
      <c r="E1211" s="1">
        <f>IFERROR(__xludf.DUMMYFUNCTION("""COMPUTED_VALUE"""),7.0)</f>
        <v>7</v>
      </c>
      <c r="F1211" s="1">
        <f>IFERROR(__xludf.DUMMYFUNCTION("""COMPUTED_VALUE"""),7.0)</f>
        <v>7</v>
      </c>
    </row>
    <row r="1212">
      <c r="A1212" s="3">
        <f>IFERROR(__xludf.DUMMYFUNCTION("""COMPUTED_VALUE"""),46054.0)</f>
        <v>46054</v>
      </c>
      <c r="B1212" s="1" t="str">
        <f>IFERROR(__xludf.DUMMYFUNCTION("""COMPUTED_VALUE"""),"HTLand")</f>
        <v>HTLand</v>
      </c>
      <c r="C1212" s="1" t="str">
        <f>IFERROR(__xludf.DUMMYFUNCTION("""COMPUTED_VALUE"""),"Twix single")</f>
        <v>Twix single</v>
      </c>
      <c r="D1212" s="1">
        <f>IFERROR(__xludf.DUMMYFUNCTION("""COMPUTED_VALUE"""),16.0)</f>
        <v>16</v>
      </c>
      <c r="E1212" s="1">
        <f>IFERROR(__xludf.DUMMYFUNCTION("""COMPUTED_VALUE"""),6.6)</f>
        <v>6.6</v>
      </c>
      <c r="F1212" s="1">
        <f>IFERROR(__xludf.DUMMYFUNCTION("""COMPUTED_VALUE"""),4.0)</f>
        <v>4</v>
      </c>
    </row>
    <row r="1213">
      <c r="A1213" s="3">
        <f>IFERROR(__xludf.DUMMYFUNCTION("""COMPUTED_VALUE"""),46054.0)</f>
        <v>46054</v>
      </c>
      <c r="B1213" s="1" t="str">
        <f>IFERROR(__xludf.DUMMYFUNCTION("""COMPUTED_VALUE"""),"HTLand")</f>
        <v>HTLand</v>
      </c>
      <c r="C1213" s="1" t="str">
        <f>IFERROR(__xludf.DUMMYFUNCTION("""COMPUTED_VALUE"""),"Water")</f>
        <v>Water</v>
      </c>
      <c r="D1213" s="1">
        <f>IFERROR(__xludf.DUMMYFUNCTION("""COMPUTED_VALUE"""),624.0)</f>
        <v>624</v>
      </c>
      <c r="E1213" s="1">
        <f>IFERROR(__xludf.DUMMYFUNCTION("""COMPUTED_VALUE"""),449.28)</f>
        <v>449.28</v>
      </c>
      <c r="F1213" s="1">
        <f>IFERROR(__xludf.DUMMYFUNCTION("""COMPUTED_VALUE"""),624.0)</f>
        <v>624</v>
      </c>
    </row>
    <row r="1214">
      <c r="A1214" s="3">
        <f>IFERROR(__xludf.DUMMYFUNCTION("""COMPUTED_VALUE"""),46054.0)</f>
        <v>46054</v>
      </c>
      <c r="B1214" s="1" t="str">
        <f>IFERROR(__xludf.DUMMYFUNCTION("""COMPUTED_VALUE"""),"HTLand")</f>
        <v>HTLand</v>
      </c>
      <c r="C1214" s="1" t="str">
        <f>IFERROR(__xludf.DUMMYFUNCTION("""COMPUTED_VALUE"""),"X!R")</f>
        <v>X!R</v>
      </c>
      <c r="D1214" s="1">
        <f>IFERROR(__xludf.DUMMYFUNCTION("""COMPUTED_VALUE"""),520.0)</f>
        <v>520</v>
      </c>
      <c r="E1214" s="1">
        <f>IFERROR(__xludf.DUMMYFUNCTION("""COMPUTED_VALUE"""),73.84)</f>
        <v>73.84</v>
      </c>
      <c r="F1214" s="1">
        <f>IFERROR(__xludf.DUMMYFUNCTION("""COMPUTED_VALUE"""),104.0)</f>
        <v>104</v>
      </c>
    </row>
    <row r="1215">
      <c r="A1215" s="3">
        <f>IFERROR(__xludf.DUMMYFUNCTION("""COMPUTED_VALUE"""),46054.0)</f>
        <v>46054</v>
      </c>
      <c r="B1215" s="1" t="str">
        <f>IFERROR(__xludf.DUMMYFUNCTION("""COMPUTED_VALUE"""),"HTLand")</f>
        <v>HTLand</v>
      </c>
      <c r="C1215" s="1" t="str">
        <f>IFERROR(__xludf.DUMMYFUNCTION("""COMPUTED_VALUE"""),"Xo Energy")</f>
        <v>Xo Energy</v>
      </c>
      <c r="D1215" s="1">
        <f>IFERROR(__xludf.DUMMYFUNCTION("""COMPUTED_VALUE"""),55.0)</f>
        <v>55</v>
      </c>
      <c r="E1215" s="1">
        <f>IFERROR(__xludf.DUMMYFUNCTION("""COMPUTED_VALUE"""),17.05)</f>
        <v>17.05</v>
      </c>
      <c r="F1215" s="1">
        <f>IFERROR(__xludf.DUMMYFUNCTION("""COMPUTED_VALUE"""),11.0)</f>
        <v>11</v>
      </c>
    </row>
    <row r="1216">
      <c r="A1216" s="3">
        <f>IFERROR(__xludf.DUMMYFUNCTION("""COMPUTED_VALUE"""),46054.0)</f>
        <v>46054</v>
      </c>
      <c r="B1216" s="1" t="str">
        <f>IFERROR(__xludf.DUMMYFUNCTION("""COMPUTED_VALUE"""),"HTLand")</f>
        <v>HTLand</v>
      </c>
      <c r="C1216" s="1" t="str">
        <f>IFERROR(__xludf.DUMMYFUNCTION("""COMPUTED_VALUE"""),"Yupi")</f>
        <v>Yupi</v>
      </c>
      <c r="D1216" s="1">
        <f>IFERROR(__xludf.DUMMYFUNCTION("""COMPUTED_VALUE"""),36.0)</f>
        <v>36</v>
      </c>
      <c r="E1216" s="1">
        <f>IFERROR(__xludf.DUMMYFUNCTION("""COMPUTED_VALUE"""),14.52)</f>
        <v>14.52</v>
      </c>
      <c r="F1216" s="1">
        <f>IFERROR(__xludf.DUMMYFUNCTION("""COMPUTED_VALUE"""),12.0)</f>
        <v>12</v>
      </c>
    </row>
    <row r="1217">
      <c r="A1217" s="3">
        <f>IFERROR(__xludf.DUMMYFUNCTION("""COMPUTED_VALUE"""),46054.0)</f>
        <v>46054</v>
      </c>
      <c r="B1217" s="1" t="str">
        <f>IFERROR(__xludf.DUMMYFUNCTION("""COMPUTED_VALUE"""),"HTLand")</f>
        <v>HTLand</v>
      </c>
      <c r="C1217" s="1" t="str">
        <f>IFERROR(__xludf.DUMMYFUNCTION("""COMPUTED_VALUE"""),"kinza")</f>
        <v>kinza</v>
      </c>
      <c r="D1217" s="1">
        <f>IFERROR(__xludf.DUMMYFUNCTION("""COMPUTED_VALUE"""),138.0)</f>
        <v>138</v>
      </c>
      <c r="E1217" s="1">
        <f>IFERROR(__xludf.DUMMYFUNCTION("""COMPUTED_VALUE"""),31.74)</f>
        <v>31.74</v>
      </c>
      <c r="F1217" s="1">
        <f>IFERROR(__xludf.DUMMYFUNCTION("""COMPUTED_VALUE"""),69.0)</f>
        <v>69</v>
      </c>
    </row>
    <row r="1218">
      <c r="A1218" s="3">
        <f>IFERROR(__xludf.DUMMYFUNCTION("""COMPUTED_VALUE"""),46054.0)</f>
        <v>46054</v>
      </c>
      <c r="B1218" s="1" t="str">
        <f>IFERROR(__xludf.DUMMYFUNCTION("""COMPUTED_VALUE"""),"HTLand")</f>
        <v>HTLand</v>
      </c>
      <c r="C1218" s="1" t="str">
        <f>IFERROR(__xludf.DUMMYFUNCTION("""COMPUTED_VALUE"""),"mr bite")</f>
        <v>mr bite</v>
      </c>
      <c r="D1218" s="1">
        <f>IFERROR(__xludf.DUMMYFUNCTION("""COMPUTED_VALUE"""),114.0)</f>
        <v>114</v>
      </c>
      <c r="E1218" s="1">
        <f>IFERROR(__xludf.DUMMYFUNCTION("""COMPUTED_VALUE"""),45.98)</f>
        <v>45.98</v>
      </c>
      <c r="F1218" s="1">
        <f>IFERROR(__xludf.DUMMYFUNCTION("""COMPUTED_VALUE"""),38.0)</f>
        <v>38</v>
      </c>
    </row>
    <row r="1219">
      <c r="A1219" s="3">
        <f>IFERROR(__xludf.DUMMYFUNCTION("""COMPUTED_VALUE"""),46054.0)</f>
        <v>46054</v>
      </c>
      <c r="B1219" s="1" t="str">
        <f>IFERROR(__xludf.DUMMYFUNCTION("""COMPUTED_VALUE"""),"HTMall")</f>
        <v>HTMall</v>
      </c>
      <c r="C1219" s="1" t="str">
        <f>IFERROR(__xludf.DUMMYFUNCTION("""COMPUTED_VALUE"""),"Almarai Chocolate")</f>
        <v>Almarai Chocolate</v>
      </c>
      <c r="D1219" s="1">
        <f>IFERROR(__xludf.DUMMYFUNCTION("""COMPUTED_VALUE"""),87.0)</f>
        <v>87</v>
      </c>
      <c r="E1219" s="1">
        <f>IFERROR(__xludf.DUMMYFUNCTION("""COMPUTED_VALUE"""),20.59)</f>
        <v>20.59</v>
      </c>
      <c r="F1219" s="1">
        <f>IFERROR(__xludf.DUMMYFUNCTION("""COMPUTED_VALUE"""),29.0)</f>
        <v>29</v>
      </c>
    </row>
    <row r="1220">
      <c r="A1220" s="3">
        <f>IFERROR(__xludf.DUMMYFUNCTION("""COMPUTED_VALUE"""),46054.0)</f>
        <v>46054</v>
      </c>
      <c r="B1220" s="1" t="str">
        <f>IFERROR(__xludf.DUMMYFUNCTION("""COMPUTED_VALUE"""),"HTMall")</f>
        <v>HTMall</v>
      </c>
      <c r="C1220" s="1" t="str">
        <f>IFERROR(__xludf.DUMMYFUNCTION("""COMPUTED_VALUE"""),"Almarai Strawberry")</f>
        <v>Almarai Strawberry</v>
      </c>
      <c r="D1220" s="1">
        <f>IFERROR(__xludf.DUMMYFUNCTION("""COMPUTED_VALUE"""),51.0)</f>
        <v>51</v>
      </c>
      <c r="E1220" s="1">
        <f>IFERROR(__xludf.DUMMYFUNCTION("""COMPUTED_VALUE"""),12.07)</f>
        <v>12.07</v>
      </c>
      <c r="F1220" s="1">
        <f>IFERROR(__xludf.DUMMYFUNCTION("""COMPUTED_VALUE"""),17.0)</f>
        <v>17</v>
      </c>
    </row>
    <row r="1221">
      <c r="A1221" s="3">
        <f>IFERROR(__xludf.DUMMYFUNCTION("""COMPUTED_VALUE"""),46054.0)</f>
        <v>46054</v>
      </c>
      <c r="B1221" s="1" t="str">
        <f>IFERROR(__xludf.DUMMYFUNCTION("""COMPUTED_VALUE"""),"HTMall")</f>
        <v>HTMall</v>
      </c>
      <c r="C1221" s="1" t="str">
        <f>IFERROR(__xludf.DUMMYFUNCTION("""COMPUTED_VALUE"""),"Coach Suntop")</f>
        <v>Coach Suntop</v>
      </c>
      <c r="D1221" s="1">
        <f>IFERROR(__xludf.DUMMYFUNCTION("""COMPUTED_VALUE"""),91.0)</f>
        <v>91</v>
      </c>
      <c r="E1221" s="1">
        <f>IFERROR(__xludf.DUMMYFUNCTION("""COMPUTED_VALUE"""),50.05)</f>
        <v>50.05</v>
      </c>
      <c r="F1221" s="1">
        <f>IFERROR(__xludf.DUMMYFUNCTION("""COMPUTED_VALUE"""),91.0)</f>
        <v>91</v>
      </c>
    </row>
    <row r="1222">
      <c r="A1222" s="3">
        <f>IFERROR(__xludf.DUMMYFUNCTION("""COMPUTED_VALUE"""),46054.0)</f>
        <v>46054</v>
      </c>
      <c r="B1222" s="1" t="str">
        <f>IFERROR(__xludf.DUMMYFUNCTION("""COMPUTED_VALUE"""),"HTMall")</f>
        <v>HTMall</v>
      </c>
      <c r="C1222" s="1" t="str">
        <f>IFERROR(__xludf.DUMMYFUNCTION("""COMPUTED_VALUE"""),"Doritos cool ranc")</f>
        <v>Doritos cool ranc</v>
      </c>
      <c r="D1222" s="1">
        <f>IFERROR(__xludf.DUMMYFUNCTION("""COMPUTED_VALUE"""),270.0)</f>
        <v>270</v>
      </c>
      <c r="E1222" s="1">
        <f>IFERROR(__xludf.DUMMYFUNCTION("""COMPUTED_VALUE"""),111.78)</f>
        <v>111.78</v>
      </c>
      <c r="F1222" s="1">
        <f>IFERROR(__xludf.DUMMYFUNCTION("""COMPUTED_VALUE"""),54.0)</f>
        <v>54</v>
      </c>
    </row>
    <row r="1223">
      <c r="A1223" s="3">
        <f>IFERROR(__xludf.DUMMYFUNCTION("""COMPUTED_VALUE"""),46054.0)</f>
        <v>46054</v>
      </c>
      <c r="B1223" s="1" t="str">
        <f>IFERROR(__xludf.DUMMYFUNCTION("""COMPUTED_VALUE"""),"HTMall")</f>
        <v>HTMall</v>
      </c>
      <c r="C1223" s="1" t="str">
        <f>IFERROR(__xludf.DUMMYFUNCTION("""COMPUTED_VALUE"""),"Doritos green hot")</f>
        <v>Doritos green hot</v>
      </c>
      <c r="D1223" s="1">
        <f>IFERROR(__xludf.DUMMYFUNCTION("""COMPUTED_VALUE"""),620.0)</f>
        <v>620</v>
      </c>
      <c r="E1223" s="1">
        <f>IFERROR(__xludf.DUMMYFUNCTION("""COMPUTED_VALUE"""),256.68)</f>
        <v>256.68</v>
      </c>
      <c r="F1223" s="1">
        <f>IFERROR(__xludf.DUMMYFUNCTION("""COMPUTED_VALUE"""),124.0)</f>
        <v>124</v>
      </c>
    </row>
    <row r="1224">
      <c r="A1224" s="3">
        <f>IFERROR(__xludf.DUMMYFUNCTION("""COMPUTED_VALUE"""),46054.0)</f>
        <v>46054</v>
      </c>
      <c r="B1224" s="1" t="str">
        <f>IFERROR(__xludf.DUMMYFUNCTION("""COMPUTED_VALUE"""),"HTMall")</f>
        <v>HTMall</v>
      </c>
      <c r="C1224" s="1" t="str">
        <f>IFERROR(__xludf.DUMMYFUNCTION("""COMPUTED_VALUE"""),"Doritos nacho")</f>
        <v>Doritos nacho</v>
      </c>
      <c r="D1224" s="1">
        <f>IFERROR(__xludf.DUMMYFUNCTION("""COMPUTED_VALUE"""),25.0)</f>
        <v>25</v>
      </c>
      <c r="E1224" s="1">
        <f>IFERROR(__xludf.DUMMYFUNCTION("""COMPUTED_VALUE"""),10.35)</f>
        <v>10.35</v>
      </c>
      <c r="F1224" s="1">
        <f>IFERROR(__xludf.DUMMYFUNCTION("""COMPUTED_VALUE"""),5.0)</f>
        <v>5</v>
      </c>
    </row>
    <row r="1225">
      <c r="A1225" s="3">
        <f>IFERROR(__xludf.DUMMYFUNCTION("""COMPUTED_VALUE"""),46054.0)</f>
        <v>46054</v>
      </c>
      <c r="B1225" s="1" t="str">
        <f>IFERROR(__xludf.DUMMYFUNCTION("""COMPUTED_VALUE"""),"HTMall")</f>
        <v>HTMall</v>
      </c>
      <c r="C1225" s="1" t="str">
        <f>IFERROR(__xludf.DUMMYFUNCTION("""COMPUTED_VALUE"""),"EXO")</f>
        <v>EXO</v>
      </c>
      <c r="D1225" s="1">
        <f>IFERROR(__xludf.DUMMYFUNCTION("""COMPUTED_VALUE"""),20.0)</f>
        <v>20</v>
      </c>
      <c r="E1225" s="1">
        <f>IFERROR(__xludf.DUMMYFUNCTION("""COMPUTED_VALUE"""),5.52)</f>
        <v>5.52</v>
      </c>
      <c r="F1225" s="1">
        <f>IFERROR(__xludf.DUMMYFUNCTION("""COMPUTED_VALUE"""),4.0)</f>
        <v>4</v>
      </c>
    </row>
    <row r="1226">
      <c r="A1226" s="3">
        <f>IFERROR(__xludf.DUMMYFUNCTION("""COMPUTED_VALUE"""),46054.0)</f>
        <v>46054</v>
      </c>
      <c r="B1226" s="1" t="str">
        <f>IFERROR(__xludf.DUMMYFUNCTION("""COMPUTED_VALUE"""),"HTMall")</f>
        <v>HTMall</v>
      </c>
      <c r="C1226" s="1" t="str">
        <f>IFERROR(__xludf.DUMMYFUNCTION("""COMPUTED_VALUE"""),"Gardena")</f>
        <v>Gardena</v>
      </c>
      <c r="D1226" s="1">
        <f>IFERROR(__xludf.DUMMYFUNCTION("""COMPUTED_VALUE"""),30.0)</f>
        <v>30</v>
      </c>
      <c r="E1226" s="1">
        <f>IFERROR(__xludf.DUMMYFUNCTION("""COMPUTED_VALUE"""),2.5)</f>
        <v>2.5</v>
      </c>
      <c r="F1226" s="1">
        <f>IFERROR(__xludf.DUMMYFUNCTION("""COMPUTED_VALUE"""),5.0)</f>
        <v>5</v>
      </c>
    </row>
    <row r="1227">
      <c r="A1227" s="3">
        <f>IFERROR(__xludf.DUMMYFUNCTION("""COMPUTED_VALUE"""),46054.0)</f>
        <v>46054</v>
      </c>
      <c r="B1227" s="1" t="str">
        <f>IFERROR(__xludf.DUMMYFUNCTION("""COMPUTED_VALUE"""),"HTMall")</f>
        <v>HTMall</v>
      </c>
      <c r="C1227" s="1" t="str">
        <f>IFERROR(__xludf.DUMMYFUNCTION("""COMPUTED_VALUE"""),"Haribo")</f>
        <v>Haribo</v>
      </c>
      <c r="D1227" s="1">
        <f>IFERROR(__xludf.DUMMYFUNCTION("""COMPUTED_VALUE"""),111.0)</f>
        <v>111</v>
      </c>
      <c r="E1227" s="1">
        <f>IFERROR(__xludf.DUMMYFUNCTION("""COMPUTED_VALUE"""),35.52)</f>
        <v>35.52</v>
      </c>
      <c r="F1227" s="1">
        <f>IFERROR(__xludf.DUMMYFUNCTION("""COMPUTED_VALUE"""),37.0)</f>
        <v>37</v>
      </c>
    </row>
    <row r="1228">
      <c r="A1228" s="3">
        <f>IFERROR(__xludf.DUMMYFUNCTION("""COMPUTED_VALUE"""),46054.0)</f>
        <v>46054</v>
      </c>
      <c r="B1228" s="1" t="str">
        <f>IFERROR(__xludf.DUMMYFUNCTION("""COMPUTED_VALUE"""),"HTMall")</f>
        <v>HTMall</v>
      </c>
      <c r="C1228" s="1" t="str">
        <f>IFERROR(__xludf.DUMMYFUNCTION("""COMPUTED_VALUE"""),"Kinder Bueno")</f>
        <v>Kinder Bueno</v>
      </c>
      <c r="D1228" s="1">
        <f>IFERROR(__xludf.DUMMYFUNCTION("""COMPUTED_VALUE"""),25.5)</f>
        <v>25.5</v>
      </c>
      <c r="E1228" s="1">
        <f>IFERROR(__xludf.DUMMYFUNCTION("""COMPUTED_VALUE"""),4.5)</f>
        <v>4.5</v>
      </c>
      <c r="F1228" s="1">
        <f>IFERROR(__xludf.DUMMYFUNCTION("""COMPUTED_VALUE"""),3.0)</f>
        <v>3</v>
      </c>
    </row>
    <row r="1229">
      <c r="A1229" s="3">
        <f>IFERROR(__xludf.DUMMYFUNCTION("""COMPUTED_VALUE"""),46054.0)</f>
        <v>46054</v>
      </c>
      <c r="B1229" s="1" t="str">
        <f>IFERROR(__xludf.DUMMYFUNCTION("""COMPUTED_VALUE"""),"HTMall")</f>
        <v>HTMall</v>
      </c>
      <c r="C1229" s="1" t="str">
        <f>IFERROR(__xludf.DUMMYFUNCTION("""COMPUTED_VALUE"""),"Laviva")</f>
        <v>Laviva</v>
      </c>
      <c r="D1229" s="1">
        <f>IFERROR(__xludf.DUMMYFUNCTION("""COMPUTED_VALUE"""),157.0)</f>
        <v>157</v>
      </c>
      <c r="E1229" s="1">
        <f>IFERROR(__xludf.DUMMYFUNCTION("""COMPUTED_VALUE"""),44.5)</f>
        <v>44.5</v>
      </c>
      <c r="F1229" s="1">
        <f>IFERROR(__xludf.DUMMYFUNCTION("""COMPUTED_VALUE"""),50.0)</f>
        <v>50</v>
      </c>
    </row>
    <row r="1230">
      <c r="A1230" s="3">
        <f>IFERROR(__xludf.DUMMYFUNCTION("""COMPUTED_VALUE"""),46054.0)</f>
        <v>46054</v>
      </c>
      <c r="B1230" s="1" t="str">
        <f>IFERROR(__xludf.DUMMYFUNCTION("""COMPUTED_VALUE"""),"HTMall")</f>
        <v>HTMall</v>
      </c>
      <c r="C1230" s="1" t="str">
        <f>IFERROR(__xludf.DUMMYFUNCTION("""COMPUTED_VALUE"""),"MR Crunch")</f>
        <v>MR Crunch</v>
      </c>
      <c r="D1230" s="1">
        <f>IFERROR(__xludf.DUMMYFUNCTION("""COMPUTED_VALUE"""),360.0)</f>
        <v>360</v>
      </c>
      <c r="E1230" s="1">
        <f>IFERROR(__xludf.DUMMYFUNCTION("""COMPUTED_VALUE"""),144.0)</f>
        <v>144</v>
      </c>
      <c r="F1230" s="1">
        <f>IFERROR(__xludf.DUMMYFUNCTION("""COMPUTED_VALUE"""),72.0)</f>
        <v>72</v>
      </c>
    </row>
    <row r="1231">
      <c r="A1231" s="3">
        <f>IFERROR(__xludf.DUMMYFUNCTION("""COMPUTED_VALUE"""),46054.0)</f>
        <v>46054</v>
      </c>
      <c r="B1231" s="1" t="str">
        <f>IFERROR(__xludf.DUMMYFUNCTION("""COMPUTED_VALUE"""),"HTMall")</f>
        <v>HTMall</v>
      </c>
      <c r="C1231" s="1" t="str">
        <f>IFERROR(__xludf.DUMMYFUNCTION("""COMPUTED_VALUE"""),"Mars")</f>
        <v>Mars</v>
      </c>
      <c r="D1231" s="1">
        <f>IFERROR(__xludf.DUMMYFUNCTION("""COMPUTED_VALUE"""),45.0)</f>
        <v>45</v>
      </c>
      <c r="E1231" s="1">
        <f>IFERROR(__xludf.DUMMYFUNCTION("""COMPUTED_VALUE"""),-10.0)</f>
        <v>-10</v>
      </c>
      <c r="F1231" s="1">
        <f>IFERROR(__xludf.DUMMYFUNCTION("""COMPUTED_VALUE"""),10.0)</f>
        <v>10</v>
      </c>
    </row>
    <row r="1232">
      <c r="A1232" s="3">
        <f>IFERROR(__xludf.DUMMYFUNCTION("""COMPUTED_VALUE"""),46054.0)</f>
        <v>46054</v>
      </c>
      <c r="B1232" s="1" t="str">
        <f>IFERROR(__xludf.DUMMYFUNCTION("""COMPUTED_VALUE"""),"HTMall")</f>
        <v>HTMall</v>
      </c>
      <c r="C1232" s="1" t="str">
        <f>IFERROR(__xludf.DUMMYFUNCTION("""COMPUTED_VALUE"""),"Mirinda")</f>
        <v>Mirinda</v>
      </c>
      <c r="D1232" s="1">
        <f>IFERROR(__xludf.DUMMYFUNCTION("""COMPUTED_VALUE"""),57.0)</f>
        <v>57</v>
      </c>
      <c r="E1232" s="1">
        <f>IFERROR(__xludf.DUMMYFUNCTION("""COMPUTED_VALUE"""),14.25)</f>
        <v>14.25</v>
      </c>
      <c r="F1232" s="1">
        <f>IFERROR(__xludf.DUMMYFUNCTION("""COMPUTED_VALUE"""),19.0)</f>
        <v>19</v>
      </c>
    </row>
    <row r="1233">
      <c r="A1233" s="3">
        <f>IFERROR(__xludf.DUMMYFUNCTION("""COMPUTED_VALUE"""),46054.0)</f>
        <v>46054</v>
      </c>
      <c r="B1233" s="1" t="str">
        <f>IFERROR(__xludf.DUMMYFUNCTION("""COMPUTED_VALUE"""),"HTMall")</f>
        <v>HTMall</v>
      </c>
      <c r="C1233" s="1" t="str">
        <f>IFERROR(__xludf.DUMMYFUNCTION("""COMPUTED_VALUE"""),"Mrbeast")</f>
        <v>Mrbeast</v>
      </c>
      <c r="D1233" s="1">
        <f>IFERROR(__xludf.DUMMYFUNCTION("""COMPUTED_VALUE"""),190.0)</f>
        <v>190</v>
      </c>
      <c r="E1233" s="1">
        <f>IFERROR(__xludf.DUMMYFUNCTION("""COMPUTED_VALUE"""),133.0)</f>
        <v>133</v>
      </c>
      <c r="F1233" s="1">
        <f>IFERROR(__xludf.DUMMYFUNCTION("""COMPUTED_VALUE"""),19.0)</f>
        <v>19</v>
      </c>
    </row>
    <row r="1234">
      <c r="A1234" s="3">
        <f>IFERROR(__xludf.DUMMYFUNCTION("""COMPUTED_VALUE"""),46054.0)</f>
        <v>46054</v>
      </c>
      <c r="B1234" s="1" t="str">
        <f>IFERROR(__xludf.DUMMYFUNCTION("""COMPUTED_VALUE"""),"HTMall")</f>
        <v>HTMall</v>
      </c>
      <c r="C1234" s="1" t="str">
        <f>IFERROR(__xludf.DUMMYFUNCTION("""COMPUTED_VALUE"""),"Pepsi")</f>
        <v>Pepsi</v>
      </c>
      <c r="D1234" s="1">
        <f>IFERROR(__xludf.DUMMYFUNCTION("""COMPUTED_VALUE"""),174.0)</f>
        <v>174</v>
      </c>
      <c r="E1234" s="1">
        <f>IFERROR(__xludf.DUMMYFUNCTION("""COMPUTED_VALUE"""),43.5)</f>
        <v>43.5</v>
      </c>
      <c r="F1234" s="1">
        <f>IFERROR(__xludf.DUMMYFUNCTION("""COMPUTED_VALUE"""),58.0)</f>
        <v>58</v>
      </c>
    </row>
    <row r="1235">
      <c r="A1235" s="3">
        <f>IFERROR(__xludf.DUMMYFUNCTION("""COMPUTED_VALUE"""),46054.0)</f>
        <v>46054</v>
      </c>
      <c r="B1235" s="1" t="str">
        <f>IFERROR(__xludf.DUMMYFUNCTION("""COMPUTED_VALUE"""),"HTMall")</f>
        <v>HTMall</v>
      </c>
      <c r="C1235" s="1" t="str">
        <f>IFERROR(__xludf.DUMMYFUNCTION("""COMPUTED_VALUE"""),"Rayhan suntop")</f>
        <v>Rayhan suntop</v>
      </c>
      <c r="D1235" s="1">
        <f>IFERROR(__xludf.DUMMYFUNCTION("""COMPUTED_VALUE"""),24.0)</f>
        <v>24</v>
      </c>
      <c r="E1235" s="1">
        <f>IFERROR(__xludf.DUMMYFUNCTION("""COMPUTED_VALUE"""),0.88)</f>
        <v>0.88</v>
      </c>
      <c r="F1235" s="1">
        <f>IFERROR(__xludf.DUMMYFUNCTION("""COMPUTED_VALUE"""),34.0)</f>
        <v>34</v>
      </c>
    </row>
    <row r="1236">
      <c r="A1236" s="3">
        <f>IFERROR(__xludf.DUMMYFUNCTION("""COMPUTED_VALUE"""),46054.0)</f>
        <v>46054</v>
      </c>
      <c r="B1236" s="1" t="str">
        <f>IFERROR(__xludf.DUMMYFUNCTION("""COMPUTED_VALUE"""),"HTMall")</f>
        <v>HTMall</v>
      </c>
      <c r="C1236" s="1" t="str">
        <f>IFERROR(__xludf.DUMMYFUNCTION("""COMPUTED_VALUE"""),"Schweppes bullet")</f>
        <v>Schweppes bullet</v>
      </c>
      <c r="D1236" s="1">
        <f>IFERROR(__xludf.DUMMYFUNCTION("""COMPUTED_VALUE"""),39.0)</f>
        <v>39</v>
      </c>
      <c r="E1236" s="1">
        <f>IFERROR(__xludf.DUMMYFUNCTION("""COMPUTED_VALUE"""),16.25)</f>
        <v>16.25</v>
      </c>
      <c r="F1236" s="1">
        <f>IFERROR(__xludf.DUMMYFUNCTION("""COMPUTED_VALUE"""),13.0)</f>
        <v>13</v>
      </c>
    </row>
    <row r="1237">
      <c r="A1237" s="3">
        <f>IFERROR(__xludf.DUMMYFUNCTION("""COMPUTED_VALUE"""),46054.0)</f>
        <v>46054</v>
      </c>
      <c r="B1237" s="1" t="str">
        <f>IFERROR(__xludf.DUMMYFUNCTION("""COMPUTED_VALUE"""),"HTMall")</f>
        <v>HTMall</v>
      </c>
      <c r="C1237" s="1" t="str">
        <f>IFERROR(__xludf.DUMMYFUNCTION("""COMPUTED_VALUE"""),"Shani")</f>
        <v>Shani</v>
      </c>
      <c r="D1237" s="1">
        <f>IFERROR(__xludf.DUMMYFUNCTION("""COMPUTED_VALUE"""),54.0)</f>
        <v>54</v>
      </c>
      <c r="E1237" s="1">
        <f>IFERROR(__xludf.DUMMYFUNCTION("""COMPUTED_VALUE"""),13.5)</f>
        <v>13.5</v>
      </c>
      <c r="F1237" s="1">
        <f>IFERROR(__xludf.DUMMYFUNCTION("""COMPUTED_VALUE"""),18.0)</f>
        <v>18</v>
      </c>
    </row>
    <row r="1238">
      <c r="A1238" s="3">
        <f>IFERROR(__xludf.DUMMYFUNCTION("""COMPUTED_VALUE"""),46054.0)</f>
        <v>46054</v>
      </c>
      <c r="B1238" s="1" t="str">
        <f>IFERROR(__xludf.DUMMYFUNCTION("""COMPUTED_VALUE"""),"HTMall")</f>
        <v>HTMall</v>
      </c>
      <c r="C1238" s="1" t="str">
        <f>IFERROR(__xludf.DUMMYFUNCTION("""COMPUTED_VALUE"""),"Snickers")</f>
        <v>Snickers</v>
      </c>
      <c r="D1238" s="1">
        <f>IFERROR(__xludf.DUMMYFUNCTION("""COMPUTED_VALUE"""),24.0)</f>
        <v>24</v>
      </c>
      <c r="E1238" s="1">
        <f>IFERROR(__xludf.DUMMYFUNCTION("""COMPUTED_VALUE"""),3.2)</f>
        <v>3.2</v>
      </c>
      <c r="F1238" s="1">
        <f>IFERROR(__xludf.DUMMYFUNCTION("""COMPUTED_VALUE"""),4.0)</f>
        <v>4</v>
      </c>
    </row>
    <row r="1239">
      <c r="A1239" s="3">
        <f>IFERROR(__xludf.DUMMYFUNCTION("""COMPUTED_VALUE"""),46054.0)</f>
        <v>46054</v>
      </c>
      <c r="B1239" s="1" t="str">
        <f>IFERROR(__xludf.DUMMYFUNCTION("""COMPUTED_VALUE"""),"HTMall")</f>
        <v>HTMall</v>
      </c>
      <c r="C1239" s="1" t="str">
        <f>IFERROR(__xludf.DUMMYFUNCTION("""COMPUTED_VALUE"""),"Tiger *12 tomato")</f>
        <v>Tiger *12 tomato</v>
      </c>
      <c r="D1239" s="1">
        <f>IFERROR(__xludf.DUMMYFUNCTION("""COMPUTED_VALUE"""),6.0)</f>
        <v>6</v>
      </c>
      <c r="E1239" s="1">
        <f>IFERROR(__xludf.DUMMYFUNCTION("""COMPUTED_VALUE"""),2.5)</f>
        <v>2.5</v>
      </c>
      <c r="F1239" s="1">
        <f>IFERROR(__xludf.DUMMYFUNCTION("""COMPUTED_VALUE"""),1.0)</f>
        <v>1</v>
      </c>
    </row>
    <row r="1240">
      <c r="A1240" s="3">
        <f>IFERROR(__xludf.DUMMYFUNCTION("""COMPUTED_VALUE"""),46054.0)</f>
        <v>46054</v>
      </c>
      <c r="B1240" s="1" t="str">
        <f>IFERROR(__xludf.DUMMYFUNCTION("""COMPUTED_VALUE"""),"HTMall")</f>
        <v>HTMall</v>
      </c>
      <c r="C1240" s="1" t="str">
        <f>IFERROR(__xludf.DUMMYFUNCTION("""COMPUTED_VALUE"""),"Tiger excellence")</f>
        <v>Tiger excellence</v>
      </c>
      <c r="D1240" s="1">
        <f>IFERROR(__xludf.DUMMYFUNCTION("""COMPUTED_VALUE"""),120.0)</f>
        <v>120</v>
      </c>
      <c r="E1240" s="1">
        <f>IFERROR(__xludf.DUMMYFUNCTION("""COMPUTED_VALUE"""),66.0)</f>
        <v>66</v>
      </c>
      <c r="F1240" s="1">
        <f>IFERROR(__xludf.DUMMYFUNCTION("""COMPUTED_VALUE"""),24.0)</f>
        <v>24</v>
      </c>
    </row>
    <row r="1241">
      <c r="A1241" s="3">
        <f>IFERROR(__xludf.DUMMYFUNCTION("""COMPUTED_VALUE"""),46054.0)</f>
        <v>46054</v>
      </c>
      <c r="B1241" s="1" t="str">
        <f>IFERROR(__xludf.DUMMYFUNCTION("""COMPUTED_VALUE"""),"HTMall")</f>
        <v>HTMall</v>
      </c>
      <c r="C1241" s="1" t="str">
        <f>IFERROR(__xludf.DUMMYFUNCTION("""COMPUTED_VALUE"""),"Toblerone")</f>
        <v>Toblerone</v>
      </c>
      <c r="D1241" s="1">
        <f>IFERROR(__xludf.DUMMYFUNCTION("""COMPUTED_VALUE"""),24.0)</f>
        <v>24</v>
      </c>
      <c r="E1241" s="1">
        <f>IFERROR(__xludf.DUMMYFUNCTION("""COMPUTED_VALUE"""),4.84)</f>
        <v>4.84</v>
      </c>
      <c r="F1241" s="1">
        <f>IFERROR(__xludf.DUMMYFUNCTION("""COMPUTED_VALUE"""),4.0)</f>
        <v>4</v>
      </c>
    </row>
    <row r="1242">
      <c r="A1242" s="3">
        <f>IFERROR(__xludf.DUMMYFUNCTION("""COMPUTED_VALUE"""),46054.0)</f>
        <v>46054</v>
      </c>
      <c r="B1242" s="1" t="str">
        <f>IFERROR(__xludf.DUMMYFUNCTION("""COMPUTED_VALUE"""),"HTMall")</f>
        <v>HTMall</v>
      </c>
      <c r="C1242" s="1" t="str">
        <f>IFERROR(__xludf.DUMMYFUNCTION("""COMPUTED_VALUE"""),"Turbo strips")</f>
        <v>Turbo strips</v>
      </c>
      <c r="D1242" s="1">
        <f>IFERROR(__xludf.DUMMYFUNCTION("""COMPUTED_VALUE"""),245.0)</f>
        <v>245</v>
      </c>
      <c r="E1242" s="1">
        <f>IFERROR(__xludf.DUMMYFUNCTION("""COMPUTED_VALUE"""),45.08)</f>
        <v>45.08</v>
      </c>
      <c r="F1242" s="1">
        <f>IFERROR(__xludf.DUMMYFUNCTION("""COMPUTED_VALUE"""),49.0)</f>
        <v>49</v>
      </c>
    </row>
    <row r="1243">
      <c r="A1243" s="3">
        <f>IFERROR(__xludf.DUMMYFUNCTION("""COMPUTED_VALUE"""),46054.0)</f>
        <v>46054</v>
      </c>
      <c r="B1243" s="1" t="str">
        <f>IFERROR(__xludf.DUMMYFUNCTION("""COMPUTED_VALUE"""),"HTMall")</f>
        <v>HTMall</v>
      </c>
      <c r="C1243" s="1" t="str">
        <f>IFERROR(__xludf.DUMMYFUNCTION("""COMPUTED_VALUE"""),"Twix single")</f>
        <v>Twix single</v>
      </c>
      <c r="D1243" s="1">
        <f>IFERROR(__xludf.DUMMYFUNCTION("""COMPUTED_VALUE"""),28.0)</f>
        <v>28</v>
      </c>
      <c r="E1243" s="1">
        <f>IFERROR(__xludf.DUMMYFUNCTION("""COMPUTED_VALUE"""),11.55)</f>
        <v>11.55</v>
      </c>
      <c r="F1243" s="1">
        <f>IFERROR(__xludf.DUMMYFUNCTION("""COMPUTED_VALUE"""),7.0)</f>
        <v>7</v>
      </c>
    </row>
    <row r="1244">
      <c r="A1244" s="3">
        <f>IFERROR(__xludf.DUMMYFUNCTION("""COMPUTED_VALUE"""),46054.0)</f>
        <v>46054</v>
      </c>
      <c r="B1244" s="1" t="str">
        <f>IFERROR(__xludf.DUMMYFUNCTION("""COMPUTED_VALUE"""),"HTMall")</f>
        <v>HTMall</v>
      </c>
      <c r="C1244" s="1" t="str">
        <f>IFERROR(__xludf.DUMMYFUNCTION("""COMPUTED_VALUE"""),"Water")</f>
        <v>Water</v>
      </c>
      <c r="D1244" s="1">
        <f>IFERROR(__xludf.DUMMYFUNCTION("""COMPUTED_VALUE"""),538.0)</f>
        <v>538</v>
      </c>
      <c r="E1244" s="1">
        <f>IFERROR(__xludf.DUMMYFUNCTION("""COMPUTED_VALUE"""),387.36)</f>
        <v>387.36</v>
      </c>
      <c r="F1244" s="1">
        <f>IFERROR(__xludf.DUMMYFUNCTION("""COMPUTED_VALUE"""),538.0)</f>
        <v>538</v>
      </c>
    </row>
    <row r="1245">
      <c r="A1245" s="3">
        <f>IFERROR(__xludf.DUMMYFUNCTION("""COMPUTED_VALUE"""),46054.0)</f>
        <v>46054</v>
      </c>
      <c r="B1245" s="1" t="str">
        <f>IFERROR(__xludf.DUMMYFUNCTION("""COMPUTED_VALUE"""),"HTMall")</f>
        <v>HTMall</v>
      </c>
      <c r="C1245" s="1" t="str">
        <f>IFERROR(__xludf.DUMMYFUNCTION("""COMPUTED_VALUE"""),"X!R")</f>
        <v>X!R</v>
      </c>
      <c r="D1245" s="1">
        <f>IFERROR(__xludf.DUMMYFUNCTION("""COMPUTED_VALUE"""),444.0)</f>
        <v>444</v>
      </c>
      <c r="E1245" s="1">
        <f>IFERROR(__xludf.DUMMYFUNCTION("""COMPUTED_VALUE"""),53.61)</f>
        <v>53.61</v>
      </c>
      <c r="F1245" s="1">
        <f>IFERROR(__xludf.DUMMYFUNCTION("""COMPUTED_VALUE"""),91.0)</f>
        <v>91</v>
      </c>
    </row>
    <row r="1246">
      <c r="A1246" s="3">
        <f>IFERROR(__xludf.DUMMYFUNCTION("""COMPUTED_VALUE"""),46054.0)</f>
        <v>46054</v>
      </c>
      <c r="B1246" s="1" t="str">
        <f>IFERROR(__xludf.DUMMYFUNCTION("""COMPUTED_VALUE"""),"HTMall")</f>
        <v>HTMall</v>
      </c>
      <c r="C1246" s="1" t="str">
        <f>IFERROR(__xludf.DUMMYFUNCTION("""COMPUTED_VALUE"""),"Xo Energy")</f>
        <v>Xo Energy</v>
      </c>
      <c r="D1246" s="1">
        <f>IFERROR(__xludf.DUMMYFUNCTION("""COMPUTED_VALUE"""),95.0)</f>
        <v>95</v>
      </c>
      <c r="E1246" s="1">
        <f>IFERROR(__xludf.DUMMYFUNCTION("""COMPUTED_VALUE"""),29.45)</f>
        <v>29.45</v>
      </c>
      <c r="F1246" s="1">
        <f>IFERROR(__xludf.DUMMYFUNCTION("""COMPUTED_VALUE"""),19.0)</f>
        <v>19</v>
      </c>
    </row>
    <row r="1247">
      <c r="A1247" s="3">
        <f>IFERROR(__xludf.DUMMYFUNCTION("""COMPUTED_VALUE"""),46054.0)</f>
        <v>46054</v>
      </c>
      <c r="B1247" s="1" t="str">
        <f>IFERROR(__xludf.DUMMYFUNCTION("""COMPUTED_VALUE"""),"HTMall")</f>
        <v>HTMall</v>
      </c>
      <c r="C1247" s="1" t="str">
        <f>IFERROR(__xludf.DUMMYFUNCTION("""COMPUTED_VALUE"""),"Yupi")</f>
        <v>Yupi</v>
      </c>
      <c r="D1247" s="1">
        <f>IFERROR(__xludf.DUMMYFUNCTION("""COMPUTED_VALUE"""),36.0)</f>
        <v>36</v>
      </c>
      <c r="E1247" s="1">
        <f>IFERROR(__xludf.DUMMYFUNCTION("""COMPUTED_VALUE"""),14.52)</f>
        <v>14.52</v>
      </c>
      <c r="F1247" s="1">
        <f>IFERROR(__xludf.DUMMYFUNCTION("""COMPUTED_VALUE"""),12.0)</f>
        <v>12</v>
      </c>
    </row>
    <row r="1248">
      <c r="A1248" s="3">
        <f>IFERROR(__xludf.DUMMYFUNCTION("""COMPUTED_VALUE"""),46054.0)</f>
        <v>46054</v>
      </c>
      <c r="B1248" s="1" t="str">
        <f>IFERROR(__xludf.DUMMYFUNCTION("""COMPUTED_VALUE"""),"HTMall")</f>
        <v>HTMall</v>
      </c>
      <c r="C1248" s="1" t="str">
        <f>IFERROR(__xludf.DUMMYFUNCTION("""COMPUTED_VALUE"""),"kinza")</f>
        <v>kinza</v>
      </c>
      <c r="D1248" s="1">
        <f>IFERROR(__xludf.DUMMYFUNCTION("""COMPUTED_VALUE"""),26.0)</f>
        <v>26</v>
      </c>
      <c r="E1248" s="1">
        <f>IFERROR(__xludf.DUMMYFUNCTION("""COMPUTED_VALUE"""),5.98)</f>
        <v>5.98</v>
      </c>
      <c r="F1248" s="1">
        <f>IFERROR(__xludf.DUMMYFUNCTION("""COMPUTED_VALUE"""),13.0)</f>
        <v>13</v>
      </c>
    </row>
    <row r="1249">
      <c r="A1249" s="3">
        <f>IFERROR(__xludf.DUMMYFUNCTION("""COMPUTED_VALUE"""),46054.0)</f>
        <v>46054</v>
      </c>
      <c r="B1249" s="1" t="str">
        <f>IFERROR(__xludf.DUMMYFUNCTION("""COMPUTED_VALUE"""),"HTMall")</f>
        <v>HTMall</v>
      </c>
      <c r="C1249" s="1" t="str">
        <f>IFERROR(__xludf.DUMMYFUNCTION("""COMPUTED_VALUE"""),"mr bite")</f>
        <v>mr bite</v>
      </c>
      <c r="D1249" s="1">
        <f>IFERROR(__xludf.DUMMYFUNCTION("""COMPUTED_VALUE"""),45.0)</f>
        <v>45</v>
      </c>
      <c r="E1249" s="1">
        <f>IFERROR(__xludf.DUMMYFUNCTION("""COMPUTED_VALUE"""),18.15)</f>
        <v>18.15</v>
      </c>
      <c r="F1249" s="1">
        <f>IFERROR(__xludf.DUMMYFUNCTION("""COMPUTED_VALUE"""),15.0)</f>
        <v>15</v>
      </c>
    </row>
    <row r="1250">
      <c r="A1250" s="3">
        <f>IFERROR(__xludf.DUMMYFUNCTION("""COMPUTED_VALUE"""),46054.0)</f>
        <v>46054</v>
      </c>
      <c r="B1250" s="1" t="str">
        <f>IFERROR(__xludf.DUMMYFUNCTION("""COMPUTED_VALUE"""),"HTMall")</f>
        <v>HTMall</v>
      </c>
      <c r="C1250" s="1" t="str">
        <f>IFERROR(__xludf.DUMMYFUNCTION("""COMPUTED_VALUE"""),"未设置")</f>
        <v>未设置</v>
      </c>
      <c r="D1250" s="1">
        <f>IFERROR(__xludf.DUMMYFUNCTION("""COMPUTED_VALUE"""),88.0)</f>
        <v>88</v>
      </c>
      <c r="E1250" s="1">
        <f>IFERROR(__xludf.DUMMYFUNCTION("""COMPUTED_VALUE"""),88.0)</f>
        <v>88</v>
      </c>
      <c r="F1250" s="1">
        <f>IFERROR(__xludf.DUMMYFUNCTION("""COMPUTED_VALUE"""),54.0)</f>
        <v>54</v>
      </c>
    </row>
    <row r="1251">
      <c r="A1251" s="3">
        <f>IFERROR(__xludf.DUMMYFUNCTION("""COMPUTED_VALUE"""),46054.0)</f>
        <v>46054</v>
      </c>
      <c r="B1251" s="1" t="str">
        <f>IFERROR(__xludf.DUMMYFUNCTION("""COMPUTED_VALUE"""),"HospAlmoa")</f>
        <v>HospAlmoa</v>
      </c>
      <c r="C1251" s="1" t="str">
        <f>IFERROR(__xludf.DUMMYFUNCTION("""COMPUTED_VALUE"""),"Almarai Chocolate")</f>
        <v>Almarai Chocolate</v>
      </c>
      <c r="D1251" s="1">
        <f>IFERROR(__xludf.DUMMYFUNCTION("""COMPUTED_VALUE"""),69.0)</f>
        <v>69</v>
      </c>
      <c r="E1251" s="1">
        <f>IFERROR(__xludf.DUMMYFUNCTION("""COMPUTED_VALUE"""),16.33)</f>
        <v>16.33</v>
      </c>
      <c r="F1251" s="1">
        <f>IFERROR(__xludf.DUMMYFUNCTION("""COMPUTED_VALUE"""),23.0)</f>
        <v>23</v>
      </c>
    </row>
    <row r="1252">
      <c r="A1252" s="3">
        <f>IFERROR(__xludf.DUMMYFUNCTION("""COMPUTED_VALUE"""),46054.0)</f>
        <v>46054</v>
      </c>
      <c r="B1252" s="1" t="str">
        <f>IFERROR(__xludf.DUMMYFUNCTION("""COMPUTED_VALUE"""),"HospAlmoa")</f>
        <v>HospAlmoa</v>
      </c>
      <c r="C1252" s="1" t="str">
        <f>IFERROR(__xludf.DUMMYFUNCTION("""COMPUTED_VALUE"""),"Almarai Strawberry")</f>
        <v>Almarai Strawberry</v>
      </c>
      <c r="D1252" s="1">
        <f>IFERROR(__xludf.DUMMYFUNCTION("""COMPUTED_VALUE"""),111.0)</f>
        <v>111</v>
      </c>
      <c r="E1252" s="1">
        <f>IFERROR(__xludf.DUMMYFUNCTION("""COMPUTED_VALUE"""),26.27)</f>
        <v>26.27</v>
      </c>
      <c r="F1252" s="1">
        <f>IFERROR(__xludf.DUMMYFUNCTION("""COMPUTED_VALUE"""),37.0)</f>
        <v>37</v>
      </c>
    </row>
    <row r="1253">
      <c r="A1253" s="3">
        <f>IFERROR(__xludf.DUMMYFUNCTION("""COMPUTED_VALUE"""),46054.0)</f>
        <v>46054</v>
      </c>
      <c r="B1253" s="1" t="str">
        <f>IFERROR(__xludf.DUMMYFUNCTION("""COMPUTED_VALUE"""),"HospAlmoa")</f>
        <v>HospAlmoa</v>
      </c>
      <c r="C1253" s="1" t="str">
        <f>IFERROR(__xludf.DUMMYFUNCTION("""COMPUTED_VALUE"""),"Barbican")</f>
        <v>Barbican</v>
      </c>
      <c r="D1253" s="1">
        <f>IFERROR(__xludf.DUMMYFUNCTION("""COMPUTED_VALUE"""),25.0)</f>
        <v>25</v>
      </c>
      <c r="E1253" s="1">
        <f>IFERROR(__xludf.DUMMYFUNCTION("""COMPUTED_VALUE"""),9.15)</f>
        <v>9.15</v>
      </c>
      <c r="F1253" s="1">
        <f>IFERROR(__xludf.DUMMYFUNCTION("""COMPUTED_VALUE"""),5.0)</f>
        <v>5</v>
      </c>
    </row>
    <row r="1254">
      <c r="A1254" s="3">
        <f>IFERROR(__xludf.DUMMYFUNCTION("""COMPUTED_VALUE"""),46054.0)</f>
        <v>46054</v>
      </c>
      <c r="B1254" s="1" t="str">
        <f>IFERROR(__xludf.DUMMYFUNCTION("""COMPUTED_VALUE"""),"HospAlmoa")</f>
        <v>HospAlmoa</v>
      </c>
      <c r="C1254" s="1" t="str">
        <f>IFERROR(__xludf.DUMMYFUNCTION("""COMPUTED_VALUE"""),"Caser Juice")</f>
        <v>Caser Juice</v>
      </c>
      <c r="D1254" s="1">
        <f>IFERROR(__xludf.DUMMYFUNCTION("""COMPUTED_VALUE"""),100.0)</f>
        <v>100</v>
      </c>
      <c r="E1254" s="1">
        <f>IFERROR(__xludf.DUMMYFUNCTION("""COMPUTED_VALUE"""),17.4)</f>
        <v>17.4</v>
      </c>
      <c r="F1254" s="1">
        <f>IFERROR(__xludf.DUMMYFUNCTION("""COMPUTED_VALUE"""),20.0)</f>
        <v>20</v>
      </c>
    </row>
    <row r="1255">
      <c r="A1255" s="3">
        <f>IFERROR(__xludf.DUMMYFUNCTION("""COMPUTED_VALUE"""),46054.0)</f>
        <v>46054</v>
      </c>
      <c r="B1255" s="1" t="str">
        <f>IFERROR(__xludf.DUMMYFUNCTION("""COMPUTED_VALUE"""),"HospAlmoa")</f>
        <v>HospAlmoa</v>
      </c>
      <c r="C1255" s="1" t="str">
        <f>IFERROR(__xludf.DUMMYFUNCTION("""COMPUTED_VALUE"""),"Corissant Karuzo")</f>
        <v>Corissant Karuzo</v>
      </c>
      <c r="D1255" s="1">
        <f>IFERROR(__xludf.DUMMYFUNCTION("""COMPUTED_VALUE"""),101.0)</f>
        <v>101</v>
      </c>
      <c r="E1255" s="1">
        <f>IFERROR(__xludf.DUMMYFUNCTION("""COMPUTED_VALUE"""),32.14)</f>
        <v>32.14</v>
      </c>
      <c r="F1255" s="1">
        <f>IFERROR(__xludf.DUMMYFUNCTION("""COMPUTED_VALUE"""),22.0)</f>
        <v>22</v>
      </c>
    </row>
    <row r="1256">
      <c r="A1256" s="3">
        <f>IFERROR(__xludf.DUMMYFUNCTION("""COMPUTED_VALUE"""),46054.0)</f>
        <v>46054</v>
      </c>
      <c r="B1256" s="1" t="str">
        <f>IFERROR(__xludf.DUMMYFUNCTION("""COMPUTED_VALUE"""),"HospAlmoa")</f>
        <v>HospAlmoa</v>
      </c>
      <c r="C1256" s="1" t="str">
        <f>IFERROR(__xludf.DUMMYFUNCTION("""COMPUTED_VALUE"""),"Digestive")</f>
        <v>Digestive</v>
      </c>
      <c r="D1256" s="1">
        <f>IFERROR(__xludf.DUMMYFUNCTION("""COMPUTED_VALUE"""),76.0)</f>
        <v>76</v>
      </c>
      <c r="E1256" s="1">
        <f>IFERROR(__xludf.DUMMYFUNCTION("""COMPUTED_VALUE"""),57.73)</f>
        <v>57.73</v>
      </c>
      <c r="F1256" s="1">
        <f>IFERROR(__xludf.DUMMYFUNCTION("""COMPUTED_VALUE"""),29.0)</f>
        <v>29</v>
      </c>
    </row>
    <row r="1257">
      <c r="A1257" s="3">
        <f>IFERROR(__xludf.DUMMYFUNCTION("""COMPUTED_VALUE"""),46054.0)</f>
        <v>46054</v>
      </c>
      <c r="B1257" s="1" t="str">
        <f>IFERROR(__xludf.DUMMYFUNCTION("""COMPUTED_VALUE"""),"HospAlmoa")</f>
        <v>HospAlmoa</v>
      </c>
      <c r="C1257" s="1" t="str">
        <f>IFERROR(__xludf.DUMMYFUNCTION("""COMPUTED_VALUE"""),"Doritos cool ranc")</f>
        <v>Doritos cool ranc</v>
      </c>
      <c r="D1257" s="1">
        <f>IFERROR(__xludf.DUMMYFUNCTION("""COMPUTED_VALUE"""),185.0)</f>
        <v>185</v>
      </c>
      <c r="E1257" s="1">
        <f>IFERROR(__xludf.DUMMYFUNCTION("""COMPUTED_VALUE"""),76.58999999999999)</f>
        <v>76.59</v>
      </c>
      <c r="F1257" s="1">
        <f>IFERROR(__xludf.DUMMYFUNCTION("""COMPUTED_VALUE"""),37.0)</f>
        <v>37</v>
      </c>
    </row>
    <row r="1258">
      <c r="A1258" s="3">
        <f>IFERROR(__xludf.DUMMYFUNCTION("""COMPUTED_VALUE"""),46054.0)</f>
        <v>46054</v>
      </c>
      <c r="B1258" s="1" t="str">
        <f>IFERROR(__xludf.DUMMYFUNCTION("""COMPUTED_VALUE"""),"HospAlmoa")</f>
        <v>HospAlmoa</v>
      </c>
      <c r="C1258" s="1" t="str">
        <f>IFERROR(__xludf.DUMMYFUNCTION("""COMPUTED_VALUE"""),"Doritos green hot")</f>
        <v>Doritos green hot</v>
      </c>
      <c r="D1258" s="1">
        <f>IFERROR(__xludf.DUMMYFUNCTION("""COMPUTED_VALUE"""),90.0)</f>
        <v>90</v>
      </c>
      <c r="E1258" s="1">
        <f>IFERROR(__xludf.DUMMYFUNCTION("""COMPUTED_VALUE"""),37.26)</f>
        <v>37.26</v>
      </c>
      <c r="F1258" s="1">
        <f>IFERROR(__xludf.DUMMYFUNCTION("""COMPUTED_VALUE"""),18.0)</f>
        <v>18</v>
      </c>
    </row>
    <row r="1259">
      <c r="A1259" s="3">
        <f>IFERROR(__xludf.DUMMYFUNCTION("""COMPUTED_VALUE"""),46054.0)</f>
        <v>46054</v>
      </c>
      <c r="B1259" s="1" t="str">
        <f>IFERROR(__xludf.DUMMYFUNCTION("""COMPUTED_VALUE"""),"HospAlmoa")</f>
        <v>HospAlmoa</v>
      </c>
      <c r="C1259" s="1" t="str">
        <f>IFERROR(__xludf.DUMMYFUNCTION("""COMPUTED_VALUE"""),"Doritos nacho")</f>
        <v>Doritos nacho</v>
      </c>
      <c r="D1259" s="1">
        <f>IFERROR(__xludf.DUMMYFUNCTION("""COMPUTED_VALUE"""),65.0)</f>
        <v>65</v>
      </c>
      <c r="E1259" s="1">
        <f>IFERROR(__xludf.DUMMYFUNCTION("""COMPUTED_VALUE"""),23.98)</f>
        <v>23.98</v>
      </c>
      <c r="F1259" s="1">
        <f>IFERROR(__xludf.DUMMYFUNCTION("""COMPUTED_VALUE"""),14.0)</f>
        <v>14</v>
      </c>
    </row>
    <row r="1260">
      <c r="A1260" s="3">
        <f>IFERROR(__xludf.DUMMYFUNCTION("""COMPUTED_VALUE"""),46054.0)</f>
        <v>46054</v>
      </c>
      <c r="B1260" s="1" t="str">
        <f>IFERROR(__xludf.DUMMYFUNCTION("""COMPUTED_VALUE"""),"HospAlmoa")</f>
        <v>HospAlmoa</v>
      </c>
      <c r="C1260" s="1" t="str">
        <f>IFERROR(__xludf.DUMMYFUNCTION("""COMPUTED_VALUE"""),"Freez")</f>
        <v>Freez</v>
      </c>
      <c r="D1260" s="1">
        <f>IFERROR(__xludf.DUMMYFUNCTION("""COMPUTED_VALUE"""),6.0)</f>
        <v>6</v>
      </c>
      <c r="E1260" s="1">
        <f>IFERROR(__xludf.DUMMYFUNCTION("""COMPUTED_VALUE"""),2.59)</f>
        <v>2.59</v>
      </c>
      <c r="F1260" s="1">
        <f>IFERROR(__xludf.DUMMYFUNCTION("""COMPUTED_VALUE"""),1.0)</f>
        <v>1</v>
      </c>
    </row>
    <row r="1261">
      <c r="A1261" s="3">
        <f>IFERROR(__xludf.DUMMYFUNCTION("""COMPUTED_VALUE"""),46054.0)</f>
        <v>46054</v>
      </c>
      <c r="B1261" s="1" t="str">
        <f>IFERROR(__xludf.DUMMYFUNCTION("""COMPUTED_VALUE"""),"HospAlmoa")</f>
        <v>HospAlmoa</v>
      </c>
      <c r="C1261" s="1" t="str">
        <f>IFERROR(__xludf.DUMMYFUNCTION("""COMPUTED_VALUE"""),"Gardena")</f>
        <v>Gardena</v>
      </c>
      <c r="D1261" s="1">
        <f>IFERROR(__xludf.DUMMYFUNCTION("""COMPUTED_VALUE"""),75.0)</f>
        <v>75</v>
      </c>
      <c r="E1261" s="1">
        <f>IFERROR(__xludf.DUMMYFUNCTION("""COMPUTED_VALUE"""),-2.0)</f>
        <v>-2</v>
      </c>
      <c r="F1261" s="1">
        <f>IFERROR(__xludf.DUMMYFUNCTION("""COMPUTED_VALUE"""),14.0)</f>
        <v>14</v>
      </c>
    </row>
    <row r="1262">
      <c r="A1262" s="3">
        <f>IFERROR(__xludf.DUMMYFUNCTION("""COMPUTED_VALUE"""),46054.0)</f>
        <v>46054</v>
      </c>
      <c r="B1262" s="1" t="str">
        <f>IFERROR(__xludf.DUMMYFUNCTION("""COMPUTED_VALUE"""),"HospAlmoa")</f>
        <v>HospAlmoa</v>
      </c>
      <c r="C1262" s="1" t="str">
        <f>IFERROR(__xludf.DUMMYFUNCTION("""COMPUTED_VALUE"""),"Indomie")</f>
        <v>Indomie</v>
      </c>
      <c r="D1262" s="1">
        <f>IFERROR(__xludf.DUMMYFUNCTION("""COMPUTED_VALUE"""),10.0)</f>
        <v>10</v>
      </c>
      <c r="E1262" s="1">
        <f>IFERROR(__xludf.DUMMYFUNCTION("""COMPUTED_VALUE"""),4.34)</f>
        <v>4.34</v>
      </c>
      <c r="F1262" s="1">
        <f>IFERROR(__xludf.DUMMYFUNCTION("""COMPUTED_VALUE"""),2.0)</f>
        <v>2</v>
      </c>
    </row>
    <row r="1263">
      <c r="A1263" s="3">
        <f>IFERROR(__xludf.DUMMYFUNCTION("""COMPUTED_VALUE"""),46054.0)</f>
        <v>46054</v>
      </c>
      <c r="B1263" s="1" t="str">
        <f>IFERROR(__xludf.DUMMYFUNCTION("""COMPUTED_VALUE"""),"HospAlmoa")</f>
        <v>HospAlmoa</v>
      </c>
      <c r="C1263" s="1" t="str">
        <f>IFERROR(__xludf.DUMMYFUNCTION("""COMPUTED_VALUE"""),"Kinder Bueno")</f>
        <v>Kinder Bueno</v>
      </c>
      <c r="D1263" s="1">
        <f>IFERROR(__xludf.DUMMYFUNCTION("""COMPUTED_VALUE"""),354.0)</f>
        <v>354</v>
      </c>
      <c r="E1263" s="1">
        <f>IFERROR(__xludf.DUMMYFUNCTION("""COMPUTED_VALUE"""),46.0)</f>
        <v>46</v>
      </c>
      <c r="F1263" s="1">
        <f>IFERROR(__xludf.DUMMYFUNCTION("""COMPUTED_VALUE"""),44.0)</f>
        <v>44</v>
      </c>
    </row>
    <row r="1264">
      <c r="A1264" s="3">
        <f>IFERROR(__xludf.DUMMYFUNCTION("""COMPUTED_VALUE"""),46054.0)</f>
        <v>46054</v>
      </c>
      <c r="B1264" s="1" t="str">
        <f>IFERROR(__xludf.DUMMYFUNCTION("""COMPUTED_VALUE"""),"HospAlmoa")</f>
        <v>HospAlmoa</v>
      </c>
      <c r="C1264" s="1" t="str">
        <f>IFERROR(__xludf.DUMMYFUNCTION("""COMPUTED_VALUE"""),"Kitkat 2 fingers")</f>
        <v>Kitkat 2 fingers</v>
      </c>
      <c r="D1264" s="1">
        <f>IFERROR(__xludf.DUMMYFUNCTION("""COMPUTED_VALUE"""),45.0)</f>
        <v>45</v>
      </c>
      <c r="E1264" s="1">
        <f>IFERROR(__xludf.DUMMYFUNCTION("""COMPUTED_VALUE"""),18.75)</f>
        <v>18.75</v>
      </c>
      <c r="F1264" s="1">
        <f>IFERROR(__xludf.DUMMYFUNCTION("""COMPUTED_VALUE"""),15.0)</f>
        <v>15</v>
      </c>
    </row>
    <row r="1265">
      <c r="A1265" s="3">
        <f>IFERROR(__xludf.DUMMYFUNCTION("""COMPUTED_VALUE"""),46054.0)</f>
        <v>46054</v>
      </c>
      <c r="B1265" s="1" t="str">
        <f>IFERROR(__xludf.DUMMYFUNCTION("""COMPUTED_VALUE"""),"HospAlmoa")</f>
        <v>HospAlmoa</v>
      </c>
      <c r="C1265" s="1" t="str">
        <f>IFERROR(__xludf.DUMMYFUNCTION("""COMPUTED_VALUE"""),"Kunuz Juice")</f>
        <v>Kunuz Juice</v>
      </c>
      <c r="D1265" s="1">
        <f>IFERROR(__xludf.DUMMYFUNCTION("""COMPUTED_VALUE"""),100.0)</f>
        <v>100</v>
      </c>
      <c r="E1265" s="1">
        <f>IFERROR(__xludf.DUMMYFUNCTION("""COMPUTED_VALUE"""),61.6)</f>
        <v>61.6</v>
      </c>
      <c r="F1265" s="1">
        <f>IFERROR(__xludf.DUMMYFUNCTION("""COMPUTED_VALUE"""),24.0)</f>
        <v>24</v>
      </c>
    </row>
    <row r="1266">
      <c r="A1266" s="3">
        <f>IFERROR(__xludf.DUMMYFUNCTION("""COMPUTED_VALUE"""),46054.0)</f>
        <v>46054</v>
      </c>
      <c r="B1266" s="1" t="str">
        <f>IFERROR(__xludf.DUMMYFUNCTION("""COMPUTED_VALUE"""),"HospAlmoa")</f>
        <v>HospAlmoa</v>
      </c>
      <c r="C1266" s="1" t="str">
        <f>IFERROR(__xludf.DUMMYFUNCTION("""COMPUTED_VALUE"""),"Laviva")</f>
        <v>Laviva</v>
      </c>
      <c r="D1266" s="1">
        <f>IFERROR(__xludf.DUMMYFUNCTION("""COMPUTED_VALUE"""),130.0)</f>
        <v>130</v>
      </c>
      <c r="E1266" s="1">
        <f>IFERROR(__xludf.DUMMYFUNCTION("""COMPUTED_VALUE"""),37.75)</f>
        <v>37.75</v>
      </c>
      <c r="F1266" s="1">
        <f>IFERROR(__xludf.DUMMYFUNCTION("""COMPUTED_VALUE"""),41.0)</f>
        <v>41</v>
      </c>
    </row>
    <row r="1267">
      <c r="A1267" s="3">
        <f>IFERROR(__xludf.DUMMYFUNCTION("""COMPUTED_VALUE"""),46054.0)</f>
        <v>46054</v>
      </c>
      <c r="B1267" s="1" t="str">
        <f>IFERROR(__xludf.DUMMYFUNCTION("""COMPUTED_VALUE"""),"HospAlmoa")</f>
        <v>HospAlmoa</v>
      </c>
      <c r="C1267" s="1" t="str">
        <f>IFERROR(__xludf.DUMMYFUNCTION("""COMPUTED_VALUE"""),"Lexus")</f>
        <v>Lexus</v>
      </c>
      <c r="D1267" s="1">
        <f>IFERROR(__xludf.DUMMYFUNCTION("""COMPUTED_VALUE"""),125.0)</f>
        <v>125</v>
      </c>
      <c r="E1267" s="1">
        <f>IFERROR(__xludf.DUMMYFUNCTION("""COMPUTED_VALUE"""),30.0)</f>
        <v>30</v>
      </c>
      <c r="F1267" s="1">
        <f>IFERROR(__xludf.DUMMYFUNCTION("""COMPUTED_VALUE"""),25.0)</f>
        <v>25</v>
      </c>
    </row>
    <row r="1268">
      <c r="A1268" s="3">
        <f>IFERROR(__xludf.DUMMYFUNCTION("""COMPUTED_VALUE"""),46054.0)</f>
        <v>46054</v>
      </c>
      <c r="B1268" s="1" t="str">
        <f>IFERROR(__xludf.DUMMYFUNCTION("""COMPUTED_VALUE"""),"HospAlmoa")</f>
        <v>HospAlmoa</v>
      </c>
      <c r="C1268" s="1" t="str">
        <f>IFERROR(__xludf.DUMMYFUNCTION("""COMPUTED_VALUE"""),"Lovita cookies")</f>
        <v>Lovita cookies</v>
      </c>
      <c r="D1268" s="1">
        <f>IFERROR(__xludf.DUMMYFUNCTION("""COMPUTED_VALUE"""),80.0)</f>
        <v>80</v>
      </c>
      <c r="E1268" s="1">
        <f>IFERROR(__xludf.DUMMYFUNCTION("""COMPUTED_VALUE"""),28.2)</f>
        <v>28.2</v>
      </c>
      <c r="F1268" s="1">
        <f>IFERROR(__xludf.DUMMYFUNCTION("""COMPUTED_VALUE"""),10.0)</f>
        <v>10</v>
      </c>
    </row>
    <row r="1269">
      <c r="A1269" s="3">
        <f>IFERROR(__xludf.DUMMYFUNCTION("""COMPUTED_VALUE"""),46054.0)</f>
        <v>46054</v>
      </c>
      <c r="B1269" s="1" t="str">
        <f>IFERROR(__xludf.DUMMYFUNCTION("""COMPUTED_VALUE"""),"HospAlmoa")</f>
        <v>HospAlmoa</v>
      </c>
      <c r="C1269" s="1" t="str">
        <f>IFERROR(__xludf.DUMMYFUNCTION("""COMPUTED_VALUE"""),"MR Crunch")</f>
        <v>MR Crunch</v>
      </c>
      <c r="D1269" s="1">
        <f>IFERROR(__xludf.DUMMYFUNCTION("""COMPUTED_VALUE"""),545.0)</f>
        <v>545</v>
      </c>
      <c r="E1269" s="1">
        <f>IFERROR(__xludf.DUMMYFUNCTION("""COMPUTED_VALUE"""),218.0)</f>
        <v>218</v>
      </c>
      <c r="F1269" s="1">
        <f>IFERROR(__xludf.DUMMYFUNCTION("""COMPUTED_VALUE"""),109.0)</f>
        <v>109</v>
      </c>
    </row>
    <row r="1270">
      <c r="A1270" s="3">
        <f>IFERROR(__xludf.DUMMYFUNCTION("""COMPUTED_VALUE"""),46054.0)</f>
        <v>46054</v>
      </c>
      <c r="B1270" s="1" t="str">
        <f>IFERROR(__xludf.DUMMYFUNCTION("""COMPUTED_VALUE"""),"HospAlmoa")</f>
        <v>HospAlmoa</v>
      </c>
      <c r="C1270" s="1" t="str">
        <f>IFERROR(__xludf.DUMMYFUNCTION("""COMPUTED_VALUE"""),"Maltesers")</f>
        <v>Maltesers</v>
      </c>
      <c r="D1270" s="1">
        <f>IFERROR(__xludf.DUMMYFUNCTION("""COMPUTED_VALUE"""),107.0)</f>
        <v>107</v>
      </c>
      <c r="E1270" s="1">
        <f>IFERROR(__xludf.DUMMYFUNCTION("""COMPUTED_VALUE"""),9.5)</f>
        <v>9.5</v>
      </c>
      <c r="F1270" s="1">
        <f>IFERROR(__xludf.DUMMYFUNCTION("""COMPUTED_VALUE"""),13.0)</f>
        <v>13</v>
      </c>
    </row>
    <row r="1271">
      <c r="A1271" s="3">
        <f>IFERROR(__xludf.DUMMYFUNCTION("""COMPUTED_VALUE"""),46054.0)</f>
        <v>46054</v>
      </c>
      <c r="B1271" s="1" t="str">
        <f>IFERROR(__xludf.DUMMYFUNCTION("""COMPUTED_VALUE"""),"HospAlmoa")</f>
        <v>HospAlmoa</v>
      </c>
      <c r="C1271" s="1" t="str">
        <f>IFERROR(__xludf.DUMMYFUNCTION("""COMPUTED_VALUE"""),"Mars")</f>
        <v>Mars</v>
      </c>
      <c r="D1271" s="1">
        <f>IFERROR(__xludf.DUMMYFUNCTION("""COMPUTED_VALUE"""),108.0)</f>
        <v>108</v>
      </c>
      <c r="E1271" s="1">
        <f>IFERROR(__xludf.DUMMYFUNCTION("""COMPUTED_VALUE"""),-2.0)</f>
        <v>-2</v>
      </c>
      <c r="F1271" s="1">
        <f>IFERROR(__xludf.DUMMYFUNCTION("""COMPUTED_VALUE"""),20.0)</f>
        <v>20</v>
      </c>
    </row>
    <row r="1272">
      <c r="A1272" s="3">
        <f>IFERROR(__xludf.DUMMYFUNCTION("""COMPUTED_VALUE"""),46054.0)</f>
        <v>46054</v>
      </c>
      <c r="B1272" s="1" t="str">
        <f>IFERROR(__xludf.DUMMYFUNCTION("""COMPUTED_VALUE"""),"HospAlmoa")</f>
        <v>HospAlmoa</v>
      </c>
      <c r="C1272" s="1" t="str">
        <f>IFERROR(__xludf.DUMMYFUNCTION("""COMPUTED_VALUE"""),"Mirinda")</f>
        <v>Mirinda</v>
      </c>
      <c r="D1272" s="1">
        <f>IFERROR(__xludf.DUMMYFUNCTION("""COMPUTED_VALUE"""),33.0)</f>
        <v>33</v>
      </c>
      <c r="E1272" s="1">
        <f>IFERROR(__xludf.DUMMYFUNCTION("""COMPUTED_VALUE"""),8.25)</f>
        <v>8.25</v>
      </c>
      <c r="F1272" s="1">
        <f>IFERROR(__xludf.DUMMYFUNCTION("""COMPUTED_VALUE"""),11.0)</f>
        <v>11</v>
      </c>
    </row>
    <row r="1273">
      <c r="A1273" s="3">
        <f>IFERROR(__xludf.DUMMYFUNCTION("""COMPUTED_VALUE"""),46054.0)</f>
        <v>46054</v>
      </c>
      <c r="B1273" s="1" t="str">
        <f>IFERROR(__xludf.DUMMYFUNCTION("""COMPUTED_VALUE"""),"HospAlmoa")</f>
        <v>HospAlmoa</v>
      </c>
      <c r="C1273" s="1" t="str">
        <f>IFERROR(__xludf.DUMMYFUNCTION("""COMPUTED_VALUE"""),"Pepsi")</f>
        <v>Pepsi</v>
      </c>
      <c r="D1273" s="1">
        <f>IFERROR(__xludf.DUMMYFUNCTION("""COMPUTED_VALUE"""),168.0)</f>
        <v>168</v>
      </c>
      <c r="E1273" s="1">
        <f>IFERROR(__xludf.DUMMYFUNCTION("""COMPUTED_VALUE"""),42.0)</f>
        <v>42</v>
      </c>
      <c r="F1273" s="1">
        <f>IFERROR(__xludf.DUMMYFUNCTION("""COMPUTED_VALUE"""),56.0)</f>
        <v>56</v>
      </c>
    </row>
    <row r="1274">
      <c r="A1274" s="3">
        <f>IFERROR(__xludf.DUMMYFUNCTION("""COMPUTED_VALUE"""),46054.0)</f>
        <v>46054</v>
      </c>
      <c r="B1274" s="1" t="str">
        <f>IFERROR(__xludf.DUMMYFUNCTION("""COMPUTED_VALUE"""),"HospAlmoa")</f>
        <v>HospAlmoa</v>
      </c>
      <c r="C1274" s="1" t="str">
        <f>IFERROR(__xludf.DUMMYFUNCTION("""COMPUTED_VALUE"""),"Rayhan suntop")</f>
        <v>Rayhan suntop</v>
      </c>
      <c r="D1274" s="1">
        <f>IFERROR(__xludf.DUMMYFUNCTION("""COMPUTED_VALUE"""),113.0)</f>
        <v>113</v>
      </c>
      <c r="E1274" s="1">
        <f>IFERROR(__xludf.DUMMYFUNCTION("""COMPUTED_VALUE"""),36.16)</f>
        <v>36.16</v>
      </c>
      <c r="F1274" s="1">
        <f>IFERROR(__xludf.DUMMYFUNCTION("""COMPUTED_VALUE"""),113.0)</f>
        <v>113</v>
      </c>
    </row>
    <row r="1275">
      <c r="A1275" s="3">
        <f>IFERROR(__xludf.DUMMYFUNCTION("""COMPUTED_VALUE"""),46054.0)</f>
        <v>46054</v>
      </c>
      <c r="B1275" s="1" t="str">
        <f>IFERROR(__xludf.DUMMYFUNCTION("""COMPUTED_VALUE"""),"HospAlmoa")</f>
        <v>HospAlmoa</v>
      </c>
      <c r="C1275" s="1" t="str">
        <f>IFERROR(__xludf.DUMMYFUNCTION("""COMPUTED_VALUE"""),"Savi stix")</f>
        <v>Savi stix</v>
      </c>
      <c r="D1275" s="1">
        <f>IFERROR(__xludf.DUMMYFUNCTION("""COMPUTED_VALUE"""),65.0)</f>
        <v>65</v>
      </c>
      <c r="E1275" s="1">
        <f>IFERROR(__xludf.DUMMYFUNCTION("""COMPUTED_VALUE"""),14.6)</f>
        <v>14.6</v>
      </c>
      <c r="F1275" s="1">
        <f>IFERROR(__xludf.DUMMYFUNCTION("""COMPUTED_VALUE"""),14.0)</f>
        <v>14</v>
      </c>
    </row>
    <row r="1276">
      <c r="A1276" s="3">
        <f>IFERROR(__xludf.DUMMYFUNCTION("""COMPUTED_VALUE"""),46054.0)</f>
        <v>46054</v>
      </c>
      <c r="B1276" s="1" t="str">
        <f>IFERROR(__xludf.DUMMYFUNCTION("""COMPUTED_VALUE"""),"HospAlmoa")</f>
        <v>HospAlmoa</v>
      </c>
      <c r="C1276" s="1" t="str">
        <f>IFERROR(__xludf.DUMMYFUNCTION("""COMPUTED_VALUE"""),"Schweppes")</f>
        <v>Schweppes</v>
      </c>
      <c r="D1276" s="1">
        <f>IFERROR(__xludf.DUMMYFUNCTION("""COMPUTED_VALUE"""),36.0)</f>
        <v>36</v>
      </c>
      <c r="E1276" s="1">
        <f>IFERROR(__xludf.DUMMYFUNCTION("""COMPUTED_VALUE"""),12.0)</f>
        <v>12</v>
      </c>
      <c r="F1276" s="1">
        <f>IFERROR(__xludf.DUMMYFUNCTION("""COMPUTED_VALUE"""),12.0)</f>
        <v>12</v>
      </c>
    </row>
    <row r="1277">
      <c r="A1277" s="3">
        <f>IFERROR(__xludf.DUMMYFUNCTION("""COMPUTED_VALUE"""),46054.0)</f>
        <v>46054</v>
      </c>
      <c r="B1277" s="1" t="str">
        <f>IFERROR(__xludf.DUMMYFUNCTION("""COMPUTED_VALUE"""),"HospAlmoa")</f>
        <v>HospAlmoa</v>
      </c>
      <c r="C1277" s="1" t="str">
        <f>IFERROR(__xludf.DUMMYFUNCTION("""COMPUTED_VALUE"""),"Schweppes bullet")</f>
        <v>Schweppes bullet</v>
      </c>
      <c r="D1277" s="1">
        <f>IFERROR(__xludf.DUMMYFUNCTION("""COMPUTED_VALUE"""),48.0)</f>
        <v>48</v>
      </c>
      <c r="E1277" s="1">
        <f>IFERROR(__xludf.DUMMYFUNCTION("""COMPUTED_VALUE"""),20.0)</f>
        <v>20</v>
      </c>
      <c r="F1277" s="1">
        <f>IFERROR(__xludf.DUMMYFUNCTION("""COMPUTED_VALUE"""),16.0)</f>
        <v>16</v>
      </c>
    </row>
    <row r="1278">
      <c r="A1278" s="3">
        <f>IFERROR(__xludf.DUMMYFUNCTION("""COMPUTED_VALUE"""),46054.0)</f>
        <v>46054</v>
      </c>
      <c r="B1278" s="1" t="str">
        <f>IFERROR(__xludf.DUMMYFUNCTION("""COMPUTED_VALUE"""),"HospAlmoa")</f>
        <v>HospAlmoa</v>
      </c>
      <c r="C1278" s="1" t="str">
        <f>IFERROR(__xludf.DUMMYFUNCTION("""COMPUTED_VALUE"""),"Shani")</f>
        <v>Shani</v>
      </c>
      <c r="D1278" s="1">
        <f>IFERROR(__xludf.DUMMYFUNCTION("""COMPUTED_VALUE"""),45.0)</f>
        <v>45</v>
      </c>
      <c r="E1278" s="1">
        <f>IFERROR(__xludf.DUMMYFUNCTION("""COMPUTED_VALUE"""),11.25)</f>
        <v>11.25</v>
      </c>
      <c r="F1278" s="1">
        <f>IFERROR(__xludf.DUMMYFUNCTION("""COMPUTED_VALUE"""),15.0)</f>
        <v>15</v>
      </c>
    </row>
    <row r="1279">
      <c r="A1279" s="3">
        <f>IFERROR(__xludf.DUMMYFUNCTION("""COMPUTED_VALUE"""),46054.0)</f>
        <v>46054</v>
      </c>
      <c r="B1279" s="1" t="str">
        <f>IFERROR(__xludf.DUMMYFUNCTION("""COMPUTED_VALUE"""),"HospAlmoa")</f>
        <v>HospAlmoa</v>
      </c>
      <c r="C1279" s="1" t="str">
        <f>IFERROR(__xludf.DUMMYFUNCTION("""COMPUTED_VALUE"""),"Snickers")</f>
        <v>Snickers</v>
      </c>
      <c r="D1279" s="1">
        <f>IFERROR(__xludf.DUMMYFUNCTION("""COMPUTED_VALUE"""),54.0)</f>
        <v>54</v>
      </c>
      <c r="E1279" s="1">
        <f>IFERROR(__xludf.DUMMYFUNCTION("""COMPUTED_VALUE"""),7.2)</f>
        <v>7.2</v>
      </c>
      <c r="F1279" s="1">
        <f>IFERROR(__xludf.DUMMYFUNCTION("""COMPUTED_VALUE"""),9.0)</f>
        <v>9</v>
      </c>
    </row>
    <row r="1280">
      <c r="A1280" s="3">
        <f>IFERROR(__xludf.DUMMYFUNCTION("""COMPUTED_VALUE"""),46054.0)</f>
        <v>46054</v>
      </c>
      <c r="B1280" s="1" t="str">
        <f>IFERROR(__xludf.DUMMYFUNCTION("""COMPUTED_VALUE"""),"HospAlmoa")</f>
        <v>HospAlmoa</v>
      </c>
      <c r="C1280" s="1" t="str">
        <f>IFERROR(__xludf.DUMMYFUNCTION("""COMPUTED_VALUE"""),"Tiger excellence")</f>
        <v>Tiger excellence</v>
      </c>
      <c r="D1280" s="1">
        <f>IFERROR(__xludf.DUMMYFUNCTION("""COMPUTED_VALUE"""),105.0)</f>
        <v>105</v>
      </c>
      <c r="E1280" s="1">
        <f>IFERROR(__xludf.DUMMYFUNCTION("""COMPUTED_VALUE"""),57.75)</f>
        <v>57.75</v>
      </c>
      <c r="F1280" s="1">
        <f>IFERROR(__xludf.DUMMYFUNCTION("""COMPUTED_VALUE"""),21.0)</f>
        <v>21</v>
      </c>
    </row>
    <row r="1281">
      <c r="A1281" s="3">
        <f>IFERROR(__xludf.DUMMYFUNCTION("""COMPUTED_VALUE"""),46054.0)</f>
        <v>46054</v>
      </c>
      <c r="B1281" s="1" t="str">
        <f>IFERROR(__xludf.DUMMYFUNCTION("""COMPUTED_VALUE"""),"HospAlmoa")</f>
        <v>HospAlmoa</v>
      </c>
      <c r="C1281" s="1" t="str">
        <f>IFERROR(__xludf.DUMMYFUNCTION("""COMPUTED_VALUE"""),"Toblerone")</f>
        <v>Toblerone</v>
      </c>
      <c r="D1281" s="1">
        <f>IFERROR(__xludf.DUMMYFUNCTION("""COMPUTED_VALUE"""),214.0)</f>
        <v>214</v>
      </c>
      <c r="E1281" s="1">
        <f>IFERROR(__xludf.DUMMYFUNCTION("""COMPUTED_VALUE"""),55.93)</f>
        <v>55.93</v>
      </c>
      <c r="F1281" s="1">
        <f>IFERROR(__xludf.DUMMYFUNCTION("""COMPUTED_VALUE"""),33.0)</f>
        <v>33</v>
      </c>
    </row>
    <row r="1282">
      <c r="A1282" s="3">
        <f>IFERROR(__xludf.DUMMYFUNCTION("""COMPUTED_VALUE"""),46054.0)</f>
        <v>46054</v>
      </c>
      <c r="B1282" s="1" t="str">
        <f>IFERROR(__xludf.DUMMYFUNCTION("""COMPUTED_VALUE"""),"HospAlmoa")</f>
        <v>HospAlmoa</v>
      </c>
      <c r="C1282" s="1" t="str">
        <f>IFERROR(__xludf.DUMMYFUNCTION("""COMPUTED_VALUE"""),"Twix")</f>
        <v>Twix</v>
      </c>
      <c r="D1282" s="1">
        <f>IFERROR(__xludf.DUMMYFUNCTION("""COMPUTED_VALUE"""),54.0)</f>
        <v>54</v>
      </c>
      <c r="E1282" s="1">
        <f>IFERROR(__xludf.DUMMYFUNCTION("""COMPUTED_VALUE"""),9.0)</f>
        <v>9</v>
      </c>
      <c r="F1282" s="1">
        <f>IFERROR(__xludf.DUMMYFUNCTION("""COMPUTED_VALUE"""),9.0)</f>
        <v>9</v>
      </c>
    </row>
    <row r="1283">
      <c r="A1283" s="3">
        <f>IFERROR(__xludf.DUMMYFUNCTION("""COMPUTED_VALUE"""),46054.0)</f>
        <v>46054</v>
      </c>
      <c r="B1283" s="1" t="str">
        <f>IFERROR(__xludf.DUMMYFUNCTION("""COMPUTED_VALUE"""),"HospAlmoa")</f>
        <v>HospAlmoa</v>
      </c>
      <c r="C1283" s="1" t="str">
        <f>IFERROR(__xludf.DUMMYFUNCTION("""COMPUTED_VALUE"""),"Water")</f>
        <v>Water</v>
      </c>
      <c r="D1283" s="1">
        <f>IFERROR(__xludf.DUMMYFUNCTION("""COMPUTED_VALUE"""),303.0)</f>
        <v>303</v>
      </c>
      <c r="E1283" s="1">
        <f>IFERROR(__xludf.DUMMYFUNCTION("""COMPUTED_VALUE"""),218.16)</f>
        <v>218.16</v>
      </c>
      <c r="F1283" s="1">
        <f>IFERROR(__xludf.DUMMYFUNCTION("""COMPUTED_VALUE"""),303.0)</f>
        <v>303</v>
      </c>
    </row>
    <row r="1284">
      <c r="A1284" s="3">
        <f>IFERROR(__xludf.DUMMYFUNCTION("""COMPUTED_VALUE"""),46054.0)</f>
        <v>46054</v>
      </c>
      <c r="B1284" s="1" t="str">
        <f>IFERROR(__xludf.DUMMYFUNCTION("""COMPUTED_VALUE"""),"HospAlmoa")</f>
        <v>HospAlmoa</v>
      </c>
      <c r="C1284" s="1" t="str">
        <f>IFERROR(__xludf.DUMMYFUNCTION("""COMPUTED_VALUE"""),"X!R")</f>
        <v>X!R</v>
      </c>
      <c r="D1284" s="1">
        <f>IFERROR(__xludf.DUMMYFUNCTION("""COMPUTED_VALUE"""),280.0)</f>
        <v>280</v>
      </c>
      <c r="E1284" s="1">
        <f>IFERROR(__xludf.DUMMYFUNCTION("""COMPUTED_VALUE"""),39.76)</f>
        <v>39.76</v>
      </c>
      <c r="F1284" s="1">
        <f>IFERROR(__xludf.DUMMYFUNCTION("""COMPUTED_VALUE"""),56.0)</f>
        <v>56</v>
      </c>
    </row>
    <row r="1285">
      <c r="A1285" s="3">
        <f>IFERROR(__xludf.DUMMYFUNCTION("""COMPUTED_VALUE"""),46054.0)</f>
        <v>46054</v>
      </c>
      <c r="B1285" s="1" t="str">
        <f>IFERROR(__xludf.DUMMYFUNCTION("""COMPUTED_VALUE"""),"HospAlmoa")</f>
        <v>HospAlmoa</v>
      </c>
      <c r="C1285" s="1" t="str">
        <f>IFERROR(__xludf.DUMMYFUNCTION("""COMPUTED_VALUE"""),"Xo Energy")</f>
        <v>Xo Energy</v>
      </c>
      <c r="D1285" s="1">
        <f>IFERROR(__xludf.DUMMYFUNCTION("""COMPUTED_VALUE"""),15.0)</f>
        <v>15</v>
      </c>
      <c r="E1285" s="1">
        <f>IFERROR(__xludf.DUMMYFUNCTION("""COMPUTED_VALUE"""),4.65)</f>
        <v>4.65</v>
      </c>
      <c r="F1285" s="1">
        <f>IFERROR(__xludf.DUMMYFUNCTION("""COMPUTED_VALUE"""),3.0)</f>
        <v>3</v>
      </c>
    </row>
    <row r="1286">
      <c r="A1286" s="3">
        <f>IFERROR(__xludf.DUMMYFUNCTION("""COMPUTED_VALUE"""),46054.0)</f>
        <v>46054</v>
      </c>
      <c r="B1286" s="1" t="str">
        <f>IFERROR(__xludf.DUMMYFUNCTION("""COMPUTED_VALUE"""),"HospAlmoa")</f>
        <v>HospAlmoa</v>
      </c>
      <c r="C1286" s="1" t="str">
        <f>IFERROR(__xludf.DUMMYFUNCTION("""COMPUTED_VALUE"""),"mr bite")</f>
        <v>mr bite</v>
      </c>
      <c r="D1286" s="1">
        <f>IFERROR(__xludf.DUMMYFUNCTION("""COMPUTED_VALUE"""),204.0)</f>
        <v>204</v>
      </c>
      <c r="E1286" s="1">
        <f>IFERROR(__xludf.DUMMYFUNCTION("""COMPUTED_VALUE"""),82.28)</f>
        <v>82.28</v>
      </c>
      <c r="F1286" s="1">
        <f>IFERROR(__xludf.DUMMYFUNCTION("""COMPUTED_VALUE"""),68.0)</f>
        <v>68</v>
      </c>
    </row>
    <row r="1287">
      <c r="A1287" s="3">
        <f>IFERROR(__xludf.DUMMYFUNCTION("""COMPUTED_VALUE"""),46054.0)</f>
        <v>46054</v>
      </c>
      <c r="B1287" s="1" t="str">
        <f>IFERROR(__xludf.DUMMYFUNCTION("""COMPUTED_VALUE"""),"Istiklal")</f>
        <v>Istiklal</v>
      </c>
      <c r="C1287" s="1" t="str">
        <f>IFERROR(__xludf.DUMMYFUNCTION("""COMPUTED_VALUE"""),"Almarai Chocolate")</f>
        <v>Almarai Chocolate</v>
      </c>
      <c r="D1287" s="1">
        <f>IFERROR(__xludf.DUMMYFUNCTION("""COMPUTED_VALUE"""),84.0)</f>
        <v>84</v>
      </c>
      <c r="E1287" s="1">
        <f>IFERROR(__xludf.DUMMYFUNCTION("""COMPUTED_VALUE"""),19.88)</f>
        <v>19.88</v>
      </c>
      <c r="F1287" s="1">
        <f>IFERROR(__xludf.DUMMYFUNCTION("""COMPUTED_VALUE"""),28.0)</f>
        <v>28</v>
      </c>
    </row>
    <row r="1288">
      <c r="A1288" s="3">
        <f>IFERROR(__xludf.DUMMYFUNCTION("""COMPUTED_VALUE"""),46054.0)</f>
        <v>46054</v>
      </c>
      <c r="B1288" s="1" t="str">
        <f>IFERROR(__xludf.DUMMYFUNCTION("""COMPUTED_VALUE"""),"Istiklal")</f>
        <v>Istiklal</v>
      </c>
      <c r="C1288" s="1" t="str">
        <f>IFERROR(__xludf.DUMMYFUNCTION("""COMPUTED_VALUE"""),"Almarai Strawberry")</f>
        <v>Almarai Strawberry</v>
      </c>
      <c r="D1288" s="1">
        <f>IFERROR(__xludf.DUMMYFUNCTION("""COMPUTED_VALUE"""),78.0)</f>
        <v>78</v>
      </c>
      <c r="E1288" s="1">
        <f>IFERROR(__xludf.DUMMYFUNCTION("""COMPUTED_VALUE"""),18.46)</f>
        <v>18.46</v>
      </c>
      <c r="F1288" s="1">
        <f>IFERROR(__xludf.DUMMYFUNCTION("""COMPUTED_VALUE"""),26.0)</f>
        <v>26</v>
      </c>
    </row>
    <row r="1289">
      <c r="A1289" s="3">
        <f>IFERROR(__xludf.DUMMYFUNCTION("""COMPUTED_VALUE"""),46054.0)</f>
        <v>46054</v>
      </c>
      <c r="B1289" s="1" t="str">
        <f>IFERROR(__xludf.DUMMYFUNCTION("""COMPUTED_VALUE"""),"Istiklal")</f>
        <v>Istiklal</v>
      </c>
      <c r="C1289" s="1" t="str">
        <f>IFERROR(__xludf.DUMMYFUNCTION("""COMPUTED_VALUE"""),"Barbican")</f>
        <v>Barbican</v>
      </c>
      <c r="D1289" s="1">
        <f>IFERROR(__xludf.DUMMYFUNCTION("""COMPUTED_VALUE"""),30.0)</f>
        <v>30</v>
      </c>
      <c r="E1289" s="1">
        <f>IFERROR(__xludf.DUMMYFUNCTION("""COMPUTED_VALUE"""),4.64)</f>
        <v>4.64</v>
      </c>
      <c r="F1289" s="1">
        <f>IFERROR(__xludf.DUMMYFUNCTION("""COMPUTED_VALUE"""),8.0)</f>
        <v>8</v>
      </c>
    </row>
    <row r="1290">
      <c r="A1290" s="3">
        <f>IFERROR(__xludf.DUMMYFUNCTION("""COMPUTED_VALUE"""),46054.0)</f>
        <v>46054</v>
      </c>
      <c r="B1290" s="1" t="str">
        <f>IFERROR(__xludf.DUMMYFUNCTION("""COMPUTED_VALUE"""),"Istiklal")</f>
        <v>Istiklal</v>
      </c>
      <c r="C1290" s="1" t="str">
        <f>IFERROR(__xludf.DUMMYFUNCTION("""COMPUTED_VALUE"""),"Caser Juice")</f>
        <v>Caser Juice</v>
      </c>
      <c r="D1290" s="1">
        <f>IFERROR(__xludf.DUMMYFUNCTION("""COMPUTED_VALUE"""),33.0)</f>
        <v>33</v>
      </c>
      <c r="E1290" s="1">
        <f>IFERROR(__xludf.DUMMYFUNCTION("""COMPUTED_VALUE"""),8.22)</f>
        <v>8.22</v>
      </c>
      <c r="F1290" s="1">
        <f>IFERROR(__xludf.DUMMYFUNCTION("""COMPUTED_VALUE"""),6.0)</f>
        <v>6</v>
      </c>
    </row>
    <row r="1291">
      <c r="A1291" s="3">
        <f>IFERROR(__xludf.DUMMYFUNCTION("""COMPUTED_VALUE"""),46054.0)</f>
        <v>46054</v>
      </c>
      <c r="B1291" s="1" t="str">
        <f>IFERROR(__xludf.DUMMYFUNCTION("""COMPUTED_VALUE"""),"Istiklal")</f>
        <v>Istiklal</v>
      </c>
      <c r="C1291" s="1" t="str">
        <f>IFERROR(__xludf.DUMMYFUNCTION("""COMPUTED_VALUE"""),"Corissant Karuzo")</f>
        <v>Corissant Karuzo</v>
      </c>
      <c r="D1291" s="1">
        <f>IFERROR(__xludf.DUMMYFUNCTION("""COMPUTED_VALUE"""),84.0)</f>
        <v>84</v>
      </c>
      <c r="E1291" s="1">
        <f>IFERROR(__xludf.DUMMYFUNCTION("""COMPUTED_VALUE"""),18.27)</f>
        <v>18.27</v>
      </c>
      <c r="F1291" s="1">
        <f>IFERROR(__xludf.DUMMYFUNCTION("""COMPUTED_VALUE"""),21.0)</f>
        <v>21</v>
      </c>
    </row>
    <row r="1292">
      <c r="A1292" s="3">
        <f>IFERROR(__xludf.DUMMYFUNCTION("""COMPUTED_VALUE"""),46054.0)</f>
        <v>46054</v>
      </c>
      <c r="B1292" s="1" t="str">
        <f>IFERROR(__xludf.DUMMYFUNCTION("""COMPUTED_VALUE"""),"Istiklal")</f>
        <v>Istiklal</v>
      </c>
      <c r="C1292" s="1" t="str">
        <f>IFERROR(__xludf.DUMMYFUNCTION("""COMPUTED_VALUE"""),"Doritos cool ranc")</f>
        <v>Doritos cool ranc</v>
      </c>
      <c r="D1292" s="1">
        <f>IFERROR(__xludf.DUMMYFUNCTION("""COMPUTED_VALUE"""),160.0)</f>
        <v>160</v>
      </c>
      <c r="E1292" s="1">
        <f>IFERROR(__xludf.DUMMYFUNCTION("""COMPUTED_VALUE"""),66.24)</f>
        <v>66.24</v>
      </c>
      <c r="F1292" s="1">
        <f>IFERROR(__xludf.DUMMYFUNCTION("""COMPUTED_VALUE"""),32.0)</f>
        <v>32</v>
      </c>
    </row>
    <row r="1293">
      <c r="A1293" s="3">
        <f>IFERROR(__xludf.DUMMYFUNCTION("""COMPUTED_VALUE"""),46054.0)</f>
        <v>46054</v>
      </c>
      <c r="B1293" s="1" t="str">
        <f>IFERROR(__xludf.DUMMYFUNCTION("""COMPUTED_VALUE"""),"Istiklal")</f>
        <v>Istiklal</v>
      </c>
      <c r="C1293" s="1" t="str">
        <f>IFERROR(__xludf.DUMMYFUNCTION("""COMPUTED_VALUE"""),"Doritos green hot")</f>
        <v>Doritos green hot</v>
      </c>
      <c r="D1293" s="1">
        <f>IFERROR(__xludf.DUMMYFUNCTION("""COMPUTED_VALUE"""),75.0)</f>
        <v>75</v>
      </c>
      <c r="E1293" s="1">
        <f>IFERROR(__xludf.DUMMYFUNCTION("""COMPUTED_VALUE"""),31.05)</f>
        <v>31.05</v>
      </c>
      <c r="F1293" s="1">
        <f>IFERROR(__xludf.DUMMYFUNCTION("""COMPUTED_VALUE"""),15.0)</f>
        <v>15</v>
      </c>
    </row>
    <row r="1294">
      <c r="A1294" s="3">
        <f>IFERROR(__xludf.DUMMYFUNCTION("""COMPUTED_VALUE"""),46054.0)</f>
        <v>46054</v>
      </c>
      <c r="B1294" s="1" t="str">
        <f>IFERROR(__xludf.DUMMYFUNCTION("""COMPUTED_VALUE"""),"Istiklal")</f>
        <v>Istiklal</v>
      </c>
      <c r="C1294" s="1" t="str">
        <f>IFERROR(__xludf.DUMMYFUNCTION("""COMPUTED_VALUE"""),"Doritos nacho")</f>
        <v>Doritos nacho</v>
      </c>
      <c r="D1294" s="1">
        <f>IFERROR(__xludf.DUMMYFUNCTION("""COMPUTED_VALUE"""),70.0)</f>
        <v>70</v>
      </c>
      <c r="E1294" s="1">
        <f>IFERROR(__xludf.DUMMYFUNCTION("""COMPUTED_VALUE"""),28.98)</f>
        <v>28.98</v>
      </c>
      <c r="F1294" s="1">
        <f>IFERROR(__xludf.DUMMYFUNCTION("""COMPUTED_VALUE"""),14.0)</f>
        <v>14</v>
      </c>
    </row>
    <row r="1295">
      <c r="A1295" s="3">
        <f>IFERROR(__xludf.DUMMYFUNCTION("""COMPUTED_VALUE"""),46054.0)</f>
        <v>46054</v>
      </c>
      <c r="B1295" s="1" t="str">
        <f>IFERROR(__xludf.DUMMYFUNCTION("""COMPUTED_VALUE"""),"Istiklal")</f>
        <v>Istiklal</v>
      </c>
      <c r="C1295" s="1" t="str">
        <f>IFERROR(__xludf.DUMMYFUNCTION("""COMPUTED_VALUE"""),"Freez")</f>
        <v>Freez</v>
      </c>
      <c r="D1295" s="1">
        <f>IFERROR(__xludf.DUMMYFUNCTION("""COMPUTED_VALUE"""),11.0)</f>
        <v>11</v>
      </c>
      <c r="E1295" s="1">
        <f>IFERROR(__xludf.DUMMYFUNCTION("""COMPUTED_VALUE"""),4.18)</f>
        <v>4.18</v>
      </c>
      <c r="F1295" s="1">
        <f>IFERROR(__xludf.DUMMYFUNCTION("""COMPUTED_VALUE"""),2.0)</f>
        <v>2</v>
      </c>
    </row>
    <row r="1296">
      <c r="A1296" s="3">
        <f>IFERROR(__xludf.DUMMYFUNCTION("""COMPUTED_VALUE"""),46054.0)</f>
        <v>46054</v>
      </c>
      <c r="B1296" s="1" t="str">
        <f>IFERROR(__xludf.DUMMYFUNCTION("""COMPUTED_VALUE"""),"Istiklal")</f>
        <v>Istiklal</v>
      </c>
      <c r="C1296" s="1" t="str">
        <f>IFERROR(__xludf.DUMMYFUNCTION("""COMPUTED_VALUE"""),"Gardena")</f>
        <v>Gardena</v>
      </c>
      <c r="D1296" s="1">
        <f>IFERROR(__xludf.DUMMYFUNCTION("""COMPUTED_VALUE"""),42.5)</f>
        <v>42.5</v>
      </c>
      <c r="E1296" s="1">
        <f>IFERROR(__xludf.DUMMYFUNCTION("""COMPUTED_VALUE"""),4.0)</f>
        <v>4</v>
      </c>
      <c r="F1296" s="1">
        <f>IFERROR(__xludf.DUMMYFUNCTION("""COMPUTED_VALUE"""),7.0)</f>
        <v>7</v>
      </c>
    </row>
    <row r="1297">
      <c r="A1297" s="3">
        <f>IFERROR(__xludf.DUMMYFUNCTION("""COMPUTED_VALUE"""),46054.0)</f>
        <v>46054</v>
      </c>
      <c r="B1297" s="1" t="str">
        <f>IFERROR(__xludf.DUMMYFUNCTION("""COMPUTED_VALUE"""),"Istiklal")</f>
        <v>Istiklal</v>
      </c>
      <c r="C1297" s="1" t="str">
        <f>IFERROR(__xludf.DUMMYFUNCTION("""COMPUTED_VALUE"""),"Kinder Bueno")</f>
        <v>Kinder Bueno</v>
      </c>
      <c r="D1297" s="1">
        <f>IFERROR(__xludf.DUMMYFUNCTION("""COMPUTED_VALUE"""),294.5)</f>
        <v>294.5</v>
      </c>
      <c r="E1297" s="1">
        <f>IFERROR(__xludf.DUMMYFUNCTION("""COMPUTED_VALUE"""),42.5)</f>
        <v>42.5</v>
      </c>
      <c r="F1297" s="1">
        <f>IFERROR(__xludf.DUMMYFUNCTION("""COMPUTED_VALUE"""),36.0)</f>
        <v>36</v>
      </c>
    </row>
    <row r="1298">
      <c r="A1298" s="3">
        <f>IFERROR(__xludf.DUMMYFUNCTION("""COMPUTED_VALUE"""),46054.0)</f>
        <v>46054</v>
      </c>
      <c r="B1298" s="1" t="str">
        <f>IFERROR(__xludf.DUMMYFUNCTION("""COMPUTED_VALUE"""),"Istiklal")</f>
        <v>Istiklal</v>
      </c>
      <c r="C1298" s="1" t="str">
        <f>IFERROR(__xludf.DUMMYFUNCTION("""COMPUTED_VALUE"""),"Kunuz Juice")</f>
        <v>Kunuz Juice</v>
      </c>
      <c r="D1298" s="1">
        <f>IFERROR(__xludf.DUMMYFUNCTION("""COMPUTED_VALUE"""),50.0)</f>
        <v>50</v>
      </c>
      <c r="E1298" s="1">
        <f>IFERROR(__xludf.DUMMYFUNCTION("""COMPUTED_VALUE"""),34.0)</f>
        <v>34</v>
      </c>
      <c r="F1298" s="1">
        <f>IFERROR(__xludf.DUMMYFUNCTION("""COMPUTED_VALUE"""),10.0)</f>
        <v>10</v>
      </c>
    </row>
    <row r="1299">
      <c r="A1299" s="3">
        <f>IFERROR(__xludf.DUMMYFUNCTION("""COMPUTED_VALUE"""),46054.0)</f>
        <v>46054</v>
      </c>
      <c r="B1299" s="1" t="str">
        <f>IFERROR(__xludf.DUMMYFUNCTION("""COMPUTED_VALUE"""),"Istiklal")</f>
        <v>Istiklal</v>
      </c>
      <c r="C1299" s="1" t="str">
        <f>IFERROR(__xludf.DUMMYFUNCTION("""COMPUTED_VALUE"""),"Lavazza")</f>
        <v>Lavazza</v>
      </c>
      <c r="D1299" s="1">
        <f>IFERROR(__xludf.DUMMYFUNCTION("""COMPUTED_VALUE"""),12.0)</f>
        <v>12</v>
      </c>
      <c r="E1299" s="1">
        <f>IFERROR(__xludf.DUMMYFUNCTION("""COMPUTED_VALUE"""),3.0)</f>
        <v>3</v>
      </c>
      <c r="F1299" s="1">
        <f>IFERROR(__xludf.DUMMYFUNCTION("""COMPUTED_VALUE"""),2.0)</f>
        <v>2</v>
      </c>
    </row>
    <row r="1300">
      <c r="A1300" s="3">
        <f>IFERROR(__xludf.DUMMYFUNCTION("""COMPUTED_VALUE"""),46054.0)</f>
        <v>46054</v>
      </c>
      <c r="B1300" s="1" t="str">
        <f>IFERROR(__xludf.DUMMYFUNCTION("""COMPUTED_VALUE"""),"Istiklal")</f>
        <v>Istiklal</v>
      </c>
      <c r="C1300" s="1" t="str">
        <f>IFERROR(__xludf.DUMMYFUNCTION("""COMPUTED_VALUE"""),"Laviva")</f>
        <v>Laviva</v>
      </c>
      <c r="D1300" s="1">
        <f>IFERROR(__xludf.DUMMYFUNCTION("""COMPUTED_VALUE"""),193.0)</f>
        <v>193</v>
      </c>
      <c r="E1300" s="1">
        <f>IFERROR(__xludf.DUMMYFUNCTION("""COMPUTED_VALUE"""),53.5)</f>
        <v>53.5</v>
      </c>
      <c r="F1300" s="1">
        <f>IFERROR(__xludf.DUMMYFUNCTION("""COMPUTED_VALUE"""),62.0)</f>
        <v>62</v>
      </c>
    </row>
    <row r="1301">
      <c r="A1301" s="3">
        <f>IFERROR(__xludf.DUMMYFUNCTION("""COMPUTED_VALUE"""),46054.0)</f>
        <v>46054</v>
      </c>
      <c r="B1301" s="1" t="str">
        <f>IFERROR(__xludf.DUMMYFUNCTION("""COMPUTED_VALUE"""),"Istiklal")</f>
        <v>Istiklal</v>
      </c>
      <c r="C1301" s="1" t="str">
        <f>IFERROR(__xludf.DUMMYFUNCTION("""COMPUTED_VALUE"""),"Lexus")</f>
        <v>Lexus</v>
      </c>
      <c r="D1301" s="1">
        <f>IFERROR(__xludf.DUMMYFUNCTION("""COMPUTED_VALUE"""),90.0)</f>
        <v>90</v>
      </c>
      <c r="E1301" s="1">
        <f>IFERROR(__xludf.DUMMYFUNCTION("""COMPUTED_VALUE"""),14.0)</f>
        <v>14</v>
      </c>
      <c r="F1301" s="1">
        <f>IFERROR(__xludf.DUMMYFUNCTION("""COMPUTED_VALUE"""),20.0)</f>
        <v>20</v>
      </c>
    </row>
    <row r="1302">
      <c r="A1302" s="3">
        <f>IFERROR(__xludf.DUMMYFUNCTION("""COMPUTED_VALUE"""),46054.0)</f>
        <v>46054</v>
      </c>
      <c r="B1302" s="1" t="str">
        <f>IFERROR(__xludf.DUMMYFUNCTION("""COMPUTED_VALUE"""),"Istiklal")</f>
        <v>Istiklal</v>
      </c>
      <c r="C1302" s="1" t="str">
        <f>IFERROR(__xludf.DUMMYFUNCTION("""COMPUTED_VALUE"""),"Lovita cookies")</f>
        <v>Lovita cookies</v>
      </c>
      <c r="D1302" s="1">
        <f>IFERROR(__xludf.DUMMYFUNCTION("""COMPUTED_VALUE"""),45.0)</f>
        <v>45</v>
      </c>
      <c r="E1302" s="1">
        <f>IFERROR(__xludf.DUMMYFUNCTION("""COMPUTED_VALUE"""),13.92)</f>
        <v>13.92</v>
      </c>
      <c r="F1302" s="1">
        <f>IFERROR(__xludf.DUMMYFUNCTION("""COMPUTED_VALUE"""),6.0)</f>
        <v>6</v>
      </c>
    </row>
    <row r="1303">
      <c r="A1303" s="3">
        <f>IFERROR(__xludf.DUMMYFUNCTION("""COMPUTED_VALUE"""),46054.0)</f>
        <v>46054</v>
      </c>
      <c r="B1303" s="1" t="str">
        <f>IFERROR(__xludf.DUMMYFUNCTION("""COMPUTED_VALUE"""),"Istiklal")</f>
        <v>Istiklal</v>
      </c>
      <c r="C1303" s="1" t="str">
        <f>IFERROR(__xludf.DUMMYFUNCTION("""COMPUTED_VALUE"""),"MR Crunch")</f>
        <v>MR Crunch</v>
      </c>
      <c r="D1303" s="1">
        <f>IFERROR(__xludf.DUMMYFUNCTION("""COMPUTED_VALUE"""),295.0)</f>
        <v>295</v>
      </c>
      <c r="E1303" s="1">
        <f>IFERROR(__xludf.DUMMYFUNCTION("""COMPUTED_VALUE"""),115.0)</f>
        <v>115</v>
      </c>
      <c r="F1303" s="1">
        <f>IFERROR(__xludf.DUMMYFUNCTION("""COMPUTED_VALUE"""),60.0)</f>
        <v>60</v>
      </c>
    </row>
    <row r="1304">
      <c r="A1304" s="3">
        <f>IFERROR(__xludf.DUMMYFUNCTION("""COMPUTED_VALUE"""),46054.0)</f>
        <v>46054</v>
      </c>
      <c r="B1304" s="1" t="str">
        <f>IFERROR(__xludf.DUMMYFUNCTION("""COMPUTED_VALUE"""),"Istiklal")</f>
        <v>Istiklal</v>
      </c>
      <c r="C1304" s="1" t="str">
        <f>IFERROR(__xludf.DUMMYFUNCTION("""COMPUTED_VALUE"""),"Maltesers")</f>
        <v>Maltesers</v>
      </c>
      <c r="D1304" s="1">
        <f>IFERROR(__xludf.DUMMYFUNCTION("""COMPUTED_VALUE"""),138.5)</f>
        <v>138.5</v>
      </c>
      <c r="E1304" s="1">
        <f>IFERROR(__xludf.DUMMYFUNCTION("""COMPUTED_VALUE"""),11.0)</f>
        <v>11</v>
      </c>
      <c r="F1304" s="1">
        <f>IFERROR(__xludf.DUMMYFUNCTION("""COMPUTED_VALUE"""),17.0)</f>
        <v>17</v>
      </c>
    </row>
    <row r="1305">
      <c r="A1305" s="3">
        <f>IFERROR(__xludf.DUMMYFUNCTION("""COMPUTED_VALUE"""),46054.0)</f>
        <v>46054</v>
      </c>
      <c r="B1305" s="1" t="str">
        <f>IFERROR(__xludf.DUMMYFUNCTION("""COMPUTED_VALUE"""),"Istiklal")</f>
        <v>Istiklal</v>
      </c>
      <c r="C1305" s="1" t="str">
        <f>IFERROR(__xludf.DUMMYFUNCTION("""COMPUTED_VALUE"""),"Mars")</f>
        <v>Mars</v>
      </c>
      <c r="D1305" s="1">
        <f>IFERROR(__xludf.DUMMYFUNCTION("""COMPUTED_VALUE"""),42.0)</f>
        <v>42</v>
      </c>
      <c r="E1305" s="1">
        <f>IFERROR(__xludf.DUMMYFUNCTION("""COMPUTED_VALUE"""),3.5)</f>
        <v>3.5</v>
      </c>
      <c r="F1305" s="1">
        <f>IFERROR(__xludf.DUMMYFUNCTION("""COMPUTED_VALUE"""),7.0)</f>
        <v>7</v>
      </c>
    </row>
    <row r="1306">
      <c r="A1306" s="3">
        <f>IFERROR(__xludf.DUMMYFUNCTION("""COMPUTED_VALUE"""),46054.0)</f>
        <v>46054</v>
      </c>
      <c r="B1306" s="1" t="str">
        <f>IFERROR(__xludf.DUMMYFUNCTION("""COMPUTED_VALUE"""),"Istiklal")</f>
        <v>Istiklal</v>
      </c>
      <c r="C1306" s="1" t="str">
        <f>IFERROR(__xludf.DUMMYFUNCTION("""COMPUTED_VALUE"""),"Mirinda")</f>
        <v>Mirinda</v>
      </c>
      <c r="D1306" s="1">
        <f>IFERROR(__xludf.DUMMYFUNCTION("""COMPUTED_VALUE"""),39.0)</f>
        <v>39</v>
      </c>
      <c r="E1306" s="1">
        <f>IFERROR(__xludf.DUMMYFUNCTION("""COMPUTED_VALUE"""),9.75)</f>
        <v>9.75</v>
      </c>
      <c r="F1306" s="1">
        <f>IFERROR(__xludf.DUMMYFUNCTION("""COMPUTED_VALUE"""),13.0)</f>
        <v>13</v>
      </c>
    </row>
    <row r="1307">
      <c r="A1307" s="3">
        <f>IFERROR(__xludf.DUMMYFUNCTION("""COMPUTED_VALUE"""),46054.0)</f>
        <v>46054</v>
      </c>
      <c r="B1307" s="1" t="str">
        <f>IFERROR(__xludf.DUMMYFUNCTION("""COMPUTED_VALUE"""),"Istiklal")</f>
        <v>Istiklal</v>
      </c>
      <c r="C1307" s="1" t="str">
        <f>IFERROR(__xludf.DUMMYFUNCTION("""COMPUTED_VALUE"""),"Pepsi")</f>
        <v>Pepsi</v>
      </c>
      <c r="D1307" s="1">
        <f>IFERROR(__xludf.DUMMYFUNCTION("""COMPUTED_VALUE"""),258.0)</f>
        <v>258</v>
      </c>
      <c r="E1307" s="1">
        <f>IFERROR(__xludf.DUMMYFUNCTION("""COMPUTED_VALUE"""),64.5)</f>
        <v>64.5</v>
      </c>
      <c r="F1307" s="1">
        <f>IFERROR(__xludf.DUMMYFUNCTION("""COMPUTED_VALUE"""),86.0)</f>
        <v>86</v>
      </c>
    </row>
    <row r="1308">
      <c r="A1308" s="3">
        <f>IFERROR(__xludf.DUMMYFUNCTION("""COMPUTED_VALUE"""),46054.0)</f>
        <v>46054</v>
      </c>
      <c r="B1308" s="1" t="str">
        <f>IFERROR(__xludf.DUMMYFUNCTION("""COMPUTED_VALUE"""),"Istiklal")</f>
        <v>Istiklal</v>
      </c>
      <c r="C1308" s="1" t="str">
        <f>IFERROR(__xludf.DUMMYFUNCTION("""COMPUTED_VALUE"""),"Rayhan suntop")</f>
        <v>Rayhan suntop</v>
      </c>
      <c r="D1308" s="1">
        <f>IFERROR(__xludf.DUMMYFUNCTION("""COMPUTED_VALUE"""),106.0)</f>
        <v>106</v>
      </c>
      <c r="E1308" s="1">
        <f>IFERROR(__xludf.DUMMYFUNCTION("""COMPUTED_VALUE"""),33.92)</f>
        <v>33.92</v>
      </c>
      <c r="F1308" s="1">
        <f>IFERROR(__xludf.DUMMYFUNCTION("""COMPUTED_VALUE"""),106.0)</f>
        <v>106</v>
      </c>
    </row>
    <row r="1309">
      <c r="A1309" s="3">
        <f>IFERROR(__xludf.DUMMYFUNCTION("""COMPUTED_VALUE"""),46054.0)</f>
        <v>46054</v>
      </c>
      <c r="B1309" s="1" t="str">
        <f>IFERROR(__xludf.DUMMYFUNCTION("""COMPUTED_VALUE"""),"Istiklal")</f>
        <v>Istiklal</v>
      </c>
      <c r="C1309" s="1" t="str">
        <f>IFERROR(__xludf.DUMMYFUNCTION("""COMPUTED_VALUE"""),"Savi stix")</f>
        <v>Savi stix</v>
      </c>
      <c r="D1309" s="1">
        <f>IFERROR(__xludf.DUMMYFUNCTION("""COMPUTED_VALUE"""),15.0)</f>
        <v>15</v>
      </c>
      <c r="E1309" s="1">
        <f>IFERROR(__xludf.DUMMYFUNCTION("""COMPUTED_VALUE"""),4.2)</f>
        <v>4.2</v>
      </c>
      <c r="F1309" s="1">
        <f>IFERROR(__xludf.DUMMYFUNCTION("""COMPUTED_VALUE"""),3.0)</f>
        <v>3</v>
      </c>
    </row>
    <row r="1310">
      <c r="A1310" s="3">
        <f>IFERROR(__xludf.DUMMYFUNCTION("""COMPUTED_VALUE"""),46054.0)</f>
        <v>46054</v>
      </c>
      <c r="B1310" s="1" t="str">
        <f>IFERROR(__xludf.DUMMYFUNCTION("""COMPUTED_VALUE"""),"Istiklal")</f>
        <v>Istiklal</v>
      </c>
      <c r="C1310" s="1" t="str">
        <f>IFERROR(__xludf.DUMMYFUNCTION("""COMPUTED_VALUE"""),"Schweppes")</f>
        <v>Schweppes</v>
      </c>
      <c r="D1310" s="1">
        <f>IFERROR(__xludf.DUMMYFUNCTION("""COMPUTED_VALUE"""),9.0)</f>
        <v>9</v>
      </c>
      <c r="E1310" s="1">
        <f>IFERROR(__xludf.DUMMYFUNCTION("""COMPUTED_VALUE"""),3.0)</f>
        <v>3</v>
      </c>
      <c r="F1310" s="1">
        <f>IFERROR(__xludf.DUMMYFUNCTION("""COMPUTED_VALUE"""),3.0)</f>
        <v>3</v>
      </c>
    </row>
    <row r="1311">
      <c r="A1311" s="3">
        <f>IFERROR(__xludf.DUMMYFUNCTION("""COMPUTED_VALUE"""),46054.0)</f>
        <v>46054</v>
      </c>
      <c r="B1311" s="1" t="str">
        <f>IFERROR(__xludf.DUMMYFUNCTION("""COMPUTED_VALUE"""),"Istiklal")</f>
        <v>Istiklal</v>
      </c>
      <c r="C1311" s="1" t="str">
        <f>IFERROR(__xludf.DUMMYFUNCTION("""COMPUTED_VALUE"""),"Schweppes bullet")</f>
        <v>Schweppes bullet</v>
      </c>
      <c r="D1311" s="1">
        <f>IFERROR(__xludf.DUMMYFUNCTION("""COMPUTED_VALUE"""),30.0)</f>
        <v>30</v>
      </c>
      <c r="E1311" s="1">
        <f>IFERROR(__xludf.DUMMYFUNCTION("""COMPUTED_VALUE"""),12.5)</f>
        <v>12.5</v>
      </c>
      <c r="F1311" s="1">
        <f>IFERROR(__xludf.DUMMYFUNCTION("""COMPUTED_VALUE"""),10.0)</f>
        <v>10</v>
      </c>
    </row>
    <row r="1312">
      <c r="A1312" s="3">
        <f>IFERROR(__xludf.DUMMYFUNCTION("""COMPUTED_VALUE"""),46054.0)</f>
        <v>46054</v>
      </c>
      <c r="B1312" s="1" t="str">
        <f>IFERROR(__xludf.DUMMYFUNCTION("""COMPUTED_VALUE"""),"Istiklal")</f>
        <v>Istiklal</v>
      </c>
      <c r="C1312" s="1" t="str">
        <f>IFERROR(__xludf.DUMMYFUNCTION("""COMPUTED_VALUE"""),"Shada up")</f>
        <v>Shada up</v>
      </c>
      <c r="D1312" s="1">
        <f>IFERROR(__xludf.DUMMYFUNCTION("""COMPUTED_VALUE"""),34.5)</f>
        <v>34.5</v>
      </c>
      <c r="E1312" s="1">
        <f>IFERROR(__xludf.DUMMYFUNCTION("""COMPUTED_VALUE"""),13.35)</f>
        <v>13.35</v>
      </c>
      <c r="F1312" s="1">
        <f>IFERROR(__xludf.DUMMYFUNCTION("""COMPUTED_VALUE"""),15.0)</f>
        <v>15</v>
      </c>
    </row>
    <row r="1313">
      <c r="A1313" s="3">
        <f>IFERROR(__xludf.DUMMYFUNCTION("""COMPUTED_VALUE"""),46054.0)</f>
        <v>46054</v>
      </c>
      <c r="B1313" s="1" t="str">
        <f>IFERROR(__xludf.DUMMYFUNCTION("""COMPUTED_VALUE"""),"Istiklal")</f>
        <v>Istiklal</v>
      </c>
      <c r="C1313" s="1" t="str">
        <f>IFERROR(__xludf.DUMMYFUNCTION("""COMPUTED_VALUE"""),"Shani")</f>
        <v>Shani</v>
      </c>
      <c r="D1313" s="1">
        <f>IFERROR(__xludf.DUMMYFUNCTION("""COMPUTED_VALUE"""),105.0)</f>
        <v>105</v>
      </c>
      <c r="E1313" s="1">
        <f>IFERROR(__xludf.DUMMYFUNCTION("""COMPUTED_VALUE"""),26.25)</f>
        <v>26.25</v>
      </c>
      <c r="F1313" s="1">
        <f>IFERROR(__xludf.DUMMYFUNCTION("""COMPUTED_VALUE"""),35.0)</f>
        <v>35</v>
      </c>
    </row>
    <row r="1314">
      <c r="A1314" s="3">
        <f>IFERROR(__xludf.DUMMYFUNCTION("""COMPUTED_VALUE"""),46054.0)</f>
        <v>46054</v>
      </c>
      <c r="B1314" s="1" t="str">
        <f>IFERROR(__xludf.DUMMYFUNCTION("""COMPUTED_VALUE"""),"Istiklal")</f>
        <v>Istiklal</v>
      </c>
      <c r="C1314" s="1" t="str">
        <f>IFERROR(__xludf.DUMMYFUNCTION("""COMPUTED_VALUE"""),"Snickers")</f>
        <v>Snickers</v>
      </c>
      <c r="D1314" s="1">
        <f>IFERROR(__xludf.DUMMYFUNCTION("""COMPUTED_VALUE"""),48.0)</f>
        <v>48</v>
      </c>
      <c r="E1314" s="1">
        <f>IFERROR(__xludf.DUMMYFUNCTION("""COMPUTED_VALUE"""),6.4)</f>
        <v>6.4</v>
      </c>
      <c r="F1314" s="1">
        <f>IFERROR(__xludf.DUMMYFUNCTION("""COMPUTED_VALUE"""),8.0)</f>
        <v>8</v>
      </c>
    </row>
    <row r="1315">
      <c r="A1315" s="3">
        <f>IFERROR(__xludf.DUMMYFUNCTION("""COMPUTED_VALUE"""),46054.0)</f>
        <v>46054</v>
      </c>
      <c r="B1315" s="1" t="str">
        <f>IFERROR(__xludf.DUMMYFUNCTION("""COMPUTED_VALUE"""),"Istiklal")</f>
        <v>Istiklal</v>
      </c>
      <c r="C1315" s="1" t="str">
        <f>IFERROR(__xludf.DUMMYFUNCTION("""COMPUTED_VALUE"""),"Tiger 12 sweet chili")</f>
        <v>Tiger 12 sweet chili</v>
      </c>
      <c r="D1315" s="1">
        <f>IFERROR(__xludf.DUMMYFUNCTION("""COMPUTED_VALUE"""),18.0)</f>
        <v>18</v>
      </c>
      <c r="E1315" s="1">
        <f>IFERROR(__xludf.DUMMYFUNCTION("""COMPUTED_VALUE"""),7.5)</f>
        <v>7.5</v>
      </c>
      <c r="F1315" s="1">
        <f>IFERROR(__xludf.DUMMYFUNCTION("""COMPUTED_VALUE"""),3.0)</f>
        <v>3</v>
      </c>
    </row>
    <row r="1316">
      <c r="A1316" s="3">
        <f>IFERROR(__xludf.DUMMYFUNCTION("""COMPUTED_VALUE"""),46054.0)</f>
        <v>46054</v>
      </c>
      <c r="B1316" s="1" t="str">
        <f>IFERROR(__xludf.DUMMYFUNCTION("""COMPUTED_VALUE"""),"Istiklal")</f>
        <v>Istiklal</v>
      </c>
      <c r="C1316" s="1" t="str">
        <f>IFERROR(__xludf.DUMMYFUNCTION("""COMPUTED_VALUE"""),"Tiger excellence")</f>
        <v>Tiger excellence</v>
      </c>
      <c r="D1316" s="1">
        <f>IFERROR(__xludf.DUMMYFUNCTION("""COMPUTED_VALUE"""),90.0)</f>
        <v>90</v>
      </c>
      <c r="E1316" s="1">
        <f>IFERROR(__xludf.DUMMYFUNCTION("""COMPUTED_VALUE"""),49.5)</f>
        <v>49.5</v>
      </c>
      <c r="F1316" s="1">
        <f>IFERROR(__xludf.DUMMYFUNCTION("""COMPUTED_VALUE"""),18.0)</f>
        <v>18</v>
      </c>
    </row>
    <row r="1317">
      <c r="A1317" s="3">
        <f>IFERROR(__xludf.DUMMYFUNCTION("""COMPUTED_VALUE"""),46054.0)</f>
        <v>46054</v>
      </c>
      <c r="B1317" s="1" t="str">
        <f>IFERROR(__xludf.DUMMYFUNCTION("""COMPUTED_VALUE"""),"Istiklal")</f>
        <v>Istiklal</v>
      </c>
      <c r="C1317" s="1" t="str">
        <f>IFERROR(__xludf.DUMMYFUNCTION("""COMPUTED_VALUE"""),"Toblerone")</f>
        <v>Toblerone</v>
      </c>
      <c r="D1317" s="1">
        <f>IFERROR(__xludf.DUMMYFUNCTION("""COMPUTED_VALUE"""),64.0)</f>
        <v>64</v>
      </c>
      <c r="E1317" s="1">
        <f>IFERROR(__xludf.DUMMYFUNCTION("""COMPUTED_VALUE"""),1.73)</f>
        <v>1.73</v>
      </c>
      <c r="F1317" s="1">
        <f>IFERROR(__xludf.DUMMYFUNCTION("""COMPUTED_VALUE"""),13.0)</f>
        <v>13</v>
      </c>
    </row>
    <row r="1318">
      <c r="A1318" s="3">
        <f>IFERROR(__xludf.DUMMYFUNCTION("""COMPUTED_VALUE"""),46054.0)</f>
        <v>46054</v>
      </c>
      <c r="B1318" s="1" t="str">
        <f>IFERROR(__xludf.DUMMYFUNCTION("""COMPUTED_VALUE"""),"Istiklal")</f>
        <v>Istiklal</v>
      </c>
      <c r="C1318" s="1" t="str">
        <f>IFERROR(__xludf.DUMMYFUNCTION("""COMPUTED_VALUE"""),"Twix")</f>
        <v>Twix</v>
      </c>
      <c r="D1318" s="1">
        <f>IFERROR(__xludf.DUMMYFUNCTION("""COMPUTED_VALUE"""),72.0)</f>
        <v>72</v>
      </c>
      <c r="E1318" s="1">
        <f>IFERROR(__xludf.DUMMYFUNCTION("""COMPUTED_VALUE"""),12.0)</f>
        <v>12</v>
      </c>
      <c r="F1318" s="1">
        <f>IFERROR(__xludf.DUMMYFUNCTION("""COMPUTED_VALUE"""),12.0)</f>
        <v>12</v>
      </c>
    </row>
    <row r="1319">
      <c r="A1319" s="3">
        <f>IFERROR(__xludf.DUMMYFUNCTION("""COMPUTED_VALUE"""),46054.0)</f>
        <v>46054</v>
      </c>
      <c r="B1319" s="1" t="str">
        <f>IFERROR(__xludf.DUMMYFUNCTION("""COMPUTED_VALUE"""),"Istiklal")</f>
        <v>Istiklal</v>
      </c>
      <c r="C1319" s="1" t="str">
        <f>IFERROR(__xludf.DUMMYFUNCTION("""COMPUTED_VALUE"""),"Twix single")</f>
        <v>Twix single</v>
      </c>
      <c r="D1319" s="1">
        <f>IFERROR(__xludf.DUMMYFUNCTION("""COMPUTED_VALUE"""),28.0)</f>
        <v>28</v>
      </c>
      <c r="E1319" s="1">
        <f>IFERROR(__xludf.DUMMYFUNCTION("""COMPUTED_VALUE"""),11.55)</f>
        <v>11.55</v>
      </c>
      <c r="F1319" s="1">
        <f>IFERROR(__xludf.DUMMYFUNCTION("""COMPUTED_VALUE"""),7.0)</f>
        <v>7</v>
      </c>
    </row>
    <row r="1320">
      <c r="A1320" s="3">
        <f>IFERROR(__xludf.DUMMYFUNCTION("""COMPUTED_VALUE"""),46054.0)</f>
        <v>46054</v>
      </c>
      <c r="B1320" s="1" t="str">
        <f>IFERROR(__xludf.DUMMYFUNCTION("""COMPUTED_VALUE"""),"Istiklal")</f>
        <v>Istiklal</v>
      </c>
      <c r="C1320" s="1" t="str">
        <f>IFERROR(__xludf.DUMMYFUNCTION("""COMPUTED_VALUE"""),"Water")</f>
        <v>Water</v>
      </c>
      <c r="D1320" s="1">
        <f>IFERROR(__xludf.DUMMYFUNCTION("""COMPUTED_VALUE"""),263.0)</f>
        <v>263</v>
      </c>
      <c r="E1320" s="1">
        <f>IFERROR(__xludf.DUMMYFUNCTION("""COMPUTED_VALUE"""),189.08)</f>
        <v>189.08</v>
      </c>
      <c r="F1320" s="1">
        <f>IFERROR(__xludf.DUMMYFUNCTION("""COMPUTED_VALUE"""),264.0)</f>
        <v>264</v>
      </c>
    </row>
    <row r="1321">
      <c r="A1321" s="3">
        <f>IFERROR(__xludf.DUMMYFUNCTION("""COMPUTED_VALUE"""),46054.0)</f>
        <v>46054</v>
      </c>
      <c r="B1321" s="1" t="str">
        <f>IFERROR(__xludf.DUMMYFUNCTION("""COMPUTED_VALUE"""),"Istiklal")</f>
        <v>Istiklal</v>
      </c>
      <c r="C1321" s="1" t="str">
        <f>IFERROR(__xludf.DUMMYFUNCTION("""COMPUTED_VALUE"""),"X!R")</f>
        <v>X!R</v>
      </c>
      <c r="D1321" s="1">
        <f>IFERROR(__xludf.DUMMYFUNCTION("""COMPUTED_VALUE"""),175.0)</f>
        <v>175</v>
      </c>
      <c r="E1321" s="1">
        <f>IFERROR(__xludf.DUMMYFUNCTION("""COMPUTED_VALUE"""),24.85)</f>
        <v>24.85</v>
      </c>
      <c r="F1321" s="1">
        <f>IFERROR(__xludf.DUMMYFUNCTION("""COMPUTED_VALUE"""),35.0)</f>
        <v>35</v>
      </c>
    </row>
    <row r="1322">
      <c r="A1322" s="3">
        <f>IFERROR(__xludf.DUMMYFUNCTION("""COMPUTED_VALUE"""),46054.0)</f>
        <v>46054</v>
      </c>
      <c r="B1322" s="1" t="str">
        <f>IFERROR(__xludf.DUMMYFUNCTION("""COMPUTED_VALUE"""),"Istiklal")</f>
        <v>Istiklal</v>
      </c>
      <c r="C1322" s="1" t="str">
        <f>IFERROR(__xludf.DUMMYFUNCTION("""COMPUTED_VALUE"""),"Xo Energy")</f>
        <v>Xo Energy</v>
      </c>
      <c r="D1322" s="1">
        <f>IFERROR(__xludf.DUMMYFUNCTION("""COMPUTED_VALUE"""),25.0)</f>
        <v>25</v>
      </c>
      <c r="E1322" s="1">
        <f>IFERROR(__xludf.DUMMYFUNCTION("""COMPUTED_VALUE"""),7.75)</f>
        <v>7.75</v>
      </c>
      <c r="F1322" s="1">
        <f>IFERROR(__xludf.DUMMYFUNCTION("""COMPUTED_VALUE"""),5.0)</f>
        <v>5</v>
      </c>
    </row>
    <row r="1323">
      <c r="A1323" s="3">
        <f>IFERROR(__xludf.DUMMYFUNCTION("""COMPUTED_VALUE"""),46054.0)</f>
        <v>46054</v>
      </c>
      <c r="B1323" s="1" t="str">
        <f>IFERROR(__xludf.DUMMYFUNCTION("""COMPUTED_VALUE"""),"Istiklal")</f>
        <v>Istiklal</v>
      </c>
      <c r="C1323" s="1" t="str">
        <f>IFERROR(__xludf.DUMMYFUNCTION("""COMPUTED_VALUE"""),"Yumi zak")</f>
        <v>Yumi zak</v>
      </c>
      <c r="D1323" s="1">
        <f>IFERROR(__xludf.DUMMYFUNCTION("""COMPUTED_VALUE"""),21.0)</f>
        <v>21</v>
      </c>
      <c r="E1323" s="1">
        <f>IFERROR(__xludf.DUMMYFUNCTION("""COMPUTED_VALUE"""),7.5)</f>
        <v>7.5</v>
      </c>
      <c r="F1323" s="1">
        <f>IFERROR(__xludf.DUMMYFUNCTION("""COMPUTED_VALUE"""),3.0)</f>
        <v>3</v>
      </c>
    </row>
    <row r="1324">
      <c r="A1324" s="3">
        <f>IFERROR(__xludf.DUMMYFUNCTION("""COMPUTED_VALUE"""),46054.0)</f>
        <v>46054</v>
      </c>
      <c r="B1324" s="1" t="str">
        <f>IFERROR(__xludf.DUMMYFUNCTION("""COMPUTED_VALUE"""),"Istiklal")</f>
        <v>Istiklal</v>
      </c>
      <c r="C1324" s="1" t="str">
        <f>IFERROR(__xludf.DUMMYFUNCTION("""COMPUTED_VALUE"""),"kinza")</f>
        <v>kinza</v>
      </c>
      <c r="D1324" s="1">
        <f>IFERROR(__xludf.DUMMYFUNCTION("""COMPUTED_VALUE"""),24.0)</f>
        <v>24</v>
      </c>
      <c r="E1324" s="1">
        <f>IFERROR(__xludf.DUMMYFUNCTION("""COMPUTED_VALUE"""),5.52)</f>
        <v>5.52</v>
      </c>
      <c r="F1324" s="1">
        <f>IFERROR(__xludf.DUMMYFUNCTION("""COMPUTED_VALUE"""),12.0)</f>
        <v>12</v>
      </c>
    </row>
    <row r="1325">
      <c r="A1325" s="3">
        <f>IFERROR(__xludf.DUMMYFUNCTION("""COMPUTED_VALUE"""),46054.0)</f>
        <v>46054</v>
      </c>
      <c r="B1325" s="1" t="str">
        <f>IFERROR(__xludf.DUMMYFUNCTION("""COMPUTED_VALUE"""),"Istiklal")</f>
        <v>Istiklal</v>
      </c>
      <c r="C1325" s="1" t="str">
        <f>IFERROR(__xludf.DUMMYFUNCTION("""COMPUTED_VALUE"""),"mr bite")</f>
        <v>mr bite</v>
      </c>
      <c r="D1325" s="1">
        <f>IFERROR(__xludf.DUMMYFUNCTION("""COMPUTED_VALUE"""),104.5)</f>
        <v>104.5</v>
      </c>
      <c r="E1325" s="1">
        <f>IFERROR(__xludf.DUMMYFUNCTION("""COMPUTED_VALUE"""),34.69)</f>
        <v>34.69</v>
      </c>
      <c r="F1325" s="1">
        <f>IFERROR(__xludf.DUMMYFUNCTION("""COMPUTED_VALUE"""),39.0)</f>
        <v>39</v>
      </c>
    </row>
    <row r="1326">
      <c r="A1326" s="3">
        <f>IFERROR(__xludf.DUMMYFUNCTION("""COMPUTED_VALUE"""),46054.0)</f>
        <v>46054</v>
      </c>
      <c r="B1326" s="1" t="str">
        <f>IFERROR(__xludf.DUMMYFUNCTION("""COMPUTED_VALUE"""),"Istiklal")</f>
        <v>Istiklal</v>
      </c>
      <c r="C1326" s="1" t="str">
        <f>IFERROR(__xludf.DUMMYFUNCTION("""COMPUTED_VALUE"""),"mr.bite strike")</f>
        <v>mr.bite strike</v>
      </c>
      <c r="D1326" s="1">
        <f>IFERROR(__xludf.DUMMYFUNCTION("""COMPUTED_VALUE"""),27.0)</f>
        <v>27</v>
      </c>
      <c r="E1326" s="1">
        <f>IFERROR(__xludf.DUMMYFUNCTION("""COMPUTED_VALUE"""),10.17)</f>
        <v>10.17</v>
      </c>
      <c r="F1326" s="1">
        <f>IFERROR(__xludf.DUMMYFUNCTION("""COMPUTED_VALUE"""),9.0)</f>
        <v>9</v>
      </c>
    </row>
    <row r="1327">
      <c r="A1327" s="3">
        <f>IFERROR(__xludf.DUMMYFUNCTION("""COMPUTED_VALUE"""),46054.0)</f>
        <v>46054</v>
      </c>
      <c r="B1327" s="1" t="str">
        <f>IFERROR(__xludf.DUMMYFUNCTION("""COMPUTED_VALUE"""),"Istiklal")</f>
        <v>Istiklal</v>
      </c>
      <c r="C1327" s="1" t="str">
        <f>IFERROR(__xludf.DUMMYFUNCTION("""COMPUTED_VALUE"""),"sunTop")</f>
        <v>sunTop</v>
      </c>
      <c r="D1327" s="1">
        <f>IFERROR(__xludf.DUMMYFUNCTION("""COMPUTED_VALUE"""),9.0)</f>
        <v>9</v>
      </c>
      <c r="E1327" s="1">
        <f>IFERROR(__xludf.DUMMYFUNCTION("""COMPUTED_VALUE"""),3.6)</f>
        <v>3.6</v>
      </c>
      <c r="F1327" s="1">
        <f>IFERROR(__xludf.DUMMYFUNCTION("""COMPUTED_VALUE"""),9.0)</f>
        <v>9</v>
      </c>
    </row>
    <row r="1328">
      <c r="A1328" s="3">
        <f>IFERROR(__xludf.DUMMYFUNCTION("""COMPUTED_VALUE"""),46054.0)</f>
        <v>46054</v>
      </c>
      <c r="B1328" s="1" t="str">
        <f>IFERROR(__xludf.DUMMYFUNCTION("""COMPUTED_VALUE"""),"SeaCost")</f>
        <v>SeaCost</v>
      </c>
      <c r="C1328" s="1" t="str">
        <f>IFERROR(__xludf.DUMMYFUNCTION("""COMPUTED_VALUE"""),"Almarai Chocolate")</f>
        <v>Almarai Chocolate</v>
      </c>
      <c r="D1328" s="1">
        <f>IFERROR(__xludf.DUMMYFUNCTION("""COMPUTED_VALUE"""),48.0)</f>
        <v>48</v>
      </c>
      <c r="E1328" s="1">
        <f>IFERROR(__xludf.DUMMYFUNCTION("""COMPUTED_VALUE"""),20.52)</f>
        <v>20.52</v>
      </c>
      <c r="F1328" s="1">
        <f>IFERROR(__xludf.DUMMYFUNCTION("""COMPUTED_VALUE"""),12.0)</f>
        <v>12</v>
      </c>
    </row>
    <row r="1329">
      <c r="A1329" s="3">
        <f>IFERROR(__xludf.DUMMYFUNCTION("""COMPUTED_VALUE"""),46054.0)</f>
        <v>46054</v>
      </c>
      <c r="B1329" s="1" t="str">
        <f>IFERROR(__xludf.DUMMYFUNCTION("""COMPUTED_VALUE"""),"SeaCost")</f>
        <v>SeaCost</v>
      </c>
      <c r="C1329" s="1" t="str">
        <f>IFERROR(__xludf.DUMMYFUNCTION("""COMPUTED_VALUE"""),"Almarai Strawberry")</f>
        <v>Almarai Strawberry</v>
      </c>
      <c r="D1329" s="1">
        <f>IFERROR(__xludf.DUMMYFUNCTION("""COMPUTED_VALUE"""),32.0)</f>
        <v>32</v>
      </c>
      <c r="E1329" s="1">
        <f>IFERROR(__xludf.DUMMYFUNCTION("""COMPUTED_VALUE"""),13.68)</f>
        <v>13.68</v>
      </c>
      <c r="F1329" s="1">
        <f>IFERROR(__xludf.DUMMYFUNCTION("""COMPUTED_VALUE"""),8.0)</f>
        <v>8</v>
      </c>
    </row>
    <row r="1330">
      <c r="A1330" s="3">
        <f>IFERROR(__xludf.DUMMYFUNCTION("""COMPUTED_VALUE"""),46054.0)</f>
        <v>46054</v>
      </c>
      <c r="B1330" s="1" t="str">
        <f>IFERROR(__xludf.DUMMYFUNCTION("""COMPUTED_VALUE"""),"SeaCost")</f>
        <v>SeaCost</v>
      </c>
      <c r="C1330" s="1" t="str">
        <f>IFERROR(__xludf.DUMMYFUNCTION("""COMPUTED_VALUE"""),"Be happy kids")</f>
        <v>Be happy kids</v>
      </c>
      <c r="D1330" s="1">
        <f>IFERROR(__xludf.DUMMYFUNCTION("""COMPUTED_VALUE"""),40.0)</f>
        <v>40</v>
      </c>
      <c r="E1330" s="1">
        <f>IFERROR(__xludf.DUMMYFUNCTION("""COMPUTED_VALUE"""),13.36)</f>
        <v>13.36</v>
      </c>
      <c r="F1330" s="1">
        <f>IFERROR(__xludf.DUMMYFUNCTION("""COMPUTED_VALUE"""),8.0)</f>
        <v>8</v>
      </c>
    </row>
    <row r="1331">
      <c r="A1331" s="3">
        <f>IFERROR(__xludf.DUMMYFUNCTION("""COMPUTED_VALUE"""),46054.0)</f>
        <v>46054</v>
      </c>
      <c r="B1331" s="1" t="str">
        <f>IFERROR(__xludf.DUMMYFUNCTION("""COMPUTED_VALUE"""),"SeaCost")</f>
        <v>SeaCost</v>
      </c>
      <c r="C1331" s="1" t="str">
        <f>IFERROR(__xludf.DUMMYFUNCTION("""COMPUTED_VALUE"""),"Chico")</f>
        <v>Chico</v>
      </c>
      <c r="D1331" s="1">
        <f>IFERROR(__xludf.DUMMYFUNCTION("""COMPUTED_VALUE"""),75.0)</f>
        <v>75</v>
      </c>
      <c r="E1331" s="1">
        <f>IFERROR(__xludf.DUMMYFUNCTION("""COMPUTED_VALUE"""),31.6)</f>
        <v>31.6</v>
      </c>
      <c r="F1331" s="1">
        <f>IFERROR(__xludf.DUMMYFUNCTION("""COMPUTED_VALUE"""),20.0)</f>
        <v>20</v>
      </c>
    </row>
    <row r="1332">
      <c r="A1332" s="3">
        <f>IFERROR(__xludf.DUMMYFUNCTION("""COMPUTED_VALUE"""),46054.0)</f>
        <v>46054</v>
      </c>
      <c r="B1332" s="1" t="str">
        <f>IFERROR(__xludf.DUMMYFUNCTION("""COMPUTED_VALUE"""),"SeaCost")</f>
        <v>SeaCost</v>
      </c>
      <c r="C1332" s="1" t="str">
        <f>IFERROR(__xludf.DUMMYFUNCTION("""COMPUTED_VALUE"""),"Chillax chips")</f>
        <v>Chillax chips</v>
      </c>
      <c r="D1332" s="1">
        <f>IFERROR(__xludf.DUMMYFUNCTION("""COMPUTED_VALUE"""),301.0)</f>
        <v>301</v>
      </c>
      <c r="E1332" s="1">
        <f>IFERROR(__xludf.DUMMYFUNCTION("""COMPUTED_VALUE"""),150.5)</f>
        <v>150.5</v>
      </c>
      <c r="F1332" s="1">
        <f>IFERROR(__xludf.DUMMYFUNCTION("""COMPUTED_VALUE"""),43.0)</f>
        <v>43</v>
      </c>
    </row>
    <row r="1333">
      <c r="A1333" s="3">
        <f>IFERROR(__xludf.DUMMYFUNCTION("""COMPUTED_VALUE"""),46054.0)</f>
        <v>46054</v>
      </c>
      <c r="B1333" s="1" t="str">
        <f>IFERROR(__xludf.DUMMYFUNCTION("""COMPUTED_VALUE"""),"SeaCost")</f>
        <v>SeaCost</v>
      </c>
      <c r="C1333" s="1" t="str">
        <f>IFERROR(__xludf.DUMMYFUNCTION("""COMPUTED_VALUE"""),"Coach Suntop")</f>
        <v>Coach Suntop</v>
      </c>
      <c r="D1333" s="1">
        <f>IFERROR(__xludf.DUMMYFUNCTION("""COMPUTED_VALUE"""),6.0)</f>
        <v>6</v>
      </c>
      <c r="E1333" s="1">
        <f>IFERROR(__xludf.DUMMYFUNCTION("""COMPUTED_VALUE"""),4.65)</f>
        <v>4.65</v>
      </c>
      <c r="F1333" s="1">
        <f>IFERROR(__xludf.DUMMYFUNCTION("""COMPUTED_VALUE"""),3.0)</f>
        <v>3</v>
      </c>
    </row>
    <row r="1334">
      <c r="A1334" s="3">
        <f>IFERROR(__xludf.DUMMYFUNCTION("""COMPUTED_VALUE"""),46054.0)</f>
        <v>46054</v>
      </c>
      <c r="B1334" s="1" t="str">
        <f>IFERROR(__xludf.DUMMYFUNCTION("""COMPUTED_VALUE"""),"SeaCost")</f>
        <v>SeaCost</v>
      </c>
      <c r="C1334" s="1" t="str">
        <f>IFERROR(__xludf.DUMMYFUNCTION("""COMPUTED_VALUE"""),"Corissant Karuzo")</f>
        <v>Corissant Karuzo</v>
      </c>
      <c r="D1334" s="1">
        <f>IFERROR(__xludf.DUMMYFUNCTION("""COMPUTED_VALUE"""),10.0)</f>
        <v>10</v>
      </c>
      <c r="E1334" s="1">
        <f>IFERROR(__xludf.DUMMYFUNCTION("""COMPUTED_VALUE"""),3.74)</f>
        <v>3.74</v>
      </c>
      <c r="F1334" s="1">
        <f>IFERROR(__xludf.DUMMYFUNCTION("""COMPUTED_VALUE"""),2.0)</f>
        <v>2</v>
      </c>
    </row>
    <row r="1335">
      <c r="A1335" s="3">
        <f>IFERROR(__xludf.DUMMYFUNCTION("""COMPUTED_VALUE"""),46054.0)</f>
        <v>46054</v>
      </c>
      <c r="B1335" s="1" t="str">
        <f>IFERROR(__xludf.DUMMYFUNCTION("""COMPUTED_VALUE"""),"SeaCost")</f>
        <v>SeaCost</v>
      </c>
      <c r="C1335" s="1" t="str">
        <f>IFERROR(__xludf.DUMMYFUNCTION("""COMPUTED_VALUE"""),"Dallas juice")</f>
        <v>Dallas juice</v>
      </c>
      <c r="D1335" s="1">
        <f>IFERROR(__xludf.DUMMYFUNCTION("""COMPUTED_VALUE"""),216.0)</f>
        <v>216</v>
      </c>
      <c r="E1335" s="1">
        <f>IFERROR(__xludf.DUMMYFUNCTION("""COMPUTED_VALUE"""),150.48)</f>
        <v>150.48</v>
      </c>
      <c r="F1335" s="1">
        <f>IFERROR(__xludf.DUMMYFUNCTION("""COMPUTED_VALUE"""),72.0)</f>
        <v>72</v>
      </c>
    </row>
    <row r="1336">
      <c r="A1336" s="3">
        <f>IFERROR(__xludf.DUMMYFUNCTION("""COMPUTED_VALUE"""),46054.0)</f>
        <v>46054</v>
      </c>
      <c r="B1336" s="1" t="str">
        <f>IFERROR(__xludf.DUMMYFUNCTION("""COMPUTED_VALUE"""),"SeaCost")</f>
        <v>SeaCost</v>
      </c>
      <c r="C1336" s="1" t="str">
        <f>IFERROR(__xludf.DUMMYFUNCTION("""COMPUTED_VALUE"""),"Doritos cool ranc")</f>
        <v>Doritos cool ranc</v>
      </c>
      <c r="D1336" s="1">
        <f>IFERROR(__xludf.DUMMYFUNCTION("""COMPUTED_VALUE"""),637.0)</f>
        <v>637</v>
      </c>
      <c r="E1336" s="1">
        <f>IFERROR(__xludf.DUMMYFUNCTION("""COMPUTED_VALUE"""),370.37)</f>
        <v>370.37</v>
      </c>
      <c r="F1336" s="1">
        <f>IFERROR(__xludf.DUMMYFUNCTION("""COMPUTED_VALUE"""),91.0)</f>
        <v>91</v>
      </c>
    </row>
    <row r="1337">
      <c r="A1337" s="3">
        <f>IFERROR(__xludf.DUMMYFUNCTION("""COMPUTED_VALUE"""),46054.0)</f>
        <v>46054</v>
      </c>
      <c r="B1337" s="1" t="str">
        <f>IFERROR(__xludf.DUMMYFUNCTION("""COMPUTED_VALUE"""),"SeaCost")</f>
        <v>SeaCost</v>
      </c>
      <c r="C1337" s="1" t="str">
        <f>IFERROR(__xludf.DUMMYFUNCTION("""COMPUTED_VALUE"""),"Doritos green hot")</f>
        <v>Doritos green hot</v>
      </c>
      <c r="D1337" s="1">
        <f>IFERROR(__xludf.DUMMYFUNCTION("""COMPUTED_VALUE"""),371.0)</f>
        <v>371</v>
      </c>
      <c r="E1337" s="1">
        <f>IFERROR(__xludf.DUMMYFUNCTION("""COMPUTED_VALUE"""),215.71)</f>
        <v>215.71</v>
      </c>
      <c r="F1337" s="1">
        <f>IFERROR(__xludf.DUMMYFUNCTION("""COMPUTED_VALUE"""),53.0)</f>
        <v>53</v>
      </c>
    </row>
    <row r="1338">
      <c r="A1338" s="3">
        <f>IFERROR(__xludf.DUMMYFUNCTION("""COMPUTED_VALUE"""),46054.0)</f>
        <v>46054</v>
      </c>
      <c r="B1338" s="1" t="str">
        <f>IFERROR(__xludf.DUMMYFUNCTION("""COMPUTED_VALUE"""),"SeaCost")</f>
        <v>SeaCost</v>
      </c>
      <c r="C1338" s="1" t="str">
        <f>IFERROR(__xludf.DUMMYFUNCTION("""COMPUTED_VALUE"""),"Doritos nacho")</f>
        <v>Doritos nacho</v>
      </c>
      <c r="D1338" s="1">
        <f>IFERROR(__xludf.DUMMYFUNCTION("""COMPUTED_VALUE"""),231.0)</f>
        <v>231</v>
      </c>
      <c r="E1338" s="1">
        <f>IFERROR(__xludf.DUMMYFUNCTION("""COMPUTED_VALUE"""),134.31)</f>
        <v>134.31</v>
      </c>
      <c r="F1338" s="1">
        <f>IFERROR(__xludf.DUMMYFUNCTION("""COMPUTED_VALUE"""),33.0)</f>
        <v>33</v>
      </c>
    </row>
    <row r="1339">
      <c r="A1339" s="3">
        <f>IFERROR(__xludf.DUMMYFUNCTION("""COMPUTED_VALUE"""),46054.0)</f>
        <v>46054</v>
      </c>
      <c r="B1339" s="1" t="str">
        <f>IFERROR(__xludf.DUMMYFUNCTION("""COMPUTED_VALUE"""),"SeaCost")</f>
        <v>SeaCost</v>
      </c>
      <c r="C1339" s="1" t="str">
        <f>IFERROR(__xludf.DUMMYFUNCTION("""COMPUTED_VALUE"""),"Doritos real")</f>
        <v>Doritos real</v>
      </c>
      <c r="D1339" s="1">
        <f>IFERROR(__xludf.DUMMYFUNCTION("""COMPUTED_VALUE"""),105.0)</f>
        <v>105</v>
      </c>
      <c r="E1339" s="1">
        <f>IFERROR(__xludf.DUMMYFUNCTION("""COMPUTED_VALUE"""),15.0)</f>
        <v>15</v>
      </c>
      <c r="F1339" s="1">
        <f>IFERROR(__xludf.DUMMYFUNCTION("""COMPUTED_VALUE"""),15.0)</f>
        <v>15</v>
      </c>
    </row>
    <row r="1340">
      <c r="A1340" s="3">
        <f>IFERROR(__xludf.DUMMYFUNCTION("""COMPUTED_VALUE"""),46054.0)</f>
        <v>46054</v>
      </c>
      <c r="B1340" s="1" t="str">
        <f>IFERROR(__xludf.DUMMYFUNCTION("""COMPUTED_VALUE"""),"SeaCost")</f>
        <v>SeaCost</v>
      </c>
      <c r="C1340" s="1" t="str">
        <f>IFERROR(__xludf.DUMMYFUNCTION("""COMPUTED_VALUE"""),"Goftime")</f>
        <v>Goftime</v>
      </c>
      <c r="D1340" s="1">
        <f>IFERROR(__xludf.DUMMYFUNCTION("""COMPUTED_VALUE"""),32.0)</f>
        <v>32</v>
      </c>
      <c r="E1340" s="1">
        <f>IFERROR(__xludf.DUMMYFUNCTION("""COMPUTED_VALUE"""),25.12)</f>
        <v>25.12</v>
      </c>
      <c r="F1340" s="1">
        <f>IFERROR(__xludf.DUMMYFUNCTION("""COMPUTED_VALUE"""),16.0)</f>
        <v>16</v>
      </c>
    </row>
    <row r="1341">
      <c r="A1341" s="3">
        <f>IFERROR(__xludf.DUMMYFUNCTION("""COMPUTED_VALUE"""),46054.0)</f>
        <v>46054</v>
      </c>
      <c r="B1341" s="1" t="str">
        <f>IFERROR(__xludf.DUMMYFUNCTION("""COMPUTED_VALUE"""),"SeaCost")</f>
        <v>SeaCost</v>
      </c>
      <c r="C1341" s="1" t="str">
        <f>IFERROR(__xludf.DUMMYFUNCTION("""COMPUTED_VALUE"""),"Kunuz Juice")</f>
        <v>Kunuz Juice</v>
      </c>
      <c r="D1341" s="1">
        <f>IFERROR(__xludf.DUMMYFUNCTION("""COMPUTED_VALUE"""),20.0)</f>
        <v>20</v>
      </c>
      <c r="E1341" s="1">
        <f>IFERROR(__xludf.DUMMYFUNCTION("""COMPUTED_VALUE"""),12.0)</f>
        <v>12</v>
      </c>
      <c r="F1341" s="1">
        <f>IFERROR(__xludf.DUMMYFUNCTION("""COMPUTED_VALUE"""),5.0)</f>
        <v>5</v>
      </c>
    </row>
    <row r="1342">
      <c r="A1342" s="3">
        <f>IFERROR(__xludf.DUMMYFUNCTION("""COMPUTED_VALUE"""),46054.0)</f>
        <v>46054</v>
      </c>
      <c r="B1342" s="1" t="str">
        <f>IFERROR(__xludf.DUMMYFUNCTION("""COMPUTED_VALUE"""),"SeaCost")</f>
        <v>SeaCost</v>
      </c>
      <c r="C1342" s="1" t="str">
        <f>IFERROR(__xludf.DUMMYFUNCTION("""COMPUTED_VALUE"""),"Laviva")</f>
        <v>Laviva</v>
      </c>
      <c r="D1342" s="1">
        <f>IFERROR(__xludf.DUMMYFUNCTION("""COMPUTED_VALUE"""),288.0)</f>
        <v>288</v>
      </c>
      <c r="E1342" s="1">
        <f>IFERROR(__xludf.DUMMYFUNCTION("""COMPUTED_VALUE"""),126.0)</f>
        <v>126</v>
      </c>
      <c r="F1342" s="1">
        <f>IFERROR(__xludf.DUMMYFUNCTION("""COMPUTED_VALUE"""),72.0)</f>
        <v>72</v>
      </c>
    </row>
    <row r="1343">
      <c r="A1343" s="3">
        <f>IFERROR(__xludf.DUMMYFUNCTION("""COMPUTED_VALUE"""),46054.0)</f>
        <v>46054</v>
      </c>
      <c r="B1343" s="1" t="str">
        <f>IFERROR(__xludf.DUMMYFUNCTION("""COMPUTED_VALUE"""),"SeaCost")</f>
        <v>SeaCost</v>
      </c>
      <c r="C1343" s="1" t="str">
        <f>IFERROR(__xludf.DUMMYFUNCTION("""COMPUTED_VALUE"""),"Lexus")</f>
        <v>Lexus</v>
      </c>
      <c r="D1343" s="1">
        <f>IFERROR(__xludf.DUMMYFUNCTION("""COMPUTED_VALUE"""),5.0)</f>
        <v>5</v>
      </c>
      <c r="E1343" s="1">
        <f>IFERROR(__xludf.DUMMYFUNCTION("""COMPUTED_VALUE"""),1.2)</f>
        <v>1.2</v>
      </c>
      <c r="F1343" s="1">
        <f>IFERROR(__xludf.DUMMYFUNCTION("""COMPUTED_VALUE"""),1.0)</f>
        <v>1</v>
      </c>
    </row>
    <row r="1344">
      <c r="A1344" s="3">
        <f>IFERROR(__xludf.DUMMYFUNCTION("""COMPUTED_VALUE"""),46054.0)</f>
        <v>46054</v>
      </c>
      <c r="B1344" s="1" t="str">
        <f>IFERROR(__xludf.DUMMYFUNCTION("""COMPUTED_VALUE"""),"SeaCost")</f>
        <v>SeaCost</v>
      </c>
      <c r="C1344" s="1" t="str">
        <f>IFERROR(__xludf.DUMMYFUNCTION("""COMPUTED_VALUE"""),"Lovita cookies")</f>
        <v>Lovita cookies</v>
      </c>
      <c r="D1344" s="1">
        <f>IFERROR(__xludf.DUMMYFUNCTION("""COMPUTED_VALUE"""),16.0)</f>
        <v>16</v>
      </c>
      <c r="E1344" s="1">
        <f>IFERROR(__xludf.DUMMYFUNCTION("""COMPUTED_VALUE"""),5.64)</f>
        <v>5.64</v>
      </c>
      <c r="F1344" s="1">
        <f>IFERROR(__xludf.DUMMYFUNCTION("""COMPUTED_VALUE"""),2.0)</f>
        <v>2</v>
      </c>
    </row>
    <row r="1345">
      <c r="A1345" s="3">
        <f>IFERROR(__xludf.DUMMYFUNCTION("""COMPUTED_VALUE"""),46054.0)</f>
        <v>46054</v>
      </c>
      <c r="B1345" s="1" t="str">
        <f>IFERROR(__xludf.DUMMYFUNCTION("""COMPUTED_VALUE"""),"SeaCost")</f>
        <v>SeaCost</v>
      </c>
      <c r="C1345" s="1" t="str">
        <f>IFERROR(__xludf.DUMMYFUNCTION("""COMPUTED_VALUE"""),"MR Crunch")</f>
        <v>MR Crunch</v>
      </c>
      <c r="D1345" s="1">
        <f>IFERROR(__xludf.DUMMYFUNCTION("""COMPUTED_VALUE"""),678.0)</f>
        <v>678</v>
      </c>
      <c r="E1345" s="1">
        <f>IFERROR(__xludf.DUMMYFUNCTION("""COMPUTED_VALUE"""),339.0)</f>
        <v>339</v>
      </c>
      <c r="F1345" s="1">
        <f>IFERROR(__xludf.DUMMYFUNCTION("""COMPUTED_VALUE"""),113.0)</f>
        <v>113</v>
      </c>
    </row>
    <row r="1346">
      <c r="A1346" s="3">
        <f>IFERROR(__xludf.DUMMYFUNCTION("""COMPUTED_VALUE"""),46054.0)</f>
        <v>46054</v>
      </c>
      <c r="B1346" s="1" t="str">
        <f>IFERROR(__xludf.DUMMYFUNCTION("""COMPUTED_VALUE"""),"SeaCost")</f>
        <v>SeaCost</v>
      </c>
      <c r="C1346" s="1" t="str">
        <f>IFERROR(__xludf.DUMMYFUNCTION("""COMPUTED_VALUE"""),"Mr Cruch veggy's")</f>
        <v>Mr Cruch veggy's</v>
      </c>
      <c r="D1346" s="1">
        <f>IFERROR(__xludf.DUMMYFUNCTION("""COMPUTED_VALUE"""),113.0)</f>
        <v>113</v>
      </c>
      <c r="E1346" s="1">
        <f>IFERROR(__xludf.DUMMYFUNCTION("""COMPUTED_VALUE"""),69.08)</f>
        <v>69.08</v>
      </c>
      <c r="F1346" s="1">
        <f>IFERROR(__xludf.DUMMYFUNCTION("""COMPUTED_VALUE"""),18.0)</f>
        <v>18</v>
      </c>
    </row>
    <row r="1347">
      <c r="A1347" s="3">
        <f>IFERROR(__xludf.DUMMYFUNCTION("""COMPUTED_VALUE"""),46054.0)</f>
        <v>46054</v>
      </c>
      <c r="B1347" s="1" t="str">
        <f>IFERROR(__xludf.DUMMYFUNCTION("""COMPUTED_VALUE"""),"SeaCost")</f>
        <v>SeaCost</v>
      </c>
      <c r="C1347" s="1" t="str">
        <f>IFERROR(__xludf.DUMMYFUNCTION("""COMPUTED_VALUE"""),"Mrbeast")</f>
        <v>Mrbeast</v>
      </c>
      <c r="D1347" s="1">
        <f>IFERROR(__xludf.DUMMYFUNCTION("""COMPUTED_VALUE"""),250.0)</f>
        <v>250</v>
      </c>
      <c r="E1347" s="1">
        <f>IFERROR(__xludf.DUMMYFUNCTION("""COMPUTED_VALUE"""),175.0)</f>
        <v>175</v>
      </c>
      <c r="F1347" s="1">
        <f>IFERROR(__xludf.DUMMYFUNCTION("""COMPUTED_VALUE"""),25.0)</f>
        <v>25</v>
      </c>
    </row>
    <row r="1348">
      <c r="A1348" s="3">
        <f>IFERROR(__xludf.DUMMYFUNCTION("""COMPUTED_VALUE"""),46054.0)</f>
        <v>46054</v>
      </c>
      <c r="B1348" s="1" t="str">
        <f>IFERROR(__xludf.DUMMYFUNCTION("""COMPUTED_VALUE"""),"SeaCost")</f>
        <v>SeaCost</v>
      </c>
      <c r="C1348" s="1" t="str">
        <f>IFERROR(__xludf.DUMMYFUNCTION("""COMPUTED_VALUE"""),"Mulino Cookis")</f>
        <v>Mulino Cookis</v>
      </c>
      <c r="D1348" s="1">
        <f>IFERROR(__xludf.DUMMYFUNCTION("""COMPUTED_VALUE"""),10.0)</f>
        <v>10</v>
      </c>
      <c r="E1348" s="1">
        <f>IFERROR(__xludf.DUMMYFUNCTION("""COMPUTED_VALUE"""),0.42)</f>
        <v>0.42</v>
      </c>
      <c r="F1348" s="1">
        <f>IFERROR(__xludf.DUMMYFUNCTION("""COMPUTED_VALUE"""),2.0)</f>
        <v>2</v>
      </c>
    </row>
    <row r="1349">
      <c r="A1349" s="3">
        <f>IFERROR(__xludf.DUMMYFUNCTION("""COMPUTED_VALUE"""),46054.0)</f>
        <v>46054</v>
      </c>
      <c r="B1349" s="1" t="str">
        <f>IFERROR(__xludf.DUMMYFUNCTION("""COMPUTED_VALUE"""),"SeaCost")</f>
        <v>SeaCost</v>
      </c>
      <c r="C1349" s="1" t="str">
        <f>IFERROR(__xludf.DUMMYFUNCTION("""COMPUTED_VALUE"""),"Prime")</f>
        <v>Prime</v>
      </c>
      <c r="D1349" s="1">
        <f>IFERROR(__xludf.DUMMYFUNCTION("""COMPUTED_VALUE"""),60.0)</f>
        <v>60</v>
      </c>
      <c r="E1349" s="1">
        <f>IFERROR(__xludf.DUMMYFUNCTION("""COMPUTED_VALUE"""),17.52)</f>
        <v>17.52</v>
      </c>
      <c r="F1349" s="1">
        <f>IFERROR(__xludf.DUMMYFUNCTION("""COMPUTED_VALUE"""),3.0)</f>
        <v>3</v>
      </c>
    </row>
    <row r="1350">
      <c r="A1350" s="3">
        <f>IFERROR(__xludf.DUMMYFUNCTION("""COMPUTED_VALUE"""),46054.0)</f>
        <v>46054</v>
      </c>
      <c r="B1350" s="1" t="str">
        <f>IFERROR(__xludf.DUMMYFUNCTION("""COMPUTED_VALUE"""),"SeaCost")</f>
        <v>SeaCost</v>
      </c>
      <c r="C1350" s="1" t="str">
        <f>IFERROR(__xludf.DUMMYFUNCTION("""COMPUTED_VALUE"""),"Rayhan suntop")</f>
        <v>Rayhan suntop</v>
      </c>
      <c r="D1350" s="1">
        <f>IFERROR(__xludf.DUMMYFUNCTION("""COMPUTED_VALUE"""),94.0)</f>
        <v>94</v>
      </c>
      <c r="E1350" s="1">
        <f>IFERROR(__xludf.DUMMYFUNCTION("""COMPUTED_VALUE"""),62.04)</f>
        <v>62.04</v>
      </c>
      <c r="F1350" s="1">
        <f>IFERROR(__xludf.DUMMYFUNCTION("""COMPUTED_VALUE"""),47.0)</f>
        <v>47</v>
      </c>
    </row>
    <row r="1351">
      <c r="A1351" s="3">
        <f>IFERROR(__xludf.DUMMYFUNCTION("""COMPUTED_VALUE"""),46054.0)</f>
        <v>46054</v>
      </c>
      <c r="B1351" s="1" t="str">
        <f>IFERROR(__xludf.DUMMYFUNCTION("""COMPUTED_VALUE"""),"SeaCost")</f>
        <v>SeaCost</v>
      </c>
      <c r="C1351" s="1" t="str">
        <f>IFERROR(__xludf.DUMMYFUNCTION("""COMPUTED_VALUE"""),"Shada up")</f>
        <v>Shada up</v>
      </c>
      <c r="D1351" s="1">
        <f>IFERROR(__xludf.DUMMYFUNCTION("""COMPUTED_VALUE"""),40.0)</f>
        <v>40</v>
      </c>
      <c r="E1351" s="1">
        <f>IFERROR(__xludf.DUMMYFUNCTION("""COMPUTED_VALUE"""),11.8)</f>
        <v>11.8</v>
      </c>
      <c r="F1351" s="1">
        <f>IFERROR(__xludf.DUMMYFUNCTION("""COMPUTED_VALUE"""),20.0)</f>
        <v>20</v>
      </c>
    </row>
    <row r="1352">
      <c r="A1352" s="3">
        <f>IFERROR(__xludf.DUMMYFUNCTION("""COMPUTED_VALUE"""),46054.0)</f>
        <v>46054</v>
      </c>
      <c r="B1352" s="1" t="str">
        <f>IFERROR(__xludf.DUMMYFUNCTION("""COMPUTED_VALUE"""),"SeaCost")</f>
        <v>SeaCost</v>
      </c>
      <c r="C1352" s="1" t="str">
        <f>IFERROR(__xludf.DUMMYFUNCTION("""COMPUTED_VALUE"""),"Skittles")</f>
        <v>Skittles</v>
      </c>
      <c r="D1352" s="1">
        <f>IFERROR(__xludf.DUMMYFUNCTION("""COMPUTED_VALUE"""),10.0)</f>
        <v>10</v>
      </c>
      <c r="E1352" s="1">
        <f>IFERROR(__xludf.DUMMYFUNCTION("""COMPUTED_VALUE"""),4.17)</f>
        <v>4.17</v>
      </c>
      <c r="F1352" s="1">
        <f>IFERROR(__xludf.DUMMYFUNCTION("""COMPUTED_VALUE"""),1.0)</f>
        <v>1</v>
      </c>
    </row>
    <row r="1353">
      <c r="A1353" s="3">
        <f>IFERROR(__xludf.DUMMYFUNCTION("""COMPUTED_VALUE"""),46054.0)</f>
        <v>46054</v>
      </c>
      <c r="B1353" s="1" t="str">
        <f>IFERROR(__xludf.DUMMYFUNCTION("""COMPUTED_VALUE"""),"SeaCost")</f>
        <v>SeaCost</v>
      </c>
      <c r="C1353" s="1" t="str">
        <f>IFERROR(__xludf.DUMMYFUNCTION("""COMPUTED_VALUE"""),"Tiger excellence")</f>
        <v>Tiger excellence</v>
      </c>
      <c r="D1353" s="1">
        <f>IFERROR(__xludf.DUMMYFUNCTION("""COMPUTED_VALUE"""),174.0)</f>
        <v>174</v>
      </c>
      <c r="E1353" s="1">
        <f>IFERROR(__xludf.DUMMYFUNCTION("""COMPUTED_VALUE"""),108.75)</f>
        <v>108.75</v>
      </c>
      <c r="F1353" s="1">
        <f>IFERROR(__xludf.DUMMYFUNCTION("""COMPUTED_VALUE"""),29.0)</f>
        <v>29</v>
      </c>
    </row>
    <row r="1354">
      <c r="A1354" s="3">
        <f>IFERROR(__xludf.DUMMYFUNCTION("""COMPUTED_VALUE"""),46054.0)</f>
        <v>46054</v>
      </c>
      <c r="B1354" s="1" t="str">
        <f>IFERROR(__xludf.DUMMYFUNCTION("""COMPUTED_VALUE"""),"SeaCost")</f>
        <v>SeaCost</v>
      </c>
      <c r="C1354" s="1" t="str">
        <f>IFERROR(__xludf.DUMMYFUNCTION("""COMPUTED_VALUE"""),"Toblerone")</f>
        <v>Toblerone</v>
      </c>
      <c r="D1354" s="1">
        <f>IFERROR(__xludf.DUMMYFUNCTION("""COMPUTED_VALUE"""),69.0)</f>
        <v>69</v>
      </c>
      <c r="E1354" s="1">
        <f>IFERROR(__xludf.DUMMYFUNCTION("""COMPUTED_VALUE"""),25.89)</f>
        <v>25.89</v>
      </c>
      <c r="F1354" s="1">
        <f>IFERROR(__xludf.DUMMYFUNCTION("""COMPUTED_VALUE"""),9.0)</f>
        <v>9</v>
      </c>
    </row>
    <row r="1355">
      <c r="A1355" s="3">
        <f>IFERROR(__xludf.DUMMYFUNCTION("""COMPUTED_VALUE"""),46054.0)</f>
        <v>46054</v>
      </c>
      <c r="B1355" s="1" t="str">
        <f>IFERROR(__xludf.DUMMYFUNCTION("""COMPUTED_VALUE"""),"SeaCost")</f>
        <v>SeaCost</v>
      </c>
      <c r="C1355" s="1" t="str">
        <f>IFERROR(__xludf.DUMMYFUNCTION("""COMPUTED_VALUE"""),"Wafer Laviva")</f>
        <v>Wafer Laviva</v>
      </c>
      <c r="D1355" s="1">
        <f>IFERROR(__xludf.DUMMYFUNCTION("""COMPUTED_VALUE"""),12.0)</f>
        <v>12</v>
      </c>
      <c r="E1355" s="1">
        <f>IFERROR(__xludf.DUMMYFUNCTION("""COMPUTED_VALUE"""),6.15)</f>
        <v>6.15</v>
      </c>
      <c r="F1355" s="1">
        <f>IFERROR(__xludf.DUMMYFUNCTION("""COMPUTED_VALUE"""),3.0)</f>
        <v>3</v>
      </c>
    </row>
    <row r="1356">
      <c r="A1356" s="3">
        <f>IFERROR(__xludf.DUMMYFUNCTION("""COMPUTED_VALUE"""),46054.0)</f>
        <v>46054</v>
      </c>
      <c r="B1356" s="1" t="str">
        <f>IFERROR(__xludf.DUMMYFUNCTION("""COMPUTED_VALUE"""),"SeaCost")</f>
        <v>SeaCost</v>
      </c>
      <c r="C1356" s="1" t="str">
        <f>IFERROR(__xludf.DUMMYFUNCTION("""COMPUTED_VALUE"""),"Waffi")</f>
        <v>Waffi</v>
      </c>
      <c r="D1356" s="1">
        <f>IFERROR(__xludf.DUMMYFUNCTION("""COMPUTED_VALUE"""),21.0)</f>
        <v>21</v>
      </c>
      <c r="E1356" s="1">
        <f>IFERROR(__xludf.DUMMYFUNCTION("""COMPUTED_VALUE"""),14.91)</f>
        <v>14.91</v>
      </c>
      <c r="F1356" s="1">
        <f>IFERROR(__xludf.DUMMYFUNCTION("""COMPUTED_VALUE"""),7.0)</f>
        <v>7</v>
      </c>
    </row>
    <row r="1357">
      <c r="A1357" s="3">
        <f>IFERROR(__xludf.DUMMYFUNCTION("""COMPUTED_VALUE"""),46054.0)</f>
        <v>46054</v>
      </c>
      <c r="B1357" s="1" t="str">
        <f>IFERROR(__xludf.DUMMYFUNCTION("""COMPUTED_VALUE"""),"SeaCost")</f>
        <v>SeaCost</v>
      </c>
      <c r="C1357" s="1" t="str">
        <f>IFERROR(__xludf.DUMMYFUNCTION("""COMPUTED_VALUE"""),"Water")</f>
        <v>Water</v>
      </c>
      <c r="D1357" s="1">
        <f>IFERROR(__xludf.DUMMYFUNCTION("""COMPUTED_VALUE"""),273.0)</f>
        <v>273</v>
      </c>
      <c r="E1357" s="1">
        <f>IFERROR(__xludf.DUMMYFUNCTION("""COMPUTED_VALUE"""),196.56)</f>
        <v>196.56</v>
      </c>
      <c r="F1357" s="1">
        <f>IFERROR(__xludf.DUMMYFUNCTION("""COMPUTED_VALUE"""),273.0)</f>
        <v>273</v>
      </c>
    </row>
    <row r="1358">
      <c r="A1358" s="3">
        <f>IFERROR(__xludf.DUMMYFUNCTION("""COMPUTED_VALUE"""),46054.0)</f>
        <v>46054</v>
      </c>
      <c r="B1358" s="1" t="str">
        <f>IFERROR(__xludf.DUMMYFUNCTION("""COMPUTED_VALUE"""),"SeaCost")</f>
        <v>SeaCost</v>
      </c>
      <c r="C1358" s="1" t="str">
        <f>IFERROR(__xludf.DUMMYFUNCTION("""COMPUTED_VALUE"""),"brownies moulin")</f>
        <v>brownies moulin</v>
      </c>
      <c r="D1358" s="1">
        <f>IFERROR(__xludf.DUMMYFUNCTION("""COMPUTED_VALUE"""),21.0)</f>
        <v>21</v>
      </c>
      <c r="E1358" s="1">
        <f>IFERROR(__xludf.DUMMYFUNCTION("""COMPUTED_VALUE"""),8.4)</f>
        <v>8.4</v>
      </c>
      <c r="F1358" s="1">
        <f>IFERROR(__xludf.DUMMYFUNCTION("""COMPUTED_VALUE"""),7.0)</f>
        <v>7</v>
      </c>
    </row>
    <row r="1359">
      <c r="A1359" s="3">
        <f>IFERROR(__xludf.DUMMYFUNCTION("""COMPUTED_VALUE"""),46054.0)</f>
        <v>46054</v>
      </c>
      <c r="B1359" s="1" t="str">
        <f>IFERROR(__xludf.DUMMYFUNCTION("""COMPUTED_VALUE"""),"SeaCost")</f>
        <v>SeaCost</v>
      </c>
      <c r="C1359" s="1" t="str">
        <f>IFERROR(__xludf.DUMMYFUNCTION("""COMPUTED_VALUE"""),"mr bite")</f>
        <v>mr bite</v>
      </c>
      <c r="D1359" s="1">
        <f>IFERROR(__xludf.DUMMYFUNCTION("""COMPUTED_VALUE"""),99.0)</f>
        <v>99</v>
      </c>
      <c r="E1359" s="1">
        <f>IFERROR(__xludf.DUMMYFUNCTION("""COMPUTED_VALUE"""),39.93)</f>
        <v>39.93</v>
      </c>
      <c r="F1359" s="1">
        <f>IFERROR(__xludf.DUMMYFUNCTION("""COMPUTED_VALUE"""),33.0)</f>
        <v>33</v>
      </c>
    </row>
    <row r="1360">
      <c r="A1360" s="3">
        <f>IFERROR(__xludf.DUMMYFUNCTION("""COMPUTED_VALUE"""),46054.0)</f>
        <v>46054</v>
      </c>
      <c r="B1360" s="1" t="str">
        <f>IFERROR(__xludf.DUMMYFUNCTION("""COMPUTED_VALUE"""),"SeaCost")</f>
        <v>SeaCost</v>
      </c>
      <c r="C1360" s="1" t="str">
        <f>IFERROR(__xludf.DUMMYFUNCTION("""COMPUTED_VALUE"""),"sunTop")</f>
        <v>sunTop</v>
      </c>
      <c r="D1360" s="1">
        <f>IFERROR(__xludf.DUMMYFUNCTION("""COMPUTED_VALUE"""),24.0)</f>
        <v>24</v>
      </c>
      <c r="E1360" s="1">
        <f>IFERROR(__xludf.DUMMYFUNCTION("""COMPUTED_VALUE"""),16.8)</f>
        <v>16.8</v>
      </c>
      <c r="F1360" s="1">
        <f>IFERROR(__xludf.DUMMYFUNCTION("""COMPUTED_VALUE"""),12.0)</f>
        <v>12</v>
      </c>
    </row>
    <row r="1361">
      <c r="A1361" s="3">
        <f>IFERROR(__xludf.DUMMYFUNCTION("""COMPUTED_VALUE"""),46054.0)</f>
        <v>46054</v>
      </c>
      <c r="B1361" s="1" t="str">
        <f>IFERROR(__xludf.DUMMYFUNCTION("""COMPUTED_VALUE"""),"SeaCost")</f>
        <v>SeaCost</v>
      </c>
      <c r="C1361" s="1" t="str">
        <f>IFERROR(__xludf.DUMMYFUNCTION("""COMPUTED_VALUE"""),"vita go")</f>
        <v>vita go</v>
      </c>
      <c r="D1361" s="1">
        <f>IFERROR(__xludf.DUMMYFUNCTION("""COMPUTED_VALUE"""),111.0)</f>
        <v>111</v>
      </c>
      <c r="E1361" s="1">
        <f>IFERROR(__xludf.DUMMYFUNCTION("""COMPUTED_VALUE"""),46.25)</f>
        <v>46.25</v>
      </c>
      <c r="F1361" s="1">
        <f>IFERROR(__xludf.DUMMYFUNCTION("""COMPUTED_VALUE"""),37.0)</f>
        <v>37</v>
      </c>
    </row>
    <row r="1362">
      <c r="A1362" s="3">
        <f>IFERROR(__xludf.DUMMYFUNCTION("""COMPUTED_VALUE"""),46054.0)</f>
        <v>46054</v>
      </c>
      <c r="B1362" s="1" t="str">
        <f>IFERROR(__xludf.DUMMYFUNCTION("""COMPUTED_VALUE"""),"SeaCost2")</f>
        <v>SeaCost2</v>
      </c>
      <c r="C1362" s="1" t="str">
        <f>IFERROR(__xludf.DUMMYFUNCTION("""COMPUTED_VALUE"""),"Almarai Chocolate")</f>
        <v>Almarai Chocolate</v>
      </c>
      <c r="D1362" s="1">
        <f>IFERROR(__xludf.DUMMYFUNCTION("""COMPUTED_VALUE"""),16.0)</f>
        <v>16</v>
      </c>
      <c r="E1362" s="1">
        <f>IFERROR(__xludf.DUMMYFUNCTION("""COMPUTED_VALUE"""),6.84)</f>
        <v>6.84</v>
      </c>
      <c r="F1362" s="1">
        <f>IFERROR(__xludf.DUMMYFUNCTION("""COMPUTED_VALUE"""),4.0)</f>
        <v>4</v>
      </c>
    </row>
    <row r="1363">
      <c r="A1363" s="3">
        <f>IFERROR(__xludf.DUMMYFUNCTION("""COMPUTED_VALUE"""),46054.0)</f>
        <v>46054</v>
      </c>
      <c r="B1363" s="1" t="str">
        <f>IFERROR(__xludf.DUMMYFUNCTION("""COMPUTED_VALUE"""),"SeaCost2")</f>
        <v>SeaCost2</v>
      </c>
      <c r="C1363" s="1" t="str">
        <f>IFERROR(__xludf.DUMMYFUNCTION("""COMPUTED_VALUE"""),"Almarai Strawberry")</f>
        <v>Almarai Strawberry</v>
      </c>
      <c r="D1363" s="1">
        <f>IFERROR(__xludf.DUMMYFUNCTION("""COMPUTED_VALUE"""),16.0)</f>
        <v>16</v>
      </c>
      <c r="E1363" s="1">
        <f>IFERROR(__xludf.DUMMYFUNCTION("""COMPUTED_VALUE"""),6.84)</f>
        <v>6.84</v>
      </c>
      <c r="F1363" s="1">
        <f>IFERROR(__xludf.DUMMYFUNCTION("""COMPUTED_VALUE"""),4.0)</f>
        <v>4</v>
      </c>
    </row>
    <row r="1364">
      <c r="A1364" s="3">
        <f>IFERROR(__xludf.DUMMYFUNCTION("""COMPUTED_VALUE"""),46054.0)</f>
        <v>46054</v>
      </c>
      <c r="B1364" s="1" t="str">
        <f>IFERROR(__xludf.DUMMYFUNCTION("""COMPUTED_VALUE"""),"SeaCost2")</f>
        <v>SeaCost2</v>
      </c>
      <c r="C1364" s="1" t="str">
        <f>IFERROR(__xludf.DUMMYFUNCTION("""COMPUTED_VALUE"""),"Coach Suntop")</f>
        <v>Coach Suntop</v>
      </c>
      <c r="D1364" s="1">
        <f>IFERROR(__xludf.DUMMYFUNCTION("""COMPUTED_VALUE"""),24.0)</f>
        <v>24</v>
      </c>
      <c r="E1364" s="1">
        <f>IFERROR(__xludf.DUMMYFUNCTION("""COMPUTED_VALUE"""),18.6)</f>
        <v>18.6</v>
      </c>
      <c r="F1364" s="1">
        <f>IFERROR(__xludf.DUMMYFUNCTION("""COMPUTED_VALUE"""),12.0)</f>
        <v>12</v>
      </c>
    </row>
    <row r="1365">
      <c r="A1365" s="3">
        <f>IFERROR(__xludf.DUMMYFUNCTION("""COMPUTED_VALUE"""),46054.0)</f>
        <v>46054</v>
      </c>
      <c r="B1365" s="1" t="str">
        <f>IFERROR(__xludf.DUMMYFUNCTION("""COMPUTED_VALUE"""),"SeaCost2")</f>
        <v>SeaCost2</v>
      </c>
      <c r="C1365" s="1" t="str">
        <f>IFERROR(__xludf.DUMMYFUNCTION("""COMPUTED_VALUE"""),"Dallas juice")</f>
        <v>Dallas juice</v>
      </c>
      <c r="D1365" s="1">
        <f>IFERROR(__xludf.DUMMYFUNCTION("""COMPUTED_VALUE"""),30.0)</f>
        <v>30</v>
      </c>
      <c r="E1365" s="1">
        <f>IFERROR(__xludf.DUMMYFUNCTION("""COMPUTED_VALUE"""),20.9)</f>
        <v>20.9</v>
      </c>
      <c r="F1365" s="1">
        <f>IFERROR(__xludf.DUMMYFUNCTION("""COMPUTED_VALUE"""),10.0)</f>
        <v>10</v>
      </c>
    </row>
    <row r="1366">
      <c r="A1366" s="3">
        <f>IFERROR(__xludf.DUMMYFUNCTION("""COMPUTED_VALUE"""),46054.0)</f>
        <v>46054</v>
      </c>
      <c r="B1366" s="1" t="str">
        <f>IFERROR(__xludf.DUMMYFUNCTION("""COMPUTED_VALUE"""),"SeaCost2")</f>
        <v>SeaCost2</v>
      </c>
      <c r="C1366" s="1" t="str">
        <f>IFERROR(__xludf.DUMMYFUNCTION("""COMPUTED_VALUE"""),"Doritos cool ranc")</f>
        <v>Doritos cool ranc</v>
      </c>
      <c r="D1366" s="1">
        <f>IFERROR(__xludf.DUMMYFUNCTION("""COMPUTED_VALUE"""),224.0)</f>
        <v>224</v>
      </c>
      <c r="E1366" s="1">
        <f>IFERROR(__xludf.DUMMYFUNCTION("""COMPUTED_VALUE"""),130.24)</f>
        <v>130.24</v>
      </c>
      <c r="F1366" s="1">
        <f>IFERROR(__xludf.DUMMYFUNCTION("""COMPUTED_VALUE"""),32.0)</f>
        <v>32</v>
      </c>
    </row>
    <row r="1367">
      <c r="A1367" s="3">
        <f>IFERROR(__xludf.DUMMYFUNCTION("""COMPUTED_VALUE"""),46054.0)</f>
        <v>46054</v>
      </c>
      <c r="B1367" s="1" t="str">
        <f>IFERROR(__xludf.DUMMYFUNCTION("""COMPUTED_VALUE"""),"SeaCost2")</f>
        <v>SeaCost2</v>
      </c>
      <c r="C1367" s="1" t="str">
        <f>IFERROR(__xludf.DUMMYFUNCTION("""COMPUTED_VALUE"""),"Doritos green hot")</f>
        <v>Doritos green hot</v>
      </c>
      <c r="D1367" s="1">
        <f>IFERROR(__xludf.DUMMYFUNCTION("""COMPUTED_VALUE"""),203.0)</f>
        <v>203</v>
      </c>
      <c r="E1367" s="1">
        <f>IFERROR(__xludf.DUMMYFUNCTION("""COMPUTED_VALUE"""),118.03)</f>
        <v>118.03</v>
      </c>
      <c r="F1367" s="1">
        <f>IFERROR(__xludf.DUMMYFUNCTION("""COMPUTED_VALUE"""),29.0)</f>
        <v>29</v>
      </c>
    </row>
    <row r="1368">
      <c r="A1368" s="3">
        <f>IFERROR(__xludf.DUMMYFUNCTION("""COMPUTED_VALUE"""),46054.0)</f>
        <v>46054</v>
      </c>
      <c r="B1368" s="1" t="str">
        <f>IFERROR(__xludf.DUMMYFUNCTION("""COMPUTED_VALUE"""),"SeaCost2")</f>
        <v>SeaCost2</v>
      </c>
      <c r="C1368" s="1" t="str">
        <f>IFERROR(__xludf.DUMMYFUNCTION("""COMPUTED_VALUE"""),"Kunuz Juice")</f>
        <v>Kunuz Juice</v>
      </c>
      <c r="D1368" s="1">
        <f>IFERROR(__xludf.DUMMYFUNCTION("""COMPUTED_VALUE"""),10.0)</f>
        <v>10</v>
      </c>
      <c r="E1368" s="1">
        <f>IFERROR(__xludf.DUMMYFUNCTION("""COMPUTED_VALUE"""),6.8)</f>
        <v>6.8</v>
      </c>
      <c r="F1368" s="1">
        <f>IFERROR(__xludf.DUMMYFUNCTION("""COMPUTED_VALUE"""),2.0)</f>
        <v>2</v>
      </c>
    </row>
    <row r="1369">
      <c r="A1369" s="3">
        <f>IFERROR(__xludf.DUMMYFUNCTION("""COMPUTED_VALUE"""),46054.0)</f>
        <v>46054</v>
      </c>
      <c r="B1369" s="1" t="str">
        <f>IFERROR(__xludf.DUMMYFUNCTION("""COMPUTED_VALUE"""),"SeaCost2")</f>
        <v>SeaCost2</v>
      </c>
      <c r="C1369" s="1" t="str">
        <f>IFERROR(__xludf.DUMMYFUNCTION("""COMPUTED_VALUE"""),"Lovita cookies")</f>
        <v>Lovita cookies</v>
      </c>
      <c r="D1369" s="1">
        <f>IFERROR(__xludf.DUMMYFUNCTION("""COMPUTED_VALUE"""),42.0)</f>
        <v>42</v>
      </c>
      <c r="E1369" s="1">
        <f>IFERROR(__xludf.DUMMYFUNCTION("""COMPUTED_VALUE"""),5.74)</f>
        <v>5.74</v>
      </c>
      <c r="F1369" s="1">
        <f>IFERROR(__xludf.DUMMYFUNCTION("""COMPUTED_VALUE"""),7.0)</f>
        <v>7</v>
      </c>
    </row>
    <row r="1370">
      <c r="A1370" s="3">
        <f>IFERROR(__xludf.DUMMYFUNCTION("""COMPUTED_VALUE"""),46054.0)</f>
        <v>46054</v>
      </c>
      <c r="B1370" s="1" t="str">
        <f>IFERROR(__xludf.DUMMYFUNCTION("""COMPUTED_VALUE"""),"SeaCost2")</f>
        <v>SeaCost2</v>
      </c>
      <c r="C1370" s="1" t="str">
        <f>IFERROR(__xludf.DUMMYFUNCTION("""COMPUTED_VALUE"""),"MR Crunch")</f>
        <v>MR Crunch</v>
      </c>
      <c r="D1370" s="1">
        <f>IFERROR(__xludf.DUMMYFUNCTION("""COMPUTED_VALUE"""),145.0)</f>
        <v>145</v>
      </c>
      <c r="E1370" s="1">
        <f>IFERROR(__xludf.DUMMYFUNCTION("""COMPUTED_VALUE"""),73.0)</f>
        <v>73</v>
      </c>
      <c r="F1370" s="1">
        <f>IFERROR(__xludf.DUMMYFUNCTION("""COMPUTED_VALUE"""),24.0)</f>
        <v>24</v>
      </c>
    </row>
    <row r="1371">
      <c r="A1371" s="3">
        <f>IFERROR(__xludf.DUMMYFUNCTION("""COMPUTED_VALUE"""),46054.0)</f>
        <v>46054</v>
      </c>
      <c r="B1371" s="1" t="str">
        <f>IFERROR(__xludf.DUMMYFUNCTION("""COMPUTED_VALUE"""),"SeaCost2")</f>
        <v>SeaCost2</v>
      </c>
      <c r="C1371" s="1" t="str">
        <f>IFERROR(__xludf.DUMMYFUNCTION("""COMPUTED_VALUE"""),"Mirinda")</f>
        <v>Mirinda</v>
      </c>
      <c r="D1371" s="1">
        <f>IFERROR(__xludf.DUMMYFUNCTION("""COMPUTED_VALUE"""),32.0)</f>
        <v>32</v>
      </c>
      <c r="E1371" s="1">
        <f>IFERROR(__xludf.DUMMYFUNCTION("""COMPUTED_VALUE"""),14.0)</f>
        <v>14</v>
      </c>
      <c r="F1371" s="1">
        <f>IFERROR(__xludf.DUMMYFUNCTION("""COMPUTED_VALUE"""),8.0)</f>
        <v>8</v>
      </c>
    </row>
    <row r="1372">
      <c r="A1372" s="3">
        <f>IFERROR(__xludf.DUMMYFUNCTION("""COMPUTED_VALUE"""),46054.0)</f>
        <v>46054</v>
      </c>
      <c r="B1372" s="1" t="str">
        <f>IFERROR(__xludf.DUMMYFUNCTION("""COMPUTED_VALUE"""),"SeaCost2")</f>
        <v>SeaCost2</v>
      </c>
      <c r="C1372" s="1" t="str">
        <f>IFERROR(__xludf.DUMMYFUNCTION("""COMPUTED_VALUE"""),"Mr Cruch veggy's")</f>
        <v>Mr Cruch veggy's</v>
      </c>
      <c r="D1372" s="1">
        <f>IFERROR(__xludf.DUMMYFUNCTION("""COMPUTED_VALUE"""),84.0)</f>
        <v>84</v>
      </c>
      <c r="E1372" s="1">
        <f>IFERROR(__xludf.DUMMYFUNCTION("""COMPUTED_VALUE"""),49.84)</f>
        <v>49.84</v>
      </c>
      <c r="F1372" s="1">
        <f>IFERROR(__xludf.DUMMYFUNCTION("""COMPUTED_VALUE"""),14.0)</f>
        <v>14</v>
      </c>
    </row>
    <row r="1373">
      <c r="A1373" s="3">
        <f>IFERROR(__xludf.DUMMYFUNCTION("""COMPUTED_VALUE"""),46054.0)</f>
        <v>46054</v>
      </c>
      <c r="B1373" s="1" t="str">
        <f>IFERROR(__xludf.DUMMYFUNCTION("""COMPUTED_VALUE"""),"SeaCost2")</f>
        <v>SeaCost2</v>
      </c>
      <c r="C1373" s="1" t="str">
        <f>IFERROR(__xludf.DUMMYFUNCTION("""COMPUTED_VALUE"""),"Pepsi")</f>
        <v>Pepsi</v>
      </c>
      <c r="D1373" s="1">
        <f>IFERROR(__xludf.DUMMYFUNCTION("""COMPUTED_VALUE"""),48.0)</f>
        <v>48</v>
      </c>
      <c r="E1373" s="1">
        <f>IFERROR(__xludf.DUMMYFUNCTION("""COMPUTED_VALUE"""),21.0)</f>
        <v>21</v>
      </c>
      <c r="F1373" s="1">
        <f>IFERROR(__xludf.DUMMYFUNCTION("""COMPUTED_VALUE"""),12.0)</f>
        <v>12</v>
      </c>
    </row>
    <row r="1374">
      <c r="A1374" s="3">
        <f>IFERROR(__xludf.DUMMYFUNCTION("""COMPUTED_VALUE"""),46054.0)</f>
        <v>46054</v>
      </c>
      <c r="B1374" s="1" t="str">
        <f>IFERROR(__xludf.DUMMYFUNCTION("""COMPUTED_VALUE"""),"SeaCost2")</f>
        <v>SeaCost2</v>
      </c>
      <c r="C1374" s="1" t="str">
        <f>IFERROR(__xludf.DUMMYFUNCTION("""COMPUTED_VALUE"""),"Schweppes bullet")</f>
        <v>Schweppes bullet</v>
      </c>
      <c r="D1374" s="1">
        <f>IFERROR(__xludf.DUMMYFUNCTION("""COMPUTED_VALUE"""),20.0)</f>
        <v>20</v>
      </c>
      <c r="E1374" s="1">
        <f>IFERROR(__xludf.DUMMYFUNCTION("""COMPUTED_VALUE"""),11.25)</f>
        <v>11.25</v>
      </c>
      <c r="F1374" s="1">
        <f>IFERROR(__xludf.DUMMYFUNCTION("""COMPUTED_VALUE"""),5.0)</f>
        <v>5</v>
      </c>
    </row>
    <row r="1375">
      <c r="A1375" s="3">
        <f>IFERROR(__xludf.DUMMYFUNCTION("""COMPUTED_VALUE"""),46054.0)</f>
        <v>46054</v>
      </c>
      <c r="B1375" s="1" t="str">
        <f>IFERROR(__xludf.DUMMYFUNCTION("""COMPUTED_VALUE"""),"SeaCost2")</f>
        <v>SeaCost2</v>
      </c>
      <c r="C1375" s="1" t="str">
        <f>IFERROR(__xludf.DUMMYFUNCTION("""COMPUTED_VALUE"""),"Shada up")</f>
        <v>Shada up</v>
      </c>
      <c r="D1375" s="1">
        <f>IFERROR(__xludf.DUMMYFUNCTION("""COMPUTED_VALUE"""),6.0)</f>
        <v>6</v>
      </c>
      <c r="E1375" s="1">
        <f>IFERROR(__xludf.DUMMYFUNCTION("""COMPUTED_VALUE"""),3.18)</f>
        <v>3.18</v>
      </c>
      <c r="F1375" s="1">
        <f>IFERROR(__xludf.DUMMYFUNCTION("""COMPUTED_VALUE"""),2.0)</f>
        <v>2</v>
      </c>
    </row>
    <row r="1376">
      <c r="A1376" s="3">
        <f>IFERROR(__xludf.DUMMYFUNCTION("""COMPUTED_VALUE"""),46054.0)</f>
        <v>46054</v>
      </c>
      <c r="B1376" s="1" t="str">
        <f>IFERROR(__xludf.DUMMYFUNCTION("""COMPUTED_VALUE"""),"SeaCost2")</f>
        <v>SeaCost2</v>
      </c>
      <c r="C1376" s="1" t="str">
        <f>IFERROR(__xludf.DUMMYFUNCTION("""COMPUTED_VALUE"""),"Shani")</f>
        <v>Shani</v>
      </c>
      <c r="D1376" s="1">
        <f>IFERROR(__xludf.DUMMYFUNCTION("""COMPUTED_VALUE"""),24.0)</f>
        <v>24</v>
      </c>
      <c r="E1376" s="1">
        <f>IFERROR(__xludf.DUMMYFUNCTION("""COMPUTED_VALUE"""),10.5)</f>
        <v>10.5</v>
      </c>
      <c r="F1376" s="1">
        <f>IFERROR(__xludf.DUMMYFUNCTION("""COMPUTED_VALUE"""),6.0)</f>
        <v>6</v>
      </c>
    </row>
    <row r="1377">
      <c r="A1377" s="3">
        <f>IFERROR(__xludf.DUMMYFUNCTION("""COMPUTED_VALUE"""),46054.0)</f>
        <v>46054</v>
      </c>
      <c r="B1377" s="1" t="str">
        <f>IFERROR(__xludf.DUMMYFUNCTION("""COMPUTED_VALUE"""),"SeaCost2")</f>
        <v>SeaCost2</v>
      </c>
      <c r="C1377" s="1" t="str">
        <f>IFERROR(__xludf.DUMMYFUNCTION("""COMPUTED_VALUE"""),"Water")</f>
        <v>Water</v>
      </c>
      <c r="D1377" s="1">
        <f>IFERROR(__xludf.DUMMYFUNCTION("""COMPUTED_VALUE"""),41.0)</f>
        <v>41</v>
      </c>
      <c r="E1377" s="1">
        <f>IFERROR(__xludf.DUMMYFUNCTION("""COMPUTED_VALUE"""),29.52)</f>
        <v>29.52</v>
      </c>
      <c r="F1377" s="1">
        <f>IFERROR(__xludf.DUMMYFUNCTION("""COMPUTED_VALUE"""),41.0)</f>
        <v>41</v>
      </c>
    </row>
    <row r="1378">
      <c r="A1378" s="3">
        <f>IFERROR(__xludf.DUMMYFUNCTION("""COMPUTED_VALUE"""),46054.0)</f>
        <v>46054</v>
      </c>
      <c r="B1378" s="1" t="str">
        <f>IFERROR(__xludf.DUMMYFUNCTION("""COMPUTED_VALUE"""),"SeaCost2")</f>
        <v>SeaCost2</v>
      </c>
      <c r="C1378" s="1" t="str">
        <f>IFERROR(__xludf.DUMMYFUNCTION("""COMPUTED_VALUE"""),"mr bite")</f>
        <v>mr bite</v>
      </c>
      <c r="D1378" s="1">
        <f>IFERROR(__xludf.DUMMYFUNCTION("""COMPUTED_VALUE"""),15.0)</f>
        <v>15</v>
      </c>
      <c r="E1378" s="1">
        <f>IFERROR(__xludf.DUMMYFUNCTION("""COMPUTED_VALUE"""),6.05)</f>
        <v>6.05</v>
      </c>
      <c r="F1378" s="1">
        <f>IFERROR(__xludf.DUMMYFUNCTION("""COMPUTED_VALUE"""),5.0)</f>
        <v>5</v>
      </c>
    </row>
    <row r="1379">
      <c r="A1379" s="3">
        <f>IFERROR(__xludf.DUMMYFUNCTION("""COMPUTED_VALUE"""),46054.0)</f>
        <v>46054</v>
      </c>
      <c r="B1379" s="1" t="str">
        <f>IFERROR(__xludf.DUMMYFUNCTION("""COMPUTED_VALUE"""),"SeaCost2")</f>
        <v>SeaCost2</v>
      </c>
      <c r="C1379" s="1" t="str">
        <f>IFERROR(__xludf.DUMMYFUNCTION("""COMPUTED_VALUE"""),"未设置")</f>
        <v>未设置</v>
      </c>
      <c r="D1379" s="1">
        <f>IFERROR(__xludf.DUMMYFUNCTION("""COMPUTED_VALUE"""),40.0)</f>
        <v>40</v>
      </c>
      <c r="E1379" s="1">
        <f>IFERROR(__xludf.DUMMYFUNCTION("""COMPUTED_VALUE"""),40.0)</f>
        <v>40</v>
      </c>
      <c r="F1379" s="1">
        <f>IFERROR(__xludf.DUMMYFUNCTION("""COMPUTED_VALUE"""),10.0)</f>
        <v>10</v>
      </c>
    </row>
    <row r="1380">
      <c r="A1380" s="3">
        <f>IFERROR(__xludf.DUMMYFUNCTION("""COMPUTED_VALUE"""),46082.0)</f>
        <v>46082</v>
      </c>
      <c r="B1380" s="1" t="str">
        <f>IFERROR(__xludf.DUMMYFUNCTION("""COMPUTED_VALUE"""),"Attahadi Universty")</f>
        <v>Attahadi Universty</v>
      </c>
      <c r="C1380" s="1" t="str">
        <f>IFERROR(__xludf.DUMMYFUNCTION("""COMPUTED_VALUE"""),"Almarai Banana")</f>
        <v>Almarai Banana</v>
      </c>
      <c r="D1380" s="1">
        <f>IFERROR(__xludf.DUMMYFUNCTION("""COMPUTED_VALUE"""),8.0)</f>
        <v>8</v>
      </c>
      <c r="E1380" s="1">
        <f>IFERROR(__xludf.DUMMYFUNCTION("""COMPUTED_VALUE"""),3.42)</f>
        <v>3.42</v>
      </c>
      <c r="F1380" s="1">
        <f>IFERROR(__xludf.DUMMYFUNCTION("""COMPUTED_VALUE"""),2.0)</f>
        <v>2</v>
      </c>
    </row>
    <row r="1381">
      <c r="A1381" s="3">
        <f>IFERROR(__xludf.DUMMYFUNCTION("""COMPUTED_VALUE"""),46082.0)</f>
        <v>46082</v>
      </c>
      <c r="B1381" s="1" t="str">
        <f>IFERROR(__xludf.DUMMYFUNCTION("""COMPUTED_VALUE"""),"Attahadi Universty")</f>
        <v>Attahadi Universty</v>
      </c>
      <c r="C1381" s="1" t="str">
        <f>IFERROR(__xludf.DUMMYFUNCTION("""COMPUTED_VALUE"""),"Almarai Chocolate")</f>
        <v>Almarai Chocolate</v>
      </c>
      <c r="D1381" s="1">
        <f>IFERROR(__xludf.DUMMYFUNCTION("""COMPUTED_VALUE"""),44.0)</f>
        <v>44</v>
      </c>
      <c r="E1381" s="1">
        <f>IFERROR(__xludf.DUMMYFUNCTION("""COMPUTED_VALUE"""),18.81)</f>
        <v>18.81</v>
      </c>
      <c r="F1381" s="1">
        <f>IFERROR(__xludf.DUMMYFUNCTION("""COMPUTED_VALUE"""),11.0)</f>
        <v>11</v>
      </c>
    </row>
    <row r="1382">
      <c r="A1382" s="3">
        <f>IFERROR(__xludf.DUMMYFUNCTION("""COMPUTED_VALUE"""),46082.0)</f>
        <v>46082</v>
      </c>
      <c r="B1382" s="1" t="str">
        <f>IFERROR(__xludf.DUMMYFUNCTION("""COMPUTED_VALUE"""),"Attahadi Universty")</f>
        <v>Attahadi Universty</v>
      </c>
      <c r="C1382" s="1" t="str">
        <f>IFERROR(__xludf.DUMMYFUNCTION("""COMPUTED_VALUE"""),"Almarai Strawberry")</f>
        <v>Almarai Strawberry</v>
      </c>
      <c r="D1382" s="1">
        <f>IFERROR(__xludf.DUMMYFUNCTION("""COMPUTED_VALUE"""),51.5)</f>
        <v>51.5</v>
      </c>
      <c r="E1382" s="1">
        <f>IFERROR(__xludf.DUMMYFUNCTION("""COMPUTED_VALUE"""),21.73)</f>
        <v>21.73</v>
      </c>
      <c r="F1382" s="1">
        <f>IFERROR(__xludf.DUMMYFUNCTION("""COMPUTED_VALUE"""),13.0)</f>
        <v>13</v>
      </c>
    </row>
    <row r="1383">
      <c r="A1383" s="3">
        <f>IFERROR(__xludf.DUMMYFUNCTION("""COMPUTED_VALUE"""),46082.0)</f>
        <v>46082</v>
      </c>
      <c r="B1383" s="1" t="str">
        <f>IFERROR(__xludf.DUMMYFUNCTION("""COMPUTED_VALUE"""),"Attahadi Universty")</f>
        <v>Attahadi Universty</v>
      </c>
      <c r="C1383" s="1" t="str">
        <f>IFERROR(__xludf.DUMMYFUNCTION("""COMPUTED_VALUE"""),"Bounty wafer roll")</f>
        <v>Bounty wafer roll</v>
      </c>
      <c r="D1383" s="1">
        <f>IFERROR(__xludf.DUMMYFUNCTION("""COMPUTED_VALUE"""),4.0)</f>
        <v>4</v>
      </c>
      <c r="E1383" s="1">
        <f>IFERROR(__xludf.DUMMYFUNCTION("""COMPUTED_VALUE"""),1.84)</f>
        <v>1.84</v>
      </c>
      <c r="F1383" s="1">
        <f>IFERROR(__xludf.DUMMYFUNCTION("""COMPUTED_VALUE"""),2.0)</f>
        <v>2</v>
      </c>
    </row>
    <row r="1384">
      <c r="A1384" s="3">
        <f>IFERROR(__xludf.DUMMYFUNCTION("""COMPUTED_VALUE"""),46082.0)</f>
        <v>46082</v>
      </c>
      <c r="B1384" s="1" t="str">
        <f>IFERROR(__xludf.DUMMYFUNCTION("""COMPUTED_VALUE"""),"Attahadi Universty")</f>
        <v>Attahadi Universty</v>
      </c>
      <c r="C1384" s="1" t="str">
        <f>IFERROR(__xludf.DUMMYFUNCTION("""COMPUTED_VALUE"""),"Corissant Karuzo")</f>
        <v>Corissant Karuzo</v>
      </c>
      <c r="D1384" s="1">
        <f>IFERROR(__xludf.DUMMYFUNCTION("""COMPUTED_VALUE"""),20.0)</f>
        <v>20</v>
      </c>
      <c r="E1384" s="1">
        <f>IFERROR(__xludf.DUMMYFUNCTION("""COMPUTED_VALUE"""),4.35)</f>
        <v>4.35</v>
      </c>
      <c r="F1384" s="1">
        <f>IFERROR(__xludf.DUMMYFUNCTION("""COMPUTED_VALUE"""),5.0)</f>
        <v>5</v>
      </c>
    </row>
    <row r="1385">
      <c r="A1385" s="3">
        <f>IFERROR(__xludf.DUMMYFUNCTION("""COMPUTED_VALUE"""),46082.0)</f>
        <v>46082</v>
      </c>
      <c r="B1385" s="1" t="str">
        <f>IFERROR(__xludf.DUMMYFUNCTION("""COMPUTED_VALUE"""),"Attahadi Universty")</f>
        <v>Attahadi Universty</v>
      </c>
      <c r="C1385" s="1" t="str">
        <f>IFERROR(__xludf.DUMMYFUNCTION("""COMPUTED_VALUE"""),"Doritos cool ranc")</f>
        <v>Doritos cool ranc</v>
      </c>
      <c r="D1385" s="1">
        <f>IFERROR(__xludf.DUMMYFUNCTION("""COMPUTED_VALUE"""),66.0)</f>
        <v>66</v>
      </c>
      <c r="E1385" s="1">
        <f>IFERROR(__xludf.DUMMYFUNCTION("""COMPUTED_VALUE"""),27.91)</f>
        <v>27.91</v>
      </c>
      <c r="F1385" s="1">
        <f>IFERROR(__xludf.DUMMYFUNCTION("""COMPUTED_VALUE"""),13.0)</f>
        <v>13</v>
      </c>
    </row>
    <row r="1386">
      <c r="A1386" s="3">
        <f>IFERROR(__xludf.DUMMYFUNCTION("""COMPUTED_VALUE"""),46082.0)</f>
        <v>46082</v>
      </c>
      <c r="B1386" s="1" t="str">
        <f>IFERROR(__xludf.DUMMYFUNCTION("""COMPUTED_VALUE"""),"Attahadi Universty")</f>
        <v>Attahadi Universty</v>
      </c>
      <c r="C1386" s="1" t="str">
        <f>IFERROR(__xludf.DUMMYFUNCTION("""COMPUTED_VALUE"""),"Doritos green hot")</f>
        <v>Doritos green hot</v>
      </c>
      <c r="D1386" s="1">
        <f>IFERROR(__xludf.DUMMYFUNCTION("""COMPUTED_VALUE"""),50.0)</f>
        <v>50</v>
      </c>
      <c r="E1386" s="1">
        <f>IFERROR(__xludf.DUMMYFUNCTION("""COMPUTED_VALUE"""),23.63)</f>
        <v>23.63</v>
      </c>
      <c r="F1386" s="1">
        <f>IFERROR(__xludf.DUMMYFUNCTION("""COMPUTED_VALUE"""),9.0)</f>
        <v>9</v>
      </c>
    </row>
    <row r="1387">
      <c r="A1387" s="3">
        <f>IFERROR(__xludf.DUMMYFUNCTION("""COMPUTED_VALUE"""),46082.0)</f>
        <v>46082</v>
      </c>
      <c r="B1387" s="1" t="str">
        <f>IFERROR(__xludf.DUMMYFUNCTION("""COMPUTED_VALUE"""),"Attahadi Universty")</f>
        <v>Attahadi Universty</v>
      </c>
      <c r="C1387" s="1" t="str">
        <f>IFERROR(__xludf.DUMMYFUNCTION("""COMPUTED_VALUE"""),"Doritos nacho")</f>
        <v>Doritos nacho</v>
      </c>
      <c r="D1387" s="1">
        <f>IFERROR(__xludf.DUMMYFUNCTION("""COMPUTED_VALUE"""),47.0)</f>
        <v>47</v>
      </c>
      <c r="E1387" s="1">
        <f>IFERROR(__xludf.DUMMYFUNCTION("""COMPUTED_VALUE"""),20.63)</f>
        <v>20.63</v>
      </c>
      <c r="F1387" s="1">
        <f>IFERROR(__xludf.DUMMYFUNCTION("""COMPUTED_VALUE"""),9.0)</f>
        <v>9</v>
      </c>
    </row>
    <row r="1388">
      <c r="A1388" s="3">
        <f>IFERROR(__xludf.DUMMYFUNCTION("""COMPUTED_VALUE"""),46082.0)</f>
        <v>46082</v>
      </c>
      <c r="B1388" s="1" t="str">
        <f>IFERROR(__xludf.DUMMYFUNCTION("""COMPUTED_VALUE"""),"Attahadi Universty")</f>
        <v>Attahadi Universty</v>
      </c>
      <c r="C1388" s="1" t="str">
        <f>IFERROR(__xludf.DUMMYFUNCTION("""COMPUTED_VALUE"""),"Doritos red hot")</f>
        <v>Doritos red hot</v>
      </c>
      <c r="D1388" s="1">
        <f>IFERROR(__xludf.DUMMYFUNCTION("""COMPUTED_VALUE"""),35.0)</f>
        <v>35</v>
      </c>
      <c r="E1388" s="1">
        <f>IFERROR(__xludf.DUMMYFUNCTION("""COMPUTED_VALUE"""),14.49)</f>
        <v>14.49</v>
      </c>
      <c r="F1388" s="1">
        <f>IFERROR(__xludf.DUMMYFUNCTION("""COMPUTED_VALUE"""),7.0)</f>
        <v>7</v>
      </c>
    </row>
    <row r="1389">
      <c r="A1389" s="3">
        <f>IFERROR(__xludf.DUMMYFUNCTION("""COMPUTED_VALUE"""),46082.0)</f>
        <v>46082</v>
      </c>
      <c r="B1389" s="1" t="str">
        <f>IFERROR(__xludf.DUMMYFUNCTION("""COMPUTED_VALUE"""),"Attahadi Universty")</f>
        <v>Attahadi Universty</v>
      </c>
      <c r="C1389" s="1" t="str">
        <f>IFERROR(__xludf.DUMMYFUNCTION("""COMPUTED_VALUE"""),"Freez")</f>
        <v>Freez</v>
      </c>
      <c r="D1389" s="1">
        <f>IFERROR(__xludf.DUMMYFUNCTION("""COMPUTED_VALUE"""),11.0)</f>
        <v>11</v>
      </c>
      <c r="E1389" s="1">
        <f>IFERROR(__xludf.DUMMYFUNCTION("""COMPUTED_VALUE"""),4.18)</f>
        <v>4.18</v>
      </c>
      <c r="F1389" s="1">
        <f>IFERROR(__xludf.DUMMYFUNCTION("""COMPUTED_VALUE"""),2.0)</f>
        <v>2</v>
      </c>
    </row>
    <row r="1390">
      <c r="A1390" s="3">
        <f>IFERROR(__xludf.DUMMYFUNCTION("""COMPUTED_VALUE"""),46082.0)</f>
        <v>46082</v>
      </c>
      <c r="B1390" s="1" t="str">
        <f>IFERROR(__xludf.DUMMYFUNCTION("""COMPUTED_VALUE"""),"Attahadi Universty")</f>
        <v>Attahadi Universty</v>
      </c>
      <c r="C1390" s="1" t="str">
        <f>IFERROR(__xludf.DUMMYFUNCTION("""COMPUTED_VALUE"""),"Galaxy wafer roll")</f>
        <v>Galaxy wafer roll</v>
      </c>
      <c r="D1390" s="1">
        <f>IFERROR(__xludf.DUMMYFUNCTION("""COMPUTED_VALUE"""),6.0)</f>
        <v>6</v>
      </c>
      <c r="E1390" s="1">
        <f>IFERROR(__xludf.DUMMYFUNCTION("""COMPUTED_VALUE"""),2.76)</f>
        <v>2.76</v>
      </c>
      <c r="F1390" s="1">
        <f>IFERROR(__xludf.DUMMYFUNCTION("""COMPUTED_VALUE"""),3.0)</f>
        <v>3</v>
      </c>
    </row>
    <row r="1391">
      <c r="A1391" s="3">
        <f>IFERROR(__xludf.DUMMYFUNCTION("""COMPUTED_VALUE"""),46082.0)</f>
        <v>46082</v>
      </c>
      <c r="B1391" s="1" t="str">
        <f>IFERROR(__xludf.DUMMYFUNCTION("""COMPUTED_VALUE"""),"Attahadi Universty")</f>
        <v>Attahadi Universty</v>
      </c>
      <c r="C1391" s="1" t="str">
        <f>IFERROR(__xludf.DUMMYFUNCTION("""COMPUTED_VALUE"""),"Gardena")</f>
        <v>Gardena</v>
      </c>
      <c r="D1391" s="1">
        <f>IFERROR(__xludf.DUMMYFUNCTION("""COMPUTED_VALUE"""),18.5)</f>
        <v>18.5</v>
      </c>
      <c r="E1391" s="1">
        <f>IFERROR(__xludf.DUMMYFUNCTION("""COMPUTED_VALUE"""),2.0)</f>
        <v>2</v>
      </c>
      <c r="F1391" s="1">
        <f>IFERROR(__xludf.DUMMYFUNCTION("""COMPUTED_VALUE"""),3.0)</f>
        <v>3</v>
      </c>
    </row>
    <row r="1392">
      <c r="A1392" s="3">
        <f>IFERROR(__xludf.DUMMYFUNCTION("""COMPUTED_VALUE"""),46082.0)</f>
        <v>46082</v>
      </c>
      <c r="B1392" s="1" t="str">
        <f>IFERROR(__xludf.DUMMYFUNCTION("""COMPUTED_VALUE"""),"Attahadi Universty")</f>
        <v>Attahadi Universty</v>
      </c>
      <c r="C1392" s="1" t="str">
        <f>IFERROR(__xludf.DUMMYFUNCTION("""COMPUTED_VALUE"""),"Haribo")</f>
        <v>Haribo</v>
      </c>
      <c r="D1392" s="1">
        <f>IFERROR(__xludf.DUMMYFUNCTION("""COMPUTED_VALUE"""),10.0)</f>
        <v>10</v>
      </c>
      <c r="E1392" s="1">
        <f>IFERROR(__xludf.DUMMYFUNCTION("""COMPUTED_VALUE"""),3.88)</f>
        <v>3.88</v>
      </c>
      <c r="F1392" s="1">
        <f>IFERROR(__xludf.DUMMYFUNCTION("""COMPUTED_VALUE"""),3.0)</f>
        <v>3</v>
      </c>
    </row>
    <row r="1393">
      <c r="A1393" s="3">
        <f>IFERROR(__xludf.DUMMYFUNCTION("""COMPUTED_VALUE"""),46082.0)</f>
        <v>46082</v>
      </c>
      <c r="B1393" s="1" t="str">
        <f>IFERROR(__xludf.DUMMYFUNCTION("""COMPUTED_VALUE"""),"Attahadi Universty")</f>
        <v>Attahadi Universty</v>
      </c>
      <c r="C1393" s="1" t="str">
        <f>IFERROR(__xludf.DUMMYFUNCTION("""COMPUTED_VALUE"""),"Haribo bears")</f>
        <v>Haribo bears</v>
      </c>
      <c r="D1393" s="1">
        <f>IFERROR(__xludf.DUMMYFUNCTION("""COMPUTED_VALUE"""),15.0)</f>
        <v>15</v>
      </c>
      <c r="E1393" s="1">
        <f>IFERROR(__xludf.DUMMYFUNCTION("""COMPUTED_VALUE"""),8.15)</f>
        <v>8.15</v>
      </c>
      <c r="F1393" s="1">
        <f>IFERROR(__xludf.DUMMYFUNCTION("""COMPUTED_VALUE"""),5.0)</f>
        <v>5</v>
      </c>
    </row>
    <row r="1394">
      <c r="A1394" s="3">
        <f>IFERROR(__xludf.DUMMYFUNCTION("""COMPUTED_VALUE"""),46082.0)</f>
        <v>46082</v>
      </c>
      <c r="B1394" s="1" t="str">
        <f>IFERROR(__xludf.DUMMYFUNCTION("""COMPUTED_VALUE"""),"Attahadi Universty")</f>
        <v>Attahadi Universty</v>
      </c>
      <c r="C1394" s="1" t="str">
        <f>IFERROR(__xludf.DUMMYFUNCTION("""COMPUTED_VALUE"""),"Kinder Bueno")</f>
        <v>Kinder Bueno</v>
      </c>
      <c r="D1394" s="1">
        <f>IFERROR(__xludf.DUMMYFUNCTION("""COMPUTED_VALUE"""),42.5)</f>
        <v>42.5</v>
      </c>
      <c r="E1394" s="1">
        <f>IFERROR(__xludf.DUMMYFUNCTION("""COMPUTED_VALUE"""),7.5)</f>
        <v>7.5</v>
      </c>
      <c r="F1394" s="1">
        <f>IFERROR(__xludf.DUMMYFUNCTION("""COMPUTED_VALUE"""),5.0)</f>
        <v>5</v>
      </c>
    </row>
    <row r="1395">
      <c r="A1395" s="3">
        <f>IFERROR(__xludf.DUMMYFUNCTION("""COMPUTED_VALUE"""),46082.0)</f>
        <v>46082</v>
      </c>
      <c r="B1395" s="1" t="str">
        <f>IFERROR(__xludf.DUMMYFUNCTION("""COMPUTED_VALUE"""),"Attahadi Universty")</f>
        <v>Attahadi Universty</v>
      </c>
      <c r="C1395" s="1" t="str">
        <f>IFERROR(__xludf.DUMMYFUNCTION("""COMPUTED_VALUE"""),"Laviva")</f>
        <v>Laviva</v>
      </c>
      <c r="D1395" s="1">
        <f>IFERROR(__xludf.DUMMYFUNCTION("""COMPUTED_VALUE"""),28.0)</f>
        <v>28</v>
      </c>
      <c r="E1395" s="1">
        <f>IFERROR(__xludf.DUMMYFUNCTION("""COMPUTED_VALUE"""),12.25)</f>
        <v>12.25</v>
      </c>
      <c r="F1395" s="1">
        <f>IFERROR(__xludf.DUMMYFUNCTION("""COMPUTED_VALUE"""),7.0)</f>
        <v>7</v>
      </c>
    </row>
    <row r="1396">
      <c r="A1396" s="3">
        <f>IFERROR(__xludf.DUMMYFUNCTION("""COMPUTED_VALUE"""),46082.0)</f>
        <v>46082</v>
      </c>
      <c r="B1396" s="1" t="str">
        <f>IFERROR(__xludf.DUMMYFUNCTION("""COMPUTED_VALUE"""),"Attahadi Universty")</f>
        <v>Attahadi Universty</v>
      </c>
      <c r="C1396" s="1" t="str">
        <f>IFERROR(__xludf.DUMMYFUNCTION("""COMPUTED_VALUE"""),"Lovita cookies")</f>
        <v>Lovita cookies</v>
      </c>
      <c r="D1396" s="1">
        <f>IFERROR(__xludf.DUMMYFUNCTION("""COMPUTED_VALUE"""),25.5)</f>
        <v>25.5</v>
      </c>
      <c r="E1396" s="1">
        <f>IFERROR(__xludf.DUMMYFUNCTION("""COMPUTED_VALUE"""),9.96)</f>
        <v>9.96</v>
      </c>
      <c r="F1396" s="1">
        <f>IFERROR(__xludf.DUMMYFUNCTION("""COMPUTED_VALUE"""),3.0)</f>
        <v>3</v>
      </c>
    </row>
    <row r="1397">
      <c r="A1397" s="3">
        <f>IFERROR(__xludf.DUMMYFUNCTION("""COMPUTED_VALUE"""),46082.0)</f>
        <v>46082</v>
      </c>
      <c r="B1397" s="1" t="str">
        <f>IFERROR(__xludf.DUMMYFUNCTION("""COMPUTED_VALUE"""),"Attahadi Universty")</f>
        <v>Attahadi Universty</v>
      </c>
      <c r="C1397" s="1" t="str">
        <f>IFERROR(__xludf.DUMMYFUNCTION("""COMPUTED_VALUE"""),"MR Crunch")</f>
        <v>MR Crunch</v>
      </c>
      <c r="D1397" s="1">
        <f>IFERROR(__xludf.DUMMYFUNCTION("""COMPUTED_VALUE"""),119.0)</f>
        <v>119</v>
      </c>
      <c r="E1397" s="1">
        <f>IFERROR(__xludf.DUMMYFUNCTION("""COMPUTED_VALUE"""),53.0)</f>
        <v>53</v>
      </c>
      <c r="F1397" s="1">
        <f>IFERROR(__xludf.DUMMYFUNCTION("""COMPUTED_VALUE"""),22.0)</f>
        <v>22</v>
      </c>
    </row>
    <row r="1398">
      <c r="A1398" s="3">
        <f>IFERROR(__xludf.DUMMYFUNCTION("""COMPUTED_VALUE"""),46082.0)</f>
        <v>46082</v>
      </c>
      <c r="B1398" s="1" t="str">
        <f>IFERROR(__xludf.DUMMYFUNCTION("""COMPUTED_VALUE"""),"Attahadi Universty")</f>
        <v>Attahadi Universty</v>
      </c>
      <c r="C1398" s="1" t="str">
        <f>IFERROR(__xludf.DUMMYFUNCTION("""COMPUTED_VALUE"""),"Maltesers")</f>
        <v>Maltesers</v>
      </c>
      <c r="D1398" s="1">
        <f>IFERROR(__xludf.DUMMYFUNCTION("""COMPUTED_VALUE"""),25.5)</f>
        <v>25.5</v>
      </c>
      <c r="E1398" s="1">
        <f>IFERROR(__xludf.DUMMYFUNCTION("""COMPUTED_VALUE"""),3.0)</f>
        <v>3</v>
      </c>
      <c r="F1398" s="1">
        <f>IFERROR(__xludf.DUMMYFUNCTION("""COMPUTED_VALUE"""),3.0)</f>
        <v>3</v>
      </c>
    </row>
    <row r="1399">
      <c r="A1399" s="3">
        <f>IFERROR(__xludf.DUMMYFUNCTION("""COMPUTED_VALUE"""),46082.0)</f>
        <v>46082</v>
      </c>
      <c r="B1399" s="1" t="str">
        <f>IFERROR(__xludf.DUMMYFUNCTION("""COMPUTED_VALUE"""),"Attahadi Universty")</f>
        <v>Attahadi Universty</v>
      </c>
      <c r="C1399" s="1" t="str">
        <f>IFERROR(__xludf.DUMMYFUNCTION("""COMPUTED_VALUE"""),"Mrbeast")</f>
        <v>Mrbeast</v>
      </c>
      <c r="D1399" s="1">
        <f>IFERROR(__xludf.DUMMYFUNCTION("""COMPUTED_VALUE"""),10.0)</f>
        <v>10</v>
      </c>
      <c r="E1399" s="1">
        <f>IFERROR(__xludf.DUMMYFUNCTION("""COMPUTED_VALUE"""),7.0)</f>
        <v>7</v>
      </c>
      <c r="F1399" s="1">
        <f>IFERROR(__xludf.DUMMYFUNCTION("""COMPUTED_VALUE"""),1.0)</f>
        <v>1</v>
      </c>
    </row>
    <row r="1400">
      <c r="A1400" s="3">
        <f>IFERROR(__xludf.DUMMYFUNCTION("""COMPUTED_VALUE"""),46082.0)</f>
        <v>46082</v>
      </c>
      <c r="B1400" s="1" t="str">
        <f>IFERROR(__xludf.DUMMYFUNCTION("""COMPUTED_VALUE"""),"Attahadi Universty")</f>
        <v>Attahadi Universty</v>
      </c>
      <c r="C1400" s="1" t="str">
        <f>IFERROR(__xludf.DUMMYFUNCTION("""COMPUTED_VALUE"""),"Pepsi")</f>
        <v>Pepsi</v>
      </c>
      <c r="D1400" s="1">
        <f>IFERROR(__xludf.DUMMYFUNCTION("""COMPUTED_VALUE"""),24.0)</f>
        <v>24</v>
      </c>
      <c r="E1400" s="1">
        <f>IFERROR(__xludf.DUMMYFUNCTION("""COMPUTED_VALUE"""),6.0)</f>
        <v>6</v>
      </c>
      <c r="F1400" s="1">
        <f>IFERROR(__xludf.DUMMYFUNCTION("""COMPUTED_VALUE"""),8.0)</f>
        <v>8</v>
      </c>
    </row>
    <row r="1401">
      <c r="A1401" s="3">
        <f>IFERROR(__xludf.DUMMYFUNCTION("""COMPUTED_VALUE"""),46082.0)</f>
        <v>46082</v>
      </c>
      <c r="B1401" s="1" t="str">
        <f>IFERROR(__xludf.DUMMYFUNCTION("""COMPUTED_VALUE"""),"Attahadi Universty")</f>
        <v>Attahadi Universty</v>
      </c>
      <c r="C1401" s="1" t="str">
        <f>IFERROR(__xludf.DUMMYFUNCTION("""COMPUTED_VALUE"""),"Schweppes bullet")</f>
        <v>Schweppes bullet</v>
      </c>
      <c r="D1401" s="1">
        <f>IFERROR(__xludf.DUMMYFUNCTION("""COMPUTED_VALUE"""),9.0)</f>
        <v>9</v>
      </c>
      <c r="E1401" s="1">
        <f>IFERROR(__xludf.DUMMYFUNCTION("""COMPUTED_VALUE"""),3.75)</f>
        <v>3.75</v>
      </c>
      <c r="F1401" s="1">
        <f>IFERROR(__xludf.DUMMYFUNCTION("""COMPUTED_VALUE"""),3.0)</f>
        <v>3</v>
      </c>
    </row>
    <row r="1402">
      <c r="A1402" s="3">
        <f>IFERROR(__xludf.DUMMYFUNCTION("""COMPUTED_VALUE"""),46082.0)</f>
        <v>46082</v>
      </c>
      <c r="B1402" s="1" t="str">
        <f>IFERROR(__xludf.DUMMYFUNCTION("""COMPUTED_VALUE"""),"Attahadi Universty")</f>
        <v>Attahadi Universty</v>
      </c>
      <c r="C1402" s="1" t="str">
        <f>IFERROR(__xludf.DUMMYFUNCTION("""COMPUTED_VALUE"""),"Skittles")</f>
        <v>Skittles</v>
      </c>
      <c r="D1402" s="1">
        <f>IFERROR(__xludf.DUMMYFUNCTION("""COMPUTED_VALUE"""),8.0)</f>
        <v>8</v>
      </c>
      <c r="E1402" s="1">
        <f>IFERROR(__xludf.DUMMYFUNCTION("""COMPUTED_VALUE"""),2.17)</f>
        <v>2.17</v>
      </c>
      <c r="F1402" s="1">
        <f>IFERROR(__xludf.DUMMYFUNCTION("""COMPUTED_VALUE"""),1.0)</f>
        <v>1</v>
      </c>
    </row>
    <row r="1403">
      <c r="A1403" s="3">
        <f>IFERROR(__xludf.DUMMYFUNCTION("""COMPUTED_VALUE"""),46082.0)</f>
        <v>46082</v>
      </c>
      <c r="B1403" s="1" t="str">
        <f>IFERROR(__xludf.DUMMYFUNCTION("""COMPUTED_VALUE"""),"Attahadi Universty")</f>
        <v>Attahadi Universty</v>
      </c>
      <c r="C1403" s="1" t="str">
        <f>IFERROR(__xludf.DUMMYFUNCTION("""COMPUTED_VALUE"""),"Snickers wafer roll")</f>
        <v>Snickers wafer roll</v>
      </c>
      <c r="D1403" s="1">
        <f>IFERROR(__xludf.DUMMYFUNCTION("""COMPUTED_VALUE"""),12.0)</f>
        <v>12</v>
      </c>
      <c r="E1403" s="1">
        <f>IFERROR(__xludf.DUMMYFUNCTION("""COMPUTED_VALUE"""),5.28)</f>
        <v>5.28</v>
      </c>
      <c r="F1403" s="1">
        <f>IFERROR(__xludf.DUMMYFUNCTION("""COMPUTED_VALUE"""),6.0)</f>
        <v>6</v>
      </c>
    </row>
    <row r="1404">
      <c r="A1404" s="3">
        <f>IFERROR(__xludf.DUMMYFUNCTION("""COMPUTED_VALUE"""),46082.0)</f>
        <v>46082</v>
      </c>
      <c r="B1404" s="1" t="str">
        <f>IFERROR(__xludf.DUMMYFUNCTION("""COMPUTED_VALUE"""),"Attahadi Universty")</f>
        <v>Attahadi Universty</v>
      </c>
      <c r="C1404" s="1" t="str">
        <f>IFERROR(__xludf.DUMMYFUNCTION("""COMPUTED_VALUE"""),"Sweeto jelly")</f>
        <v>Sweeto jelly</v>
      </c>
      <c r="D1404" s="1">
        <f>IFERROR(__xludf.DUMMYFUNCTION("""COMPUTED_VALUE"""),25.0)</f>
        <v>25</v>
      </c>
      <c r="E1404" s="1">
        <f>IFERROR(__xludf.DUMMYFUNCTION("""COMPUTED_VALUE"""),6.7)</f>
        <v>6.7</v>
      </c>
      <c r="F1404" s="1">
        <f>IFERROR(__xludf.DUMMYFUNCTION("""COMPUTED_VALUE"""),5.0)</f>
        <v>5</v>
      </c>
    </row>
    <row r="1405">
      <c r="A1405" s="3">
        <f>IFERROR(__xludf.DUMMYFUNCTION("""COMPUTED_VALUE"""),46082.0)</f>
        <v>46082</v>
      </c>
      <c r="B1405" s="1" t="str">
        <f>IFERROR(__xludf.DUMMYFUNCTION("""COMPUTED_VALUE"""),"Attahadi Universty")</f>
        <v>Attahadi Universty</v>
      </c>
      <c r="C1405" s="1" t="str">
        <f>IFERROR(__xludf.DUMMYFUNCTION("""COMPUTED_VALUE"""),"Takis")</f>
        <v>Takis</v>
      </c>
      <c r="D1405" s="1">
        <f>IFERROR(__xludf.DUMMYFUNCTION("""COMPUTED_VALUE"""),35.0)</f>
        <v>35</v>
      </c>
      <c r="E1405" s="1">
        <f>IFERROR(__xludf.DUMMYFUNCTION("""COMPUTED_VALUE"""),20.0)</f>
        <v>20</v>
      </c>
      <c r="F1405" s="1">
        <f>IFERROR(__xludf.DUMMYFUNCTION("""COMPUTED_VALUE"""),1.0)</f>
        <v>1</v>
      </c>
    </row>
    <row r="1406">
      <c r="A1406" s="3">
        <f>IFERROR(__xludf.DUMMYFUNCTION("""COMPUTED_VALUE"""),46082.0)</f>
        <v>46082</v>
      </c>
      <c r="B1406" s="1" t="str">
        <f>IFERROR(__xludf.DUMMYFUNCTION("""COMPUTED_VALUE"""),"Attahadi Universty")</f>
        <v>Attahadi Universty</v>
      </c>
      <c r="C1406" s="1" t="str">
        <f>IFERROR(__xludf.DUMMYFUNCTION("""COMPUTED_VALUE"""),"Tiger excellence")</f>
        <v>Tiger excellence</v>
      </c>
      <c r="D1406" s="1">
        <f>IFERROR(__xludf.DUMMYFUNCTION("""COMPUTED_VALUE"""),81.0)</f>
        <v>81</v>
      </c>
      <c r="E1406" s="1">
        <f>IFERROR(__xludf.DUMMYFUNCTION("""COMPUTED_VALUE"""),45.0)</f>
        <v>45</v>
      </c>
      <c r="F1406" s="1">
        <f>IFERROR(__xludf.DUMMYFUNCTION("""COMPUTED_VALUE"""),16.0)</f>
        <v>16</v>
      </c>
    </row>
    <row r="1407">
      <c r="A1407" s="3">
        <f>IFERROR(__xludf.DUMMYFUNCTION("""COMPUTED_VALUE"""),46082.0)</f>
        <v>46082</v>
      </c>
      <c r="B1407" s="1" t="str">
        <f>IFERROR(__xludf.DUMMYFUNCTION("""COMPUTED_VALUE"""),"Attahadi Universty")</f>
        <v>Attahadi Universty</v>
      </c>
      <c r="C1407" s="1" t="str">
        <f>IFERROR(__xludf.DUMMYFUNCTION("""COMPUTED_VALUE"""),"Turbo strips")</f>
        <v>Turbo strips</v>
      </c>
      <c r="D1407" s="1">
        <f>IFERROR(__xludf.DUMMYFUNCTION("""COMPUTED_VALUE"""),42.0)</f>
        <v>42</v>
      </c>
      <c r="E1407" s="1">
        <f>IFERROR(__xludf.DUMMYFUNCTION("""COMPUTED_VALUE"""),13.44)</f>
        <v>13.44</v>
      </c>
      <c r="F1407" s="1">
        <f>IFERROR(__xludf.DUMMYFUNCTION("""COMPUTED_VALUE"""),7.0)</f>
        <v>7</v>
      </c>
    </row>
    <row r="1408">
      <c r="A1408" s="3">
        <f>IFERROR(__xludf.DUMMYFUNCTION("""COMPUTED_VALUE"""),46082.0)</f>
        <v>46082</v>
      </c>
      <c r="B1408" s="1" t="str">
        <f>IFERROR(__xludf.DUMMYFUNCTION("""COMPUTED_VALUE"""),"Attahadi Universty")</f>
        <v>Attahadi Universty</v>
      </c>
      <c r="C1408" s="1" t="str">
        <f>IFERROR(__xludf.DUMMYFUNCTION("""COMPUTED_VALUE"""),"Twix single")</f>
        <v>Twix single</v>
      </c>
      <c r="D1408" s="1">
        <f>IFERROR(__xludf.DUMMYFUNCTION("""COMPUTED_VALUE"""),6.0)</f>
        <v>6</v>
      </c>
      <c r="E1408" s="1">
        <f>IFERROR(__xludf.DUMMYFUNCTION("""COMPUTED_VALUE"""),3.65)</f>
        <v>3.65</v>
      </c>
      <c r="F1408" s="1">
        <f>IFERROR(__xludf.DUMMYFUNCTION("""COMPUTED_VALUE"""),1.0)</f>
        <v>1</v>
      </c>
    </row>
    <row r="1409">
      <c r="A1409" s="3">
        <f>IFERROR(__xludf.DUMMYFUNCTION("""COMPUTED_VALUE"""),46082.0)</f>
        <v>46082</v>
      </c>
      <c r="B1409" s="1" t="str">
        <f>IFERROR(__xludf.DUMMYFUNCTION("""COMPUTED_VALUE"""),"Attahadi Universty")</f>
        <v>Attahadi Universty</v>
      </c>
      <c r="C1409" s="1" t="str">
        <f>IFERROR(__xludf.DUMMYFUNCTION("""COMPUTED_VALUE"""),"Water")</f>
        <v>Water</v>
      </c>
      <c r="D1409" s="1">
        <f>IFERROR(__xludf.DUMMYFUNCTION("""COMPUTED_VALUE"""),53.0)</f>
        <v>53</v>
      </c>
      <c r="E1409" s="1">
        <f>IFERROR(__xludf.DUMMYFUNCTION("""COMPUTED_VALUE"""),38.16)</f>
        <v>38.16</v>
      </c>
      <c r="F1409" s="1">
        <f>IFERROR(__xludf.DUMMYFUNCTION("""COMPUTED_VALUE"""),53.0)</f>
        <v>53</v>
      </c>
    </row>
    <row r="1410">
      <c r="A1410" s="3">
        <f>IFERROR(__xludf.DUMMYFUNCTION("""COMPUTED_VALUE"""),46082.0)</f>
        <v>46082</v>
      </c>
      <c r="B1410" s="1" t="str">
        <f>IFERROR(__xludf.DUMMYFUNCTION("""COMPUTED_VALUE"""),"Attahadi Universty")</f>
        <v>Attahadi Universty</v>
      </c>
      <c r="C1410" s="1" t="str">
        <f>IFERROR(__xludf.DUMMYFUNCTION("""COMPUTED_VALUE"""),"X!R")</f>
        <v>X!R</v>
      </c>
      <c r="D1410" s="1">
        <f>IFERROR(__xludf.DUMMYFUNCTION("""COMPUTED_VALUE"""),105.0)</f>
        <v>105</v>
      </c>
      <c r="E1410" s="1">
        <f>IFERROR(__xludf.DUMMYFUNCTION("""COMPUTED_VALUE"""),14.91)</f>
        <v>14.91</v>
      </c>
      <c r="F1410" s="1">
        <f>IFERROR(__xludf.DUMMYFUNCTION("""COMPUTED_VALUE"""),21.0)</f>
        <v>21</v>
      </c>
    </row>
    <row r="1411">
      <c r="A1411" s="3">
        <f>IFERROR(__xludf.DUMMYFUNCTION("""COMPUTED_VALUE"""),46082.0)</f>
        <v>46082</v>
      </c>
      <c r="B1411" s="1" t="str">
        <f>IFERROR(__xludf.DUMMYFUNCTION("""COMPUTED_VALUE"""),"Attahadi Universty")</f>
        <v>Attahadi Universty</v>
      </c>
      <c r="C1411" s="1" t="str">
        <f>IFERROR(__xludf.DUMMYFUNCTION("""COMPUTED_VALUE"""),"Yumi Zak")</f>
        <v>Yumi Zak</v>
      </c>
      <c r="D1411" s="1">
        <f>IFERROR(__xludf.DUMMYFUNCTION("""COMPUTED_VALUE"""),31.0)</f>
        <v>31</v>
      </c>
      <c r="E1411" s="1">
        <f>IFERROR(__xludf.DUMMYFUNCTION("""COMPUTED_VALUE"""),13.0)</f>
        <v>13</v>
      </c>
      <c r="F1411" s="1">
        <f>IFERROR(__xludf.DUMMYFUNCTION("""COMPUTED_VALUE"""),4.0)</f>
        <v>4</v>
      </c>
    </row>
    <row r="1412">
      <c r="A1412" s="3">
        <f>IFERROR(__xludf.DUMMYFUNCTION("""COMPUTED_VALUE"""),46082.0)</f>
        <v>46082</v>
      </c>
      <c r="B1412" s="1" t="str">
        <f>IFERROR(__xludf.DUMMYFUNCTION("""COMPUTED_VALUE"""),"Attahadi Universty")</f>
        <v>Attahadi Universty</v>
      </c>
      <c r="C1412" s="1" t="str">
        <f>IFERROR(__xludf.DUMMYFUNCTION("""COMPUTED_VALUE"""),"kinder delice")</f>
        <v>kinder delice</v>
      </c>
      <c r="D1412" s="1">
        <f>IFERROR(__xludf.DUMMYFUNCTION("""COMPUTED_VALUE"""),30.0)</f>
        <v>30</v>
      </c>
      <c r="E1412" s="1">
        <f>IFERROR(__xludf.DUMMYFUNCTION("""COMPUTED_VALUE"""),15.6)</f>
        <v>15.6</v>
      </c>
      <c r="F1412" s="1">
        <f>IFERROR(__xludf.DUMMYFUNCTION("""COMPUTED_VALUE"""),6.0)</f>
        <v>6</v>
      </c>
    </row>
    <row r="1413">
      <c r="A1413" s="3">
        <f>IFERROR(__xludf.DUMMYFUNCTION("""COMPUTED_VALUE"""),46082.0)</f>
        <v>46082</v>
      </c>
      <c r="B1413" s="1" t="str">
        <f>IFERROR(__xludf.DUMMYFUNCTION("""COMPUTED_VALUE"""),"Attahadi Universty")</f>
        <v>Attahadi Universty</v>
      </c>
      <c r="C1413" s="1" t="str">
        <f>IFERROR(__xludf.DUMMYFUNCTION("""COMPUTED_VALUE"""),"mr bite")</f>
        <v>mr bite</v>
      </c>
      <c r="D1413" s="1">
        <f>IFERROR(__xludf.DUMMYFUNCTION("""COMPUTED_VALUE"""),3.0)</f>
        <v>3</v>
      </c>
      <c r="E1413" s="1">
        <f>IFERROR(__xludf.DUMMYFUNCTION("""COMPUTED_VALUE"""),1.21)</f>
        <v>1.21</v>
      </c>
      <c r="F1413" s="1">
        <f>IFERROR(__xludf.DUMMYFUNCTION("""COMPUTED_VALUE"""),1.0)</f>
        <v>1</v>
      </c>
    </row>
    <row r="1414">
      <c r="A1414" s="3">
        <f>IFERROR(__xludf.DUMMYFUNCTION("""COMPUTED_VALUE"""),46082.0)</f>
        <v>46082</v>
      </c>
      <c r="B1414" s="1" t="str">
        <f>IFERROR(__xludf.DUMMYFUNCTION("""COMPUTED_VALUE"""),"DPMall")</f>
        <v>DPMall</v>
      </c>
      <c r="C1414" s="1" t="str">
        <f>IFERROR(__xludf.DUMMYFUNCTION("""COMPUTED_VALUE"""),"7up")</f>
        <v>7up</v>
      </c>
      <c r="D1414" s="1">
        <f>IFERROR(__xludf.DUMMYFUNCTION("""COMPUTED_VALUE"""),114.0)</f>
        <v>114</v>
      </c>
      <c r="E1414" s="1">
        <f>IFERROR(__xludf.DUMMYFUNCTION("""COMPUTED_VALUE"""),28.5)</f>
        <v>28.5</v>
      </c>
      <c r="F1414" s="1">
        <f>IFERROR(__xludf.DUMMYFUNCTION("""COMPUTED_VALUE"""),38.0)</f>
        <v>38</v>
      </c>
    </row>
    <row r="1415">
      <c r="A1415" s="3">
        <f>IFERROR(__xludf.DUMMYFUNCTION("""COMPUTED_VALUE"""),46082.0)</f>
        <v>46082</v>
      </c>
      <c r="B1415" s="1" t="str">
        <f>IFERROR(__xludf.DUMMYFUNCTION("""COMPUTED_VALUE"""),"DPMall")</f>
        <v>DPMall</v>
      </c>
      <c r="C1415" s="1" t="str">
        <f>IFERROR(__xludf.DUMMYFUNCTION("""COMPUTED_VALUE"""),"Almarai Chocolate")</f>
        <v>Almarai Chocolate</v>
      </c>
      <c r="D1415" s="1">
        <f>IFERROR(__xludf.DUMMYFUNCTION("""COMPUTED_VALUE"""),67.0)</f>
        <v>67</v>
      </c>
      <c r="E1415" s="1">
        <f>IFERROR(__xludf.DUMMYFUNCTION("""COMPUTED_VALUE"""),23.32)</f>
        <v>23.32</v>
      </c>
      <c r="F1415" s="1">
        <f>IFERROR(__xludf.DUMMYFUNCTION("""COMPUTED_VALUE"""),21.0)</f>
        <v>21</v>
      </c>
    </row>
    <row r="1416">
      <c r="A1416" s="3">
        <f>IFERROR(__xludf.DUMMYFUNCTION("""COMPUTED_VALUE"""),46082.0)</f>
        <v>46082</v>
      </c>
      <c r="B1416" s="1" t="str">
        <f>IFERROR(__xludf.DUMMYFUNCTION("""COMPUTED_VALUE"""),"DPMall")</f>
        <v>DPMall</v>
      </c>
      <c r="C1416" s="1" t="str">
        <f>IFERROR(__xludf.DUMMYFUNCTION("""COMPUTED_VALUE"""),"Almarai Strawberry")</f>
        <v>Almarai Strawberry</v>
      </c>
      <c r="D1416" s="1">
        <f>IFERROR(__xludf.DUMMYFUNCTION("""COMPUTED_VALUE"""),287.0)</f>
        <v>287</v>
      </c>
      <c r="E1416" s="1">
        <f>IFERROR(__xludf.DUMMYFUNCTION("""COMPUTED_VALUE"""),122.68)</f>
        <v>122.68</v>
      </c>
      <c r="F1416" s="1">
        <f>IFERROR(__xludf.DUMMYFUNCTION("""COMPUTED_VALUE"""),79.0)</f>
        <v>79</v>
      </c>
    </row>
    <row r="1417">
      <c r="A1417" s="3">
        <f>IFERROR(__xludf.DUMMYFUNCTION("""COMPUTED_VALUE"""),46082.0)</f>
        <v>46082</v>
      </c>
      <c r="B1417" s="1" t="str">
        <f>IFERROR(__xludf.DUMMYFUNCTION("""COMPUTED_VALUE"""),"DPMall")</f>
        <v>DPMall</v>
      </c>
      <c r="C1417" s="1" t="str">
        <f>IFERROR(__xludf.DUMMYFUNCTION("""COMPUTED_VALUE"""),"Doritos cool ranc")</f>
        <v>Doritos cool ranc</v>
      </c>
      <c r="D1417" s="1">
        <f>IFERROR(__xludf.DUMMYFUNCTION("""COMPUTED_VALUE"""),1902.0)</f>
        <v>1902</v>
      </c>
      <c r="E1417" s="1">
        <f>IFERROR(__xludf.DUMMYFUNCTION("""COMPUTED_VALUE"""),915.14)</f>
        <v>915.14</v>
      </c>
      <c r="F1417" s="1">
        <f>IFERROR(__xludf.DUMMYFUNCTION("""COMPUTED_VALUE"""),371.0)</f>
        <v>371</v>
      </c>
    </row>
    <row r="1418">
      <c r="A1418" s="3">
        <f>IFERROR(__xludf.DUMMYFUNCTION("""COMPUTED_VALUE"""),46082.0)</f>
        <v>46082</v>
      </c>
      <c r="B1418" s="1" t="str">
        <f>IFERROR(__xludf.DUMMYFUNCTION("""COMPUTED_VALUE"""),"DPMall")</f>
        <v>DPMall</v>
      </c>
      <c r="C1418" s="1" t="str">
        <f>IFERROR(__xludf.DUMMYFUNCTION("""COMPUTED_VALUE"""),"Gardena")</f>
        <v>Gardena</v>
      </c>
      <c r="D1418" s="1">
        <f>IFERROR(__xludf.DUMMYFUNCTION("""COMPUTED_VALUE"""),188.0)</f>
        <v>188</v>
      </c>
      <c r="E1418" s="1">
        <f>IFERROR(__xludf.DUMMYFUNCTION("""COMPUTED_VALUE"""),127.5)</f>
        <v>127.5</v>
      </c>
      <c r="F1418" s="1">
        <f>IFERROR(__xludf.DUMMYFUNCTION("""COMPUTED_VALUE"""),22.0)</f>
        <v>22</v>
      </c>
    </row>
    <row r="1419">
      <c r="A1419" s="3">
        <f>IFERROR(__xludf.DUMMYFUNCTION("""COMPUTED_VALUE"""),46082.0)</f>
        <v>46082</v>
      </c>
      <c r="B1419" s="1" t="str">
        <f>IFERROR(__xludf.DUMMYFUNCTION("""COMPUTED_VALUE"""),"DPMall")</f>
        <v>DPMall</v>
      </c>
      <c r="C1419" s="1" t="str">
        <f>IFERROR(__xludf.DUMMYFUNCTION("""COMPUTED_VALUE"""),"Haribo")</f>
        <v>Haribo</v>
      </c>
      <c r="D1419" s="1">
        <f>IFERROR(__xludf.DUMMYFUNCTION("""COMPUTED_VALUE"""),484.0)</f>
        <v>484</v>
      </c>
      <c r="E1419" s="1">
        <f>IFERROR(__xludf.DUMMYFUNCTION("""COMPUTED_VALUE"""),251.25)</f>
        <v>251.25</v>
      </c>
      <c r="F1419" s="1">
        <f>IFERROR(__xludf.DUMMYFUNCTION("""COMPUTED_VALUE"""),133.0)</f>
        <v>133</v>
      </c>
    </row>
    <row r="1420">
      <c r="A1420" s="3">
        <f>IFERROR(__xludf.DUMMYFUNCTION("""COMPUTED_VALUE"""),46082.0)</f>
        <v>46082</v>
      </c>
      <c r="B1420" s="1" t="str">
        <f>IFERROR(__xludf.DUMMYFUNCTION("""COMPUTED_VALUE"""),"DPMall")</f>
        <v>DPMall</v>
      </c>
      <c r="C1420" s="1" t="str">
        <f>IFERROR(__xludf.DUMMYFUNCTION("""COMPUTED_VALUE"""),"Laviva")</f>
        <v>Laviva</v>
      </c>
      <c r="D1420" s="1">
        <f>IFERROR(__xludf.DUMMYFUNCTION("""COMPUTED_VALUE"""),120.0)</f>
        <v>120</v>
      </c>
      <c r="E1420" s="1">
        <f>IFERROR(__xludf.DUMMYFUNCTION("""COMPUTED_VALUE"""),57.6)</f>
        <v>57.6</v>
      </c>
      <c r="F1420" s="1">
        <f>IFERROR(__xludf.DUMMYFUNCTION("""COMPUTED_VALUE"""),30.0)</f>
        <v>30</v>
      </c>
    </row>
    <row r="1421">
      <c r="A1421" s="3">
        <f>IFERROR(__xludf.DUMMYFUNCTION("""COMPUTED_VALUE"""),46082.0)</f>
        <v>46082</v>
      </c>
      <c r="B1421" s="1" t="str">
        <f>IFERROR(__xludf.DUMMYFUNCTION("""COMPUTED_VALUE"""),"DPMall")</f>
        <v>DPMall</v>
      </c>
      <c r="C1421" s="1" t="str">
        <f>IFERROR(__xludf.DUMMYFUNCTION("""COMPUTED_VALUE"""),"Maltesers")</f>
        <v>Maltesers</v>
      </c>
      <c r="D1421" s="1">
        <f>IFERROR(__xludf.DUMMYFUNCTION("""COMPUTED_VALUE"""),265.0)</f>
        <v>265</v>
      </c>
      <c r="E1421" s="1"/>
      <c r="F1421" s="1">
        <f>IFERROR(__xludf.DUMMYFUNCTION("""COMPUTED_VALUE"""),71.0)</f>
        <v>71</v>
      </c>
    </row>
    <row r="1422">
      <c r="A1422" s="3">
        <f>IFERROR(__xludf.DUMMYFUNCTION("""COMPUTED_VALUE"""),46082.0)</f>
        <v>46082</v>
      </c>
      <c r="B1422" s="1" t="str">
        <f>IFERROR(__xludf.DUMMYFUNCTION("""COMPUTED_VALUE"""),"DPMall")</f>
        <v>DPMall</v>
      </c>
      <c r="C1422" s="1" t="str">
        <f>IFERROR(__xludf.DUMMYFUNCTION("""COMPUTED_VALUE"""),"Marshmellow sweetBag")</f>
        <v>Marshmellow sweetBag</v>
      </c>
      <c r="D1422" s="1">
        <f>IFERROR(__xludf.DUMMYFUNCTION("""COMPUTED_VALUE"""),18.0)</f>
        <v>18</v>
      </c>
      <c r="E1422" s="1">
        <f>IFERROR(__xludf.DUMMYFUNCTION("""COMPUTED_VALUE"""),7.02)</f>
        <v>7.02</v>
      </c>
      <c r="F1422" s="1">
        <f>IFERROR(__xludf.DUMMYFUNCTION("""COMPUTED_VALUE"""),6.0)</f>
        <v>6</v>
      </c>
    </row>
    <row r="1423">
      <c r="A1423" s="3">
        <f>IFERROR(__xludf.DUMMYFUNCTION("""COMPUTED_VALUE"""),46082.0)</f>
        <v>46082</v>
      </c>
      <c r="B1423" s="1" t="str">
        <f>IFERROR(__xludf.DUMMYFUNCTION("""COMPUTED_VALUE"""),"DPMall")</f>
        <v>DPMall</v>
      </c>
      <c r="C1423" s="1" t="str">
        <f>IFERROR(__xludf.DUMMYFUNCTION("""COMPUTED_VALUE"""),"Mirinda")</f>
        <v>Mirinda</v>
      </c>
      <c r="D1423" s="1">
        <f>IFERROR(__xludf.DUMMYFUNCTION("""COMPUTED_VALUE"""),105.0)</f>
        <v>105</v>
      </c>
      <c r="E1423" s="1">
        <f>IFERROR(__xludf.DUMMYFUNCTION("""COMPUTED_VALUE"""),26.25)</f>
        <v>26.25</v>
      </c>
      <c r="F1423" s="1">
        <f>IFERROR(__xludf.DUMMYFUNCTION("""COMPUTED_VALUE"""),35.0)</f>
        <v>35</v>
      </c>
    </row>
    <row r="1424">
      <c r="A1424" s="3">
        <f>IFERROR(__xludf.DUMMYFUNCTION("""COMPUTED_VALUE"""),46082.0)</f>
        <v>46082</v>
      </c>
      <c r="B1424" s="1" t="str">
        <f>IFERROR(__xludf.DUMMYFUNCTION("""COMPUTED_VALUE"""),"DPMall")</f>
        <v>DPMall</v>
      </c>
      <c r="C1424" s="1" t="str">
        <f>IFERROR(__xludf.DUMMYFUNCTION("""COMPUTED_VALUE"""),"Mr Crunch cheez top")</f>
        <v>Mr Crunch cheez top</v>
      </c>
      <c r="D1424" s="1">
        <f>IFERROR(__xludf.DUMMYFUNCTION("""COMPUTED_VALUE"""),15.0)</f>
        <v>15</v>
      </c>
      <c r="E1424" s="1">
        <f>IFERROR(__xludf.DUMMYFUNCTION("""COMPUTED_VALUE"""),10.35)</f>
        <v>10.35</v>
      </c>
      <c r="F1424" s="1">
        <f>IFERROR(__xludf.DUMMYFUNCTION("""COMPUTED_VALUE"""),3.0)</f>
        <v>3</v>
      </c>
    </row>
    <row r="1425">
      <c r="A1425" s="3">
        <f>IFERROR(__xludf.DUMMYFUNCTION("""COMPUTED_VALUE"""),46082.0)</f>
        <v>46082</v>
      </c>
      <c r="B1425" s="1" t="str">
        <f>IFERROR(__xludf.DUMMYFUNCTION("""COMPUTED_VALUE"""),"DPMall")</f>
        <v>DPMall</v>
      </c>
      <c r="C1425" s="1" t="str">
        <f>IFERROR(__xludf.DUMMYFUNCTION("""COMPUTED_VALUE"""),"Mr Crunch normal")</f>
        <v>Mr Crunch normal</v>
      </c>
      <c r="D1425" s="1">
        <f>IFERROR(__xludf.DUMMYFUNCTION("""COMPUTED_VALUE"""),20.0)</f>
        <v>20</v>
      </c>
      <c r="E1425" s="1">
        <f>IFERROR(__xludf.DUMMYFUNCTION("""COMPUTED_VALUE"""),11.2)</f>
        <v>11.2</v>
      </c>
      <c r="F1425" s="1">
        <f>IFERROR(__xludf.DUMMYFUNCTION("""COMPUTED_VALUE"""),4.0)</f>
        <v>4</v>
      </c>
    </row>
    <row r="1426">
      <c r="A1426" s="3">
        <f>IFERROR(__xludf.DUMMYFUNCTION("""COMPUTED_VALUE"""),46082.0)</f>
        <v>46082</v>
      </c>
      <c r="B1426" s="1" t="str">
        <f>IFERROR(__xludf.DUMMYFUNCTION("""COMPUTED_VALUE"""),"DPMall")</f>
        <v>DPMall</v>
      </c>
      <c r="C1426" s="1" t="str">
        <f>IFERROR(__xludf.DUMMYFUNCTION("""COMPUTED_VALUE"""),"Pepsi")</f>
        <v>Pepsi</v>
      </c>
      <c r="D1426" s="1">
        <f>IFERROR(__xludf.DUMMYFUNCTION("""COMPUTED_VALUE"""),243.0)</f>
        <v>243</v>
      </c>
      <c r="E1426" s="1">
        <f>IFERROR(__xludf.DUMMYFUNCTION("""COMPUTED_VALUE"""),60.75)</f>
        <v>60.75</v>
      </c>
      <c r="F1426" s="1">
        <f>IFERROR(__xludf.DUMMYFUNCTION("""COMPUTED_VALUE"""),81.0)</f>
        <v>81</v>
      </c>
    </row>
    <row r="1427">
      <c r="A1427" s="3">
        <f>IFERROR(__xludf.DUMMYFUNCTION("""COMPUTED_VALUE"""),46082.0)</f>
        <v>46082</v>
      </c>
      <c r="B1427" s="1" t="str">
        <f>IFERROR(__xludf.DUMMYFUNCTION("""COMPUTED_VALUE"""),"DPMall")</f>
        <v>DPMall</v>
      </c>
      <c r="C1427" s="1" t="str">
        <f>IFERROR(__xludf.DUMMYFUNCTION("""COMPUTED_VALUE"""),"SunTop Saudi")</f>
        <v>SunTop Saudi</v>
      </c>
      <c r="D1427" s="1">
        <f>IFERROR(__xludf.DUMMYFUNCTION("""COMPUTED_VALUE"""),375.0)</f>
        <v>375</v>
      </c>
      <c r="E1427" s="1">
        <f>IFERROR(__xludf.DUMMYFUNCTION("""COMPUTED_VALUE"""),218.84)</f>
        <v>218.84</v>
      </c>
      <c r="F1427" s="1">
        <f>IFERROR(__xludf.DUMMYFUNCTION("""COMPUTED_VALUE"""),244.0)</f>
        <v>244</v>
      </c>
    </row>
    <row r="1428">
      <c r="A1428" s="3">
        <f>IFERROR(__xludf.DUMMYFUNCTION("""COMPUTED_VALUE"""),46082.0)</f>
        <v>46082</v>
      </c>
      <c r="B1428" s="1" t="str">
        <f>IFERROR(__xludf.DUMMYFUNCTION("""COMPUTED_VALUE"""),"DPMall")</f>
        <v>DPMall</v>
      </c>
      <c r="C1428" s="1" t="str">
        <f>IFERROR(__xludf.DUMMYFUNCTION("""COMPUTED_VALUE"""),"Water")</f>
        <v>Water</v>
      </c>
      <c r="D1428" s="1">
        <f>IFERROR(__xludf.DUMMYFUNCTION("""COMPUTED_VALUE"""),541.0)</f>
        <v>541</v>
      </c>
      <c r="E1428" s="1">
        <f>IFERROR(__xludf.DUMMYFUNCTION("""COMPUTED_VALUE"""),384.11)</f>
        <v>384.11</v>
      </c>
      <c r="F1428" s="1">
        <f>IFERROR(__xludf.DUMMYFUNCTION("""COMPUTED_VALUE"""),541.0)</f>
        <v>541</v>
      </c>
    </row>
    <row r="1429">
      <c r="A1429" s="3">
        <f>IFERROR(__xludf.DUMMYFUNCTION("""COMPUTED_VALUE"""),46082.0)</f>
        <v>46082</v>
      </c>
      <c r="B1429" s="1" t="str">
        <f>IFERROR(__xludf.DUMMYFUNCTION("""COMPUTED_VALUE"""),"DPMall")</f>
        <v>DPMall</v>
      </c>
      <c r="C1429" s="1" t="str">
        <f>IFERROR(__xludf.DUMMYFUNCTION("""COMPUTED_VALUE"""),"X!R")</f>
        <v>X!R</v>
      </c>
      <c r="D1429" s="1">
        <f>IFERROR(__xludf.DUMMYFUNCTION("""COMPUTED_VALUE"""),865.0)</f>
        <v>865</v>
      </c>
      <c r="E1429" s="1">
        <f>IFERROR(__xludf.DUMMYFUNCTION("""COMPUTED_VALUE"""),295.83)</f>
        <v>295.83</v>
      </c>
      <c r="F1429" s="1">
        <f>IFERROR(__xludf.DUMMYFUNCTION("""COMPUTED_VALUE"""),173.0)</f>
        <v>173</v>
      </c>
    </row>
    <row r="1430">
      <c r="A1430" s="3">
        <f>IFERROR(__xludf.DUMMYFUNCTION("""COMPUTED_VALUE"""),46082.0)</f>
        <v>46082</v>
      </c>
      <c r="B1430" s="1" t="str">
        <f>IFERROR(__xludf.DUMMYFUNCTION("""COMPUTED_VALUE"""),"DPMall")</f>
        <v>DPMall</v>
      </c>
      <c r="C1430" s="1" t="str">
        <f>IFERROR(__xludf.DUMMYFUNCTION("""COMPUTED_VALUE"""),"bueno 1 stick")</f>
        <v>bueno 1 stick</v>
      </c>
      <c r="D1430" s="1">
        <f>IFERROR(__xludf.DUMMYFUNCTION("""COMPUTED_VALUE"""),86.0)</f>
        <v>86</v>
      </c>
      <c r="E1430" s="1">
        <f>IFERROR(__xludf.DUMMYFUNCTION("""COMPUTED_VALUE"""),-43.0)</f>
        <v>-43</v>
      </c>
      <c r="F1430" s="1">
        <f>IFERROR(__xludf.DUMMYFUNCTION("""COMPUTED_VALUE"""),43.0)</f>
        <v>43</v>
      </c>
    </row>
    <row r="1431">
      <c r="A1431" s="3">
        <f>IFERROR(__xludf.DUMMYFUNCTION("""COMPUTED_VALUE"""),46082.0)</f>
        <v>46082</v>
      </c>
      <c r="B1431" s="1" t="str">
        <f>IFERROR(__xludf.DUMMYFUNCTION("""COMPUTED_VALUE"""),"DPMall")</f>
        <v>DPMall</v>
      </c>
      <c r="C1431" s="1" t="str">
        <f>IFERROR(__xludf.DUMMYFUNCTION("""COMPUTED_VALUE"""),"kinder bueno")</f>
        <v>kinder bueno</v>
      </c>
      <c r="D1431" s="1">
        <f>IFERROR(__xludf.DUMMYFUNCTION("""COMPUTED_VALUE"""),710.0)</f>
        <v>710</v>
      </c>
      <c r="E1431" s="1">
        <f>IFERROR(__xludf.DUMMYFUNCTION("""COMPUTED_VALUE"""),284.0)</f>
        <v>284</v>
      </c>
      <c r="F1431" s="1">
        <f>IFERROR(__xludf.DUMMYFUNCTION("""COMPUTED_VALUE"""),71.0)</f>
        <v>71</v>
      </c>
    </row>
    <row r="1432">
      <c r="A1432" s="3">
        <f>IFERROR(__xludf.DUMMYFUNCTION("""COMPUTED_VALUE"""),46082.0)</f>
        <v>46082</v>
      </c>
      <c r="B1432" s="1" t="str">
        <f>IFERROR(__xludf.DUMMYFUNCTION("""COMPUTED_VALUE"""),"DPMall")</f>
        <v>DPMall</v>
      </c>
      <c r="C1432" s="1" t="str">
        <f>IFERROR(__xludf.DUMMYFUNCTION("""COMPUTED_VALUE"""),"kinza")</f>
        <v>kinza</v>
      </c>
      <c r="D1432" s="1">
        <f>IFERROR(__xludf.DUMMYFUNCTION("""COMPUTED_VALUE"""),15.0)</f>
        <v>15</v>
      </c>
      <c r="E1432" s="1">
        <f>IFERROR(__xludf.DUMMYFUNCTION("""COMPUTED_VALUE"""),8.7)</f>
        <v>8.7</v>
      </c>
      <c r="F1432" s="1">
        <f>IFERROR(__xludf.DUMMYFUNCTION("""COMPUTED_VALUE"""),5.0)</f>
        <v>5</v>
      </c>
    </row>
    <row r="1433">
      <c r="A1433" s="3">
        <f>IFERROR(__xludf.DUMMYFUNCTION("""COMPUTED_VALUE"""),46082.0)</f>
        <v>46082</v>
      </c>
      <c r="B1433" s="1" t="str">
        <f>IFERROR(__xludf.DUMMYFUNCTION("""COMPUTED_VALUE"""),"DPMall")</f>
        <v>DPMall</v>
      </c>
      <c r="C1433" s="1" t="str">
        <f>IFERROR(__xludf.DUMMYFUNCTION("""COMPUTED_VALUE"""),"mars")</f>
        <v>mars</v>
      </c>
      <c r="D1433" s="1">
        <f>IFERROR(__xludf.DUMMYFUNCTION("""COMPUTED_VALUE"""),75.0)</f>
        <v>75</v>
      </c>
      <c r="E1433" s="1">
        <f>IFERROR(__xludf.DUMMYFUNCTION("""COMPUTED_VALUE"""),-11.8)</f>
        <v>-11.8</v>
      </c>
      <c r="F1433" s="1">
        <f>IFERROR(__xludf.DUMMYFUNCTION("""COMPUTED_VALUE"""),31.0)</f>
        <v>31</v>
      </c>
    </row>
    <row r="1434">
      <c r="A1434" s="3">
        <f>IFERROR(__xludf.DUMMYFUNCTION("""COMPUTED_VALUE"""),46082.0)</f>
        <v>46082</v>
      </c>
      <c r="B1434" s="1" t="str">
        <f>IFERROR(__xludf.DUMMYFUNCTION("""COMPUTED_VALUE"""),"DPMall")</f>
        <v>DPMall</v>
      </c>
      <c r="C1434" s="1" t="str">
        <f>IFERROR(__xludf.DUMMYFUNCTION("""COMPUTED_VALUE"""),"mr bite")</f>
        <v>mr bite</v>
      </c>
      <c r="D1434" s="1">
        <f>IFERROR(__xludf.DUMMYFUNCTION("""COMPUTED_VALUE"""),180.0)</f>
        <v>180</v>
      </c>
      <c r="E1434" s="1">
        <f>IFERROR(__xludf.DUMMYFUNCTION("""COMPUTED_VALUE"""),105.0)</f>
        <v>105</v>
      </c>
      <c r="F1434" s="1">
        <f>IFERROR(__xludf.DUMMYFUNCTION("""COMPUTED_VALUE"""),60.0)</f>
        <v>60</v>
      </c>
    </row>
    <row r="1435">
      <c r="A1435" s="3">
        <f>IFERROR(__xludf.DUMMYFUNCTION("""COMPUTED_VALUE"""),46082.0)</f>
        <v>46082</v>
      </c>
      <c r="B1435" s="1" t="str">
        <f>IFERROR(__xludf.DUMMYFUNCTION("""COMPUTED_VALUE"""),"DPMall")</f>
        <v>DPMall</v>
      </c>
      <c r="C1435" s="1" t="str">
        <f>IFERROR(__xludf.DUMMYFUNCTION("""COMPUTED_VALUE"""),"schweppers")</f>
        <v>schweppers</v>
      </c>
      <c r="D1435" s="1">
        <f>IFERROR(__xludf.DUMMYFUNCTION("""COMPUTED_VALUE"""),98.0)</f>
        <v>98</v>
      </c>
      <c r="E1435" s="1">
        <f>IFERROR(__xludf.DUMMYFUNCTION("""COMPUTED_VALUE"""),54.0)</f>
        <v>54</v>
      </c>
      <c r="F1435" s="1">
        <f>IFERROR(__xludf.DUMMYFUNCTION("""COMPUTED_VALUE"""),22.0)</f>
        <v>22</v>
      </c>
    </row>
    <row r="1436">
      <c r="A1436" s="3">
        <f>IFERROR(__xludf.DUMMYFUNCTION("""COMPUTED_VALUE"""),46082.0)</f>
        <v>46082</v>
      </c>
      <c r="B1436" s="1" t="str">
        <f>IFERROR(__xludf.DUMMYFUNCTION("""COMPUTED_VALUE"""),"DPMall")</f>
        <v>DPMall</v>
      </c>
      <c r="C1436" s="1" t="str">
        <f>IFERROR(__xludf.DUMMYFUNCTION("""COMPUTED_VALUE"""),"snickers")</f>
        <v>snickers</v>
      </c>
      <c r="D1436" s="1">
        <f>IFERROR(__xludf.DUMMYFUNCTION("""COMPUTED_VALUE"""),130.0)</f>
        <v>130</v>
      </c>
      <c r="E1436" s="1"/>
      <c r="F1436" s="1">
        <f>IFERROR(__xludf.DUMMYFUNCTION("""COMPUTED_VALUE"""),45.0)</f>
        <v>45</v>
      </c>
    </row>
    <row r="1437">
      <c r="A1437" s="3">
        <f>IFERROR(__xludf.DUMMYFUNCTION("""COMPUTED_VALUE"""),46082.0)</f>
        <v>46082</v>
      </c>
      <c r="B1437" s="1" t="str">
        <f>IFERROR(__xludf.DUMMYFUNCTION("""COMPUTED_VALUE"""),"DPMall")</f>
        <v>DPMall</v>
      </c>
      <c r="C1437" s="1" t="str">
        <f>IFERROR(__xludf.DUMMYFUNCTION("""COMPUTED_VALUE"""),"tiger 12")</f>
        <v>tiger 12</v>
      </c>
      <c r="D1437" s="1">
        <f>IFERROR(__xludf.DUMMYFUNCTION("""COMPUTED_VALUE"""),1235.0)</f>
        <v>1235</v>
      </c>
      <c r="E1437" s="1">
        <f>IFERROR(__xludf.DUMMYFUNCTION("""COMPUTED_VALUE"""),512.0)</f>
        <v>512</v>
      </c>
      <c r="F1437" s="1">
        <f>IFERROR(__xludf.DUMMYFUNCTION("""COMPUTED_VALUE"""),241.0)</f>
        <v>241</v>
      </c>
    </row>
    <row r="1438">
      <c r="A1438" s="3">
        <f>IFERROR(__xludf.DUMMYFUNCTION("""COMPUTED_VALUE"""),46082.0)</f>
        <v>46082</v>
      </c>
      <c r="B1438" s="1" t="str">
        <f>IFERROR(__xludf.DUMMYFUNCTION("""COMPUTED_VALUE"""),"HTLand")</f>
        <v>HTLand</v>
      </c>
      <c r="C1438" s="1" t="str">
        <f>IFERROR(__xludf.DUMMYFUNCTION("""COMPUTED_VALUE"""),"7up")</f>
        <v>7up</v>
      </c>
      <c r="D1438" s="1">
        <f>IFERROR(__xludf.DUMMYFUNCTION("""COMPUTED_VALUE"""),45.0)</f>
        <v>45</v>
      </c>
      <c r="E1438" s="1">
        <f>IFERROR(__xludf.DUMMYFUNCTION("""COMPUTED_VALUE"""),11.25)</f>
        <v>11.25</v>
      </c>
      <c r="F1438" s="1">
        <f>IFERROR(__xludf.DUMMYFUNCTION("""COMPUTED_VALUE"""),15.0)</f>
        <v>15</v>
      </c>
    </row>
    <row r="1439">
      <c r="A1439" s="3">
        <f>IFERROR(__xludf.DUMMYFUNCTION("""COMPUTED_VALUE"""),46082.0)</f>
        <v>46082</v>
      </c>
      <c r="B1439" s="1" t="str">
        <f>IFERROR(__xludf.DUMMYFUNCTION("""COMPUTED_VALUE"""),"HTLand")</f>
        <v>HTLand</v>
      </c>
      <c r="C1439" s="1" t="str">
        <f>IFERROR(__xludf.DUMMYFUNCTION("""COMPUTED_VALUE"""),"Almarai Chocolate")</f>
        <v>Almarai Chocolate</v>
      </c>
      <c r="D1439" s="1">
        <f>IFERROR(__xludf.DUMMYFUNCTION("""COMPUTED_VALUE"""),173.0)</f>
        <v>173</v>
      </c>
      <c r="E1439" s="1">
        <f>IFERROR(__xludf.DUMMYFUNCTION("""COMPUTED_VALUE"""),53.92)</f>
        <v>53.92</v>
      </c>
      <c r="F1439" s="1">
        <f>IFERROR(__xludf.DUMMYFUNCTION("""COMPUTED_VALUE"""),52.0)</f>
        <v>52</v>
      </c>
    </row>
    <row r="1440">
      <c r="A1440" s="3">
        <f>IFERROR(__xludf.DUMMYFUNCTION("""COMPUTED_VALUE"""),46082.0)</f>
        <v>46082</v>
      </c>
      <c r="B1440" s="1" t="str">
        <f>IFERROR(__xludf.DUMMYFUNCTION("""COMPUTED_VALUE"""),"HTLand")</f>
        <v>HTLand</v>
      </c>
      <c r="C1440" s="1" t="str">
        <f>IFERROR(__xludf.DUMMYFUNCTION("""COMPUTED_VALUE"""),"Almarai Strawberry")</f>
        <v>Almarai Strawberry</v>
      </c>
      <c r="D1440" s="1">
        <f>IFERROR(__xludf.DUMMYFUNCTION("""COMPUTED_VALUE"""),33.0)</f>
        <v>33</v>
      </c>
      <c r="E1440" s="1">
        <f>IFERROR(__xludf.DUMMYFUNCTION("""COMPUTED_VALUE"""),7.81)</f>
        <v>7.81</v>
      </c>
      <c r="F1440" s="1">
        <f>IFERROR(__xludf.DUMMYFUNCTION("""COMPUTED_VALUE"""),11.0)</f>
        <v>11</v>
      </c>
    </row>
    <row r="1441">
      <c r="A1441" s="3">
        <f>IFERROR(__xludf.DUMMYFUNCTION("""COMPUTED_VALUE"""),46082.0)</f>
        <v>46082</v>
      </c>
      <c r="B1441" s="1" t="str">
        <f>IFERROR(__xludf.DUMMYFUNCTION("""COMPUTED_VALUE"""),"HTLand")</f>
        <v>HTLand</v>
      </c>
      <c r="C1441" s="1" t="str">
        <f>IFERROR(__xludf.DUMMYFUNCTION("""COMPUTED_VALUE"""),"BeBeto marshmello")</f>
        <v>BeBeto marshmello</v>
      </c>
      <c r="D1441" s="1">
        <f>IFERROR(__xludf.DUMMYFUNCTION("""COMPUTED_VALUE"""),75.0)</f>
        <v>75</v>
      </c>
      <c r="E1441" s="1">
        <f>IFERROR(__xludf.DUMMYFUNCTION("""COMPUTED_VALUE"""),46.35)</f>
        <v>46.35</v>
      </c>
      <c r="F1441" s="1">
        <f>IFERROR(__xludf.DUMMYFUNCTION("""COMPUTED_VALUE"""),15.0)</f>
        <v>15</v>
      </c>
    </row>
    <row r="1442">
      <c r="A1442" s="3">
        <f>IFERROR(__xludf.DUMMYFUNCTION("""COMPUTED_VALUE"""),46082.0)</f>
        <v>46082</v>
      </c>
      <c r="B1442" s="1" t="str">
        <f>IFERROR(__xludf.DUMMYFUNCTION("""COMPUTED_VALUE"""),"HTLand")</f>
        <v>HTLand</v>
      </c>
      <c r="C1442" s="1" t="str">
        <f>IFERROR(__xludf.DUMMYFUNCTION("""COMPUTED_VALUE"""),"Bounty wafer roll")</f>
        <v>Bounty wafer roll</v>
      </c>
      <c r="D1442" s="1">
        <f>IFERROR(__xludf.DUMMYFUNCTION("""COMPUTED_VALUE"""),82.0)</f>
        <v>82</v>
      </c>
      <c r="E1442" s="1">
        <f>IFERROR(__xludf.DUMMYFUNCTION("""COMPUTED_VALUE"""),37.72)</f>
        <v>37.72</v>
      </c>
      <c r="F1442" s="1">
        <f>IFERROR(__xludf.DUMMYFUNCTION("""COMPUTED_VALUE"""),41.0)</f>
        <v>41</v>
      </c>
    </row>
    <row r="1443">
      <c r="A1443" s="3">
        <f>IFERROR(__xludf.DUMMYFUNCTION("""COMPUTED_VALUE"""),46082.0)</f>
        <v>46082</v>
      </c>
      <c r="B1443" s="1" t="str">
        <f>IFERROR(__xludf.DUMMYFUNCTION("""COMPUTED_VALUE"""),"HTLand")</f>
        <v>HTLand</v>
      </c>
      <c r="C1443" s="1" t="str">
        <f>IFERROR(__xludf.DUMMYFUNCTION("""COMPUTED_VALUE"""),"Chillax chips")</f>
        <v>Chillax chips</v>
      </c>
      <c r="D1443" s="1">
        <f>IFERROR(__xludf.DUMMYFUNCTION("""COMPUTED_VALUE"""),35.0)</f>
        <v>35</v>
      </c>
      <c r="E1443" s="1">
        <f>IFERROR(__xludf.DUMMYFUNCTION("""COMPUTED_VALUE"""),10.5)</f>
        <v>10.5</v>
      </c>
      <c r="F1443" s="1">
        <f>IFERROR(__xludf.DUMMYFUNCTION("""COMPUTED_VALUE"""),7.0)</f>
        <v>7</v>
      </c>
    </row>
    <row r="1444">
      <c r="A1444" s="3">
        <f>IFERROR(__xludf.DUMMYFUNCTION("""COMPUTED_VALUE"""),46082.0)</f>
        <v>46082</v>
      </c>
      <c r="B1444" s="1" t="str">
        <f>IFERROR(__xludf.DUMMYFUNCTION("""COMPUTED_VALUE"""),"HTLand")</f>
        <v>HTLand</v>
      </c>
      <c r="C1444" s="1" t="str">
        <f>IFERROR(__xludf.DUMMYFUNCTION("""COMPUTED_VALUE"""),"Coach Suntop")</f>
        <v>Coach Suntop</v>
      </c>
      <c r="D1444" s="1">
        <f>IFERROR(__xludf.DUMMYFUNCTION("""COMPUTED_VALUE"""),200.0)</f>
        <v>200</v>
      </c>
      <c r="E1444" s="1">
        <f>IFERROR(__xludf.DUMMYFUNCTION("""COMPUTED_VALUE"""),110.0)</f>
        <v>110</v>
      </c>
      <c r="F1444" s="1">
        <f>IFERROR(__xludf.DUMMYFUNCTION("""COMPUTED_VALUE"""),200.0)</f>
        <v>200</v>
      </c>
    </row>
    <row r="1445">
      <c r="A1445" s="3">
        <f>IFERROR(__xludf.DUMMYFUNCTION("""COMPUTED_VALUE"""),46082.0)</f>
        <v>46082</v>
      </c>
      <c r="B1445" s="1" t="str">
        <f>IFERROR(__xludf.DUMMYFUNCTION("""COMPUTED_VALUE"""),"HTLand")</f>
        <v>HTLand</v>
      </c>
      <c r="C1445" s="1" t="str">
        <f>IFERROR(__xludf.DUMMYFUNCTION("""COMPUTED_VALUE"""),"Doritos BBQ")</f>
        <v>Doritos BBQ</v>
      </c>
      <c r="D1445" s="1">
        <f>IFERROR(__xludf.DUMMYFUNCTION("""COMPUTED_VALUE"""),75.0)</f>
        <v>75</v>
      </c>
      <c r="E1445" s="1">
        <f>IFERROR(__xludf.DUMMYFUNCTION("""COMPUTED_VALUE"""),31.05)</f>
        <v>31.05</v>
      </c>
      <c r="F1445" s="1">
        <f>IFERROR(__xludf.DUMMYFUNCTION("""COMPUTED_VALUE"""),15.0)</f>
        <v>15</v>
      </c>
    </row>
    <row r="1446">
      <c r="A1446" s="3">
        <f>IFERROR(__xludf.DUMMYFUNCTION("""COMPUTED_VALUE"""),46082.0)</f>
        <v>46082</v>
      </c>
      <c r="B1446" s="1" t="str">
        <f>IFERROR(__xludf.DUMMYFUNCTION("""COMPUTED_VALUE"""),"HTLand")</f>
        <v>HTLand</v>
      </c>
      <c r="C1446" s="1" t="str">
        <f>IFERROR(__xludf.DUMMYFUNCTION("""COMPUTED_VALUE"""),"Doritos cool ranc")</f>
        <v>Doritos cool ranc</v>
      </c>
      <c r="D1446" s="1">
        <f>IFERROR(__xludf.DUMMYFUNCTION("""COMPUTED_VALUE"""),698.0)</f>
        <v>698</v>
      </c>
      <c r="E1446" s="1">
        <f>IFERROR(__xludf.DUMMYFUNCTION("""COMPUTED_VALUE"""),314.17)</f>
        <v>314.17</v>
      </c>
      <c r="F1446" s="1">
        <f>IFERROR(__xludf.DUMMYFUNCTION("""COMPUTED_VALUE"""),131.0)</f>
        <v>131</v>
      </c>
    </row>
    <row r="1447">
      <c r="A1447" s="3">
        <f>IFERROR(__xludf.DUMMYFUNCTION("""COMPUTED_VALUE"""),46082.0)</f>
        <v>46082</v>
      </c>
      <c r="B1447" s="1" t="str">
        <f>IFERROR(__xludf.DUMMYFUNCTION("""COMPUTED_VALUE"""),"HTLand")</f>
        <v>HTLand</v>
      </c>
      <c r="C1447" s="1" t="str">
        <f>IFERROR(__xludf.DUMMYFUNCTION("""COMPUTED_VALUE"""),"Doritos green hot")</f>
        <v>Doritos green hot</v>
      </c>
      <c r="D1447" s="1">
        <f>IFERROR(__xludf.DUMMYFUNCTION("""COMPUTED_VALUE"""),340.0)</f>
        <v>340</v>
      </c>
      <c r="E1447" s="1">
        <f>IFERROR(__xludf.DUMMYFUNCTION("""COMPUTED_VALUE"""),140.76)</f>
        <v>140.76</v>
      </c>
      <c r="F1447" s="1">
        <f>IFERROR(__xludf.DUMMYFUNCTION("""COMPUTED_VALUE"""),68.0)</f>
        <v>68</v>
      </c>
    </row>
    <row r="1448">
      <c r="A1448" s="3">
        <f>IFERROR(__xludf.DUMMYFUNCTION("""COMPUTED_VALUE"""),46082.0)</f>
        <v>46082</v>
      </c>
      <c r="B1448" s="1" t="str">
        <f>IFERROR(__xludf.DUMMYFUNCTION("""COMPUTED_VALUE"""),"HTLand")</f>
        <v>HTLand</v>
      </c>
      <c r="C1448" s="1" t="str">
        <f>IFERROR(__xludf.DUMMYFUNCTION("""COMPUTED_VALUE"""),"Doritos nacho")</f>
        <v>Doritos nacho</v>
      </c>
      <c r="D1448" s="1">
        <f>IFERROR(__xludf.DUMMYFUNCTION("""COMPUTED_VALUE"""),514.0)</f>
        <v>514</v>
      </c>
      <c r="E1448" s="1">
        <f>IFERROR(__xludf.DUMMYFUNCTION("""COMPUTED_VALUE"""),229.79)</f>
        <v>229.79</v>
      </c>
      <c r="F1448" s="1">
        <f>IFERROR(__xludf.DUMMYFUNCTION("""COMPUTED_VALUE"""),97.0)</f>
        <v>97</v>
      </c>
    </row>
    <row r="1449">
      <c r="A1449" s="3">
        <f>IFERROR(__xludf.DUMMYFUNCTION("""COMPUTED_VALUE"""),46082.0)</f>
        <v>46082</v>
      </c>
      <c r="B1449" s="1" t="str">
        <f>IFERROR(__xludf.DUMMYFUNCTION("""COMPUTED_VALUE"""),"HTLand")</f>
        <v>HTLand</v>
      </c>
      <c r="C1449" s="1" t="str">
        <f>IFERROR(__xludf.DUMMYFUNCTION("""COMPUTED_VALUE"""),"Doritos red hot")</f>
        <v>Doritos red hot</v>
      </c>
      <c r="D1449" s="1">
        <f>IFERROR(__xludf.DUMMYFUNCTION("""COMPUTED_VALUE"""),85.0)</f>
        <v>85</v>
      </c>
      <c r="E1449" s="1">
        <f>IFERROR(__xludf.DUMMYFUNCTION("""COMPUTED_VALUE"""),35.19)</f>
        <v>35.19</v>
      </c>
      <c r="F1449" s="1">
        <f>IFERROR(__xludf.DUMMYFUNCTION("""COMPUTED_VALUE"""),17.0)</f>
        <v>17</v>
      </c>
    </row>
    <row r="1450">
      <c r="A1450" s="3">
        <f>IFERROR(__xludf.DUMMYFUNCTION("""COMPUTED_VALUE"""),46082.0)</f>
        <v>46082</v>
      </c>
      <c r="B1450" s="1" t="str">
        <f>IFERROR(__xludf.DUMMYFUNCTION("""COMPUTED_VALUE"""),"HTLand")</f>
        <v>HTLand</v>
      </c>
      <c r="C1450" s="1" t="str">
        <f>IFERROR(__xludf.DUMMYFUNCTION("""COMPUTED_VALUE"""),"Galaxy wafer roll")</f>
        <v>Galaxy wafer roll</v>
      </c>
      <c r="D1450" s="1">
        <f>IFERROR(__xludf.DUMMYFUNCTION("""COMPUTED_VALUE"""),98.0)</f>
        <v>98</v>
      </c>
      <c r="E1450" s="1">
        <f>IFERROR(__xludf.DUMMYFUNCTION("""COMPUTED_VALUE"""),45.08)</f>
        <v>45.08</v>
      </c>
      <c r="F1450" s="1">
        <f>IFERROR(__xludf.DUMMYFUNCTION("""COMPUTED_VALUE"""),49.0)</f>
        <v>49</v>
      </c>
    </row>
    <row r="1451">
      <c r="A1451" s="3">
        <f>IFERROR(__xludf.DUMMYFUNCTION("""COMPUTED_VALUE"""),46082.0)</f>
        <v>46082</v>
      </c>
      <c r="B1451" s="1" t="str">
        <f>IFERROR(__xludf.DUMMYFUNCTION("""COMPUTED_VALUE"""),"HTLand")</f>
        <v>HTLand</v>
      </c>
      <c r="C1451" s="1" t="str">
        <f>IFERROR(__xludf.DUMMYFUNCTION("""COMPUTED_VALUE"""),"Haribo")</f>
        <v>Haribo</v>
      </c>
      <c r="D1451" s="1">
        <f>IFERROR(__xludf.DUMMYFUNCTION("""COMPUTED_VALUE"""),123.0)</f>
        <v>123</v>
      </c>
      <c r="E1451" s="1">
        <f>IFERROR(__xludf.DUMMYFUNCTION("""COMPUTED_VALUE"""),39.36)</f>
        <v>39.36</v>
      </c>
      <c r="F1451" s="1">
        <f>IFERROR(__xludf.DUMMYFUNCTION("""COMPUTED_VALUE"""),41.0)</f>
        <v>41</v>
      </c>
    </row>
    <row r="1452">
      <c r="A1452" s="3">
        <f>IFERROR(__xludf.DUMMYFUNCTION("""COMPUTED_VALUE"""),46082.0)</f>
        <v>46082</v>
      </c>
      <c r="B1452" s="1" t="str">
        <f>IFERROR(__xludf.DUMMYFUNCTION("""COMPUTED_VALUE"""),"HTLand")</f>
        <v>HTLand</v>
      </c>
      <c r="C1452" s="1" t="str">
        <f>IFERROR(__xludf.DUMMYFUNCTION("""COMPUTED_VALUE"""),"Haribo 80g")</f>
        <v>Haribo 80g</v>
      </c>
      <c r="D1452" s="1">
        <f>IFERROR(__xludf.DUMMYFUNCTION("""COMPUTED_VALUE"""),120.0)</f>
        <v>120</v>
      </c>
      <c r="E1452" s="1">
        <f>IFERROR(__xludf.DUMMYFUNCTION("""COMPUTED_VALUE"""),33.6)</f>
        <v>33.6</v>
      </c>
      <c r="F1452" s="1">
        <f>IFERROR(__xludf.DUMMYFUNCTION("""COMPUTED_VALUE"""),12.0)</f>
        <v>12</v>
      </c>
    </row>
    <row r="1453">
      <c r="A1453" s="3">
        <f>IFERROR(__xludf.DUMMYFUNCTION("""COMPUTED_VALUE"""),46082.0)</f>
        <v>46082</v>
      </c>
      <c r="B1453" s="1" t="str">
        <f>IFERROR(__xludf.DUMMYFUNCTION("""COMPUTED_VALUE"""),"HTLand")</f>
        <v>HTLand</v>
      </c>
      <c r="C1453" s="1" t="str">
        <f>IFERROR(__xludf.DUMMYFUNCTION("""COMPUTED_VALUE"""),"Kinder Bueno")</f>
        <v>Kinder Bueno</v>
      </c>
      <c r="D1453" s="1">
        <f>IFERROR(__xludf.DUMMYFUNCTION("""COMPUTED_VALUE"""),4.0)</f>
        <v>4</v>
      </c>
      <c r="E1453" s="1">
        <f>IFERROR(__xludf.DUMMYFUNCTION("""COMPUTED_VALUE"""),-3.0)</f>
        <v>-3</v>
      </c>
      <c r="F1453" s="1">
        <f>IFERROR(__xludf.DUMMYFUNCTION("""COMPUTED_VALUE"""),1.0)</f>
        <v>1</v>
      </c>
    </row>
    <row r="1454">
      <c r="A1454" s="3">
        <f>IFERROR(__xludf.DUMMYFUNCTION("""COMPUTED_VALUE"""),46082.0)</f>
        <v>46082</v>
      </c>
      <c r="B1454" s="1" t="str">
        <f>IFERROR(__xludf.DUMMYFUNCTION("""COMPUTED_VALUE"""),"HTLand")</f>
        <v>HTLand</v>
      </c>
      <c r="C1454" s="1" t="str">
        <f>IFERROR(__xludf.DUMMYFUNCTION("""COMPUTED_VALUE"""),"Laviva")</f>
        <v>Laviva</v>
      </c>
      <c r="D1454" s="1">
        <f>IFERROR(__xludf.DUMMYFUNCTION("""COMPUTED_VALUE"""),292.0)</f>
        <v>292</v>
      </c>
      <c r="E1454" s="1">
        <f>IFERROR(__xludf.DUMMYFUNCTION("""COMPUTED_VALUE"""),127.75)</f>
        <v>127.75</v>
      </c>
      <c r="F1454" s="1">
        <f>IFERROR(__xludf.DUMMYFUNCTION("""COMPUTED_VALUE"""),73.0)</f>
        <v>73</v>
      </c>
    </row>
    <row r="1455">
      <c r="A1455" s="3">
        <f>IFERROR(__xludf.DUMMYFUNCTION("""COMPUTED_VALUE"""),46082.0)</f>
        <v>46082</v>
      </c>
      <c r="B1455" s="1" t="str">
        <f>IFERROR(__xludf.DUMMYFUNCTION("""COMPUTED_VALUE"""),"HTLand")</f>
        <v>HTLand</v>
      </c>
      <c r="C1455" s="1" t="str">
        <f>IFERROR(__xludf.DUMMYFUNCTION("""COMPUTED_VALUE"""),"MR Crunch")</f>
        <v>MR Crunch</v>
      </c>
      <c r="D1455" s="1">
        <f>IFERROR(__xludf.DUMMYFUNCTION("""COMPUTED_VALUE"""),591.0)</f>
        <v>591</v>
      </c>
      <c r="E1455" s="1">
        <f>IFERROR(__xludf.DUMMYFUNCTION("""COMPUTED_VALUE"""),261.0)</f>
        <v>261</v>
      </c>
      <c r="F1455" s="1">
        <f>IFERROR(__xludf.DUMMYFUNCTION("""COMPUTED_VALUE"""),110.0)</f>
        <v>110</v>
      </c>
    </row>
    <row r="1456">
      <c r="A1456" s="3">
        <f>IFERROR(__xludf.DUMMYFUNCTION("""COMPUTED_VALUE"""),46082.0)</f>
        <v>46082</v>
      </c>
      <c r="B1456" s="1" t="str">
        <f>IFERROR(__xludf.DUMMYFUNCTION("""COMPUTED_VALUE"""),"HTLand")</f>
        <v>HTLand</v>
      </c>
      <c r="C1456" s="1" t="str">
        <f>IFERROR(__xludf.DUMMYFUNCTION("""COMPUTED_VALUE"""),"Mirinda")</f>
        <v>Mirinda</v>
      </c>
      <c r="D1456" s="1">
        <f>IFERROR(__xludf.DUMMYFUNCTION("""COMPUTED_VALUE"""),90.0)</f>
        <v>90</v>
      </c>
      <c r="E1456" s="1">
        <f>IFERROR(__xludf.DUMMYFUNCTION("""COMPUTED_VALUE"""),22.5)</f>
        <v>22.5</v>
      </c>
      <c r="F1456" s="1">
        <f>IFERROR(__xludf.DUMMYFUNCTION("""COMPUTED_VALUE"""),30.0)</f>
        <v>30</v>
      </c>
    </row>
    <row r="1457">
      <c r="A1457" s="3">
        <f>IFERROR(__xludf.DUMMYFUNCTION("""COMPUTED_VALUE"""),46082.0)</f>
        <v>46082</v>
      </c>
      <c r="B1457" s="1" t="str">
        <f>IFERROR(__xludf.DUMMYFUNCTION("""COMPUTED_VALUE"""),"HTLand")</f>
        <v>HTLand</v>
      </c>
      <c r="C1457" s="1" t="str">
        <f>IFERROR(__xludf.DUMMYFUNCTION("""COMPUTED_VALUE"""),"Mr Cruch veggy's")</f>
        <v>Mr Cruch veggy's</v>
      </c>
      <c r="D1457" s="1">
        <f>IFERROR(__xludf.DUMMYFUNCTION("""COMPUTED_VALUE"""),125.0)</f>
        <v>125</v>
      </c>
      <c r="E1457" s="1">
        <f>IFERROR(__xludf.DUMMYFUNCTION("""COMPUTED_VALUE"""),64.0)</f>
        <v>64</v>
      </c>
      <c r="F1457" s="1">
        <f>IFERROR(__xludf.DUMMYFUNCTION("""COMPUTED_VALUE"""),25.0)</f>
        <v>25</v>
      </c>
    </row>
    <row r="1458">
      <c r="A1458" s="3">
        <f>IFERROR(__xludf.DUMMYFUNCTION("""COMPUTED_VALUE"""),46082.0)</f>
        <v>46082</v>
      </c>
      <c r="B1458" s="1" t="str">
        <f>IFERROR(__xludf.DUMMYFUNCTION("""COMPUTED_VALUE"""),"HTLand")</f>
        <v>HTLand</v>
      </c>
      <c r="C1458" s="1" t="str">
        <f>IFERROR(__xludf.DUMMYFUNCTION("""COMPUTED_VALUE"""),"Pepsi")</f>
        <v>Pepsi</v>
      </c>
      <c r="D1458" s="1">
        <f>IFERROR(__xludf.DUMMYFUNCTION("""COMPUTED_VALUE"""),192.0)</f>
        <v>192</v>
      </c>
      <c r="E1458" s="1">
        <f>IFERROR(__xludf.DUMMYFUNCTION("""COMPUTED_VALUE"""),48.0)</f>
        <v>48</v>
      </c>
      <c r="F1458" s="1">
        <f>IFERROR(__xludf.DUMMYFUNCTION("""COMPUTED_VALUE"""),64.0)</f>
        <v>64</v>
      </c>
    </row>
    <row r="1459">
      <c r="A1459" s="3">
        <f>IFERROR(__xludf.DUMMYFUNCTION("""COMPUTED_VALUE"""),46082.0)</f>
        <v>46082</v>
      </c>
      <c r="B1459" s="1" t="str">
        <f>IFERROR(__xludf.DUMMYFUNCTION("""COMPUTED_VALUE"""),"HTLand")</f>
        <v>HTLand</v>
      </c>
      <c r="C1459" s="1" t="str">
        <f>IFERROR(__xludf.DUMMYFUNCTION("""COMPUTED_VALUE"""),"Prime Ex")</f>
        <v>Prime Ex</v>
      </c>
      <c r="D1459" s="1">
        <f>IFERROR(__xludf.DUMMYFUNCTION("""COMPUTED_VALUE"""),30.0)</f>
        <v>30</v>
      </c>
      <c r="E1459" s="1">
        <f>IFERROR(__xludf.DUMMYFUNCTION("""COMPUTED_VALUE"""),3.0)</f>
        <v>3</v>
      </c>
      <c r="F1459" s="1">
        <f>IFERROR(__xludf.DUMMYFUNCTION("""COMPUTED_VALUE"""),3.0)</f>
        <v>3</v>
      </c>
    </row>
    <row r="1460">
      <c r="A1460" s="3">
        <f>IFERROR(__xludf.DUMMYFUNCTION("""COMPUTED_VALUE"""),46082.0)</f>
        <v>46082</v>
      </c>
      <c r="B1460" s="1" t="str">
        <f>IFERROR(__xludf.DUMMYFUNCTION("""COMPUTED_VALUE"""),"HTLand")</f>
        <v>HTLand</v>
      </c>
      <c r="C1460" s="1" t="str">
        <f>IFERROR(__xludf.DUMMYFUNCTION("""COMPUTED_VALUE"""),"Schweppes bullet")</f>
        <v>Schweppes bullet</v>
      </c>
      <c r="D1460" s="1">
        <f>IFERROR(__xludf.DUMMYFUNCTION("""COMPUTED_VALUE"""),96.0)</f>
        <v>96</v>
      </c>
      <c r="E1460" s="1">
        <f>IFERROR(__xludf.DUMMYFUNCTION("""COMPUTED_VALUE"""),40.0)</f>
        <v>40</v>
      </c>
      <c r="F1460" s="1">
        <f>IFERROR(__xludf.DUMMYFUNCTION("""COMPUTED_VALUE"""),32.0)</f>
        <v>32</v>
      </c>
    </row>
    <row r="1461">
      <c r="A1461" s="3">
        <f>IFERROR(__xludf.DUMMYFUNCTION("""COMPUTED_VALUE"""),46082.0)</f>
        <v>46082</v>
      </c>
      <c r="B1461" s="1" t="str">
        <f>IFERROR(__xludf.DUMMYFUNCTION("""COMPUTED_VALUE"""),"HTLand")</f>
        <v>HTLand</v>
      </c>
      <c r="C1461" s="1" t="str">
        <f>IFERROR(__xludf.DUMMYFUNCTION("""COMPUTED_VALUE"""),"Shani")</f>
        <v>Shani</v>
      </c>
      <c r="D1461" s="1">
        <f>IFERROR(__xludf.DUMMYFUNCTION("""COMPUTED_VALUE"""),69.0)</f>
        <v>69</v>
      </c>
      <c r="E1461" s="1">
        <f>IFERROR(__xludf.DUMMYFUNCTION("""COMPUTED_VALUE"""),17.25)</f>
        <v>17.25</v>
      </c>
      <c r="F1461" s="1">
        <f>IFERROR(__xludf.DUMMYFUNCTION("""COMPUTED_VALUE"""),23.0)</f>
        <v>23</v>
      </c>
    </row>
    <row r="1462">
      <c r="A1462" s="3">
        <f>IFERROR(__xludf.DUMMYFUNCTION("""COMPUTED_VALUE"""),46082.0)</f>
        <v>46082</v>
      </c>
      <c r="B1462" s="1" t="str">
        <f>IFERROR(__xludf.DUMMYFUNCTION("""COMPUTED_VALUE"""),"HTLand")</f>
        <v>HTLand</v>
      </c>
      <c r="C1462" s="1" t="str">
        <f>IFERROR(__xludf.DUMMYFUNCTION("""COMPUTED_VALUE"""),"Skittles")</f>
        <v>Skittles</v>
      </c>
      <c r="D1462" s="1">
        <f>IFERROR(__xludf.DUMMYFUNCTION("""COMPUTED_VALUE"""),72.0)</f>
        <v>72</v>
      </c>
      <c r="E1462" s="1">
        <f>IFERROR(__xludf.DUMMYFUNCTION("""COMPUTED_VALUE"""),19.53)</f>
        <v>19.53</v>
      </c>
      <c r="F1462" s="1">
        <f>IFERROR(__xludf.DUMMYFUNCTION("""COMPUTED_VALUE"""),9.0)</f>
        <v>9</v>
      </c>
    </row>
    <row r="1463">
      <c r="A1463" s="3">
        <f>IFERROR(__xludf.DUMMYFUNCTION("""COMPUTED_VALUE"""),46082.0)</f>
        <v>46082</v>
      </c>
      <c r="B1463" s="1" t="str">
        <f>IFERROR(__xludf.DUMMYFUNCTION("""COMPUTED_VALUE"""),"HTLand")</f>
        <v>HTLand</v>
      </c>
      <c r="C1463" s="1" t="str">
        <f>IFERROR(__xludf.DUMMYFUNCTION("""COMPUTED_VALUE"""),"Snickers")</f>
        <v>Snickers</v>
      </c>
      <c r="D1463" s="1">
        <f>IFERROR(__xludf.DUMMYFUNCTION("""COMPUTED_VALUE"""),24.0)</f>
        <v>24</v>
      </c>
      <c r="E1463" s="1">
        <f>IFERROR(__xludf.DUMMYFUNCTION("""COMPUTED_VALUE"""),-38.4)</f>
        <v>-38.4</v>
      </c>
      <c r="F1463" s="1">
        <f>IFERROR(__xludf.DUMMYFUNCTION("""COMPUTED_VALUE"""),12.0)</f>
        <v>12</v>
      </c>
    </row>
    <row r="1464">
      <c r="A1464" s="3">
        <f>IFERROR(__xludf.DUMMYFUNCTION("""COMPUTED_VALUE"""),46082.0)</f>
        <v>46082</v>
      </c>
      <c r="B1464" s="1" t="str">
        <f>IFERROR(__xludf.DUMMYFUNCTION("""COMPUTED_VALUE"""),"HTLand")</f>
        <v>HTLand</v>
      </c>
      <c r="C1464" s="1" t="str">
        <f>IFERROR(__xludf.DUMMYFUNCTION("""COMPUTED_VALUE"""),"Snickers wafer roll")</f>
        <v>Snickers wafer roll</v>
      </c>
      <c r="D1464" s="1">
        <f>IFERROR(__xludf.DUMMYFUNCTION("""COMPUTED_VALUE"""),8.0)</f>
        <v>8</v>
      </c>
      <c r="E1464" s="1">
        <f>IFERROR(__xludf.DUMMYFUNCTION("""COMPUTED_VALUE"""),3.52)</f>
        <v>3.52</v>
      </c>
      <c r="F1464" s="1">
        <f>IFERROR(__xludf.DUMMYFUNCTION("""COMPUTED_VALUE"""),4.0)</f>
        <v>4</v>
      </c>
    </row>
    <row r="1465">
      <c r="A1465" s="3">
        <f>IFERROR(__xludf.DUMMYFUNCTION("""COMPUTED_VALUE"""),46082.0)</f>
        <v>46082</v>
      </c>
      <c r="B1465" s="1" t="str">
        <f>IFERROR(__xludf.DUMMYFUNCTION("""COMPUTED_VALUE"""),"HTLand")</f>
        <v>HTLand</v>
      </c>
      <c r="C1465" s="1" t="str">
        <f>IFERROR(__xludf.DUMMYFUNCTION("""COMPUTED_VALUE"""),"Sweeto jelly")</f>
        <v>Sweeto jelly</v>
      </c>
      <c r="D1465" s="1">
        <f>IFERROR(__xludf.DUMMYFUNCTION("""COMPUTED_VALUE"""),195.0)</f>
        <v>195</v>
      </c>
      <c r="E1465" s="1">
        <f>IFERROR(__xludf.DUMMYFUNCTION("""COMPUTED_VALUE"""),52.26)</f>
        <v>52.26</v>
      </c>
      <c r="F1465" s="1">
        <f>IFERROR(__xludf.DUMMYFUNCTION("""COMPUTED_VALUE"""),39.0)</f>
        <v>39</v>
      </c>
    </row>
    <row r="1466">
      <c r="A1466" s="3">
        <f>IFERROR(__xludf.DUMMYFUNCTION("""COMPUTED_VALUE"""),46082.0)</f>
        <v>46082</v>
      </c>
      <c r="B1466" s="1" t="str">
        <f>IFERROR(__xludf.DUMMYFUNCTION("""COMPUTED_VALUE"""),"HTLand")</f>
        <v>HTLand</v>
      </c>
      <c r="C1466" s="1" t="str">
        <f>IFERROR(__xludf.DUMMYFUNCTION("""COMPUTED_VALUE"""),"Tiger *12 Cheese")</f>
        <v>Tiger *12 Cheese</v>
      </c>
      <c r="D1466" s="1">
        <f>IFERROR(__xludf.DUMMYFUNCTION("""COMPUTED_VALUE"""),48.0)</f>
        <v>48</v>
      </c>
      <c r="E1466" s="1">
        <f>IFERROR(__xludf.DUMMYFUNCTION("""COMPUTED_VALUE"""),16.5)</f>
        <v>16.5</v>
      </c>
      <c r="F1466" s="1">
        <f>IFERROR(__xludf.DUMMYFUNCTION("""COMPUTED_VALUE"""),9.0)</f>
        <v>9</v>
      </c>
    </row>
    <row r="1467">
      <c r="A1467" s="3">
        <f>IFERROR(__xludf.DUMMYFUNCTION("""COMPUTED_VALUE"""),46082.0)</f>
        <v>46082</v>
      </c>
      <c r="B1467" s="1" t="str">
        <f>IFERROR(__xludf.DUMMYFUNCTION("""COMPUTED_VALUE"""),"HTLand")</f>
        <v>HTLand</v>
      </c>
      <c r="C1467" s="1" t="str">
        <f>IFERROR(__xludf.DUMMYFUNCTION("""COMPUTED_VALUE"""),"Tiger 12 chili and lemon")</f>
        <v>Tiger 12 chili and lemon</v>
      </c>
      <c r="D1467" s="1">
        <f>IFERROR(__xludf.DUMMYFUNCTION("""COMPUTED_VALUE"""),24.0)</f>
        <v>24</v>
      </c>
      <c r="E1467" s="1">
        <f>IFERROR(__xludf.DUMMYFUNCTION("""COMPUTED_VALUE"""),10.0)</f>
        <v>10</v>
      </c>
      <c r="F1467" s="1">
        <f>IFERROR(__xludf.DUMMYFUNCTION("""COMPUTED_VALUE"""),4.0)</f>
        <v>4</v>
      </c>
    </row>
    <row r="1468">
      <c r="A1468" s="3">
        <f>IFERROR(__xludf.DUMMYFUNCTION("""COMPUTED_VALUE"""),46082.0)</f>
        <v>46082</v>
      </c>
      <c r="B1468" s="1" t="str">
        <f>IFERROR(__xludf.DUMMYFUNCTION("""COMPUTED_VALUE"""),"HTLand")</f>
        <v>HTLand</v>
      </c>
      <c r="C1468" s="1" t="str">
        <f>IFERROR(__xludf.DUMMYFUNCTION("""COMPUTED_VALUE"""),"Tiger excellence")</f>
        <v>Tiger excellence</v>
      </c>
      <c r="D1468" s="1">
        <f>IFERROR(__xludf.DUMMYFUNCTION("""COMPUTED_VALUE"""),100.0)</f>
        <v>100</v>
      </c>
      <c r="E1468" s="1">
        <f>IFERROR(__xludf.DUMMYFUNCTION("""COMPUTED_VALUE"""),55.0)</f>
        <v>55</v>
      </c>
      <c r="F1468" s="1">
        <f>IFERROR(__xludf.DUMMYFUNCTION("""COMPUTED_VALUE"""),20.0)</f>
        <v>20</v>
      </c>
    </row>
    <row r="1469">
      <c r="A1469" s="3">
        <f>IFERROR(__xludf.DUMMYFUNCTION("""COMPUTED_VALUE"""),46082.0)</f>
        <v>46082</v>
      </c>
      <c r="B1469" s="1" t="str">
        <f>IFERROR(__xludf.DUMMYFUNCTION("""COMPUTED_VALUE"""),"HTLand")</f>
        <v>HTLand</v>
      </c>
      <c r="C1469" s="1" t="str">
        <f>IFERROR(__xludf.DUMMYFUNCTION("""COMPUTED_VALUE"""),"Turbo strips")</f>
        <v>Turbo strips</v>
      </c>
      <c r="D1469" s="1">
        <f>IFERROR(__xludf.DUMMYFUNCTION("""COMPUTED_VALUE"""),174.0)</f>
        <v>174</v>
      </c>
      <c r="E1469" s="1">
        <f>IFERROR(__xludf.DUMMYFUNCTION("""COMPUTED_VALUE"""),55.68)</f>
        <v>55.68</v>
      </c>
      <c r="F1469" s="1">
        <f>IFERROR(__xludf.DUMMYFUNCTION("""COMPUTED_VALUE"""),29.0)</f>
        <v>29</v>
      </c>
    </row>
    <row r="1470">
      <c r="A1470" s="3">
        <f>IFERROR(__xludf.DUMMYFUNCTION("""COMPUTED_VALUE"""),46082.0)</f>
        <v>46082</v>
      </c>
      <c r="B1470" s="1" t="str">
        <f>IFERROR(__xludf.DUMMYFUNCTION("""COMPUTED_VALUE"""),"HTLand")</f>
        <v>HTLand</v>
      </c>
      <c r="C1470" s="1" t="str">
        <f>IFERROR(__xludf.DUMMYFUNCTION("""COMPUTED_VALUE"""),"Twix wafer roll")</f>
        <v>Twix wafer roll</v>
      </c>
      <c r="D1470" s="1">
        <f>IFERROR(__xludf.DUMMYFUNCTION("""COMPUTED_VALUE"""),168.0)</f>
        <v>168</v>
      </c>
      <c r="E1470" s="1">
        <f>IFERROR(__xludf.DUMMYFUNCTION("""COMPUTED_VALUE"""),98.88)</f>
        <v>98.88</v>
      </c>
      <c r="F1470" s="1">
        <f>IFERROR(__xludf.DUMMYFUNCTION("""COMPUTED_VALUE"""),64.0)</f>
        <v>64</v>
      </c>
    </row>
    <row r="1471">
      <c r="A1471" s="3">
        <f>IFERROR(__xludf.DUMMYFUNCTION("""COMPUTED_VALUE"""),46082.0)</f>
        <v>46082</v>
      </c>
      <c r="B1471" s="1" t="str">
        <f>IFERROR(__xludf.DUMMYFUNCTION("""COMPUTED_VALUE"""),"HTLand")</f>
        <v>HTLand</v>
      </c>
      <c r="C1471" s="1" t="str">
        <f>IFERROR(__xludf.DUMMYFUNCTION("""COMPUTED_VALUE"""),"Water")</f>
        <v>Water</v>
      </c>
      <c r="D1471" s="1">
        <f>IFERROR(__xludf.DUMMYFUNCTION("""COMPUTED_VALUE"""),486.0)</f>
        <v>486</v>
      </c>
      <c r="E1471" s="1">
        <f>IFERROR(__xludf.DUMMYFUNCTION("""COMPUTED_VALUE"""),357.48)</f>
        <v>357.48</v>
      </c>
      <c r="F1471" s="1">
        <f>IFERROR(__xludf.DUMMYFUNCTION("""COMPUTED_VALUE"""),459.0)</f>
        <v>459</v>
      </c>
    </row>
    <row r="1472">
      <c r="A1472" s="3">
        <f>IFERROR(__xludf.DUMMYFUNCTION("""COMPUTED_VALUE"""),46082.0)</f>
        <v>46082</v>
      </c>
      <c r="B1472" s="1" t="str">
        <f>IFERROR(__xludf.DUMMYFUNCTION("""COMPUTED_VALUE"""),"HTLand")</f>
        <v>HTLand</v>
      </c>
      <c r="C1472" s="1" t="str">
        <f>IFERROR(__xludf.DUMMYFUNCTION("""COMPUTED_VALUE"""),"X!R")</f>
        <v>X!R</v>
      </c>
      <c r="D1472" s="1">
        <f>IFERROR(__xludf.DUMMYFUNCTION("""COMPUTED_VALUE"""),660.0)</f>
        <v>660</v>
      </c>
      <c r="E1472" s="1">
        <f>IFERROR(__xludf.DUMMYFUNCTION("""COMPUTED_VALUE"""),93.72)</f>
        <v>93.72</v>
      </c>
      <c r="F1472" s="1">
        <f>IFERROR(__xludf.DUMMYFUNCTION("""COMPUTED_VALUE"""),132.0)</f>
        <v>132</v>
      </c>
    </row>
    <row r="1473">
      <c r="A1473" s="3">
        <f>IFERROR(__xludf.DUMMYFUNCTION("""COMPUTED_VALUE"""),46082.0)</f>
        <v>46082</v>
      </c>
      <c r="B1473" s="1" t="str">
        <f>IFERROR(__xludf.DUMMYFUNCTION("""COMPUTED_VALUE"""),"HTLand")</f>
        <v>HTLand</v>
      </c>
      <c r="C1473" s="1" t="str">
        <f>IFERROR(__xludf.DUMMYFUNCTION("""COMPUTED_VALUE"""),"Xo Energy")</f>
        <v>Xo Energy</v>
      </c>
      <c r="D1473" s="1">
        <f>IFERROR(__xludf.DUMMYFUNCTION("""COMPUTED_VALUE"""),30.0)</f>
        <v>30</v>
      </c>
      <c r="E1473" s="1">
        <f>IFERROR(__xludf.DUMMYFUNCTION("""COMPUTED_VALUE"""),9.3)</f>
        <v>9.3</v>
      </c>
      <c r="F1473" s="1">
        <f>IFERROR(__xludf.DUMMYFUNCTION("""COMPUTED_VALUE"""),6.0)</f>
        <v>6</v>
      </c>
    </row>
    <row r="1474">
      <c r="A1474" s="3">
        <f>IFERROR(__xludf.DUMMYFUNCTION("""COMPUTED_VALUE"""),46082.0)</f>
        <v>46082</v>
      </c>
      <c r="B1474" s="1" t="str">
        <f>IFERROR(__xludf.DUMMYFUNCTION("""COMPUTED_VALUE"""),"HTLand")</f>
        <v>HTLand</v>
      </c>
      <c r="C1474" s="1" t="str">
        <f>IFERROR(__xludf.DUMMYFUNCTION("""COMPUTED_VALUE"""),"mr bite")</f>
        <v>mr bite</v>
      </c>
      <c r="D1474" s="1">
        <f>IFERROR(__xludf.DUMMYFUNCTION("""COMPUTED_VALUE"""),315.0)</f>
        <v>315</v>
      </c>
      <c r="E1474" s="1">
        <f>IFERROR(__xludf.DUMMYFUNCTION("""COMPUTED_VALUE"""),127.05)</f>
        <v>127.05</v>
      </c>
      <c r="F1474" s="1">
        <f>IFERROR(__xludf.DUMMYFUNCTION("""COMPUTED_VALUE"""),105.0)</f>
        <v>105</v>
      </c>
    </row>
    <row r="1475">
      <c r="A1475" s="3">
        <f>IFERROR(__xludf.DUMMYFUNCTION("""COMPUTED_VALUE"""),46082.0)</f>
        <v>46082</v>
      </c>
      <c r="B1475" s="1" t="str">
        <f>IFERROR(__xludf.DUMMYFUNCTION("""COMPUTED_VALUE"""),"HTMall")</f>
        <v>HTMall</v>
      </c>
      <c r="C1475" s="1" t="str">
        <f>IFERROR(__xludf.DUMMYFUNCTION("""COMPUTED_VALUE"""),"7up")</f>
        <v>7up</v>
      </c>
      <c r="D1475" s="1">
        <f>IFERROR(__xludf.DUMMYFUNCTION("""COMPUTED_VALUE"""),78.0)</f>
        <v>78</v>
      </c>
      <c r="E1475" s="1">
        <f>IFERROR(__xludf.DUMMYFUNCTION("""COMPUTED_VALUE"""),19.5)</f>
        <v>19.5</v>
      </c>
      <c r="F1475" s="1">
        <f>IFERROR(__xludf.DUMMYFUNCTION("""COMPUTED_VALUE"""),26.0)</f>
        <v>26</v>
      </c>
    </row>
    <row r="1476">
      <c r="A1476" s="3">
        <f>IFERROR(__xludf.DUMMYFUNCTION("""COMPUTED_VALUE"""),46082.0)</f>
        <v>46082</v>
      </c>
      <c r="B1476" s="1" t="str">
        <f>IFERROR(__xludf.DUMMYFUNCTION("""COMPUTED_VALUE"""),"HTMall")</f>
        <v>HTMall</v>
      </c>
      <c r="C1476" s="1" t="str">
        <f>IFERROR(__xludf.DUMMYFUNCTION("""COMPUTED_VALUE"""),"Almarai Chocolate")</f>
        <v>Almarai Chocolate</v>
      </c>
      <c r="D1476" s="1">
        <f>IFERROR(__xludf.DUMMYFUNCTION("""COMPUTED_VALUE"""),363.5)</f>
        <v>363.5</v>
      </c>
      <c r="E1476" s="1">
        <f>IFERROR(__xludf.DUMMYFUNCTION("""COMPUTED_VALUE"""),125.34)</f>
        <v>125.34</v>
      </c>
      <c r="F1476" s="1">
        <f>IFERROR(__xludf.DUMMYFUNCTION("""COMPUTED_VALUE"""),104.0)</f>
        <v>104</v>
      </c>
    </row>
    <row r="1477">
      <c r="A1477" s="3">
        <f>IFERROR(__xludf.DUMMYFUNCTION("""COMPUTED_VALUE"""),46082.0)</f>
        <v>46082</v>
      </c>
      <c r="B1477" s="1" t="str">
        <f>IFERROR(__xludf.DUMMYFUNCTION("""COMPUTED_VALUE"""),"HTMall")</f>
        <v>HTMall</v>
      </c>
      <c r="C1477" s="1" t="str">
        <f>IFERROR(__xludf.DUMMYFUNCTION("""COMPUTED_VALUE"""),"Almarai Strawberry")</f>
        <v>Almarai Strawberry</v>
      </c>
      <c r="D1477" s="1">
        <f>IFERROR(__xludf.DUMMYFUNCTION("""COMPUTED_VALUE"""),168.0)</f>
        <v>168</v>
      </c>
      <c r="E1477" s="1">
        <f>IFERROR(__xludf.DUMMYFUNCTION("""COMPUTED_VALUE"""),58.08)</f>
        <v>58.08</v>
      </c>
      <c r="F1477" s="1">
        <f>IFERROR(__xludf.DUMMYFUNCTION("""COMPUTED_VALUE"""),48.0)</f>
        <v>48</v>
      </c>
    </row>
    <row r="1478">
      <c r="A1478" s="3">
        <f>IFERROR(__xludf.DUMMYFUNCTION("""COMPUTED_VALUE"""),46082.0)</f>
        <v>46082</v>
      </c>
      <c r="B1478" s="1" t="str">
        <f>IFERROR(__xludf.DUMMYFUNCTION("""COMPUTED_VALUE"""),"HTMall")</f>
        <v>HTMall</v>
      </c>
      <c r="C1478" s="1" t="str">
        <f>IFERROR(__xludf.DUMMYFUNCTION("""COMPUTED_VALUE"""),"Balls")</f>
        <v>Balls</v>
      </c>
      <c r="D1478" s="1">
        <f>IFERROR(__xludf.DUMMYFUNCTION("""COMPUTED_VALUE"""),206.0)</f>
        <v>206</v>
      </c>
      <c r="E1478" s="1">
        <f>IFERROR(__xludf.DUMMYFUNCTION("""COMPUTED_VALUE"""),166.0)</f>
        <v>166</v>
      </c>
      <c r="F1478" s="1">
        <f>IFERROR(__xludf.DUMMYFUNCTION("""COMPUTED_VALUE"""),100.0)</f>
        <v>100</v>
      </c>
    </row>
    <row r="1479">
      <c r="A1479" s="3">
        <f>IFERROR(__xludf.DUMMYFUNCTION("""COMPUTED_VALUE"""),46082.0)</f>
        <v>46082</v>
      </c>
      <c r="B1479" s="1" t="str">
        <f>IFERROR(__xludf.DUMMYFUNCTION("""COMPUTED_VALUE"""),"HTMall")</f>
        <v>HTMall</v>
      </c>
      <c r="C1479" s="1" t="str">
        <f>IFERROR(__xludf.DUMMYFUNCTION("""COMPUTED_VALUE"""),"BeBeto marshmello")</f>
        <v>BeBeto marshmello</v>
      </c>
      <c r="D1479" s="1">
        <f>IFERROR(__xludf.DUMMYFUNCTION("""COMPUTED_VALUE"""),154.0)</f>
        <v>154</v>
      </c>
      <c r="E1479" s="1">
        <f>IFERROR(__xludf.DUMMYFUNCTION("""COMPUTED_VALUE"""),85.24)</f>
        <v>85.24</v>
      </c>
      <c r="F1479" s="1">
        <f>IFERROR(__xludf.DUMMYFUNCTION("""COMPUTED_VALUE"""),36.0)</f>
        <v>36</v>
      </c>
    </row>
    <row r="1480">
      <c r="A1480" s="3">
        <f>IFERROR(__xludf.DUMMYFUNCTION("""COMPUTED_VALUE"""),46082.0)</f>
        <v>46082</v>
      </c>
      <c r="B1480" s="1" t="str">
        <f>IFERROR(__xludf.DUMMYFUNCTION("""COMPUTED_VALUE"""),"HTMall")</f>
        <v>HTMall</v>
      </c>
      <c r="C1480" s="1" t="str">
        <f>IFERROR(__xludf.DUMMYFUNCTION("""COMPUTED_VALUE"""),"Bounty wafer roll")</f>
        <v>Bounty wafer roll</v>
      </c>
      <c r="D1480" s="1">
        <f>IFERROR(__xludf.DUMMYFUNCTION("""COMPUTED_VALUE"""),138.0)</f>
        <v>138</v>
      </c>
      <c r="E1480" s="1">
        <f>IFERROR(__xludf.DUMMYFUNCTION("""COMPUTED_VALUE"""),63.48)</f>
        <v>63.48</v>
      </c>
      <c r="F1480" s="1">
        <f>IFERROR(__xludf.DUMMYFUNCTION("""COMPUTED_VALUE"""),69.0)</f>
        <v>69</v>
      </c>
    </row>
    <row r="1481">
      <c r="A1481" s="3">
        <f>IFERROR(__xludf.DUMMYFUNCTION("""COMPUTED_VALUE"""),46082.0)</f>
        <v>46082</v>
      </c>
      <c r="B1481" s="1" t="str">
        <f>IFERROR(__xludf.DUMMYFUNCTION("""COMPUTED_VALUE"""),"HTMall")</f>
        <v>HTMall</v>
      </c>
      <c r="C1481" s="1" t="str">
        <f>IFERROR(__xludf.DUMMYFUNCTION("""COMPUTED_VALUE"""),"Chillax chips")</f>
        <v>Chillax chips</v>
      </c>
      <c r="D1481" s="1">
        <f>IFERROR(__xludf.DUMMYFUNCTION("""COMPUTED_VALUE"""),102.0)</f>
        <v>102</v>
      </c>
      <c r="E1481" s="1">
        <f>IFERROR(__xludf.DUMMYFUNCTION("""COMPUTED_VALUE"""),42.5)</f>
        <v>42.5</v>
      </c>
      <c r="F1481" s="1">
        <f>IFERROR(__xludf.DUMMYFUNCTION("""COMPUTED_VALUE"""),17.0)</f>
        <v>17</v>
      </c>
    </row>
    <row r="1482">
      <c r="A1482" s="3">
        <f>IFERROR(__xludf.DUMMYFUNCTION("""COMPUTED_VALUE"""),46082.0)</f>
        <v>46082</v>
      </c>
      <c r="B1482" s="1" t="str">
        <f>IFERROR(__xludf.DUMMYFUNCTION("""COMPUTED_VALUE"""),"HTMall")</f>
        <v>HTMall</v>
      </c>
      <c r="C1482" s="1" t="str">
        <f>IFERROR(__xludf.DUMMYFUNCTION("""COMPUTED_VALUE"""),"Coach Suntop")</f>
        <v>Coach Suntop</v>
      </c>
      <c r="D1482" s="1">
        <f>IFERROR(__xludf.DUMMYFUNCTION("""COMPUTED_VALUE"""),209.0)</f>
        <v>209</v>
      </c>
      <c r="E1482" s="1">
        <f>IFERROR(__xludf.DUMMYFUNCTION("""COMPUTED_VALUE"""),116.75)</f>
        <v>116.75</v>
      </c>
      <c r="F1482" s="1">
        <f>IFERROR(__xludf.DUMMYFUNCTION("""COMPUTED_VALUE"""),205.0)</f>
        <v>205</v>
      </c>
    </row>
    <row r="1483">
      <c r="A1483" s="3">
        <f>IFERROR(__xludf.DUMMYFUNCTION("""COMPUTED_VALUE"""),46082.0)</f>
        <v>46082</v>
      </c>
      <c r="B1483" s="1" t="str">
        <f>IFERROR(__xludf.DUMMYFUNCTION("""COMPUTED_VALUE"""),"HTMall")</f>
        <v>HTMall</v>
      </c>
      <c r="C1483" s="1" t="str">
        <f>IFERROR(__xludf.DUMMYFUNCTION("""COMPUTED_VALUE"""),"Dallas juice")</f>
        <v>Dallas juice</v>
      </c>
      <c r="D1483" s="1">
        <f>IFERROR(__xludf.DUMMYFUNCTION("""COMPUTED_VALUE"""),102.0)</f>
        <v>102</v>
      </c>
      <c r="E1483" s="1">
        <f>IFERROR(__xludf.DUMMYFUNCTION("""COMPUTED_VALUE"""),71.06)</f>
        <v>71.06</v>
      </c>
      <c r="F1483" s="1">
        <f>IFERROR(__xludf.DUMMYFUNCTION("""COMPUTED_VALUE"""),34.0)</f>
        <v>34</v>
      </c>
    </row>
    <row r="1484">
      <c r="A1484" s="3">
        <f>IFERROR(__xludf.DUMMYFUNCTION("""COMPUTED_VALUE"""),46082.0)</f>
        <v>46082</v>
      </c>
      <c r="B1484" s="1" t="str">
        <f>IFERROR(__xludf.DUMMYFUNCTION("""COMPUTED_VALUE"""),"HTMall")</f>
        <v>HTMall</v>
      </c>
      <c r="C1484" s="1" t="str">
        <f>IFERROR(__xludf.DUMMYFUNCTION("""COMPUTED_VALUE"""),"Doritos BBQ")</f>
        <v>Doritos BBQ</v>
      </c>
      <c r="D1484" s="1">
        <f>IFERROR(__xludf.DUMMYFUNCTION("""COMPUTED_VALUE"""),210.0)</f>
        <v>210</v>
      </c>
      <c r="E1484" s="1">
        <f>IFERROR(__xludf.DUMMYFUNCTION("""COMPUTED_VALUE"""),86.94)</f>
        <v>86.94</v>
      </c>
      <c r="F1484" s="1">
        <f>IFERROR(__xludf.DUMMYFUNCTION("""COMPUTED_VALUE"""),42.0)</f>
        <v>42</v>
      </c>
    </row>
    <row r="1485">
      <c r="A1485" s="3">
        <f>IFERROR(__xludf.DUMMYFUNCTION("""COMPUTED_VALUE"""),46082.0)</f>
        <v>46082</v>
      </c>
      <c r="B1485" s="1" t="str">
        <f>IFERROR(__xludf.DUMMYFUNCTION("""COMPUTED_VALUE"""),"HTMall")</f>
        <v>HTMall</v>
      </c>
      <c r="C1485" s="1" t="str">
        <f>IFERROR(__xludf.DUMMYFUNCTION("""COMPUTED_VALUE"""),"Doritos cool ranc")</f>
        <v>Doritos cool ranc</v>
      </c>
      <c r="D1485" s="1">
        <f>IFERROR(__xludf.DUMMYFUNCTION("""COMPUTED_VALUE"""),1545.0)</f>
        <v>1545</v>
      </c>
      <c r="E1485" s="1">
        <f>IFERROR(__xludf.DUMMYFUNCTION("""COMPUTED_VALUE"""),666.0)</f>
        <v>666</v>
      </c>
      <c r="F1485" s="1">
        <f>IFERROR(__xludf.DUMMYFUNCTION("""COMPUTED_VALUE"""),300.0)</f>
        <v>300</v>
      </c>
    </row>
    <row r="1486">
      <c r="A1486" s="3">
        <f>IFERROR(__xludf.DUMMYFUNCTION("""COMPUTED_VALUE"""),46082.0)</f>
        <v>46082</v>
      </c>
      <c r="B1486" s="1" t="str">
        <f>IFERROR(__xludf.DUMMYFUNCTION("""COMPUTED_VALUE"""),"HTMall")</f>
        <v>HTMall</v>
      </c>
      <c r="C1486" s="1" t="str">
        <f>IFERROR(__xludf.DUMMYFUNCTION("""COMPUTED_VALUE"""),"Doritos green hot")</f>
        <v>Doritos green hot</v>
      </c>
      <c r="D1486" s="1">
        <f>IFERROR(__xludf.DUMMYFUNCTION("""COMPUTED_VALUE"""),400.0)</f>
        <v>400</v>
      </c>
      <c r="E1486" s="1">
        <f>IFERROR(__xludf.DUMMYFUNCTION("""COMPUTED_VALUE"""),165.6)</f>
        <v>165.6</v>
      </c>
      <c r="F1486" s="1">
        <f>IFERROR(__xludf.DUMMYFUNCTION("""COMPUTED_VALUE"""),80.0)</f>
        <v>80</v>
      </c>
    </row>
    <row r="1487">
      <c r="A1487" s="3">
        <f>IFERROR(__xludf.DUMMYFUNCTION("""COMPUTED_VALUE"""),46082.0)</f>
        <v>46082</v>
      </c>
      <c r="B1487" s="1" t="str">
        <f>IFERROR(__xludf.DUMMYFUNCTION("""COMPUTED_VALUE"""),"HTMall")</f>
        <v>HTMall</v>
      </c>
      <c r="C1487" s="1" t="str">
        <f>IFERROR(__xludf.DUMMYFUNCTION("""COMPUTED_VALUE"""),"Doritos nacho")</f>
        <v>Doritos nacho</v>
      </c>
      <c r="D1487" s="1">
        <f>IFERROR(__xludf.DUMMYFUNCTION("""COMPUTED_VALUE"""),827.0)</f>
        <v>827</v>
      </c>
      <c r="E1487" s="1">
        <f>IFERROR(__xludf.DUMMYFUNCTION("""COMPUTED_VALUE"""),358.2)</f>
        <v>358.2</v>
      </c>
      <c r="F1487" s="1">
        <f>IFERROR(__xludf.DUMMYFUNCTION("""COMPUTED_VALUE"""),160.0)</f>
        <v>160</v>
      </c>
    </row>
    <row r="1488">
      <c r="A1488" s="3">
        <f>IFERROR(__xludf.DUMMYFUNCTION("""COMPUTED_VALUE"""),46082.0)</f>
        <v>46082</v>
      </c>
      <c r="B1488" s="1" t="str">
        <f>IFERROR(__xludf.DUMMYFUNCTION("""COMPUTED_VALUE"""),"HTMall")</f>
        <v>HTMall</v>
      </c>
      <c r="C1488" s="1" t="str">
        <f>IFERROR(__xludf.DUMMYFUNCTION("""COMPUTED_VALUE"""),"Doritos red hot")</f>
        <v>Doritos red hot</v>
      </c>
      <c r="D1488" s="1">
        <f>IFERROR(__xludf.DUMMYFUNCTION("""COMPUTED_VALUE"""),310.0)</f>
        <v>310</v>
      </c>
      <c r="E1488" s="1">
        <f>IFERROR(__xludf.DUMMYFUNCTION("""COMPUTED_VALUE"""),128.34)</f>
        <v>128.34</v>
      </c>
      <c r="F1488" s="1">
        <f>IFERROR(__xludf.DUMMYFUNCTION("""COMPUTED_VALUE"""),62.0)</f>
        <v>62</v>
      </c>
    </row>
    <row r="1489">
      <c r="A1489" s="3">
        <f>IFERROR(__xludf.DUMMYFUNCTION("""COMPUTED_VALUE"""),46082.0)</f>
        <v>46082</v>
      </c>
      <c r="B1489" s="1" t="str">
        <f>IFERROR(__xludf.DUMMYFUNCTION("""COMPUTED_VALUE"""),"HTMall")</f>
        <v>HTMall</v>
      </c>
      <c r="C1489" s="1" t="str">
        <f>IFERROR(__xludf.DUMMYFUNCTION("""COMPUTED_VALUE"""),"Galaxy wafer roll")</f>
        <v>Galaxy wafer roll</v>
      </c>
      <c r="D1489" s="1">
        <f>IFERROR(__xludf.DUMMYFUNCTION("""COMPUTED_VALUE"""),300.0)</f>
        <v>300</v>
      </c>
      <c r="E1489" s="1">
        <f>IFERROR(__xludf.DUMMYFUNCTION("""COMPUTED_VALUE"""),138.0)</f>
        <v>138</v>
      </c>
      <c r="F1489" s="1">
        <f>IFERROR(__xludf.DUMMYFUNCTION("""COMPUTED_VALUE"""),150.0)</f>
        <v>150</v>
      </c>
    </row>
    <row r="1490">
      <c r="A1490" s="3">
        <f>IFERROR(__xludf.DUMMYFUNCTION("""COMPUTED_VALUE"""),46082.0)</f>
        <v>46082</v>
      </c>
      <c r="B1490" s="1" t="str">
        <f>IFERROR(__xludf.DUMMYFUNCTION("""COMPUTED_VALUE"""),"HTMall")</f>
        <v>HTMall</v>
      </c>
      <c r="C1490" s="1" t="str">
        <f>IFERROR(__xludf.DUMMYFUNCTION("""COMPUTED_VALUE"""),"Gardena")</f>
        <v>Gardena</v>
      </c>
      <c r="D1490" s="1">
        <f>IFERROR(__xludf.DUMMYFUNCTION("""COMPUTED_VALUE"""),81.5)</f>
        <v>81.5</v>
      </c>
      <c r="E1490" s="1">
        <f>IFERROR(__xludf.DUMMYFUNCTION("""COMPUTED_VALUE"""),-12.0)</f>
        <v>-12</v>
      </c>
      <c r="F1490" s="1">
        <f>IFERROR(__xludf.DUMMYFUNCTION("""COMPUTED_VALUE"""),17.0)</f>
        <v>17</v>
      </c>
    </row>
    <row r="1491">
      <c r="A1491" s="3">
        <f>IFERROR(__xludf.DUMMYFUNCTION("""COMPUTED_VALUE"""),46082.0)</f>
        <v>46082</v>
      </c>
      <c r="B1491" s="1" t="str">
        <f>IFERROR(__xludf.DUMMYFUNCTION("""COMPUTED_VALUE"""),"HTMall")</f>
        <v>HTMall</v>
      </c>
      <c r="C1491" s="1" t="str">
        <f>IFERROR(__xludf.DUMMYFUNCTION("""COMPUTED_VALUE"""),"Haribo")</f>
        <v>Haribo</v>
      </c>
      <c r="D1491" s="1">
        <f>IFERROR(__xludf.DUMMYFUNCTION("""COMPUTED_VALUE"""),369.0)</f>
        <v>369</v>
      </c>
      <c r="E1491" s="1">
        <f>IFERROR(__xludf.DUMMYFUNCTION("""COMPUTED_VALUE"""),118.08)</f>
        <v>118.08</v>
      </c>
      <c r="F1491" s="1">
        <f>IFERROR(__xludf.DUMMYFUNCTION("""COMPUTED_VALUE"""),123.0)</f>
        <v>123</v>
      </c>
    </row>
    <row r="1492">
      <c r="A1492" s="3">
        <f>IFERROR(__xludf.DUMMYFUNCTION("""COMPUTED_VALUE"""),46082.0)</f>
        <v>46082</v>
      </c>
      <c r="B1492" s="1" t="str">
        <f>IFERROR(__xludf.DUMMYFUNCTION("""COMPUTED_VALUE"""),"HTMall")</f>
        <v>HTMall</v>
      </c>
      <c r="C1492" s="1" t="str">
        <f>IFERROR(__xludf.DUMMYFUNCTION("""COMPUTED_VALUE"""),"Kinder Bueno")</f>
        <v>Kinder Bueno</v>
      </c>
      <c r="D1492" s="1">
        <f>IFERROR(__xludf.DUMMYFUNCTION("""COMPUTED_VALUE"""),34.0)</f>
        <v>34</v>
      </c>
      <c r="E1492" s="1">
        <f>IFERROR(__xludf.DUMMYFUNCTION("""COMPUTED_VALUE"""),6.0)</f>
        <v>6</v>
      </c>
      <c r="F1492" s="1">
        <f>IFERROR(__xludf.DUMMYFUNCTION("""COMPUTED_VALUE"""),4.0)</f>
        <v>4</v>
      </c>
    </row>
    <row r="1493">
      <c r="A1493" s="3">
        <f>IFERROR(__xludf.DUMMYFUNCTION("""COMPUTED_VALUE"""),46082.0)</f>
        <v>46082</v>
      </c>
      <c r="B1493" s="1" t="str">
        <f>IFERROR(__xludf.DUMMYFUNCTION("""COMPUTED_VALUE"""),"HTMall")</f>
        <v>HTMall</v>
      </c>
      <c r="C1493" s="1" t="str">
        <f>IFERROR(__xludf.DUMMYFUNCTION("""COMPUTED_VALUE"""),"Laviva")</f>
        <v>Laviva</v>
      </c>
      <c r="D1493" s="1">
        <f>IFERROR(__xludf.DUMMYFUNCTION("""COMPUTED_VALUE"""),451.0)</f>
        <v>451</v>
      </c>
      <c r="E1493" s="1">
        <f>IFERROR(__xludf.DUMMYFUNCTION("""COMPUTED_VALUE"""),163.0)</f>
        <v>163</v>
      </c>
      <c r="F1493" s="1">
        <f>IFERROR(__xludf.DUMMYFUNCTION("""COMPUTED_VALUE"""),128.0)</f>
        <v>128</v>
      </c>
    </row>
    <row r="1494">
      <c r="A1494" s="3">
        <f>IFERROR(__xludf.DUMMYFUNCTION("""COMPUTED_VALUE"""),46082.0)</f>
        <v>46082</v>
      </c>
      <c r="B1494" s="1" t="str">
        <f>IFERROR(__xludf.DUMMYFUNCTION("""COMPUTED_VALUE"""),"HTMall")</f>
        <v>HTMall</v>
      </c>
      <c r="C1494" s="1" t="str">
        <f>IFERROR(__xludf.DUMMYFUNCTION("""COMPUTED_VALUE"""),"MR Crunch")</f>
        <v>MR Crunch</v>
      </c>
      <c r="D1494" s="1">
        <f>IFERROR(__xludf.DUMMYFUNCTION("""COMPUTED_VALUE"""),975.0)</f>
        <v>975</v>
      </c>
      <c r="E1494" s="1">
        <f>IFERROR(__xludf.DUMMYFUNCTION("""COMPUTED_VALUE"""),408.0)</f>
        <v>408</v>
      </c>
      <c r="F1494" s="1">
        <f>IFERROR(__xludf.DUMMYFUNCTION("""COMPUTED_VALUE"""),189.0)</f>
        <v>189</v>
      </c>
    </row>
    <row r="1495">
      <c r="A1495" s="3">
        <f>IFERROR(__xludf.DUMMYFUNCTION("""COMPUTED_VALUE"""),46082.0)</f>
        <v>46082</v>
      </c>
      <c r="B1495" s="1" t="str">
        <f>IFERROR(__xludf.DUMMYFUNCTION("""COMPUTED_VALUE"""),"HTMall")</f>
        <v>HTMall</v>
      </c>
      <c r="C1495" s="1" t="str">
        <f>IFERROR(__xludf.DUMMYFUNCTION("""COMPUTED_VALUE"""),"Mars")</f>
        <v>Mars</v>
      </c>
      <c r="D1495" s="1">
        <f>IFERROR(__xludf.DUMMYFUNCTION("""COMPUTED_VALUE"""),2.0)</f>
        <v>2</v>
      </c>
      <c r="E1495" s="1">
        <f>IFERROR(__xludf.DUMMYFUNCTION("""COMPUTED_VALUE"""),-3.5)</f>
        <v>-3.5</v>
      </c>
      <c r="F1495" s="1">
        <f>IFERROR(__xludf.DUMMYFUNCTION("""COMPUTED_VALUE"""),1.0)</f>
        <v>1</v>
      </c>
    </row>
    <row r="1496">
      <c r="A1496" s="3">
        <f>IFERROR(__xludf.DUMMYFUNCTION("""COMPUTED_VALUE"""),46082.0)</f>
        <v>46082</v>
      </c>
      <c r="B1496" s="1" t="str">
        <f>IFERROR(__xludf.DUMMYFUNCTION("""COMPUTED_VALUE"""),"HTMall")</f>
        <v>HTMall</v>
      </c>
      <c r="C1496" s="1" t="str">
        <f>IFERROR(__xludf.DUMMYFUNCTION("""COMPUTED_VALUE"""),"Mirinda")</f>
        <v>Mirinda</v>
      </c>
      <c r="D1496" s="1">
        <f>IFERROR(__xludf.DUMMYFUNCTION("""COMPUTED_VALUE"""),300.0)</f>
        <v>300</v>
      </c>
      <c r="E1496" s="1">
        <f>IFERROR(__xludf.DUMMYFUNCTION("""COMPUTED_VALUE"""),75.0)</f>
        <v>75</v>
      </c>
      <c r="F1496" s="1">
        <f>IFERROR(__xludf.DUMMYFUNCTION("""COMPUTED_VALUE"""),100.0)</f>
        <v>100</v>
      </c>
    </row>
    <row r="1497">
      <c r="A1497" s="3">
        <f>IFERROR(__xludf.DUMMYFUNCTION("""COMPUTED_VALUE"""),46082.0)</f>
        <v>46082</v>
      </c>
      <c r="B1497" s="1" t="str">
        <f>IFERROR(__xludf.DUMMYFUNCTION("""COMPUTED_VALUE"""),"HTMall")</f>
        <v>HTMall</v>
      </c>
      <c r="C1497" s="1" t="str">
        <f>IFERROR(__xludf.DUMMYFUNCTION("""COMPUTED_VALUE"""),"Mrbeast")</f>
        <v>Mrbeast</v>
      </c>
      <c r="D1497" s="1">
        <f>IFERROR(__xludf.DUMMYFUNCTION("""COMPUTED_VALUE"""),1720.0)</f>
        <v>1720</v>
      </c>
      <c r="E1497" s="1">
        <f>IFERROR(__xludf.DUMMYFUNCTION("""COMPUTED_VALUE"""),1204.0)</f>
        <v>1204</v>
      </c>
      <c r="F1497" s="1">
        <f>IFERROR(__xludf.DUMMYFUNCTION("""COMPUTED_VALUE"""),172.0)</f>
        <v>172</v>
      </c>
    </row>
    <row r="1498">
      <c r="A1498" s="3">
        <f>IFERROR(__xludf.DUMMYFUNCTION("""COMPUTED_VALUE"""),46082.0)</f>
        <v>46082</v>
      </c>
      <c r="B1498" s="1" t="str">
        <f>IFERROR(__xludf.DUMMYFUNCTION("""COMPUTED_VALUE"""),"HTMall")</f>
        <v>HTMall</v>
      </c>
      <c r="C1498" s="1" t="str">
        <f>IFERROR(__xludf.DUMMYFUNCTION("""COMPUTED_VALUE"""),"Pepsi")</f>
        <v>Pepsi</v>
      </c>
      <c r="D1498" s="1">
        <f>IFERROR(__xludf.DUMMYFUNCTION("""COMPUTED_VALUE"""),588.0)</f>
        <v>588</v>
      </c>
      <c r="E1498" s="1">
        <f>IFERROR(__xludf.DUMMYFUNCTION("""COMPUTED_VALUE"""),147.0)</f>
        <v>147</v>
      </c>
      <c r="F1498" s="1">
        <f>IFERROR(__xludf.DUMMYFUNCTION("""COMPUTED_VALUE"""),196.0)</f>
        <v>196</v>
      </c>
    </row>
    <row r="1499">
      <c r="A1499" s="3">
        <f>IFERROR(__xludf.DUMMYFUNCTION("""COMPUTED_VALUE"""),46082.0)</f>
        <v>46082</v>
      </c>
      <c r="B1499" s="1" t="str">
        <f>IFERROR(__xludf.DUMMYFUNCTION("""COMPUTED_VALUE"""),"HTMall")</f>
        <v>HTMall</v>
      </c>
      <c r="C1499" s="1" t="str">
        <f>IFERROR(__xludf.DUMMYFUNCTION("""COMPUTED_VALUE"""),"Schweppes")</f>
        <v>Schweppes</v>
      </c>
      <c r="D1499" s="1">
        <f>IFERROR(__xludf.DUMMYFUNCTION("""COMPUTED_VALUE"""),21.0)</f>
        <v>21</v>
      </c>
      <c r="E1499" s="1">
        <f>IFERROR(__xludf.DUMMYFUNCTION("""COMPUTED_VALUE"""),7.0)</f>
        <v>7</v>
      </c>
      <c r="F1499" s="1">
        <f>IFERROR(__xludf.DUMMYFUNCTION("""COMPUTED_VALUE"""),7.0)</f>
        <v>7</v>
      </c>
    </row>
    <row r="1500">
      <c r="A1500" s="3">
        <f>IFERROR(__xludf.DUMMYFUNCTION("""COMPUTED_VALUE"""),46082.0)</f>
        <v>46082</v>
      </c>
      <c r="B1500" s="1" t="str">
        <f>IFERROR(__xludf.DUMMYFUNCTION("""COMPUTED_VALUE"""),"HTMall")</f>
        <v>HTMall</v>
      </c>
      <c r="C1500" s="1" t="str">
        <f>IFERROR(__xludf.DUMMYFUNCTION("""COMPUTED_VALUE"""),"Schweppes bullet")</f>
        <v>Schweppes bullet</v>
      </c>
      <c r="D1500" s="1">
        <f>IFERROR(__xludf.DUMMYFUNCTION("""COMPUTED_VALUE"""),108.0)</f>
        <v>108</v>
      </c>
      <c r="E1500" s="1">
        <f>IFERROR(__xludf.DUMMYFUNCTION("""COMPUTED_VALUE"""),45.0)</f>
        <v>45</v>
      </c>
      <c r="F1500" s="1">
        <f>IFERROR(__xludf.DUMMYFUNCTION("""COMPUTED_VALUE"""),36.0)</f>
        <v>36</v>
      </c>
    </row>
    <row r="1501">
      <c r="A1501" s="3">
        <f>IFERROR(__xludf.DUMMYFUNCTION("""COMPUTED_VALUE"""),46082.0)</f>
        <v>46082</v>
      </c>
      <c r="B1501" s="1" t="str">
        <f>IFERROR(__xludf.DUMMYFUNCTION("""COMPUTED_VALUE"""),"HTMall")</f>
        <v>HTMall</v>
      </c>
      <c r="C1501" s="1" t="str">
        <f>IFERROR(__xludf.DUMMYFUNCTION("""COMPUTED_VALUE"""),"Shani")</f>
        <v>Shani</v>
      </c>
      <c r="D1501" s="1">
        <f>IFERROR(__xludf.DUMMYFUNCTION("""COMPUTED_VALUE"""),228.0)</f>
        <v>228</v>
      </c>
      <c r="E1501" s="1">
        <f>IFERROR(__xludf.DUMMYFUNCTION("""COMPUTED_VALUE"""),57.0)</f>
        <v>57</v>
      </c>
      <c r="F1501" s="1">
        <f>IFERROR(__xludf.DUMMYFUNCTION("""COMPUTED_VALUE"""),76.0)</f>
        <v>76</v>
      </c>
    </row>
    <row r="1502">
      <c r="A1502" s="3">
        <f>IFERROR(__xludf.DUMMYFUNCTION("""COMPUTED_VALUE"""),46082.0)</f>
        <v>46082</v>
      </c>
      <c r="B1502" s="1" t="str">
        <f>IFERROR(__xludf.DUMMYFUNCTION("""COMPUTED_VALUE"""),"HTMall")</f>
        <v>HTMall</v>
      </c>
      <c r="C1502" s="1" t="str">
        <f>IFERROR(__xludf.DUMMYFUNCTION("""COMPUTED_VALUE"""),"Snickers")</f>
        <v>Snickers</v>
      </c>
      <c r="D1502" s="1">
        <f>IFERROR(__xludf.DUMMYFUNCTION("""COMPUTED_VALUE"""),27.0)</f>
        <v>27</v>
      </c>
      <c r="E1502" s="1">
        <f>IFERROR(__xludf.DUMMYFUNCTION("""COMPUTED_VALUE"""),6.2)</f>
        <v>6.2</v>
      </c>
      <c r="F1502" s="1">
        <f>IFERROR(__xludf.DUMMYFUNCTION("""COMPUTED_VALUE"""),4.0)</f>
        <v>4</v>
      </c>
    </row>
    <row r="1503">
      <c r="A1503" s="3">
        <f>IFERROR(__xludf.DUMMYFUNCTION("""COMPUTED_VALUE"""),46082.0)</f>
        <v>46082</v>
      </c>
      <c r="B1503" s="1" t="str">
        <f>IFERROR(__xludf.DUMMYFUNCTION("""COMPUTED_VALUE"""),"HTMall")</f>
        <v>HTMall</v>
      </c>
      <c r="C1503" s="1" t="str">
        <f>IFERROR(__xludf.DUMMYFUNCTION("""COMPUTED_VALUE"""),"Snickers wafer roll")</f>
        <v>Snickers wafer roll</v>
      </c>
      <c r="D1503" s="1">
        <f>IFERROR(__xludf.DUMMYFUNCTION("""COMPUTED_VALUE"""),198.0)</f>
        <v>198</v>
      </c>
      <c r="E1503" s="1">
        <f>IFERROR(__xludf.DUMMYFUNCTION("""COMPUTED_VALUE"""),87.12)</f>
        <v>87.12</v>
      </c>
      <c r="F1503" s="1">
        <f>IFERROR(__xludf.DUMMYFUNCTION("""COMPUTED_VALUE"""),99.0)</f>
        <v>99</v>
      </c>
    </row>
    <row r="1504">
      <c r="A1504" s="3">
        <f>IFERROR(__xludf.DUMMYFUNCTION("""COMPUTED_VALUE"""),46082.0)</f>
        <v>46082</v>
      </c>
      <c r="B1504" s="1" t="str">
        <f>IFERROR(__xludf.DUMMYFUNCTION("""COMPUTED_VALUE"""),"HTMall")</f>
        <v>HTMall</v>
      </c>
      <c r="C1504" s="1" t="str">
        <f>IFERROR(__xludf.DUMMYFUNCTION("""COMPUTED_VALUE"""),"Sweeto jelly")</f>
        <v>Sweeto jelly</v>
      </c>
      <c r="D1504" s="1">
        <f>IFERROR(__xludf.DUMMYFUNCTION("""COMPUTED_VALUE"""),832.0)</f>
        <v>832</v>
      </c>
      <c r="E1504" s="1">
        <f>IFERROR(__xludf.DUMMYFUNCTION("""COMPUTED_VALUE"""),228.1)</f>
        <v>228.1</v>
      </c>
      <c r="F1504" s="1">
        <f>IFERROR(__xludf.DUMMYFUNCTION("""COMPUTED_VALUE"""),165.0)</f>
        <v>165</v>
      </c>
    </row>
    <row r="1505">
      <c r="A1505" s="3">
        <f>IFERROR(__xludf.DUMMYFUNCTION("""COMPUTED_VALUE"""),46082.0)</f>
        <v>46082</v>
      </c>
      <c r="B1505" s="1" t="str">
        <f>IFERROR(__xludf.DUMMYFUNCTION("""COMPUTED_VALUE"""),"HTMall")</f>
        <v>HTMall</v>
      </c>
      <c r="C1505" s="1" t="str">
        <f>IFERROR(__xludf.DUMMYFUNCTION("""COMPUTED_VALUE"""),"Tiger excellence")</f>
        <v>Tiger excellence</v>
      </c>
      <c r="D1505" s="1">
        <f>IFERROR(__xludf.DUMMYFUNCTION("""COMPUTED_VALUE"""),301.0)</f>
        <v>301</v>
      </c>
      <c r="E1505" s="1">
        <f>IFERROR(__xludf.DUMMYFUNCTION("""COMPUTED_VALUE"""),168.25)</f>
        <v>168.25</v>
      </c>
      <c r="F1505" s="1">
        <f>IFERROR(__xludf.DUMMYFUNCTION("""COMPUTED_VALUE"""),59.0)</f>
        <v>59</v>
      </c>
    </row>
    <row r="1506">
      <c r="A1506" s="3">
        <f>IFERROR(__xludf.DUMMYFUNCTION("""COMPUTED_VALUE"""),46082.0)</f>
        <v>46082</v>
      </c>
      <c r="B1506" s="1" t="str">
        <f>IFERROR(__xludf.DUMMYFUNCTION("""COMPUTED_VALUE"""),"HTMall")</f>
        <v>HTMall</v>
      </c>
      <c r="C1506" s="1" t="str">
        <f>IFERROR(__xludf.DUMMYFUNCTION("""COMPUTED_VALUE"""),"Turbo strips")</f>
        <v>Turbo strips</v>
      </c>
      <c r="D1506" s="1">
        <f>IFERROR(__xludf.DUMMYFUNCTION("""COMPUTED_VALUE"""),429.0)</f>
        <v>429</v>
      </c>
      <c r="E1506" s="1">
        <f>IFERROR(__xludf.DUMMYFUNCTION("""COMPUTED_VALUE"""),86.28)</f>
        <v>86.28</v>
      </c>
      <c r="F1506" s="1">
        <f>IFERROR(__xludf.DUMMYFUNCTION("""COMPUTED_VALUE"""),84.0)</f>
        <v>84</v>
      </c>
    </row>
    <row r="1507">
      <c r="A1507" s="3">
        <f>IFERROR(__xludf.DUMMYFUNCTION("""COMPUTED_VALUE"""),46082.0)</f>
        <v>46082</v>
      </c>
      <c r="B1507" s="1" t="str">
        <f>IFERROR(__xludf.DUMMYFUNCTION("""COMPUTED_VALUE"""),"HTMall")</f>
        <v>HTMall</v>
      </c>
      <c r="C1507" s="1" t="str">
        <f>IFERROR(__xludf.DUMMYFUNCTION("""COMPUTED_VALUE"""),"Twix")</f>
        <v>Twix</v>
      </c>
      <c r="D1507" s="1">
        <f>IFERROR(__xludf.DUMMYFUNCTION("""COMPUTED_VALUE"""),28.0)</f>
        <v>28</v>
      </c>
      <c r="E1507" s="1">
        <f>IFERROR(__xludf.DUMMYFUNCTION("""COMPUTED_VALUE"""),8.0)</f>
        <v>8</v>
      </c>
      <c r="F1507" s="1">
        <f>IFERROR(__xludf.DUMMYFUNCTION("""COMPUTED_VALUE"""),4.0)</f>
        <v>4</v>
      </c>
    </row>
    <row r="1508">
      <c r="A1508" s="3">
        <f>IFERROR(__xludf.DUMMYFUNCTION("""COMPUTED_VALUE"""),46082.0)</f>
        <v>46082</v>
      </c>
      <c r="B1508" s="1" t="str">
        <f>IFERROR(__xludf.DUMMYFUNCTION("""COMPUTED_VALUE"""),"HTMall")</f>
        <v>HTMall</v>
      </c>
      <c r="C1508" s="1" t="str">
        <f>IFERROR(__xludf.DUMMYFUNCTION("""COMPUTED_VALUE"""),"Twix wafer roll")</f>
        <v>Twix wafer roll</v>
      </c>
      <c r="D1508" s="1">
        <f>IFERROR(__xludf.DUMMYFUNCTION("""COMPUTED_VALUE"""),166.0)</f>
        <v>166</v>
      </c>
      <c r="E1508" s="1">
        <f>IFERROR(__xludf.DUMMYFUNCTION("""COMPUTED_VALUE"""),76.36)</f>
        <v>76.36</v>
      </c>
      <c r="F1508" s="1">
        <f>IFERROR(__xludf.DUMMYFUNCTION("""COMPUTED_VALUE"""),83.0)</f>
        <v>83</v>
      </c>
    </row>
    <row r="1509">
      <c r="A1509" s="3">
        <f>IFERROR(__xludf.DUMMYFUNCTION("""COMPUTED_VALUE"""),46082.0)</f>
        <v>46082</v>
      </c>
      <c r="B1509" s="1" t="str">
        <f>IFERROR(__xludf.DUMMYFUNCTION("""COMPUTED_VALUE"""),"HTMall")</f>
        <v>HTMall</v>
      </c>
      <c r="C1509" s="1" t="str">
        <f>IFERROR(__xludf.DUMMYFUNCTION("""COMPUTED_VALUE"""),"Water")</f>
        <v>Water</v>
      </c>
      <c r="D1509" s="1">
        <f>IFERROR(__xludf.DUMMYFUNCTION("""COMPUTED_VALUE"""),1096.0)</f>
        <v>1096</v>
      </c>
      <c r="E1509" s="1">
        <f>IFERROR(__xludf.DUMMYFUNCTION("""COMPUTED_VALUE"""),789.12)</f>
        <v>789.12</v>
      </c>
      <c r="F1509" s="1">
        <f>IFERROR(__xludf.DUMMYFUNCTION("""COMPUTED_VALUE"""),1096.0)</f>
        <v>1096</v>
      </c>
    </row>
    <row r="1510">
      <c r="A1510" s="3">
        <f>IFERROR(__xludf.DUMMYFUNCTION("""COMPUTED_VALUE"""),46082.0)</f>
        <v>46082</v>
      </c>
      <c r="B1510" s="1" t="str">
        <f>IFERROR(__xludf.DUMMYFUNCTION("""COMPUTED_VALUE"""),"HTMall")</f>
        <v>HTMall</v>
      </c>
      <c r="C1510" s="1" t="str">
        <f>IFERROR(__xludf.DUMMYFUNCTION("""COMPUTED_VALUE"""),"X!R")</f>
        <v>X!R</v>
      </c>
      <c r="D1510" s="1">
        <f>IFERROR(__xludf.DUMMYFUNCTION("""COMPUTED_VALUE"""),1380.0)</f>
        <v>1380</v>
      </c>
      <c r="E1510" s="1">
        <f>IFERROR(__xludf.DUMMYFUNCTION("""COMPUTED_VALUE"""),195.96)</f>
        <v>195.96</v>
      </c>
      <c r="F1510" s="1">
        <f>IFERROR(__xludf.DUMMYFUNCTION("""COMPUTED_VALUE"""),276.0)</f>
        <v>276</v>
      </c>
    </row>
    <row r="1511">
      <c r="A1511" s="3">
        <f>IFERROR(__xludf.DUMMYFUNCTION("""COMPUTED_VALUE"""),46082.0)</f>
        <v>46082</v>
      </c>
      <c r="B1511" s="1" t="str">
        <f>IFERROR(__xludf.DUMMYFUNCTION("""COMPUTED_VALUE"""),"HTMall")</f>
        <v>HTMall</v>
      </c>
      <c r="C1511" s="1" t="str">
        <f>IFERROR(__xludf.DUMMYFUNCTION("""COMPUTED_VALUE"""),"Yupi")</f>
        <v>Yupi</v>
      </c>
      <c r="D1511" s="1">
        <f>IFERROR(__xludf.DUMMYFUNCTION("""COMPUTED_VALUE"""),114.0)</f>
        <v>114</v>
      </c>
      <c r="E1511" s="1">
        <f>IFERROR(__xludf.DUMMYFUNCTION("""COMPUTED_VALUE"""),45.98)</f>
        <v>45.98</v>
      </c>
      <c r="F1511" s="1">
        <f>IFERROR(__xludf.DUMMYFUNCTION("""COMPUTED_VALUE"""),38.0)</f>
        <v>38</v>
      </c>
    </row>
    <row r="1512">
      <c r="A1512" s="3">
        <f>IFERROR(__xludf.DUMMYFUNCTION("""COMPUTED_VALUE"""),46082.0)</f>
        <v>46082</v>
      </c>
      <c r="B1512" s="1" t="str">
        <f>IFERROR(__xludf.DUMMYFUNCTION("""COMPUTED_VALUE"""),"HTMall")</f>
        <v>HTMall</v>
      </c>
      <c r="C1512" s="1" t="str">
        <f>IFERROR(__xludf.DUMMYFUNCTION("""COMPUTED_VALUE"""),"mr bite")</f>
        <v>mr bite</v>
      </c>
      <c r="D1512" s="1">
        <f>IFERROR(__xludf.DUMMYFUNCTION("""COMPUTED_VALUE"""),234.0)</f>
        <v>234</v>
      </c>
      <c r="E1512" s="1">
        <f>IFERROR(__xludf.DUMMYFUNCTION("""COMPUTED_VALUE"""),94.38)</f>
        <v>94.38</v>
      </c>
      <c r="F1512" s="1">
        <f>IFERROR(__xludf.DUMMYFUNCTION("""COMPUTED_VALUE"""),78.0)</f>
        <v>78</v>
      </c>
    </row>
    <row r="1513">
      <c r="A1513" s="3">
        <f>IFERROR(__xludf.DUMMYFUNCTION("""COMPUTED_VALUE"""),46082.0)</f>
        <v>46082</v>
      </c>
      <c r="B1513" s="1" t="str">
        <f>IFERROR(__xludf.DUMMYFUNCTION("""COMPUTED_VALUE"""),"HTMall")</f>
        <v>HTMall</v>
      </c>
      <c r="C1513" s="1" t="str">
        <f>IFERROR(__xludf.DUMMYFUNCTION("""COMPUTED_VALUE"""),"未设置")</f>
        <v>未设置</v>
      </c>
      <c r="D1513" s="1">
        <f>IFERROR(__xludf.DUMMYFUNCTION("""COMPUTED_VALUE"""),114.0)</f>
        <v>114</v>
      </c>
      <c r="E1513" s="1">
        <f>IFERROR(__xludf.DUMMYFUNCTION("""COMPUTED_VALUE"""),114.0)</f>
        <v>114</v>
      </c>
      <c r="F1513" s="1">
        <f>IFERROR(__xludf.DUMMYFUNCTION("""COMPUTED_VALUE"""),57.0)</f>
        <v>57</v>
      </c>
    </row>
    <row r="1514">
      <c r="A1514" s="3">
        <f>IFERROR(__xludf.DUMMYFUNCTION("""COMPUTED_VALUE"""),46082.0)</f>
        <v>46082</v>
      </c>
      <c r="B1514" s="1" t="str">
        <f>IFERROR(__xludf.DUMMYFUNCTION("""COMPUTED_VALUE"""),"HospAlmoa")</f>
        <v>HospAlmoa</v>
      </c>
      <c r="C1514" s="1" t="str">
        <f>IFERROR(__xludf.DUMMYFUNCTION("""COMPUTED_VALUE"""),"7up")</f>
        <v>7up</v>
      </c>
      <c r="D1514" s="1">
        <f>IFERROR(__xludf.DUMMYFUNCTION("""COMPUTED_VALUE"""),9.0)</f>
        <v>9</v>
      </c>
      <c r="E1514" s="1">
        <f>IFERROR(__xludf.DUMMYFUNCTION("""COMPUTED_VALUE"""),2.25)</f>
        <v>2.25</v>
      </c>
      <c r="F1514" s="1">
        <f>IFERROR(__xludf.DUMMYFUNCTION("""COMPUTED_VALUE"""),3.0)</f>
        <v>3</v>
      </c>
    </row>
    <row r="1515">
      <c r="A1515" s="3">
        <f>IFERROR(__xludf.DUMMYFUNCTION("""COMPUTED_VALUE"""),46082.0)</f>
        <v>46082</v>
      </c>
      <c r="B1515" s="1" t="str">
        <f>IFERROR(__xludf.DUMMYFUNCTION("""COMPUTED_VALUE"""),"HospAlmoa")</f>
        <v>HospAlmoa</v>
      </c>
      <c r="C1515" s="1" t="str">
        <f>IFERROR(__xludf.DUMMYFUNCTION("""COMPUTED_VALUE"""),"Almarai Chocolate")</f>
        <v>Almarai Chocolate</v>
      </c>
      <c r="D1515" s="1">
        <f>IFERROR(__xludf.DUMMYFUNCTION("""COMPUTED_VALUE"""),64.0)</f>
        <v>64</v>
      </c>
      <c r="E1515" s="1">
        <f>IFERROR(__xludf.DUMMYFUNCTION("""COMPUTED_VALUE"""),15.91)</f>
        <v>15.91</v>
      </c>
      <c r="F1515" s="1">
        <f>IFERROR(__xludf.DUMMYFUNCTION("""COMPUTED_VALUE"""),21.0)</f>
        <v>21</v>
      </c>
    </row>
    <row r="1516">
      <c r="A1516" s="3">
        <f>IFERROR(__xludf.DUMMYFUNCTION("""COMPUTED_VALUE"""),46082.0)</f>
        <v>46082</v>
      </c>
      <c r="B1516" s="1" t="str">
        <f>IFERROR(__xludf.DUMMYFUNCTION("""COMPUTED_VALUE"""),"HospAlmoa")</f>
        <v>HospAlmoa</v>
      </c>
      <c r="C1516" s="1" t="str">
        <f>IFERROR(__xludf.DUMMYFUNCTION("""COMPUTED_VALUE"""),"Almarai Strawberry")</f>
        <v>Almarai Strawberry</v>
      </c>
      <c r="D1516" s="1">
        <f>IFERROR(__xludf.DUMMYFUNCTION("""COMPUTED_VALUE"""),98.0)</f>
        <v>98</v>
      </c>
      <c r="E1516" s="1">
        <f>IFERROR(__xludf.DUMMYFUNCTION("""COMPUTED_VALUE"""),27.01)</f>
        <v>27.01</v>
      </c>
      <c r="F1516" s="1">
        <f>IFERROR(__xludf.DUMMYFUNCTION("""COMPUTED_VALUE"""),31.0)</f>
        <v>31</v>
      </c>
    </row>
    <row r="1517">
      <c r="A1517" s="3">
        <f>IFERROR(__xludf.DUMMYFUNCTION("""COMPUTED_VALUE"""),46082.0)</f>
        <v>46082</v>
      </c>
      <c r="B1517" s="1" t="str">
        <f>IFERROR(__xludf.DUMMYFUNCTION("""COMPUTED_VALUE"""),"HospAlmoa")</f>
        <v>HospAlmoa</v>
      </c>
      <c r="C1517" s="1" t="str">
        <f>IFERROR(__xludf.DUMMYFUNCTION("""COMPUTED_VALUE"""),"Barbican")</f>
        <v>Barbican</v>
      </c>
      <c r="D1517" s="1">
        <f>IFERROR(__xludf.DUMMYFUNCTION("""COMPUTED_VALUE"""),4.0)</f>
        <v>4</v>
      </c>
      <c r="E1517" s="1">
        <f>IFERROR(__xludf.DUMMYFUNCTION("""COMPUTED_VALUE"""),0.83)</f>
        <v>0.83</v>
      </c>
      <c r="F1517" s="1">
        <f>IFERROR(__xludf.DUMMYFUNCTION("""COMPUTED_VALUE"""),1.0)</f>
        <v>1</v>
      </c>
    </row>
    <row r="1518">
      <c r="A1518" s="3">
        <f>IFERROR(__xludf.DUMMYFUNCTION("""COMPUTED_VALUE"""),46082.0)</f>
        <v>46082</v>
      </c>
      <c r="B1518" s="1" t="str">
        <f>IFERROR(__xludf.DUMMYFUNCTION("""COMPUTED_VALUE"""),"HospAlmoa")</f>
        <v>HospAlmoa</v>
      </c>
      <c r="C1518" s="1" t="str">
        <f>IFERROR(__xludf.DUMMYFUNCTION("""COMPUTED_VALUE"""),"Caser Juice")</f>
        <v>Caser Juice</v>
      </c>
      <c r="D1518" s="1">
        <f>IFERROR(__xludf.DUMMYFUNCTION("""COMPUTED_VALUE"""),55.0)</f>
        <v>55</v>
      </c>
      <c r="E1518" s="1">
        <f>IFERROR(__xludf.DUMMYFUNCTION("""COMPUTED_VALUE"""),9.57)</f>
        <v>9.57</v>
      </c>
      <c r="F1518" s="1">
        <f>IFERROR(__xludf.DUMMYFUNCTION("""COMPUTED_VALUE"""),11.0)</f>
        <v>11</v>
      </c>
    </row>
    <row r="1519">
      <c r="A1519" s="3">
        <f>IFERROR(__xludf.DUMMYFUNCTION("""COMPUTED_VALUE"""),46082.0)</f>
        <v>46082</v>
      </c>
      <c r="B1519" s="1" t="str">
        <f>IFERROR(__xludf.DUMMYFUNCTION("""COMPUTED_VALUE"""),"HospAlmoa")</f>
        <v>HospAlmoa</v>
      </c>
      <c r="C1519" s="1" t="str">
        <f>IFERROR(__xludf.DUMMYFUNCTION("""COMPUTED_VALUE"""),"Corissant Karuzo")</f>
        <v>Corissant Karuzo</v>
      </c>
      <c r="D1519" s="1">
        <f>IFERROR(__xludf.DUMMYFUNCTION("""COMPUTED_VALUE"""),104.0)</f>
        <v>104</v>
      </c>
      <c r="E1519" s="1">
        <f>IFERROR(__xludf.DUMMYFUNCTION("""COMPUTED_VALUE"""),19.49)</f>
        <v>19.49</v>
      </c>
      <c r="F1519" s="1">
        <f>IFERROR(__xludf.DUMMYFUNCTION("""COMPUTED_VALUE"""),27.0)</f>
        <v>27</v>
      </c>
    </row>
    <row r="1520">
      <c r="A1520" s="3">
        <f>IFERROR(__xludf.DUMMYFUNCTION("""COMPUTED_VALUE"""),46082.0)</f>
        <v>46082</v>
      </c>
      <c r="B1520" s="1" t="str">
        <f>IFERROR(__xludf.DUMMYFUNCTION("""COMPUTED_VALUE"""),"HospAlmoa")</f>
        <v>HospAlmoa</v>
      </c>
      <c r="C1520" s="1" t="str">
        <f>IFERROR(__xludf.DUMMYFUNCTION("""COMPUTED_VALUE"""),"Doritos cool ranc")</f>
        <v>Doritos cool ranc</v>
      </c>
      <c r="D1520" s="1">
        <f>IFERROR(__xludf.DUMMYFUNCTION("""COMPUTED_VALUE"""),405.0)</f>
        <v>405</v>
      </c>
      <c r="E1520" s="1">
        <f>IFERROR(__xludf.DUMMYFUNCTION("""COMPUTED_VALUE"""),167.67)</f>
        <v>167.67</v>
      </c>
      <c r="F1520" s="1">
        <f>IFERROR(__xludf.DUMMYFUNCTION("""COMPUTED_VALUE"""),81.0)</f>
        <v>81</v>
      </c>
    </row>
    <row r="1521">
      <c r="A1521" s="3">
        <f>IFERROR(__xludf.DUMMYFUNCTION("""COMPUTED_VALUE"""),46082.0)</f>
        <v>46082</v>
      </c>
      <c r="B1521" s="1" t="str">
        <f>IFERROR(__xludf.DUMMYFUNCTION("""COMPUTED_VALUE"""),"HospAlmoa")</f>
        <v>HospAlmoa</v>
      </c>
      <c r="C1521" s="1" t="str">
        <f>IFERROR(__xludf.DUMMYFUNCTION("""COMPUTED_VALUE"""),"Doritos green hot")</f>
        <v>Doritos green hot</v>
      </c>
      <c r="D1521" s="1">
        <f>IFERROR(__xludf.DUMMYFUNCTION("""COMPUTED_VALUE"""),75.0)</f>
        <v>75</v>
      </c>
      <c r="E1521" s="1">
        <f>IFERROR(__xludf.DUMMYFUNCTION("""COMPUTED_VALUE"""),31.05)</f>
        <v>31.05</v>
      </c>
      <c r="F1521" s="1">
        <f>IFERROR(__xludf.DUMMYFUNCTION("""COMPUTED_VALUE"""),15.0)</f>
        <v>15</v>
      </c>
    </row>
    <row r="1522">
      <c r="A1522" s="3">
        <f>IFERROR(__xludf.DUMMYFUNCTION("""COMPUTED_VALUE"""),46082.0)</f>
        <v>46082</v>
      </c>
      <c r="B1522" s="1" t="str">
        <f>IFERROR(__xludf.DUMMYFUNCTION("""COMPUTED_VALUE"""),"HospAlmoa")</f>
        <v>HospAlmoa</v>
      </c>
      <c r="C1522" s="1" t="str">
        <f>IFERROR(__xludf.DUMMYFUNCTION("""COMPUTED_VALUE"""),"Doritos nacho")</f>
        <v>Doritos nacho</v>
      </c>
      <c r="D1522" s="1">
        <f>IFERROR(__xludf.DUMMYFUNCTION("""COMPUTED_VALUE"""),260.0)</f>
        <v>260</v>
      </c>
      <c r="E1522" s="1">
        <f>IFERROR(__xludf.DUMMYFUNCTION("""COMPUTED_VALUE"""),107.64)</f>
        <v>107.64</v>
      </c>
      <c r="F1522" s="1">
        <f>IFERROR(__xludf.DUMMYFUNCTION("""COMPUTED_VALUE"""),52.0)</f>
        <v>52</v>
      </c>
    </row>
    <row r="1523">
      <c r="A1523" s="3">
        <f>IFERROR(__xludf.DUMMYFUNCTION("""COMPUTED_VALUE"""),46082.0)</f>
        <v>46082</v>
      </c>
      <c r="B1523" s="1" t="str">
        <f>IFERROR(__xludf.DUMMYFUNCTION("""COMPUTED_VALUE"""),"HospAlmoa")</f>
        <v>HospAlmoa</v>
      </c>
      <c r="C1523" s="1" t="str">
        <f>IFERROR(__xludf.DUMMYFUNCTION("""COMPUTED_VALUE"""),"Doritos red hot")</f>
        <v>Doritos red hot</v>
      </c>
      <c r="D1523" s="1">
        <f>IFERROR(__xludf.DUMMYFUNCTION("""COMPUTED_VALUE"""),145.0)</f>
        <v>145</v>
      </c>
      <c r="E1523" s="1">
        <f>IFERROR(__xludf.DUMMYFUNCTION("""COMPUTED_VALUE"""),60.03)</f>
        <v>60.03</v>
      </c>
      <c r="F1523" s="1">
        <f>IFERROR(__xludf.DUMMYFUNCTION("""COMPUTED_VALUE"""),29.0)</f>
        <v>29</v>
      </c>
    </row>
    <row r="1524">
      <c r="A1524" s="3">
        <f>IFERROR(__xludf.DUMMYFUNCTION("""COMPUTED_VALUE"""),46082.0)</f>
        <v>46082</v>
      </c>
      <c r="B1524" s="1" t="str">
        <f>IFERROR(__xludf.DUMMYFUNCTION("""COMPUTED_VALUE"""),"HospAlmoa")</f>
        <v>HospAlmoa</v>
      </c>
      <c r="C1524" s="1" t="str">
        <f>IFERROR(__xludf.DUMMYFUNCTION("""COMPUTED_VALUE"""),"Freez")</f>
        <v>Freez</v>
      </c>
      <c r="D1524" s="1">
        <f>IFERROR(__xludf.DUMMYFUNCTION("""COMPUTED_VALUE"""),24.0)</f>
        <v>24</v>
      </c>
      <c r="E1524" s="1">
        <f>IFERROR(__xludf.DUMMYFUNCTION("""COMPUTED_VALUE"""),10.36)</f>
        <v>10.36</v>
      </c>
      <c r="F1524" s="1">
        <f>IFERROR(__xludf.DUMMYFUNCTION("""COMPUTED_VALUE"""),4.0)</f>
        <v>4</v>
      </c>
    </row>
    <row r="1525">
      <c r="A1525" s="3">
        <f>IFERROR(__xludf.DUMMYFUNCTION("""COMPUTED_VALUE"""),46082.0)</f>
        <v>46082</v>
      </c>
      <c r="B1525" s="1" t="str">
        <f>IFERROR(__xludf.DUMMYFUNCTION("""COMPUTED_VALUE"""),"HospAlmoa")</f>
        <v>HospAlmoa</v>
      </c>
      <c r="C1525" s="1" t="str">
        <f>IFERROR(__xludf.DUMMYFUNCTION("""COMPUTED_VALUE"""),"Galaxy wafer roll")</f>
        <v>Galaxy wafer roll</v>
      </c>
      <c r="D1525" s="1">
        <f>IFERROR(__xludf.DUMMYFUNCTION("""COMPUTED_VALUE"""),54.0)</f>
        <v>54</v>
      </c>
      <c r="E1525" s="1">
        <f>IFERROR(__xludf.DUMMYFUNCTION("""COMPUTED_VALUE"""),24.84)</f>
        <v>24.84</v>
      </c>
      <c r="F1525" s="1">
        <f>IFERROR(__xludf.DUMMYFUNCTION("""COMPUTED_VALUE"""),27.0)</f>
        <v>27</v>
      </c>
    </row>
    <row r="1526">
      <c r="A1526" s="3">
        <f>IFERROR(__xludf.DUMMYFUNCTION("""COMPUTED_VALUE"""),46082.0)</f>
        <v>46082</v>
      </c>
      <c r="B1526" s="1" t="str">
        <f>IFERROR(__xludf.DUMMYFUNCTION("""COMPUTED_VALUE"""),"HospAlmoa")</f>
        <v>HospAlmoa</v>
      </c>
      <c r="C1526" s="1" t="str">
        <f>IFERROR(__xludf.DUMMYFUNCTION("""COMPUTED_VALUE"""),"Gardena")</f>
        <v>Gardena</v>
      </c>
      <c r="D1526" s="1">
        <f>IFERROR(__xludf.DUMMYFUNCTION("""COMPUTED_VALUE"""),294.0)</f>
        <v>294</v>
      </c>
      <c r="E1526" s="1">
        <f>IFERROR(__xludf.DUMMYFUNCTION("""COMPUTED_VALUE"""),24.5)</f>
        <v>24.5</v>
      </c>
      <c r="F1526" s="1">
        <f>IFERROR(__xludf.DUMMYFUNCTION("""COMPUTED_VALUE"""),49.0)</f>
        <v>49</v>
      </c>
    </row>
    <row r="1527">
      <c r="A1527" s="3">
        <f>IFERROR(__xludf.DUMMYFUNCTION("""COMPUTED_VALUE"""),46082.0)</f>
        <v>46082</v>
      </c>
      <c r="B1527" s="1" t="str">
        <f>IFERROR(__xludf.DUMMYFUNCTION("""COMPUTED_VALUE"""),"HospAlmoa")</f>
        <v>HospAlmoa</v>
      </c>
      <c r="C1527" s="1" t="str">
        <f>IFERROR(__xludf.DUMMYFUNCTION("""COMPUTED_VALUE"""),"Kinder Bueno")</f>
        <v>Kinder Bueno</v>
      </c>
      <c r="D1527" s="1">
        <f>IFERROR(__xludf.DUMMYFUNCTION("""COMPUTED_VALUE"""),396.0)</f>
        <v>396</v>
      </c>
      <c r="E1527" s="1">
        <f>IFERROR(__xludf.DUMMYFUNCTION("""COMPUTED_VALUE"""),88.0)</f>
        <v>88</v>
      </c>
      <c r="F1527" s="1">
        <f>IFERROR(__xludf.DUMMYFUNCTION("""COMPUTED_VALUE"""),44.0)</f>
        <v>44</v>
      </c>
    </row>
    <row r="1528">
      <c r="A1528" s="3">
        <f>IFERROR(__xludf.DUMMYFUNCTION("""COMPUTED_VALUE"""),46082.0)</f>
        <v>46082</v>
      </c>
      <c r="B1528" s="1" t="str">
        <f>IFERROR(__xludf.DUMMYFUNCTION("""COMPUTED_VALUE"""),"HospAlmoa")</f>
        <v>HospAlmoa</v>
      </c>
      <c r="C1528" s="1" t="str">
        <f>IFERROR(__xludf.DUMMYFUNCTION("""COMPUTED_VALUE"""),"Kunuz Juice")</f>
        <v>Kunuz Juice</v>
      </c>
      <c r="D1528" s="1">
        <f>IFERROR(__xludf.DUMMYFUNCTION("""COMPUTED_VALUE"""),32.0)</f>
        <v>32</v>
      </c>
      <c r="E1528" s="1">
        <f>IFERROR(__xludf.DUMMYFUNCTION("""COMPUTED_VALUE"""),19.2)</f>
        <v>19.2</v>
      </c>
      <c r="F1528" s="1">
        <f>IFERROR(__xludf.DUMMYFUNCTION("""COMPUTED_VALUE"""),8.0)</f>
        <v>8</v>
      </c>
    </row>
    <row r="1529">
      <c r="A1529" s="3">
        <f>IFERROR(__xludf.DUMMYFUNCTION("""COMPUTED_VALUE"""),46082.0)</f>
        <v>46082</v>
      </c>
      <c r="B1529" s="1" t="str">
        <f>IFERROR(__xludf.DUMMYFUNCTION("""COMPUTED_VALUE"""),"HospAlmoa")</f>
        <v>HospAlmoa</v>
      </c>
      <c r="C1529" s="1" t="str">
        <f>IFERROR(__xludf.DUMMYFUNCTION("""COMPUTED_VALUE"""),"Laviva")</f>
        <v>Laviva</v>
      </c>
      <c r="D1529" s="1">
        <f>IFERROR(__xludf.DUMMYFUNCTION("""COMPUTED_VALUE"""),268.0)</f>
        <v>268</v>
      </c>
      <c r="E1529" s="1">
        <f>IFERROR(__xludf.DUMMYFUNCTION("""COMPUTED_VALUE"""),117.25)</f>
        <v>117.25</v>
      </c>
      <c r="F1529" s="1">
        <f>IFERROR(__xludf.DUMMYFUNCTION("""COMPUTED_VALUE"""),67.0)</f>
        <v>67</v>
      </c>
    </row>
    <row r="1530">
      <c r="A1530" s="3">
        <f>IFERROR(__xludf.DUMMYFUNCTION("""COMPUTED_VALUE"""),46082.0)</f>
        <v>46082</v>
      </c>
      <c r="B1530" s="1" t="str">
        <f>IFERROR(__xludf.DUMMYFUNCTION("""COMPUTED_VALUE"""),"HospAlmoa")</f>
        <v>HospAlmoa</v>
      </c>
      <c r="C1530" s="1" t="str">
        <f>IFERROR(__xludf.DUMMYFUNCTION("""COMPUTED_VALUE"""),"Lovita cookies")</f>
        <v>Lovita cookies</v>
      </c>
      <c r="D1530" s="1">
        <f>IFERROR(__xludf.DUMMYFUNCTION("""COMPUTED_VALUE"""),64.0)</f>
        <v>64</v>
      </c>
      <c r="E1530" s="1">
        <f>IFERROR(__xludf.DUMMYFUNCTION("""COMPUTED_VALUE"""),22.56)</f>
        <v>22.56</v>
      </c>
      <c r="F1530" s="1">
        <f>IFERROR(__xludf.DUMMYFUNCTION("""COMPUTED_VALUE"""),8.0)</f>
        <v>8</v>
      </c>
    </row>
    <row r="1531">
      <c r="A1531" s="3">
        <f>IFERROR(__xludf.DUMMYFUNCTION("""COMPUTED_VALUE"""),46082.0)</f>
        <v>46082</v>
      </c>
      <c r="B1531" s="1" t="str">
        <f>IFERROR(__xludf.DUMMYFUNCTION("""COMPUTED_VALUE"""),"HospAlmoa")</f>
        <v>HospAlmoa</v>
      </c>
      <c r="C1531" s="1" t="str">
        <f>IFERROR(__xludf.DUMMYFUNCTION("""COMPUTED_VALUE"""),"MR Crunch")</f>
        <v>MR Crunch</v>
      </c>
      <c r="D1531" s="1">
        <f>IFERROR(__xludf.DUMMYFUNCTION("""COMPUTED_VALUE"""),320.0)</f>
        <v>320</v>
      </c>
      <c r="E1531" s="1">
        <f>IFERROR(__xludf.DUMMYFUNCTION("""COMPUTED_VALUE"""),128.0)</f>
        <v>128</v>
      </c>
      <c r="F1531" s="1">
        <f>IFERROR(__xludf.DUMMYFUNCTION("""COMPUTED_VALUE"""),64.0)</f>
        <v>64</v>
      </c>
    </row>
    <row r="1532">
      <c r="A1532" s="3">
        <f>IFERROR(__xludf.DUMMYFUNCTION("""COMPUTED_VALUE"""),46082.0)</f>
        <v>46082</v>
      </c>
      <c r="B1532" s="1" t="str">
        <f>IFERROR(__xludf.DUMMYFUNCTION("""COMPUTED_VALUE"""),"HospAlmoa")</f>
        <v>HospAlmoa</v>
      </c>
      <c r="C1532" s="1" t="str">
        <f>IFERROR(__xludf.DUMMYFUNCTION("""COMPUTED_VALUE"""),"Maltesers")</f>
        <v>Maltesers</v>
      </c>
      <c r="D1532" s="1">
        <f>IFERROR(__xludf.DUMMYFUNCTION("""COMPUTED_VALUE"""),72.0)</f>
        <v>72</v>
      </c>
      <c r="E1532" s="1">
        <f>IFERROR(__xludf.DUMMYFUNCTION("""COMPUTED_VALUE"""),12.0)</f>
        <v>12</v>
      </c>
      <c r="F1532" s="1">
        <f>IFERROR(__xludf.DUMMYFUNCTION("""COMPUTED_VALUE"""),8.0)</f>
        <v>8</v>
      </c>
    </row>
    <row r="1533">
      <c r="A1533" s="3">
        <f>IFERROR(__xludf.DUMMYFUNCTION("""COMPUTED_VALUE"""),46082.0)</f>
        <v>46082</v>
      </c>
      <c r="B1533" s="1" t="str">
        <f>IFERROR(__xludf.DUMMYFUNCTION("""COMPUTED_VALUE"""),"HospAlmoa")</f>
        <v>HospAlmoa</v>
      </c>
      <c r="C1533" s="1" t="str">
        <f>IFERROR(__xludf.DUMMYFUNCTION("""COMPUTED_VALUE"""),"Mirinda")</f>
        <v>Mirinda</v>
      </c>
      <c r="D1533" s="1">
        <f>IFERROR(__xludf.DUMMYFUNCTION("""COMPUTED_VALUE"""),78.0)</f>
        <v>78</v>
      </c>
      <c r="E1533" s="1">
        <f>IFERROR(__xludf.DUMMYFUNCTION("""COMPUTED_VALUE"""),19.5)</f>
        <v>19.5</v>
      </c>
      <c r="F1533" s="1">
        <f>IFERROR(__xludf.DUMMYFUNCTION("""COMPUTED_VALUE"""),26.0)</f>
        <v>26</v>
      </c>
    </row>
    <row r="1534">
      <c r="A1534" s="3">
        <f>IFERROR(__xludf.DUMMYFUNCTION("""COMPUTED_VALUE"""),46082.0)</f>
        <v>46082</v>
      </c>
      <c r="B1534" s="1" t="str">
        <f>IFERROR(__xludf.DUMMYFUNCTION("""COMPUTED_VALUE"""),"HospAlmoa")</f>
        <v>HospAlmoa</v>
      </c>
      <c r="C1534" s="1" t="str">
        <f>IFERROR(__xludf.DUMMYFUNCTION("""COMPUTED_VALUE"""),"Pepsi")</f>
        <v>Pepsi</v>
      </c>
      <c r="D1534" s="1">
        <f>IFERROR(__xludf.DUMMYFUNCTION("""COMPUTED_VALUE"""),171.0)</f>
        <v>171</v>
      </c>
      <c r="E1534" s="1">
        <f>IFERROR(__xludf.DUMMYFUNCTION("""COMPUTED_VALUE"""),42.75)</f>
        <v>42.75</v>
      </c>
      <c r="F1534" s="1">
        <f>IFERROR(__xludf.DUMMYFUNCTION("""COMPUTED_VALUE"""),57.0)</f>
        <v>57</v>
      </c>
    </row>
    <row r="1535">
      <c r="A1535" s="3">
        <f>IFERROR(__xludf.DUMMYFUNCTION("""COMPUTED_VALUE"""),46082.0)</f>
        <v>46082</v>
      </c>
      <c r="B1535" s="1" t="str">
        <f>IFERROR(__xludf.DUMMYFUNCTION("""COMPUTED_VALUE"""),"HospAlmoa")</f>
        <v>HospAlmoa</v>
      </c>
      <c r="C1535" s="1" t="str">
        <f>IFERROR(__xludf.DUMMYFUNCTION("""COMPUTED_VALUE"""),"Rayhan suntop")</f>
        <v>Rayhan suntop</v>
      </c>
      <c r="D1535" s="1">
        <f>IFERROR(__xludf.DUMMYFUNCTION("""COMPUTED_VALUE"""),144.0)</f>
        <v>144</v>
      </c>
      <c r="E1535" s="1">
        <f>IFERROR(__xludf.DUMMYFUNCTION("""COMPUTED_VALUE"""),46.08)</f>
        <v>46.08</v>
      </c>
      <c r="F1535" s="1">
        <f>IFERROR(__xludf.DUMMYFUNCTION("""COMPUTED_VALUE"""),144.0)</f>
        <v>144</v>
      </c>
    </row>
    <row r="1536">
      <c r="A1536" s="3">
        <f>IFERROR(__xludf.DUMMYFUNCTION("""COMPUTED_VALUE"""),46082.0)</f>
        <v>46082</v>
      </c>
      <c r="B1536" s="1" t="str">
        <f>IFERROR(__xludf.DUMMYFUNCTION("""COMPUTED_VALUE"""),"HospAlmoa")</f>
        <v>HospAlmoa</v>
      </c>
      <c r="C1536" s="1" t="str">
        <f>IFERROR(__xludf.DUMMYFUNCTION("""COMPUTED_VALUE"""),"Savi stix")</f>
        <v>Savi stix</v>
      </c>
      <c r="D1536" s="1">
        <f>IFERROR(__xludf.DUMMYFUNCTION("""COMPUTED_VALUE"""),110.0)</f>
        <v>110</v>
      </c>
      <c r="E1536" s="1">
        <f>IFERROR(__xludf.DUMMYFUNCTION("""COMPUTED_VALUE"""),30.8)</f>
        <v>30.8</v>
      </c>
      <c r="F1536" s="1">
        <f>IFERROR(__xludf.DUMMYFUNCTION("""COMPUTED_VALUE"""),22.0)</f>
        <v>22</v>
      </c>
    </row>
    <row r="1537">
      <c r="A1537" s="3">
        <f>IFERROR(__xludf.DUMMYFUNCTION("""COMPUTED_VALUE"""),46082.0)</f>
        <v>46082</v>
      </c>
      <c r="B1537" s="1" t="str">
        <f>IFERROR(__xludf.DUMMYFUNCTION("""COMPUTED_VALUE"""),"HospAlmoa")</f>
        <v>HospAlmoa</v>
      </c>
      <c r="C1537" s="1" t="str">
        <f>IFERROR(__xludf.DUMMYFUNCTION("""COMPUTED_VALUE"""),"Schweppes")</f>
        <v>Schweppes</v>
      </c>
      <c r="D1537" s="1">
        <f>IFERROR(__xludf.DUMMYFUNCTION("""COMPUTED_VALUE"""),3.0)</f>
        <v>3</v>
      </c>
      <c r="E1537" s="1">
        <f>IFERROR(__xludf.DUMMYFUNCTION("""COMPUTED_VALUE"""),1.0)</f>
        <v>1</v>
      </c>
      <c r="F1537" s="1">
        <f>IFERROR(__xludf.DUMMYFUNCTION("""COMPUTED_VALUE"""),1.0)</f>
        <v>1</v>
      </c>
    </row>
    <row r="1538">
      <c r="A1538" s="3">
        <f>IFERROR(__xludf.DUMMYFUNCTION("""COMPUTED_VALUE"""),46082.0)</f>
        <v>46082</v>
      </c>
      <c r="B1538" s="1" t="str">
        <f>IFERROR(__xludf.DUMMYFUNCTION("""COMPUTED_VALUE"""),"HospAlmoa")</f>
        <v>HospAlmoa</v>
      </c>
      <c r="C1538" s="1" t="str">
        <f>IFERROR(__xludf.DUMMYFUNCTION("""COMPUTED_VALUE"""),"Schweppes bullet")</f>
        <v>Schweppes bullet</v>
      </c>
      <c r="D1538" s="1">
        <f>IFERROR(__xludf.DUMMYFUNCTION("""COMPUTED_VALUE"""),36.0)</f>
        <v>36</v>
      </c>
      <c r="E1538" s="1">
        <f>IFERROR(__xludf.DUMMYFUNCTION("""COMPUTED_VALUE"""),15.0)</f>
        <v>15</v>
      </c>
      <c r="F1538" s="1">
        <f>IFERROR(__xludf.DUMMYFUNCTION("""COMPUTED_VALUE"""),12.0)</f>
        <v>12</v>
      </c>
    </row>
    <row r="1539">
      <c r="A1539" s="3">
        <f>IFERROR(__xludf.DUMMYFUNCTION("""COMPUTED_VALUE"""),46082.0)</f>
        <v>46082</v>
      </c>
      <c r="B1539" s="1" t="str">
        <f>IFERROR(__xludf.DUMMYFUNCTION("""COMPUTED_VALUE"""),"HospAlmoa")</f>
        <v>HospAlmoa</v>
      </c>
      <c r="C1539" s="1" t="str">
        <f>IFERROR(__xludf.DUMMYFUNCTION("""COMPUTED_VALUE"""),"Shani")</f>
        <v>Shani</v>
      </c>
      <c r="D1539" s="1">
        <f>IFERROR(__xludf.DUMMYFUNCTION("""COMPUTED_VALUE"""),30.0)</f>
        <v>30</v>
      </c>
      <c r="E1539" s="1">
        <f>IFERROR(__xludf.DUMMYFUNCTION("""COMPUTED_VALUE"""),7.5)</f>
        <v>7.5</v>
      </c>
      <c r="F1539" s="1">
        <f>IFERROR(__xludf.DUMMYFUNCTION("""COMPUTED_VALUE"""),10.0)</f>
        <v>10</v>
      </c>
    </row>
    <row r="1540">
      <c r="A1540" s="3">
        <f>IFERROR(__xludf.DUMMYFUNCTION("""COMPUTED_VALUE"""),46082.0)</f>
        <v>46082</v>
      </c>
      <c r="B1540" s="1" t="str">
        <f>IFERROR(__xludf.DUMMYFUNCTION("""COMPUTED_VALUE"""),"HospAlmoa")</f>
        <v>HospAlmoa</v>
      </c>
      <c r="C1540" s="1" t="str">
        <f>IFERROR(__xludf.DUMMYFUNCTION("""COMPUTED_VALUE"""),"Snickers")</f>
        <v>Snickers</v>
      </c>
      <c r="D1540" s="1">
        <f>IFERROR(__xludf.DUMMYFUNCTION("""COMPUTED_VALUE"""),21.0)</f>
        <v>21</v>
      </c>
      <c r="E1540" s="1">
        <f>IFERROR(__xludf.DUMMYFUNCTION("""COMPUTED_VALUE"""),5.4)</f>
        <v>5.4</v>
      </c>
      <c r="F1540" s="1">
        <f>IFERROR(__xludf.DUMMYFUNCTION("""COMPUTED_VALUE"""),3.0)</f>
        <v>3</v>
      </c>
    </row>
    <row r="1541">
      <c r="A1541" s="3">
        <f>IFERROR(__xludf.DUMMYFUNCTION("""COMPUTED_VALUE"""),46082.0)</f>
        <v>46082</v>
      </c>
      <c r="B1541" s="1" t="str">
        <f>IFERROR(__xludf.DUMMYFUNCTION("""COMPUTED_VALUE"""),"HospAlmoa")</f>
        <v>HospAlmoa</v>
      </c>
      <c r="C1541" s="1" t="str">
        <f>IFERROR(__xludf.DUMMYFUNCTION("""COMPUTED_VALUE"""),"Snickers wafer roll")</f>
        <v>Snickers wafer roll</v>
      </c>
      <c r="D1541" s="1">
        <f>IFERROR(__xludf.DUMMYFUNCTION("""COMPUTED_VALUE"""),32.0)</f>
        <v>32</v>
      </c>
      <c r="E1541" s="1">
        <f>IFERROR(__xludf.DUMMYFUNCTION("""COMPUTED_VALUE"""),14.08)</f>
        <v>14.08</v>
      </c>
      <c r="F1541" s="1">
        <f>IFERROR(__xludf.DUMMYFUNCTION("""COMPUTED_VALUE"""),16.0)</f>
        <v>16</v>
      </c>
    </row>
    <row r="1542">
      <c r="A1542" s="3">
        <f>IFERROR(__xludf.DUMMYFUNCTION("""COMPUTED_VALUE"""),46082.0)</f>
        <v>46082</v>
      </c>
      <c r="B1542" s="1" t="str">
        <f>IFERROR(__xludf.DUMMYFUNCTION("""COMPUTED_VALUE"""),"HospAlmoa")</f>
        <v>HospAlmoa</v>
      </c>
      <c r="C1542" s="1" t="str">
        <f>IFERROR(__xludf.DUMMYFUNCTION("""COMPUTED_VALUE"""),"Sweeto jelly")</f>
        <v>Sweeto jelly</v>
      </c>
      <c r="D1542" s="1">
        <f>IFERROR(__xludf.DUMMYFUNCTION("""COMPUTED_VALUE"""),30.0)</f>
        <v>30</v>
      </c>
      <c r="E1542" s="1">
        <f>IFERROR(__xludf.DUMMYFUNCTION("""COMPUTED_VALUE"""),8.04)</f>
        <v>8.04</v>
      </c>
      <c r="F1542" s="1">
        <f>IFERROR(__xludf.DUMMYFUNCTION("""COMPUTED_VALUE"""),6.0)</f>
        <v>6</v>
      </c>
    </row>
    <row r="1543">
      <c r="A1543" s="3">
        <f>IFERROR(__xludf.DUMMYFUNCTION("""COMPUTED_VALUE"""),46082.0)</f>
        <v>46082</v>
      </c>
      <c r="B1543" s="1" t="str">
        <f>IFERROR(__xludf.DUMMYFUNCTION("""COMPUTED_VALUE"""),"HospAlmoa")</f>
        <v>HospAlmoa</v>
      </c>
      <c r="C1543" s="1" t="str">
        <f>IFERROR(__xludf.DUMMYFUNCTION("""COMPUTED_VALUE"""),"Tiger excellence")</f>
        <v>Tiger excellence</v>
      </c>
      <c r="D1543" s="1">
        <f>IFERROR(__xludf.DUMMYFUNCTION("""COMPUTED_VALUE"""),195.0)</f>
        <v>195</v>
      </c>
      <c r="E1543" s="1">
        <f>IFERROR(__xludf.DUMMYFUNCTION("""COMPUTED_VALUE"""),107.25)</f>
        <v>107.25</v>
      </c>
      <c r="F1543" s="1">
        <f>IFERROR(__xludf.DUMMYFUNCTION("""COMPUTED_VALUE"""),39.0)</f>
        <v>39</v>
      </c>
    </row>
    <row r="1544">
      <c r="A1544" s="3">
        <f>IFERROR(__xludf.DUMMYFUNCTION("""COMPUTED_VALUE"""),46082.0)</f>
        <v>46082</v>
      </c>
      <c r="B1544" s="1" t="str">
        <f>IFERROR(__xludf.DUMMYFUNCTION("""COMPUTED_VALUE"""),"HospAlmoa")</f>
        <v>HospAlmoa</v>
      </c>
      <c r="C1544" s="1" t="str">
        <f>IFERROR(__xludf.DUMMYFUNCTION("""COMPUTED_VALUE"""),"Twix")</f>
        <v>Twix</v>
      </c>
      <c r="D1544" s="1">
        <f>IFERROR(__xludf.DUMMYFUNCTION("""COMPUTED_VALUE"""),90.0)</f>
        <v>90</v>
      </c>
      <c r="E1544" s="1">
        <f>IFERROR(__xludf.DUMMYFUNCTION("""COMPUTED_VALUE"""),20.0)</f>
        <v>20</v>
      </c>
      <c r="F1544" s="1">
        <f>IFERROR(__xludf.DUMMYFUNCTION("""COMPUTED_VALUE"""),14.0)</f>
        <v>14</v>
      </c>
    </row>
    <row r="1545">
      <c r="A1545" s="3">
        <f>IFERROR(__xludf.DUMMYFUNCTION("""COMPUTED_VALUE"""),46082.0)</f>
        <v>46082</v>
      </c>
      <c r="B1545" s="1" t="str">
        <f>IFERROR(__xludf.DUMMYFUNCTION("""COMPUTED_VALUE"""),"HospAlmoa")</f>
        <v>HospAlmoa</v>
      </c>
      <c r="C1545" s="1" t="str">
        <f>IFERROR(__xludf.DUMMYFUNCTION("""COMPUTED_VALUE"""),"Twix wafer roll")</f>
        <v>Twix wafer roll</v>
      </c>
      <c r="D1545" s="1">
        <f>IFERROR(__xludf.DUMMYFUNCTION("""COMPUTED_VALUE"""),24.0)</f>
        <v>24</v>
      </c>
      <c r="E1545" s="1">
        <f>IFERROR(__xludf.DUMMYFUNCTION("""COMPUTED_VALUE"""),11.04)</f>
        <v>11.04</v>
      </c>
      <c r="F1545" s="1">
        <f>IFERROR(__xludf.DUMMYFUNCTION("""COMPUTED_VALUE"""),12.0)</f>
        <v>12</v>
      </c>
    </row>
    <row r="1546">
      <c r="A1546" s="3">
        <f>IFERROR(__xludf.DUMMYFUNCTION("""COMPUTED_VALUE"""),46082.0)</f>
        <v>46082</v>
      </c>
      <c r="B1546" s="1" t="str">
        <f>IFERROR(__xludf.DUMMYFUNCTION("""COMPUTED_VALUE"""),"HospAlmoa")</f>
        <v>HospAlmoa</v>
      </c>
      <c r="C1546" s="1" t="str">
        <f>IFERROR(__xludf.DUMMYFUNCTION("""COMPUTED_VALUE"""),"Water")</f>
        <v>Water</v>
      </c>
      <c r="D1546" s="1">
        <f>IFERROR(__xludf.DUMMYFUNCTION("""COMPUTED_VALUE"""),297.0)</f>
        <v>297</v>
      </c>
      <c r="E1546" s="1">
        <f>IFERROR(__xludf.DUMMYFUNCTION("""COMPUTED_VALUE"""),213.84)</f>
        <v>213.84</v>
      </c>
      <c r="F1546" s="1">
        <f>IFERROR(__xludf.DUMMYFUNCTION("""COMPUTED_VALUE"""),297.0)</f>
        <v>297</v>
      </c>
    </row>
    <row r="1547">
      <c r="A1547" s="3">
        <f>IFERROR(__xludf.DUMMYFUNCTION("""COMPUTED_VALUE"""),46082.0)</f>
        <v>46082</v>
      </c>
      <c r="B1547" s="1" t="str">
        <f>IFERROR(__xludf.DUMMYFUNCTION("""COMPUTED_VALUE"""),"HospAlmoa")</f>
        <v>HospAlmoa</v>
      </c>
      <c r="C1547" s="1" t="str">
        <f>IFERROR(__xludf.DUMMYFUNCTION("""COMPUTED_VALUE"""),"X!R")</f>
        <v>X!R</v>
      </c>
      <c r="D1547" s="1">
        <f>IFERROR(__xludf.DUMMYFUNCTION("""COMPUTED_VALUE"""),385.0)</f>
        <v>385</v>
      </c>
      <c r="E1547" s="1">
        <f>IFERROR(__xludf.DUMMYFUNCTION("""COMPUTED_VALUE"""),54.67)</f>
        <v>54.67</v>
      </c>
      <c r="F1547" s="1">
        <f>IFERROR(__xludf.DUMMYFUNCTION("""COMPUTED_VALUE"""),77.0)</f>
        <v>77</v>
      </c>
    </row>
    <row r="1548">
      <c r="A1548" s="3">
        <f>IFERROR(__xludf.DUMMYFUNCTION("""COMPUTED_VALUE"""),46082.0)</f>
        <v>46082</v>
      </c>
      <c r="B1548" s="1" t="str">
        <f>IFERROR(__xludf.DUMMYFUNCTION("""COMPUTED_VALUE"""),"HospAlmoa")</f>
        <v>HospAlmoa</v>
      </c>
      <c r="C1548" s="1" t="str">
        <f>IFERROR(__xludf.DUMMYFUNCTION("""COMPUTED_VALUE"""),"brownies moulin")</f>
        <v>brownies moulin</v>
      </c>
      <c r="D1548" s="1">
        <f>IFERROR(__xludf.DUMMYFUNCTION("""COMPUTED_VALUE"""),30.0)</f>
        <v>30</v>
      </c>
      <c r="E1548" s="1">
        <f>IFERROR(__xludf.DUMMYFUNCTION("""COMPUTED_VALUE"""),12.0)</f>
        <v>12</v>
      </c>
      <c r="F1548" s="1">
        <f>IFERROR(__xludf.DUMMYFUNCTION("""COMPUTED_VALUE"""),10.0)</f>
        <v>10</v>
      </c>
    </row>
    <row r="1549">
      <c r="A1549" s="3">
        <f>IFERROR(__xludf.DUMMYFUNCTION("""COMPUTED_VALUE"""),46082.0)</f>
        <v>46082</v>
      </c>
      <c r="B1549" s="1" t="str">
        <f>IFERROR(__xludf.DUMMYFUNCTION("""COMPUTED_VALUE"""),"HospAlmoa")</f>
        <v>HospAlmoa</v>
      </c>
      <c r="C1549" s="1" t="str">
        <f>IFERROR(__xludf.DUMMYFUNCTION("""COMPUTED_VALUE"""),"mr bite")</f>
        <v>mr bite</v>
      </c>
      <c r="D1549" s="1">
        <f>IFERROR(__xludf.DUMMYFUNCTION("""COMPUTED_VALUE"""),156.0)</f>
        <v>156</v>
      </c>
      <c r="E1549" s="1">
        <f>IFERROR(__xludf.DUMMYFUNCTION("""COMPUTED_VALUE"""),62.92)</f>
        <v>62.92</v>
      </c>
      <c r="F1549" s="1">
        <f>IFERROR(__xludf.DUMMYFUNCTION("""COMPUTED_VALUE"""),52.0)</f>
        <v>52</v>
      </c>
    </row>
    <row r="1550">
      <c r="A1550" s="3">
        <f>IFERROR(__xludf.DUMMYFUNCTION("""COMPUTED_VALUE"""),46082.0)</f>
        <v>46082</v>
      </c>
      <c r="B1550" s="1" t="str">
        <f>IFERROR(__xludf.DUMMYFUNCTION("""COMPUTED_VALUE"""),"HospAlmoa")</f>
        <v>HospAlmoa</v>
      </c>
      <c r="C1550" s="1" t="str">
        <f>IFERROR(__xludf.DUMMYFUNCTION("""COMPUTED_VALUE"""),"vitrac")</f>
        <v>vitrac</v>
      </c>
      <c r="D1550" s="1">
        <f>IFERROR(__xludf.DUMMYFUNCTION("""COMPUTED_VALUE"""),98.0)</f>
        <v>98</v>
      </c>
      <c r="E1550" s="1">
        <f>IFERROR(__xludf.DUMMYFUNCTION("""COMPUTED_VALUE"""),56.4)</f>
        <v>56.4</v>
      </c>
      <c r="F1550" s="1">
        <f>IFERROR(__xludf.DUMMYFUNCTION("""COMPUTED_VALUE"""),26.0)</f>
        <v>26</v>
      </c>
    </row>
    <row r="1551">
      <c r="A1551" s="3">
        <f>IFERROR(__xludf.DUMMYFUNCTION("""COMPUTED_VALUE"""),46082.0)</f>
        <v>46082</v>
      </c>
      <c r="B1551" s="1" t="str">
        <f>IFERROR(__xludf.DUMMYFUNCTION("""COMPUTED_VALUE"""),"HospAlmoa")</f>
        <v>HospAlmoa</v>
      </c>
      <c r="C1551" s="1" t="str">
        <f>IFERROR(__xludf.DUMMYFUNCTION("""COMPUTED_VALUE"""),"wafe'up")</f>
        <v>wafe'up</v>
      </c>
      <c r="D1551" s="1">
        <f>IFERROR(__xludf.DUMMYFUNCTION("""COMPUTED_VALUE"""),39.0)</f>
        <v>39</v>
      </c>
      <c r="E1551" s="1">
        <f>IFERROR(__xludf.DUMMYFUNCTION("""COMPUTED_VALUE"""),9.75)</f>
        <v>9.75</v>
      </c>
      <c r="F1551" s="1">
        <f>IFERROR(__xludf.DUMMYFUNCTION("""COMPUTED_VALUE"""),13.0)</f>
        <v>13</v>
      </c>
    </row>
    <row r="1552">
      <c r="A1552" s="3">
        <f>IFERROR(__xludf.DUMMYFUNCTION("""COMPUTED_VALUE"""),46082.0)</f>
        <v>46082</v>
      </c>
      <c r="B1552" s="1" t="str">
        <f>IFERROR(__xludf.DUMMYFUNCTION("""COMPUTED_VALUE"""),"Istiklal")</f>
        <v>Istiklal</v>
      </c>
      <c r="C1552" s="1" t="str">
        <f>IFERROR(__xludf.DUMMYFUNCTION("""COMPUTED_VALUE"""),"7up")</f>
        <v>7up</v>
      </c>
      <c r="D1552" s="1">
        <f>IFERROR(__xludf.DUMMYFUNCTION("""COMPUTED_VALUE"""),90.0)</f>
        <v>90</v>
      </c>
      <c r="E1552" s="1">
        <f>IFERROR(__xludf.DUMMYFUNCTION("""COMPUTED_VALUE"""),22.5)</f>
        <v>22.5</v>
      </c>
      <c r="F1552" s="1">
        <f>IFERROR(__xludf.DUMMYFUNCTION("""COMPUTED_VALUE"""),30.0)</f>
        <v>30</v>
      </c>
    </row>
    <row r="1553">
      <c r="A1553" s="3">
        <f>IFERROR(__xludf.DUMMYFUNCTION("""COMPUTED_VALUE"""),46082.0)</f>
        <v>46082</v>
      </c>
      <c r="B1553" s="1" t="str">
        <f>IFERROR(__xludf.DUMMYFUNCTION("""COMPUTED_VALUE"""),"Istiklal")</f>
        <v>Istiklal</v>
      </c>
      <c r="C1553" s="1" t="str">
        <f>IFERROR(__xludf.DUMMYFUNCTION("""COMPUTED_VALUE"""),"Almarai Chocolate")</f>
        <v>Almarai Chocolate</v>
      </c>
      <c r="D1553" s="1">
        <f>IFERROR(__xludf.DUMMYFUNCTION("""COMPUTED_VALUE"""),52.5)</f>
        <v>52.5</v>
      </c>
      <c r="E1553" s="1">
        <f>IFERROR(__xludf.DUMMYFUNCTION("""COMPUTED_VALUE"""),18.15)</f>
        <v>18.15</v>
      </c>
      <c r="F1553" s="1">
        <f>IFERROR(__xludf.DUMMYFUNCTION("""COMPUTED_VALUE"""),15.0)</f>
        <v>15</v>
      </c>
    </row>
    <row r="1554">
      <c r="A1554" s="3">
        <f>IFERROR(__xludf.DUMMYFUNCTION("""COMPUTED_VALUE"""),46082.0)</f>
        <v>46082</v>
      </c>
      <c r="B1554" s="1" t="str">
        <f>IFERROR(__xludf.DUMMYFUNCTION("""COMPUTED_VALUE"""),"Istiklal")</f>
        <v>Istiklal</v>
      </c>
      <c r="C1554" s="1" t="str">
        <f>IFERROR(__xludf.DUMMYFUNCTION("""COMPUTED_VALUE"""),"Almarai Strawberry")</f>
        <v>Almarai Strawberry</v>
      </c>
      <c r="D1554" s="1">
        <f>IFERROR(__xludf.DUMMYFUNCTION("""COMPUTED_VALUE"""),87.5)</f>
        <v>87.5</v>
      </c>
      <c r="E1554" s="1">
        <f>IFERROR(__xludf.DUMMYFUNCTION("""COMPUTED_VALUE"""),30.25)</f>
        <v>30.25</v>
      </c>
      <c r="F1554" s="1">
        <f>IFERROR(__xludf.DUMMYFUNCTION("""COMPUTED_VALUE"""),25.0)</f>
        <v>25</v>
      </c>
    </row>
    <row r="1555">
      <c r="A1555" s="3">
        <f>IFERROR(__xludf.DUMMYFUNCTION("""COMPUTED_VALUE"""),46082.0)</f>
        <v>46082</v>
      </c>
      <c r="B1555" s="1" t="str">
        <f>IFERROR(__xludf.DUMMYFUNCTION("""COMPUTED_VALUE"""),"Istiklal")</f>
        <v>Istiklal</v>
      </c>
      <c r="C1555" s="1" t="str">
        <f>IFERROR(__xludf.DUMMYFUNCTION("""COMPUTED_VALUE"""),"Barbican")</f>
        <v>Barbican</v>
      </c>
      <c r="D1555" s="1">
        <f>IFERROR(__xludf.DUMMYFUNCTION("""COMPUTED_VALUE"""),70.0)</f>
        <v>70</v>
      </c>
      <c r="E1555" s="1">
        <f>IFERROR(__xludf.DUMMYFUNCTION("""COMPUTED_VALUE"""),25.62)</f>
        <v>25.62</v>
      </c>
      <c r="F1555" s="1">
        <f>IFERROR(__xludf.DUMMYFUNCTION("""COMPUTED_VALUE"""),14.0)</f>
        <v>14</v>
      </c>
    </row>
    <row r="1556">
      <c r="A1556" s="3">
        <f>IFERROR(__xludf.DUMMYFUNCTION("""COMPUTED_VALUE"""),46082.0)</f>
        <v>46082</v>
      </c>
      <c r="B1556" s="1" t="str">
        <f>IFERROR(__xludf.DUMMYFUNCTION("""COMPUTED_VALUE"""),"Istiklal")</f>
        <v>Istiklal</v>
      </c>
      <c r="C1556" s="1" t="str">
        <f>IFERROR(__xludf.DUMMYFUNCTION("""COMPUTED_VALUE"""),"Bounty wafer roll")</f>
        <v>Bounty wafer roll</v>
      </c>
      <c r="D1556" s="1">
        <f>IFERROR(__xludf.DUMMYFUNCTION("""COMPUTED_VALUE"""),28.0)</f>
        <v>28</v>
      </c>
      <c r="E1556" s="1">
        <f>IFERROR(__xludf.DUMMYFUNCTION("""COMPUTED_VALUE"""),12.88)</f>
        <v>12.88</v>
      </c>
      <c r="F1556" s="1">
        <f>IFERROR(__xludf.DUMMYFUNCTION("""COMPUTED_VALUE"""),14.0)</f>
        <v>14</v>
      </c>
    </row>
    <row r="1557">
      <c r="A1557" s="3">
        <f>IFERROR(__xludf.DUMMYFUNCTION("""COMPUTED_VALUE"""),46082.0)</f>
        <v>46082</v>
      </c>
      <c r="B1557" s="1" t="str">
        <f>IFERROR(__xludf.DUMMYFUNCTION("""COMPUTED_VALUE"""),"Istiklal")</f>
        <v>Istiklal</v>
      </c>
      <c r="C1557" s="1" t="str">
        <f>IFERROR(__xludf.DUMMYFUNCTION("""COMPUTED_VALUE"""),"Caser Juice")</f>
        <v>Caser Juice</v>
      </c>
      <c r="D1557" s="1">
        <f>IFERROR(__xludf.DUMMYFUNCTION("""COMPUTED_VALUE"""),77.0)</f>
        <v>77</v>
      </c>
      <c r="E1557" s="1">
        <f>IFERROR(__xludf.DUMMYFUNCTION("""COMPUTED_VALUE"""),19.18)</f>
        <v>19.18</v>
      </c>
      <c r="F1557" s="1">
        <f>IFERROR(__xludf.DUMMYFUNCTION("""COMPUTED_VALUE"""),14.0)</f>
        <v>14</v>
      </c>
    </row>
    <row r="1558">
      <c r="A1558" s="3">
        <f>IFERROR(__xludf.DUMMYFUNCTION("""COMPUTED_VALUE"""),46082.0)</f>
        <v>46082</v>
      </c>
      <c r="B1558" s="1" t="str">
        <f>IFERROR(__xludf.DUMMYFUNCTION("""COMPUTED_VALUE"""),"Istiklal")</f>
        <v>Istiklal</v>
      </c>
      <c r="C1558" s="1" t="str">
        <f>IFERROR(__xludf.DUMMYFUNCTION("""COMPUTED_VALUE"""),"Corissant Karuzo")</f>
        <v>Corissant Karuzo</v>
      </c>
      <c r="D1558" s="1">
        <f>IFERROR(__xludf.DUMMYFUNCTION("""COMPUTED_VALUE"""),76.0)</f>
        <v>76</v>
      </c>
      <c r="E1558" s="1">
        <f>IFERROR(__xludf.DUMMYFUNCTION("""COMPUTED_VALUE"""),16.53)</f>
        <v>16.53</v>
      </c>
      <c r="F1558" s="1">
        <f>IFERROR(__xludf.DUMMYFUNCTION("""COMPUTED_VALUE"""),19.0)</f>
        <v>19</v>
      </c>
    </row>
    <row r="1559">
      <c r="A1559" s="3">
        <f>IFERROR(__xludf.DUMMYFUNCTION("""COMPUTED_VALUE"""),46082.0)</f>
        <v>46082</v>
      </c>
      <c r="B1559" s="1" t="str">
        <f>IFERROR(__xludf.DUMMYFUNCTION("""COMPUTED_VALUE"""),"Istiklal")</f>
        <v>Istiklal</v>
      </c>
      <c r="C1559" s="1" t="str">
        <f>IFERROR(__xludf.DUMMYFUNCTION("""COMPUTED_VALUE"""),"Doritos cool ranc")</f>
        <v>Doritos cool ranc</v>
      </c>
      <c r="D1559" s="1">
        <f>IFERROR(__xludf.DUMMYFUNCTION("""COMPUTED_VALUE"""),260.0)</f>
        <v>260</v>
      </c>
      <c r="E1559" s="1">
        <f>IFERROR(__xludf.DUMMYFUNCTION("""COMPUTED_VALUE"""),107.64)</f>
        <v>107.64</v>
      </c>
      <c r="F1559" s="1">
        <f>IFERROR(__xludf.DUMMYFUNCTION("""COMPUTED_VALUE"""),52.0)</f>
        <v>52</v>
      </c>
    </row>
    <row r="1560">
      <c r="A1560" s="3">
        <f>IFERROR(__xludf.DUMMYFUNCTION("""COMPUTED_VALUE"""),46082.0)</f>
        <v>46082</v>
      </c>
      <c r="B1560" s="1" t="str">
        <f>IFERROR(__xludf.DUMMYFUNCTION("""COMPUTED_VALUE"""),"Istiklal")</f>
        <v>Istiklal</v>
      </c>
      <c r="C1560" s="1" t="str">
        <f>IFERROR(__xludf.DUMMYFUNCTION("""COMPUTED_VALUE"""),"Doritos green hot")</f>
        <v>Doritos green hot</v>
      </c>
      <c r="D1560" s="1">
        <f>IFERROR(__xludf.DUMMYFUNCTION("""COMPUTED_VALUE"""),75.0)</f>
        <v>75</v>
      </c>
      <c r="E1560" s="1">
        <f>IFERROR(__xludf.DUMMYFUNCTION("""COMPUTED_VALUE"""),31.05)</f>
        <v>31.05</v>
      </c>
      <c r="F1560" s="1">
        <f>IFERROR(__xludf.DUMMYFUNCTION("""COMPUTED_VALUE"""),15.0)</f>
        <v>15</v>
      </c>
    </row>
    <row r="1561">
      <c r="A1561" s="3">
        <f>IFERROR(__xludf.DUMMYFUNCTION("""COMPUTED_VALUE"""),46082.0)</f>
        <v>46082</v>
      </c>
      <c r="B1561" s="1" t="str">
        <f>IFERROR(__xludf.DUMMYFUNCTION("""COMPUTED_VALUE"""),"Istiklal")</f>
        <v>Istiklal</v>
      </c>
      <c r="C1561" s="1" t="str">
        <f>IFERROR(__xludf.DUMMYFUNCTION("""COMPUTED_VALUE"""),"Doritos nacho")</f>
        <v>Doritos nacho</v>
      </c>
      <c r="D1561" s="1">
        <f>IFERROR(__xludf.DUMMYFUNCTION("""COMPUTED_VALUE"""),195.0)</f>
        <v>195</v>
      </c>
      <c r="E1561" s="1">
        <f>IFERROR(__xludf.DUMMYFUNCTION("""COMPUTED_VALUE"""),80.73)</f>
        <v>80.73</v>
      </c>
      <c r="F1561" s="1">
        <f>IFERROR(__xludf.DUMMYFUNCTION("""COMPUTED_VALUE"""),39.0)</f>
        <v>39</v>
      </c>
    </row>
    <row r="1562">
      <c r="A1562" s="3">
        <f>IFERROR(__xludf.DUMMYFUNCTION("""COMPUTED_VALUE"""),46082.0)</f>
        <v>46082</v>
      </c>
      <c r="B1562" s="1" t="str">
        <f>IFERROR(__xludf.DUMMYFUNCTION("""COMPUTED_VALUE"""),"Istiklal")</f>
        <v>Istiklal</v>
      </c>
      <c r="C1562" s="1" t="str">
        <f>IFERROR(__xludf.DUMMYFUNCTION("""COMPUTED_VALUE"""),"Doritos red hot")</f>
        <v>Doritos red hot</v>
      </c>
      <c r="D1562" s="1">
        <f>IFERROR(__xludf.DUMMYFUNCTION("""COMPUTED_VALUE"""),70.0)</f>
        <v>70</v>
      </c>
      <c r="E1562" s="1">
        <f>IFERROR(__xludf.DUMMYFUNCTION("""COMPUTED_VALUE"""),28.98)</f>
        <v>28.98</v>
      </c>
      <c r="F1562" s="1">
        <f>IFERROR(__xludf.DUMMYFUNCTION("""COMPUTED_VALUE"""),14.0)</f>
        <v>14</v>
      </c>
    </row>
    <row r="1563">
      <c r="A1563" s="3">
        <f>IFERROR(__xludf.DUMMYFUNCTION("""COMPUTED_VALUE"""),46082.0)</f>
        <v>46082</v>
      </c>
      <c r="B1563" s="1" t="str">
        <f>IFERROR(__xludf.DUMMYFUNCTION("""COMPUTED_VALUE"""),"Istiklal")</f>
        <v>Istiklal</v>
      </c>
      <c r="C1563" s="1" t="str">
        <f>IFERROR(__xludf.DUMMYFUNCTION("""COMPUTED_VALUE"""),"Freez")</f>
        <v>Freez</v>
      </c>
      <c r="D1563" s="1">
        <f>IFERROR(__xludf.DUMMYFUNCTION("""COMPUTED_VALUE"""),11.0)</f>
        <v>11</v>
      </c>
      <c r="E1563" s="1">
        <f>IFERROR(__xludf.DUMMYFUNCTION("""COMPUTED_VALUE"""),4.18)</f>
        <v>4.18</v>
      </c>
      <c r="F1563" s="1">
        <f>IFERROR(__xludf.DUMMYFUNCTION("""COMPUTED_VALUE"""),2.0)</f>
        <v>2</v>
      </c>
    </row>
    <row r="1564">
      <c r="A1564" s="3">
        <f>IFERROR(__xludf.DUMMYFUNCTION("""COMPUTED_VALUE"""),46082.0)</f>
        <v>46082</v>
      </c>
      <c r="B1564" s="1" t="str">
        <f>IFERROR(__xludf.DUMMYFUNCTION("""COMPUTED_VALUE"""),"Istiklal")</f>
        <v>Istiklal</v>
      </c>
      <c r="C1564" s="1" t="str">
        <f>IFERROR(__xludf.DUMMYFUNCTION("""COMPUTED_VALUE"""),"Galaxy wafer roll")</f>
        <v>Galaxy wafer roll</v>
      </c>
      <c r="D1564" s="1">
        <f>IFERROR(__xludf.DUMMYFUNCTION("""COMPUTED_VALUE"""),96.0)</f>
        <v>96</v>
      </c>
      <c r="E1564" s="1">
        <f>IFERROR(__xludf.DUMMYFUNCTION("""COMPUTED_VALUE"""),44.16)</f>
        <v>44.16</v>
      </c>
      <c r="F1564" s="1">
        <f>IFERROR(__xludf.DUMMYFUNCTION("""COMPUTED_VALUE"""),48.0)</f>
        <v>48</v>
      </c>
    </row>
    <row r="1565">
      <c r="A1565" s="3">
        <f>IFERROR(__xludf.DUMMYFUNCTION("""COMPUTED_VALUE"""),46082.0)</f>
        <v>46082</v>
      </c>
      <c r="B1565" s="1" t="str">
        <f>IFERROR(__xludf.DUMMYFUNCTION("""COMPUTED_VALUE"""),"Istiklal")</f>
        <v>Istiklal</v>
      </c>
      <c r="C1565" s="1" t="str">
        <f>IFERROR(__xludf.DUMMYFUNCTION("""COMPUTED_VALUE"""),"Gardena")</f>
        <v>Gardena</v>
      </c>
      <c r="D1565" s="1">
        <f>IFERROR(__xludf.DUMMYFUNCTION("""COMPUTED_VALUE"""),104.0)</f>
        <v>104</v>
      </c>
      <c r="E1565" s="1">
        <f>IFERROR(__xludf.DUMMYFUNCTION("""COMPUTED_VALUE"""),16.0)</f>
        <v>16</v>
      </c>
      <c r="F1565" s="1">
        <f>IFERROR(__xludf.DUMMYFUNCTION("""COMPUTED_VALUE"""),16.0)</f>
        <v>16</v>
      </c>
    </row>
    <row r="1566">
      <c r="A1566" s="3">
        <f>IFERROR(__xludf.DUMMYFUNCTION("""COMPUTED_VALUE"""),46082.0)</f>
        <v>46082</v>
      </c>
      <c r="B1566" s="1" t="str">
        <f>IFERROR(__xludf.DUMMYFUNCTION("""COMPUTED_VALUE"""),"Istiklal")</f>
        <v>Istiklal</v>
      </c>
      <c r="C1566" s="1" t="str">
        <f>IFERROR(__xludf.DUMMYFUNCTION("""COMPUTED_VALUE"""),"Kinder Bueno")</f>
        <v>Kinder Bueno</v>
      </c>
      <c r="D1566" s="1">
        <f>IFERROR(__xludf.DUMMYFUNCTION("""COMPUTED_VALUE"""),212.0)</f>
        <v>212</v>
      </c>
      <c r="E1566" s="1">
        <f>IFERROR(__xludf.DUMMYFUNCTION("""COMPUTED_VALUE"""),30.0)</f>
        <v>30</v>
      </c>
      <c r="F1566" s="1">
        <f>IFERROR(__xludf.DUMMYFUNCTION("""COMPUTED_VALUE"""),26.0)</f>
        <v>26</v>
      </c>
    </row>
    <row r="1567">
      <c r="A1567" s="3">
        <f>IFERROR(__xludf.DUMMYFUNCTION("""COMPUTED_VALUE"""),46082.0)</f>
        <v>46082</v>
      </c>
      <c r="B1567" s="1" t="str">
        <f>IFERROR(__xludf.DUMMYFUNCTION("""COMPUTED_VALUE"""),"Istiklal")</f>
        <v>Istiklal</v>
      </c>
      <c r="C1567" s="1" t="str">
        <f>IFERROR(__xludf.DUMMYFUNCTION("""COMPUTED_VALUE"""),"Kunuz Juice")</f>
        <v>Kunuz Juice</v>
      </c>
      <c r="D1567" s="1">
        <f>IFERROR(__xludf.DUMMYFUNCTION("""COMPUTED_VALUE"""),25.0)</f>
        <v>25</v>
      </c>
      <c r="E1567" s="1">
        <f>IFERROR(__xludf.DUMMYFUNCTION("""COMPUTED_VALUE"""),17.0)</f>
        <v>17</v>
      </c>
      <c r="F1567" s="1">
        <f>IFERROR(__xludf.DUMMYFUNCTION("""COMPUTED_VALUE"""),5.0)</f>
        <v>5</v>
      </c>
    </row>
    <row r="1568">
      <c r="A1568" s="3">
        <f>IFERROR(__xludf.DUMMYFUNCTION("""COMPUTED_VALUE"""),46082.0)</f>
        <v>46082</v>
      </c>
      <c r="B1568" s="1" t="str">
        <f>IFERROR(__xludf.DUMMYFUNCTION("""COMPUTED_VALUE"""),"Istiklal")</f>
        <v>Istiklal</v>
      </c>
      <c r="C1568" s="1" t="str">
        <f>IFERROR(__xludf.DUMMYFUNCTION("""COMPUTED_VALUE"""),"Lavazza")</f>
        <v>Lavazza</v>
      </c>
      <c r="D1568" s="1">
        <f>IFERROR(__xludf.DUMMYFUNCTION("""COMPUTED_VALUE"""),36.0)</f>
        <v>36</v>
      </c>
      <c r="E1568" s="1">
        <f>IFERROR(__xludf.DUMMYFUNCTION("""COMPUTED_VALUE"""),9.0)</f>
        <v>9</v>
      </c>
      <c r="F1568" s="1">
        <f>IFERROR(__xludf.DUMMYFUNCTION("""COMPUTED_VALUE"""),6.0)</f>
        <v>6</v>
      </c>
    </row>
    <row r="1569">
      <c r="A1569" s="3">
        <f>IFERROR(__xludf.DUMMYFUNCTION("""COMPUTED_VALUE"""),46082.0)</f>
        <v>46082</v>
      </c>
      <c r="B1569" s="1" t="str">
        <f>IFERROR(__xludf.DUMMYFUNCTION("""COMPUTED_VALUE"""),"Istiklal")</f>
        <v>Istiklal</v>
      </c>
      <c r="C1569" s="1" t="str">
        <f>IFERROR(__xludf.DUMMYFUNCTION("""COMPUTED_VALUE"""),"Laviva")</f>
        <v>Laviva</v>
      </c>
      <c r="D1569" s="1">
        <f>IFERROR(__xludf.DUMMYFUNCTION("""COMPUTED_VALUE"""),186.5)</f>
        <v>186.5</v>
      </c>
      <c r="E1569" s="1">
        <f>IFERROR(__xludf.DUMMYFUNCTION("""COMPUTED_VALUE"""),69.5)</f>
        <v>69.5</v>
      </c>
      <c r="F1569" s="1">
        <f>IFERROR(__xludf.DUMMYFUNCTION("""COMPUTED_VALUE"""),52.0)</f>
        <v>52</v>
      </c>
    </row>
    <row r="1570">
      <c r="A1570" s="3">
        <f>IFERROR(__xludf.DUMMYFUNCTION("""COMPUTED_VALUE"""),46082.0)</f>
        <v>46082</v>
      </c>
      <c r="B1570" s="1" t="str">
        <f>IFERROR(__xludf.DUMMYFUNCTION("""COMPUTED_VALUE"""),"Istiklal")</f>
        <v>Istiklal</v>
      </c>
      <c r="C1570" s="1" t="str">
        <f>IFERROR(__xludf.DUMMYFUNCTION("""COMPUTED_VALUE"""),"Lovita cookies")</f>
        <v>Lovita cookies</v>
      </c>
      <c r="D1570" s="1">
        <f>IFERROR(__xludf.DUMMYFUNCTION("""COMPUTED_VALUE"""),98.5)</f>
        <v>98.5</v>
      </c>
      <c r="E1570" s="1">
        <f>IFERROR(__xludf.DUMMYFUNCTION("""COMPUTED_VALUE"""),31.16)</f>
        <v>31.16</v>
      </c>
      <c r="F1570" s="1">
        <f>IFERROR(__xludf.DUMMYFUNCTION("""COMPUTED_VALUE"""),13.0)</f>
        <v>13</v>
      </c>
    </row>
    <row r="1571">
      <c r="A1571" s="3">
        <f>IFERROR(__xludf.DUMMYFUNCTION("""COMPUTED_VALUE"""),46082.0)</f>
        <v>46082</v>
      </c>
      <c r="B1571" s="1" t="str">
        <f>IFERROR(__xludf.DUMMYFUNCTION("""COMPUTED_VALUE"""),"Istiklal")</f>
        <v>Istiklal</v>
      </c>
      <c r="C1571" s="1" t="str">
        <f>IFERROR(__xludf.DUMMYFUNCTION("""COMPUTED_VALUE"""),"MR Crunch")</f>
        <v>MR Crunch</v>
      </c>
      <c r="D1571" s="1">
        <f>IFERROR(__xludf.DUMMYFUNCTION("""COMPUTED_VALUE"""),360.0)</f>
        <v>360</v>
      </c>
      <c r="E1571" s="1">
        <f>IFERROR(__xludf.DUMMYFUNCTION("""COMPUTED_VALUE"""),144.0)</f>
        <v>144</v>
      </c>
      <c r="F1571" s="1">
        <f>IFERROR(__xludf.DUMMYFUNCTION("""COMPUTED_VALUE"""),72.0)</f>
        <v>72</v>
      </c>
    </row>
    <row r="1572">
      <c r="A1572" s="3">
        <f>IFERROR(__xludf.DUMMYFUNCTION("""COMPUTED_VALUE"""),46082.0)</f>
        <v>46082</v>
      </c>
      <c r="B1572" s="1" t="str">
        <f>IFERROR(__xludf.DUMMYFUNCTION("""COMPUTED_VALUE"""),"Istiklal")</f>
        <v>Istiklal</v>
      </c>
      <c r="C1572" s="1" t="str">
        <f>IFERROR(__xludf.DUMMYFUNCTION("""COMPUTED_VALUE"""),"Maltesers")</f>
        <v>Maltesers</v>
      </c>
      <c r="D1572" s="1">
        <f>IFERROR(__xludf.DUMMYFUNCTION("""COMPUTED_VALUE"""),68.0)</f>
        <v>68</v>
      </c>
      <c r="E1572" s="1">
        <f>IFERROR(__xludf.DUMMYFUNCTION("""COMPUTED_VALUE"""),8.0)</f>
        <v>8</v>
      </c>
      <c r="F1572" s="1">
        <f>IFERROR(__xludf.DUMMYFUNCTION("""COMPUTED_VALUE"""),8.0)</f>
        <v>8</v>
      </c>
    </row>
    <row r="1573">
      <c r="A1573" s="3">
        <f>IFERROR(__xludf.DUMMYFUNCTION("""COMPUTED_VALUE"""),46082.0)</f>
        <v>46082</v>
      </c>
      <c r="B1573" s="1" t="str">
        <f>IFERROR(__xludf.DUMMYFUNCTION("""COMPUTED_VALUE"""),"Istiklal")</f>
        <v>Istiklal</v>
      </c>
      <c r="C1573" s="1" t="str">
        <f>IFERROR(__xludf.DUMMYFUNCTION("""COMPUTED_VALUE"""),"Mars")</f>
        <v>Mars</v>
      </c>
      <c r="D1573" s="1">
        <f>IFERROR(__xludf.DUMMYFUNCTION("""COMPUTED_VALUE"""),36.0)</f>
        <v>36</v>
      </c>
      <c r="E1573" s="1">
        <f>IFERROR(__xludf.DUMMYFUNCTION("""COMPUTED_VALUE"""),3.0)</f>
        <v>3</v>
      </c>
      <c r="F1573" s="1">
        <f>IFERROR(__xludf.DUMMYFUNCTION("""COMPUTED_VALUE"""),6.0)</f>
        <v>6</v>
      </c>
    </row>
    <row r="1574">
      <c r="A1574" s="3">
        <f>IFERROR(__xludf.DUMMYFUNCTION("""COMPUTED_VALUE"""),46082.0)</f>
        <v>46082</v>
      </c>
      <c r="B1574" s="1" t="str">
        <f>IFERROR(__xludf.DUMMYFUNCTION("""COMPUTED_VALUE"""),"Istiklal")</f>
        <v>Istiklal</v>
      </c>
      <c r="C1574" s="1" t="str">
        <f>IFERROR(__xludf.DUMMYFUNCTION("""COMPUTED_VALUE"""),"Mirinda")</f>
        <v>Mirinda</v>
      </c>
      <c r="D1574" s="1">
        <f>IFERROR(__xludf.DUMMYFUNCTION("""COMPUTED_VALUE"""),78.0)</f>
        <v>78</v>
      </c>
      <c r="E1574" s="1">
        <f>IFERROR(__xludf.DUMMYFUNCTION("""COMPUTED_VALUE"""),19.5)</f>
        <v>19.5</v>
      </c>
      <c r="F1574" s="1">
        <f>IFERROR(__xludf.DUMMYFUNCTION("""COMPUTED_VALUE"""),26.0)</f>
        <v>26</v>
      </c>
    </row>
    <row r="1575">
      <c r="A1575" s="3">
        <f>IFERROR(__xludf.DUMMYFUNCTION("""COMPUTED_VALUE"""),46082.0)</f>
        <v>46082</v>
      </c>
      <c r="B1575" s="1" t="str">
        <f>IFERROR(__xludf.DUMMYFUNCTION("""COMPUTED_VALUE"""),"Istiklal")</f>
        <v>Istiklal</v>
      </c>
      <c r="C1575" s="1" t="str">
        <f>IFERROR(__xludf.DUMMYFUNCTION("""COMPUTED_VALUE"""),"Pepsi")</f>
        <v>Pepsi</v>
      </c>
      <c r="D1575" s="1">
        <f>IFERROR(__xludf.DUMMYFUNCTION("""COMPUTED_VALUE"""),252.0)</f>
        <v>252</v>
      </c>
      <c r="E1575" s="1">
        <f>IFERROR(__xludf.DUMMYFUNCTION("""COMPUTED_VALUE"""),63.0)</f>
        <v>63</v>
      </c>
      <c r="F1575" s="1">
        <f>IFERROR(__xludf.DUMMYFUNCTION("""COMPUTED_VALUE"""),84.0)</f>
        <v>84</v>
      </c>
    </row>
    <row r="1576">
      <c r="A1576" s="3">
        <f>IFERROR(__xludf.DUMMYFUNCTION("""COMPUTED_VALUE"""),46082.0)</f>
        <v>46082</v>
      </c>
      <c r="B1576" s="1" t="str">
        <f>IFERROR(__xludf.DUMMYFUNCTION("""COMPUTED_VALUE"""),"Istiklal")</f>
        <v>Istiklal</v>
      </c>
      <c r="C1576" s="1" t="str">
        <f>IFERROR(__xludf.DUMMYFUNCTION("""COMPUTED_VALUE"""),"Rayhan suntop")</f>
        <v>Rayhan suntop</v>
      </c>
      <c r="D1576" s="1">
        <f>IFERROR(__xludf.DUMMYFUNCTION("""COMPUTED_VALUE"""),117.0)</f>
        <v>117</v>
      </c>
      <c r="E1576" s="1">
        <f>IFERROR(__xludf.DUMMYFUNCTION("""COMPUTED_VALUE"""),37.44)</f>
        <v>37.44</v>
      </c>
      <c r="F1576" s="1">
        <f>IFERROR(__xludf.DUMMYFUNCTION("""COMPUTED_VALUE"""),117.0)</f>
        <v>117</v>
      </c>
    </row>
    <row r="1577">
      <c r="A1577" s="3">
        <f>IFERROR(__xludf.DUMMYFUNCTION("""COMPUTED_VALUE"""),46082.0)</f>
        <v>46082</v>
      </c>
      <c r="B1577" s="1" t="str">
        <f>IFERROR(__xludf.DUMMYFUNCTION("""COMPUTED_VALUE"""),"Istiklal")</f>
        <v>Istiklal</v>
      </c>
      <c r="C1577" s="1" t="str">
        <f>IFERROR(__xludf.DUMMYFUNCTION("""COMPUTED_VALUE"""),"Savi stix")</f>
        <v>Savi stix</v>
      </c>
      <c r="D1577" s="1">
        <f>IFERROR(__xludf.DUMMYFUNCTION("""COMPUTED_VALUE"""),45.0)</f>
        <v>45</v>
      </c>
      <c r="E1577" s="1">
        <f>IFERROR(__xludf.DUMMYFUNCTION("""COMPUTED_VALUE"""),12.6)</f>
        <v>12.6</v>
      </c>
      <c r="F1577" s="1">
        <f>IFERROR(__xludf.DUMMYFUNCTION("""COMPUTED_VALUE"""),9.0)</f>
        <v>9</v>
      </c>
    </row>
    <row r="1578">
      <c r="A1578" s="3">
        <f>IFERROR(__xludf.DUMMYFUNCTION("""COMPUTED_VALUE"""),46082.0)</f>
        <v>46082</v>
      </c>
      <c r="B1578" s="1" t="str">
        <f>IFERROR(__xludf.DUMMYFUNCTION("""COMPUTED_VALUE"""),"Istiklal")</f>
        <v>Istiklal</v>
      </c>
      <c r="C1578" s="1" t="str">
        <f>IFERROR(__xludf.DUMMYFUNCTION("""COMPUTED_VALUE"""),"Schweppes bullet")</f>
        <v>Schweppes bullet</v>
      </c>
      <c r="D1578" s="1">
        <f>IFERROR(__xludf.DUMMYFUNCTION("""COMPUTED_VALUE"""),51.0)</f>
        <v>51</v>
      </c>
      <c r="E1578" s="1">
        <f>IFERROR(__xludf.DUMMYFUNCTION("""COMPUTED_VALUE"""),21.25)</f>
        <v>21.25</v>
      </c>
      <c r="F1578" s="1">
        <f>IFERROR(__xludf.DUMMYFUNCTION("""COMPUTED_VALUE"""),17.0)</f>
        <v>17</v>
      </c>
    </row>
    <row r="1579">
      <c r="A1579" s="3">
        <f>IFERROR(__xludf.DUMMYFUNCTION("""COMPUTED_VALUE"""),46082.0)</f>
        <v>46082</v>
      </c>
      <c r="B1579" s="1" t="str">
        <f>IFERROR(__xludf.DUMMYFUNCTION("""COMPUTED_VALUE"""),"Istiklal")</f>
        <v>Istiklal</v>
      </c>
      <c r="C1579" s="1" t="str">
        <f>IFERROR(__xludf.DUMMYFUNCTION("""COMPUTED_VALUE"""),"Shada up")</f>
        <v>Shada up</v>
      </c>
      <c r="D1579" s="1">
        <f>IFERROR(__xludf.DUMMYFUNCTION("""COMPUTED_VALUE"""),12.5)</f>
        <v>12.5</v>
      </c>
      <c r="E1579" s="1">
        <f>IFERROR(__xludf.DUMMYFUNCTION("""COMPUTED_VALUE"""),5.45)</f>
        <v>5.45</v>
      </c>
      <c r="F1579" s="1">
        <f>IFERROR(__xludf.DUMMYFUNCTION("""COMPUTED_VALUE"""),5.0)</f>
        <v>5</v>
      </c>
    </row>
    <row r="1580">
      <c r="A1580" s="3">
        <f>IFERROR(__xludf.DUMMYFUNCTION("""COMPUTED_VALUE"""),46082.0)</f>
        <v>46082</v>
      </c>
      <c r="B1580" s="1" t="str">
        <f>IFERROR(__xludf.DUMMYFUNCTION("""COMPUTED_VALUE"""),"Istiklal")</f>
        <v>Istiklal</v>
      </c>
      <c r="C1580" s="1" t="str">
        <f>IFERROR(__xludf.DUMMYFUNCTION("""COMPUTED_VALUE"""),"Shani")</f>
        <v>Shani</v>
      </c>
      <c r="D1580" s="1">
        <f>IFERROR(__xludf.DUMMYFUNCTION("""COMPUTED_VALUE"""),147.0)</f>
        <v>147</v>
      </c>
      <c r="E1580" s="1">
        <f>IFERROR(__xludf.DUMMYFUNCTION("""COMPUTED_VALUE"""),36.75)</f>
        <v>36.75</v>
      </c>
      <c r="F1580" s="1">
        <f>IFERROR(__xludf.DUMMYFUNCTION("""COMPUTED_VALUE"""),49.0)</f>
        <v>49</v>
      </c>
    </row>
    <row r="1581">
      <c r="A1581" s="3">
        <f>IFERROR(__xludf.DUMMYFUNCTION("""COMPUTED_VALUE"""),46082.0)</f>
        <v>46082</v>
      </c>
      <c r="B1581" s="1" t="str">
        <f>IFERROR(__xludf.DUMMYFUNCTION("""COMPUTED_VALUE"""),"Istiklal")</f>
        <v>Istiklal</v>
      </c>
      <c r="C1581" s="1" t="str">
        <f>IFERROR(__xludf.DUMMYFUNCTION("""COMPUTED_VALUE"""),"Snickers wafer roll")</f>
        <v>Snickers wafer roll</v>
      </c>
      <c r="D1581" s="1">
        <f>IFERROR(__xludf.DUMMYFUNCTION("""COMPUTED_VALUE"""),26.0)</f>
        <v>26</v>
      </c>
      <c r="E1581" s="1">
        <f>IFERROR(__xludf.DUMMYFUNCTION("""COMPUTED_VALUE"""),11.44)</f>
        <v>11.44</v>
      </c>
      <c r="F1581" s="1">
        <f>IFERROR(__xludf.DUMMYFUNCTION("""COMPUTED_VALUE"""),13.0)</f>
        <v>13</v>
      </c>
    </row>
    <row r="1582">
      <c r="A1582" s="3">
        <f>IFERROR(__xludf.DUMMYFUNCTION("""COMPUTED_VALUE"""),46082.0)</f>
        <v>46082</v>
      </c>
      <c r="B1582" s="1" t="str">
        <f>IFERROR(__xludf.DUMMYFUNCTION("""COMPUTED_VALUE"""),"Istiklal")</f>
        <v>Istiklal</v>
      </c>
      <c r="C1582" s="1" t="str">
        <f>IFERROR(__xludf.DUMMYFUNCTION("""COMPUTED_VALUE"""),"Sweeto jelly")</f>
        <v>Sweeto jelly</v>
      </c>
      <c r="D1582" s="1">
        <f>IFERROR(__xludf.DUMMYFUNCTION("""COMPUTED_VALUE"""),15.0)</f>
        <v>15</v>
      </c>
      <c r="E1582" s="1">
        <f>IFERROR(__xludf.DUMMYFUNCTION("""COMPUTED_VALUE"""),4.02)</f>
        <v>4.02</v>
      </c>
      <c r="F1582" s="1">
        <f>IFERROR(__xludf.DUMMYFUNCTION("""COMPUTED_VALUE"""),3.0)</f>
        <v>3</v>
      </c>
    </row>
    <row r="1583">
      <c r="A1583" s="3">
        <f>IFERROR(__xludf.DUMMYFUNCTION("""COMPUTED_VALUE"""),46082.0)</f>
        <v>46082</v>
      </c>
      <c r="B1583" s="1" t="str">
        <f>IFERROR(__xludf.DUMMYFUNCTION("""COMPUTED_VALUE"""),"Istiklal")</f>
        <v>Istiklal</v>
      </c>
      <c r="C1583" s="1" t="str">
        <f>IFERROR(__xludf.DUMMYFUNCTION("""COMPUTED_VALUE"""),"Tiger excellence")</f>
        <v>Tiger excellence</v>
      </c>
      <c r="D1583" s="1">
        <f>IFERROR(__xludf.DUMMYFUNCTION("""COMPUTED_VALUE"""),65.0)</f>
        <v>65</v>
      </c>
      <c r="E1583" s="1">
        <f>IFERROR(__xludf.DUMMYFUNCTION("""COMPUTED_VALUE"""),35.75)</f>
        <v>35.75</v>
      </c>
      <c r="F1583" s="1">
        <f>IFERROR(__xludf.DUMMYFUNCTION("""COMPUTED_VALUE"""),13.0)</f>
        <v>13</v>
      </c>
    </row>
    <row r="1584">
      <c r="A1584" s="3">
        <f>IFERROR(__xludf.DUMMYFUNCTION("""COMPUTED_VALUE"""),46082.0)</f>
        <v>46082</v>
      </c>
      <c r="B1584" s="1" t="str">
        <f>IFERROR(__xludf.DUMMYFUNCTION("""COMPUTED_VALUE"""),"Istiklal")</f>
        <v>Istiklal</v>
      </c>
      <c r="C1584" s="1" t="str">
        <f>IFERROR(__xludf.DUMMYFUNCTION("""COMPUTED_VALUE"""),"Toblerone")</f>
        <v>Toblerone</v>
      </c>
      <c r="D1584" s="1">
        <f>IFERROR(__xludf.DUMMYFUNCTION("""COMPUTED_VALUE"""),20.0)</f>
        <v>20</v>
      </c>
      <c r="E1584" s="1">
        <f>IFERROR(__xludf.DUMMYFUNCTION("""COMPUTED_VALUE"""),-3.95)</f>
        <v>-3.95</v>
      </c>
      <c r="F1584" s="1">
        <f>IFERROR(__xludf.DUMMYFUNCTION("""COMPUTED_VALUE"""),5.0)</f>
        <v>5</v>
      </c>
    </row>
    <row r="1585">
      <c r="A1585" s="3">
        <f>IFERROR(__xludf.DUMMYFUNCTION("""COMPUTED_VALUE"""),46082.0)</f>
        <v>46082</v>
      </c>
      <c r="B1585" s="1" t="str">
        <f>IFERROR(__xludf.DUMMYFUNCTION("""COMPUTED_VALUE"""),"Istiklal")</f>
        <v>Istiklal</v>
      </c>
      <c r="C1585" s="1" t="str">
        <f>IFERROR(__xludf.DUMMYFUNCTION("""COMPUTED_VALUE"""),"Twix")</f>
        <v>Twix</v>
      </c>
      <c r="D1585" s="1">
        <f>IFERROR(__xludf.DUMMYFUNCTION("""COMPUTED_VALUE"""),42.0)</f>
        <v>42</v>
      </c>
      <c r="E1585" s="1">
        <f>IFERROR(__xludf.DUMMYFUNCTION("""COMPUTED_VALUE"""),7.0)</f>
        <v>7</v>
      </c>
      <c r="F1585" s="1">
        <f>IFERROR(__xludf.DUMMYFUNCTION("""COMPUTED_VALUE"""),7.0)</f>
        <v>7</v>
      </c>
    </row>
    <row r="1586">
      <c r="A1586" s="3">
        <f>IFERROR(__xludf.DUMMYFUNCTION("""COMPUTED_VALUE"""),46082.0)</f>
        <v>46082</v>
      </c>
      <c r="B1586" s="1" t="str">
        <f>IFERROR(__xludf.DUMMYFUNCTION("""COMPUTED_VALUE"""),"Istiklal")</f>
        <v>Istiklal</v>
      </c>
      <c r="C1586" s="1" t="str">
        <f>IFERROR(__xludf.DUMMYFUNCTION("""COMPUTED_VALUE"""),"Twix wafer roll")</f>
        <v>Twix wafer roll</v>
      </c>
      <c r="D1586" s="1">
        <f>IFERROR(__xludf.DUMMYFUNCTION("""COMPUTED_VALUE"""),60.0)</f>
        <v>60</v>
      </c>
      <c r="E1586" s="1">
        <f>IFERROR(__xludf.DUMMYFUNCTION("""COMPUTED_VALUE"""),27.6)</f>
        <v>27.6</v>
      </c>
      <c r="F1586" s="1">
        <f>IFERROR(__xludf.DUMMYFUNCTION("""COMPUTED_VALUE"""),30.0)</f>
        <v>30</v>
      </c>
    </row>
    <row r="1587">
      <c r="A1587" s="3">
        <f>IFERROR(__xludf.DUMMYFUNCTION("""COMPUTED_VALUE"""),46082.0)</f>
        <v>46082</v>
      </c>
      <c r="B1587" s="1" t="str">
        <f>IFERROR(__xludf.DUMMYFUNCTION("""COMPUTED_VALUE"""),"Istiklal")</f>
        <v>Istiklal</v>
      </c>
      <c r="C1587" s="1" t="str">
        <f>IFERROR(__xludf.DUMMYFUNCTION("""COMPUTED_VALUE"""),"Water")</f>
        <v>Water</v>
      </c>
      <c r="D1587" s="1">
        <f>IFERROR(__xludf.DUMMYFUNCTION("""COMPUTED_VALUE"""),329.0)</f>
        <v>329</v>
      </c>
      <c r="E1587" s="1">
        <f>IFERROR(__xludf.DUMMYFUNCTION("""COMPUTED_VALUE"""),236.88)</f>
        <v>236.88</v>
      </c>
      <c r="F1587" s="1">
        <f>IFERROR(__xludf.DUMMYFUNCTION("""COMPUTED_VALUE"""),329.0)</f>
        <v>329</v>
      </c>
    </row>
    <row r="1588">
      <c r="A1588" s="3">
        <f>IFERROR(__xludf.DUMMYFUNCTION("""COMPUTED_VALUE"""),46082.0)</f>
        <v>46082</v>
      </c>
      <c r="B1588" s="1" t="str">
        <f>IFERROR(__xludf.DUMMYFUNCTION("""COMPUTED_VALUE"""),"Istiklal")</f>
        <v>Istiklal</v>
      </c>
      <c r="C1588" s="1" t="str">
        <f>IFERROR(__xludf.DUMMYFUNCTION("""COMPUTED_VALUE"""),"X!R")</f>
        <v>X!R</v>
      </c>
      <c r="D1588" s="1">
        <f>IFERROR(__xludf.DUMMYFUNCTION("""COMPUTED_VALUE"""),305.0)</f>
        <v>305</v>
      </c>
      <c r="E1588" s="1">
        <f>IFERROR(__xludf.DUMMYFUNCTION("""COMPUTED_VALUE"""),43.31)</f>
        <v>43.31</v>
      </c>
      <c r="F1588" s="1">
        <f>IFERROR(__xludf.DUMMYFUNCTION("""COMPUTED_VALUE"""),61.0)</f>
        <v>61</v>
      </c>
    </row>
    <row r="1589">
      <c r="A1589" s="3">
        <f>IFERROR(__xludf.DUMMYFUNCTION("""COMPUTED_VALUE"""),46082.0)</f>
        <v>46082</v>
      </c>
      <c r="B1589" s="1" t="str">
        <f>IFERROR(__xludf.DUMMYFUNCTION("""COMPUTED_VALUE"""),"Istiklal")</f>
        <v>Istiklal</v>
      </c>
      <c r="C1589" s="1" t="str">
        <f>IFERROR(__xludf.DUMMYFUNCTION("""COMPUTED_VALUE"""),"Yumi zak")</f>
        <v>Yumi zak</v>
      </c>
      <c r="D1589" s="1">
        <f>IFERROR(__xludf.DUMMYFUNCTION("""COMPUTED_VALUE"""),21.0)</f>
        <v>21</v>
      </c>
      <c r="E1589" s="1">
        <f>IFERROR(__xludf.DUMMYFUNCTION("""COMPUTED_VALUE"""),7.5)</f>
        <v>7.5</v>
      </c>
      <c r="F1589" s="1">
        <f>IFERROR(__xludf.DUMMYFUNCTION("""COMPUTED_VALUE"""),3.0)</f>
        <v>3</v>
      </c>
    </row>
    <row r="1590">
      <c r="A1590" s="3">
        <f>IFERROR(__xludf.DUMMYFUNCTION("""COMPUTED_VALUE"""),46082.0)</f>
        <v>46082</v>
      </c>
      <c r="B1590" s="1" t="str">
        <f>IFERROR(__xludf.DUMMYFUNCTION("""COMPUTED_VALUE"""),"Istiklal")</f>
        <v>Istiklal</v>
      </c>
      <c r="C1590" s="1" t="str">
        <f>IFERROR(__xludf.DUMMYFUNCTION("""COMPUTED_VALUE"""),"kinza")</f>
        <v>kinza</v>
      </c>
      <c r="D1590" s="1">
        <f>IFERROR(__xludf.DUMMYFUNCTION("""COMPUTED_VALUE"""),4.0)</f>
        <v>4</v>
      </c>
      <c r="E1590" s="1">
        <f>IFERROR(__xludf.DUMMYFUNCTION("""COMPUTED_VALUE"""),0.92)</f>
        <v>0.92</v>
      </c>
      <c r="F1590" s="1">
        <f>IFERROR(__xludf.DUMMYFUNCTION("""COMPUTED_VALUE"""),2.0)</f>
        <v>2</v>
      </c>
    </row>
    <row r="1591">
      <c r="A1591" s="3">
        <f>IFERROR(__xludf.DUMMYFUNCTION("""COMPUTED_VALUE"""),46082.0)</f>
        <v>46082</v>
      </c>
      <c r="B1591" s="1" t="str">
        <f>IFERROR(__xludf.DUMMYFUNCTION("""COMPUTED_VALUE"""),"Istiklal")</f>
        <v>Istiklal</v>
      </c>
      <c r="C1591" s="1" t="str">
        <f>IFERROR(__xludf.DUMMYFUNCTION("""COMPUTED_VALUE"""),"mr bite")</f>
        <v>mr bite</v>
      </c>
      <c r="D1591" s="1">
        <f>IFERROR(__xludf.DUMMYFUNCTION("""COMPUTED_VALUE"""),105.0)</f>
        <v>105</v>
      </c>
      <c r="E1591" s="1">
        <f>IFERROR(__xludf.DUMMYFUNCTION("""COMPUTED_VALUE"""),42.35)</f>
        <v>42.35</v>
      </c>
      <c r="F1591" s="1">
        <f>IFERROR(__xludf.DUMMYFUNCTION("""COMPUTED_VALUE"""),35.0)</f>
        <v>35</v>
      </c>
    </row>
    <row r="1592">
      <c r="A1592" s="3">
        <f>IFERROR(__xludf.DUMMYFUNCTION("""COMPUTED_VALUE"""),46082.0)</f>
        <v>46082</v>
      </c>
      <c r="B1592" s="1" t="str">
        <f>IFERROR(__xludf.DUMMYFUNCTION("""COMPUTED_VALUE"""),"Istiklal")</f>
        <v>Istiklal</v>
      </c>
      <c r="C1592" s="1" t="str">
        <f>IFERROR(__xludf.DUMMYFUNCTION("""COMPUTED_VALUE"""),"mr.bite strike")</f>
        <v>mr.bite strike</v>
      </c>
      <c r="D1592" s="1">
        <f>IFERROR(__xludf.DUMMYFUNCTION("""COMPUTED_VALUE"""),3.0)</f>
        <v>3</v>
      </c>
      <c r="E1592" s="1">
        <f>IFERROR(__xludf.DUMMYFUNCTION("""COMPUTED_VALUE"""),1.13)</f>
        <v>1.13</v>
      </c>
      <c r="F1592" s="1">
        <f>IFERROR(__xludf.DUMMYFUNCTION("""COMPUTED_VALUE"""),1.0)</f>
        <v>1</v>
      </c>
    </row>
    <row r="1593">
      <c r="A1593" s="3">
        <f>IFERROR(__xludf.DUMMYFUNCTION("""COMPUTED_VALUE"""),46082.0)</f>
        <v>46082</v>
      </c>
      <c r="B1593" s="1" t="str">
        <f>IFERROR(__xludf.DUMMYFUNCTION("""COMPUTED_VALUE"""),"Istiklal")</f>
        <v>Istiklal</v>
      </c>
      <c r="C1593" s="1" t="str">
        <f>IFERROR(__xludf.DUMMYFUNCTION("""COMPUTED_VALUE"""),"vitrac")</f>
        <v>vitrac</v>
      </c>
      <c r="D1593" s="1">
        <f>IFERROR(__xludf.DUMMYFUNCTION("""COMPUTED_VALUE"""),90.0)</f>
        <v>90</v>
      </c>
      <c r="E1593" s="1">
        <f>IFERROR(__xludf.DUMMYFUNCTION("""COMPUTED_VALUE"""),61.2)</f>
        <v>61.2</v>
      </c>
      <c r="F1593" s="1">
        <f>IFERROR(__xludf.DUMMYFUNCTION("""COMPUTED_VALUE"""),18.0)</f>
        <v>18</v>
      </c>
    </row>
    <row r="1594">
      <c r="A1594" s="3">
        <f>IFERROR(__xludf.DUMMYFUNCTION("""COMPUTED_VALUE"""),46082.0)</f>
        <v>46082</v>
      </c>
      <c r="B1594" s="1" t="str">
        <f>IFERROR(__xludf.DUMMYFUNCTION("""COMPUTED_VALUE"""),"Istiklal")</f>
        <v>Istiklal</v>
      </c>
      <c r="C1594" s="1" t="str">
        <f>IFERROR(__xludf.DUMMYFUNCTION("""COMPUTED_VALUE"""),"wafe'up")</f>
        <v>wafe'up</v>
      </c>
      <c r="D1594" s="1">
        <f>IFERROR(__xludf.DUMMYFUNCTION("""COMPUTED_VALUE"""),21.0)</f>
        <v>21</v>
      </c>
      <c r="E1594" s="1">
        <f>IFERROR(__xludf.DUMMYFUNCTION("""COMPUTED_VALUE"""),5.25)</f>
        <v>5.25</v>
      </c>
      <c r="F1594" s="1">
        <f>IFERROR(__xludf.DUMMYFUNCTION("""COMPUTED_VALUE"""),7.0)</f>
        <v>7</v>
      </c>
    </row>
    <row r="1595">
      <c r="A1595" s="3">
        <f>IFERROR(__xludf.DUMMYFUNCTION("""COMPUTED_VALUE"""),46082.0)</f>
        <v>46082</v>
      </c>
      <c r="B1595" s="1" t="str">
        <f>IFERROR(__xludf.DUMMYFUNCTION("""COMPUTED_VALUE"""),"SeaCost2")</f>
        <v>SeaCost2</v>
      </c>
      <c r="C1595" s="1" t="str">
        <f>IFERROR(__xludf.DUMMYFUNCTION("""COMPUTED_VALUE"""),"Almarai Chocolate")</f>
        <v>Almarai Chocolate</v>
      </c>
      <c r="D1595" s="1">
        <f>IFERROR(__xludf.DUMMYFUNCTION("""COMPUTED_VALUE"""),4.0)</f>
        <v>4</v>
      </c>
      <c r="E1595" s="1">
        <f>IFERROR(__xludf.DUMMYFUNCTION("""COMPUTED_VALUE"""),1.71)</f>
        <v>1.71</v>
      </c>
      <c r="F1595" s="1">
        <f>IFERROR(__xludf.DUMMYFUNCTION("""COMPUTED_VALUE"""),1.0)</f>
        <v>1</v>
      </c>
    </row>
    <row r="1596">
      <c r="A1596" s="3">
        <f>IFERROR(__xludf.DUMMYFUNCTION("""COMPUTED_VALUE"""),46082.0)</f>
        <v>46082</v>
      </c>
      <c r="B1596" s="1" t="str">
        <f>IFERROR(__xludf.DUMMYFUNCTION("""COMPUTED_VALUE"""),"SeaCost2")</f>
        <v>SeaCost2</v>
      </c>
      <c r="C1596" s="1" t="str">
        <f>IFERROR(__xludf.DUMMYFUNCTION("""COMPUTED_VALUE"""),"Almarai Strawberry")</f>
        <v>Almarai Strawberry</v>
      </c>
      <c r="D1596" s="1">
        <f>IFERROR(__xludf.DUMMYFUNCTION("""COMPUTED_VALUE"""),8.0)</f>
        <v>8</v>
      </c>
      <c r="E1596" s="1">
        <f>IFERROR(__xludf.DUMMYFUNCTION("""COMPUTED_VALUE"""),3.42)</f>
        <v>3.42</v>
      </c>
      <c r="F1596" s="1">
        <f>IFERROR(__xludf.DUMMYFUNCTION("""COMPUTED_VALUE"""),2.0)</f>
        <v>2</v>
      </c>
    </row>
    <row r="1597">
      <c r="A1597" s="3">
        <f>IFERROR(__xludf.DUMMYFUNCTION("""COMPUTED_VALUE"""),46082.0)</f>
        <v>46082</v>
      </c>
      <c r="B1597" s="1" t="str">
        <f>IFERROR(__xludf.DUMMYFUNCTION("""COMPUTED_VALUE"""),"SeaCost2")</f>
        <v>SeaCost2</v>
      </c>
      <c r="C1597" s="1" t="str">
        <f>IFERROR(__xludf.DUMMYFUNCTION("""COMPUTED_VALUE"""),"Caser Juice")</f>
        <v>Caser Juice</v>
      </c>
      <c r="D1597" s="1">
        <f>IFERROR(__xludf.DUMMYFUNCTION("""COMPUTED_VALUE"""),12.0)</f>
        <v>12</v>
      </c>
      <c r="E1597" s="1">
        <f>IFERROR(__xludf.DUMMYFUNCTION("""COMPUTED_VALUE"""),3.74)</f>
        <v>3.74</v>
      </c>
      <c r="F1597" s="1">
        <f>IFERROR(__xludf.DUMMYFUNCTION("""COMPUTED_VALUE"""),2.0)</f>
        <v>2</v>
      </c>
    </row>
    <row r="1598">
      <c r="A1598" s="3">
        <f>IFERROR(__xludf.DUMMYFUNCTION("""COMPUTED_VALUE"""),46082.0)</f>
        <v>46082</v>
      </c>
      <c r="B1598" s="1" t="str">
        <f>IFERROR(__xludf.DUMMYFUNCTION("""COMPUTED_VALUE"""),"SeaCost2")</f>
        <v>SeaCost2</v>
      </c>
      <c r="C1598" s="1" t="str">
        <f>IFERROR(__xludf.DUMMYFUNCTION("""COMPUTED_VALUE"""),"Chillax chips")</f>
        <v>Chillax chips</v>
      </c>
      <c r="D1598" s="1">
        <f>IFERROR(__xludf.DUMMYFUNCTION("""COMPUTED_VALUE"""),96.0)</f>
        <v>96</v>
      </c>
      <c r="E1598" s="1">
        <f>IFERROR(__xludf.DUMMYFUNCTION("""COMPUTED_VALUE"""),54.0)</f>
        <v>54</v>
      </c>
      <c r="F1598" s="1">
        <f>IFERROR(__xludf.DUMMYFUNCTION("""COMPUTED_VALUE"""),12.0)</f>
        <v>12</v>
      </c>
    </row>
    <row r="1599">
      <c r="A1599" s="3">
        <f>IFERROR(__xludf.DUMMYFUNCTION("""COMPUTED_VALUE"""),46082.0)</f>
        <v>46082</v>
      </c>
      <c r="B1599" s="1" t="str">
        <f>IFERROR(__xludf.DUMMYFUNCTION("""COMPUTED_VALUE"""),"SeaCost2")</f>
        <v>SeaCost2</v>
      </c>
      <c r="C1599" s="1" t="str">
        <f>IFERROR(__xludf.DUMMYFUNCTION("""COMPUTED_VALUE"""),"Coach Suntop")</f>
        <v>Coach Suntop</v>
      </c>
      <c r="D1599" s="1">
        <f>IFERROR(__xludf.DUMMYFUNCTION("""COMPUTED_VALUE"""),14.0)</f>
        <v>14</v>
      </c>
      <c r="E1599" s="1">
        <f>IFERROR(__xludf.DUMMYFUNCTION("""COMPUTED_VALUE"""),10.85)</f>
        <v>10.85</v>
      </c>
      <c r="F1599" s="1">
        <f>IFERROR(__xludf.DUMMYFUNCTION("""COMPUTED_VALUE"""),7.0)</f>
        <v>7</v>
      </c>
    </row>
    <row r="1600">
      <c r="A1600" s="3">
        <f>IFERROR(__xludf.DUMMYFUNCTION("""COMPUTED_VALUE"""),46082.0)</f>
        <v>46082</v>
      </c>
      <c r="B1600" s="1" t="str">
        <f>IFERROR(__xludf.DUMMYFUNCTION("""COMPUTED_VALUE"""),"SeaCost2")</f>
        <v>SeaCost2</v>
      </c>
      <c r="C1600" s="1" t="str">
        <f>IFERROR(__xludf.DUMMYFUNCTION("""COMPUTED_VALUE"""),"Dallas juice")</f>
        <v>Dallas juice</v>
      </c>
      <c r="D1600" s="1">
        <f>IFERROR(__xludf.DUMMYFUNCTION("""COMPUTED_VALUE"""),21.0)</f>
        <v>21</v>
      </c>
      <c r="E1600" s="1">
        <f>IFERROR(__xludf.DUMMYFUNCTION("""COMPUTED_VALUE"""),14.63)</f>
        <v>14.63</v>
      </c>
      <c r="F1600" s="1">
        <f>IFERROR(__xludf.DUMMYFUNCTION("""COMPUTED_VALUE"""),7.0)</f>
        <v>7</v>
      </c>
    </row>
    <row r="1601">
      <c r="A1601" s="3">
        <f>IFERROR(__xludf.DUMMYFUNCTION("""COMPUTED_VALUE"""),46082.0)</f>
        <v>46082</v>
      </c>
      <c r="B1601" s="1" t="str">
        <f>IFERROR(__xludf.DUMMYFUNCTION("""COMPUTED_VALUE"""),"SeaCost2")</f>
        <v>SeaCost2</v>
      </c>
      <c r="C1601" s="1" t="str">
        <f>IFERROR(__xludf.DUMMYFUNCTION("""COMPUTED_VALUE"""),"Doritos cool ranc")</f>
        <v>Doritos cool ranc</v>
      </c>
      <c r="D1601" s="1">
        <f>IFERROR(__xludf.DUMMYFUNCTION("""COMPUTED_VALUE"""),182.0)</f>
        <v>182</v>
      </c>
      <c r="E1601" s="1">
        <f>IFERROR(__xludf.DUMMYFUNCTION("""COMPUTED_VALUE"""),105.82)</f>
        <v>105.82</v>
      </c>
      <c r="F1601" s="1">
        <f>IFERROR(__xludf.DUMMYFUNCTION("""COMPUTED_VALUE"""),26.0)</f>
        <v>26</v>
      </c>
    </row>
    <row r="1602">
      <c r="A1602" s="3">
        <f>IFERROR(__xludf.DUMMYFUNCTION("""COMPUTED_VALUE"""),46082.0)</f>
        <v>46082</v>
      </c>
      <c r="B1602" s="1" t="str">
        <f>IFERROR(__xludf.DUMMYFUNCTION("""COMPUTED_VALUE"""),"SeaCost2")</f>
        <v>SeaCost2</v>
      </c>
      <c r="C1602" s="1" t="str">
        <f>IFERROR(__xludf.DUMMYFUNCTION("""COMPUTED_VALUE"""),"Doritos nacho")</f>
        <v>Doritos nacho</v>
      </c>
      <c r="D1602" s="1">
        <f>IFERROR(__xludf.DUMMYFUNCTION("""COMPUTED_VALUE"""),133.0)</f>
        <v>133</v>
      </c>
      <c r="E1602" s="1">
        <f>IFERROR(__xludf.DUMMYFUNCTION("""COMPUTED_VALUE"""),77.33)</f>
        <v>77.33</v>
      </c>
      <c r="F1602" s="1">
        <f>IFERROR(__xludf.DUMMYFUNCTION("""COMPUTED_VALUE"""),19.0)</f>
        <v>19</v>
      </c>
    </row>
    <row r="1603">
      <c r="A1603" s="3">
        <f>IFERROR(__xludf.DUMMYFUNCTION("""COMPUTED_VALUE"""),46082.0)</f>
        <v>46082</v>
      </c>
      <c r="B1603" s="1" t="str">
        <f>IFERROR(__xludf.DUMMYFUNCTION("""COMPUTED_VALUE"""),"SeaCost2")</f>
        <v>SeaCost2</v>
      </c>
      <c r="C1603" s="1" t="str">
        <f>IFERROR(__xludf.DUMMYFUNCTION("""COMPUTED_VALUE"""),"Doritos red hot")</f>
        <v>Doritos red hot</v>
      </c>
      <c r="D1603" s="1">
        <f>IFERROR(__xludf.DUMMYFUNCTION("""COMPUTED_VALUE"""),63.0)</f>
        <v>63</v>
      </c>
      <c r="E1603" s="1">
        <f>IFERROR(__xludf.DUMMYFUNCTION("""COMPUTED_VALUE"""),36.63)</f>
        <v>36.63</v>
      </c>
      <c r="F1603" s="1">
        <f>IFERROR(__xludf.DUMMYFUNCTION("""COMPUTED_VALUE"""),9.0)</f>
        <v>9</v>
      </c>
    </row>
    <row r="1604">
      <c r="A1604" s="3">
        <f>IFERROR(__xludf.DUMMYFUNCTION("""COMPUTED_VALUE"""),46082.0)</f>
        <v>46082</v>
      </c>
      <c r="B1604" s="1" t="str">
        <f>IFERROR(__xludf.DUMMYFUNCTION("""COMPUTED_VALUE"""),"SeaCost2")</f>
        <v>SeaCost2</v>
      </c>
      <c r="C1604" s="1" t="str">
        <f>IFERROR(__xludf.DUMMYFUNCTION("""COMPUTED_VALUE"""),"Laviva")</f>
        <v>Laviva</v>
      </c>
      <c r="D1604" s="1">
        <f>IFERROR(__xludf.DUMMYFUNCTION("""COMPUTED_VALUE"""),64.0)</f>
        <v>64</v>
      </c>
      <c r="E1604" s="1">
        <f>IFERROR(__xludf.DUMMYFUNCTION("""COMPUTED_VALUE"""),28.0)</f>
        <v>28</v>
      </c>
      <c r="F1604" s="1">
        <f>IFERROR(__xludf.DUMMYFUNCTION("""COMPUTED_VALUE"""),16.0)</f>
        <v>16</v>
      </c>
    </row>
    <row r="1605">
      <c r="A1605" s="3">
        <f>IFERROR(__xludf.DUMMYFUNCTION("""COMPUTED_VALUE"""),46082.0)</f>
        <v>46082</v>
      </c>
      <c r="B1605" s="1" t="str">
        <f>IFERROR(__xludf.DUMMYFUNCTION("""COMPUTED_VALUE"""),"SeaCost2")</f>
        <v>SeaCost2</v>
      </c>
      <c r="C1605" s="1" t="str">
        <f>IFERROR(__xludf.DUMMYFUNCTION("""COMPUTED_VALUE"""),"Lovita cookies")</f>
        <v>Lovita cookies</v>
      </c>
      <c r="D1605" s="1">
        <f>IFERROR(__xludf.DUMMYFUNCTION("""COMPUTED_VALUE"""),8.0)</f>
        <v>8</v>
      </c>
      <c r="E1605" s="1">
        <f>IFERROR(__xludf.DUMMYFUNCTION("""COMPUTED_VALUE"""),2.82)</f>
        <v>2.82</v>
      </c>
      <c r="F1605" s="1">
        <f>IFERROR(__xludf.DUMMYFUNCTION("""COMPUTED_VALUE"""),1.0)</f>
        <v>1</v>
      </c>
    </row>
    <row r="1606">
      <c r="A1606" s="3">
        <f>IFERROR(__xludf.DUMMYFUNCTION("""COMPUTED_VALUE"""),46082.0)</f>
        <v>46082</v>
      </c>
      <c r="B1606" s="1" t="str">
        <f>IFERROR(__xludf.DUMMYFUNCTION("""COMPUTED_VALUE"""),"SeaCost2")</f>
        <v>SeaCost2</v>
      </c>
      <c r="C1606" s="1" t="str">
        <f>IFERROR(__xludf.DUMMYFUNCTION("""COMPUTED_VALUE"""),"Mirinda")</f>
        <v>Mirinda</v>
      </c>
      <c r="D1606" s="1">
        <f>IFERROR(__xludf.DUMMYFUNCTION("""COMPUTED_VALUE"""),12.0)</f>
        <v>12</v>
      </c>
      <c r="E1606" s="1">
        <f>IFERROR(__xludf.DUMMYFUNCTION("""COMPUTED_VALUE"""),5.25)</f>
        <v>5.25</v>
      </c>
      <c r="F1606" s="1">
        <f>IFERROR(__xludf.DUMMYFUNCTION("""COMPUTED_VALUE"""),3.0)</f>
        <v>3</v>
      </c>
    </row>
    <row r="1607">
      <c r="A1607" s="3">
        <f>IFERROR(__xludf.DUMMYFUNCTION("""COMPUTED_VALUE"""),46082.0)</f>
        <v>46082</v>
      </c>
      <c r="B1607" s="1" t="str">
        <f>IFERROR(__xludf.DUMMYFUNCTION("""COMPUTED_VALUE"""),"SeaCost2")</f>
        <v>SeaCost2</v>
      </c>
      <c r="C1607" s="1" t="str">
        <f>IFERROR(__xludf.DUMMYFUNCTION("""COMPUTED_VALUE"""),"Mr Cruch veggy's")</f>
        <v>Mr Cruch veggy's</v>
      </c>
      <c r="D1607" s="1">
        <f>IFERROR(__xludf.DUMMYFUNCTION("""COMPUTED_VALUE"""),42.0)</f>
        <v>42</v>
      </c>
      <c r="E1607" s="1">
        <f>IFERROR(__xludf.DUMMYFUNCTION("""COMPUTED_VALUE"""),24.92)</f>
        <v>24.92</v>
      </c>
      <c r="F1607" s="1">
        <f>IFERROR(__xludf.DUMMYFUNCTION("""COMPUTED_VALUE"""),7.0)</f>
        <v>7</v>
      </c>
    </row>
    <row r="1608">
      <c r="A1608" s="3">
        <f>IFERROR(__xludf.DUMMYFUNCTION("""COMPUTED_VALUE"""),46082.0)</f>
        <v>46082</v>
      </c>
      <c r="B1608" s="1" t="str">
        <f>IFERROR(__xludf.DUMMYFUNCTION("""COMPUTED_VALUE"""),"SeaCost2")</f>
        <v>SeaCost2</v>
      </c>
      <c r="C1608" s="1" t="str">
        <f>IFERROR(__xludf.DUMMYFUNCTION("""COMPUTED_VALUE"""),"Pepsi")</f>
        <v>Pepsi</v>
      </c>
      <c r="D1608" s="1">
        <f>IFERROR(__xludf.DUMMYFUNCTION("""COMPUTED_VALUE"""),36.0)</f>
        <v>36</v>
      </c>
      <c r="E1608" s="1">
        <f>IFERROR(__xludf.DUMMYFUNCTION("""COMPUTED_VALUE"""),15.75)</f>
        <v>15.75</v>
      </c>
      <c r="F1608" s="1">
        <f>IFERROR(__xludf.DUMMYFUNCTION("""COMPUTED_VALUE"""),9.0)</f>
        <v>9</v>
      </c>
    </row>
    <row r="1609">
      <c r="A1609" s="3">
        <f>IFERROR(__xludf.DUMMYFUNCTION("""COMPUTED_VALUE"""),46082.0)</f>
        <v>46082</v>
      </c>
      <c r="B1609" s="1" t="str">
        <f>IFERROR(__xludf.DUMMYFUNCTION("""COMPUTED_VALUE"""),"SeaCost2")</f>
        <v>SeaCost2</v>
      </c>
      <c r="C1609" s="1" t="str">
        <f>IFERROR(__xludf.DUMMYFUNCTION("""COMPUTED_VALUE"""),"Schweppes bullet")</f>
        <v>Schweppes bullet</v>
      </c>
      <c r="D1609" s="1">
        <f>IFERROR(__xludf.DUMMYFUNCTION("""COMPUTED_VALUE"""),4.0)</f>
        <v>4</v>
      </c>
      <c r="E1609" s="1">
        <f>IFERROR(__xludf.DUMMYFUNCTION("""COMPUTED_VALUE"""),2.25)</f>
        <v>2.25</v>
      </c>
      <c r="F1609" s="1">
        <f>IFERROR(__xludf.DUMMYFUNCTION("""COMPUTED_VALUE"""),1.0)</f>
        <v>1</v>
      </c>
    </row>
    <row r="1610">
      <c r="A1610" s="3">
        <f>IFERROR(__xludf.DUMMYFUNCTION("""COMPUTED_VALUE"""),46082.0)</f>
        <v>46082</v>
      </c>
      <c r="B1610" s="1" t="str">
        <f>IFERROR(__xludf.DUMMYFUNCTION("""COMPUTED_VALUE"""),"SeaCost2")</f>
        <v>SeaCost2</v>
      </c>
      <c r="C1610" s="1" t="str">
        <f>IFERROR(__xludf.DUMMYFUNCTION("""COMPUTED_VALUE"""),"Shani")</f>
        <v>Shani</v>
      </c>
      <c r="D1610" s="1">
        <f>IFERROR(__xludf.DUMMYFUNCTION("""COMPUTED_VALUE"""),4.0)</f>
        <v>4</v>
      </c>
      <c r="E1610" s="1">
        <f>IFERROR(__xludf.DUMMYFUNCTION("""COMPUTED_VALUE"""),1.75)</f>
        <v>1.75</v>
      </c>
      <c r="F1610" s="1">
        <f>IFERROR(__xludf.DUMMYFUNCTION("""COMPUTED_VALUE"""),1.0)</f>
        <v>1</v>
      </c>
    </row>
    <row r="1611">
      <c r="A1611" s="3">
        <f>IFERROR(__xludf.DUMMYFUNCTION("""COMPUTED_VALUE"""),46082.0)</f>
        <v>46082</v>
      </c>
      <c r="B1611" s="1" t="str">
        <f>IFERROR(__xludf.DUMMYFUNCTION("""COMPUTED_VALUE"""),"SeaCost2")</f>
        <v>SeaCost2</v>
      </c>
      <c r="C1611" s="1" t="str">
        <f>IFERROR(__xludf.DUMMYFUNCTION("""COMPUTED_VALUE"""),"Water")</f>
        <v>Water</v>
      </c>
      <c r="D1611" s="1">
        <f>IFERROR(__xludf.DUMMYFUNCTION("""COMPUTED_VALUE"""),31.0)</f>
        <v>31</v>
      </c>
      <c r="E1611" s="1">
        <f>IFERROR(__xludf.DUMMYFUNCTION("""COMPUTED_VALUE"""),22.32)</f>
        <v>22.32</v>
      </c>
      <c r="F1611" s="1">
        <f>IFERROR(__xludf.DUMMYFUNCTION("""COMPUTED_VALUE"""),31.0)</f>
        <v>31</v>
      </c>
    </row>
    <row r="1612">
      <c r="A1612" s="3">
        <f>IFERROR(__xludf.DUMMYFUNCTION("""COMPUTED_VALUE"""),46082.0)</f>
        <v>46082</v>
      </c>
      <c r="B1612" s="1" t="str">
        <f>IFERROR(__xludf.DUMMYFUNCTION("""COMPUTED_VALUE"""),"SeaCost2")</f>
        <v>SeaCost2</v>
      </c>
      <c r="C1612" s="1" t="str">
        <f>IFERROR(__xludf.DUMMYFUNCTION("""COMPUTED_VALUE"""),"brownies moulin")</f>
        <v>brownies moulin</v>
      </c>
      <c r="D1612" s="1">
        <f>IFERROR(__xludf.DUMMYFUNCTION("""COMPUTED_VALUE"""),36.0)</f>
        <v>36</v>
      </c>
      <c r="E1612" s="1">
        <f>IFERROR(__xludf.DUMMYFUNCTION("""COMPUTED_VALUE"""),19.8)</f>
        <v>19.8</v>
      </c>
      <c r="F1612" s="1">
        <f>IFERROR(__xludf.DUMMYFUNCTION("""COMPUTED_VALUE"""),9.0)</f>
        <v>9</v>
      </c>
    </row>
    <row r="1613">
      <c r="A1613" s="3">
        <f>IFERROR(__xludf.DUMMYFUNCTION("""COMPUTED_VALUE"""),46082.0)</f>
        <v>46082</v>
      </c>
      <c r="B1613" s="1" t="str">
        <f>IFERROR(__xludf.DUMMYFUNCTION("""COMPUTED_VALUE"""),"SeaCost2")</f>
        <v>SeaCost2</v>
      </c>
      <c r="C1613" s="1" t="str">
        <f>IFERROR(__xludf.DUMMYFUNCTION("""COMPUTED_VALUE"""),"mr bite")</f>
        <v>mr bite</v>
      </c>
      <c r="D1613" s="1">
        <f>IFERROR(__xludf.DUMMYFUNCTION("""COMPUTED_VALUE"""),33.0)</f>
        <v>33</v>
      </c>
      <c r="E1613" s="1">
        <f>IFERROR(__xludf.DUMMYFUNCTION("""COMPUTED_VALUE"""),13.31)</f>
        <v>13.31</v>
      </c>
      <c r="F1613" s="1">
        <f>IFERROR(__xludf.DUMMYFUNCTION("""COMPUTED_VALUE"""),11.0)</f>
        <v>11</v>
      </c>
    </row>
    <row r="1614">
      <c r="A1614" s="3">
        <f>IFERROR(__xludf.DUMMYFUNCTION("""COMPUTED_VALUE"""),46082.0)</f>
        <v>46082</v>
      </c>
      <c r="B1614" s="1" t="str">
        <f>IFERROR(__xludf.DUMMYFUNCTION("""COMPUTED_VALUE"""),"SeaCost2")</f>
        <v>SeaCost2</v>
      </c>
      <c r="C1614" s="1" t="str">
        <f>IFERROR(__xludf.DUMMYFUNCTION("""COMPUTED_VALUE"""),"wafe'up")</f>
        <v>wafe'up</v>
      </c>
      <c r="D1614" s="1">
        <f>IFERROR(__xludf.DUMMYFUNCTION("""COMPUTED_VALUE"""),8.0)</f>
        <v>8</v>
      </c>
      <c r="E1614" s="1">
        <f>IFERROR(__xludf.DUMMYFUNCTION("""COMPUTED_VALUE"""),3.5)</f>
        <v>3.5</v>
      </c>
      <c r="F1614" s="1">
        <f>IFERROR(__xludf.DUMMYFUNCTION("""COMPUTED_VALUE"""),2.0)</f>
        <v>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50</v>
      </c>
      <c r="B1" s="2" t="s">
        <v>332</v>
      </c>
      <c r="C1" s="2" t="s">
        <v>375</v>
      </c>
      <c r="D1" s="2" t="s">
        <v>376</v>
      </c>
    </row>
  </sheetData>
  <drawing r:id="rId1"/>
</worksheet>
</file>